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titles_dataset (2)" sheetId="1" r:id="rId5"/>
    <sheet state="visible" name="education_titles_dataset" sheetId="2" r:id="rId6"/>
  </sheets>
  <definedNames/>
  <calcPr/>
</workbook>
</file>

<file path=xl/sharedStrings.xml><?xml version="1.0" encoding="utf-8"?>
<sst xmlns="http://schemas.openxmlformats.org/spreadsheetml/2006/main" count="45797" uniqueCount="21423">
  <si>
    <t>video_id</t>
  </si>
  <si>
    <t>title</t>
  </si>
  <si>
    <t>published_at</t>
  </si>
  <si>
    <t>channel_id</t>
  </si>
  <si>
    <t>channel_title</t>
  </si>
  <si>
    <t>view_count</t>
  </si>
  <si>
    <t>like_count</t>
  </si>
  <si>
    <t>comment_count</t>
  </si>
  <si>
    <t>channel_subscriber_count</t>
  </si>
  <si>
    <t>research_category</t>
  </si>
  <si>
    <t>D1rzb5J-YDk</t>
  </si>
  <si>
    <t>JOINING THE CIRCUS | Endacopia - Part 3</t>
  </si>
  <si>
    <t>2026-08-25T18:16:12Z</t>
  </si>
  <si>
    <t>UC7_YxT-KID8kRbqZo7MyscQ</t>
  </si>
  <si>
    <t>Markiplier</t>
  </si>
  <si>
    <t>Gaming</t>
  </si>
  <si>
    <t>1ylG3tUFrWg</t>
  </si>
  <si>
    <t>FEED THE PIT!!</t>
  </si>
  <si>
    <t>2026-08-24T17:06:01Z</t>
  </si>
  <si>
    <t>ENw2utUihbA</t>
  </si>
  <si>
    <t>3 SCARY GAMES #113</t>
  </si>
  <si>
    <t>2026-08-23T17:29:46Z</t>
  </si>
  <si>
    <t>oHuq2IVcmLQ</t>
  </si>
  <si>
    <t>IT JUST KEEPS GETTING BETTER | Endacopia - Part 2</t>
  </si>
  <si>
    <t>2026-08-22T19:11:44Z</t>
  </si>
  <si>
    <t>oIWbBH-2h_0</t>
  </si>
  <si>
    <t>MOLE</t>
  </si>
  <si>
    <t>2026-08-20T16:08:38Z</t>
  </si>
  <si>
    <t>d04t4_xKVcg</t>
  </si>
  <si>
    <t>BEST GAME IN YEARS | Endacopia</t>
  </si>
  <si>
    <t>2026-08-19T18:03:06Z</t>
  </si>
  <si>
    <t>SVY704MtfUw</t>
  </si>
  <si>
    <t>Five Nights at Freddy's: WORLD</t>
  </si>
  <si>
    <t>2026-08-17T00:53:47Z</t>
  </si>
  <si>
    <t>Gp7XG8Oys3I</t>
  </si>
  <si>
    <t>2026-08-16T04:40:39Z</t>
  </si>
  <si>
    <t>V1HedC1kqzg</t>
  </si>
  <si>
    <t>Fears to Fathom: Scratch Creek</t>
  </si>
  <si>
    <t>2026-08-15T20:14:20Z</t>
  </si>
  <si>
    <t>zlQenSJ1lZY</t>
  </si>
  <si>
    <t>Five Nights at Freddy's: IN REAL TIME</t>
  </si>
  <si>
    <t>2026-08-13T04:13:37Z</t>
  </si>
  <si>
    <t>q8xYvyYYpf0</t>
  </si>
  <si>
    <t>3 SCARY GAMES #112</t>
  </si>
  <si>
    <t>2026-08-05T18:33:36Z</t>
  </si>
  <si>
    <t>psGsc1n8Klw</t>
  </si>
  <si>
    <t>Five Nights at Freddy's: ULTIMATE CUSTOM STREAM</t>
  </si>
  <si>
    <t>2026-08-02T23:35:14Z</t>
  </si>
  <si>
    <t>MiwObwZw-Lc</t>
  </si>
  <si>
    <t>Five Nights at Freddy's: Return of the King</t>
  </si>
  <si>
    <t>2026-08-01T22:43:45Z</t>
  </si>
  <si>
    <t>M3H8u3Y0S-s</t>
  </si>
  <si>
    <t>Five Nights at Freddy's 2: 10/20 COMPLETE (no cheats)</t>
  </si>
  <si>
    <t>2026-07-31T23:28:08Z</t>
  </si>
  <si>
    <t>IRPOlmaKpYA</t>
  </si>
  <si>
    <t>Welcome to the Game 3: Markiplier's Redemption</t>
  </si>
  <si>
    <t>2026-07-18T07:00:49Z</t>
  </si>
  <si>
    <t>AH5jwKkCS7M</t>
  </si>
  <si>
    <t>Five Nights at Freddy's 2: Markiplier's Redemption</t>
  </si>
  <si>
    <t>2026-07-15T06:15:07Z</t>
  </si>
  <si>
    <t>sfBiR5Fo93k</t>
  </si>
  <si>
    <t>BAD END B</t>
  </si>
  <si>
    <t>2026-07-14T07:00:35Z</t>
  </si>
  <si>
    <t>Up8cgc9W_w0</t>
  </si>
  <si>
    <t>Little Nightmares II - Part 5 (ENDING)</t>
  </si>
  <si>
    <t>2026-07-13T16:36:10Z</t>
  </si>
  <si>
    <t>gzTYM8Mzldw</t>
  </si>
  <si>
    <t>I made a mistake…</t>
  </si>
  <si>
    <t>2026-07-12T21:46:31Z</t>
  </si>
  <si>
    <t>YdVVJE_uVok</t>
  </si>
  <si>
    <t>Little Nightmares II - Part 4</t>
  </si>
  <si>
    <t>2026-07-12T17:50:11Z</t>
  </si>
  <si>
    <t>l-lT9Czr-2Q</t>
  </si>
  <si>
    <t>Random Horror Games</t>
  </si>
  <si>
    <t>2026-07-12T03:48:04Z</t>
  </si>
  <si>
    <t>4C5LKcCQZzA</t>
  </si>
  <si>
    <t>2026-07-12T03:36:22Z</t>
  </si>
  <si>
    <t>qeDkljwxD1I</t>
  </si>
  <si>
    <t>Little Nightmares II - Part 3</t>
  </si>
  <si>
    <t>2026-07-11T16:36:28Z</t>
  </si>
  <si>
    <t>WKFMmvRBzqk</t>
  </si>
  <si>
    <t>Little Nightmares II - Part 2</t>
  </si>
  <si>
    <t>2026-07-10T16:20:15Z</t>
  </si>
  <si>
    <t>icAKnjfNxT4</t>
  </si>
  <si>
    <t>Little Nightmares II - Part 1</t>
  </si>
  <si>
    <t>2026-07-09T19:20:51Z</t>
  </si>
  <si>
    <t>WFLgEGaZ8g0</t>
  </si>
  <si>
    <t>INSIDE THE GREAT JAW | Subnautica 2 - Part 13</t>
  </si>
  <si>
    <t>2026-07-06T18:36:37Z</t>
  </si>
  <si>
    <t>6VcBO_X5_UU</t>
  </si>
  <si>
    <t>CAPTURED 2</t>
  </si>
  <si>
    <t>2026-07-06T01:57:31Z</t>
  </si>
  <si>
    <t>6-GWxDD7VpM</t>
  </si>
  <si>
    <t>Supermarket Together</t>
  </si>
  <si>
    <t>2026-07-05T20:58:43Z</t>
  </si>
  <si>
    <t>A-aA8lY5jCo</t>
  </si>
  <si>
    <t>THE FINAL ANGEL COMB | Subnautica 2 - Part 12</t>
  </si>
  <si>
    <t>2026-07-03T19:05:22Z</t>
  </si>
  <si>
    <t>Kw0Bpyw6SyA</t>
  </si>
  <si>
    <t>LAIR of TORMENT</t>
  </si>
  <si>
    <t>2026-07-02T18:26:55Z</t>
  </si>
  <si>
    <t>r0QIuf8WsXw</t>
  </si>
  <si>
    <t>YOU WILL DECIDE MY FATE</t>
  </si>
  <si>
    <t>2026-07-02T01:54:37Z</t>
  </si>
  <si>
    <t>pzNmtaKQ358</t>
  </si>
  <si>
    <t>I am sick... on my birthday</t>
  </si>
  <si>
    <t>2026-06-29T02:10:28Z</t>
  </si>
  <si>
    <t>VUwkKl7IL1w</t>
  </si>
  <si>
    <t>OPEN GIZMY ZIMY</t>
  </si>
  <si>
    <t>2026-06-23T16:53:02Z</t>
  </si>
  <si>
    <t>Cw-8GOL26Jg</t>
  </si>
  <si>
    <t>I'm On Observation Duty: LIVER-ER</t>
  </si>
  <si>
    <t>2026-06-23T04:19:49Z</t>
  </si>
  <si>
    <t>OjOTclvjPw0</t>
  </si>
  <si>
    <t>INFINITE ADDICTION = INFINITE MONEY | Scritchy Scratchy</t>
  </si>
  <si>
    <t>2026-06-21T17:42:08Z</t>
  </si>
  <si>
    <t>8Il781FG9fc</t>
  </si>
  <si>
    <t>DEEPER THAN EVER | Subnautica 2 - Part 11</t>
  </si>
  <si>
    <t>2026-06-20T21:17:24Z</t>
  </si>
  <si>
    <t>mQ2nSkNLnTA</t>
  </si>
  <si>
    <t>I'm On Observation Duty: LIVER</t>
  </si>
  <si>
    <t>2026-06-14T22:52:13Z</t>
  </si>
  <si>
    <t>sIxazU_nUDc</t>
  </si>
  <si>
    <t>3 SCARY GAMES #111</t>
  </si>
  <si>
    <t>2026-06-14T18:09:34Z</t>
  </si>
  <si>
    <t>5Wo5t8H0bDQ</t>
  </si>
  <si>
    <t>Talking Ai with Bob and Mandy</t>
  </si>
  <si>
    <t>2026-06-13T04:40:38Z</t>
  </si>
  <si>
    <t>15mR4-qIbUk</t>
  </si>
  <si>
    <t>EXPLORING FORBIDDEN WRECKS | Subnautica 2 - Part 10</t>
  </si>
  <si>
    <t>2026-06-08T16:00:37Z</t>
  </si>
  <si>
    <t>Ud48JdSoSJs</t>
  </si>
  <si>
    <t>WELCOME TO KOWLOON</t>
  </si>
  <si>
    <t>2026-06-07T16:13:47Z</t>
  </si>
  <si>
    <t>fZRmO8sF3Q4</t>
  </si>
  <si>
    <t>MMMMM #152</t>
  </si>
  <si>
    <t>2026-06-05T19:58:11Z</t>
  </si>
  <si>
    <t>1haG-AGN0Ng</t>
  </si>
  <si>
    <t>ACTUAL ALIENS | Subnautica 2 - Part 9</t>
  </si>
  <si>
    <t>2026-06-05T17:30:09Z</t>
  </si>
  <si>
    <t>YR1m6j3H3UM</t>
  </si>
  <si>
    <t>HUMAN SHAPED</t>
  </si>
  <si>
    <t>2026-06-04T16:08:33Z</t>
  </si>
  <si>
    <t>LhID8kZbP-s</t>
  </si>
  <si>
    <t>A NEW LEVIATHAN | Subnautica 2 - Part 8</t>
  </si>
  <si>
    <t>2026-06-02T19:47:49Z</t>
  </si>
  <si>
    <t>8TeZMNsXz2I</t>
  </si>
  <si>
    <t>Iron Lung Now Available**</t>
  </si>
  <si>
    <t>2026-05-29T20:14:18Z</t>
  </si>
  <si>
    <t>a4VPL1FtPcA</t>
  </si>
  <si>
    <t>THE HOT ZONE | Subnautica 2 - Part 7</t>
  </si>
  <si>
    <t>2026-05-29T00:27:16Z</t>
  </si>
  <si>
    <t>BnWG_R-y6p8</t>
  </si>
  <si>
    <t>PAIN SIGNAL</t>
  </si>
  <si>
    <t>2026-05-27T16:49:25Z</t>
  </si>
  <si>
    <t>O7CjzVHLuYE</t>
  </si>
  <si>
    <t>ACTUALLY TERRIFYING | Psalm 2 Demo</t>
  </si>
  <si>
    <t>2026-05-26T18:09:29Z</t>
  </si>
  <si>
    <t>AZtfHRBpi3Q</t>
  </si>
  <si>
    <t>THE EDGE OF THE OCEAN | Subnautica 2 - Part 6</t>
  </si>
  <si>
    <t>2026-05-25T16:45:29Z</t>
  </si>
  <si>
    <t>ntTaVXXJi10</t>
  </si>
  <si>
    <t>I HAVE BETTER EARS THAN YOU | Dialed.GG</t>
  </si>
  <si>
    <t>2026-05-23T19:04:46Z</t>
  </si>
  <si>
    <t>l_hSYCBfHSM</t>
  </si>
  <si>
    <t>PART 4 DOESN'T EXIST | Subnautica 2 - Part 5</t>
  </si>
  <si>
    <t>2026-05-22T20:36:41Z</t>
  </si>
  <si>
    <t>gcxoAyEnwKM</t>
  </si>
  <si>
    <t>COBB CAN MOVE</t>
  </si>
  <si>
    <t>2026-05-21T21:30:55Z</t>
  </si>
  <si>
    <t>0rDrr0ydsw8</t>
  </si>
  <si>
    <t>I'M (slowly) LEARNING!! | Subnautica 2 - Part 3</t>
  </si>
  <si>
    <t>2026-05-19T20:17:45Z</t>
  </si>
  <si>
    <t>U5Xpd8ja9bk</t>
  </si>
  <si>
    <t>Where the hell is Iron Lung...?</t>
  </si>
  <si>
    <t>2026-05-17T19:13:54Z</t>
  </si>
  <si>
    <t>Dlvn-E1GiN0</t>
  </si>
  <si>
    <t>TRY NOT TO PANIC | Subnautica 2 - Part 2</t>
  </si>
  <si>
    <t>2026-05-17T03:41:00Z</t>
  </si>
  <si>
    <t>MeTbv6Wqfgg</t>
  </si>
  <si>
    <t>THE BEAUTIFUL TERRIFYING OCEAN | Subnautica 2 - Part 1</t>
  </si>
  <si>
    <t>2026-05-15T21:33:39Z</t>
  </si>
  <si>
    <t>VCqUW26hR20</t>
  </si>
  <si>
    <t>ALL THE UPDATES (and rage) | White Knuckle - Part 7</t>
  </si>
  <si>
    <t>2026-05-13T22:09:39Z</t>
  </si>
  <si>
    <t>cnKFvWH8A6k</t>
  </si>
  <si>
    <t>HORSE MAGNIFIER</t>
  </si>
  <si>
    <t>2026-05-12T19:50:47Z</t>
  </si>
  <si>
    <t>wdaO-NV1Tj4</t>
  </si>
  <si>
    <t>THE TRUE ENDING | Baby Steps - Part 10</t>
  </si>
  <si>
    <t>2026-05-11T20:04:00Z</t>
  </si>
  <si>
    <t>_UhFHq5M_9s</t>
  </si>
  <si>
    <t>COLD CITY</t>
  </si>
  <si>
    <t>2026-05-10T16:00:53Z</t>
  </si>
  <si>
    <t>eFDqZN49hBk</t>
  </si>
  <si>
    <t>SOAP KILLER</t>
  </si>
  <si>
    <t>2026-04-30T16:01:14Z</t>
  </si>
  <si>
    <t>FxhIJPemAQE</t>
  </si>
  <si>
    <t>APRIL FOOLS UPDATE | White Knuckle - Part 6</t>
  </si>
  <si>
    <t>2026-04-29T16:00:25Z</t>
  </si>
  <si>
    <t>uFJDQH0AuHI</t>
  </si>
  <si>
    <t>THE LANDS BEYOND | Baby Steps - Part 9</t>
  </si>
  <si>
    <t>2026-04-28T16:01:27Z</t>
  </si>
  <si>
    <t>HxJsFNvPkzw</t>
  </si>
  <si>
    <t>WHITE KNUCKLE IN REVERSE | Idols of Ash</t>
  </si>
  <si>
    <t>2026-04-27T13:35:52Z</t>
  </si>
  <si>
    <t>IQzt6sGvb1c</t>
  </si>
  <si>
    <t>Markiplier Takes an IQ Test</t>
  </si>
  <si>
    <t>2026-04-22T16:00:38Z</t>
  </si>
  <si>
    <t>puwtCcUu9_E</t>
  </si>
  <si>
    <t>THE RADIO TOWER</t>
  </si>
  <si>
    <t>2026-04-21T17:19:36Z</t>
  </si>
  <si>
    <t>K6EkeCKUGmE</t>
  </si>
  <si>
    <t>Come on in...</t>
  </si>
  <si>
    <t>2026-04-21T01:06:51Z</t>
  </si>
  <si>
    <t>u4Ko14vkfx4</t>
  </si>
  <si>
    <t>3 PEENS IN A SPACE POD | Heavenly Bodies w/ Bob &amp; Wade</t>
  </si>
  <si>
    <t>2026-04-16T18:00:10Z</t>
  </si>
  <si>
    <t>lZXiTzkqiJE</t>
  </si>
  <si>
    <t>I Review Snacks from Thailand (among other thing)</t>
  </si>
  <si>
    <t>2026-04-15T16:16:48Z</t>
  </si>
  <si>
    <t>O8pg--1FuaI</t>
  </si>
  <si>
    <t>PAWN SHOP</t>
  </si>
  <si>
    <t>2026-04-10T17:44:01Z</t>
  </si>
  <si>
    <t>1nDcd873gO0</t>
  </si>
  <si>
    <t>PSYCHO INN</t>
  </si>
  <si>
    <t>2026-04-08T19:55:32Z</t>
  </si>
  <si>
    <t>zVeFQHwW_10</t>
  </si>
  <si>
    <t>LAUGHING INTO THE SKY | Approximately Up</t>
  </si>
  <si>
    <t>2026-04-07T20:50:46Z</t>
  </si>
  <si>
    <t>ohsqwJBX_nM</t>
  </si>
  <si>
    <t>NOT FROM EAR</t>
  </si>
  <si>
    <t>2026-04-06T18:36:49Z</t>
  </si>
  <si>
    <t>SnY34dD7lvA</t>
  </si>
  <si>
    <t>THE HARDEST CLIMB | Baby Steps - Part 8</t>
  </si>
  <si>
    <t>2026-04-03T18:01:07Z</t>
  </si>
  <si>
    <t>HKWlY_vKHEk</t>
  </si>
  <si>
    <t>SUBSUMED</t>
  </si>
  <si>
    <t>2026-04-02T17:19:31Z</t>
  </si>
  <si>
    <t>TtGmheVrXUg</t>
  </si>
  <si>
    <t>LIXIAN'S BEST GAME YET!! | Project Lunky</t>
  </si>
  <si>
    <t>2026-03-30T19:00:00Z</t>
  </si>
  <si>
    <t>3o7YxST3wN8</t>
  </si>
  <si>
    <t>UH OH... | Baby Steps - Part 7</t>
  </si>
  <si>
    <t>2026-03-25T18:44:40Z</t>
  </si>
  <si>
    <t>LdXJC8s3xK0</t>
  </si>
  <si>
    <t>Resident Evil: Requiem - Part 13 (ENDING)</t>
  </si>
  <si>
    <t>2026-03-24T17:34:15Z</t>
  </si>
  <si>
    <t>14QO4XcL0ZM</t>
  </si>
  <si>
    <t>MASTERS OF NONE | CRYO w/ Bob &amp; Wade - Part 2</t>
  </si>
  <si>
    <t>2026-03-23T19:38:19Z</t>
  </si>
  <si>
    <t>r_HNogjVf98</t>
  </si>
  <si>
    <t>Resident Evil: Requiem - Part 12</t>
  </si>
  <si>
    <t>2026-03-22T19:52:24Z</t>
  </si>
  <si>
    <t>GmsQ0199BW0</t>
  </si>
  <si>
    <t>Resident Evil: Requiem - Part 11</t>
  </si>
  <si>
    <t>2026-03-20T21:18:33Z</t>
  </si>
  <si>
    <t>UmphUi9vr_g</t>
  </si>
  <si>
    <t>Resident Evil: Requiem - Part 10</t>
  </si>
  <si>
    <t>2026-03-18T18:35:42Z</t>
  </si>
  <si>
    <t>MC_STDDGUC4</t>
  </si>
  <si>
    <t>STOMPING UP A STORM | Baby Steps - Part 6</t>
  </si>
  <si>
    <t>2026-03-17T18:53:37Z</t>
  </si>
  <si>
    <t>bgm5V6CKJts</t>
  </si>
  <si>
    <t>Resident Evil: Requiem - Part 9</t>
  </si>
  <si>
    <t>2026-03-16T17:42:22Z</t>
  </si>
  <si>
    <t>Frj44cYpjSE</t>
  </si>
  <si>
    <t>Super Battle Golf w/  Bob &amp; Wade &amp; Ethan</t>
  </si>
  <si>
    <t>2026-03-15T18:18:11Z</t>
  </si>
  <si>
    <t>iivvUvcWJqg</t>
  </si>
  <si>
    <t>Resident Evil: Requiem - Part 8</t>
  </si>
  <si>
    <t>2026-03-14T17:25:02Z</t>
  </si>
  <si>
    <t>toiDJzxS6sU</t>
  </si>
  <si>
    <t>THE BIGGEST BESTEST BABY | Baby Steps - Part 5</t>
  </si>
  <si>
    <t>2026-03-14T00:46:15Z</t>
  </si>
  <si>
    <t>3WKf6ADCyd4</t>
  </si>
  <si>
    <t>Resident Evil: Requiem - Part 7</t>
  </si>
  <si>
    <t>2026-03-12T16:00:07Z</t>
  </si>
  <si>
    <t>QdCAdukr3V8</t>
  </si>
  <si>
    <t>Resident Evil: Requiem - Part 6</t>
  </si>
  <si>
    <t>2026-03-10T17:33:47Z</t>
  </si>
  <si>
    <t>WOX-YbMB6y8</t>
  </si>
  <si>
    <t>LITERAL WALKING PERFECTION | Baby Steps - Part 4</t>
  </si>
  <si>
    <t>2026-03-09T20:17:16Z</t>
  </si>
  <si>
    <t>u9a04oNtqbA</t>
  </si>
  <si>
    <t>Resident Evil: Requiem - Part 5</t>
  </si>
  <si>
    <t>2026-03-08T19:13:44Z</t>
  </si>
  <si>
    <t>95rsk4ga1E0</t>
  </si>
  <si>
    <t>ALWAYS THE HARD WAY | Baby Steps - Part 3</t>
  </si>
  <si>
    <t>2026-03-07T18:22:28Z</t>
  </si>
  <si>
    <t>wkHS66m3ptk</t>
  </si>
  <si>
    <t>Resident Evil: Requiem - Part 4</t>
  </si>
  <si>
    <t>2026-03-06T23:36:18Z</t>
  </si>
  <si>
    <t>kbhuosA7gK4</t>
  </si>
  <si>
    <t>Fears To Fathom: Woodbury Getaway</t>
  </si>
  <si>
    <t>2026-03-05T21:11:00Z</t>
  </si>
  <si>
    <t>KD8ONOmHUhM</t>
  </si>
  <si>
    <t>Resident Evil: Requiem - Part 3</t>
  </si>
  <si>
    <t>2026-03-04T21:45:32Z</t>
  </si>
  <si>
    <t>Z_3vPcCG_2c</t>
  </si>
  <si>
    <t>ARCTIC SURVIVAL WITH FRIENDS | CRYO w/ Bob &amp; Wade</t>
  </si>
  <si>
    <t>2026-03-03T21:17:58Z</t>
  </si>
  <si>
    <t>np3dXHyom6o</t>
  </si>
  <si>
    <t>Resident Evil: Requiem - Part 2</t>
  </si>
  <si>
    <t>2026-03-02T23:00:41Z</t>
  </si>
  <si>
    <t>l7j_KnHlmfc</t>
  </si>
  <si>
    <t>MAYBE SOME RAGE... | Baby Steps - Part 2</t>
  </si>
  <si>
    <t>2026-03-01T22:51:02Z</t>
  </si>
  <si>
    <t>7H9oZSbxWrk</t>
  </si>
  <si>
    <t>Resident Evil: Requiem - Part 1</t>
  </si>
  <si>
    <t>2026-02-28T21:08:54Z</t>
  </si>
  <si>
    <t>lkml9AMVnXs</t>
  </si>
  <si>
    <t>IT'S ALL... OVER? | No, I Am Not Human - Part 3</t>
  </si>
  <si>
    <t>2026-02-25T17:32:35Z</t>
  </si>
  <si>
    <t>K_cFkX3D9y8</t>
  </si>
  <si>
    <t>It Watches</t>
  </si>
  <si>
    <t>2026-02-22T17:00:33Z</t>
  </si>
  <si>
    <t>QO3sBFiEOpI</t>
  </si>
  <si>
    <t>Poppy Playtime: Chapter 5</t>
  </si>
  <si>
    <t>2026-02-21T02:52:29Z</t>
  </si>
  <si>
    <t>h_uPq4vI5ng</t>
  </si>
  <si>
    <t>BLOODMONEY 2: The Human Expenditure Program</t>
  </si>
  <si>
    <t>2026-02-17T19:56:55Z</t>
  </si>
  <si>
    <t>mOPRNQD6c60</t>
  </si>
  <si>
    <t>3 SCARY GAMES #110</t>
  </si>
  <si>
    <t>2026-02-16T23:46:29Z</t>
  </si>
  <si>
    <t>Zs4a7Iwky6A</t>
  </si>
  <si>
    <t>Silent Hill f - Part 11 (ENDING)</t>
  </si>
  <si>
    <t>2026-02-11T02:48:45Z</t>
  </si>
  <si>
    <t>jS2ykSmI9FA</t>
  </si>
  <si>
    <t>NO RAGE HERE | Baby Steps - Part 1</t>
  </si>
  <si>
    <t>2026-02-07T19:45:46Z</t>
  </si>
  <si>
    <t>RPRx161QoYQ</t>
  </si>
  <si>
    <t>I'm on Observation Duty: LIVE</t>
  </si>
  <si>
    <t>2026-02-07T01:52:47Z</t>
  </si>
  <si>
    <t>eFaihZ0f58w</t>
  </si>
  <si>
    <t>Iron Lung Weekend Results (Number... 1?)</t>
  </si>
  <si>
    <t>2026-02-03T23:37:20Z</t>
  </si>
  <si>
    <t>51EHZ8aPjuU</t>
  </si>
  <si>
    <t>ACTUAL EMERGENCY MEETING!!</t>
  </si>
  <si>
    <t>2026-02-01T23:28:43Z</t>
  </si>
  <si>
    <t>ym_z8Azlk9I</t>
  </si>
  <si>
    <t>RANDOM HORROR GAME NIGHT</t>
  </si>
  <si>
    <t>2026-02-01T04:09:47Z</t>
  </si>
  <si>
    <t>kicfOSlUemk</t>
  </si>
  <si>
    <t>Iron Lung is the NUMBER 1 MOVIE (today) IN AMERICA!!!</t>
  </si>
  <si>
    <t>2026-01-31T19:16:57Z</t>
  </si>
  <si>
    <t>aLEuIHzLBkI</t>
  </si>
  <si>
    <t>Garten of BanBan 0</t>
  </si>
  <si>
    <t>2026-01-31T00:31:35Z</t>
  </si>
  <si>
    <t>x3e-WDxyGVY</t>
  </si>
  <si>
    <t>Routine (FULL GAME)</t>
  </si>
  <si>
    <t>2026-01-30T00:46:47Z</t>
  </si>
  <si>
    <t>X41XnvQhndk</t>
  </si>
  <si>
    <t>SUPER QUICK UPDATES!!</t>
  </si>
  <si>
    <t>2026-01-28T19:53:26Z</t>
  </si>
  <si>
    <t>oylnqAzTV08</t>
  </si>
  <si>
    <t>I'm On Observation Duty 8</t>
  </si>
  <si>
    <t>2026-01-27T01:21:57Z</t>
  </si>
  <si>
    <t>SqKBGnLfO9E</t>
  </si>
  <si>
    <t>The Penjikent Creature</t>
  </si>
  <si>
    <t>2026-01-25T22:25:17Z</t>
  </si>
  <si>
    <t>ezsn_sBv8og</t>
  </si>
  <si>
    <t>My hair is gone</t>
  </si>
  <si>
    <t>2026-01-25T01:50:18Z</t>
  </si>
  <si>
    <t>7yMTkGMw8D0</t>
  </si>
  <si>
    <t>THEY'RE INSIDE... | No, I Am Not Human - Part 2</t>
  </si>
  <si>
    <t>2026-01-22T22:23:33Z</t>
  </si>
  <si>
    <t>fWeRcr3mX44</t>
  </si>
  <si>
    <t>2026-01-22T03:44:41Z</t>
  </si>
  <si>
    <t>EhKSV2azQ9Y</t>
  </si>
  <si>
    <t>Silent Hill f - Part 10</t>
  </si>
  <si>
    <t>2025-12-26T20:02:19Z</t>
  </si>
  <si>
    <t>3vkJenrQlUg</t>
  </si>
  <si>
    <t>My Mom Plays Five Nights at Freddy's: Security Breach</t>
  </si>
  <si>
    <t>2025-12-25T21:50:36Z</t>
  </si>
  <si>
    <t>pYBl4SqxzxY</t>
  </si>
  <si>
    <t>My Mom Wrote a Book About Me</t>
  </si>
  <si>
    <t>2025-12-21T22:37:04Z</t>
  </si>
  <si>
    <t>WcJWymZ1x9o</t>
  </si>
  <si>
    <t>I didn't think this was possible</t>
  </si>
  <si>
    <t>2025-12-11T18:19:13Z</t>
  </si>
  <si>
    <t>E8fusGbgEoI</t>
  </si>
  <si>
    <t>Talking Iron Lung</t>
  </si>
  <si>
    <t>2025-12-08T05:18:41Z</t>
  </si>
  <si>
    <t>IaEtA56pd_w</t>
  </si>
  <si>
    <t>Iron Lung: Final Trailer</t>
  </si>
  <si>
    <t>2025-12-05T20:48:18Z</t>
  </si>
  <si>
    <t>gf_MQ4-JhBk</t>
  </si>
  <si>
    <t>Unus Annus</t>
  </si>
  <si>
    <t>2025-11-14T04:02:06Z</t>
  </si>
  <si>
    <t>A1pBvgrV7Eg</t>
  </si>
  <si>
    <t>Silent Hill f - Part 9</t>
  </si>
  <si>
    <t>2025-10-23T17:19:42Z</t>
  </si>
  <si>
    <t>6kik6Da3qXo</t>
  </si>
  <si>
    <t>Silent Hill f - Part 8</t>
  </si>
  <si>
    <t>2025-10-22T16:00:19Z</t>
  </si>
  <si>
    <t>pVK80X-JgWI</t>
  </si>
  <si>
    <t>No, I Am Not Human</t>
  </si>
  <si>
    <t>2025-10-20T19:31:33Z</t>
  </si>
  <si>
    <t>uRUk5eJRmvI</t>
  </si>
  <si>
    <t>Silent Hill f - Part 7</t>
  </si>
  <si>
    <t>2025-10-17T16:46:34Z</t>
  </si>
  <si>
    <t>roj_11eEMQI</t>
  </si>
  <si>
    <t>Silent Hill f - Part 6</t>
  </si>
  <si>
    <t>2025-10-16T18:40:20Z</t>
  </si>
  <si>
    <t>imtU8w7-uBs</t>
  </si>
  <si>
    <t>Silent Hill f - Part 5</t>
  </si>
  <si>
    <t>2025-10-14T16:43:19Z</t>
  </si>
  <si>
    <t>lFmJKtFWrhg</t>
  </si>
  <si>
    <t>Silent Hill f - Part 4</t>
  </si>
  <si>
    <t>2025-10-13T19:54:08Z</t>
  </si>
  <si>
    <t>wTYDBFO0y78</t>
  </si>
  <si>
    <t>Silent Hill f - Part 3</t>
  </si>
  <si>
    <t>2025-10-12T16:01:32Z</t>
  </si>
  <si>
    <t>l38DNubd1Z4</t>
  </si>
  <si>
    <t>Silent Hill f - Part 2</t>
  </si>
  <si>
    <t>2025-10-11T16:31:17Z</t>
  </si>
  <si>
    <t>yFmizY7pe7U</t>
  </si>
  <si>
    <t>Silent Hill f - Part 1</t>
  </si>
  <si>
    <t>2025-10-08T19:59:55Z</t>
  </si>
  <si>
    <t>Ym-86dezSNU</t>
  </si>
  <si>
    <t>BLOODMONEY!</t>
  </si>
  <si>
    <t>2025-10-06T21:27:04Z</t>
  </si>
  <si>
    <t>hlIVYlxLBBg</t>
  </si>
  <si>
    <t>A HORRIFYING TRUTH | The Butterfly</t>
  </si>
  <si>
    <t>2025-10-04T16:01:11Z</t>
  </si>
  <si>
    <t>sUjw3fddmww</t>
  </si>
  <si>
    <t>Supermarket Simulator - Part 6</t>
  </si>
  <si>
    <t>2025-10-03T16:01:41Z</t>
  </si>
  <si>
    <t>PV1koLoj-jY</t>
  </si>
  <si>
    <t>Who's At The Door?</t>
  </si>
  <si>
    <t>2025-10-02T19:24:43Z</t>
  </si>
  <si>
    <t>yGnoL2FfzmE</t>
  </si>
  <si>
    <t>AMERICA'S MOST UNWANTED | Crime Simulator - Part 3</t>
  </si>
  <si>
    <t>2025-10-01T19:58:43Z</t>
  </si>
  <si>
    <t>wuFov2M9C0A</t>
  </si>
  <si>
    <t>I CAN BE TRUSTED!! | Quarantine Zone</t>
  </si>
  <si>
    <t>2025-09-30T16:01:56Z</t>
  </si>
  <si>
    <t>BiS9rDFYbV8</t>
  </si>
  <si>
    <t>WAIT FOR IT... | Silent Still 2</t>
  </si>
  <si>
    <t>2025-09-28T16:43:40Z</t>
  </si>
  <si>
    <t>FF5uEvoHa8s</t>
  </si>
  <si>
    <t>3 SCARY GAMES #109</t>
  </si>
  <si>
    <t>2025-09-23T21:33:11Z</t>
  </si>
  <si>
    <t>gnMYf0cxcjA</t>
  </si>
  <si>
    <t>Crime Simulator - Part 2</t>
  </si>
  <si>
    <t>2025-09-20T17:15:34Z</t>
  </si>
  <si>
    <t>Cds8--CIVsI</t>
  </si>
  <si>
    <t>Garten of BanBan 8</t>
  </si>
  <si>
    <t>2025-09-19T16:15:02Z</t>
  </si>
  <si>
    <t>YQVkrsSrCkU</t>
  </si>
  <si>
    <t>LOOK CLOSELY AT THE THUMBNAIL | Loan Shark</t>
  </si>
  <si>
    <t>2025-09-08T16:00:55Z</t>
  </si>
  <si>
    <t>EXatnflnJKU</t>
  </si>
  <si>
    <t>DON'T BLINK... THIS GAME IS WATCHING YOU | Vigil</t>
  </si>
  <si>
    <t>2025-09-03T16:00:24Z</t>
  </si>
  <si>
    <t>vtNjB8ipVa8</t>
  </si>
  <si>
    <t>Crime Simulator - Part 1</t>
  </si>
  <si>
    <t>2025-08-30T18:30:53Z</t>
  </si>
  <si>
    <t>5bpZJVoFZas</t>
  </si>
  <si>
    <t>NO DOPPELGANGERS HERE | Shift at Midnight</t>
  </si>
  <si>
    <t>2025-08-28T18:27:24Z</t>
  </si>
  <si>
    <t>eYGZbgbAecQ</t>
  </si>
  <si>
    <t>Fears To Fathom: Ironbark Lookout - Part 2</t>
  </si>
  <si>
    <t>2025-08-10T16:01:06Z</t>
  </si>
  <si>
    <t>uCmztwTstc4</t>
  </si>
  <si>
    <t>Voices of the Void</t>
  </si>
  <si>
    <t>2025-08-09T19:27:40Z</t>
  </si>
  <si>
    <t>-vXhg6NYRts</t>
  </si>
  <si>
    <t>Fears To Fathom: Ironbark Lookout - Part 1</t>
  </si>
  <si>
    <t>2025-08-07T18:08:12Z</t>
  </si>
  <si>
    <t>b87lr7K0HRY</t>
  </si>
  <si>
    <t>Markiplier vs Ai: FIGHT NIGHT</t>
  </si>
  <si>
    <t>2025-08-02T02:58:14Z</t>
  </si>
  <si>
    <t>8am0h58hfMU</t>
  </si>
  <si>
    <t>DON'T FEED IT</t>
  </si>
  <si>
    <t>2025-07-18T19:30:20Z</t>
  </si>
  <si>
    <t>Z6BVNPmd9kU</t>
  </si>
  <si>
    <t>NOTHING ILLEGAL HERE | Schedule I - Part 3</t>
  </si>
  <si>
    <t>2025-07-01T16:45:14Z</t>
  </si>
  <si>
    <t>jCpABBYal3E</t>
  </si>
  <si>
    <t>im sick</t>
  </si>
  <si>
    <t>2025-07-01T02:22:07Z</t>
  </si>
  <si>
    <t>bVonlI3Fctc</t>
  </si>
  <si>
    <t>THERE WAS NEVER A PROBLEM WITH THIS VIDEO | Supermarket Simulator - Part 5</t>
  </si>
  <si>
    <t>2025-06-28T00:08:53Z</t>
  </si>
  <si>
    <t>j1hOdMnKuYw</t>
  </si>
  <si>
    <t>Five Nights at Freddy's: The Secret of the Mimic - Part 8</t>
  </si>
  <si>
    <t>2025-06-25T22:52:37Z</t>
  </si>
  <si>
    <t>7MwPlQ9b_Ag</t>
  </si>
  <si>
    <t>Five Nights at Freddy's: The Secret of the Mimic - Part 7</t>
  </si>
  <si>
    <t>2025-06-24T21:50:07Z</t>
  </si>
  <si>
    <t>gNuaxVi1-p4</t>
  </si>
  <si>
    <t>Five Nights at Freddy's: The Secret of the Mimic - Part 6</t>
  </si>
  <si>
    <t>2025-06-23T19:53:42Z</t>
  </si>
  <si>
    <t>Uqco6dHQVro</t>
  </si>
  <si>
    <t>Five Nights at Freddy's: The Secret of the Mimic - Part 5</t>
  </si>
  <si>
    <t>2025-06-22T18:43:26Z</t>
  </si>
  <si>
    <t>RQ1wnu3_0CU</t>
  </si>
  <si>
    <t>Five Nights at Freddy's: The Secret of the Mimic - Part 4</t>
  </si>
  <si>
    <t>2025-06-21T17:41:44Z</t>
  </si>
  <si>
    <t>OFgXq6G3n08</t>
  </si>
  <si>
    <t>Five Nights at Freddy's: The Secret of the Mimic - Part 3</t>
  </si>
  <si>
    <t>2025-06-20T19:53:44Z</t>
  </si>
  <si>
    <t>PHuc0PltvLU</t>
  </si>
  <si>
    <t>Five Nights at Freddy's: The Secret of the Mimic - Part 2</t>
  </si>
  <si>
    <t>2025-06-19T23:00:39Z</t>
  </si>
  <si>
    <t>wSa-sjaLVOM</t>
  </si>
  <si>
    <t>Five Nights at Freddy's: The Secret of the Mimic - Part 1</t>
  </si>
  <si>
    <t>2025-06-17T00:09:51Z</t>
  </si>
  <si>
    <t>pfkl2iQooGE</t>
  </si>
  <si>
    <t>BUCKSHOT ROULETTE w/ "PILLS" | Side Effects</t>
  </si>
  <si>
    <t>2025-06-14T16:01:22Z</t>
  </si>
  <si>
    <t>kykIZlxWOw4</t>
  </si>
  <si>
    <t>CRIME SCENE SIMULATOR</t>
  </si>
  <si>
    <t>2025-06-13T16:01:15Z</t>
  </si>
  <si>
    <t>uLm1Z-2_N6s</t>
  </si>
  <si>
    <t>THUNDERHEAD</t>
  </si>
  <si>
    <t>2025-06-09T22:39:59Z</t>
  </si>
  <si>
    <t>-OnOfYpLiS0</t>
  </si>
  <si>
    <t>BUNKER 73</t>
  </si>
  <si>
    <t>2025-06-03T22:47:25Z</t>
  </si>
  <si>
    <t>lSrKkXskEDk</t>
  </si>
  <si>
    <t>BLOOD MALL</t>
  </si>
  <si>
    <t>2025-05-31T03:48:27Z</t>
  </si>
  <si>
    <t>Mmzu4k33WAQ</t>
  </si>
  <si>
    <t>DEFINITELY NOT DRUGS | Schedule I - Part 2</t>
  </si>
  <si>
    <t>2025-05-27T19:00:57Z</t>
  </si>
  <si>
    <t>3c-5PezzdFs</t>
  </si>
  <si>
    <t>I REACHED THE END??? | White Knuckle - Part 5</t>
  </si>
  <si>
    <t>2025-05-24T19:47:33Z</t>
  </si>
  <si>
    <t>uYneVs6PYKE</t>
  </si>
  <si>
    <t>Mr. Magpie's Harmless Card Game</t>
  </si>
  <si>
    <t>2025-05-23T22:31:02Z</t>
  </si>
  <si>
    <t>FtD9v1kHeTw</t>
  </si>
  <si>
    <t>THE EDGE OF TUBI</t>
  </si>
  <si>
    <t>2025-05-16T03:26:39Z</t>
  </si>
  <si>
    <t>1UARN_HRytg</t>
  </si>
  <si>
    <t>3 DRUG DEALERS in a TRENCHCOAT | Schedule I - Part 1</t>
  </si>
  <si>
    <t>2025-05-09T21:51:23Z</t>
  </si>
  <si>
    <t>DltU7CdBtjU</t>
  </si>
  <si>
    <t>FULL GAME RELEASE | White Knuckle - Part 4</t>
  </si>
  <si>
    <t>2025-05-07T19:12:01Z</t>
  </si>
  <si>
    <t>Z1uVfyVu5Nk</t>
  </si>
  <si>
    <t>TOO SMART FOR MY OWN GOOD | Blue Prince</t>
  </si>
  <si>
    <t>2025-05-06T19:06:08Z</t>
  </si>
  <si>
    <t>z9o-wdlmz4s</t>
  </si>
  <si>
    <t>ALMOST... ALMOST... | White Knuckle - Part 3</t>
  </si>
  <si>
    <t>2025-05-04T18:24:29Z</t>
  </si>
  <si>
    <t>HGPOQ4UiQ4w</t>
  </si>
  <si>
    <t>3 SCARY GAMES #108</t>
  </si>
  <si>
    <t>2025-05-01T20:44:55Z</t>
  </si>
  <si>
    <t>uPah60Cgyu0</t>
  </si>
  <si>
    <t>HOPELESSLY ADDICTED | White Knuckle - Part 2</t>
  </si>
  <si>
    <t>2025-04-24T21:36:30Z</t>
  </si>
  <si>
    <t>Y1PwWSRAa8w</t>
  </si>
  <si>
    <t>ONE LAST STORY | The Headliners - Part 3</t>
  </si>
  <si>
    <t>2025-04-21T22:17:34Z</t>
  </si>
  <si>
    <t>hLfq42foTPo</t>
  </si>
  <si>
    <t>MY NEW FAVORITE HORROR GAME | White Knuckle</t>
  </si>
  <si>
    <t>2025-04-19T00:28:42Z</t>
  </si>
  <si>
    <t>1hH-p8RZKj4</t>
  </si>
  <si>
    <t>STRANGEST HORROR GAME | Chuck Nolemland: The Starving Kid</t>
  </si>
  <si>
    <t>2025-04-17T17:56:53Z</t>
  </si>
  <si>
    <t>FlqKeW1iWyU</t>
  </si>
  <si>
    <t>i'm back... again...</t>
  </si>
  <si>
    <t>2025-04-16T23:15:22Z</t>
  </si>
  <si>
    <t>sR7rMP4GXuE</t>
  </si>
  <si>
    <t>KIOSK</t>
  </si>
  <si>
    <t>2025-04-14T23:30:07Z</t>
  </si>
  <si>
    <t>hV46Bev2nWQ</t>
  </si>
  <si>
    <t>END OF THE ROAD | Endoparasitic 2 - ENDING</t>
  </si>
  <si>
    <t>2025-04-06T19:12:21Z</t>
  </si>
  <si>
    <t>_NN7fzllqBQ</t>
  </si>
  <si>
    <t>The Backrooms 1998</t>
  </si>
  <si>
    <t>2025-04-05T16:00:47Z</t>
  </si>
  <si>
    <t>pDS5t63ALLE</t>
  </si>
  <si>
    <t>THIS IS (not) STEALING | R.E.P.O. w/ Ethan</t>
  </si>
  <si>
    <t>2025-03-18T20:09:02Z</t>
  </si>
  <si>
    <t>RiOhRceHLCs</t>
  </si>
  <si>
    <t>3 SCARY GAMES #107</t>
  </si>
  <si>
    <t>2025-03-08T18:38:32Z</t>
  </si>
  <si>
    <t>m_5lHkwPMIc</t>
  </si>
  <si>
    <t>Five Nights at Freddy's Urbex</t>
  </si>
  <si>
    <t>2025-03-06T20:22:45Z</t>
  </si>
  <si>
    <t>YvOdhmkCdrY</t>
  </si>
  <si>
    <t>ANYTHING FOR VIEWS | The Headliners - Part 2</t>
  </si>
  <si>
    <t>2025-03-04T22:11:54Z</t>
  </si>
  <si>
    <t>o7CHV8Osx-M</t>
  </si>
  <si>
    <t>A Game About Digging a Hole</t>
  </si>
  <si>
    <t>2025-03-02T17:43:12Z</t>
  </si>
  <si>
    <t>cxTaeCjd2n0</t>
  </si>
  <si>
    <t>NEVERMIND I AIN’T POSTING THAT | Endoparasitic 2 - Part 4</t>
  </si>
  <si>
    <t>2025-02-26T19:16:49Z</t>
  </si>
  <si>
    <t>S_zXs4s_e_0</t>
  </si>
  <si>
    <t>EXPLOITING DISASTER for PROFIT | The Headliners</t>
  </si>
  <si>
    <t>2025-02-25T20:19:00Z</t>
  </si>
  <si>
    <t>REUXW8psJk0</t>
  </si>
  <si>
    <t>Markiplier Joins a Cult</t>
  </si>
  <si>
    <t>2025-02-21T22:52:56Z</t>
  </si>
  <si>
    <t>Lc59LXtwseY</t>
  </si>
  <si>
    <t>SIMPSONS + LITTLE NIGHTMARES | Little Bartmares</t>
  </si>
  <si>
    <t>2025-02-18T19:14:31Z</t>
  </si>
  <si>
    <t>8geaZ0katu0</t>
  </si>
  <si>
    <t>Poppy Playtime: Chapter 4 - Part 3</t>
  </si>
  <si>
    <t>2025-02-14T22:23:05Z</t>
  </si>
  <si>
    <t>ocN0WQdSt1I</t>
  </si>
  <si>
    <t>"I'M NOT LIKE OTHER GIRLS" | MiSide - Part 4</t>
  </si>
  <si>
    <t>2025-02-13T20:16:00Z</t>
  </si>
  <si>
    <t>cNYSOHWbkJU</t>
  </si>
  <si>
    <t>Earthquake by Mount Fuji</t>
  </si>
  <si>
    <t>2026-07-30T08:30:17Z</t>
  </si>
  <si>
    <t>UC-lHJZR3Gqxm24_Vd_AJ5Yw</t>
  </si>
  <si>
    <t>PewDiePie</t>
  </si>
  <si>
    <t>upZTN2INpDc</t>
  </si>
  <si>
    <t>Meet our newest family member</t>
  </si>
  <si>
    <t>2026-07-02T13:44:17Z</t>
  </si>
  <si>
    <t>iRRpvuMG7AM</t>
  </si>
  <si>
    <t>I tried to make a Manga</t>
  </si>
  <si>
    <t>2026-06-22T08:30:16Z</t>
  </si>
  <si>
    <t>rAzT5lcezPs</t>
  </si>
  <si>
    <t>MY trillion $Dollar Project is finally OUT!</t>
  </si>
  <si>
    <t>2026-05-31T15:05:46Z</t>
  </si>
  <si>
    <t>ea0X-DWVOZo</t>
  </si>
  <si>
    <t>Ending the vlogs.</t>
  </si>
  <si>
    <t>2026-05-23T11:11:14Z</t>
  </si>
  <si>
    <t>WtxPV8kwW1o</t>
  </si>
  <si>
    <t>Never been this disappointed..</t>
  </si>
  <si>
    <t>2026-04-23T12:38:06Z</t>
  </si>
  <si>
    <t>LVUGbW8BnRw</t>
  </si>
  <si>
    <t>Our Old Man Is Getting Old</t>
  </si>
  <si>
    <t>2026-03-23T09:45:04Z</t>
  </si>
  <si>
    <t>5nL-Eq1lpDU</t>
  </si>
  <si>
    <t>I Fixed YouTube !</t>
  </si>
  <si>
    <t>2026-03-17T11:36:23Z</t>
  </si>
  <si>
    <t>aV4j5pXLP-I</t>
  </si>
  <si>
    <t>I Trained My Own AI... It beat ChatGPT</t>
  </si>
  <si>
    <t>2026-02-27T08:53:18Z</t>
  </si>
  <si>
    <t>xPcq1BuHXtY</t>
  </si>
  <si>
    <t>Nothing Sweeter Than This Moment</t>
  </si>
  <si>
    <t>2026-02-16T13:30:51Z</t>
  </si>
  <si>
    <t>lJIvq7jmHxA</t>
  </si>
  <si>
    <t>am I in trouble for this?</t>
  </si>
  <si>
    <t>2026-01-21T12:03:31Z</t>
  </si>
  <si>
    <t>2UN7IJvDqHk</t>
  </si>
  <si>
    <t>I Spent 24 Hours Drawing at an Anime Studio</t>
  </si>
  <si>
    <t>2026-01-16T15:33:02Z</t>
  </si>
  <si>
    <t>6jYcjNbvqh4</t>
  </si>
  <si>
    <t>CLOSING A CHAPTER</t>
  </si>
  <si>
    <t>2025-12-22T16:15:00Z</t>
  </si>
  <si>
    <t>gV_AnL2o3D0</t>
  </si>
  <si>
    <t>Everything is different..</t>
  </si>
  <si>
    <t>2025-11-27T17:01:27Z</t>
  </si>
  <si>
    <t>qw4fDU18RcU</t>
  </si>
  <si>
    <t>STOP. Using AI Right now</t>
  </si>
  <si>
    <t>2025-10-31T14:42:18Z</t>
  </si>
  <si>
    <t>OQUV6kEKwlk</t>
  </si>
  <si>
    <t>Thanks for 15 years</t>
  </si>
  <si>
    <t>2025-10-11T17:00:35Z</t>
  </si>
  <si>
    <t>n_Lv_mw6m6c</t>
  </si>
  <si>
    <t>help, Im going through a midlife crisis...</t>
  </si>
  <si>
    <t>2025-09-26T21:37:44Z</t>
  </si>
  <si>
    <t>wG-o4rk_W64</t>
  </si>
  <si>
    <t>they said moving to japan was a mistake..</t>
  </si>
  <si>
    <t>2025-09-18T11:08:15Z</t>
  </si>
  <si>
    <t>2JzOe1Hs26Q</t>
  </si>
  <si>
    <t>Accidentally Built a Nuclear Supercomputer.</t>
  </si>
  <si>
    <t>2025-08-21T17:00:06Z</t>
  </si>
  <si>
    <t>4T4AoXFDcD8</t>
  </si>
  <si>
    <t>Can we make it back home?</t>
  </si>
  <si>
    <t>2025-08-09T17:00:09Z</t>
  </si>
  <si>
    <t>yzSBeCJfhkw</t>
  </si>
  <si>
    <t>The greatest game of GeoGuessr..</t>
  </si>
  <si>
    <t>2025-07-27T16:40:55Z</t>
  </si>
  <si>
    <t>MhRGfNkw3Vo</t>
  </si>
  <si>
    <t>This Hit Different This Year… 🇸🇪</t>
  </si>
  <si>
    <t>2025-07-18T15:45:03Z</t>
  </si>
  <si>
    <t>u_Lxkt50xOg</t>
  </si>
  <si>
    <t>I'm DONE with Google</t>
  </si>
  <si>
    <t>2025-06-26T19:01:01Z</t>
  </si>
  <si>
    <t>4uqo-brP3xs</t>
  </si>
  <si>
    <t>This Trip Was NOT What We Planned</t>
  </si>
  <si>
    <t>2025-06-15T01:45:01Z</t>
  </si>
  <si>
    <t>pgeTa1PV_40</t>
  </si>
  <si>
    <t>Presenting my Billion Dollar Plan...</t>
  </si>
  <si>
    <t>2025-05-28T15:20:03Z</t>
  </si>
  <si>
    <t>qGXtMENJDps</t>
  </si>
  <si>
    <t>Cycle across Japan!</t>
  </si>
  <si>
    <t>2025-05-16T01:15:06Z</t>
  </si>
  <si>
    <t>pVI_smLgTY0</t>
  </si>
  <si>
    <t>I installed Linux (so should you)</t>
  </si>
  <si>
    <t>2025-04-26T21:29:28Z</t>
  </si>
  <si>
    <t>tMIDpbmFoL8</t>
  </si>
  <si>
    <t>We bought Land in Japan</t>
  </si>
  <si>
    <t>2025-04-11T17:01:10Z</t>
  </si>
  <si>
    <t>iphxJqWZX1Y</t>
  </si>
  <si>
    <t>30 Day Dream Challenge.</t>
  </si>
  <si>
    <t>2025-03-31T17:40:07Z</t>
  </si>
  <si>
    <t>UDVOuh-LDx8</t>
  </si>
  <si>
    <t>We finally decided.</t>
  </si>
  <si>
    <t>2025-03-14T17:00:36Z</t>
  </si>
  <si>
    <t>14Rd_h9V4tQ</t>
  </si>
  <si>
    <t>WHY DID I PLAY THIS?! ((((((So Scary!))))))</t>
  </si>
  <si>
    <t>2025-02-28T01:38:58Z</t>
  </si>
  <si>
    <t>tsu0Rw3Nqi8</t>
  </si>
  <si>
    <t>My First Gaming PC Build... (very easy)</t>
  </si>
  <si>
    <t>2025-02-21T17:01:17Z</t>
  </si>
  <si>
    <t>nrzrkiu5nyI</t>
  </si>
  <si>
    <t>I SAID I'D NEVER RETURN HERE............</t>
  </si>
  <si>
    <t>2025-02-14T17:15:08Z</t>
  </si>
  <si>
    <t>sL1UPpgBH7I</t>
  </si>
  <si>
    <t>I Found My Wife's Meme Folder....</t>
  </si>
  <si>
    <t>2025-01-30T17:01:02Z</t>
  </si>
  <si>
    <t>OZI0oOfRFp4</t>
  </si>
  <si>
    <t>Our Family is Growing..</t>
  </si>
  <si>
    <t>2025-01-08T19:09:55Z</t>
  </si>
  <si>
    <t>yfQAnBol6Jw</t>
  </si>
  <si>
    <t>Giving you guys a chance....</t>
  </si>
  <si>
    <t>2024-12-23T17:00:59Z</t>
  </si>
  <si>
    <t>Jzk5gbWQaT8</t>
  </si>
  <si>
    <t>This Month Was Tough on Us..</t>
  </si>
  <si>
    <t>2024-12-15T17:00:27Z</t>
  </si>
  <si>
    <t>8fLZQYiI3mg</t>
  </si>
  <si>
    <t>Podcasts have gone too far..</t>
  </si>
  <si>
    <t>2024-11-28T17:00:15Z</t>
  </si>
  <si>
    <t>vCqZQOqUiqo</t>
  </si>
  <si>
    <t>Happy Wheels in 2024 is crazy..</t>
  </si>
  <si>
    <t>2024-11-24T17:00:49Z</t>
  </si>
  <si>
    <t>IkU3c1kERcw</t>
  </si>
  <si>
    <t>I put on a suit and went to Australia for this</t>
  </si>
  <si>
    <t>2024-11-15T17:00:25Z</t>
  </si>
  <si>
    <t>GPLImB-I71w</t>
  </si>
  <si>
    <t>I Drew Every Day for 365 Days..... *it was painful*</t>
  </si>
  <si>
    <t>2024-10-29T17:00:14Z</t>
  </si>
  <si>
    <t>Jal7jd_ocL0</t>
  </si>
  <si>
    <t>Setting the record straight about kids!</t>
  </si>
  <si>
    <t>2024-10-20T17:15:02Z</t>
  </si>
  <si>
    <t>Tbwbq-03aOc</t>
  </si>
  <si>
    <t>If you laugh... You're a bad person..</t>
  </si>
  <si>
    <t>2024-10-14T17:00:20Z</t>
  </si>
  <si>
    <t>bzubMYUiCac</t>
  </si>
  <si>
    <t>Family Adventure: Our Awaji Island Trip</t>
  </si>
  <si>
    <t>2024-10-05T17:00:25Z</t>
  </si>
  <si>
    <t>rpQswht3dsc</t>
  </si>
  <si>
    <t>Bad YouTube Advice</t>
  </si>
  <si>
    <t>2024-09-30T17:00:49Z</t>
  </si>
  <si>
    <t>QL6SQEb48zY</t>
  </si>
  <si>
    <t>The Chinese AI situation is crazy</t>
  </si>
  <si>
    <t>2024-09-21T00:22:23Z</t>
  </si>
  <si>
    <t>uYTL-iM5XFo</t>
  </si>
  <si>
    <t>Is Switzerland a real place?</t>
  </si>
  <si>
    <t>2024-09-10T17:00:47Z</t>
  </si>
  <si>
    <t>Fn1OeGys2L8</t>
  </si>
  <si>
    <t>I WILL NOT APOLOGIZE FOR MY CRIMES</t>
  </si>
  <si>
    <t>2024-08-28T17:00:13Z</t>
  </si>
  <si>
    <t>kSt2QspMnG0</t>
  </si>
  <si>
    <t>MAYBE</t>
  </si>
  <si>
    <t>2024-08-24T17:00:37Z</t>
  </si>
  <si>
    <t>3XRTKZlCYSA</t>
  </si>
  <si>
    <t>Boys First Bike ride! *Front Flips*</t>
  </si>
  <si>
    <t>2024-08-09T17:00:02Z</t>
  </si>
  <si>
    <t>UMDv7gtqBYQ</t>
  </si>
  <si>
    <t>I will NEver recover from this in Minecraft</t>
  </si>
  <si>
    <t>2024-07-24T17:00:18Z</t>
  </si>
  <si>
    <t>f6CT2ov1I90</t>
  </si>
  <si>
    <t>Minecraft is a horror game now , you cant deny this</t>
  </si>
  <si>
    <t>2024-07-13T17:15:03Z</t>
  </si>
  <si>
    <t>n_Zj7ZLNuN0</t>
  </si>
  <si>
    <t>New Family Member!</t>
  </si>
  <si>
    <t>2024-07-09T17:00:37Z</t>
  </si>
  <si>
    <t>pM_rvWwQoqU</t>
  </si>
  <si>
    <t>I BROKE the Golden RULE in Minecraft...</t>
  </si>
  <si>
    <t>2024-06-27T17:30:11Z</t>
  </si>
  <si>
    <t>hrHK7FNgnrM</t>
  </si>
  <si>
    <t>Training like Mishima for 7 Days</t>
  </si>
  <si>
    <t>2024-06-22T17:15:02Z</t>
  </si>
  <si>
    <t>ZYsJQmKeZb4</t>
  </si>
  <si>
    <t>I'll play Minecraft Again... (MAYBE)</t>
  </si>
  <si>
    <t>2024-06-18T17:00:31Z</t>
  </si>
  <si>
    <t>TwtjzPZj2XY</t>
  </si>
  <si>
    <t>I brought the boy to his homeland</t>
  </si>
  <si>
    <t>2024-06-04T16:00:44Z</t>
  </si>
  <si>
    <t>3CqDamkcXPk</t>
  </si>
  <si>
    <t>YouTubers are ruining Japan</t>
  </si>
  <si>
    <t>2024-05-22T16:30:00Z</t>
  </si>
  <si>
    <t>Pl6KcYzyvJE</t>
  </si>
  <si>
    <t>I went to the holy land..</t>
  </si>
  <si>
    <t>2024-05-13T17:00:26Z</t>
  </si>
  <si>
    <t>KvN8U6cqiu0</t>
  </si>
  <si>
    <t>Reacting to my Wife's Memes</t>
  </si>
  <si>
    <t>2024-04-30T17:31:11Z</t>
  </si>
  <si>
    <t>17Rw1Lu_iWA</t>
  </si>
  <si>
    <t>Studied the Slinky for 52 Days Straight..</t>
  </si>
  <si>
    <t>2024-04-25T17:00:02Z</t>
  </si>
  <si>
    <t>7qo8dOn3p60</t>
  </si>
  <si>
    <t>I made him cry..</t>
  </si>
  <si>
    <t>2024-04-15T22:50:12Z</t>
  </si>
  <si>
    <t>ahx0iw78lUE</t>
  </si>
  <si>
    <t>Showing Jack my memes</t>
  </si>
  <si>
    <t>2024-03-31T17:32:47Z</t>
  </si>
  <si>
    <t>cUUuRK3Rm4k</t>
  </si>
  <si>
    <t>First Stream In Forever! / Haunted House Reaction / Alone in The Dark / Chatting /</t>
  </si>
  <si>
    <t>2024-03-23T03:07:27Z</t>
  </si>
  <si>
    <t>_flqrzcGhrE</t>
  </si>
  <si>
    <t>I survived being Alone In The Dark...</t>
  </si>
  <si>
    <t>2024-03-15T10:00:28Z</t>
  </si>
  <si>
    <t>YWrFNoTXbKs</t>
  </si>
  <si>
    <t>Our Winter Trip!</t>
  </si>
  <si>
    <t>2024-03-08T17:30:04Z</t>
  </si>
  <si>
    <t>FcLaxJbWHZs</t>
  </si>
  <si>
    <t>How a Reddit Post Changed my Life</t>
  </si>
  <si>
    <t>2024-02-29T16:00:16Z</t>
  </si>
  <si>
    <t>p4TQlRMSzO4</t>
  </si>
  <si>
    <t>Influencers have gone TOO FAR!!</t>
  </si>
  <si>
    <t>2024-02-21T17:15:02Z</t>
  </si>
  <si>
    <t>br-Ao33SfMw</t>
  </si>
  <si>
    <t>Grandparents Came to Japan!</t>
  </si>
  <si>
    <t>2024-02-08T17:15:01Z</t>
  </si>
  <si>
    <t>MJDtQTTAogk</t>
  </si>
  <si>
    <t>I Drew Every Day for 100 DAYS!</t>
  </si>
  <si>
    <t>2024-01-31T17:00:19Z</t>
  </si>
  <si>
    <t>Qq8SKehS_so</t>
  </si>
  <si>
    <t>The Greatest Driver of All Time..</t>
  </si>
  <si>
    <t>2024-01-23T17:15:01Z</t>
  </si>
  <si>
    <t>K4FgLj5HVTo</t>
  </si>
  <si>
    <t>Xmas Vlog 2024</t>
  </si>
  <si>
    <t>2023-12-30T17:00:21Z</t>
  </si>
  <si>
    <t>zDIyoTGRCZk</t>
  </si>
  <si>
    <t>watch to DOMINATE 2024 #sigmaedit</t>
  </si>
  <si>
    <t>2023-12-23T17:15:01Z</t>
  </si>
  <si>
    <t>Vw0xrE3ZQ74</t>
  </si>
  <si>
    <t>Apology Videos have reached a new low</t>
  </si>
  <si>
    <t>2023-12-07T17:09:59Z</t>
  </si>
  <si>
    <t>IIuRc8IiSuE</t>
  </si>
  <si>
    <t>my favorite trip so far!</t>
  </si>
  <si>
    <t>2023-11-28T17:00:17Z</t>
  </si>
  <si>
    <t>CMLEudGbxQk</t>
  </si>
  <si>
    <t>Teaching myself to draw for no reason</t>
  </si>
  <si>
    <t>2023-11-23T16:26:09Z</t>
  </si>
  <si>
    <t>A6Z9gkJnfgw</t>
  </si>
  <si>
    <t>The real reason I left Sweden.</t>
  </si>
  <si>
    <t>2023-11-16T22:30:01Z</t>
  </si>
  <si>
    <t>5puX_BVuVAA</t>
  </si>
  <si>
    <t>Happy days</t>
  </si>
  <si>
    <t>2023-11-07T17:15:00Z</t>
  </si>
  <si>
    <t>n62M2pd0-p8</t>
  </si>
  <si>
    <t>Reacting</t>
  </si>
  <si>
    <t>2023-10-27T17:00:26Z</t>
  </si>
  <si>
    <t>L0zminwWyxI</t>
  </si>
  <si>
    <t>I Learned 7 things in 7 days (to impress my son)</t>
  </si>
  <si>
    <t>2023-10-12T17:00:26Z</t>
  </si>
  <si>
    <t>CZy5pwKdMuo</t>
  </si>
  <si>
    <t>This is the best</t>
  </si>
  <si>
    <t>2023-10-04T17:15:00Z</t>
  </si>
  <si>
    <t>ZFAuSU_XaZI</t>
  </si>
  <si>
    <t>The worst Hoarder on the Planet.</t>
  </si>
  <si>
    <t>2023-09-30T17:15:02Z</t>
  </si>
  <si>
    <t>sK37SolFV8I</t>
  </si>
  <si>
    <t>i am now supreme leader</t>
  </si>
  <si>
    <t>2023-09-22T16:48:14Z</t>
  </si>
  <si>
    <t>_sPXXL9YXok</t>
  </si>
  <si>
    <t>dad life</t>
  </si>
  <si>
    <t>2023-09-15T15:54:58Z</t>
  </si>
  <si>
    <t>bsrKZCf_tMU</t>
  </si>
  <si>
    <t>Reacting to my Wife's baby memes</t>
  </si>
  <si>
    <t>2023-09-10T17:30:04Z</t>
  </si>
  <si>
    <t>XBjfAEM4CPA</t>
  </si>
  <si>
    <t>I'm the best dad (proof)</t>
  </si>
  <si>
    <t>2023-08-30T17:00:20Z</t>
  </si>
  <si>
    <t>tKOlGCqDowQ</t>
  </si>
  <si>
    <t>I'm a dad now</t>
  </si>
  <si>
    <t>2023-08-11T11:58:41Z</t>
  </si>
  <si>
    <t>tLgmrUyfcd4</t>
  </si>
  <si>
    <t>I Made A Street Lamp... And No One Noticed</t>
  </si>
  <si>
    <t>2023-06-30T17:00:30Z</t>
  </si>
  <si>
    <t>6vOBDRnH7nY</t>
  </si>
  <si>
    <t>Saying bye for a while now</t>
  </si>
  <si>
    <t>2023-06-29T17:00:04Z</t>
  </si>
  <si>
    <t>peloHl5sb4I</t>
  </si>
  <si>
    <t>1 Year Japan Review (0 - 10) 👏👏</t>
  </si>
  <si>
    <t>2023-06-15T17:00:25Z</t>
  </si>
  <si>
    <t>TOUlWgoILsQ</t>
  </si>
  <si>
    <t>I got hacked, then Banned</t>
  </si>
  <si>
    <t>2023-05-25T17:15:02Z</t>
  </si>
  <si>
    <t>WBniggluAe8</t>
  </si>
  <si>
    <t>I Tried Making AI Video... Accidentally made Nightmares!!</t>
  </si>
  <si>
    <t>2023-05-14T16:08:26Z</t>
  </si>
  <si>
    <t>IBTM0W1kQ5o</t>
  </si>
  <si>
    <t>Think it's time we did a gender reveal</t>
  </si>
  <si>
    <t>2023-05-05T14:59:09Z</t>
  </si>
  <si>
    <t>wycmfVWKWlw</t>
  </si>
  <si>
    <t>Only 99.9% Can SOLVE this - Brain It On</t>
  </si>
  <si>
    <t>2023-04-29T00:42:11Z</t>
  </si>
  <si>
    <t>ih5SInZ93k4</t>
  </si>
  <si>
    <t>Try Not To Laugh Ț̴̈́r̷̹͐y̸̪͝ ̴̳̔Ņ̴͌o̴̹̕t̴̪͌ ̴̼͘T̶̠͝o̸͔̅ ̷̘̽L̶͌ͅâ̶̦u̴͓͊g̵̫̍h̵̭͊!̸̯̕</t>
  </si>
  <si>
    <t>2023-04-16T17:30:04Z</t>
  </si>
  <si>
    <t>mNHgVZPlh5g</t>
  </si>
  <si>
    <t>I apologize in advance for this...</t>
  </si>
  <si>
    <t>2023-03-31T22:46:42Z</t>
  </si>
  <si>
    <t>mCV44C5rQ2M</t>
  </si>
  <si>
    <t>Being followed by fans.</t>
  </si>
  <si>
    <t>2023-03-28T17:00:32Z</t>
  </si>
  <si>
    <t>XdwaASKJGxo</t>
  </si>
  <si>
    <t>Trying Out Every Japanese Candy! 🍬 (ft. @TheAnimeMan)</t>
  </si>
  <si>
    <t>2023-03-14T16:00:30Z</t>
  </si>
  <si>
    <t>FJdb364vycg</t>
  </si>
  <si>
    <t>I'm not allowed in...</t>
  </si>
  <si>
    <t>2023-03-12T17:00:09Z</t>
  </si>
  <si>
    <t>BEXqDQ6X5hM</t>
  </si>
  <si>
    <t>1 000 000 $ Motor Home.</t>
  </si>
  <si>
    <t>2023-03-10T18:00:08Z</t>
  </si>
  <si>
    <t>8w2dp39NSsM</t>
  </si>
  <si>
    <t>Escaping to Japan's Secret Paradise   *Okinawa*</t>
  </si>
  <si>
    <t>2023-02-25T17:15:00Z</t>
  </si>
  <si>
    <t>UoNAmRwf5qk</t>
  </si>
  <si>
    <t>Kids are very dumb.</t>
  </si>
  <si>
    <t>2023-02-24T14:45:03Z</t>
  </si>
  <si>
    <t>DEgt25yYidY</t>
  </si>
  <si>
    <t>Gordon Ramsey VS Woman in COMPLETE denial</t>
  </si>
  <si>
    <t>2023-02-15T01:35:11Z</t>
  </si>
  <si>
    <t>NQslXbsjVSM</t>
  </si>
  <si>
    <t>This video is generated by AI</t>
  </si>
  <si>
    <t>2023-02-11T17:00:12Z</t>
  </si>
  <si>
    <t>1yraW3e8gRk</t>
  </si>
  <si>
    <t>We're having a baby!</t>
  </si>
  <si>
    <t>2023-02-05T11:00:01Z</t>
  </si>
  <si>
    <t>QRALuk2kq0I</t>
  </si>
  <si>
    <t>We made history</t>
  </si>
  <si>
    <t>2023-01-27T17:00:23Z</t>
  </si>
  <si>
    <t>HJABwePm8RE</t>
  </si>
  <si>
    <t>Watching Sumo Live Was Something Else..</t>
  </si>
  <si>
    <t>2023-01-22T17:15:00Z</t>
  </si>
  <si>
    <t>KeeeLsAa30M</t>
  </si>
  <si>
    <t>$39,000,000 Minecraft House..</t>
  </si>
  <si>
    <t>2023-01-17T17:45:00Z</t>
  </si>
  <si>
    <t>Q74GbFYfBSk</t>
  </si>
  <si>
    <t>Gordon Ramsey Vs. Karen Chef</t>
  </si>
  <si>
    <t>2023-01-14T16:45:02Z</t>
  </si>
  <si>
    <t>EOWP5Y7eErE</t>
  </si>
  <si>
    <t>Saying goodbye is hard..</t>
  </si>
  <si>
    <t>2023-01-01T16:45:00Z</t>
  </si>
  <si>
    <t>8ch5LLc1z7s</t>
  </si>
  <si>
    <t>This illegal Swedish tradition is insane...</t>
  </si>
  <si>
    <t>2022-12-28T16:15:00Z</t>
  </si>
  <si>
    <t>7tB4jwvvuhQ</t>
  </si>
  <si>
    <t>My 12 Things I Can't Live Without.</t>
  </si>
  <si>
    <t>2022-12-26T17:00:08Z</t>
  </si>
  <si>
    <t>psHriqExm6U</t>
  </si>
  <si>
    <t>Lot of big changes lately..</t>
  </si>
  <si>
    <t>2022-12-23T17:00:29Z</t>
  </si>
  <si>
    <t>7yyjFudHYuw</t>
  </si>
  <si>
    <t>Why I deleted the subreddit</t>
  </si>
  <si>
    <t>2022-12-16T16:00:07Z</t>
  </si>
  <si>
    <t>vHtqsuA8WJ4</t>
  </si>
  <si>
    <t>Mr Beast passed me in s ubs..</t>
  </si>
  <si>
    <t>2022-12-12T16:00:21Z</t>
  </si>
  <si>
    <t>tlNBB0jdL3w</t>
  </si>
  <si>
    <t>Rating Liver Kings Apology</t>
  </si>
  <si>
    <t>2022-12-04T16:15:03Z</t>
  </si>
  <si>
    <t>wjPIcTU3AAM</t>
  </si>
  <si>
    <t>"My mom fakes cancer"</t>
  </si>
  <si>
    <t>2022-12-02T14:45:06Z</t>
  </si>
  <si>
    <t>djr8j-4fS3A</t>
  </si>
  <si>
    <t>Twitter Level Predator Exposed</t>
  </si>
  <si>
    <t>2022-11-23T17:18:37Z</t>
  </si>
  <si>
    <t>X98VPQCE_WI</t>
  </si>
  <si>
    <t>Gordon Ramsey vs Fake Italian..</t>
  </si>
  <si>
    <t>2022-11-18T14:45:02Z</t>
  </si>
  <si>
    <t>W27TjYZhytw</t>
  </si>
  <si>
    <t>Twins wants to be Pregnant (At the same time...)</t>
  </si>
  <si>
    <t>2022-11-15T13:00:32Z</t>
  </si>
  <si>
    <t>eIbqhi5Ikq8</t>
  </si>
  <si>
    <t>I Spent 12 Hours at a Japanese Arcade, It was weird. (Collab w/ @PewDiePie )</t>
  </si>
  <si>
    <t>2022-11-09T11:35:29Z</t>
  </si>
  <si>
    <t>s0d-AFtXtkM</t>
  </si>
  <si>
    <t>Dr Phil destroys Gamer boy</t>
  </si>
  <si>
    <t>2022-11-05T12:33:08Z</t>
  </si>
  <si>
    <t>8XR9OzAeDqQ</t>
  </si>
  <si>
    <t>too big waves for me..</t>
  </si>
  <si>
    <t>2022-10-31T11:00:05Z</t>
  </si>
  <si>
    <t>LzCA5zHayyk</t>
  </si>
  <si>
    <t>She fell for it!</t>
  </si>
  <si>
    <t>2022-10-24T20:25:38Z</t>
  </si>
  <si>
    <t>UhjjjqmGAkI</t>
  </si>
  <si>
    <t>Does this mean Im cursed now?</t>
  </si>
  <si>
    <t>2022-10-17T12:45:01Z</t>
  </si>
  <si>
    <t>cLFJjMokld8</t>
  </si>
  <si>
    <t>I took my car off road ... (Oops)</t>
  </si>
  <si>
    <t>2022-10-15T13:10:55Z</t>
  </si>
  <si>
    <t>vwfQq9IA8TA</t>
  </si>
  <si>
    <t>I bought every single Gacha Pod.... (Collab with @PewDiePie )</t>
  </si>
  <si>
    <t>2022-10-07T13:46:07Z</t>
  </si>
  <si>
    <t>P8XP4oamvzk</t>
  </si>
  <si>
    <t>Are we smarter than A Fifth Grader? (Collab with @PewDiePie)</t>
  </si>
  <si>
    <t>2022-10-04T15:03:44Z</t>
  </si>
  <si>
    <t>sIw9GwePGKg</t>
  </si>
  <si>
    <t>My Dog was invited by The Governor of Japan (Gunma)</t>
  </si>
  <si>
    <t>2022-09-30T14:31:12Z</t>
  </si>
  <si>
    <t>KASLwYxrILs</t>
  </si>
  <si>
    <t>You Laugh You Spin the Wheel of PAIN</t>
  </si>
  <si>
    <t>2022-09-23T19:02:24Z</t>
  </si>
  <si>
    <t>DYdrFALAlZQ</t>
  </si>
  <si>
    <t>This Dating show will make you MAD.</t>
  </si>
  <si>
    <t>2022-09-21T14:00:07Z</t>
  </si>
  <si>
    <t>JDsuYy1qsiA</t>
  </si>
  <si>
    <t>Our house was attacked...</t>
  </si>
  <si>
    <t>2022-09-19T12:58:13Z</t>
  </si>
  <si>
    <t>BQ35bZAPUnk</t>
  </si>
  <si>
    <t>Why I didnt quit</t>
  </si>
  <si>
    <t>2022-09-14T11:37:26Z</t>
  </si>
  <si>
    <t>fJ2_06vAZkw</t>
  </si>
  <si>
    <t>Felix is scared of bugs.. (collab with @PewDiePie )</t>
  </si>
  <si>
    <t>2022-09-04T14:26:01Z</t>
  </si>
  <si>
    <t>qQiwgEQNfQs</t>
  </si>
  <si>
    <t>I try EVERY Japanese Snack..(Collab with @PewDiePie )</t>
  </si>
  <si>
    <t>2022-08-31T18:36:07Z</t>
  </si>
  <si>
    <t>p1HbuJ9HYOY</t>
  </si>
  <si>
    <t>Japanese Karaoke, but I cant sing..</t>
  </si>
  <si>
    <t>2022-08-26T12:58:18Z</t>
  </si>
  <si>
    <t>T_XxiQdCH_s</t>
  </si>
  <si>
    <t>Stream Fails (Top 1)</t>
  </si>
  <si>
    <t>2022-08-21T13:51:44Z</t>
  </si>
  <si>
    <t>MgZjlKiQxCw</t>
  </si>
  <si>
    <t>We were warned not to go</t>
  </si>
  <si>
    <t>2022-08-16T14:15:02Z</t>
  </si>
  <si>
    <t>j0XyUEQYIdc</t>
  </si>
  <si>
    <t>filming outside during my first typhoon for no good reason</t>
  </si>
  <si>
    <t>2022-08-13T14:15:05Z</t>
  </si>
  <si>
    <t>aIciGms2y6A</t>
  </si>
  <si>
    <t>you guys noticed something..</t>
  </si>
  <si>
    <t>2022-08-05T15:18:13Z</t>
  </si>
  <si>
    <t>peSOesOoxS4</t>
  </si>
  <si>
    <t>Proving that magic is REAL!</t>
  </si>
  <si>
    <t>2022-08-01T08:22:30Z</t>
  </si>
  <si>
    <t>n2nTd1VbsLM</t>
  </si>
  <si>
    <t>My Dog Cringes at TikToks..</t>
  </si>
  <si>
    <t>2022-07-26T16:45:22Z</t>
  </si>
  <si>
    <t>yxbO9K7lKbQ</t>
  </si>
  <si>
    <t>A dream of mine came true today</t>
  </si>
  <si>
    <t>2022-07-20T13:00:39Z</t>
  </si>
  <si>
    <t>uakp2SrXOwQ</t>
  </si>
  <si>
    <t>Kid wants $1500 Allowance, to Buy Gucci Shoes....</t>
  </si>
  <si>
    <t>2022-07-19T09:15:06Z</t>
  </si>
  <si>
    <t>ktxBUqy6PT4</t>
  </si>
  <si>
    <t>No YouTuber dares to box me after seeing this</t>
  </si>
  <si>
    <t>2022-07-11T08:31:00Z</t>
  </si>
  <si>
    <t>P1IgBdnBeQM</t>
  </si>
  <si>
    <t>Old YouTube Was Kinda Crazy...</t>
  </si>
  <si>
    <t>2022-07-09T13:15:00Z</t>
  </si>
  <si>
    <t>RF9SULnbMNc</t>
  </si>
  <si>
    <t>This was hard..</t>
  </si>
  <si>
    <t>2022-07-03T12:07:46Z</t>
  </si>
  <si>
    <t>vDZHCYCd5Bo</t>
  </si>
  <si>
    <t>My 7 Billion $ Setup Tour</t>
  </si>
  <si>
    <t>2022-07-01T00:06:28Z</t>
  </si>
  <si>
    <t>givTOOOPEs4</t>
  </si>
  <si>
    <t>Reacting to the greatest cringe of all time..</t>
  </si>
  <si>
    <t>2022-06-28T05:21:49Z</t>
  </si>
  <si>
    <t>njHcxwwqxL8</t>
  </si>
  <si>
    <t>We went to Italy...?</t>
  </si>
  <si>
    <t>2022-06-24T23:49:00Z</t>
  </si>
  <si>
    <t>cmOZNxxGrJU</t>
  </si>
  <si>
    <t>Something is seriously wrong with tiktoks (ylyl)</t>
  </si>
  <si>
    <t>2022-06-23T13:15:02Z</t>
  </si>
  <si>
    <t>XQ93AQ2uCBM</t>
  </si>
  <si>
    <t>I accidentally got 2 cars..</t>
  </si>
  <si>
    <t>2022-06-15T09:51:20Z</t>
  </si>
  <si>
    <t>HNChn7eK1tM</t>
  </si>
  <si>
    <t>Jaiden Smith Did it Again..</t>
  </si>
  <si>
    <t>2022-06-12T08:00:04Z</t>
  </si>
  <si>
    <t>HcrGMcJJWfc</t>
  </si>
  <si>
    <t>New Member to the Family!</t>
  </si>
  <si>
    <t>2022-06-08T22:35:09Z</t>
  </si>
  <si>
    <t>D0-IrQY4ix8</t>
  </si>
  <si>
    <t>Why Japan?</t>
  </si>
  <si>
    <t>2022-06-06T12:31:29Z</t>
  </si>
  <si>
    <t>aXVr_zZqGKg</t>
  </si>
  <si>
    <t>We Failed</t>
  </si>
  <si>
    <t>2022-05-31T10:31:04Z</t>
  </si>
  <si>
    <t>adspgeE7ndU</t>
  </si>
  <si>
    <t>I JUST MORBED</t>
  </si>
  <si>
    <t>2022-05-26T09:42:16Z</t>
  </si>
  <si>
    <t>yNsIh0ciYiI</t>
  </si>
  <si>
    <t>This show is PEAK Entertainment!</t>
  </si>
  <si>
    <t>2022-05-23T07:30:13Z</t>
  </si>
  <si>
    <t>mdNEZlLkPA4</t>
  </si>
  <si>
    <t>First time driving in Japan...</t>
  </si>
  <si>
    <t>2022-05-21T09:15:02Z</t>
  </si>
  <si>
    <t>R55ACTWHvBY</t>
  </si>
  <si>
    <t>cant believe markiplier did this to me</t>
  </si>
  <si>
    <t>2022-05-18T22:46:23Z</t>
  </si>
  <si>
    <t>ZBgJJPZjg2k</t>
  </si>
  <si>
    <t>whats next?</t>
  </si>
  <si>
    <t>2022-05-15T08:11:54Z</t>
  </si>
  <si>
    <t>N2N5ZwX6U20</t>
  </si>
  <si>
    <t>It finally happened!</t>
  </si>
  <si>
    <t>2022-05-09T22:56:04Z</t>
  </si>
  <si>
    <t>F-yEoHL7MYY</t>
  </si>
  <si>
    <t>I t̶r̶i̶e̶d̶ ̶t̶o̶ beat Elden Ring Without Dying..</t>
  </si>
  <si>
    <t>2022-04-30T16:40:18Z</t>
  </si>
  <si>
    <t>Ahzrv1TQGHY</t>
  </si>
  <si>
    <t>Caught in 4K..</t>
  </si>
  <si>
    <t>2022-04-24T16:11:07Z</t>
  </si>
  <si>
    <t>Td4Pd_9oyn8</t>
  </si>
  <si>
    <t>I went to a rave (it didnt go well)</t>
  </si>
  <si>
    <t>2022-04-21T17:08:23Z</t>
  </si>
  <si>
    <t>YM3uJ6RtBZM</t>
  </si>
  <si>
    <t>I can't believe this is real..</t>
  </si>
  <si>
    <t>2022-04-15T17:34:51Z</t>
  </si>
  <si>
    <t>pqh4LfPeCYs</t>
  </si>
  <si>
    <t>I Try Every Massager on Wish...</t>
  </si>
  <si>
    <t>2022-04-11T16:40:44Z</t>
  </si>
  <si>
    <t>fUWn6BYrYK8</t>
  </si>
  <si>
    <t>She Lied about Her Age .. And Size (90 day Fiance)</t>
  </si>
  <si>
    <t>2022-04-05T16:32:35Z</t>
  </si>
  <si>
    <t>RF78s4nphEY</t>
  </si>
  <si>
    <t>You Blaff u Bloof (success)</t>
  </si>
  <si>
    <t>2022-03-31T16:45:00Z</t>
  </si>
  <si>
    <t>-fWXLAkHmxA</t>
  </si>
  <si>
    <t>Hitman VR is Hilariously Bad..</t>
  </si>
  <si>
    <t>2022-03-29T18:24:38Z</t>
  </si>
  <si>
    <t>JIz0-6_mPIE</t>
  </si>
  <si>
    <t>Gender Reveals Are Something Else..</t>
  </si>
  <si>
    <t>2022-03-24T17:30:02Z</t>
  </si>
  <si>
    <t>73XDeGdl94w</t>
  </si>
  <si>
    <t>My Workout (10% Muscle increase)</t>
  </si>
  <si>
    <t>2022-03-18T19:08:34Z</t>
  </si>
  <si>
    <t>JpnDfDPinPk</t>
  </si>
  <si>
    <t>This was not what I expected..</t>
  </si>
  <si>
    <t>2022-03-12T17:15:01Z</t>
  </si>
  <si>
    <t>FttjE-tCZtI</t>
  </si>
  <si>
    <t>Be nice to me</t>
  </si>
  <si>
    <t>2022-03-10T18:55:45Z</t>
  </si>
  <si>
    <t>5gWdiDI8tp4</t>
  </si>
  <si>
    <t>I Found Wardens Hidden Base and Loot in Minecraft</t>
  </si>
  <si>
    <t>2022-03-06T18:15:51Z</t>
  </si>
  <si>
    <t>oPPO_wqlG9Q</t>
  </si>
  <si>
    <t>I bought forbidden Wish Items (Cops Came To My House Big Oopsie)</t>
  </si>
  <si>
    <t>2022-03-02T17:17:42Z</t>
  </si>
  <si>
    <t>2osdz9Z5JKY</t>
  </si>
  <si>
    <t>Minecraft Warden Update is a NIGHTMARE!</t>
  </si>
  <si>
    <t>2022-02-26T17:30:01Z</t>
  </si>
  <si>
    <t>PV4NGwn_xdI</t>
  </si>
  <si>
    <t>Elden Ring #1 - 0 DEATH PLAYTHROUGH</t>
  </si>
  <si>
    <t>2022-02-24T15:00:10Z</t>
  </si>
  <si>
    <t>MBEKENv2vqg</t>
  </si>
  <si>
    <t>dog vlog</t>
  </si>
  <si>
    <t>2022-02-19T18:13:53Z</t>
  </si>
  <si>
    <t>l7ddWtP1DW8</t>
  </si>
  <si>
    <t>I took the bloat pill..</t>
  </si>
  <si>
    <t>2022-02-16T16:57:22Z</t>
  </si>
  <si>
    <t>pTdjcLlElD4</t>
  </si>
  <si>
    <t>Try Not To Laugh VS Jacksepticeye!</t>
  </si>
  <si>
    <t>2022-02-13T17:00:36Z</t>
  </si>
  <si>
    <t>E1zLaK1TH54</t>
  </si>
  <si>
    <t>VR Has gone TOO FAR!</t>
  </si>
  <si>
    <t>2022-02-11T18:18:45Z</t>
  </si>
  <si>
    <t>kWigaAi0kdE</t>
  </si>
  <si>
    <t>My 6 Billion $ Setup Tour</t>
  </si>
  <si>
    <t>2022-02-08T16:46:20Z</t>
  </si>
  <si>
    <t>6t0CoN6cyWk</t>
  </si>
  <si>
    <t>I Eat Forbidden Bananas..🍌🍖🍌🍖🍌</t>
  </si>
  <si>
    <t>2022-02-06T15:43:19Z</t>
  </si>
  <si>
    <t>V-hwrOcuXOM</t>
  </si>
  <si>
    <t>Accidentally bought illegal items of Wish</t>
  </si>
  <si>
    <t>2022-02-04T16:41:34Z</t>
  </si>
  <si>
    <t>puZ3poLO9GA</t>
  </si>
  <si>
    <t>Guess who's back?</t>
  </si>
  <si>
    <t>2022-02-02T16:16:14Z</t>
  </si>
  <si>
    <t>zkw9aI1-feM</t>
  </si>
  <si>
    <t>every fitness celebrity influencer is lying to you..</t>
  </si>
  <si>
    <t>2021-12-31T19:45:00Z</t>
  </si>
  <si>
    <t>LsWwhmy8wf0</t>
  </si>
  <si>
    <t>My Minecraft House Tour - Minecraft Hardcore #24</t>
  </si>
  <si>
    <t>2021-12-30T17:10:15Z</t>
  </si>
  <si>
    <t>aIqAHYuFdSw</t>
  </si>
  <si>
    <t>Why am I still here.. (Japan Update)</t>
  </si>
  <si>
    <t>2021-12-29T17:57:18Z</t>
  </si>
  <si>
    <t>zLpVBsvcrAg</t>
  </si>
  <si>
    <t>Tik Tok Survival Training..........................................................................😲</t>
  </si>
  <si>
    <t>2021-12-27T18:22:50Z</t>
  </si>
  <si>
    <t>D0fte0DEOHs</t>
  </si>
  <si>
    <t>Spiderman fans please explain yourselves..  #97[REDDIT REVIEW] /r/blursedimages</t>
  </si>
  <si>
    <t>2021-12-26T20:18:29Z</t>
  </si>
  <si>
    <t>nDZZPF9_zwU</t>
  </si>
  <si>
    <t>Next Gen Graphics Is Kinda Nuts..</t>
  </si>
  <si>
    <t>2021-12-22T19:19:27Z</t>
  </si>
  <si>
    <t>qzRIc14LC9U</t>
  </si>
  <si>
    <t>You Laugh You Win A BILLION $$$ (maybe, its not impossible that it would happen) YLYL#80</t>
  </si>
  <si>
    <t>2021-12-21T18:12:21Z</t>
  </si>
  <si>
    <t>_Zq83YORkOI</t>
  </si>
  <si>
    <t>Five Nights at Freddy's Security Breach Gameplay Markiplier Reaction 4k 8k HD Trailer Secret Full</t>
  </si>
  <si>
    <t>2021-12-20T18:38:53Z</t>
  </si>
  <si>
    <t>ARC6mZTmLOs</t>
  </si>
  <si>
    <t>I Found The New Forbidden Minecraft Block.. - - Minecraft Hardcore #23</t>
  </si>
  <si>
    <t>2021-12-17T17:30:02Z</t>
  </si>
  <si>
    <t>S1QZrGGy7uY</t>
  </si>
  <si>
    <t>NFT Has hit a new low...</t>
  </si>
  <si>
    <t>2021-12-16T17:56:51Z</t>
  </si>
  <si>
    <t>i-3yZu0EHAA</t>
  </si>
  <si>
    <t>Gary Vee is a Wee Bit Cringe</t>
  </si>
  <si>
    <t>2021-12-15T20:35:36Z</t>
  </si>
  <si>
    <t>Iq8UqxCaeQY</t>
  </si>
  <si>
    <t>I Fell Into The New Minecraft Lush Cave! - Minecraft Hardcore #22</t>
  </si>
  <si>
    <t>2021-12-14T17:28:20Z</t>
  </si>
  <si>
    <t>kO5OsJHTiSU</t>
  </si>
  <si>
    <t>Bad Design Deserves To Go To Jail. #96[REDDIT REVIEW] /r/baddesign</t>
  </si>
  <si>
    <t>2021-12-13T16:52:19Z</t>
  </si>
  <si>
    <t>15Mcob5_tyU</t>
  </si>
  <si>
    <t>They figured out atoms existed thousands of years ago but we are still depressed lmao🙌 BOOK REVIEW 🙌</t>
  </si>
  <si>
    <t>2021-12-10T17:27:48Z</t>
  </si>
  <si>
    <t>xAO7bQyAf0U</t>
  </si>
  <si>
    <t>Moldrise (FULL GAME )</t>
  </si>
  <si>
    <t>2026-08-23T16:02:11Z</t>
  </si>
  <si>
    <t>UCYzPXprvl5Y-Sf0g4vX-m6g</t>
  </si>
  <si>
    <t>jacksepticeye</t>
  </si>
  <si>
    <t>XQJ4k7F3Y60</t>
  </si>
  <si>
    <t>Old Gods Lurk Below Us...</t>
  </si>
  <si>
    <t>2026-08-20T16:00:05Z</t>
  </si>
  <si>
    <t>GpQz4aY_mQ4</t>
  </si>
  <si>
    <t>EXTREMELY SATISFYING | Restory</t>
  </si>
  <si>
    <t>2026-08-17T17:07:34Z</t>
  </si>
  <si>
    <t>muLPtTLyI5Q</t>
  </si>
  <si>
    <t>Terrifying Photography Anomaly Game | Photomaly</t>
  </si>
  <si>
    <t>2026-08-15T17:03:13Z</t>
  </si>
  <si>
    <t>Eeq3WqCgrek</t>
  </si>
  <si>
    <t>Big Walk</t>
  </si>
  <si>
    <t>2026-08-13T16:00:30Z</t>
  </si>
  <si>
    <t>h0j37lzFe0g</t>
  </si>
  <si>
    <t>What happened to Sue...</t>
  </si>
  <si>
    <t>2026-07-29T16:00:11Z</t>
  </si>
  <si>
    <t>mUhhSO_9Cto</t>
  </si>
  <si>
    <t>Important</t>
  </si>
  <si>
    <t>2026-07-22T16:00:16Z</t>
  </si>
  <si>
    <t>Ynq62nouiQ4</t>
  </si>
  <si>
    <t>THIS GAME P***ED ME OFF | Trees Hate You</t>
  </si>
  <si>
    <t>2026-07-16T16:00:09Z</t>
  </si>
  <si>
    <t>zexYBVI_jvg</t>
  </si>
  <si>
    <t>Don't let him find you...</t>
  </si>
  <si>
    <t>2026-07-09T16:00:26Z</t>
  </si>
  <si>
    <t>XNatAfADSpM</t>
  </si>
  <si>
    <t>Captured 2 (FULL GAME)</t>
  </si>
  <si>
    <t>2026-07-02T17:12:40Z</t>
  </si>
  <si>
    <t>UzXmTNxuP64</t>
  </si>
  <si>
    <t>FEED THE HOLE</t>
  </si>
  <si>
    <t>2026-06-26T16:22:34Z</t>
  </si>
  <si>
    <t>bxLxy6NcgAo</t>
  </si>
  <si>
    <t>Best Horror Game of 2026 | MOLE</t>
  </si>
  <si>
    <t>2026-06-20T16:58:00Z</t>
  </si>
  <si>
    <t>m9AL7zI5T80</t>
  </si>
  <si>
    <t>Fears to Fathom - Scratch Creek (FULL GAME)</t>
  </si>
  <si>
    <t>2026-06-14T16:55:04Z</t>
  </si>
  <si>
    <t>b6apUuJHU2I</t>
  </si>
  <si>
    <t>Meeting Animals I've Never Seen Before</t>
  </si>
  <si>
    <t>2026-05-29T20:51:12Z</t>
  </si>
  <si>
    <t>EeT-p3SZ5ls</t>
  </si>
  <si>
    <t>I'm in 007 First Light</t>
  </si>
  <si>
    <t>2026-05-26T20:32:04Z</t>
  </si>
  <si>
    <t>W8HbJUvdo4A</t>
  </si>
  <si>
    <t>WHAT DOES IT ALL MEAN | Subnautica 2 - Part 5</t>
  </si>
  <si>
    <t>2026-05-25T16:24:00Z</t>
  </si>
  <si>
    <t>LPgLQU31_bw</t>
  </si>
  <si>
    <t>THIS IS TERRIFYING | Subnautica 2 - Part 4</t>
  </si>
  <si>
    <t>2026-05-17T16:07:11Z</t>
  </si>
  <si>
    <t>YJZWGGk0qvs</t>
  </si>
  <si>
    <t>TIME TO EXPLORE | Subnautica 2 - Part 3</t>
  </si>
  <si>
    <t>2026-05-16T16:00:45Z</t>
  </si>
  <si>
    <t>mAp9n2Od8cg</t>
  </si>
  <si>
    <t>IT KEEPS GETTING BETTER | Subnautica 2 - Part 2</t>
  </si>
  <si>
    <t>2026-05-15T16:01:15Z</t>
  </si>
  <si>
    <t>fPmrzygqO8U</t>
  </si>
  <si>
    <t>IT'S BEAUTIFUL | Subnautica 2 - Part 1</t>
  </si>
  <si>
    <t>2026-05-14T15:01:09Z</t>
  </si>
  <si>
    <t>eOwM64UVaGM</t>
  </si>
  <si>
    <t>What a mess…</t>
  </si>
  <si>
    <t>2026-05-12T16:12:05Z</t>
  </si>
  <si>
    <t>neQmCtDJzkw</t>
  </si>
  <si>
    <t>Crime Scene Cleaner</t>
  </si>
  <si>
    <t>2026-05-09T17:03:06Z</t>
  </si>
  <si>
    <t>vzPB8jR2Gr8</t>
  </si>
  <si>
    <t>I Hired Someone</t>
  </si>
  <si>
    <t>2026-05-07T16:01:37Z</t>
  </si>
  <si>
    <t>DEy6r9aDIoA</t>
  </si>
  <si>
    <t>Don't Play This Game...</t>
  </si>
  <si>
    <t>2026-05-05T16:00:20Z</t>
  </si>
  <si>
    <t>jvFf08JC7y8</t>
  </si>
  <si>
    <t>I Own A Movie Rental Store</t>
  </si>
  <si>
    <t>2026-05-02T16:18:00Z</t>
  </si>
  <si>
    <t>XCKwYhgT1AM</t>
  </si>
  <si>
    <t>A Game About Picking Up Leaves</t>
  </si>
  <si>
    <t>2026-04-29T16:01:02Z</t>
  </si>
  <si>
    <t>nRgyggAsta4</t>
  </si>
  <si>
    <t>I'm Making A Bloodborne Movie (Not Clickbait)</t>
  </si>
  <si>
    <t>2026-04-14T16:03:19Z</t>
  </si>
  <si>
    <t>K7mGz8mr-xU</t>
  </si>
  <si>
    <t>3 Scary Games</t>
  </si>
  <si>
    <t>2026-03-27T17:27:25Z</t>
  </si>
  <si>
    <t>7DQy20KPu-4</t>
  </si>
  <si>
    <t>A game where you find creepy ghosts in old photos</t>
  </si>
  <si>
    <t>2026-03-18T17:31:38Z</t>
  </si>
  <si>
    <t>z04wsaePUOc</t>
  </si>
  <si>
    <t>The Tall Man Tapes</t>
  </si>
  <si>
    <t>2026-03-17T17:01:31Z</t>
  </si>
  <si>
    <t>vhTkJCloSIs</t>
  </si>
  <si>
    <t>There's Someone In My House...</t>
  </si>
  <si>
    <t>2026-03-14T17:01:16Z</t>
  </si>
  <si>
    <t>SOTAHavMQ8Y</t>
  </si>
  <si>
    <t>Youtube has a problem</t>
  </si>
  <si>
    <t>2026-03-10T17:00:43Z</t>
  </si>
  <si>
    <t>S9MZ-4FQhws</t>
  </si>
  <si>
    <t>Absolute Cinema...</t>
  </si>
  <si>
    <t>2026-03-08T17:00:39Z</t>
  </si>
  <si>
    <t>hKxPSW2KWs8</t>
  </si>
  <si>
    <t>WHAT AM I WATCHING...</t>
  </si>
  <si>
    <t>2026-03-07T17:00:56Z</t>
  </si>
  <si>
    <t>ojpJOVUi2c8</t>
  </si>
  <si>
    <t>Don't go into town alone...</t>
  </si>
  <si>
    <t>2026-03-06T17:01:25Z</t>
  </si>
  <si>
    <t>Pj3WI5kL9aM</t>
  </si>
  <si>
    <t>Resident Evil 9 Requiem - Part 5 (END)</t>
  </si>
  <si>
    <t>2026-03-02T17:00:37Z</t>
  </si>
  <si>
    <t>B2jlIWMjV1g</t>
  </si>
  <si>
    <t>Resident Evil 9 Requiem - Part 4</t>
  </si>
  <si>
    <t>2026-03-01T17:00:24Z</t>
  </si>
  <si>
    <t>-xBOeQ3kIT4</t>
  </si>
  <si>
    <t>Resident Evil 9 Requiem - Part 3</t>
  </si>
  <si>
    <t>2026-02-28T17:00:00Z</t>
  </si>
  <si>
    <t>fyevxMJ65v0</t>
  </si>
  <si>
    <t>Resident Evil 9 Requiem - Part 2</t>
  </si>
  <si>
    <t>2026-02-27T17:24:21Z</t>
  </si>
  <si>
    <t>FmKEQVXodVo</t>
  </si>
  <si>
    <t>Resident Evil 9 Requiem - Part 1</t>
  </si>
  <si>
    <t>2026-02-26T15:00:24Z</t>
  </si>
  <si>
    <t>Lpb7nNCm1Qw</t>
  </si>
  <si>
    <t>Poppy Playtime Chapter 5 (FULL GAME)</t>
  </si>
  <si>
    <t>2026-02-20T17:00:38Z</t>
  </si>
  <si>
    <t>TYJaphDmy4E</t>
  </si>
  <si>
    <t>Hellmart (FULL GAME)</t>
  </si>
  <si>
    <t>2026-02-18T17:20:01Z</t>
  </si>
  <si>
    <t>Y4AHrgdhLSI</t>
  </si>
  <si>
    <t>WAY TOO FUNNY | MyVoice Zoo</t>
  </si>
  <si>
    <t>2026-02-15T17:00:44Z</t>
  </si>
  <si>
    <t>OXhzkExTxvg</t>
  </si>
  <si>
    <t>Reanimal (FULL GAME)</t>
  </si>
  <si>
    <t>2026-02-13T16:00:40Z</t>
  </si>
  <si>
    <t>OOS7sIrlJhU</t>
  </si>
  <si>
    <t>THE BEST I'VE EVER PLAYED | Quarantine Zone - Part 5</t>
  </si>
  <si>
    <t>2026-02-07T17:00:37Z</t>
  </si>
  <si>
    <t>wf9-V6d4uy8</t>
  </si>
  <si>
    <t>I WON'T MAKE A SINGLE MISTAKE IN THIS EPISODE  | Quarantine Zone - Part 4</t>
  </si>
  <si>
    <t>2026-01-29T17:01:29Z</t>
  </si>
  <si>
    <t>480tBnzK1tI</t>
  </si>
  <si>
    <t>I Found Caseoh in Quarantine Zone  -  Part 3</t>
  </si>
  <si>
    <t>2026-01-26T17:00:11Z</t>
  </si>
  <si>
    <t>hePcr5K4xY4</t>
  </si>
  <si>
    <t>KILL IT WITH FIRE 2 w/ SPENCER</t>
  </si>
  <si>
    <t>2026-01-24T17:10:29Z</t>
  </si>
  <si>
    <t>sJ_VD7Lz2rU</t>
  </si>
  <si>
    <t>Quarantine Zone  - Part 2</t>
  </si>
  <si>
    <t>2026-01-23T18:05:01Z</t>
  </si>
  <si>
    <t>UXWwCYCPHIM</t>
  </si>
  <si>
    <t>Papers Please but Zombies (Quarantine Zone)</t>
  </si>
  <si>
    <t>2026-01-21T17:44:28Z</t>
  </si>
  <si>
    <t>A4cQwP2I-E8</t>
  </si>
  <si>
    <t>BrokenLore: UNFOLLOW (FULL GAME)</t>
  </si>
  <si>
    <t>2026-01-19T17:00:16Z</t>
  </si>
  <si>
    <t>2VGrOtI9B3I</t>
  </si>
  <si>
    <t>Lazaret (FULL GAME)</t>
  </si>
  <si>
    <t>2026-01-17T17:00:05Z</t>
  </si>
  <si>
    <t>hYX_lVhOT0s</t>
  </si>
  <si>
    <t>Face of Another</t>
  </si>
  <si>
    <t>2026-01-15T17:01:20Z</t>
  </si>
  <si>
    <t>06P19HnIJjs</t>
  </si>
  <si>
    <t>Working the night shift alone...</t>
  </si>
  <si>
    <t>2026-01-12T17:51:28Z</t>
  </si>
  <si>
    <t>r0XBzd2l2G8</t>
  </si>
  <si>
    <t>The saddest game I've ever played...</t>
  </si>
  <si>
    <t>2026-01-09T17:01:41Z</t>
  </si>
  <si>
    <t>E7gCMmUePSk</t>
  </si>
  <si>
    <t>This horror game looks like real life...</t>
  </si>
  <si>
    <t>2026-01-07T18:31:12Z</t>
  </si>
  <si>
    <t>rbSiFGNTDGU</t>
  </si>
  <si>
    <t>I am at my limit...</t>
  </si>
  <si>
    <t>2025-12-21T16:30:50Z</t>
  </si>
  <si>
    <t>xYiSxJL7Mpw</t>
  </si>
  <si>
    <t>Jacksepticeye does Punch Up voice lines</t>
  </si>
  <si>
    <t>2025-11-28T15:11:03Z</t>
  </si>
  <si>
    <t>_3IkaGoyGKQ</t>
  </si>
  <si>
    <t>THE BIG FINALE (Dispatch 7 &amp; 8)</t>
  </si>
  <si>
    <t>2025-11-12T21:04:26Z</t>
  </si>
  <si>
    <t>gbD6KIZTHuM</t>
  </si>
  <si>
    <t>Jacksepticeye reacts to his character in Dispatch</t>
  </si>
  <si>
    <t>2025-11-11T13:44:24Z</t>
  </si>
  <si>
    <t>8q6tDjxpajQ</t>
  </si>
  <si>
    <t>NO MORE SECRETS (Dispatch 5 &amp; 6)</t>
  </si>
  <si>
    <t>2025-11-05T17:00:13Z</t>
  </si>
  <si>
    <t>rQi8SmT6bb8</t>
  </si>
  <si>
    <t>They made this game in 4 DAYS?</t>
  </si>
  <si>
    <t>2025-10-31T17:01:30Z</t>
  </si>
  <si>
    <t>GRBSZb9TTkw</t>
  </si>
  <si>
    <t>THESE DECISIONS ARE CRAZY (Dispatch 3 &amp; 4)</t>
  </si>
  <si>
    <t>2025-10-29T17:52:54Z</t>
  </si>
  <si>
    <t>6L9y7rtZcYw</t>
  </si>
  <si>
    <t>Hellmart</t>
  </si>
  <si>
    <t>2025-10-25T16:57:44Z</t>
  </si>
  <si>
    <t>O4RIncLkR-c</t>
  </si>
  <si>
    <t>I'M IN THIS GAME... My Biggest Acting Role Yet (Dispatch 1 &amp; 2)</t>
  </si>
  <si>
    <t>2025-10-22T19:00:30Z</t>
  </si>
  <si>
    <t>OG3XKpswQdc</t>
  </si>
  <si>
    <t>One of the best games I've played this year...</t>
  </si>
  <si>
    <t>2025-10-18T16:00:45Z</t>
  </si>
  <si>
    <t>sycOI1hzGtQ</t>
  </si>
  <si>
    <t>Don't Go into This House Alone...</t>
  </si>
  <si>
    <t>2025-10-16T16:01:37Z</t>
  </si>
  <si>
    <t>aN-wS7a-RnE</t>
  </si>
  <si>
    <t>Little Nightmares 3 (FULL GAME)</t>
  </si>
  <si>
    <t>2025-10-14T16:00:03Z</t>
  </si>
  <si>
    <t>Cw7qZmouSoA</t>
  </si>
  <si>
    <t>Skate 4 is Absolutely Hilarious</t>
  </si>
  <si>
    <t>2025-09-19T16:09:47Z</t>
  </si>
  <si>
    <t>JCSMJk1vG6k</t>
  </si>
  <si>
    <t>Would You Hurt Him For Money?</t>
  </si>
  <si>
    <t>2025-09-17T17:17:18Z</t>
  </si>
  <si>
    <t>bSJBdtCfcVA</t>
  </si>
  <si>
    <t>Metal Gear Solid Delta (FULL GAME)</t>
  </si>
  <si>
    <t>2025-09-01T16:01:07Z</t>
  </si>
  <si>
    <t>Tvj3VQ70aPk</t>
  </si>
  <si>
    <t>EVERYONE IS STEALING - Supermarket Simulator - Part 3</t>
  </si>
  <si>
    <t>2025-08-17T16:00:46Z</t>
  </si>
  <si>
    <t>J_EkBxvFxLA</t>
  </si>
  <si>
    <t>Scariest game of 2025</t>
  </si>
  <si>
    <t>2025-08-12T16:00:34Z</t>
  </si>
  <si>
    <t>tnRxnL6z2GY</t>
  </si>
  <si>
    <t>MY EMPLOYEES HATE ME - Supermarket Simulator - Part 2</t>
  </si>
  <si>
    <t>2025-08-05T16:01:35Z</t>
  </si>
  <si>
    <t>wpHYFdzLQpA</t>
  </si>
  <si>
    <t>MY NEW ADDICTION - Supermarket Simulator - Part 1</t>
  </si>
  <si>
    <t>2025-08-03T16:01:32Z</t>
  </si>
  <si>
    <t>r3EwfWfP4uE</t>
  </si>
  <si>
    <t>NUGGET IS BACK | Kindergarten 3</t>
  </si>
  <si>
    <t>2025-07-30T16:41:05Z</t>
  </si>
  <si>
    <t>q2-QSs228lI</t>
  </si>
  <si>
    <t>The Evolution of Jacksepticeye</t>
  </si>
  <si>
    <t>2025-07-26T19:36:24Z</t>
  </si>
  <si>
    <t>rLYBSSoEMt0</t>
  </si>
  <si>
    <t>HOOPS!</t>
  </si>
  <si>
    <t>2025-07-11T14:54:59Z</t>
  </si>
  <si>
    <t>A2NQuOfkrzo</t>
  </si>
  <si>
    <t>Split the G</t>
  </si>
  <si>
    <t>2025-07-02T20:49:23Z</t>
  </si>
  <si>
    <t>rplNN4bls-U</t>
  </si>
  <si>
    <t>THIS ENDING IS WILD | Death Stranding 2 - END</t>
  </si>
  <si>
    <t>2025-06-30T16:01:22Z</t>
  </si>
  <si>
    <t>c1eBY8_D0k4</t>
  </si>
  <si>
    <t>THE TRUTH IS REVEALED | Death Stranding 2 - Part 7</t>
  </si>
  <si>
    <t>2025-06-29T16:00:58Z</t>
  </si>
  <si>
    <t>ApLdak32pnE</t>
  </si>
  <si>
    <t>WHO IS NEIL? | Death Stranding 2 - Part 6</t>
  </si>
  <si>
    <t>2025-06-28T21:44:22Z</t>
  </si>
  <si>
    <t>lsJpOBJd-NY</t>
  </si>
  <si>
    <t>THIS IS INSANE | Death Stranding 2 - Part 5</t>
  </si>
  <si>
    <t>2025-06-27T16:01:25Z</t>
  </si>
  <si>
    <t>c6sXr4Ls_Qk</t>
  </si>
  <si>
    <t>BEST CUTSCENE IN THE GAME | Death Stranding 2 - Part 4</t>
  </si>
  <si>
    <t>2025-06-26T16:01:04Z</t>
  </si>
  <si>
    <t>TR3-BCIIWQA</t>
  </si>
  <si>
    <t>HIGGS GRAND ENTRANCE  | Death Stranding 2 - Part 3</t>
  </si>
  <si>
    <t>2025-06-25T16:00:48Z</t>
  </si>
  <si>
    <t>2B_vOBb-ALA</t>
  </si>
  <si>
    <t>DON'T HURT MY BABY | Death Stranding 2 - Part 2</t>
  </si>
  <si>
    <t>2025-06-24T16:00:09Z</t>
  </si>
  <si>
    <t>lDlST1M33bU</t>
  </si>
  <si>
    <t>NORMAN'S BACK | Death Stranding 2 - Part 1</t>
  </si>
  <si>
    <t>2025-06-23T12:11:33Z</t>
  </si>
  <si>
    <t>xo1b8kcAx8Q</t>
  </si>
  <si>
    <t>The unbearable weight of massive talent</t>
  </si>
  <si>
    <t>2025-05-30T13:50:23Z</t>
  </si>
  <si>
    <t>X9dV2k8fchY</t>
  </si>
  <si>
    <t>IT'S GOOD TO BE BACK | GORN 2 (VR)</t>
  </si>
  <si>
    <t>2025-05-26T16:35:44Z</t>
  </si>
  <si>
    <t>f31iYufuJWY</t>
  </si>
  <si>
    <t>I’m a voice actor</t>
  </si>
  <si>
    <t>2025-05-25T13:01:10Z</t>
  </si>
  <si>
    <t>tIBjqUgVkM0</t>
  </si>
  <si>
    <t>I AM UNSTOPPABLE | DOOM: The Dark Ages - Part 3</t>
  </si>
  <si>
    <t>2025-05-23T16:08:00Z</t>
  </si>
  <si>
    <t>3u5y1kzMtao</t>
  </si>
  <si>
    <t>YOU CAN FLY DRAGONS? | DOOM: The Dark Ages - Part 2</t>
  </si>
  <si>
    <t>2025-05-21T16:00:13Z</t>
  </si>
  <si>
    <t>7oawCZnTQNI</t>
  </si>
  <si>
    <t>Don't come to work today...</t>
  </si>
  <si>
    <t>2025-05-20T16:11:25Z</t>
  </si>
  <si>
    <t>CaJi2l5_ZjI</t>
  </si>
  <si>
    <t>RIP AND TEAR | DOOM: The Dark Ages - Part 1</t>
  </si>
  <si>
    <t>2025-05-18T16:00:16Z</t>
  </si>
  <si>
    <t>rc0Vbbd9J6A</t>
  </si>
  <si>
    <t>They Put A Jacksepticeye Easter Egg In This Game</t>
  </si>
  <si>
    <t>2025-05-16T17:01:16Z</t>
  </si>
  <si>
    <t>hFf9FB8F0dc</t>
  </si>
  <si>
    <t>SOMA (FULL GAME)</t>
  </si>
  <si>
    <t>2025-05-13T16:01:08Z</t>
  </si>
  <si>
    <t>TXDSucCI2y4</t>
  </si>
  <si>
    <t>I CAN’T DO THIS ANYMORE… | Schedule I</t>
  </si>
  <si>
    <t>2025-05-08T21:13:30Z</t>
  </si>
  <si>
    <t>7UchLHTn-eY</t>
  </si>
  <si>
    <t>THIS ISN’T GOOD | Schedule I</t>
  </si>
  <si>
    <t>2025-04-30T16:00:11Z</t>
  </si>
  <si>
    <t>LiLPhSMJs_M</t>
  </si>
  <si>
    <t>I OWN THIS TOWN | Schedule I</t>
  </si>
  <si>
    <t>2025-04-26T16:00:28Z</t>
  </si>
  <si>
    <t>O_urDItk2Zw</t>
  </si>
  <si>
    <t>IS THIS THE END OF MY EMPIRE? | Schedule I</t>
  </si>
  <si>
    <t>2025-04-22T16:00:38Z</t>
  </si>
  <si>
    <t>AcWVw3RTIb0</t>
  </si>
  <si>
    <t>LOOK UPON MY EMPIRE AND WEEP | Schedule I</t>
  </si>
  <si>
    <t>2025-04-17T17:59:14Z</t>
  </si>
  <si>
    <t>D8u-wjGHvG8</t>
  </si>
  <si>
    <t>I MADE THE CRAZIEST PRODUCT | Schedule I</t>
  </si>
  <si>
    <t>2025-04-12T16:00:28Z</t>
  </si>
  <si>
    <t>rxniBZy7WZI</t>
  </si>
  <si>
    <t>The Best Horror Game You've Never Played</t>
  </si>
  <si>
    <t>2025-04-10T16:01:30Z</t>
  </si>
  <si>
    <t>TEVxdtA1zyA</t>
  </si>
  <si>
    <t>MY EMPIRE GROWS | Schedule I</t>
  </si>
  <si>
    <t>2025-04-08T16:00:38Z</t>
  </si>
  <si>
    <t>OtUF71nAcT8</t>
  </si>
  <si>
    <t>Jacksepticeye reacts to the Silksong announcement</t>
  </si>
  <si>
    <t>2025-04-05T18:54:58Z</t>
  </si>
  <si>
    <t>44CGvHqMYrg</t>
  </si>
  <si>
    <t>MY FIRST DEALER | Schedule I</t>
  </si>
  <si>
    <t>2025-04-04T16:00:04Z</t>
  </si>
  <si>
    <t>FD6D4a7Gatg</t>
  </si>
  <si>
    <t>PAPERS PLEASE  HORROR GAME | Thats Not My Neighbor</t>
  </si>
  <si>
    <t>2025-04-03T17:21:09Z</t>
  </si>
  <si>
    <t>kvQ6xhN6ncQ</t>
  </si>
  <si>
    <t>BEST GAME OF 2025 JUST DROPPED | Schedule I</t>
  </si>
  <si>
    <t>2025-04-02T16:00:58Z</t>
  </si>
  <si>
    <t>zUQwuE42Deg</t>
  </si>
  <si>
    <t>THIS IS SO SAD | Split Fiction (ENDING)</t>
  </si>
  <si>
    <t>2025-03-13T17:01:20Z</t>
  </si>
  <si>
    <t>LtXkqB2Ez8g</t>
  </si>
  <si>
    <t>Split Fiction with Evelien - Part 2</t>
  </si>
  <si>
    <t>2025-03-10T17:00:24Z</t>
  </si>
  <si>
    <t>-yNkaLXrofA</t>
  </si>
  <si>
    <t>Split Fiction with Evelien - Part 1</t>
  </si>
  <si>
    <t>2025-03-08T19:03:16Z</t>
  </si>
  <si>
    <t>_8hPEc3uR1c</t>
  </si>
  <si>
    <t>This Horror Game Looks Better Than Real Life</t>
  </si>
  <si>
    <t>2025-03-04T17:00:44Z</t>
  </si>
  <si>
    <t>Gg7FQyfiubE</t>
  </si>
  <si>
    <t>Demon's Souls Remake (FULL GAME)</t>
  </si>
  <si>
    <t>2025-02-27T22:09:29Z</t>
  </si>
  <si>
    <t>lVq4UEMOH-8</t>
  </si>
  <si>
    <t>A Game About Digging A Hole</t>
  </si>
  <si>
    <t>2025-02-17T17:01:02Z</t>
  </si>
  <si>
    <t>n-VXQGs_AdE</t>
  </si>
  <si>
    <t>Dollmare (FULL GAME)</t>
  </si>
  <si>
    <t>2025-02-12T17:01:00Z</t>
  </si>
  <si>
    <t>XAWS9axV4U4</t>
  </si>
  <si>
    <t>I’ve lost MILLIONS of subscribers</t>
  </si>
  <si>
    <t>2025-02-08T22:35:44Z</t>
  </si>
  <si>
    <t>Xbl0h-E037M</t>
  </si>
  <si>
    <t>The Cabin Factory (FULL GAME)</t>
  </si>
  <si>
    <t>2025-02-07T17:00:45Z</t>
  </si>
  <si>
    <t>mR_pevdt2dg</t>
  </si>
  <si>
    <t>PRETEND IT'S NOT THERE | 3 Scary Games</t>
  </si>
  <si>
    <t>2025-02-04T17:44:22Z</t>
  </si>
  <si>
    <t>FiNRLfZkkZk</t>
  </si>
  <si>
    <t>Poppy Playtime Chapter 4 (FULL GAME)</t>
  </si>
  <si>
    <t>2025-01-31T22:19:06Z</t>
  </si>
  <si>
    <t>-eVOxb2KQSI</t>
  </si>
  <si>
    <t>WE ARE SO BACK - Turbo Dismount 2</t>
  </si>
  <si>
    <t>2025-01-28T17:00:00Z</t>
  </si>
  <si>
    <t>m-AQj_LlDv4</t>
  </si>
  <si>
    <t>Trapped Underground With No Way Out (Amenti)</t>
  </si>
  <si>
    <t>2025-01-24T17:00:56Z</t>
  </si>
  <si>
    <t>swxAd0yR8Lc</t>
  </si>
  <si>
    <t>I Can't Believe These Ads Are Allowed On TikTok</t>
  </si>
  <si>
    <t>2025-01-22T16:09:36Z</t>
  </si>
  <si>
    <t>IvVdMIPGRnY</t>
  </si>
  <si>
    <t>Something is VERY wrong with this playground...</t>
  </si>
  <si>
    <t>2025-01-15T22:24:42Z</t>
  </si>
  <si>
    <t>T4fuD1ZUUjk</t>
  </si>
  <si>
    <t>THANKMAS 2024 w/ Ethan,BBNO$,Ludwig,Try Guys,Valkyrae,Captain Sparklez,Sykkuno,Pokimane,QTCinderella</t>
  </si>
  <si>
    <t>2024-12-07T05:27:32Z</t>
  </si>
  <si>
    <t>LZBwsiiITU8</t>
  </si>
  <si>
    <t>No, i’m not a human…</t>
  </si>
  <si>
    <t>2024-12-03T22:34:23Z</t>
  </si>
  <si>
    <t>7w0Gw7xEH9M</t>
  </si>
  <si>
    <t>I have Autism</t>
  </si>
  <si>
    <t>2024-11-28T17:00:05Z</t>
  </si>
  <si>
    <t>AjGmTDKbHZY</t>
  </si>
  <si>
    <t>The worst time of my life...</t>
  </si>
  <si>
    <t>2024-11-10T17:00:08Z</t>
  </si>
  <si>
    <t>eUcjiPI0TbE</t>
  </si>
  <si>
    <t>Amanda the Adventurer 2 (FULL GAME)</t>
  </si>
  <si>
    <t>2024-11-06T21:36:12Z</t>
  </si>
  <si>
    <t>ty1wubo33fs</t>
  </si>
  <si>
    <t>The most haunted places in the world</t>
  </si>
  <si>
    <t>2024-10-29T17:00:55Z</t>
  </si>
  <si>
    <t>eFXi-5wiLF0</t>
  </si>
  <si>
    <t>Help</t>
  </si>
  <si>
    <t>2024-10-15T17:00:37Z</t>
  </si>
  <si>
    <t>ZuC8jb-X_uA</t>
  </si>
  <si>
    <t>Silent Hill 2 Remake - ENDING</t>
  </si>
  <si>
    <t>2024-10-14T16:00:27Z</t>
  </si>
  <si>
    <t>yXEFTwb7kYg</t>
  </si>
  <si>
    <t>Silent Hill 2 Remake - Part 3</t>
  </si>
  <si>
    <t>2024-10-10T19:22:59Z</t>
  </si>
  <si>
    <t>5rx7qZZhnbs</t>
  </si>
  <si>
    <t>Silent Hill 2 Remake - Part 2</t>
  </si>
  <si>
    <t>2024-10-07T17:45:38Z</t>
  </si>
  <si>
    <t>dnPwFQj2xlU</t>
  </si>
  <si>
    <t>Silent Hill 2 Remake - Part 1</t>
  </si>
  <si>
    <t>2024-10-06T17:50:01Z</t>
  </si>
  <si>
    <t>VOL_85L4LG8</t>
  </si>
  <si>
    <t>Mouthwashing (FULL GAME)</t>
  </si>
  <si>
    <t>2024-10-03T18:46:03Z</t>
  </si>
  <si>
    <t>-9f8fubqY5o</t>
  </si>
  <si>
    <t>Mutated Animal Zoo - Zoochosis</t>
  </si>
  <si>
    <t>2024-09-30T14:30:53Z</t>
  </si>
  <si>
    <t>VSlBP8YO_sM</t>
  </si>
  <si>
    <t>They Come at Night...</t>
  </si>
  <si>
    <t>2024-09-25T16:00:25Z</t>
  </si>
  <si>
    <t>ZuJa-N_sdlo</t>
  </si>
  <si>
    <t>Squirrel With A Gun (FULL GAME)</t>
  </si>
  <si>
    <t>2024-09-20T16:11:50Z</t>
  </si>
  <si>
    <t>vzWucB2JPxI</t>
  </si>
  <si>
    <t>Something's hiding in this house...</t>
  </si>
  <si>
    <t>2024-09-13T19:20:07Z</t>
  </si>
  <si>
    <t>LMJ8Wzy2zLw</t>
  </si>
  <si>
    <t>Indigo Park - Chapter 1</t>
  </si>
  <si>
    <t>2024-09-04T19:07:05Z</t>
  </si>
  <si>
    <t>DJrxyDko4ns</t>
  </si>
  <si>
    <t>Still Wakes The Deep (FULL GAME)</t>
  </si>
  <si>
    <t>2024-08-28T21:33:23Z</t>
  </si>
  <si>
    <t>pvcwVVOFfsM</t>
  </si>
  <si>
    <t>Sorcery! (FULL GAME)</t>
  </si>
  <si>
    <t>2024-08-23T16:01:01Z</t>
  </si>
  <si>
    <t>MFJZoh3d2rU</t>
  </si>
  <si>
    <t>The Funniest Game I've Ever Played</t>
  </si>
  <si>
    <t>2024-08-13T16:00:20Z</t>
  </si>
  <si>
    <t>hwIN8wNtguA</t>
  </si>
  <si>
    <t>ELDEN RING Shadow of the Erdtree DLC - FINALE</t>
  </si>
  <si>
    <t>2024-06-26T16:00:40Z</t>
  </si>
  <si>
    <t>cvApYvNjboE</t>
  </si>
  <si>
    <t>ELDEN RING Shadow of the Erdtree DLC - Part 5</t>
  </si>
  <si>
    <t>2024-06-25T16:33:50Z</t>
  </si>
  <si>
    <t>OSsPfvxybuM</t>
  </si>
  <si>
    <t>ELDEN RING Shadow of the Erdtree DLC - Part 4</t>
  </si>
  <si>
    <t>2024-06-24T16:00:27Z</t>
  </si>
  <si>
    <t>8-mu8dbD-xI</t>
  </si>
  <si>
    <t>ELDEN RING Shadow of the Erdtree DLC - Part 3</t>
  </si>
  <si>
    <t>2024-06-23T15:00:07Z</t>
  </si>
  <si>
    <t>shTCOU2ImaQ</t>
  </si>
  <si>
    <t>ELDEN RING Shadow of the Erdtree DLC - Part 2</t>
  </si>
  <si>
    <t>2024-06-22T15:46:42Z</t>
  </si>
  <si>
    <t>QlmYyMLmcJ4</t>
  </si>
  <si>
    <t>ELDEN RING Shadow of the Erdtree DLC - Part 1</t>
  </si>
  <si>
    <t>2024-06-21T12:18:42Z</t>
  </si>
  <si>
    <t>hPn9tHDzcv4</t>
  </si>
  <si>
    <t>Elden Ring (Full Game)</t>
  </si>
  <si>
    <t>2024-05-18T15:00:29Z</t>
  </si>
  <si>
    <t>0LxcaS6IAP8</t>
  </si>
  <si>
    <t>SUBNAUTICA but on Mars | Planet Crafter</t>
  </si>
  <si>
    <t>2024-05-03T16:00:02Z</t>
  </si>
  <si>
    <t>YH-bm60tccE</t>
  </si>
  <si>
    <t>Walking Dead in VR is HILARIOUS</t>
  </si>
  <si>
    <t>2024-04-26T21:23:44Z</t>
  </si>
  <si>
    <t>7XlHCoEJenE</t>
  </si>
  <si>
    <t>Am I retiring From Youtube?</t>
  </si>
  <si>
    <t>2024-04-05T16:56:12Z</t>
  </si>
  <si>
    <t>qd0Szm4jvOU</t>
  </si>
  <si>
    <t>Happy Wheels The Movie</t>
  </si>
  <si>
    <t>2024-04-01T16:00:40Z</t>
  </si>
  <si>
    <t>G5_zLHxTFxY</t>
  </si>
  <si>
    <t>Haunted train that never stops... | Shinkansen 0 [Chilla's Art]</t>
  </si>
  <si>
    <t>2024-03-26T17:00:10Z</t>
  </si>
  <si>
    <t>B6uD8s4sQ-Y</t>
  </si>
  <si>
    <t>Bloodborne (FULL GAME)</t>
  </si>
  <si>
    <t>2024-03-17T17:11:54Z</t>
  </si>
  <si>
    <t>9yqj5-Uhgm4</t>
  </si>
  <si>
    <t>This is The Scariest VR Game Ever Made…</t>
  </si>
  <si>
    <t>2024-03-12T17:00:06Z</t>
  </si>
  <si>
    <t>StnwtcxJJEs</t>
  </si>
  <si>
    <t>I Explored The Backrooms in VR (it was a mistake)</t>
  </si>
  <si>
    <t>2024-03-07T17:00:19Z</t>
  </si>
  <si>
    <t>Ri8cJfQgMBo</t>
  </si>
  <si>
    <t>Dark Souls 3 (FULL GAME)</t>
  </si>
  <si>
    <t>2024-02-29T17:00:30Z</t>
  </si>
  <si>
    <t>Z-oZHo4mlGo</t>
  </si>
  <si>
    <t>Driving Into The Zone Was A Mistake...</t>
  </si>
  <si>
    <t>2024-02-27T17:00:33Z</t>
  </si>
  <si>
    <t>g5L46mK5yM4</t>
  </si>
  <si>
    <t>Open World Driving Horror Game | Pacific Drive - Part 1</t>
  </si>
  <si>
    <t>2024-02-21T17:00:29Z</t>
  </si>
  <si>
    <t>myPtjSjuVL0</t>
  </si>
  <si>
    <t>Expedition Zero (Full Game)</t>
  </si>
  <si>
    <t>2024-02-14T17:56:03Z</t>
  </si>
  <si>
    <t>otQtQEeC-lA</t>
  </si>
  <si>
    <t>Buckshot Roulette but I have the worst luck</t>
  </si>
  <si>
    <t>2024-02-09T18:15:33Z</t>
  </si>
  <si>
    <t>_UixE0AMIfA</t>
  </si>
  <si>
    <t>Dark Souls (FULL GAME)</t>
  </si>
  <si>
    <t>2024-02-06T17:00:28Z</t>
  </si>
  <si>
    <t>kpHahWRxQQk</t>
  </si>
  <si>
    <t>Poppy Playtime Chapter 3</t>
  </si>
  <si>
    <t>2024-02-01T18:16:34Z</t>
  </si>
  <si>
    <t>eeR8YdWOMh4</t>
  </si>
  <si>
    <t>Christmas Powerwash Simulator with my Girlfriend</t>
  </si>
  <si>
    <t>2023-12-25T17:00:33Z</t>
  </si>
  <si>
    <t>Jme8W5uJgpw</t>
  </si>
  <si>
    <t>Biggest Jumpscare Of My Life | 3 Scary Games</t>
  </si>
  <si>
    <t>2023-12-23T17:00:10Z</t>
  </si>
  <si>
    <t>UK2xlvmbabw</t>
  </si>
  <si>
    <t>Garten of Banban 6</t>
  </si>
  <si>
    <t>2023-12-21T19:13:23Z</t>
  </si>
  <si>
    <t>9bESoCBfj7w</t>
  </si>
  <si>
    <t>The Exit 8</t>
  </si>
  <si>
    <t>2023-12-20T17:00:11Z</t>
  </si>
  <si>
    <t>Oar1pP94wAs</t>
  </si>
  <si>
    <t>How I Almost Lost Millions Of Dollars</t>
  </si>
  <si>
    <t>2023-12-19T17:05:10Z</t>
  </si>
  <si>
    <t>ZqClPqHOIqo</t>
  </si>
  <si>
    <t>Chilla’s Art - Jisatsu 自撮</t>
  </si>
  <si>
    <t>2023-12-18T17:00:26Z</t>
  </si>
  <si>
    <t>6iLM7HUSMdU</t>
  </si>
  <si>
    <t>Scariest Videos On The Internet #10</t>
  </si>
  <si>
    <t>2023-12-17T17:42:29Z</t>
  </si>
  <si>
    <t>2oyYJOoiUws</t>
  </si>
  <si>
    <t>Grand Theft Auto VI will break all records</t>
  </si>
  <si>
    <t>2023-12-15T19:45:24Z</t>
  </si>
  <si>
    <t>LglESC7NEWc</t>
  </si>
  <si>
    <t>Young Kratos is BACK | God of War Valhalla - Part 2</t>
  </si>
  <si>
    <t>2023-12-15T17:20:13Z</t>
  </si>
  <si>
    <t>VgUzM31U2EQ</t>
  </si>
  <si>
    <t>They put HIM in the game? | God of War Valhalla - Part 1</t>
  </si>
  <si>
    <t>2023-12-14T18:03:02Z</t>
  </si>
  <si>
    <t>BHZ9qWNWLK8</t>
  </si>
  <si>
    <t>Funniest TikToks I Could Find</t>
  </si>
  <si>
    <t>2023-12-13T18:33:35Z</t>
  </si>
  <si>
    <t>xrNsBDRpNho</t>
  </si>
  <si>
    <t>Unbelievable Mind Blowing Twist.</t>
  </si>
  <si>
    <t>2023-12-06T17:43:18Z</t>
  </si>
  <si>
    <t>cRV4_xmiPVg</t>
  </si>
  <si>
    <t>THANKMAS 2023</t>
  </si>
  <si>
    <t>2023-12-03T05:18:16Z</t>
  </si>
  <si>
    <t>nPHHEb-fKhk</t>
  </si>
  <si>
    <t>This game hacked my computer...</t>
  </si>
  <si>
    <t>2023-11-30T17:00:40Z</t>
  </si>
  <si>
    <t>Jq4rk7p4YeM</t>
  </si>
  <si>
    <t>Reacting to my old content (CRINGE WARNING)</t>
  </si>
  <si>
    <t>2023-11-28T17:30:55Z</t>
  </si>
  <si>
    <t>_WJq0cfNvtg</t>
  </si>
  <si>
    <t>He followed me home... | Chilla's Art - The Kidnap</t>
  </si>
  <si>
    <t>2023-11-21T17:00:28Z</t>
  </si>
  <si>
    <t>Pp88f8ptQnw</t>
  </si>
  <si>
    <t>Something’s really wrong in this town…</t>
  </si>
  <si>
    <t>2023-11-17T17:00:17Z</t>
  </si>
  <si>
    <t>dF4DIEcS-50</t>
  </si>
  <si>
    <t>Happy Wheels #104</t>
  </si>
  <si>
    <t>2023-11-14T20:00:27Z</t>
  </si>
  <si>
    <t>fH6WqoCGl0w</t>
  </si>
  <si>
    <t>If you scream this game restarts...</t>
  </si>
  <si>
    <t>2023-11-09T17:00:30Z</t>
  </si>
  <si>
    <t>4cv3lIvnpiI</t>
  </si>
  <si>
    <t>Addressing the rumours...</t>
  </si>
  <si>
    <t>2023-11-02T18:52:38Z</t>
  </si>
  <si>
    <t>MFigp5V7Ql8</t>
  </si>
  <si>
    <t>Saddest mission in the game | Spider Man 2 - Part 9</t>
  </si>
  <si>
    <t>2023-11-01T17:00:25Z</t>
  </si>
  <si>
    <t>lhcKNuRfd2k</t>
  </si>
  <si>
    <t>7 years ago… I died</t>
  </si>
  <si>
    <t>2023-10-31T17:15:09Z</t>
  </si>
  <si>
    <t>QY4mRBhiYyw</t>
  </si>
  <si>
    <t>We survived a REAL Alan Wake 2 Escape Room</t>
  </si>
  <si>
    <t>2023-10-27T16:00:31Z</t>
  </si>
  <si>
    <t>K9ezUPhL5Dc</t>
  </si>
  <si>
    <t>THE FINAL BOSS | Spider Man 2 - Part 8</t>
  </si>
  <si>
    <t>2023-10-26T16:00:17Z</t>
  </si>
  <si>
    <t>K3ryMmPgz10</t>
  </si>
  <si>
    <t>IT'S TIME FOR VENOM | Spider Man 2 - Part 7</t>
  </si>
  <si>
    <t>2023-10-25T17:02:05Z</t>
  </si>
  <si>
    <t>Vql4wrAMnPs</t>
  </si>
  <si>
    <t>I'M NOT READY TO SAY GOODBYE | Spider Man 2 - Part 6</t>
  </si>
  <si>
    <t>2023-10-24T16:27:03Z</t>
  </si>
  <si>
    <t>1dQ10dI0USo</t>
  </si>
  <si>
    <t>LIZARD ON THE LOOSE | Spider Man 2 - Part 5</t>
  </si>
  <si>
    <t>2023-10-23T16:00:01Z</t>
  </si>
  <si>
    <t>uye5SAhJkwI</t>
  </si>
  <si>
    <t>THE SYMBIOTE SUIT | Spider Man 2 - Part 4</t>
  </si>
  <si>
    <t>2023-10-22T16:00:43Z</t>
  </si>
  <si>
    <t>Ca8ace1N_4A</t>
  </si>
  <si>
    <t>I Voice a Character in Fears to Fathom Episode 4</t>
  </si>
  <si>
    <t>2023-10-21T19:00:04Z</t>
  </si>
  <si>
    <t>rCLYaoSpY5Q</t>
  </si>
  <si>
    <t>HARRY HAS A BIG SECRET | Spider Man 2 - Part 3</t>
  </si>
  <si>
    <t>2023-10-21T16:00:40Z</t>
  </si>
  <si>
    <t>MYN6MxP68a8</t>
  </si>
  <si>
    <t>THE BEST SPIDER-MAN GAME EVER | Spider Man 2 - Part 2</t>
  </si>
  <si>
    <t>2023-10-20T15:03:51Z</t>
  </si>
  <si>
    <t>uzPiVzT1-gY</t>
  </si>
  <si>
    <t>KRAVEN'S HUNT BEGINS | Spider Man 2 - Part 1</t>
  </si>
  <si>
    <t>2023-10-19T11:12:03Z</t>
  </si>
  <si>
    <t>AgJumADP1Bw</t>
  </si>
  <si>
    <t>Breaking into people's houses... in VR</t>
  </si>
  <si>
    <t>2023-10-17T17:55:36Z</t>
  </si>
  <si>
    <t>j7y99kABNI0</t>
  </si>
  <si>
    <t>Don’t go out alone at night…</t>
  </si>
  <si>
    <t>2023-10-13T19:20:07Z</t>
  </si>
  <si>
    <t>uDfRZVTCXC4</t>
  </si>
  <si>
    <t>The Corridor (FULL GAME)</t>
  </si>
  <si>
    <t>2023-10-10T16:27:54Z</t>
  </si>
  <si>
    <t>6ztvMAzFP24</t>
  </si>
  <si>
    <t>The Most Underrated Season of all Time</t>
  </si>
  <si>
    <t>2026-08-24T17:00:22Z</t>
  </si>
  <si>
    <t>UCAW-NpUFkMyCNrvRSSGIvDQ</t>
  </si>
  <si>
    <t>Ninja</t>
  </si>
  <si>
    <t>2mO-PXXxjgw</t>
  </si>
  <si>
    <t>how Fortnite brought everyone together</t>
  </si>
  <si>
    <t>2026-08-20T17:00:16Z</t>
  </si>
  <si>
    <t>C1tgVljEZww</t>
  </si>
  <si>
    <t>how this season saved Fortnite</t>
  </si>
  <si>
    <t>2026-08-16T17:00:36Z</t>
  </si>
  <si>
    <t>NHaaGVZA-eQ</t>
  </si>
  <si>
    <t>I MISS IT...</t>
  </si>
  <si>
    <t>2026-08-12T17:00:09Z</t>
  </si>
  <si>
    <t>jPeFUFED7cA</t>
  </si>
  <si>
    <t>How Fortnite First Person Failed...</t>
  </si>
  <si>
    <t>2026-08-08T17:00:04Z</t>
  </si>
  <si>
    <t>zEKxW-SjYlc</t>
  </si>
  <si>
    <t>Fortnite Will Never Be the Same Without Them</t>
  </si>
  <si>
    <t>2026-08-04T17:00:09Z</t>
  </si>
  <si>
    <t>VtAH8lHLtuY</t>
  </si>
  <si>
    <t>the worst Fortnite season of all time</t>
  </si>
  <si>
    <t>2026-07-30T17:00:08Z</t>
  </si>
  <si>
    <t>w1nIx51j8ok</t>
  </si>
  <si>
    <t>Wake Up, It's 2021...</t>
  </si>
  <si>
    <t>2026-07-26T17:00:22Z</t>
  </si>
  <si>
    <t>oaNolbYRT_Q</t>
  </si>
  <si>
    <t>Was Fortnite Chapter 6 Loved?</t>
  </si>
  <si>
    <t>2026-07-22T17:00:07Z</t>
  </si>
  <si>
    <t>e_7pky5S3TM</t>
  </si>
  <si>
    <t>The Funniest Fortnite Duo</t>
  </si>
  <si>
    <t>2026-07-17T17:00:33Z</t>
  </si>
  <si>
    <t>p-WvMnsfv-8</t>
  </si>
  <si>
    <t>I love the new Fortnite season, BUT...</t>
  </si>
  <si>
    <t>2026-07-12T17:00:19Z</t>
  </si>
  <si>
    <t>mGJ-IaybHWg</t>
  </si>
  <si>
    <t>Epic Needs to Do Something About This</t>
  </si>
  <si>
    <t>2026-07-09T17:00:05Z</t>
  </si>
  <si>
    <t>NFFS4Y2ML2Y</t>
  </si>
  <si>
    <t>I'm done...</t>
  </si>
  <si>
    <t>2026-07-02T17:00:29Z</t>
  </si>
  <si>
    <t>pk3ZzFxUZ28</t>
  </si>
  <si>
    <t>I Accidentally Joined A Sweaty Lobby</t>
  </si>
  <si>
    <t>2026-06-29T17:00:19Z</t>
  </si>
  <si>
    <t>Xzxc7s7zjKI</t>
  </si>
  <si>
    <t>After 335 Days...</t>
  </si>
  <si>
    <t>2026-06-24T17:00:08Z</t>
  </si>
  <si>
    <t>pfrsGz8QuZs</t>
  </si>
  <si>
    <t>I FINALLY GOT The RAREST SPRITE in Fortnite!</t>
  </si>
  <si>
    <t>2026-06-20T17:00:01Z</t>
  </si>
  <si>
    <t>0FfQROL9KKs</t>
  </si>
  <si>
    <t>Fortnite is Fun Again</t>
  </si>
  <si>
    <t>2026-06-17T17:00:27Z</t>
  </si>
  <si>
    <t>tQ9pU4EFjVk</t>
  </si>
  <si>
    <t>The Squad is FINALLY BACK</t>
  </si>
  <si>
    <t>2026-06-14T17:00:28Z</t>
  </si>
  <si>
    <t>8x-Y0IlITPQ</t>
  </si>
  <si>
    <t>🔴Cyclops Early Access/Marvel Rivals Season 8.5 #MarvelRivalsCyclops #sponsored</t>
  </si>
  <si>
    <t>2026-06-10T23:17:41Z</t>
  </si>
  <si>
    <t>o2JIVSNd3RY</t>
  </si>
  <si>
    <t>Fortnite Chapter 7 Season 3 is FUN!</t>
  </si>
  <si>
    <t>2026-06-10T17:00:34Z</t>
  </si>
  <si>
    <t>TXPpf88Q_vQ</t>
  </si>
  <si>
    <t>🔴 NINJA IS BACK TO FORTNITE / NEW SEASON LIVE</t>
  </si>
  <si>
    <t>2026-06-09T19:20:04Z</t>
  </si>
  <si>
    <t>syhDi8QZQfw</t>
  </si>
  <si>
    <t>Ninja Plays GTA RP For The First Time</t>
  </si>
  <si>
    <t>2026-06-07T17:00:15Z</t>
  </si>
  <si>
    <t>tuDzMFo-cyU</t>
  </si>
  <si>
    <t>Fly High King...</t>
  </si>
  <si>
    <t>2026-06-05T16:30:35Z</t>
  </si>
  <si>
    <t>8Es9tQVtf6M</t>
  </si>
  <si>
    <t>🔴 Adventures of NONAIL TONY Part 2 | GTA RP All Day</t>
  </si>
  <si>
    <t>2026-06-04T22:39:33Z</t>
  </si>
  <si>
    <t>j6tbst3vMxI</t>
  </si>
  <si>
    <t>🔴 Adventures of NONAIL TONY |  GTA RP All Day</t>
  </si>
  <si>
    <t>2026-06-04T17:23:41Z</t>
  </si>
  <si>
    <t>Ln1KU9fq0RY</t>
  </si>
  <si>
    <t>The King of Tilted Towers</t>
  </si>
  <si>
    <t>2026-06-02T17:00:20Z</t>
  </si>
  <si>
    <t>C2AgE33H1lw</t>
  </si>
  <si>
    <t>Fortnite Most Iconic Duo</t>
  </si>
  <si>
    <t>2026-05-28T17:00:17Z</t>
  </si>
  <si>
    <t>cgeVgOw_Yjs</t>
  </si>
  <si>
    <t>Why is Fortnite Chapter 2 So Loved?</t>
  </si>
  <si>
    <t>2026-05-25T17:00:30Z</t>
  </si>
  <si>
    <t>h_GwZk_YOMM</t>
  </si>
  <si>
    <t>Fortnite Almost Broke Me</t>
  </si>
  <si>
    <t>2026-05-22T17:30:04Z</t>
  </si>
  <si>
    <t>knmPXGhzBAs</t>
  </si>
  <si>
    <t>Its been a while...</t>
  </si>
  <si>
    <t>2026-05-20T17:00:28Z</t>
  </si>
  <si>
    <t>xTVpithcPvI</t>
  </si>
  <si>
    <t>I Miss TimTheTatman...</t>
  </si>
  <si>
    <t>2026-05-18T17:01:06Z</t>
  </si>
  <si>
    <t>TMD1dhXDZ1U</t>
  </si>
  <si>
    <t>Everything Has Changed</t>
  </si>
  <si>
    <t>2026-05-14T17:00:39Z</t>
  </si>
  <si>
    <t>CtyF0n-VKQ8</t>
  </si>
  <si>
    <t>I MISS THIS...</t>
  </si>
  <si>
    <t>2026-05-12T17:00:14Z</t>
  </si>
  <si>
    <t>J1KoVWMRNus</t>
  </si>
  <si>
    <t>New Map POI is SO GOOD</t>
  </si>
  <si>
    <t>2026-05-06T17:00:22Z</t>
  </si>
  <si>
    <t>crTTfjolyRY</t>
  </si>
  <si>
    <t>This Brought EVERYONE Back!</t>
  </si>
  <si>
    <t>2026-05-05T17:01:00Z</t>
  </si>
  <si>
    <t>mfxLvgrvo_s</t>
  </si>
  <si>
    <t>Embark Has to Address This</t>
  </si>
  <si>
    <t>2026-05-03T17:00:58Z</t>
  </si>
  <si>
    <t>sx97_dXA3P8</t>
  </si>
  <si>
    <t>Fortnite isn't what it used to be..</t>
  </si>
  <si>
    <t>2026-04-30T17:02:54Z</t>
  </si>
  <si>
    <t>0tqPrJHPs9I</t>
  </si>
  <si>
    <t>ARC Raiders might not be over..</t>
  </si>
  <si>
    <t>2026-04-28T15:38:43Z</t>
  </si>
  <si>
    <t>TRT2h3IjbiQ</t>
  </si>
  <si>
    <t>This CHANGED Everything...</t>
  </si>
  <si>
    <t>2026-04-26T17:00:29Z</t>
  </si>
  <si>
    <t>Y-JWFephsQw</t>
  </si>
  <si>
    <t>The Arcs Are Evolving</t>
  </si>
  <si>
    <t>2026-04-23T17:00:42Z</t>
  </si>
  <si>
    <t>w4qHrtQ_yDQ</t>
  </si>
  <si>
    <t>Does Arc Raiders Needs These Changes?</t>
  </si>
  <si>
    <t>2026-04-20T17:01:17Z</t>
  </si>
  <si>
    <t>yrHvHg_Ifds</t>
  </si>
  <si>
    <t>THE OG FORTNITE GOAT</t>
  </si>
  <si>
    <t>2026-04-18T17:01:19Z</t>
  </si>
  <si>
    <t>hbH7_GoFBEg</t>
  </si>
  <si>
    <t>Saving ARC Raiders..</t>
  </si>
  <si>
    <t>2026-04-15T17:01:00Z</t>
  </si>
  <si>
    <t>k_sMh_iHstc</t>
  </si>
  <si>
    <t>i'm sorry...</t>
  </si>
  <si>
    <t>2026-04-13T17:01:04Z</t>
  </si>
  <si>
    <t>d4EOgkfLIUc</t>
  </si>
  <si>
    <t>Embark, WAKE UP</t>
  </si>
  <si>
    <t>2026-04-10T17:15:02Z</t>
  </si>
  <si>
    <t>GKUTQ1UcziM</t>
  </si>
  <si>
    <t>I Got PRANKED By @SymfuhnyTV</t>
  </si>
  <si>
    <t>2026-04-09T16:00:25Z</t>
  </si>
  <si>
    <t>QvZq1IIlkN4</t>
  </si>
  <si>
    <t>Here we go again...</t>
  </si>
  <si>
    <t>2026-04-07T17:00:24Z</t>
  </si>
  <si>
    <t>l5ZYM5JW508</t>
  </si>
  <si>
    <t>🔴 FINALLY BACK TO ARC RAIDERS</t>
  </si>
  <si>
    <t>2026-04-07T15:02:09Z</t>
  </si>
  <si>
    <t>OVfzAtXeOVY</t>
  </si>
  <si>
    <t>This is IMPOSSIBLE</t>
  </si>
  <si>
    <t>2026-04-05T16:27:26Z</t>
  </si>
  <si>
    <t>EqAQPwlobXs</t>
  </si>
  <si>
    <t>🔴 ARC RAIDERS MASSIVE UPDATE PART 3</t>
  </si>
  <si>
    <t>2026-04-02T19:27:24Z</t>
  </si>
  <si>
    <t>3gFeAfLvGcc</t>
  </si>
  <si>
    <t>ARC Raiders NEW Update is FREAKY</t>
  </si>
  <si>
    <t>2026-04-02T17:00:04Z</t>
  </si>
  <si>
    <t>s6zLdLoNGLc</t>
  </si>
  <si>
    <t>🔴 Exploring ARC Raiders NEW Update</t>
  </si>
  <si>
    <t>2026-04-01T17:59:17Z</t>
  </si>
  <si>
    <t>z7gXqIiHWsU</t>
  </si>
  <si>
    <t>🔴 ARC RAIDERS MASSIVE NEW UPDATE</t>
  </si>
  <si>
    <t>2026-03-31T21:20:58Z</t>
  </si>
  <si>
    <t>95DACSIGdZQ</t>
  </si>
  <si>
    <t>THIS UPDATE WILL SAVE ARC RAIDERS</t>
  </si>
  <si>
    <t>2026-03-31T14:58:47Z</t>
  </si>
  <si>
    <t>rR_0RziiLUQ</t>
  </si>
  <si>
    <t>The NEW Vaporizer is OP 🔥</t>
  </si>
  <si>
    <t>2026-03-31T14:00:00Z</t>
  </si>
  <si>
    <t>qnsK0V1Kht0</t>
  </si>
  <si>
    <t>🔴 WE FINALLY BACK TO ARC RAIDERS</t>
  </si>
  <si>
    <t>2026-03-30T19:40:53Z</t>
  </si>
  <si>
    <t>_Xcijd4bSTc</t>
  </si>
  <si>
    <t>I QUIT...</t>
  </si>
  <si>
    <t>2026-03-29T17:00:00Z</t>
  </si>
  <si>
    <t>5znVjkW75cQ</t>
  </si>
  <si>
    <t>Is NinjasHyper BACK?</t>
  </si>
  <si>
    <t>2026-03-27T18:00:00Z</t>
  </si>
  <si>
    <t>RWTuNN08TOc</t>
  </si>
  <si>
    <t>Can Arc Raiders Be Saved?</t>
  </si>
  <si>
    <t>2026-03-25T18:00:33Z</t>
  </si>
  <si>
    <t>9Mc9MOq6mFY</t>
  </si>
  <si>
    <t>🔴 DOMINATING ARC RAIDERS LOBBIES ALL DAY</t>
  </si>
  <si>
    <t>2026-03-23T17:26:54Z</t>
  </si>
  <si>
    <t>rIcjK_x8x8A</t>
  </si>
  <si>
    <t>Embark, Explain This</t>
  </si>
  <si>
    <t>2026-03-22T18:00:47Z</t>
  </si>
  <si>
    <t>kDGdBdIl5jc</t>
  </si>
  <si>
    <t>DOUBLE EXECUTION with @TTfue</t>
  </si>
  <si>
    <t>2026-03-21T17:01:04Z</t>
  </si>
  <si>
    <t>r3mWm1w05RU</t>
  </si>
  <si>
    <t>🔴 EPIC RAIDS ALL DAY.. ARC RAIDERS</t>
  </si>
  <si>
    <t>2026-03-19T18:39:55Z</t>
  </si>
  <si>
    <t>LIOynKsICzI</t>
  </si>
  <si>
    <t>Ninja &amp; Tfue are UNBEATABLE !</t>
  </si>
  <si>
    <t>2026-03-19T18:00:23Z</t>
  </si>
  <si>
    <t>7OTF1hjZzxs</t>
  </si>
  <si>
    <t>🔴 BIG BOY RAIDS IN ARC RAIDERS</t>
  </si>
  <si>
    <t>2026-03-17T22:03:29Z</t>
  </si>
  <si>
    <t>gYg4r9UZEqQ</t>
  </si>
  <si>
    <t>PRIME NINJA IS BACK</t>
  </si>
  <si>
    <t>2026-03-16T18:00:11Z</t>
  </si>
  <si>
    <t>7A_FKQXnm_g</t>
  </si>
  <si>
    <t>Ninja Outplays a Full Squad with @SymfuhnyTV</t>
  </si>
  <si>
    <t>2026-03-15T18:00:06Z</t>
  </si>
  <si>
    <t>5eac0VHrKl4</t>
  </si>
  <si>
    <t>🔴 Back to the grind.. Arc Raiders</t>
  </si>
  <si>
    <t>2026-03-13T22:07:05Z</t>
  </si>
  <si>
    <t>KyIzi9naHoI</t>
  </si>
  <si>
    <t>My HONEST Thoughts on Marathon</t>
  </si>
  <si>
    <t>2026-03-12T18:00:20Z</t>
  </si>
  <si>
    <t>ToenX8a_xyw</t>
  </si>
  <si>
    <t>🔴 How to Get RICH in Arc Raiders</t>
  </si>
  <si>
    <t>2026-03-11T20:06:03Z</t>
  </si>
  <si>
    <t>WAlg_Cf9rz0</t>
  </si>
  <si>
    <t>Ninja Getting SUCKED</t>
  </si>
  <si>
    <t>2026-03-11T18:00:38Z</t>
  </si>
  <si>
    <t>Z7c4pvu4cX8</t>
  </si>
  <si>
    <t>🔴 Road to MAX COINS in Arc Raidres</t>
  </si>
  <si>
    <t>2026-03-10T21:37:52Z</t>
  </si>
  <si>
    <t>F2en9AnIM4w</t>
  </si>
  <si>
    <t>FASTEST Max Loot Raid</t>
  </si>
  <si>
    <t>2026-03-10T18:00:15Z</t>
  </si>
  <si>
    <t>0IohKHIHQfQ</t>
  </si>
  <si>
    <t>Ultimate MAX WIN with @SymfuhnyTV</t>
  </si>
  <si>
    <t>2026-03-08T18:00:01Z</t>
  </si>
  <si>
    <t>aPrQjkj9mEc</t>
  </si>
  <si>
    <t>WINNER TAKE ALL FORNITE GAME?!</t>
  </si>
  <si>
    <t>2026-03-06T21:03:39Z</t>
  </si>
  <si>
    <t>M3a63xcd_pU</t>
  </si>
  <si>
    <t>I DESTROYED Clix's Team in a Fortnite Tournament! (SORT OF)</t>
  </si>
  <si>
    <t>2026-03-06T21:01:32Z</t>
  </si>
  <si>
    <t>bAUqyGhwPns</t>
  </si>
  <si>
    <t>🔴 Road To A BILLION Coins in Arc Raiders</t>
  </si>
  <si>
    <t>2026-03-05T22:50:12Z</t>
  </si>
  <si>
    <t>JxkxjVOn_U4</t>
  </si>
  <si>
    <t>🔴 Completing The FINAL MISSION In ARC RAIDERS</t>
  </si>
  <si>
    <t>2026-03-04T19:59:36Z</t>
  </si>
  <si>
    <t>34PMYc1oOqI</t>
  </si>
  <si>
    <t>I'm Finally BACK!</t>
  </si>
  <si>
    <t>2026-03-04T18:00:05Z</t>
  </si>
  <si>
    <t>8tgYR4J1y1g</t>
  </si>
  <si>
    <t>🔴 Arc Raiders NEW EXPEDITION - Part 2</t>
  </si>
  <si>
    <t>2026-03-03T19:33:37Z</t>
  </si>
  <si>
    <t>bZL21RSR8T0</t>
  </si>
  <si>
    <t>Ninja Teaches Toxic ARC Players A Lesson</t>
  </si>
  <si>
    <t>2026-03-03T17:01:01Z</t>
  </si>
  <si>
    <t>vgjMdCpQCDQ</t>
  </si>
  <si>
    <t>🔴 Arc Raiders NEW EXPEDITION WIPE</t>
  </si>
  <si>
    <t>2026-03-02T21:38:01Z</t>
  </si>
  <si>
    <t>dIgZoqv4FlE</t>
  </si>
  <si>
    <t>Embark, Please NERF THIS</t>
  </si>
  <si>
    <t>2026-03-02T18:00:40Z</t>
  </si>
  <si>
    <t>oO2z9SM9ax4</t>
  </si>
  <si>
    <t>🔴LIVE - Astral Rift Rumble: Team Kafka vs Team Blade | HUGE Rewards!</t>
  </si>
  <si>
    <t>2026-03-01T06:37:22Z</t>
  </si>
  <si>
    <t>vjakWpyCfic</t>
  </si>
  <si>
    <t>🔴LIVE - MARATHON W/ SYMFUNNY AND TIMTHETATMAN</t>
  </si>
  <si>
    <t>2026-02-27T20:44:52Z</t>
  </si>
  <si>
    <t>qKO6xlYVveg</t>
  </si>
  <si>
    <t>🔴LIVE - PLAYING MARATHON FOR THE FIRST TIME</t>
  </si>
  <si>
    <t>2026-02-26T22:29:05Z</t>
  </si>
  <si>
    <t>HTC6c1m1Dd0</t>
  </si>
  <si>
    <t>Marathon First Impressions..</t>
  </si>
  <si>
    <t>2026-02-26T21:51:40Z</t>
  </si>
  <si>
    <t>NR7G7MOnqjg</t>
  </si>
  <si>
    <t>NINJA TALKS ABOUT CHEATERS 🔥</t>
  </si>
  <si>
    <t>2026-02-26T18:00:22Z</t>
  </si>
  <si>
    <t>i5qfHLbE1r8</t>
  </si>
  <si>
    <t>🔴ARC RAIDERS NEW UPDATE - PART 2</t>
  </si>
  <si>
    <t>2026-02-25T20:54:13Z</t>
  </si>
  <si>
    <t>gJSpwY1QtoQ</t>
  </si>
  <si>
    <t>🔴PLAYING ARC RAIDERS NEW UPDATE ALL DAY</t>
  </si>
  <si>
    <t>2026-02-24T21:57:20Z</t>
  </si>
  <si>
    <t>U5pyK0MzZy4</t>
  </si>
  <si>
    <t>HUGE Arc Raiders Changes! (New Update)</t>
  </si>
  <si>
    <t>2026-02-24T16:40:41Z</t>
  </si>
  <si>
    <t>0C6aa6VkH-U</t>
  </si>
  <si>
    <t>LMAO WHAT JUST HAPPENED? 😂</t>
  </si>
  <si>
    <t>2026-02-23T17:30:01Z</t>
  </si>
  <si>
    <t>quxGzTedHGU</t>
  </si>
  <si>
    <t>HUGE News For Arc Raiders !</t>
  </si>
  <si>
    <t>2026-02-21T18:01:00Z</t>
  </si>
  <si>
    <t>DaaMCmMUe-4</t>
  </si>
  <si>
    <t>🔴ONE RAID TO RULE THEM ALL</t>
  </si>
  <si>
    <t>2026-02-20T21:11:03Z</t>
  </si>
  <si>
    <t>6XJHznV3qaU</t>
  </si>
  <si>
    <t>🔴 Printing Money $$ in ARC RAIDERS</t>
  </si>
  <si>
    <t>2026-02-19T20:51:10Z</t>
  </si>
  <si>
    <t>nhiFn24n9Wg</t>
  </si>
  <si>
    <t>NERF IT NOW 🤬</t>
  </si>
  <si>
    <t>2026-02-18T17:01:21Z</t>
  </si>
  <si>
    <t>4Oek0_ZeSDc</t>
  </si>
  <si>
    <t>🔴 How to Be a #1 Arc Raiders Player</t>
  </si>
  <si>
    <t>2026-02-17T20:54:54Z</t>
  </si>
  <si>
    <t>f1g7gcZHMic</t>
  </si>
  <si>
    <t>Embark, Lets Talk About This...</t>
  </si>
  <si>
    <t>2026-02-17T18:00:54Z</t>
  </si>
  <si>
    <t>0clUJGbi32w</t>
  </si>
  <si>
    <t>How Ninja KILLED TFue in ARC RAIDERS 💀</t>
  </si>
  <si>
    <t>2026-02-17T17:00:02Z</t>
  </si>
  <si>
    <t>V-gtGR0VVk0</t>
  </si>
  <si>
    <t>🔴 How to Be a Billionaire $$ in ARC RAIDERS</t>
  </si>
  <si>
    <t>2026-02-16T18:57:38Z</t>
  </si>
  <si>
    <t>_AEsSLMa6OM</t>
  </si>
  <si>
    <t>Ninja 1v1 Tfue In Arc Raiders</t>
  </si>
  <si>
    <t>2026-02-15T18:00:30Z</t>
  </si>
  <si>
    <t>FTCVudmlUEg</t>
  </si>
  <si>
    <t>NINJA LOVES BBC..</t>
  </si>
  <si>
    <t>2026-02-13T17:00:22Z</t>
  </si>
  <si>
    <t>9rV59EW84_0</t>
  </si>
  <si>
    <t>🔴 Billions $$ and Counting in ARC RAIDERS</t>
  </si>
  <si>
    <t>2026-02-12T22:06:30Z</t>
  </si>
  <si>
    <t>KRp4ybZxu4w</t>
  </si>
  <si>
    <t>Arc Raiders NEW Update is Here !</t>
  </si>
  <si>
    <t>2026-02-11T18:00:31Z</t>
  </si>
  <si>
    <t>Ji-x0hCbbmk</t>
  </si>
  <si>
    <t>🔴 Arc Raiders NEW UPDATE LIVE</t>
  </si>
  <si>
    <t>2026-02-10T22:49:01Z</t>
  </si>
  <si>
    <t>0lqZ8Isd-X4</t>
  </si>
  <si>
    <t>Ninja BEGGED for His Life 😂</t>
  </si>
  <si>
    <t>2026-02-10T17:00:01Z</t>
  </si>
  <si>
    <t>4c8pPe88GhU</t>
  </si>
  <si>
    <t>🔴 Gaining Millions in ARC RAIDERS</t>
  </si>
  <si>
    <t>2026-02-09T22:11:14Z</t>
  </si>
  <si>
    <t>nsGYLIN4SME</t>
  </si>
  <si>
    <t>Well Done EMBARK !</t>
  </si>
  <si>
    <t>2026-02-08T18:00:51Z</t>
  </si>
  <si>
    <t>wZk6bflQCO0</t>
  </si>
  <si>
    <t>🔴 #1 ARC RAIDER</t>
  </si>
  <si>
    <t>2026-02-06T22:16:15Z</t>
  </si>
  <si>
    <t>mcoPusGnmZ0</t>
  </si>
  <si>
    <t>Exposing This Loadout.</t>
  </si>
  <si>
    <t>2026-02-06T18:31:21Z</t>
  </si>
  <si>
    <t>dcys52f4f7U</t>
  </si>
  <si>
    <t>🔴 Road to  $1 BILLION COINS In Arc Raiders</t>
  </si>
  <si>
    <t>2026-02-05T19:52:05Z</t>
  </si>
  <si>
    <t>5Io13pZlK0M</t>
  </si>
  <si>
    <t>Killing Tfue &amp; Hamlinz in Arc Raiders</t>
  </si>
  <si>
    <t>2026-02-04T17:30:03Z</t>
  </si>
  <si>
    <t>CE-roP4t4PU</t>
  </si>
  <si>
    <t>🔴 ARC RAIDERS GONE WILD - $15 MILLION COINS</t>
  </si>
  <si>
    <t>2026-02-03T21:23:02Z</t>
  </si>
  <si>
    <t>rqSJwC74V84</t>
  </si>
  <si>
    <t>How to Set Teammates ON FIRE 🔥</t>
  </si>
  <si>
    <t>2026-02-03T18:31:28Z</t>
  </si>
  <si>
    <t>BdCOvisKznI</t>
  </si>
  <si>
    <t>🔴 ARC RAIDERS IS SO EASY - $10 MILLION COINS</t>
  </si>
  <si>
    <t>2026-02-02T22:02:23Z</t>
  </si>
  <si>
    <t>mKQOgAcknHY</t>
  </si>
  <si>
    <t>This is TOO BROKEN ! (Arc Raiders)</t>
  </si>
  <si>
    <t>2026-02-01T18:00:51Z</t>
  </si>
  <si>
    <t>6P4nEBkSrnE</t>
  </si>
  <si>
    <t>Ninja Not Coming Back From This 😭</t>
  </si>
  <si>
    <t>2026-02-01T16:00:08Z</t>
  </si>
  <si>
    <t>DCwSn_Cve2w</t>
  </si>
  <si>
    <t>🔴 $9 MILLION COINS But Who's Counting?</t>
  </si>
  <si>
    <t>2026-01-30T23:26:08Z</t>
  </si>
  <si>
    <t>sYWo1fd_NNU</t>
  </si>
  <si>
    <t>Why I Can't Stop Playing Arc Raiders</t>
  </si>
  <si>
    <t>2026-01-30T18:01:22Z</t>
  </si>
  <si>
    <t>kdGebukdT6g</t>
  </si>
  <si>
    <t>🔴 Zero Deaths - Arc Raiders</t>
  </si>
  <si>
    <t>2026-01-29T22:57:23Z</t>
  </si>
  <si>
    <t>-DGu3_QCqYQ</t>
  </si>
  <si>
    <t>The ULTIMATE PAYBACK</t>
  </si>
  <si>
    <t>2026-01-29T18:00:01Z</t>
  </si>
  <si>
    <t>ePV5uoIz6tM</t>
  </si>
  <si>
    <t>🔴 Trying Out ARC RAIDERS NEW UPDATE</t>
  </si>
  <si>
    <t>2026-01-29T07:27:03Z</t>
  </si>
  <si>
    <t>iX0xOTOUwjU</t>
  </si>
  <si>
    <t>Arc Raiders NEW Map Condition is INTENSE!</t>
  </si>
  <si>
    <t>2026-01-28T19:31:44Z</t>
  </si>
  <si>
    <t>MTuH2E7jWMI</t>
  </si>
  <si>
    <t>I Defeated a Teleport CHEATER</t>
  </si>
  <si>
    <t>2026-01-27T16:00:34Z</t>
  </si>
  <si>
    <t>K9CQK-V-eW8</t>
  </si>
  <si>
    <t>🔴 Playing HIGHGUARD For The FIRST Time</t>
  </si>
  <si>
    <t>2026-01-26T21:18:59Z</t>
  </si>
  <si>
    <t>vTlq-teQBOM</t>
  </si>
  <si>
    <t>ARC RAIDERS PVP IS TOXIC</t>
  </si>
  <si>
    <t>2026-01-26T18:01:07Z</t>
  </si>
  <si>
    <t>ZGFP2Q5QfDw</t>
  </si>
  <si>
    <t>Why Ninja LEFT THIS BEHIND..</t>
  </si>
  <si>
    <t>2026-01-24T18:00:38Z</t>
  </si>
  <si>
    <t>L0JVCpeFGl4</t>
  </si>
  <si>
    <t>🔴 Top Tier Arc Raider Grind</t>
  </si>
  <si>
    <t>2026-01-23T20:57:38Z</t>
  </si>
  <si>
    <t>pKJCd9cczYc</t>
  </si>
  <si>
    <t>Finally After 2764 Days!</t>
  </si>
  <si>
    <t>2026-01-23T18:01:04Z</t>
  </si>
  <si>
    <t>yIIOvdMb3E4</t>
  </si>
  <si>
    <t>INSANE ESCAPE</t>
  </si>
  <si>
    <t>2026-01-22T18:22:12Z</t>
  </si>
  <si>
    <t>CghHTcfgsVE</t>
  </si>
  <si>
    <t>🔴 Official ARC Raiders Grind</t>
  </si>
  <si>
    <t>2026-01-21T18:39:23Z</t>
  </si>
  <si>
    <t>QExzwNqXv_k</t>
  </si>
  <si>
    <t>🔴 Finding All Arc Raiders Secrets</t>
  </si>
  <si>
    <t>2026-01-20T20:09:55Z</t>
  </si>
  <si>
    <t>7YRhtZFgQC0</t>
  </si>
  <si>
    <t>Best ARC RAIDERS GLITCH</t>
  </si>
  <si>
    <t>2026-01-20T17:00:12Z</t>
  </si>
  <si>
    <t>EJLvJjvK5Co</t>
  </si>
  <si>
    <t>Arc Raiders is Falling Apart</t>
  </si>
  <si>
    <t>2026-01-18T18:00:28Z</t>
  </si>
  <si>
    <t>E-Mj4b1vw5o</t>
  </si>
  <si>
    <t>🔴 WE ARE BACK FOR THE ARC RAIDER GRIND</t>
  </si>
  <si>
    <t>2026-01-16T20:27:07Z</t>
  </si>
  <si>
    <t>WDNClQaUL3Q</t>
  </si>
  <si>
    <t>NO WAY This Actually Happened..</t>
  </si>
  <si>
    <t>2026-01-16T18:00:44Z</t>
  </si>
  <si>
    <t>wP-jrNFPHm0</t>
  </si>
  <si>
    <t>🔴 PLAYING THE NEW ARC RAIDERS UPDATE</t>
  </si>
  <si>
    <t>2026-01-13T22:02:21Z</t>
  </si>
  <si>
    <t>nIyLI-w4dLg</t>
  </si>
  <si>
    <t>The Update Arc Raiders NEEDED</t>
  </si>
  <si>
    <t>2026-01-13T15:28:33Z</t>
  </si>
  <si>
    <t>i4uP8WWpHS8</t>
  </si>
  <si>
    <t>🔴 Finding THE BEST BLUEPRINTS IN ARC RAIDERS</t>
  </si>
  <si>
    <t>2026-01-12T19:38:34Z</t>
  </si>
  <si>
    <t>_ch5XCD1TZM</t>
  </si>
  <si>
    <t>DO YOU THINK WE SURVIVED THIS?</t>
  </si>
  <si>
    <t>2026-01-12T17:01:05Z</t>
  </si>
  <si>
    <t>Npu-FB3QOmA</t>
  </si>
  <si>
    <t>EMBARK.. WAKE UP!</t>
  </si>
  <si>
    <t>2026-01-11T18:30:38Z</t>
  </si>
  <si>
    <t>ZliJyT2zxXw</t>
  </si>
  <si>
    <t>We Killed The QUEEN WITH PICKAXE ONLY</t>
  </si>
  <si>
    <t>2026-01-11T17:30:11Z</t>
  </si>
  <si>
    <t>TJ-EN-U0Goo</t>
  </si>
  <si>
    <t>Ninja Escapes Filthy CHEATERS</t>
  </si>
  <si>
    <t>2026-01-09T17:00:51Z</t>
  </si>
  <si>
    <t>QdMt4p_6fDI</t>
  </si>
  <si>
    <t>🔴 I'M Ready to STEAL YOUR LOOT IN ARC RADIERS</t>
  </si>
  <si>
    <t>2026-01-08T21:47:25Z</t>
  </si>
  <si>
    <t>uYlLjfKBu8U</t>
  </si>
  <si>
    <t>DEFEATING THE QUEEN (EASY)</t>
  </si>
  <si>
    <t>2026-01-08T18:01:14Z</t>
  </si>
  <si>
    <t>WuQpN9XsbCA</t>
  </si>
  <si>
    <t>These Players Will KILL ARC RAIDERS</t>
  </si>
  <si>
    <t>2026-01-07T17:00:54Z</t>
  </si>
  <si>
    <t>3sm-aPiWOOc</t>
  </si>
  <si>
    <t>🔴 Collecting All Blueprints in ARC RAIDERS</t>
  </si>
  <si>
    <t>2026-01-06T21:34:16Z</t>
  </si>
  <si>
    <t>B7BrQU9aryI</t>
  </si>
  <si>
    <t>🔴 Rank 1 ARC RAIDERS GRINDER</t>
  </si>
  <si>
    <t>2026-01-05T22:15:51Z</t>
  </si>
  <si>
    <t>Azn-rSP16_k</t>
  </si>
  <si>
    <t>The Spamming NADES TRICK IN ARC RAIDERS</t>
  </si>
  <si>
    <t>2026-01-05T16:00:27Z</t>
  </si>
  <si>
    <t>LhnzLa-jMlQ</t>
  </si>
  <si>
    <t>Ninja &amp; Tfue ARE ON A DIFFERENT LEVEL</t>
  </si>
  <si>
    <t>2026-01-04T15:00:39Z</t>
  </si>
  <si>
    <t>KYU073uECzM</t>
  </si>
  <si>
    <t>🔴 Taking ARC RAIDERS TO SPACE</t>
  </si>
  <si>
    <t>2026-01-02T19:08:16Z</t>
  </si>
  <si>
    <t>C6Klrpu7xmI</t>
  </si>
  <si>
    <t>ARC RAIDERS IS IN TROUBLE</t>
  </si>
  <si>
    <t>2026-01-02T18:00:13Z</t>
  </si>
  <si>
    <t>xfXQWXuMS3c</t>
  </si>
  <si>
    <t>🔴 NEW YEAR WITH ARC RAIDERS</t>
  </si>
  <si>
    <t>2026-01-01T20:19:50Z</t>
  </si>
  <si>
    <t>62znuR9ULfE</t>
  </si>
  <si>
    <t>🔴 Preparing For A NEW YEAR with ARC RAIDERS</t>
  </si>
  <si>
    <t>2025-12-30T18:25:32Z</t>
  </si>
  <si>
    <t>nviFXiXNDVI</t>
  </si>
  <si>
    <t>2025 Will Be Missed..</t>
  </si>
  <si>
    <t>2025-12-30T18:01:04Z</t>
  </si>
  <si>
    <t>tdmeei-GsKs</t>
  </si>
  <si>
    <t>Epic, This Is A PROBLEM</t>
  </si>
  <si>
    <t>2025-12-29T18:00:57Z</t>
  </si>
  <si>
    <t>KiZz7lZgxC0</t>
  </si>
  <si>
    <t>🔴 ARC RAIDERS WEEKEND GRIND</t>
  </si>
  <si>
    <t>2025-12-27T19:34:59Z</t>
  </si>
  <si>
    <t>pxdoTH9GoYE</t>
  </si>
  <si>
    <t>🔴 ARC RAIDERS POST CHRISTMAS UPDATE</t>
  </si>
  <si>
    <t>2025-12-27T01:21:50Z</t>
  </si>
  <si>
    <t>xbK0V2-LeW8</t>
  </si>
  <si>
    <t>NINJA &amp; TFUE SQUASH THE BEEF</t>
  </si>
  <si>
    <t>2025-12-26T18:01:10Z</t>
  </si>
  <si>
    <t>mN2Ht_2KqoY</t>
  </si>
  <si>
    <t>🔴 ARC RAIDERS CHRISTMAS GAMEPLAY - Part 2</t>
  </si>
  <si>
    <t>2025-12-24T18:18:31Z</t>
  </si>
  <si>
    <t>RWjd-15YRX8</t>
  </si>
  <si>
    <t>🔴 ARC RAIDERS CHRISTMAS GAMEPLAY</t>
  </si>
  <si>
    <t>2025-12-23T22:09:07Z</t>
  </si>
  <si>
    <t>u76FYkEU3S0</t>
  </si>
  <si>
    <t>🔴 ARC RAIDERS #1 GRINDER</t>
  </si>
  <si>
    <t>2025-12-22T21:13:04Z</t>
  </si>
  <si>
    <t>0tb7cdIsYxY</t>
  </si>
  <si>
    <t>A NEW BEGINNING...</t>
  </si>
  <si>
    <t>2025-12-22T18:29:35Z</t>
  </si>
  <si>
    <t>eSA_vzr88YU</t>
  </si>
  <si>
    <t>5 MILLION!</t>
  </si>
  <si>
    <t>2025-12-21T18:00:45Z</t>
  </si>
  <si>
    <t>ThqosxHcW5k</t>
  </si>
  <si>
    <t>Ninja met the craziest camper in Arc Raiders #ninja #arcraiders</t>
  </si>
  <si>
    <t>2025-12-20T18:38:52Z</t>
  </si>
  <si>
    <t>NdvMLD39IyA</t>
  </si>
  <si>
    <t>🔴 TAKING ARC RAIDERS TO SPACE</t>
  </si>
  <si>
    <t>2025-12-19T03:09:17Z</t>
  </si>
  <si>
    <t>OqMOdfKHgd8</t>
  </si>
  <si>
    <t>The Hate Needs to Stop...</t>
  </si>
  <si>
    <t>2025-12-18T18:00:33Z</t>
  </si>
  <si>
    <t>_HxSAeUAX0c</t>
  </si>
  <si>
    <t>🔴 PLAYING ARC RAIDERS NEW UPDATE ALL DAY</t>
  </si>
  <si>
    <t>2025-12-17T20:14:52Z</t>
  </si>
  <si>
    <t>pNgq0OVZioc</t>
  </si>
  <si>
    <t>🔴 EARLY FOR THE NEW ARC RAIDERS UPDATE</t>
  </si>
  <si>
    <t>2025-12-16T21:04:26Z</t>
  </si>
  <si>
    <t>lhvN1honNHY</t>
  </si>
  <si>
    <t>Arc Raiders Snow Fall Update is INSANE!</t>
  </si>
  <si>
    <t>2025-12-16T16:51:22Z</t>
  </si>
  <si>
    <t>lDQ9z2VsGAA</t>
  </si>
  <si>
    <t>🔴 PREPARING FOR ARC RAIDERS NEW UPDATE</t>
  </si>
  <si>
    <t>2025-12-15T21:12:42Z</t>
  </si>
  <si>
    <t>shsAWeuFUqQ</t>
  </si>
  <si>
    <t>After 285 Days. THEY ARE BACK.</t>
  </si>
  <si>
    <t>2025-12-14T18:01:03Z</t>
  </si>
  <si>
    <t>DhRzVvTNodc</t>
  </si>
  <si>
    <t>🔴 STEALING YOUR LOOT IN ARC RAIDERS</t>
  </si>
  <si>
    <t>2025-12-12T23:39:22Z</t>
  </si>
  <si>
    <t>9kc0L2Tg1SY</t>
  </si>
  <si>
    <t>CouRageJD Finally Did it!</t>
  </si>
  <si>
    <t>2025-12-12T00:13:19Z</t>
  </si>
  <si>
    <t>aOUVMR4MgDk</t>
  </si>
  <si>
    <t>🔴 NEW FORTNITE ICON SKIN IS HERE</t>
  </si>
  <si>
    <t>2025-12-11T23:30:29Z</t>
  </si>
  <si>
    <t>OQ_gRahFv9w</t>
  </si>
  <si>
    <t>🔴 Preparing for THE BEST EXPEDITION IN ARC RAIDERS</t>
  </si>
  <si>
    <t>2025-12-10T19:22:21Z</t>
  </si>
  <si>
    <t>mDS-_KTweYk</t>
  </si>
  <si>
    <t>CAN'T TRUST ANYONE IN ARC RAIDERS</t>
  </si>
  <si>
    <t>2025-12-10T18:00:59Z</t>
  </si>
  <si>
    <t>cq1vE7SnN4w</t>
  </si>
  <si>
    <t>🔴 Farming Coins For ARC RAIDERS EXPEDITION</t>
  </si>
  <si>
    <t>2025-12-09T22:35:09Z</t>
  </si>
  <si>
    <t>onyGV5Tv3w4</t>
  </si>
  <si>
    <t>🔴 I'M BACK FOR MORE ARC RAIDERS</t>
  </si>
  <si>
    <t>2025-12-08T22:17:49Z</t>
  </si>
  <si>
    <t>-OcVZHDNaF4</t>
  </si>
  <si>
    <t>Finding Legendary Blueprint in ARC RAIDERS</t>
  </si>
  <si>
    <t>2025-12-08T18:00:00Z</t>
  </si>
  <si>
    <t>uqTV8DcJHJc</t>
  </si>
  <si>
    <t>ARC RAIDERS.. AVOID</t>
  </si>
  <si>
    <t>2025-12-05T18:01:14Z</t>
  </si>
  <si>
    <t>xAiyWRd3nKU</t>
  </si>
  <si>
    <t>🔴 Surviving ARC RAIDERS</t>
  </si>
  <si>
    <t>2025-12-04T02:47:10Z</t>
  </si>
  <si>
    <t>pxgXLQafhDY</t>
  </si>
  <si>
    <t>My Brutally Honest Thoughts on Chapter 7 Fortnite..</t>
  </si>
  <si>
    <t>2025-12-03T18:01:14Z</t>
  </si>
  <si>
    <t>E5BVWZIZ6yk</t>
  </si>
  <si>
    <t>🔴 Collecting Top Tier Blueprints in ARC RAIDERS</t>
  </si>
  <si>
    <t>2025-12-02T21:10:31Z</t>
  </si>
  <si>
    <t>htcfXKRdUr8</t>
  </si>
  <si>
    <t>ARC RAIDERS WORST PLAYERS EVER</t>
  </si>
  <si>
    <t>2025-12-02T18:00:49Z</t>
  </si>
  <si>
    <t>oniMpnvzcvQ</t>
  </si>
  <si>
    <t>They changed EVERYTHING in Fortnite... (Chapter 7)</t>
  </si>
  <si>
    <t>2025-12-01T21:00:10Z</t>
  </si>
  <si>
    <t>vSMxLgFzklQ</t>
  </si>
  <si>
    <t>Chapter 7 Live Event is INSANE</t>
  </si>
  <si>
    <t>2025-11-29T19:45:06Z</t>
  </si>
  <si>
    <t>EyiCg78uLK8</t>
  </si>
  <si>
    <t>🔴 WATCHING FORNTITE CHAPTER 7 LIVE EVENT</t>
  </si>
  <si>
    <t>2025-11-29T19:36:07Z</t>
  </si>
  <si>
    <t>tLQ6Go_Xf8U</t>
  </si>
  <si>
    <t>I Broke Arc Raiders</t>
  </si>
  <si>
    <t>2025-11-29T18:01:06Z</t>
  </si>
  <si>
    <t>Views per subscriber</t>
  </si>
  <si>
    <t>tOwj2EKtpjY</t>
  </si>
  <si>
    <t>days since</t>
  </si>
  <si>
    <t>🔴 ARC RAIDERS ADVENTURES ALL DAY - Part 2</t>
  </si>
  <si>
    <t>2025-11-26T22:19:38Z</t>
  </si>
  <si>
    <t>views per day</t>
  </si>
  <si>
    <t>views per day per sub</t>
  </si>
  <si>
    <t>UMjypyN9JwU</t>
  </si>
  <si>
    <t>🔴 ARC RAIDERS ADVENTURES ALL DAY</t>
  </si>
  <si>
    <t>2025-11-26T19:15:54Z</t>
  </si>
  <si>
    <t>V4vwt4OkfTg</t>
  </si>
  <si>
    <t>ARC RAIDERS WORST ENEMY</t>
  </si>
  <si>
    <t>2025-11-26T18:00:39Z</t>
  </si>
  <si>
    <t>-xpYa83HY9c</t>
  </si>
  <si>
    <t>🔴 ARC RAIDERS RARE BLUEPRINTS ARE MINE</t>
  </si>
  <si>
    <t>2025-11-25T20:24:27Z</t>
  </si>
  <si>
    <t>AUj-0HXZKGQ</t>
  </si>
  <si>
    <t>🔴 In Search For Arc Raiders Blueprints All Day</t>
  </si>
  <si>
    <t>2025-11-24T19:50:25Z</t>
  </si>
  <si>
    <t>zvymcHHahOc</t>
  </si>
  <si>
    <t>ARC RAIDERS BOTS ARE JUST BETTER</t>
  </si>
  <si>
    <t>2025-11-24T18:01:17Z</t>
  </si>
  <si>
    <t>YD51QcsEGHE</t>
  </si>
  <si>
    <t>The GREATEST Escape in Arc Raiders..</t>
  </si>
  <si>
    <t>2025-11-22T18:43:19Z</t>
  </si>
  <si>
    <t>XWZf8x-q_A4</t>
  </si>
  <si>
    <t>🔴 Adventuring ARC Raiders as BUNGULATOR ALL DAY</t>
  </si>
  <si>
    <t>2025-11-21T16:51:14Z</t>
  </si>
  <si>
    <t>QTbpw91bFRM</t>
  </si>
  <si>
    <t>🔴 ARC RAIDERS SPEEDRUN</t>
  </si>
  <si>
    <t>2025-11-20T21:01:47Z</t>
  </si>
  <si>
    <t>gpZ6pEmPNt4</t>
  </si>
  <si>
    <t>JUST DON'T SHOOT BRO</t>
  </si>
  <si>
    <t>2025-11-20T18:00:48Z</t>
  </si>
  <si>
    <t>weSQrdGw6kc</t>
  </si>
  <si>
    <t>🔴 ARC RAIDERS ALL DAY TODAY</t>
  </si>
  <si>
    <t>2025-11-19T21:39:40Z</t>
  </si>
  <si>
    <t>rDAzCxPO4yE</t>
  </si>
  <si>
    <t>What are the Bloodfiends in Elden Ring? | Lore Shorts</t>
  </si>
  <si>
    <t>2026-08-24T06:14:21Z</t>
  </si>
  <si>
    <t>UCe0DNp0mKMqrYVaTundyr9w</t>
  </si>
  <si>
    <t>VaatiVidya</t>
  </si>
  <si>
    <t>rh2XRuhlHNY</t>
  </si>
  <si>
    <t>I Played 12 Hours of The Duskbloods</t>
  </si>
  <si>
    <t>2026-08-20T14:00:07Z</t>
  </si>
  <si>
    <t>Y9zzGCslnag</t>
  </si>
  <si>
    <t>Who is Ensha in Elden Ring? | Lore Shorts</t>
  </si>
  <si>
    <t>2026-08-14T19:02:30Z</t>
  </si>
  <si>
    <t>L7rAPQQJKFg</t>
  </si>
  <si>
    <t>Who is Rya in Elden Ring? | Lore Shorts</t>
  </si>
  <si>
    <t>2026-08-04T02:01:45Z</t>
  </si>
  <si>
    <t>ZIzzfKVtdPM</t>
  </si>
  <si>
    <t>Why Does Gideon Block Our Path in Elden Ring?</t>
  </si>
  <si>
    <t>2026-07-25T00:43:37Z</t>
  </si>
  <si>
    <t>VOVRV6UHKXQ</t>
  </si>
  <si>
    <t>Who is the Shanehaight Noble in Elden Ring? | Lore Shorts</t>
  </si>
  <si>
    <t>2026-07-16T02:29:16Z</t>
  </si>
  <si>
    <t>normalized views per day per sub</t>
  </si>
  <si>
    <t>xZU14rP5sNw</t>
  </si>
  <si>
    <t>Who is the Dancer of Ranah in Elden Ring? | Lore Shorts</t>
  </si>
  <si>
    <t>2026-06-29T19:23:09Z</t>
  </si>
  <si>
    <t>spaces</t>
  </si>
  <si>
    <t>question marks</t>
  </si>
  <si>
    <t>dWvqgxQGTPE</t>
  </si>
  <si>
    <t>Who is Diallos in Elden Ring? | Lore Shorts</t>
  </si>
  <si>
    <t>nvpdps</t>
  </si>
  <si>
    <t>2026-06-24T08:12:21Z</t>
  </si>
  <si>
    <t>length of title</t>
  </si>
  <si>
    <t>K9jBL5hrsMM</t>
  </si>
  <si>
    <t>Who is Aurelia in Elden Ring? | Lore Shorts</t>
  </si>
  <si>
    <t>2026-06-11T10:31:36Z</t>
  </si>
  <si>
    <t>01QA1Nz80z0</t>
  </si>
  <si>
    <t>What's Special about the Turtles in Elden Ring? | Lore Shorts</t>
  </si>
  <si>
    <t>2026-06-03T10:31:44Z</t>
  </si>
  <si>
    <t>A7ZmqgnIXnE</t>
  </si>
  <si>
    <t>Who was Asimi in Elden Ring? | Lore Shorts</t>
  </si>
  <si>
    <t>2026-05-27T06:11:31Z</t>
  </si>
  <si>
    <t>AWUYE6eJO3k</t>
  </si>
  <si>
    <t>Building a Secret Moon Base</t>
  </si>
  <si>
    <t>2026-07-27T14:00:04Z</t>
  </si>
  <si>
    <t>UCsXVk37bltHxD1rDPwtNM8Q</t>
  </si>
  <si>
    <t>Kurzgesagt – In a Nutshell</t>
  </si>
  <si>
    <t>fw2O7m-VdDs</t>
  </si>
  <si>
    <t>Who Crafted the Golems in Elden Ring? | Lore Shorts</t>
  </si>
  <si>
    <t>2026-05-20T23:21:08Z</t>
  </si>
  <si>
    <t>Education</t>
  </si>
  <si>
    <t>PAVo99Lx_Vk</t>
  </si>
  <si>
    <t>Who are Yura and Eleonora in Elden Ring? | Lore Shorts</t>
  </si>
  <si>
    <t>2026-05-12T07:34:11Z</t>
  </si>
  <si>
    <t>4rQtA0yaOUM</t>
  </si>
  <si>
    <t>Who is Roderika in Elden Ring? | Lore Shorts</t>
  </si>
  <si>
    <t>2026-05-05T02:58:14Z</t>
  </si>
  <si>
    <t>Xh-AepEG3PA</t>
  </si>
  <si>
    <t>Who is Sir Gideon the All-Knowing in Elden Ring? | Lore Shorts</t>
  </si>
  <si>
    <t>2026-04-28T06:13:28Z</t>
  </si>
  <si>
    <t>7iBd3bxU-uE</t>
  </si>
  <si>
    <t>An Elden Ring Movie ► The Twin Horses of Windwail Knoll</t>
  </si>
  <si>
    <t>2026-03-14T19:45:28Z</t>
  </si>
  <si>
    <t>e4v-vymG_hs</t>
  </si>
  <si>
    <t>The Story of the Ironeye &amp; the Raider in Elden Ring: Nightreign</t>
  </si>
  <si>
    <t>2026-02-18T11:27:45Z</t>
  </si>
  <si>
    <t>kTxm8tUj4tE</t>
  </si>
  <si>
    <t>Who is Gladius in Elden Ring: Nightreign?</t>
  </si>
  <si>
    <t>2026-02-09T05:24:24Z</t>
  </si>
  <si>
    <t>TFWUX_j1sBE</t>
  </si>
  <si>
    <t>The Story of the Scholar &amp; the Undertaker in Elden Ring: Nightreign</t>
  </si>
  <si>
    <t>2026-01-24T10:52:41Z</t>
  </si>
  <si>
    <t>Pehj-iOyR6k</t>
  </si>
  <si>
    <t>What is the Augur in Elden Ring: Nightreign?</t>
  </si>
  <si>
    <t>2026-01-16T09:53:13Z</t>
  </si>
  <si>
    <t>wDvJViynaOE</t>
  </si>
  <si>
    <t>Who is Caligo in Elden Ring: Nightreign?</t>
  </si>
  <si>
    <t>2026-01-08T00:45:55Z</t>
  </si>
  <si>
    <t>QiQfnB588cE</t>
  </si>
  <si>
    <t>Who are the Balancers in Elden Ring: Nightreign?</t>
  </si>
  <si>
    <t>2025-12-18T00:32:37Z</t>
  </si>
  <si>
    <t>vuzowlPb_74</t>
  </si>
  <si>
    <t>Who is the Dreglord in Elden Ring: Nightreign?</t>
  </si>
  <si>
    <t>2025-12-14T06:36:47Z</t>
  </si>
  <si>
    <t>vg1SG72x258</t>
  </si>
  <si>
    <t>Who is the Baron of Night in Elden Ring: Nightreign?</t>
  </si>
  <si>
    <t>2025-12-06T07:08:36Z</t>
  </si>
  <si>
    <t>ZQ_tgXB4u2Q</t>
  </si>
  <si>
    <t>The Story of the Executor &amp; the Revenant in Elden Ring: Nightreign</t>
  </si>
  <si>
    <t>2025-11-28T10:40:28Z</t>
  </si>
  <si>
    <t>jMtuCP-BERM</t>
  </si>
  <si>
    <t>I'm Writing a Book About Elden Ring's Lore!</t>
  </si>
  <si>
    <t>2025-11-18T13:15:05Z</t>
  </si>
  <si>
    <t>38nE5IEw5Z8</t>
  </si>
  <si>
    <t>The Story of the Guardian &amp; the Recluse in Elden Ring: Nightreign</t>
  </si>
  <si>
    <t>2025-11-18T13:13:45Z</t>
  </si>
  <si>
    <t>Zc-6oP5XFmQ</t>
  </si>
  <si>
    <t>Who is the Darkdrift Knight in Elden Ring: Nightreign?</t>
  </si>
  <si>
    <t>2025-10-26T19:36:03Z</t>
  </si>
  <si>
    <t>0EvoXCG8aJU</t>
  </si>
  <si>
    <t>Who is the Misbegotten Blacksmith in Elden Ring? | Lore Shorts</t>
  </si>
  <si>
    <t>2025-10-14T23:06:41Z</t>
  </si>
  <si>
    <t>L_vvsj3li9k</t>
  </si>
  <si>
    <t>Who is the Equilibrious Beast in Elden Ring: Nightreign? | Lore Shorts</t>
  </si>
  <si>
    <t>2025-10-07T20:22:24Z</t>
  </si>
  <si>
    <t>lkRm2Y8IbcE</t>
  </si>
  <si>
    <t>What is the Sentient Pest in Elden Ring: Nightreign? | Lore Shorts</t>
  </si>
  <si>
    <t>2025-09-30T04:55:31Z</t>
  </si>
  <si>
    <t>-9FXm1IEwHY</t>
  </si>
  <si>
    <t>The Lore of Elden Ring: Nightreign</t>
  </si>
  <si>
    <t>2025-07-10T11:33:10Z</t>
  </si>
  <si>
    <t>QjTK-YJnoFg</t>
  </si>
  <si>
    <t>The Lore of Elden Ring is Unhinged</t>
  </si>
  <si>
    <t>2025-06-28T06:30:58Z</t>
  </si>
  <si>
    <t>usiqXwQDrnY</t>
  </si>
  <si>
    <t>The Secret to Every Nightfarer in Elden Ring: Nightreign</t>
  </si>
  <si>
    <t>2025-05-31T17:28:17Z</t>
  </si>
  <si>
    <t>_RnmOrSMX74</t>
  </si>
  <si>
    <t>15 Useful Map Secrets in Elden Ring: Nightreign!</t>
  </si>
  <si>
    <t>2025-05-29T22:15:02Z</t>
  </si>
  <si>
    <t>AR3b32G9o8s</t>
  </si>
  <si>
    <t>The Lore of Elden Ring is Mesmerising</t>
  </si>
  <si>
    <t>2025-04-19T19:12:17Z</t>
  </si>
  <si>
    <t>4bzAAozp87g</t>
  </si>
  <si>
    <t>From Software's New Game is  ̶B̶l̶o̶o̶d̶b̶o̶r̶n̶e̶ ̶2̶  The Duskbloods</t>
  </si>
  <si>
    <t>2025-04-05T03:11:18Z</t>
  </si>
  <si>
    <t>7xjW5oGlcUM</t>
  </si>
  <si>
    <t>I Played Elden Ring: Nightreign for 6 Hours</t>
  </si>
  <si>
    <t>2025-02-12T14:00:18Z</t>
  </si>
  <si>
    <t>LJP3V3PW-vQ</t>
  </si>
  <si>
    <t>The Lore of Elden Ring is Divine</t>
  </si>
  <si>
    <t>2025-02-01T01:52:50Z</t>
  </si>
  <si>
    <t>E2ViP3nO8pc</t>
  </si>
  <si>
    <t>An Elden Ring Movie ► The Poison of Thiollier</t>
  </si>
  <si>
    <t>2025-01-14T02:30:11Z</t>
  </si>
  <si>
    <t>sckrqddGOUY</t>
  </si>
  <si>
    <t>What it's like to play Elden Ring: Nightreign</t>
  </si>
  <si>
    <t>2024-12-14T04:31:18Z</t>
  </si>
  <si>
    <t>p55vpaEwogc</t>
  </si>
  <si>
    <t>The Lore of Elden Ring is in Ruins</t>
  </si>
  <si>
    <t>2024-11-22T19:45:21Z</t>
  </si>
  <si>
    <t>RZwibA4TjRk</t>
  </si>
  <si>
    <t>The Lore of Elden Ring is FOUL</t>
  </si>
  <si>
    <t>2024-10-01T19:44:13Z</t>
  </si>
  <si>
    <t>mtkaUVo7Z0g</t>
  </si>
  <si>
    <t>The Lore of Elden Ring is Insane</t>
  </si>
  <si>
    <t>2024-08-19T01:15:55Z</t>
  </si>
  <si>
    <t>VscKtjLG9XU</t>
  </si>
  <si>
    <t>An Elden Ring Movie ► Children of the Scarlet Rot</t>
  </si>
  <si>
    <t>2024-07-22T18:46:52Z</t>
  </si>
  <si>
    <t>2cK8l5Yg5w8</t>
  </si>
  <si>
    <t>The Deadliest Thing in Your Kitchen</t>
  </si>
  <si>
    <t>2026-07-23T14:00:17Z</t>
  </si>
  <si>
    <t>pn8ETIB7smg</t>
  </si>
  <si>
    <t>15 Amazing Secrets in the Shadow of the Erdtree DLC</t>
  </si>
  <si>
    <t>2024-07-06T10:29:48Z</t>
  </si>
  <si>
    <t>ldTQoUxROzY</t>
  </si>
  <si>
    <t>Lore Revelations in the Shadow of the Erdtree</t>
  </si>
  <si>
    <t>2024-06-29T16:31:20Z</t>
  </si>
  <si>
    <t>BBZKE-v6OpQ</t>
  </si>
  <si>
    <t>Thoroughly exploring the first area of Elden Ring's DLC</t>
  </si>
  <si>
    <t>2024-06-21T07:31:21Z</t>
  </si>
  <si>
    <t>99eUyVy01CU</t>
  </si>
  <si>
    <t>The Lore of Elden Ring is Blasphemous</t>
  </si>
  <si>
    <t>2024-06-16T20:00:06Z</t>
  </si>
  <si>
    <t>nP9EOmSFbvk</t>
  </si>
  <si>
    <t>So I've played 3 hours of Elden Ring's DLC...</t>
  </si>
  <si>
    <t>2024-06-04T14:01:19Z</t>
  </si>
  <si>
    <t>iSN9n4jxTsQ</t>
  </si>
  <si>
    <t>Elden Ring's new story trailer is hiding something</t>
  </si>
  <si>
    <t>2024-05-24T06:41:10Z</t>
  </si>
  <si>
    <t>4n9eakXNsIQ</t>
  </si>
  <si>
    <t>The Entire Story of Armored Core 6</t>
  </si>
  <si>
    <t>2024-05-19T05:20:12Z</t>
  </si>
  <si>
    <t>09eToxpyx9U</t>
  </si>
  <si>
    <t>Metal Posters inspired by Elden Ring, Dark Souls, Bloodborne, Demon's Souls and Sekiro</t>
  </si>
  <si>
    <t>2024-04-13T18:37:16Z</t>
  </si>
  <si>
    <t>uVlMWVP5GJk</t>
  </si>
  <si>
    <t>The True Cost of War</t>
  </si>
  <si>
    <t>0E7R0spaeQw</t>
  </si>
  <si>
    <t>2026-07-06T14:00:09Z</t>
  </si>
  <si>
    <t>How to Fully Prepare for Elden Ring's DLC</t>
  </si>
  <si>
    <t>2024-03-26T17:37:27Z</t>
  </si>
  <si>
    <t>Q1LY7dBHEws</t>
  </si>
  <si>
    <t>The Lore of Elden Ring is Cursed</t>
  </si>
  <si>
    <t>2024-03-11T14:24:48Z</t>
  </si>
  <si>
    <t>-q72A1eNcBg</t>
  </si>
  <si>
    <t>Secrets in the Shadow of the Erdtree</t>
  </si>
  <si>
    <t>2024-02-24T13:29:08Z</t>
  </si>
  <si>
    <t>ueekTHvdYiE</t>
  </si>
  <si>
    <t>What are the Rune Bears in Elden Ring? | Lore Shorts</t>
  </si>
  <si>
    <t>2024-02-02T18:11:23Z</t>
  </si>
  <si>
    <t>PvYHhsjm684</t>
  </si>
  <si>
    <t>The Lore of Elden Ring's Dragons</t>
  </si>
  <si>
    <t>2024-01-26T18:30:11Z</t>
  </si>
  <si>
    <t>CEAlCjhVct8</t>
  </si>
  <si>
    <t>Who are the Champions in Elden Ring? | Lore Shorts</t>
  </si>
  <si>
    <t>2023-12-12T10:23:34Z</t>
  </si>
  <si>
    <t>Ebpi8lDhjxk</t>
  </si>
  <si>
    <t>Who are the Prisoners in Elden Ring? | Lore Shorts</t>
  </si>
  <si>
    <t>2023-12-04T00:32:31Z</t>
  </si>
  <si>
    <t>hKrNt70tsVs</t>
  </si>
  <si>
    <t>Who are the Confessors in Elden Ring? | Lore Shorts</t>
  </si>
  <si>
    <t>2023-11-24T16:03:22Z</t>
  </si>
  <si>
    <t>GFh7XNygcBs</t>
  </si>
  <si>
    <t>50 Things You Missed in Armored Core 6</t>
  </si>
  <si>
    <t>2023-11-18T23:59:44Z</t>
  </si>
  <si>
    <t>1lS-8guYvsg</t>
  </si>
  <si>
    <t>The Search for the Best Build in Armored Core 6</t>
  </si>
  <si>
    <t>2023-09-30T18:15:02Z</t>
  </si>
  <si>
    <t>N2FOxjtv5ns</t>
  </si>
  <si>
    <t>What is El Niño?</t>
  </si>
  <si>
    <t>2026-07-01T14:00:35Z</t>
  </si>
  <si>
    <t>ytpW5uIzwVs</t>
  </si>
  <si>
    <t>15 Mysterious Secrets in Elden Ring and Dark Souls!</t>
  </si>
  <si>
    <t>2023-09-19T15:03:43Z</t>
  </si>
  <si>
    <t>-IMWQTryQLQ</t>
  </si>
  <si>
    <t>25 Advanced Tips for Armored Core 6!</t>
  </si>
  <si>
    <t>2023-08-31T05:53:50Z</t>
  </si>
  <si>
    <t>Io8O6Jdp8lQ</t>
  </si>
  <si>
    <t>The Comprehensive Beginner's Guide to Armored Core 6</t>
  </si>
  <si>
    <t>2023-08-25T16:32:03Z</t>
  </si>
  <si>
    <t>eOs61JUzYBw</t>
  </si>
  <si>
    <t>Can You Beat Armored Core 6 Without Taking Damage?</t>
  </si>
  <si>
    <t>2023-08-24T22:00:07Z</t>
  </si>
  <si>
    <t>cbWXHMVWYkQ</t>
  </si>
  <si>
    <t>An Elden Ring Movie ► Age of the Stars</t>
  </si>
  <si>
    <t>2023-08-20T01:00:15Z</t>
  </si>
  <si>
    <t>1c1crLkr56E</t>
  </si>
  <si>
    <t>I played Armored Core 6. It's incredible.</t>
  </si>
  <si>
    <t>2023-07-25T15:00:14Z</t>
  </si>
  <si>
    <t>Tix0P-ynx08</t>
  </si>
  <si>
    <t>15 Fabulous Secrets in Elden Ring!</t>
  </si>
  <si>
    <t>2023-07-19T09:24:30Z</t>
  </si>
  <si>
    <t>Gn-KqiRv0XI</t>
  </si>
  <si>
    <t>The World’s Most Average Person</t>
  </si>
  <si>
    <t>2026-06-29T14:00:17Z</t>
  </si>
  <si>
    <t>koI5u-A0WII</t>
  </si>
  <si>
    <t>Who was "Okina" in Elden Ring? | Lore Shorts</t>
  </si>
  <si>
    <t>2023-06-24T03:51:33Z</t>
  </si>
  <si>
    <t>nUTPLucLU5I</t>
  </si>
  <si>
    <t>An Extended Look at Armored Core 6</t>
  </si>
  <si>
    <t>2023-06-14T14:02:11Z</t>
  </si>
  <si>
    <t>jNgY-kTPY3Q</t>
  </si>
  <si>
    <t>I played 15 of From Software's HARDEST games</t>
  </si>
  <si>
    <t>2023-06-10T14:08:57Z</t>
  </si>
  <si>
    <t>H1yLnVkaALw</t>
  </si>
  <si>
    <t>15 Remarkable Secrets in Elden Ring!</t>
  </si>
  <si>
    <t>2023-05-02T17:33:36Z</t>
  </si>
  <si>
    <t>wkmnaMLCfAQ</t>
  </si>
  <si>
    <t>This is what it's like to play Armored Core 6</t>
  </si>
  <si>
    <t>2023-04-29T17:27:36Z</t>
  </si>
  <si>
    <t>UV3P8c5kNNQ</t>
  </si>
  <si>
    <t>The Lore of Elden Ring is Rotten</t>
  </si>
  <si>
    <t>bo7QgxhrGnw</t>
  </si>
  <si>
    <t>2023-04-23T17:42:18Z</t>
  </si>
  <si>
    <t>Processed Food Won’t Kill You</t>
  </si>
  <si>
    <t>2026-06-22T14:00:06Z</t>
  </si>
  <si>
    <t>3uRGaOYyFlQ</t>
  </si>
  <si>
    <t>Who are the Perfumers in Elden Ring? | Lore Shorts</t>
  </si>
  <si>
    <t>2023-04-09T17:35:39Z</t>
  </si>
  <si>
    <t>ROCI44fYh-k</t>
  </si>
  <si>
    <t>Who are the Wormfaces in Elden Ring? | Lore Shorts</t>
  </si>
  <si>
    <t>2023-04-03T19:17:54Z</t>
  </si>
  <si>
    <t>XEMZIAeBO-E</t>
  </si>
  <si>
    <t>An Elden Ring Movie ► Age of the Duskborn</t>
  </si>
  <si>
    <t>2023-03-22T23:30:10Z</t>
  </si>
  <si>
    <t>XCdafrFRr3o</t>
  </si>
  <si>
    <t>15 Marvelous Secrets in Elden Ring!</t>
  </si>
  <si>
    <t>2023-03-13T22:29:55Z</t>
  </si>
  <si>
    <t>JJaMsNpzmMc</t>
  </si>
  <si>
    <t>An Art Book Inspired by Elden Ring, Dark Souls, Bloodborne 2, Demon's Souls &amp; Sekiro...</t>
  </si>
  <si>
    <t>2023-03-03T08:11:23Z</t>
  </si>
  <si>
    <t>qYZphgX0YBs</t>
  </si>
  <si>
    <t>What Should We Expect from Elden Ring's "Shadow of the Erdtree" DLC?</t>
  </si>
  <si>
    <t>2023-03-01T05:08:08Z</t>
  </si>
  <si>
    <t>PqtggjVAi8M</t>
  </si>
  <si>
    <t>OJRUkMcWlgo</t>
  </si>
  <si>
    <t>How Are Memories Stored Inside Your Brain?</t>
  </si>
  <si>
    <t>Who are the Oracle Envoys in Elden Ring? | Lore Shorts</t>
  </si>
  <si>
    <t>2026-06-16T14:00:03Z</t>
  </si>
  <si>
    <t>2023-02-23T15:26:56Z</t>
  </si>
  <si>
    <t>VArpDm95J4M</t>
  </si>
  <si>
    <t>20 Shocking Secrets in Elden Ring, Dark Souls, Bloodborne, Sekiro and Demon's Souls!</t>
  </si>
  <si>
    <t>2023-02-16T17:24:19Z</t>
  </si>
  <si>
    <t>aacRIObSGZk</t>
  </si>
  <si>
    <t>The Lore of Elden Ring's Slumbering Demigod</t>
  </si>
  <si>
    <t>2023-02-10T18:22:23Z</t>
  </si>
  <si>
    <t>02C3VOw7dG4</t>
  </si>
  <si>
    <t>Who is the Bell Bearing Hunter in Elden Ring? | Lore Shorts</t>
  </si>
  <si>
    <t>2023-01-27T16:24:47Z</t>
  </si>
  <si>
    <t>q_aG6GZmTaw</t>
  </si>
  <si>
    <t>Who are the Thorn Sorcerers in Elden Ring? | Lore Shorts</t>
  </si>
  <si>
    <t>2023-01-20T21:28:38Z</t>
  </si>
  <si>
    <t>cqYefPrvEhI</t>
  </si>
  <si>
    <t>The Lore of Elden Ring's Cosmic Sorcerers</t>
  </si>
  <si>
    <t>2023-01-13T00:05:50Z</t>
  </si>
  <si>
    <t>DovRQa6UM6o</t>
  </si>
  <si>
    <t>Who are the Guardians of the Flame in Elden Ring? | Lore Shorts</t>
  </si>
  <si>
    <t>2023-01-06T17:20:58Z</t>
  </si>
  <si>
    <t>lEJ7ThV6Odo</t>
  </si>
  <si>
    <t>Who are the Vulgar Militiamen in Elden Ring? | Lore Shorts</t>
  </si>
  <si>
    <t>2022-12-30T15:00:25Z</t>
  </si>
  <si>
    <t>XUStGNx45wQ</t>
  </si>
  <si>
    <t>The Power of 1%</t>
  </si>
  <si>
    <t>2026-06-15T14:00:16Z</t>
  </si>
  <si>
    <t>SeKjS-rI-1Y</t>
  </si>
  <si>
    <t>Who are the Kaiden Riders in Elden Ring? | Lore Shorts</t>
  </si>
  <si>
    <t>2022-12-23T15:00:16Z</t>
  </si>
  <si>
    <t>6VVP_gFOI2Y</t>
  </si>
  <si>
    <t>Who are the Dancing Women in Elden Ring? | Lore Shorts</t>
  </si>
  <si>
    <t>2022-12-17T17:56:46Z</t>
  </si>
  <si>
    <t>vtD_fU_XN3g</t>
  </si>
  <si>
    <t>15 Fantastic Secrets in Elden Ring!</t>
  </si>
  <si>
    <t>2022-12-16T18:11:14Z</t>
  </si>
  <si>
    <t>3DUVyBLLNPY</t>
  </si>
  <si>
    <t>Should You Be Excited for Armored Core 6? [New Game by From Software]</t>
  </si>
  <si>
    <t>2022-12-09T19:25:19Z</t>
  </si>
  <si>
    <t>UHMk3jG39C0</t>
  </si>
  <si>
    <t>15 MORE Fascinating Lore Secrets in Elden Ring!</t>
  </si>
  <si>
    <t>2022-12-01T15:25:34Z</t>
  </si>
  <si>
    <t>nvTM03_8elE</t>
  </si>
  <si>
    <t>An Elden Ring Movie ► The Blessing of Despair</t>
  </si>
  <si>
    <t>2022-11-14T21:19:52Z</t>
  </si>
  <si>
    <t>2acc7oyXIZI</t>
  </si>
  <si>
    <t>cPYTNdcCQjs</t>
  </si>
  <si>
    <t>25 Surprising Secrets in Elden Ring!</t>
  </si>
  <si>
    <t>Let’s Steal a New Moon</t>
  </si>
  <si>
    <t>2022-10-14T17:22:51Z</t>
  </si>
  <si>
    <t>2026-06-10T14:00:28Z</t>
  </si>
  <si>
    <t>WOJ5rCT_D6Q</t>
  </si>
  <si>
    <t>The Lore of Elden Ring is Eternal</t>
  </si>
  <si>
    <t>2022-10-10T18:23:16Z</t>
  </si>
  <si>
    <t>UXn6aDxC-s0</t>
  </si>
  <si>
    <t>The Search for the Best Build in Elden Ring</t>
  </si>
  <si>
    <t>2022-09-18T17:48:00Z</t>
  </si>
  <si>
    <t>OJVpsT2_1PU</t>
  </si>
  <si>
    <t>The Lore of Elden Ring's Bosses (that served the Golden Order)</t>
  </si>
  <si>
    <t>2022-08-25T16:24:16Z</t>
  </si>
  <si>
    <t>UFJtoVS8Qx0</t>
  </si>
  <si>
    <t>An Elden Ring Movie ► The Lord of Frenzied Flame</t>
  </si>
  <si>
    <t>2022-08-18T16:30:14Z</t>
  </si>
  <si>
    <t>SagXrBEvMvA</t>
  </si>
  <si>
    <t>25 Enlightening Secrets in Elden Ring!</t>
  </si>
  <si>
    <t>2022-07-30T06:19:56Z</t>
  </si>
  <si>
    <t>PWKHO7DYIH8</t>
  </si>
  <si>
    <t>An art book inspired by Dark Souls, Elden Ring, Bloodborne, Sekiro and Demon's Souls</t>
  </si>
  <si>
    <t>xfyKqOmr7Wk</t>
  </si>
  <si>
    <t>2022-07-26T21:00:28Z</t>
  </si>
  <si>
    <t>Your Brain Peaked at Birth</t>
  </si>
  <si>
    <t>2026-06-04T14:00:12Z</t>
  </si>
  <si>
    <t>IJ_J8TlR9Hs</t>
  </si>
  <si>
    <t>The Lore of Elden Ring's Bosses (feat. Death's Kindred)</t>
  </si>
  <si>
    <t>2022-07-11T17:42:17Z</t>
  </si>
  <si>
    <t>ikUiOKTv-Y8</t>
  </si>
  <si>
    <t>An Elden Ring Movie ► The Warrior Within</t>
  </si>
  <si>
    <t>2022-06-29T06:48:06Z</t>
  </si>
  <si>
    <t>qlQ4jaKoN7A</t>
  </si>
  <si>
    <t>10 Incredible Cut Content Secrets in Elden Ring!</t>
  </si>
  <si>
    <t>2022-05-26T05:11:13Z</t>
  </si>
  <si>
    <t>k19jPvLeans</t>
  </si>
  <si>
    <t>Elden Ring's Demigods ► Explained!</t>
  </si>
  <si>
    <t>2022-05-21T16:40:04Z</t>
  </si>
  <si>
    <t>HLLofrwRlBg</t>
  </si>
  <si>
    <t>10 Crazy Useful Gameplay Secrets in Elden Ring!</t>
  </si>
  <si>
    <t>2022-05-02T23:39:31Z</t>
  </si>
  <si>
    <t>ikHozRC8uPQ</t>
  </si>
  <si>
    <t>10 Fascinating Lore Discoveries in Elden Ring!</t>
  </si>
  <si>
    <t>2022-04-19T20:17:42Z</t>
  </si>
  <si>
    <t>EIJhxr2wl64</t>
  </si>
  <si>
    <t>DYDs_Inzkz4</t>
  </si>
  <si>
    <t>The Deadliest Year of Your Life</t>
  </si>
  <si>
    <t>Elden Ring's Lore ► Explained!</t>
  </si>
  <si>
    <t>2026-06-01T14:19:25Z</t>
  </si>
  <si>
    <t>2022-04-08T19:19:39Z</t>
  </si>
  <si>
    <t>NUcFkpIVEHA</t>
  </si>
  <si>
    <t>The 15 Noteworthy Secrets of Elden Ring!</t>
  </si>
  <si>
    <t>2022-03-20T17:50:09Z</t>
  </si>
  <si>
    <t>vEQCRFcIogY</t>
  </si>
  <si>
    <t>15 MORE Essential Discoveries in Elden Ring</t>
  </si>
  <si>
    <t>2022-03-14T22:13:08Z</t>
  </si>
  <si>
    <t>GYI5Z3jhKB4</t>
  </si>
  <si>
    <t>Get Overpowered Early in Elden Ring!</t>
  </si>
  <si>
    <t>2022-03-04T21:16:53Z</t>
  </si>
  <si>
    <t>ROfpXIMP41Q</t>
  </si>
  <si>
    <t>A Powerful Start to Elden Ring | Weeping Peninsula</t>
  </si>
  <si>
    <t>2022-02-27T13:50:12Z</t>
  </si>
  <si>
    <t>NLdZ8Zex1cw</t>
  </si>
  <si>
    <t>The Beginner's Guide to Elden Ring</t>
  </si>
  <si>
    <t>2022-02-26T02:33:24Z</t>
  </si>
  <si>
    <t>sq55bVmojCA</t>
  </si>
  <si>
    <t>10 Essential Early-Game Discoveries in Elden Ring</t>
  </si>
  <si>
    <t>2022-02-25T00:20:51Z</t>
  </si>
  <si>
    <t>8qQW4LTWgtc</t>
  </si>
  <si>
    <t>TvuWn6KsGik</t>
  </si>
  <si>
    <t>Why Earth Sucks Compared to the Planet Hestia</t>
  </si>
  <si>
    <t>The Pre-Release Lore of Elden Ring</t>
  </si>
  <si>
    <t>2026-05-26T14:00:08Z</t>
  </si>
  <si>
    <t>2022-02-19T19:04:46Z</t>
  </si>
  <si>
    <t>BIA1IlZKYoQ</t>
  </si>
  <si>
    <t>I Played the Final Build of Elden Ring</t>
  </si>
  <si>
    <t>2022-02-10T15:07:44Z</t>
  </si>
  <si>
    <t>N5cQh6Xj-fA</t>
  </si>
  <si>
    <t>Elden Ring's Story Trailer is Fascinating</t>
  </si>
  <si>
    <t>2021-12-11T12:17:37Z</t>
  </si>
  <si>
    <t>7BonYf3e5K4</t>
  </si>
  <si>
    <t>A Desperate Final Playthrough of Elden Ring</t>
  </si>
  <si>
    <t>2021-12-03T17:27:16Z</t>
  </si>
  <si>
    <t>KD8I0ZvuR9o</t>
  </si>
  <si>
    <t>10 Things You Should Know Before Playing Elden Ring</t>
  </si>
  <si>
    <t>2021-11-18T19:34:50Z</t>
  </si>
  <si>
    <t>Z-IK5Q_nYF0</t>
  </si>
  <si>
    <t>The Best Parts of Elden Ring's Network Test!</t>
  </si>
  <si>
    <t>2021-11-12T09:20:14Z</t>
  </si>
  <si>
    <t>R9DWTt37khU</t>
  </si>
  <si>
    <t>A Magical First Playthrough of Elden Ring</t>
  </si>
  <si>
    <t>2021-11-10T15:00:22Z</t>
  </si>
  <si>
    <t>fciP89-aDqE</t>
  </si>
  <si>
    <t>Revealing the Glorious World of Elden Ring</t>
  </si>
  <si>
    <t>2021-11-04T22:17:40Z</t>
  </si>
  <si>
    <t>TYhNHX372ek</t>
  </si>
  <si>
    <t>The Uncomfortable Truth About Ozempic (Updated Version)</t>
  </si>
  <si>
    <t>2026-05-19T14:00:15Z</t>
  </si>
  <si>
    <t>dpIp6Rkle6U</t>
  </si>
  <si>
    <t>Demon's Souls Story ► The Evil in Latria</t>
  </si>
  <si>
    <t>2021-10-16T16:19:10Z</t>
  </si>
  <si>
    <t>KsxDf9PI-rg</t>
  </si>
  <si>
    <t>15 Overlooked Secrets in Dark Souls, Bloodborne, Demon's Souls &amp; Sekiro</t>
  </si>
  <si>
    <t>2021-09-12T08:38:45Z</t>
  </si>
  <si>
    <t>Jidv7wehajY</t>
  </si>
  <si>
    <t>I've Seen 16 Minutes of New ELDEN RING Gameplay (but I can't show it lol)</t>
  </si>
  <si>
    <t>2021-08-28T03:23:33Z</t>
  </si>
  <si>
    <t>xTeIKcZpuS0</t>
  </si>
  <si>
    <t>Introducing: Soul Arts</t>
  </si>
  <si>
    <t>2021-08-14T14:54:11Z</t>
  </si>
  <si>
    <t>VU4IQzdauEg</t>
  </si>
  <si>
    <t>The Pre-Release Story of ELDEN RING</t>
  </si>
  <si>
    <t>2021-07-27T19:57:14Z</t>
  </si>
  <si>
    <t>NJltV720kuY</t>
  </si>
  <si>
    <t>There are Hundreds of Secrets in the ELDEN RING Trailer</t>
  </si>
  <si>
    <t>2021-07-03T16:06:36Z</t>
  </si>
  <si>
    <t>DfB2qYJqAkA</t>
  </si>
  <si>
    <t>Where Did the Antimatter Go?</t>
  </si>
  <si>
    <t>x2XK5nxm5r0</t>
  </si>
  <si>
    <t>ELDEN RING is More Than Big Dark Souls</t>
  </si>
  <si>
    <t>2026-05-18T14:00:30Z</t>
  </si>
  <si>
    <t>2021-06-16T13:29:43Z</t>
  </si>
  <si>
    <t>zjVr9F-fXIQ</t>
  </si>
  <si>
    <t>ELDEN RING GAMEPLAY FINALLY REVEALED</t>
  </si>
  <si>
    <t>2021-06-11T21:24:52Z</t>
  </si>
  <si>
    <t>Jvl2rzo1fN0</t>
  </si>
  <si>
    <t>Demon's Souls Story ► The Defilement of God</t>
  </si>
  <si>
    <t>2021-05-26T22:50:50Z</t>
  </si>
  <si>
    <t>rhpZhZV3XTY</t>
  </si>
  <si>
    <t>The Nightmarish Worlds of Bloodborne 2 [Art Competition]</t>
  </si>
  <si>
    <t>2021-05-05T15:30:17Z</t>
  </si>
  <si>
    <t>MibAocCxXqw</t>
  </si>
  <si>
    <t>Demon's Souls Story ► The Fall of Boletaria</t>
  </si>
  <si>
    <t>2021-04-25T16:07:02Z</t>
  </si>
  <si>
    <t>9R46dxmxn7U</t>
  </si>
  <si>
    <t>10 Mysterious Secrets in Dark Souls, Bloodborne and Demon's Souls</t>
  </si>
  <si>
    <t>2021-03-25T22:48:34Z</t>
  </si>
  <si>
    <t>X0Pe2yfyUdo</t>
  </si>
  <si>
    <t>Imagining Bloodborne 2 [$2500 Art Competition Announcement]</t>
  </si>
  <si>
    <t>2021-02-06T12:42:08Z</t>
  </si>
  <si>
    <t>6Dj5ufzrZ78</t>
  </si>
  <si>
    <t>fClPd8uDgq0</t>
  </si>
  <si>
    <t>Could Humans Evolve Flight?</t>
  </si>
  <si>
    <t>15 Intriguing Secrets in Bloodborne, Elden Ring, Demon's Souls, Dark Souls, and Sekiro</t>
  </si>
  <si>
    <t>2026-05-14T14:00:16Z</t>
  </si>
  <si>
    <t>2021-01-26T16:11:06Z</t>
  </si>
  <si>
    <t>lm0vjpHJJIU</t>
  </si>
  <si>
    <t>Demon's Souls: Get Overpowered Early</t>
  </si>
  <si>
    <t>2021-01-01T08:34:04Z</t>
  </si>
  <si>
    <t>mWcqLe14_5Y</t>
  </si>
  <si>
    <t>Demon's Souls Lore ► Explained!</t>
  </si>
  <si>
    <t>2020-12-22T14:53:42Z</t>
  </si>
  <si>
    <t>FLWW14qEBt0</t>
  </si>
  <si>
    <t>The Final 15 Secrets in the Demon's Souls Remake</t>
  </si>
  <si>
    <t>2020-12-02T02:26:13Z</t>
  </si>
  <si>
    <t>AT8nZUQI2Eg</t>
  </si>
  <si>
    <t>25 NPC Questlines You Missed in Demon's Souls</t>
  </si>
  <si>
    <t>2020-11-28T14:50:21Z</t>
  </si>
  <si>
    <t>-kFZdtMQV3Y</t>
  </si>
  <si>
    <t>The Journey for the Rarest Item in Demon's Souls</t>
  </si>
  <si>
    <t>2020-11-25T18:20:27Z</t>
  </si>
  <si>
    <t>dl55bf0PxeM</t>
  </si>
  <si>
    <t>The Gameplay Quirks of Demon's Souls</t>
  </si>
  <si>
    <t>2020-11-21T02:38:41Z</t>
  </si>
  <si>
    <t>dl4Dw-RlPv4</t>
  </si>
  <si>
    <t>Why Malaria is Winning (For Now)</t>
  </si>
  <si>
    <t>2026-05-11T14:01:08Z</t>
  </si>
  <si>
    <t>rSpvVwqOXzI</t>
  </si>
  <si>
    <t>What's New in the Demon's Souls Remake?</t>
  </si>
  <si>
    <t>2020-11-17T15:18:56Z</t>
  </si>
  <si>
    <t>CYJMINtozfE</t>
  </si>
  <si>
    <t>My First Impressions of the Demon's Souls Remake!</t>
  </si>
  <si>
    <t>2020-11-14T05:15:36Z</t>
  </si>
  <si>
    <t>rgsqp-QlX6c</t>
  </si>
  <si>
    <t>Conquering the Gauntlets of Strength in Sekiro's New Update</t>
  </si>
  <si>
    <t>2020-11-03T11:28:15Z</t>
  </si>
  <si>
    <t>E7uiuTzXbfI</t>
  </si>
  <si>
    <t>We Now Know Almost Everything About Demon's Souls for PS5</t>
  </si>
  <si>
    <t>2020-10-30T16:10:44Z</t>
  </si>
  <si>
    <t>M51cPRSJ3xc</t>
  </si>
  <si>
    <t>10 Hidden Secrets in Demon's Souls, Dark Souls, Bloodborne and..Elden Ring?</t>
  </si>
  <si>
    <t>2020-10-12T15:17:11Z</t>
  </si>
  <si>
    <t>TL_tZD-tEdM</t>
  </si>
  <si>
    <t>New Areas, Bosses &amp; Enemies for the Demon's Souls Remake [ART COMPETITION]</t>
  </si>
  <si>
    <t>2020-09-22T18:01:50Z</t>
  </si>
  <si>
    <t>7XgBWzo_NVw</t>
  </si>
  <si>
    <t>Demon's Souls Remake Breakdown | Gameplay, Release Date, Criticisms, &amp; More...</t>
  </si>
  <si>
    <t>2020-09-17T19:12:48Z</t>
  </si>
  <si>
    <t>NlJx7W0QTeg</t>
  </si>
  <si>
    <t>I Played 3 BIZARRE Dark Souls and Sekiro Mods!</t>
  </si>
  <si>
    <t>2020-08-27T03:23:26Z</t>
  </si>
  <si>
    <t>MK36lyttVLU</t>
  </si>
  <si>
    <t>This Parasite Suffocates You</t>
  </si>
  <si>
    <t>2026-05-08T14:00:42Z</t>
  </si>
  <si>
    <t>UfqnukcuB3c</t>
  </si>
  <si>
    <t>20 Lost Secrets in Dark Souls 3</t>
  </si>
  <si>
    <t>2020-08-17T15:31:56Z</t>
  </si>
  <si>
    <t>r1Pm0aFwsHM</t>
  </si>
  <si>
    <t>Sekiro Content Update: Boss Rush Mode, Gauntlets, Outfits, and more...</t>
  </si>
  <si>
    <t>2020-07-29T21:09:51Z</t>
  </si>
  <si>
    <t>HslKxTr1ZK8</t>
  </si>
  <si>
    <t>I Beat Sekiro: Shadows Die Twice Without Dying</t>
  </si>
  <si>
    <t>2020-07-20T16:53:51Z</t>
  </si>
  <si>
    <t>McXJj7sjcZ0</t>
  </si>
  <si>
    <t>Dark Souls Lore ► Explained!</t>
  </si>
  <si>
    <t>2020-07-10T16:40:03Z</t>
  </si>
  <si>
    <t>63cEXOqxaH4</t>
  </si>
  <si>
    <t>What's Beyond the Sixth Archstone of Demon's Souls?</t>
  </si>
  <si>
    <t>2020-06-20T16:22:18Z</t>
  </si>
  <si>
    <t>YKIhyO9XAXU</t>
  </si>
  <si>
    <t>There's Something Special about the Demon's Souls Remake</t>
  </si>
  <si>
    <t>2020-06-12T18:55:34Z</t>
  </si>
  <si>
    <t>YaexFDtAQko</t>
  </si>
  <si>
    <t>10 Hidden Secrets in Dark Souls, Bloodborne, Sekiro and Demon's Souls</t>
  </si>
  <si>
    <t>2020-05-07T16:35:53Z</t>
  </si>
  <si>
    <t>n-gYFcVx-8Y</t>
  </si>
  <si>
    <t>GERMANY IS OVER</t>
  </si>
  <si>
    <t>2026-05-05T14:00:01Z</t>
  </si>
  <si>
    <t>baiVamSrGu8</t>
  </si>
  <si>
    <t>Never-Before-Seen Places in Dark Souls [Art Competition]</t>
  </si>
  <si>
    <t>2020-04-29T15:51:11Z</t>
  </si>
  <si>
    <t>297nrC5DWMQ</t>
  </si>
  <si>
    <t>Prepare to Cry Remastered ► Siegmeyer the Adventurer</t>
  </si>
  <si>
    <t>2020-04-23T15:55:41Z</t>
  </si>
  <si>
    <t>Edj-wNjRP7A</t>
  </si>
  <si>
    <t>I Played 3 FAMOUS Dark Souls Mods!</t>
  </si>
  <si>
    <t>2020-04-07T15:38:34Z</t>
  </si>
  <si>
    <t>TkS_tPYGLwg</t>
  </si>
  <si>
    <t>The Best Soulsborne Content of the Decade</t>
  </si>
  <si>
    <t>2020-03-03T16:48:57Z</t>
  </si>
  <si>
    <t>iLfwI5U-UWE</t>
  </si>
  <si>
    <t>The Unseen Lands of Dark Souls</t>
  </si>
  <si>
    <t>2020-02-15T14:34:55Z</t>
  </si>
  <si>
    <t>PCEnUZWae4c</t>
  </si>
  <si>
    <t>Sekiro: Shadows Cry Twice ► Shura</t>
  </si>
  <si>
    <t>2020-01-31T17:08:31Z</t>
  </si>
  <si>
    <t>l88rT4e3kIM</t>
  </si>
  <si>
    <t>The Top 10 Fake Bosses of Elden Ring [Art Competition]</t>
  </si>
  <si>
    <t>2019-12-31T04:47:44Z</t>
  </si>
  <si>
    <t>RniYUmKs93U</t>
  </si>
  <si>
    <t>Pigeons Are GPS Drones</t>
  </si>
  <si>
    <t>2026-04-30T14:00:48Z</t>
  </si>
  <si>
    <t>kI21AL8sioU</t>
  </si>
  <si>
    <t>15 Amazing Secrets in Dark Souls, Bloodborne &amp; Sekiro</t>
  </si>
  <si>
    <t>2019-12-10T22:21:18Z</t>
  </si>
  <si>
    <t>EMY3RzPWyuw</t>
  </si>
  <si>
    <t>Sekiro: Shadows Cry Twice ► Blackhat Badger</t>
  </si>
  <si>
    <t>2019-12-04T15:30:03Z</t>
  </si>
  <si>
    <t>IWgL-eozo7U</t>
  </si>
  <si>
    <t>Sekiro: Shadows Cry Twice ► The Soul of the Ashina</t>
  </si>
  <si>
    <t>2019-11-25T14:06:14Z</t>
  </si>
  <si>
    <t>EshvPtsjVVA</t>
  </si>
  <si>
    <t>Sekiro: Shadows Cry Twice ► The Children of Senpou Temple</t>
  </si>
  <si>
    <t>2019-11-18T21:06:46Z</t>
  </si>
  <si>
    <t>VhMJbmJMw8A</t>
  </si>
  <si>
    <t>Sekiro: Shadows Cry Twice ► Robert &amp; the Armored Knight</t>
  </si>
  <si>
    <t>2019-11-08T22:37:02Z</t>
  </si>
  <si>
    <t>FI6wwbISEQg</t>
  </si>
  <si>
    <t>Imagining Elden Ring</t>
  </si>
  <si>
    <t>2019-10-22T14:11:38Z</t>
  </si>
  <si>
    <t>2-hFVNCLHOY</t>
  </si>
  <si>
    <t>Prepare to Cry Remastered ► Gwyn's Light</t>
  </si>
  <si>
    <t>2019-10-11T13:48:27Z</t>
  </si>
  <si>
    <t>z7Qp9Q_Br88</t>
  </si>
  <si>
    <t>Laughing Gas Is Not So Funny</t>
  </si>
  <si>
    <t>2026-04-27T14:01:38Z</t>
  </si>
  <si>
    <t>EweI2IQ999A</t>
  </si>
  <si>
    <t>Demon's Souls Deserves a Remaster</t>
  </si>
  <si>
    <t>2019-09-18T20:58:34Z</t>
  </si>
  <si>
    <t>FZbMPtLRr00</t>
  </si>
  <si>
    <t>Fast-Forward Your Life</t>
  </si>
  <si>
    <t>2026-04-23T14:00:23Z</t>
  </si>
  <si>
    <t>VXU9Ew8Bn9o</t>
  </si>
  <si>
    <t>50 Things You Missed in Sekiro: Shadows Die Twice</t>
  </si>
  <si>
    <t>2019-09-08T22:17:58Z</t>
  </si>
  <si>
    <t>x8IfGeHAq4o</t>
  </si>
  <si>
    <t>10 Japanese Secrets in Sekiro: Shadows Die Twice</t>
  </si>
  <si>
    <t>2019-08-20T01:35:05Z</t>
  </si>
  <si>
    <t>HDaPHgMCbJU</t>
  </si>
  <si>
    <t>The Story of Sekiro ► The Legend of Fountainhead Palace</t>
  </si>
  <si>
    <t>2019-08-03T07:11:15Z</t>
  </si>
  <si>
    <t>k7HfotNxG38</t>
  </si>
  <si>
    <t>The Story of Sekiro ► A Village in the Mists</t>
  </si>
  <si>
    <t>2019-07-14T13:34:31Z</t>
  </si>
  <si>
    <t>30EDDCxKr14</t>
  </si>
  <si>
    <t>The Story of Sekiro ► Old Gods of the Sunken Valley</t>
  </si>
  <si>
    <t>2019-06-19T12:19:28Z</t>
  </si>
  <si>
    <t>dl0-TveDDGA</t>
  </si>
  <si>
    <t>Our Minds Are Weirder than You Think</t>
  </si>
  <si>
    <t>2026-04-21T14:00:01Z</t>
  </si>
  <si>
    <t>3Hvf_dyiEAY</t>
  </si>
  <si>
    <t>A Breakdown of Elden Ring [New Game by From Software] ► E3 2019</t>
  </si>
  <si>
    <t>2019-06-11T14:14:55Z</t>
  </si>
  <si>
    <t>0-vGNxS1MDI</t>
  </si>
  <si>
    <t>Rumours of "Great Rune", an Open World Game by From Software &amp; George R. R. Martin</t>
  </si>
  <si>
    <t>2019-05-26T15:50:35Z</t>
  </si>
  <si>
    <t>VHgw2RGBBpc</t>
  </si>
  <si>
    <t>The Story of Sekiro ► Senpou Temple and the Dragon's Return</t>
  </si>
  <si>
    <t>2019-05-23T15:05:34Z</t>
  </si>
  <si>
    <t>9OmfWCvwM9g</t>
  </si>
  <si>
    <t>Explaining the First Half of Sekiro: Shadows Die Twice's Story</t>
  </si>
  <si>
    <t>2019-05-03T04:17:03Z</t>
  </si>
  <si>
    <t>s2wK7NHLg74</t>
  </si>
  <si>
    <t>20 Things You Missed in the Ashina Outskirts of Sekiro: Shadows Die Twice</t>
  </si>
  <si>
    <t>2019-04-18T13:20:52Z</t>
  </si>
  <si>
    <t>d7iRKApQjGI</t>
  </si>
  <si>
    <t>15 Things You Missed in the Hirata Estates of Sekiro: Shadows Die Twice</t>
  </si>
  <si>
    <t>VYhUa3WC4nU</t>
  </si>
  <si>
    <t>2019-04-01T14:31:44Z</t>
  </si>
  <si>
    <t>Why Being Poor Is Expensive</t>
  </si>
  <si>
    <t>2026-04-16T14:00:55Z</t>
  </si>
  <si>
    <t>zT35HWy_qvQ</t>
  </si>
  <si>
    <t>20 Overlooked Mechanics in Sekiro: Shadows Die Twice</t>
  </si>
  <si>
    <t>2019-03-26T11:24:06Z</t>
  </si>
  <si>
    <t>ScMJrK5bQDg</t>
  </si>
  <si>
    <t>The Beginner's Guide to Sekiro: Shadows Die Twice</t>
  </si>
  <si>
    <t>2019-03-19T13:50:41Z</t>
  </si>
  <si>
    <t>m68K1bupM9Q</t>
  </si>
  <si>
    <t>New Prosthetic Weapons for Sekiro: Shadows Die Twice [Art Competition]</t>
  </si>
  <si>
    <t>2019-03-17T18:38:10Z</t>
  </si>
  <si>
    <t>ZkUNLxeXaPY</t>
  </si>
  <si>
    <t>The First Five Hours of Sekiro: Shadows Die Twice</t>
  </si>
  <si>
    <t>2019-03-06T16:01:08Z</t>
  </si>
  <si>
    <t>lMtNkmPheOY</t>
  </si>
  <si>
    <t>Dark Souls 3 Story ► Hawkwood the Deserter</t>
  </si>
  <si>
    <t>2019-03-01T01:22:47Z</t>
  </si>
  <si>
    <t>B75TY9rkBqA</t>
  </si>
  <si>
    <t>lRvN5SJR2LQ</t>
  </si>
  <si>
    <t>Sekiro: Shadows Die Twice ► Prosthetic Art Challenge Announcement</t>
  </si>
  <si>
    <t>How Caffeine Works</t>
  </si>
  <si>
    <t>2026-04-13T14:01:13Z</t>
  </si>
  <si>
    <t>2019-02-08T17:20:56Z</t>
  </si>
  <si>
    <t>XP_I6cbbJXs</t>
  </si>
  <si>
    <t>Sekiro: Shadows Die Twice ► Story Trailer Breakdown</t>
  </si>
  <si>
    <t>2019-02-07T16:02:31Z</t>
  </si>
  <si>
    <t>AdqSUTdnGsk</t>
  </si>
  <si>
    <t>Dark Souls Lore ► Translations From the Abyss</t>
  </si>
  <si>
    <t>2019-02-05T05:46:06Z</t>
  </si>
  <si>
    <t>onFj_RD75nA</t>
  </si>
  <si>
    <t>NNZHgTsPkRc</t>
  </si>
  <si>
    <t>The World’s Deadliest Diseases</t>
  </si>
  <si>
    <t>The New Progression System of Sekiro: Shadows Die Twice</t>
  </si>
  <si>
    <t>2026-04-09T14:01:19Z</t>
  </si>
  <si>
    <t>2019-01-15T02:26:09Z</t>
  </si>
  <si>
    <t>XrUlPNMncz8</t>
  </si>
  <si>
    <t>Prepare to Cry ► The Children of Chaos</t>
  </si>
  <si>
    <t>2019-01-03T09:28:29Z</t>
  </si>
  <si>
    <t>OmG3BYTyCjo</t>
  </si>
  <si>
    <t>Whisperings of Bloodborne 2</t>
  </si>
  <si>
    <t>2018-12-01T14:53:17Z</t>
  </si>
  <si>
    <t>2fqHnvyNWIo</t>
  </si>
  <si>
    <t>A Story Playthrough of Déraciné [New VR Game by From Software]</t>
  </si>
  <si>
    <t>2018-11-21T10:33:00Z</t>
  </si>
  <si>
    <t>nt_d7njXD40</t>
  </si>
  <si>
    <t>The Lore of Déraciné [New VR Game by From Software]</t>
  </si>
  <si>
    <t>2018-11-21T10:18:29Z</t>
  </si>
  <si>
    <t>Ag60ZF-IdKk</t>
  </si>
  <si>
    <t>Prepare to Cry Remastered ► The Legend of Artorias the Abysswalker</t>
  </si>
  <si>
    <t>2018-10-16T13:49:50Z</t>
  </si>
  <si>
    <t>h3DCdWyb0cc</t>
  </si>
  <si>
    <t>The Most Insane Megaproject You Never Heard About</t>
  </si>
  <si>
    <t>2026-03-30T14:00:12Z</t>
  </si>
  <si>
    <t>0SBWl9MoihU</t>
  </si>
  <si>
    <t>Soulsborne Cut Content ► 10 Hidden Secrets</t>
  </si>
  <si>
    <t>2018-10-04T22:32:29Z</t>
  </si>
  <si>
    <t>OKsWuqNjomQ</t>
  </si>
  <si>
    <t>Why Ebola Keeps Coming Back</t>
  </si>
  <si>
    <t>2026-08-24T14:00:33Z</t>
  </si>
  <si>
    <t>IvtsVHzMLwY</t>
  </si>
  <si>
    <t>How Stress Changes Your Brain</t>
  </si>
  <si>
    <t>2026-08-22T14:00:02Z</t>
  </si>
  <si>
    <t>w5RZfxQHxyY</t>
  </si>
  <si>
    <t>How Antidepressants Work</t>
  </si>
  <si>
    <t>2026-08-20T14:00:18Z</t>
  </si>
  <si>
    <t>U5-dE2nCzjM</t>
  </si>
  <si>
    <t>What the Flu Does to Your Body</t>
  </si>
  <si>
    <t>2026-08-17T14:00:07Z</t>
  </si>
  <si>
    <t>MX_r0KsMpho</t>
  </si>
  <si>
    <t>Spaceships Powered by Nukes</t>
  </si>
  <si>
    <t>2026-03-23T15:00:38Z</t>
  </si>
  <si>
    <t>Cyl3X88KEgg</t>
  </si>
  <si>
    <t>Why Humanity Will Never Leave The Solar System</t>
  </si>
  <si>
    <t>2026-08-04T13:59:53Z</t>
  </si>
  <si>
    <t>NXhKuMQRAZ4</t>
  </si>
  <si>
    <t>Queen Ant Clones Another Species</t>
  </si>
  <si>
    <t>2026-03-16T15:00:43Z</t>
  </si>
  <si>
    <t>yDAAlojz8NU</t>
  </si>
  <si>
    <t>This Is the Scariest Place in The Universe</t>
  </si>
  <si>
    <t>2026-03-10T15:00:01Z</t>
  </si>
  <si>
    <t>iZ9ImJQy9V4</t>
  </si>
  <si>
    <t>The Injection That Stops HIV</t>
  </si>
  <si>
    <t>2026-03-09T15:01:12Z</t>
  </si>
  <si>
    <t>5Xd38M9zTjM</t>
  </si>
  <si>
    <t>Let’s Tie All Planets Together</t>
  </si>
  <si>
    <t>2026-03-07T15:00:07Z</t>
  </si>
  <si>
    <t>YHlqwkdVda8</t>
  </si>
  <si>
    <t>Who Owns Your Drinking Water?</t>
  </si>
  <si>
    <t>2026-03-05T15:01:05Z</t>
  </si>
  <si>
    <t>MP4RUzRnobg</t>
  </si>
  <si>
    <t>This Parasite Won’t Die</t>
  </si>
  <si>
    <t>2026-02-26T15:00:39Z</t>
  </si>
  <si>
    <t>KTu2V65Iiho</t>
  </si>
  <si>
    <t>Why Does Cocaine Feel So Good?</t>
  </si>
  <si>
    <t>2026-02-19T15:00:37Z</t>
  </si>
  <si>
    <t>qPSxUkssPmc</t>
  </si>
  <si>
    <t>Why Is Polio Back?</t>
  </si>
  <si>
    <t>2026-02-16T15:02:57Z</t>
  </si>
  <si>
    <t>5EPPBDdhe6o</t>
  </si>
  <si>
    <t>The Worm with 4 Nobel Prizes</t>
  </si>
  <si>
    <t>2026-02-14T15:00:15Z</t>
  </si>
  <si>
    <t>dwZgy7SNMRc</t>
  </si>
  <si>
    <t>The Virus We Almost Beat</t>
  </si>
  <si>
    <t>2026-02-11T15:01:13Z</t>
  </si>
  <si>
    <t>mWN2IefeJow</t>
  </si>
  <si>
    <t>The Lake That Killed a Village</t>
  </si>
  <si>
    <t>2026-02-09T15:01:20Z</t>
  </si>
  <si>
    <t>bRkxPsuVEeU</t>
  </si>
  <si>
    <t>Zombie Proteins in Your Brain!</t>
  </si>
  <si>
    <t>2026-01-29T17:41:55Z</t>
  </si>
  <si>
    <t>zg40FHOAqC0</t>
  </si>
  <si>
    <t>Jupiter Made Earth Possible</t>
  </si>
  <si>
    <t>2026-01-22T15:01:42Z</t>
  </si>
  <si>
    <t>D0WQK7cMJn8</t>
  </si>
  <si>
    <t>We Made A New Channel!</t>
  </si>
  <si>
    <t>2026-01-16T15:30:05Z</t>
  </si>
  <si>
    <t>OU36JDGzXb0</t>
  </si>
  <si>
    <t>Planets Around Black Holes</t>
  </si>
  <si>
    <t>2026-01-15T15:00:45Z</t>
  </si>
  <si>
    <t>hDU9WcmQA2E</t>
  </si>
  <si>
    <t>Let’s Cook a Planet!</t>
  </si>
  <si>
    <t>2026-01-12T15:01:31Z</t>
  </si>
  <si>
    <t>sravy3Vjdlw</t>
  </si>
  <si>
    <t>Nature’s Ultimate Impostor</t>
  </si>
  <si>
    <t>2026-01-08T15:01:44Z</t>
  </si>
  <si>
    <t>pHJIhxZEoxg</t>
  </si>
  <si>
    <t>Why Are There No Holes Around Trees?</t>
  </si>
  <si>
    <t>2026-01-07T15:00:13Z</t>
  </si>
  <si>
    <t>UnrtLi7YIY4</t>
  </si>
  <si>
    <t>We Made A New Journal</t>
  </si>
  <si>
    <t>2025-12-30T15:01:04Z</t>
  </si>
  <si>
    <t>UC5Mpc-GQCg</t>
  </si>
  <si>
    <t>The Moon’s Invisible Threat</t>
  </si>
  <si>
    <t>2025-12-18T15:00:53Z</t>
  </si>
  <si>
    <t>H4KMQuyxH_Y</t>
  </si>
  <si>
    <t>Tattoo Removal Is Insane</t>
  </si>
  <si>
    <t>2025-12-12T15:00:02Z</t>
  </si>
  <si>
    <t>1bQsvHqSfpU</t>
  </si>
  <si>
    <t>How to Destroy a Black Hole</t>
  </si>
  <si>
    <t>2025-12-11T15:00:03Z</t>
  </si>
  <si>
    <t>KNwMiydCYA4</t>
  </si>
  <si>
    <t>All Of Human History In One Hour</t>
  </si>
  <si>
    <t>2025-12-05T15:00:03Z</t>
  </si>
  <si>
    <t>T6tCY6SOSXo</t>
  </si>
  <si>
    <t>Does Legalizing Drugs Help?</t>
  </si>
  <si>
    <t>2025-12-04T15:00:57Z</t>
  </si>
  <si>
    <t>zozEm4f_dlw</t>
  </si>
  <si>
    <t>Astronomy Is In Crisis...And It's Incredibly Exciting</t>
  </si>
  <si>
    <t>2025-12-02T15:00:05Z</t>
  </si>
  <si>
    <t>omNvSHfIv7s</t>
  </si>
  <si>
    <t>Will Fungi Infect Us All?</t>
  </si>
  <si>
    <t>2025-11-27T15:01:45Z</t>
  </si>
  <si>
    <t>ZSch_NgZpQs</t>
  </si>
  <si>
    <t>Trees Are So Weird</t>
  </si>
  <si>
    <t>2025-11-25T15:00:10Z</t>
  </si>
  <si>
    <t>fAkMppZZiSI</t>
  </si>
  <si>
    <t>How Big Is a Human Cube?</t>
  </si>
  <si>
    <t>2025-11-20T15:01:25Z</t>
  </si>
  <si>
    <t>sOsqXKr4l30</t>
  </si>
  <si>
    <t>The Fat Problem</t>
  </si>
  <si>
    <t>2025-11-18T15:00:06Z</t>
  </si>
  <si>
    <t>OxOx6--oN8I</t>
  </si>
  <si>
    <t>The Most Dangerous Animal</t>
  </si>
  <si>
    <t>2025-11-13T15:00:50Z</t>
  </si>
  <si>
    <t>Mo1A45ShcMo</t>
  </si>
  <si>
    <t>You're More Stressed Than Ever - Let's Change That</t>
  </si>
  <si>
    <t>2025-11-11T15:00:05Z</t>
  </si>
  <si>
    <t>nDKHvoo4f-8</t>
  </si>
  <si>
    <t>You Are Everyone</t>
  </si>
  <si>
    <t>2025-11-06T15:01:24Z</t>
  </si>
  <si>
    <t>Brm71uCWr-I</t>
  </si>
  <si>
    <t>You Need To Quit Weed.</t>
  </si>
  <si>
    <t>2025-11-04T16:10:02Z</t>
  </si>
  <si>
    <t>pt0iG95Fsmc</t>
  </si>
  <si>
    <t>Let’s Cause a Country-Wide Blackout!</t>
  </si>
  <si>
    <t>2025-10-30T14:31:41Z</t>
  </si>
  <si>
    <t>Ghy3qRR6kiw</t>
  </si>
  <si>
    <t>Touchscreens – How Do They Work?</t>
  </si>
  <si>
    <t>2025-10-23T14:00:34Z</t>
  </si>
  <si>
    <t>cE0zgN6pYOc</t>
  </si>
  <si>
    <t>Dig Deep, Power a City</t>
  </si>
  <si>
    <t>2025-10-16T14:00:58Z</t>
  </si>
  <si>
    <t>ty0WVFjOkok</t>
  </si>
  <si>
    <t>What If Earth Suddenly Turned Into Gold?</t>
  </si>
  <si>
    <t>2025-10-09T14:01:52Z</t>
  </si>
  <si>
    <t>_zfN9wnPvU0</t>
  </si>
  <si>
    <t>AI Slop Is Destroying The Internet</t>
  </si>
  <si>
    <t>2025-10-07T14:00:17Z</t>
  </si>
  <si>
    <t>mxG0ts7qmq0</t>
  </si>
  <si>
    <t>How to Bottle a Star</t>
  </si>
  <si>
    <t>2025-10-02T14:01:14Z</t>
  </si>
  <si>
    <t>VMm-U2pHrXE</t>
  </si>
  <si>
    <t>We Found a Loophole to Survive the End of the Universe</t>
  </si>
  <si>
    <t>2025-09-30T14:00:03Z</t>
  </si>
  <si>
    <t>V7wlYQ2_Q8o</t>
  </si>
  <si>
    <t>This Is the Deadliest Virus on Earth</t>
  </si>
  <si>
    <t>2025-09-25T14:00:50Z</t>
  </si>
  <si>
    <t>Zpq1GbPqhy4</t>
  </si>
  <si>
    <t>Pregnancy is Insane</t>
  </si>
  <si>
    <t>2025-09-23T14:00:25Z</t>
  </si>
  <si>
    <t>ByD__-ECSeI</t>
  </si>
  <si>
    <t>Can We Run on Renewables?</t>
  </si>
  <si>
    <t>2025-09-18T14:00:22Z</t>
  </si>
  <si>
    <t>dKm7T13X7n4</t>
  </si>
  <si>
    <t>Can Humanity Stop A Planet-Killing Asteroid?</t>
  </si>
  <si>
    <t>2025-09-16T14:00:03Z</t>
  </si>
  <si>
    <t>XFODuRPv8Yw</t>
  </si>
  <si>
    <t>Our PC Game Is Finally Here!</t>
  </si>
  <si>
    <t>2025-09-10T15:30:31Z</t>
  </si>
  <si>
    <t>XunabxHzMuM</t>
  </si>
  <si>
    <t>This Game Took Us Two Years To Make</t>
  </si>
  <si>
    <t>2025-09-10T15:00:45Z</t>
  </si>
  <si>
    <t>K1J9LNElrso</t>
  </si>
  <si>
    <t>What If a Massive Solar Storm Hits Earth?</t>
  </si>
  <si>
    <t>2025-09-04T14:00:27Z</t>
  </si>
  <si>
    <t>gtDKKJq9u30</t>
  </si>
  <si>
    <t>The Dumbest Animal Alive</t>
  </si>
  <si>
    <t>2025-09-02T14:00:01Z</t>
  </si>
  <si>
    <t>LbARorLmhsc</t>
  </si>
  <si>
    <t>Would You Upload Your Mind?</t>
  </si>
  <si>
    <t>2025-08-28T14:00:36Z</t>
  </si>
  <si>
    <t>UNunBadMlHQ</t>
  </si>
  <si>
    <t>We Won’t Explore the Galaxy...</t>
  </si>
  <si>
    <t>2025-08-21T14:00:55Z</t>
  </si>
  <si>
    <t>u4LUix-BU0s</t>
  </si>
  <si>
    <t>The Drug To Master Reality</t>
  </si>
  <si>
    <t>2025-08-19T14:00:01Z</t>
  </si>
  <si>
    <t>aOwmt39L2IQ</t>
  </si>
  <si>
    <t>Alcohol is AMAZING</t>
  </si>
  <si>
    <t>2025-08-12T14:00:08Z</t>
  </si>
  <si>
    <t>x7IrzHMxEMM</t>
  </si>
  <si>
    <t>POV: A Nuclear War Just Started</t>
  </si>
  <si>
    <t>2025-08-07T14:47:59Z</t>
  </si>
  <si>
    <t>3D9uIn2oBLI</t>
  </si>
  <si>
    <t>Which One Are You?</t>
  </si>
  <si>
    <t>2025-07-31T15:05:22Z</t>
  </si>
  <si>
    <t>7wK4peez9zE</t>
  </si>
  <si>
    <t>Let's Kill You a Billion Times to Make You Immortal</t>
  </si>
  <si>
    <t>2025-07-29T14:00:02Z</t>
  </si>
  <si>
    <t>IZ55YvFE960</t>
  </si>
  <si>
    <t>The 5 Times Life on Earth Almost Ended</t>
  </si>
  <si>
    <t>2025-07-24T14:00:34Z</t>
  </si>
  <si>
    <t>xP2tHAXjZhI</t>
  </si>
  <si>
    <t>How many organs can YOU live without? Turns out: More than we thought.</t>
  </si>
  <si>
    <t>2025-07-17T14:01:35Z</t>
  </si>
  <si>
    <t>rHQeg5EtqDQ</t>
  </si>
  <si>
    <t>Invisible Extinction From Space – Gamma Ray Bursts</t>
  </si>
  <si>
    <t>2025-07-10T14:01:31Z</t>
  </si>
  <si>
    <t>2ukNLhC8N4Y</t>
  </si>
  <si>
    <t>Some Galaxies Move Faster Than the Speed of Light</t>
  </si>
  <si>
    <t>2025-07-10T14:00:05Z</t>
  </si>
  <si>
    <t>efOW5NUTYB8</t>
  </si>
  <si>
    <t>When Your Body Attacks Itself – Autoimmune</t>
  </si>
  <si>
    <t>2025-07-01T14:00:01Z</t>
  </si>
  <si>
    <t>EJoJzLaIcEc</t>
  </si>
  <si>
    <t>How the Universe Might End</t>
  </si>
  <si>
    <t>2025-06-26T16:14:41Z</t>
  </si>
  <si>
    <t>6TcFvx8ajD4</t>
  </si>
  <si>
    <t>Why Do Planets Rotate in a Disk?</t>
  </si>
  <si>
    <t>2025-06-19T14:00:18Z</t>
  </si>
  <si>
    <t>Ce9kHZQk3MI</t>
  </si>
  <si>
    <t>Test Our PC Game – Star Birds Demo Out Now!</t>
  </si>
  <si>
    <t>2025-06-09T17:00:14Z</t>
  </si>
  <si>
    <t>zxq60I5RSW8</t>
  </si>
  <si>
    <t>How Nuclear Flies Protect You from Flesh-Eating Parasites</t>
  </si>
  <si>
    <t>2025-06-03T14:00:05Z</t>
  </si>
  <si>
    <t>o7aXV_PV4ss</t>
  </si>
  <si>
    <t>Dozens of Nukes Are Missing. Why? HOW?</t>
  </si>
  <si>
    <t>2025-05-29T14:01:14Z</t>
  </si>
  <si>
    <t>m6KnVTYtSc0</t>
  </si>
  <si>
    <t>Why Does Fentanyl Feel So Good?</t>
  </si>
  <si>
    <t>2025-05-20T14:00:01Z</t>
  </si>
  <si>
    <t>kYOkrswU1KE</t>
  </si>
  <si>
    <t>Panic Attacks Explained in 60 Seconds</t>
  </si>
  <si>
    <t>2025-05-15T14:01:09Z</t>
  </si>
  <si>
    <t>tRXy-b6_lBc</t>
  </si>
  <si>
    <t>What If It Rains Bananas For A Single Day? (Spoiler: It's Bad)</t>
  </si>
  <si>
    <t>2025-05-06T14:00:01Z</t>
  </si>
  <si>
    <t>MDZ2iWN0ZSI</t>
  </si>
  <si>
    <t>Heat Affects Who Gets Born</t>
  </si>
  <si>
    <t>2025-05-01T14:00:28Z</t>
  </si>
  <si>
    <t>NYNBAxDfgrY</t>
  </si>
  <si>
    <t>Your Time Machine Broke - At The Worst Time In History</t>
  </si>
  <si>
    <t>2025-04-22T14:00:01Z</t>
  </si>
  <si>
    <t>UjAJ2jKH_QM</t>
  </si>
  <si>
    <t>Why Do We Itch?</t>
  </si>
  <si>
    <t>2025-04-17T14:00:44Z</t>
  </si>
  <si>
    <t>eGU9Bvl7VvQ</t>
  </si>
  <si>
    <t>Your Spacesuit Fails – What Now?</t>
  </si>
  <si>
    <t>2025-04-10T14:01:02Z</t>
  </si>
  <si>
    <t>Ufmu1WD2TSk</t>
  </si>
  <si>
    <t>SOUTH KOREA IS OVER</t>
  </si>
  <si>
    <t>2025-04-02T14:00:03Z</t>
  </si>
  <si>
    <t>PHI07XtbfVA</t>
  </si>
  <si>
    <t>Bird Flu Simulator</t>
  </si>
  <si>
    <t>2025-03-27T15:00:36Z</t>
  </si>
  <si>
    <t>wo_e0EvEZn8</t>
  </si>
  <si>
    <t>Why Your Brain Blinds You For 2 Hours Every Day</t>
  </si>
  <si>
    <t>2025-03-18T15:00:01Z</t>
  </si>
  <si>
    <t>joYJahY4FUI</t>
  </si>
  <si>
    <t>What If Continents and Oceans Switched Places?</t>
  </si>
  <si>
    <t>2025-03-13T15:01:01Z</t>
  </si>
  <si>
    <t>FPZuklD9eRg</t>
  </si>
  <si>
    <t>How Radioactive Are Your Teeth?</t>
  </si>
  <si>
    <t>2025-03-06T15:00:30Z</t>
  </si>
  <si>
    <t>5sVfTPaxRwk</t>
  </si>
  <si>
    <t>If You Eat Meat You Should Know This</t>
  </si>
  <si>
    <t>2025-02-25T15:00:01Z</t>
  </si>
  <si>
    <t>XQQkHLW8b3Y</t>
  </si>
  <si>
    <t>How to Clean Up Space Debris</t>
  </si>
  <si>
    <t>2025-02-20T15:00:44Z</t>
  </si>
  <si>
    <t>KmgRBiRMmAU</t>
  </si>
  <si>
    <t>What Falling in Love Does to You</t>
  </si>
  <si>
    <t>2025-02-14T15:00:23Z</t>
  </si>
  <si>
    <t>dCiMUWw1BBc</t>
  </si>
  <si>
    <t>What Actual Aliens Might Look Like</t>
  </si>
  <si>
    <t>2025-02-04T15:00:01Z</t>
  </si>
  <si>
    <t>RLEvo3I5C6w</t>
  </si>
  <si>
    <t>How Chicken Heads Stopped Rabies</t>
  </si>
  <si>
    <t>2025-01-30T15:00:35Z</t>
  </si>
  <si>
    <t>UyUm3KEnZxE</t>
  </si>
  <si>
    <t>Are You a Machine?</t>
  </si>
  <si>
    <t>2025-01-23T15:00:40Z</t>
  </si>
  <si>
    <t>oR3Q7RntqEw</t>
  </si>
  <si>
    <t>Whales Evolved from This Animal</t>
  </si>
  <si>
    <t>2025-01-16T15:01:09Z</t>
  </si>
  <si>
    <t>0pyGPK3fG4U</t>
  </si>
  <si>
    <t>Your Brain Deletes Your Childhood Memories</t>
  </si>
  <si>
    <t>2025-01-09T15:00:02Z</t>
  </si>
  <si>
    <t>mCAm38dSD78</t>
  </si>
  <si>
    <t>Lightning: Nature’s Plasma Highway</t>
  </si>
  <si>
    <t>2025-01-02T15:00:56Z</t>
  </si>
  <si>
    <t>Pkbhn8sIWuw</t>
  </si>
  <si>
    <t>How EXACTLY Does Beaming Work?</t>
  </si>
  <si>
    <t>2024-12-26T15:00:34Z</t>
  </si>
  <si>
    <t>vC9BeyIlcYo</t>
  </si>
  <si>
    <t>Do We See the Same Colors?</t>
  </si>
  <si>
    <t>2024-12-19T15:01:08Z</t>
  </si>
  <si>
    <t>9zCH37330f8</t>
  </si>
  <si>
    <t>The Real Reason Why You Have Allergies</t>
  </si>
  <si>
    <t>2024-12-12T15:00:04Z</t>
  </si>
  <si>
    <t>reSfF60-2S4</t>
  </si>
  <si>
    <t>Is The World Getting More Violent?</t>
  </si>
  <si>
    <t>2024-12-10T15:00:01Z</t>
  </si>
  <si>
    <t>BmUZ2wp1lM8</t>
  </si>
  <si>
    <t>Black Hole's Evil Twin - Gravastars Explained</t>
  </si>
  <si>
    <t>2024-12-03T15:00:04Z</t>
  </si>
  <si>
    <t>ecIwfilIkTY</t>
  </si>
  <si>
    <t>Let's Climb a Ladder to Space – Will We Float or Fall?</t>
  </si>
  <si>
    <t>2024-11-28T15:00:44Z</t>
  </si>
  <si>
    <t>cHEOsKddURQ</t>
  </si>
  <si>
    <t>Vaping Is Too Good To Be True</t>
  </si>
  <si>
    <t>2024-11-19T15:00:01Z</t>
  </si>
  <si>
    <t>qBRaI0ZeAf8</t>
  </si>
  <si>
    <t>We Have To Talk About Weed</t>
  </si>
  <si>
    <t>2024-11-12T14:59:35Z</t>
  </si>
  <si>
    <t>E55uSCO5D2w</t>
  </si>
  <si>
    <t>The Most Insane Weapon You Never Heard About</t>
  </si>
  <si>
    <t>2024-11-05T15:00:02Z</t>
  </si>
  <si>
    <t>bgo7rm5Maqg</t>
  </si>
  <si>
    <t>We Fell For The Oldest Lie On The Internet</t>
  </si>
  <si>
    <t>2024-10-29T15:00:09Z</t>
  </si>
  <si>
    <t>v6WMAD5wNKs</t>
  </si>
  <si>
    <t>How to Survive a Parachute Jump Without a Parachute</t>
  </si>
  <si>
    <t>2024-10-24T14:04:05Z</t>
  </si>
  <si>
    <t>tDStIeOWc40</t>
  </si>
  <si>
    <t>What Is Mpox? And How Dangerous Is It?</t>
  </si>
  <si>
    <t>2024-10-17T14:00:55Z</t>
  </si>
  <si>
    <t>c1nYtX-NUsc</t>
  </si>
  <si>
    <t>Tired of Doomscrolling?</t>
  </si>
  <si>
    <t>2024-10-08T13:59:36Z</t>
  </si>
  <si>
    <t>VD6xJq8NguY</t>
  </si>
  <si>
    <t>There Is Life Hiding Inside Earth</t>
  </si>
  <si>
    <t>2024-10-03T13:59:15Z</t>
  </si>
  <si>
    <t>oTx-GSF3cts</t>
  </si>
  <si>
    <t>This Video Might Save 58 Lives Next Week</t>
  </si>
  <si>
    <t>2024-09-24T15:00:04Z</t>
  </si>
  <si>
    <t>SbvAaDN1bpE</t>
  </si>
  <si>
    <t>Why Scientists Are Puzzled By This Virus</t>
  </si>
  <si>
    <t>2024-09-17T14:00:08Z</t>
  </si>
  <si>
    <t>vSSkDos2hzo</t>
  </si>
  <si>
    <t>We Need to Rethink Exercise (Updated Version)</t>
  </si>
  <si>
    <t>2024-09-12T14:01:11Z</t>
  </si>
  <si>
    <t>dIpttD7b8B4</t>
  </si>
  <si>
    <t>Why Do Puddles Disappear but Lakes Don’t?</t>
  </si>
  <si>
    <t>2024-09-12T14:00:39Z</t>
  </si>
  <si>
    <t>_kelDJFjhOo</t>
  </si>
  <si>
    <t>The Perfect Sofa – According to Science</t>
  </si>
  <si>
    <t>2024-09-05T14:00:37Z</t>
  </si>
  <si>
    <t>49ApsH6lzk0</t>
  </si>
  <si>
    <t>This Happens When You Get a Tattoo</t>
  </si>
  <si>
    <t>2024-08-29T14:00:05Z</t>
  </si>
  <si>
    <t>dBxxi5XAm3U</t>
  </si>
  <si>
    <t>We Traveled Back in Time. Now Physicists Are Angry.</t>
  </si>
  <si>
    <t>2024-08-27T14:00:00Z</t>
  </si>
  <si>
    <t>W-x9d-nhal4</t>
  </si>
  <si>
    <t>Fentanyl Explained</t>
  </si>
  <si>
    <t>2024-08-22T14:00:28Z</t>
  </si>
  <si>
    <t>cRZOUcpiOxY</t>
  </si>
  <si>
    <t>Fever Feels Horrible, but is Actually Awesome!</t>
  </si>
  <si>
    <t>2024-08-13T14:00:01Z</t>
  </si>
  <si>
    <t>fa8k8IQ1_X0</t>
  </si>
  <si>
    <t>A.I. ‐ Humanity's Final Invention?</t>
  </si>
  <si>
    <t>2024-08-06T14:00:09Z</t>
  </si>
  <si>
    <t>hX_acKX1G2Y</t>
  </si>
  <si>
    <t>The Sun is NOT Yellow!</t>
  </si>
  <si>
    <t>2024-08-01T14:00:40Z</t>
  </si>
  <si>
    <t>xswF0mRay_8</t>
  </si>
  <si>
    <t>Can Our Universe Destroy Itself?</t>
  </si>
  <si>
    <t>2024-07-25T14:00:54Z</t>
  </si>
  <si>
    <t>92Y7SCDgCLg</t>
  </si>
  <si>
    <t>Can We Stop the Extinction?</t>
  </si>
  <si>
    <t>2024-07-11T14:00:13Z</t>
  </si>
  <si>
    <t>n2sn4kkkGQM</t>
  </si>
  <si>
    <t>The Deadly Power of a Coin-Sized Black Hole</t>
  </si>
  <si>
    <t>2024-07-04T14:00:42Z</t>
  </si>
  <si>
    <t>GFLb5h2O2Ww</t>
  </si>
  <si>
    <t>This Disease is Deadlier Than The Plague</t>
  </si>
  <si>
    <t>2024-06-25T14:00:01Z</t>
  </si>
  <si>
    <t>_z7DkeP5WNg</t>
  </si>
  <si>
    <t>Our Brains Are Not Special. But Why Are We?</t>
  </si>
  <si>
    <t>2024-06-20T14:00:29Z</t>
  </si>
  <si>
    <t>fcIWyctZVTM</t>
  </si>
  <si>
    <t>We Are Making a VIDEO GAME</t>
  </si>
  <si>
    <t>2024-06-13T13:00:47Z</t>
  </si>
  <si>
    <t>UebSfjmQNvs</t>
  </si>
  <si>
    <t>Do You Have a Free Will?</t>
  </si>
  <si>
    <t>2024-06-11T14:00:01Z</t>
  </si>
  <si>
    <t>3DFE8gZe9bA</t>
  </si>
  <si>
    <t>2024-06-09T20:08:11Z</t>
  </si>
  <si>
    <t>J8imlz6Lki8</t>
  </si>
  <si>
    <t>Something Travels Faster than Light</t>
  </si>
  <si>
    <t>2024-06-06T14:00:19Z</t>
  </si>
  <si>
    <t>BLW4hCFwSXE</t>
  </si>
  <si>
    <t>How Old Can You Get?</t>
  </si>
  <si>
    <t>2024-05-30T14:00:07Z</t>
  </si>
  <si>
    <t>itBBsQRv0EU</t>
  </si>
  <si>
    <t>Your Hidden Superpower</t>
  </si>
  <si>
    <t>2024-05-28T14:00:01Z</t>
  </si>
  <si>
    <t>71eUes30gwc</t>
  </si>
  <si>
    <t>This Black Hole Could be Bigger Than The Universe</t>
  </si>
  <si>
    <t>2024-05-21T14:00:02Z</t>
  </si>
  <si>
    <t>i8wAjC69ZuY</t>
  </si>
  <si>
    <t>Why Is the Night Sky Black?</t>
  </si>
  <si>
    <t>2024-05-16T14:00:29Z</t>
  </si>
  <si>
    <t>_rBPwu2uS-w</t>
  </si>
  <si>
    <t>Smoking is Awesome</t>
  </si>
  <si>
    <t>2024-05-07T14:00:02Z</t>
  </si>
  <si>
    <t>W6-BGkuA2Gc</t>
  </si>
  <si>
    <t>Why You Need a Space Elevator And How You Can Build One</t>
  </si>
  <si>
    <t>2024-05-02T14:00:15Z</t>
  </si>
  <si>
    <t>OvKr6loCciE</t>
  </si>
  <si>
    <t>What Makes Kurzgesagt So Special?</t>
  </si>
  <si>
    <t>2024-04-30T14:00:02Z</t>
  </si>
  <si>
    <t>BNAgDOZCydY</t>
  </si>
  <si>
    <t>How You Can Live Forever... Maybe.</t>
  </si>
  <si>
    <t>2024-04-25T14:00:13Z</t>
  </si>
  <si>
    <t>S-gRXjKUnVs</t>
  </si>
  <si>
    <t>Let’s Go on a Fantastical Journey</t>
  </si>
  <si>
    <t>2024-04-18T14:00:30Z</t>
  </si>
  <si>
    <t>L_JQOH1tEEA</t>
  </si>
  <si>
    <t>There Are Thousands of Alien Empires in The Milky Way</t>
  </si>
  <si>
    <t>2024-04-16T14:00:03Z</t>
  </si>
  <si>
    <t>LFfFlYQfXh0</t>
  </si>
  <si>
    <t>Let's Cook a Galaxy</t>
  </si>
  <si>
    <t>2024-04-11T14:00:23Z</t>
  </si>
  <si>
    <t>DRjmRNsPl1M</t>
  </si>
  <si>
    <t>ONE Gene Determines How Many Fingers You Have</t>
  </si>
  <si>
    <t>2024-04-04T14:00:09Z</t>
  </si>
  <si>
    <t>pjoQdz0nxf4</t>
  </si>
  <si>
    <t>How The Dinosaurs Actually Died</t>
  </si>
  <si>
    <t>2024-03-26T14:59:10Z</t>
  </si>
  <si>
    <t>cUD8Nt0JDlw</t>
  </si>
  <si>
    <t>YOU Own the Moon. And Mars. And Venus.</t>
  </si>
  <si>
    <t>2024-03-21T15:00:27Z</t>
  </si>
  <si>
    <t>8ILQMRr1-8M</t>
  </si>
  <si>
    <t>AI Can Literally Lend You a Hand</t>
  </si>
  <si>
    <t>2024-03-14T15:00:10Z</t>
  </si>
  <si>
    <t>i981tDgvhPg</t>
  </si>
  <si>
    <t>Will Europe Freeze over When the Gulf Stream Stops?</t>
  </si>
  <si>
    <t>2024-03-07T15:00:38Z</t>
  </si>
  <si>
    <t>Oj_OwYR9jGQ</t>
  </si>
  <si>
    <t>What Does the Moon Smell Like?</t>
  </si>
  <si>
    <t>2024-02-29T15:00:31Z</t>
  </si>
  <si>
    <t>isdLel273rQ</t>
  </si>
  <si>
    <t>The Paradox of an Infinite Universe</t>
  </si>
  <si>
    <t>2024-02-27T15:00:02Z</t>
  </si>
  <si>
    <t>LrIRuqr_Ozg</t>
  </si>
  <si>
    <t>What Happens AFTER Nuclear War?</t>
  </si>
  <si>
    <t>2024-02-20T15:00:02Z</t>
  </si>
  <si>
    <t>Pj20omaP7WI</t>
  </si>
  <si>
    <t>Something in Your Kitchen Emits Antimatter</t>
  </si>
  <si>
    <t>2024-02-15T15:00:16Z</t>
  </si>
  <si>
    <t>W1Qyv6EI2hE</t>
  </si>
  <si>
    <t>Can You Escape a Black Hole?</t>
  </si>
  <si>
    <t>2024-02-08T15:00:34Z</t>
  </si>
  <si>
    <t>wwSzpaTHyS8</t>
  </si>
  <si>
    <t>Did The Future Already Happen? - The Paradox of Time</t>
  </si>
  <si>
    <t>2024-01-30T15:00:03Z</t>
  </si>
  <si>
    <t>ld4K5nw9gsk</t>
  </si>
  <si>
    <t>What If Our Sun Disappeared?</t>
  </si>
  <si>
    <t>2024-01-25T15:00:41Z</t>
  </si>
  <si>
    <t>8_cAY_rQpzM</t>
  </si>
  <si>
    <t>Map Projections – Why Do We Have Different Maps of the Earth?</t>
  </si>
  <si>
    <t>2024-01-18T15:00:10Z</t>
  </si>
  <si>
    <t>6AWYgNArZZw</t>
  </si>
  <si>
    <t>Let’s Shrink Earth to Half Its Size</t>
  </si>
  <si>
    <t>2024-01-11T15:00:09Z</t>
  </si>
  <si>
    <t>Chh2lgGe2YE</t>
  </si>
  <si>
    <t>You Swallowed a Tapeworm – What Now?</t>
  </si>
  <si>
    <t>2024-01-04T15:00:16Z</t>
  </si>
  <si>
    <t>qP65siuTLFc</t>
  </si>
  <si>
    <t>Cooking a Chicken in a Particle Accelerator</t>
  </si>
  <si>
    <t>2023-12-28T15:00:39Z</t>
  </si>
  <si>
    <t>Z_1Q0XB4X0Y</t>
  </si>
  <si>
    <t>You Are The Center of The Universe (Literally)</t>
  </si>
  <si>
    <t>2023-12-17T15:00:53Z</t>
  </si>
  <si>
    <t>nGggU-Cxhv0</t>
  </si>
  <si>
    <t>Your Tattoo is INSIDE Your Immune System. Literally</t>
  </si>
  <si>
    <t>2023-12-12T15:00:01Z</t>
  </si>
  <si>
    <t>HR2C_7G_yRQ</t>
  </si>
  <si>
    <t>How To Destroy The Universe</t>
  </si>
  <si>
    <t>2023-12-08T15:00:01Z</t>
  </si>
  <si>
    <t>yDMZJ7LgrGY</t>
  </si>
  <si>
    <t>The Moment kurzgesagt Changed Forever</t>
  </si>
  <si>
    <t>2023-12-05T16:30:09Z</t>
  </si>
  <si>
    <t>fuFlMtZmvY0</t>
  </si>
  <si>
    <t>The Internet is Worse Than Ever – Now What?</t>
  </si>
  <si>
    <t>2023-11-29T15:00:43Z</t>
  </si>
  <si>
    <t>FgnjdW-x7mQ</t>
  </si>
  <si>
    <t>The Last Thing To Ever Happen In The Universe</t>
  </si>
  <si>
    <t>2023-11-21T15:00:01Z</t>
  </si>
  <si>
    <t>tybKnGZRwcU</t>
  </si>
  <si>
    <t>How to Win an Interstellar War</t>
  </si>
  <si>
    <t>2023-11-15T15:00:01Z</t>
  </si>
  <si>
    <t>S7TUe5w6RHo</t>
  </si>
  <si>
    <t>4.5 Billion Years in 1 Hour</t>
  </si>
  <si>
    <t>2023-11-10T16:15:06Z</t>
  </si>
  <si>
    <t>JOiGEI9pQBs</t>
  </si>
  <si>
    <t>Ancient Life as Old as the Universe</t>
  </si>
  <si>
    <t>2023-10-10T14:00:02Z</t>
  </si>
  <si>
    <t>LBudghsdByQ</t>
  </si>
  <si>
    <t>Why Humans Are Vanishing</t>
  </si>
  <si>
    <t>2023-10-04T14:00:02Z</t>
  </si>
  <si>
    <t>BxXzzAEEhCA</t>
  </si>
  <si>
    <t>Would You Choose Life On Earth Or in Space?</t>
  </si>
  <si>
    <t>2023-09-21T14:00:08Z</t>
  </si>
  <si>
    <t>4Stzj2_Rlo4</t>
  </si>
  <si>
    <t>Are You A Dream Of The Universe?</t>
  </si>
  <si>
    <t>2023-09-12T14:00:06Z</t>
  </si>
  <si>
    <t>wmP3MBjsx20</t>
  </si>
  <si>
    <t>How A Nuclear War Will Start - Minute by Minute</t>
  </si>
  <si>
    <t>2023-08-22T14:00:08Z</t>
  </si>
  <si>
    <t>cFslUSyfZPc</t>
  </si>
  <si>
    <t>What Happens If You Destroy A Black Hole?</t>
  </si>
  <si>
    <t>2023-08-16T13:59:54Z</t>
  </si>
  <si>
    <t>Kr57ax0OWMk</t>
  </si>
  <si>
    <t>The (Second) Deadliest Virus</t>
  </si>
  <si>
    <t>2023-08-08T13:59:49Z</t>
  </si>
  <si>
    <t>28T91fgkpkA</t>
  </si>
  <si>
    <t>How Many Moons Could Earth Handle?</t>
  </si>
  <si>
    <t>2023-07-27T14:03:48Z</t>
  </si>
  <si>
    <t>4TlyzKBm5yw</t>
  </si>
  <si>
    <t>What If You’re in Space without a Spacesuit?</t>
  </si>
  <si>
    <t>2023-07-20T14:00:03Z</t>
  </si>
  <si>
    <t>kblSnj0p6bE</t>
  </si>
  <si>
    <t>What Happens if Earth Suddenly Stops Rotating?</t>
  </si>
  <si>
    <t>2023-07-13T14:00:34Z</t>
  </si>
  <si>
    <t>FPKRFw2jrnU</t>
  </si>
  <si>
    <t>Earth's Hidden Gem: The Astonishing Diversity of Fauna and Flora</t>
  </si>
  <si>
    <t>2023-07-06T14:00:12Z</t>
  </si>
  <si>
    <t>9FppammO1zk</t>
  </si>
  <si>
    <t>The Most Dangerous Weapon Is Not Nuclear</t>
  </si>
  <si>
    <t>2023-07-02T13:00:42Z</t>
  </si>
  <si>
    <t>8Ey3_9N089k</t>
  </si>
  <si>
    <t>The Next Atomic Bomb Is Made of DNA</t>
  </si>
  <si>
    <t>2023-07-02T13:00:05Z</t>
  </si>
  <si>
    <t>TVNdKdLiU74</t>
  </si>
  <si>
    <t>Car warranties and maintenance plans | Car buying | Financial mathematics (TX TEKS) | Khan Academy</t>
  </si>
  <si>
    <t>2026-08-24T03:06:00Z</t>
  </si>
  <si>
    <t>UC4a-Gbdw7vOaccHmFo40b9g</t>
  </si>
  <si>
    <t>Khan Academy</t>
  </si>
  <si>
    <t>ahV1nQ_cRMI</t>
  </si>
  <si>
    <t>Reading a credit report | Consumer credit | Financial mathematics (TX TEKS) | Khan Academy</t>
  </si>
  <si>
    <t>2026-08-24T02:46:06Z</t>
  </si>
  <si>
    <t>U5wgzYwQ6Os</t>
  </si>
  <si>
    <t>Estimating life insurance needs | Insurance | Financial mathematics (TX TEKS) | Khan Academy</t>
  </si>
  <si>
    <t>2026-08-24T02:33:36Z</t>
  </si>
  <si>
    <t>q57mI70XqCo</t>
  </si>
  <si>
    <t>Real world: A Tale of Two Credit Scores | Teacher resources | Financial Literacy | Khan Academy</t>
  </si>
  <si>
    <t>2026-08-24T02:17:23Z</t>
  </si>
  <si>
    <t>8t3qlXggPoY</t>
  </si>
  <si>
    <t>How to calculate monthly payment | Misc | Financial Literacy Library | Khan Academy</t>
  </si>
  <si>
    <t>2026-08-24T02:04:14Z</t>
  </si>
  <si>
    <t>6UuWC2orLk4</t>
  </si>
  <si>
    <t>Escrow and additional home loan costs | Housing | Financial mathematics (TX TEKS) | Khan Academy</t>
  </si>
  <si>
    <t>2026-08-23T18:38:16Z</t>
  </si>
  <si>
    <t>t_pzO1ydVbo</t>
  </si>
  <si>
    <t>Interpreting graphs of quadratic functions | Algebra 1 (IM® v.360 aligned) | Khan Academy</t>
  </si>
  <si>
    <t>2026-08-23T18:20:33Z</t>
  </si>
  <si>
    <t>fvJZWSrdSOM</t>
  </si>
  <si>
    <t>Finding and interpreting inverse functions | Integrated Math 1 (IM® v.360 aligned) | Khan Academy</t>
  </si>
  <si>
    <t>2026-08-23T18:18:47Z</t>
  </si>
  <si>
    <t>Mk_hLTGabTQ</t>
  </si>
  <si>
    <t>Graphing quadratics in factored form when a=1 | Algebra 1 (IM® v.360 aligned) | Khan Academy</t>
  </si>
  <si>
    <t>2026-08-23T18:16:10Z</t>
  </si>
  <si>
    <t>PYJdiguNWKQ</t>
  </si>
  <si>
    <t>Exploring key features of functions | Integrated Math 1 (IM® v.360 aligned) | Khan Academy</t>
  </si>
  <si>
    <t>2026-08-23T18:14:29Z</t>
  </si>
  <si>
    <t>exCgXqE6ZF0</t>
  </si>
  <si>
    <t>Comparing linear and exponential relationships | Khan Academy</t>
  </si>
  <si>
    <t>2026-08-23T18:12:22Z</t>
  </si>
  <si>
    <t>RDkH6qG-E6U</t>
  </si>
  <si>
    <t>Comparing quadratic and exponential functions | Algebra 1 (IM® v.360 aligned) | Khan Academy</t>
  </si>
  <si>
    <t>2026-08-23T18:10:23Z</t>
  </si>
  <si>
    <t>Y3oJbKTnVXQ</t>
  </si>
  <si>
    <t>Comparing guesses and absolute errors | Integrated Math 1 (IM® v.360 aligned) | Khan Academy</t>
  </si>
  <si>
    <t>2026-08-23T18:07:29Z</t>
  </si>
  <si>
    <t>au5T5cznr5k</t>
  </si>
  <si>
    <t>Quadratic equation from geometric context | Algebra 1 (IM® v.360 aligned) | Khan Academy</t>
  </si>
  <si>
    <t>2026-08-23T18:06:01Z</t>
  </si>
  <si>
    <t>aEBI6aO9-1E</t>
  </si>
  <si>
    <t>Choosing an appropriate domain for a quadratic function | Khan Academy</t>
  </si>
  <si>
    <t>2026-08-23T18:04:55Z</t>
  </si>
  <si>
    <t>90YGz4tHt3c</t>
  </si>
  <si>
    <t>Learn how to read the fine print in Khan Academy’s Insurance contracts lesson!</t>
  </si>
  <si>
    <t>2026-08-18T15:23:21Z</t>
  </si>
  <si>
    <t>W6HDsxbHfO0</t>
  </si>
  <si>
    <t>🚨 NEW COURSE ALERT: AP Precalculus just joined Khan Academy</t>
  </si>
  <si>
    <t>2026-08-14T16:40:26Z</t>
  </si>
  <si>
    <t>QKv90MgyjGs</t>
  </si>
  <si>
    <t>The Extra Paycheck Hack</t>
  </si>
  <si>
    <t>2026-08-12T19:15:34Z</t>
  </si>
  <si>
    <t>ubFGdZM1ziM</t>
  </si>
  <si>
    <t>Resonance | AP Physics | Khan Academy</t>
  </si>
  <si>
    <t>2026-08-12T13:33:00Z</t>
  </si>
  <si>
    <t>0NjBjpGQpUQ</t>
  </si>
  <si>
    <t>Modeling pendulums | AP Physics | Khan Academy</t>
  </si>
  <si>
    <t>2026-08-09T16:13:08Z</t>
  </si>
  <si>
    <t>-inpCcFh9qk</t>
  </si>
  <si>
    <t>Modeling spring-mass oscillators | AP Physics | Khan Academy</t>
  </si>
  <si>
    <t>2026-08-07T23:10:22Z</t>
  </si>
  <si>
    <t>mRo0xlj7YGQ</t>
  </si>
  <si>
    <t>SHM of simple pendulums | AP Physics | Khan Academy</t>
  </si>
  <si>
    <t>2026-08-05T16:11:27Z</t>
  </si>
  <si>
    <t>-b8fceyd-ik</t>
  </si>
  <si>
    <t>How to spot misinformation | Democracy today | US government and civics | Khan Academy</t>
  </si>
  <si>
    <t>2026-08-04T11:50:03Z</t>
  </si>
  <si>
    <t>pjia3mqX3sA</t>
  </si>
  <si>
    <t>State and local government | US government and civics | Khan Academy</t>
  </si>
  <si>
    <t>2026-08-04T11:46:44Z</t>
  </si>
  <si>
    <t>JVK9WZ-kjDo</t>
  </si>
  <si>
    <t>Trust in the government | US government and civics | Khan Academy</t>
  </si>
  <si>
    <t>2026-08-04T11:46:35Z</t>
  </si>
  <si>
    <t>8dx1iJTZeGM</t>
  </si>
  <si>
    <t>Energy of spring-mass oscillators | AP Physics | Khan Academy</t>
  </si>
  <si>
    <t>2026-08-03T12:51:30Z</t>
  </si>
  <si>
    <t>t-LuEry9P3o</t>
  </si>
  <si>
    <t>Comparing graphs | Functions | Integrated Math 1 (IM® v.360 aligned) | Khan Academy</t>
  </si>
  <si>
    <t>2026-08-03T03:38:51Z</t>
  </si>
  <si>
    <t>qsk_5WCPEy8</t>
  </si>
  <si>
    <t>Exact vs. approximate solutions to quadratic equations | Khan Academy</t>
  </si>
  <si>
    <t>2026-08-03T03:36:42Z</t>
  </si>
  <si>
    <t>wupekgmKRbA</t>
  </si>
  <si>
    <t>Solving by completing the square: rational solutions | Algebra 1 (IM® v.360 aligned) | Khan Academy</t>
  </si>
  <si>
    <t>2026-08-03T03:32:48Z</t>
  </si>
  <si>
    <t>DrrYX7VhGLE</t>
  </si>
  <si>
    <t>Building quadratic functions from geometric patterns | Algebra 1 (IM® v.360 aligned) | Khan Academy</t>
  </si>
  <si>
    <t>2026-08-03T03:28:24Z</t>
  </si>
  <si>
    <t>BT5x_BEib-4</t>
  </si>
  <si>
    <t>Investigating outliers | Integrated Math 1 (IM® v.360 aligned) | Khan Academy</t>
  </si>
  <si>
    <t>2026-08-03T03:26:34Z</t>
  </si>
  <si>
    <t>JcN8Dl1Y1tg</t>
  </si>
  <si>
    <t>Exploring changes over equal intervals | Integrated Math 1 (IM® v.360 aligned) | Khan Academy</t>
  </si>
  <si>
    <t>2026-08-03T03:23:56Z</t>
  </si>
  <si>
    <t>EQwrOE86YPw</t>
  </si>
  <si>
    <t>Determining the number of solutions of a quadratic graphically | Khan Academy</t>
  </si>
  <si>
    <t>2026-08-03T03:21:11Z</t>
  </si>
  <si>
    <t>6UwuYpY9IxY</t>
  </si>
  <si>
    <t>Comparing exponential functions with the same initial value | Khan Academy</t>
  </si>
  <si>
    <t>2026-08-03T03:19:30Z</t>
  </si>
  <si>
    <t>VordmbxdG3A</t>
  </si>
  <si>
    <t>Exploring different compounding intervals | Integrated Math 1 (IM® v.360 aligned) | Khan Academy</t>
  </si>
  <si>
    <t>2026-08-03T03:17:27Z</t>
  </si>
  <si>
    <t>FQtcvJiVmWQ</t>
  </si>
  <si>
    <t>Calculating and interpreting rates of change for exponential functions | Khan Academy</t>
  </si>
  <si>
    <t>2026-08-03T03:15:48Z</t>
  </si>
  <si>
    <t>lMiWwRukSKY</t>
  </si>
  <si>
    <t>Using technology to graph and evaluate functions | Khan Academy</t>
  </si>
  <si>
    <t>2026-08-03T03:12:27Z</t>
  </si>
  <si>
    <t>PL9X7Ww8aFU</t>
  </si>
  <si>
    <t>Why you can't divide by a variable when solving quadratics | Khan Academy</t>
  </si>
  <si>
    <t>2026-08-03T03:10:56Z</t>
  </si>
  <si>
    <t>YhEBIHPG9cM</t>
  </si>
  <si>
    <t>Exploring exponential situations as functions | Integrated Math 1 (IM® v.360 aligned) | Khan Academy</t>
  </si>
  <si>
    <t>2026-08-03T03:09:21Z</t>
  </si>
  <si>
    <t>EYMfpriHkcg</t>
  </si>
  <si>
    <t>Numerical and categorical data | Integrated Math 1 (IM® v.360 aligned) | Khan Academy</t>
  </si>
  <si>
    <t>2026-08-03T03:07:50Z</t>
  </si>
  <si>
    <t>kPzBt5gUFuY</t>
  </si>
  <si>
    <t>Modeling free fall with quadratic functions | Algebra 1 (IM® v.360 aligned) | Khan Academy</t>
  </si>
  <si>
    <t>2026-08-03T03:06:27Z</t>
  </si>
  <si>
    <t>G1SH5MJvfoM</t>
  </si>
  <si>
    <t>Interpreting a piecewise function graph | Integrated Math 1 (IM® v.360 aligned) | Khan Academy</t>
  </si>
  <si>
    <t>2026-08-03T03:05:02Z</t>
  </si>
  <si>
    <t>nNhzI4GdcKg</t>
  </si>
  <si>
    <t>Standard deviation in context | Integrated Math 1 (IM® v.360 aligned) | Khan Academy</t>
  </si>
  <si>
    <t>2026-08-03T03:03:39Z</t>
  </si>
  <si>
    <t>3-BIGCWr8Ow</t>
  </si>
  <si>
    <t>Comparing exponential functions with the same growth factor | Khan Academy</t>
  </si>
  <si>
    <t>2026-08-03T03:02:02Z</t>
  </si>
  <si>
    <t>8XicDs22wlw</t>
  </si>
  <si>
    <t>Interpreting exponential functions | Integrated Math 1 (IM® v.360 aligned) | Khan Academy</t>
  </si>
  <si>
    <t>2026-08-03T03:00:12Z</t>
  </si>
  <si>
    <t>-cRbQpUmj6Q</t>
  </si>
  <si>
    <t>Interpreting linear equations in different forms | Khan Academy</t>
  </si>
  <si>
    <t>2026-08-03T02:58:46Z</t>
  </si>
  <si>
    <t>6_Pmwrx_kg0</t>
  </si>
  <si>
    <t>Using IQR and MAD to compare variability | Integrated Math 1 (IM® v.360 aligned) | Khan Academy</t>
  </si>
  <si>
    <t>2026-08-03T02:57:01Z</t>
  </si>
  <si>
    <t>9QuCWeJOgwI</t>
  </si>
  <si>
    <t>Representing numbers using powers of 10 | 8th grade math (IM® v.360 aligned) | Khan Academy</t>
  </si>
  <si>
    <t>2026-08-03T02:49:54Z</t>
  </si>
  <si>
    <t>P_Y5W7BXCH4</t>
  </si>
  <si>
    <t>Finding the area of a tilted square | 8th grade math (IM® v.360 aligned) | Khan Academy</t>
  </si>
  <si>
    <t>2026-08-03T02:46:05Z</t>
  </si>
  <si>
    <t>25eC1INldxI</t>
  </si>
  <si>
    <t>Small numbers on the number line | 8th grade math (IM® v.360 aligned) | Khan Academy</t>
  </si>
  <si>
    <t>2026-08-03T02:44:31Z</t>
  </si>
  <si>
    <t>q2kKuZMqpv4</t>
  </si>
  <si>
    <t>Finding side lengths of triangles | 8th grade math (IM® v.360 aligned) | Khan Academy</t>
  </si>
  <si>
    <t>2026-08-03T02:40:54Z</t>
  </si>
  <si>
    <t>R32NVZowWMY</t>
  </si>
  <si>
    <t>Solving aspect ratio problems with the Pythagorean theorem | Khan Academy</t>
  </si>
  <si>
    <t>2026-08-03T02:33:17Z</t>
  </si>
  <si>
    <t>xAOJ5sJslWU</t>
  </si>
  <si>
    <t>Solving problems using powers of 10 in context | 8th grade math (IM® v.360 aligned) | Khan Academy</t>
  </si>
  <si>
    <t>2026-08-03T02:25:12Z</t>
  </si>
  <si>
    <t>XHofFxtaMKI</t>
  </si>
  <si>
    <t>Large numbers on the number line | 8th grade math (IM® v.360 aligned) | Khan Academy</t>
  </si>
  <si>
    <t>2026-08-02T20:08:22Z</t>
  </si>
  <si>
    <t>G7uDwEvu_Wk</t>
  </si>
  <si>
    <t>Relating side lengths and areas of squares | 8th grade math (IM® v.360 aligned) | Khan Academy</t>
  </si>
  <si>
    <t>2026-08-02T20:05:46Z</t>
  </si>
  <si>
    <t>777jxRvzmNc</t>
  </si>
  <si>
    <t>Exploring negative exponents with a base of 10 | 8th grade math (IM® v.360 aligned) | Khan Academy</t>
  </si>
  <si>
    <t>2026-08-02T19:58:20Z</t>
  </si>
  <si>
    <t>zFYso4nHDUc</t>
  </si>
  <si>
    <t>Estimating volume of hemispheres | 8th grade math (IM® v.360 aligned) | Khan Academy</t>
  </si>
  <si>
    <t>2026-08-02T19:48:22Z</t>
  </si>
  <si>
    <t>eRZSzGKDfwU</t>
  </si>
  <si>
    <t>SHM of spring-mass oscillators | AP Physics | Khan Academy</t>
  </si>
  <si>
    <t>2026-08-01T12:44:27Z</t>
  </si>
  <si>
    <t>kZPGOPh-xyk</t>
  </si>
  <si>
    <t>Taxonomy and scientific names | Middle school biology | Khan Academy</t>
  </si>
  <si>
    <t>2026-07-31T19:52:08Z</t>
  </si>
  <si>
    <t>DeI_-dk4DSY</t>
  </si>
  <si>
    <t>Taxonomy and the kingdoms of life | Middle school biology | Khan Academy</t>
  </si>
  <si>
    <t>2026-07-31T19:51:43Z</t>
  </si>
  <si>
    <t>uEDs_fudE7w</t>
  </si>
  <si>
    <t>Trait variation and environmental changes | Middle school biology | Khan Academy</t>
  </si>
  <si>
    <t>2026-07-31T14:13:08Z</t>
  </si>
  <si>
    <t>2i6FWpoNRS0</t>
  </si>
  <si>
    <t>Traits and fitness | Middle school biology | Khan Academy</t>
  </si>
  <si>
    <t>2026-07-31T14:12:47Z</t>
  </si>
  <si>
    <t>59ox92_6lo8</t>
  </si>
  <si>
    <t>Types of organisms | Middle school biology | Khan Academy</t>
  </si>
  <si>
    <t>2026-07-31T14:11:49Z</t>
  </si>
  <si>
    <t>UCREaEXFiIA</t>
  </si>
  <si>
    <t>Angular momentum of rigid systems (with calculus) | AP Physics | Khan Academy</t>
  </si>
  <si>
    <t>2026-07-30T13:11:42Z</t>
  </si>
  <si>
    <t>p8d72VuAjP8</t>
  </si>
  <si>
    <t>Time-dependent forces | AP Physics | Khan Academy</t>
  </si>
  <si>
    <t>2026-07-28T10:53:17Z</t>
  </si>
  <si>
    <t>6F4rB97DXPM</t>
  </si>
  <si>
    <t>Unit conversations part 2 | Science Toolkit | Khan Academy</t>
  </si>
  <si>
    <t>2026-07-27T18:28:58Z</t>
  </si>
  <si>
    <t>6fZSr6lDm9k</t>
  </si>
  <si>
    <t>Unit conversations part 1 | Science Toolkit | Khan Academy</t>
  </si>
  <si>
    <t>2026-07-27T18:13:03Z</t>
  </si>
  <si>
    <t>p_vN2brDxq0</t>
  </si>
  <si>
    <t>Multiplying and dividing significant figures | Science Toolkit | Khan Academy</t>
  </si>
  <si>
    <t>2026-07-27T18:09:11Z</t>
  </si>
  <si>
    <t>Uz55_AHFTkA</t>
  </si>
  <si>
    <t>Adding and subtracting significant figures | Science Toolkit | Khan Academy</t>
  </si>
  <si>
    <t>2026-07-27T18:04:56Z</t>
  </si>
  <si>
    <t>l2JThIBcD04</t>
  </si>
  <si>
    <t>Significant figures | Science Toolkit | Khan Academy</t>
  </si>
  <si>
    <t>2026-07-27T18:01:59Z</t>
  </si>
  <si>
    <t>ClW4x6OPDPQ</t>
  </si>
  <si>
    <t>Precision in measurement | Science toolkit | Khan Academy</t>
  </si>
  <si>
    <t>2026-07-27T17:57:37Z</t>
  </si>
  <si>
    <t>EL41IWzYXgQ</t>
  </si>
  <si>
    <t>Scientific notation | Science Toolkit | Khan Academy</t>
  </si>
  <si>
    <t>2026-07-27T17:50:53Z</t>
  </si>
  <si>
    <t>-A9luUC5LwA</t>
  </si>
  <si>
    <t>Metric system part 2 | Science Toolkit | Khan Academy</t>
  </si>
  <si>
    <t>2026-07-27T17:39:54Z</t>
  </si>
  <si>
    <t>Q2rYdBURfaA</t>
  </si>
  <si>
    <t>Metric system part 1 | Science Toolkit | Khan Academy</t>
  </si>
  <si>
    <t>2026-07-27T17:32:57Z</t>
  </si>
  <si>
    <t>u1SOrLcHtVA</t>
  </si>
  <si>
    <t>Linear momentum and impulse | AP Physics | Khan Academy</t>
  </si>
  <si>
    <t>2026-07-26T14:09:20Z</t>
  </si>
  <si>
    <t>gY8sqnmju-0</t>
  </si>
  <si>
    <t>Potential energy and conservative forces (part 5) | AP Physics | Khan Academy</t>
  </si>
  <si>
    <t>2026-07-24T13:14:25Z</t>
  </si>
  <si>
    <t>tJf7F3zTNMo</t>
  </si>
  <si>
    <t>Khan Academy - The Future of Assessment</t>
  </si>
  <si>
    <t>2026-07-23T18:37:09Z</t>
  </si>
  <si>
    <t>qKTBVL5jBIA</t>
  </si>
  <si>
    <t>Potential energy and conservative forces (part 4) | AP Physics | Khan Academy</t>
  </si>
  <si>
    <t>2026-07-22T12:01:32Z</t>
  </si>
  <si>
    <t>Wmb3ZVfVUuc</t>
  </si>
  <si>
    <t>Rotating line segments | 8th grade math (IM® v.360 aligned) | Khan Academy</t>
  </si>
  <si>
    <t>2026-07-21T20:42:48Z</t>
  </si>
  <si>
    <t>Q53TQP6eimk</t>
  </si>
  <si>
    <t>Writing the equation of a line with a positive slope | Khan Academy</t>
  </si>
  <si>
    <t>2026-07-21T20:42:45Z</t>
  </si>
  <si>
    <t>7p3YR2wYT7U</t>
  </si>
  <si>
    <t>Calculating dimensions of a cone | 8th grade math (IM® v.360 aligned) | Khan Academy</t>
  </si>
  <si>
    <t>2026-07-21T20:42:42Z</t>
  </si>
  <si>
    <t>0tc_fga-Tq0</t>
  </si>
  <si>
    <t>Calculating dimensions of a cylinder | 8th grade math (IM® v.360 aligned) | Khan Academy</t>
  </si>
  <si>
    <t>2026-07-21T20:42:38Z</t>
  </si>
  <si>
    <t>xSNzGtTEC1U</t>
  </si>
  <si>
    <t>Relating height and volume of cylinders | 8th grade math (IM® v.360 aligned) | Khan Academy</t>
  </si>
  <si>
    <t>2026-07-21T20:42:35Z</t>
  </si>
  <si>
    <t>8OeKOVeIZMQ</t>
  </si>
  <si>
    <t>Interpreting piecewise linear functions | 8th grade math (IM® v.360 aligned) | Khan Academy</t>
  </si>
  <si>
    <t>2026-07-21T20:42:33Z</t>
  </si>
  <si>
    <t>sVxImbpK8AI</t>
  </si>
  <si>
    <t>Graphs of functions in context | 8th grade math (IM® v.360 aligned) | Khan Academy</t>
  </si>
  <si>
    <t>2026-07-21T20:42:30Z</t>
  </si>
  <si>
    <t>h8vFG2Ov43c</t>
  </si>
  <si>
    <t>Rules of input-output tables | 8th grade math (IM® v.360 aligned) | Khan Academy</t>
  </si>
  <si>
    <t>2026-07-21T20:42:27Z</t>
  </si>
  <si>
    <t>JAhG2bRH55I</t>
  </si>
  <si>
    <t>Calculating solutions to a linear equation | 8th grade math (IM® v.360 aligned) | Khan Academy</t>
  </si>
  <si>
    <t>2026-07-21T20:42:24Z</t>
  </si>
  <si>
    <t>jOS45lOWXdI</t>
  </si>
  <si>
    <t>Determining solutions to 2-variable equations and graphs | Khan Academy</t>
  </si>
  <si>
    <t>2026-07-21T20:42:21Z</t>
  </si>
  <si>
    <t>LH5xq2SPAeU</t>
  </si>
  <si>
    <t>Writing and graphing linear equations | 8th grade math (IM® v.360 aligned) | Khan Academy</t>
  </si>
  <si>
    <t>2026-07-21T20:42:18Z</t>
  </si>
  <si>
    <t>6Nig8sO_a3A</t>
  </si>
  <si>
    <t>Comparing graphs of linear relationships with different y-intercepts | Khan Academy</t>
  </si>
  <si>
    <t>2026-07-21T20:42:16Z</t>
  </si>
  <si>
    <t>PrjV4zv8Xck</t>
  </si>
  <si>
    <t>Interpreting slope and y-intercept | 8th grade math (IM® v.360 aligned) | Khan Academy</t>
  </si>
  <si>
    <t>2026-07-21T20:42:13Z</t>
  </si>
  <si>
    <t>qGRtaBart38</t>
  </si>
  <si>
    <t>Using equations to represent linear relationships | Khan Academy</t>
  </si>
  <si>
    <t>2026-07-21T20:42:11Z</t>
  </si>
  <si>
    <t>0ESzVmo0hJY</t>
  </si>
  <si>
    <t>Comparing proportional and nonproportional linear relationships | Khan Academy</t>
  </si>
  <si>
    <t>2026-07-21T20:42:08Z</t>
  </si>
  <si>
    <t>CdMUBpFP2ro</t>
  </si>
  <si>
    <t>Comparing scale in proportional relationship graphs | Khan Academy</t>
  </si>
  <si>
    <t>2026-07-21T20:42:05Z</t>
  </si>
  <si>
    <t>8mkTsVgSJe4</t>
  </si>
  <si>
    <t>Identifying rigid transformations | 8th grade math (IM® v.360 aligned) | Khan Academy</t>
  </si>
  <si>
    <t>2026-07-21T20:42:02Z</t>
  </si>
  <si>
    <t>mbxSy9TTTbM</t>
  </si>
  <si>
    <t>Alternate interior angles | 8th grade math (IM® v.360 aligned) | Khan Academy</t>
  </si>
  <si>
    <t>2026-07-21T20:41:59Z</t>
  </si>
  <si>
    <t>PbLM99ay7LI</t>
  </si>
  <si>
    <t>Rigid transformations of parallel lines | 8th grade math (IM® v.360 aligned) | Khan Academy</t>
  </si>
  <si>
    <t>2026-07-21T20:41:57Z</t>
  </si>
  <si>
    <t>PZEUpMiOn6M</t>
  </si>
  <si>
    <t>Determining similarity in polygons | 8th grade math (IM® v.360 aligned) | Khan Academy</t>
  </si>
  <si>
    <t>2026-07-21T20:41:54Z</t>
  </si>
  <si>
    <t>7eeaXv6brQ8</t>
  </si>
  <si>
    <t>Finding points on a line when given an equation | 8th grade math (IM® v.360 aligned) | Khan Academy</t>
  </si>
  <si>
    <t>2026-07-21T20:41:50Z</t>
  </si>
  <si>
    <t>B0fCqf_FDPU</t>
  </si>
  <si>
    <t>Dilating figures on a circular grid | 8th grade math (IM® v.360 aligned) | Khan Academy</t>
  </si>
  <si>
    <t>2026-07-21T20:41:47Z</t>
  </si>
  <si>
    <t>Uc-UqvEhcQw</t>
  </si>
  <si>
    <t>Dilating points on a circular grid | 8th grade math (IM® v.360 aligned) | Khan Academy</t>
  </si>
  <si>
    <t>2026-07-21T20:41:45Z</t>
  </si>
  <si>
    <t>7ng5GV40W9Q</t>
  </si>
  <si>
    <t>Dilating figures with no grid | 8th grade math (IM® v.360 aligned) | Khan Academy</t>
  </si>
  <si>
    <t>2026-07-21T20:41:42Z</t>
  </si>
  <si>
    <t>E7KfcxpKF7c</t>
  </si>
  <si>
    <t>Identifying similar triangles | 8th grade math (IM® v.360 aligned) | Khan Academy</t>
  </si>
  <si>
    <t>2026-07-21T20:41:40Z</t>
  </si>
  <si>
    <t>0-PM-gN4rog</t>
  </si>
  <si>
    <t>Identifying center of dilation with no grid | 8th grade math (IM® v.360 aligned) | Khan Academy</t>
  </si>
  <si>
    <t>2026-07-21T20:41:37Z</t>
  </si>
  <si>
    <t>BI1aS8-PdyU</t>
  </si>
  <si>
    <t>Drawing lines for a given slope | 8th grade math (IM® v.360 aligned) | Khan Academy</t>
  </si>
  <si>
    <t>2026-07-21T20:41:34Z</t>
  </si>
  <si>
    <t>AZSUyrOqFBg</t>
  </si>
  <si>
    <t>Introducing triangle similarity | 8th grade math (IM® v.360 aligned) | Khan Academy</t>
  </si>
  <si>
    <t>2026-07-21T20:41:31Z</t>
  </si>
  <si>
    <t>5GrAoRoV7co</t>
  </si>
  <si>
    <t>Side lengths in similar triangles | 8th grade math (IM® v.360 aligned) | Khan Academy</t>
  </si>
  <si>
    <t>2026-07-21T20:41:28Z</t>
  </si>
  <si>
    <t>MKl9otX8gwA</t>
  </si>
  <si>
    <t>Finding missing lengths in slope triangles | 8th grade math (IM® v.360 aligned) | Khan Academy</t>
  </si>
  <si>
    <t>2026-07-21T20:40:52Z</t>
  </si>
  <si>
    <t>txRmzpNHtYI</t>
  </si>
  <si>
    <t>Interpreting and comparing proportional relationships | Khan Academy</t>
  </si>
  <si>
    <t>2026-07-21T20:40:49Z</t>
  </si>
  <si>
    <t>Q6EgiGx7EUQ</t>
  </si>
  <si>
    <t>Potential energy and conservative forces (part 3) | AP Physics | Khan Academy</t>
  </si>
  <si>
    <t>2026-07-20T12:11:11Z</t>
  </si>
  <si>
    <t>9o1WbcK7_-g</t>
  </si>
  <si>
    <t>Potential energy and conservative forces (part 2) | AP Physics | Khan Academy</t>
  </si>
  <si>
    <t>2026-07-18T16:03:13Z</t>
  </si>
  <si>
    <t>1eooA5q9GCs</t>
  </si>
  <si>
    <t>Potential energy and conservative forces (part 1) | AP Physics | Khan Academy</t>
  </si>
  <si>
    <t>2026-07-17T18:49:32Z</t>
  </si>
  <si>
    <t>gS2yei7d0_E</t>
  </si>
  <si>
    <t>Work done by forces (part 2) | AP Physics | Khan Academy</t>
  </si>
  <si>
    <t>2026-07-16T11:28:23Z</t>
  </si>
  <si>
    <t>Qf8hIBrsWZI</t>
  </si>
  <si>
    <t>Work done by forces (part 1) | AP Physics | Khan Academy</t>
  </si>
  <si>
    <t>2026-07-14T11:08:57Z</t>
  </si>
  <si>
    <t>F5Tg46DVWzo</t>
  </si>
  <si>
    <t>Motion as a function of time: Resistive force example (part 2) | AP Physics | Khan Academy</t>
  </si>
  <si>
    <t>2026-07-12T13:33:15Z</t>
  </si>
  <si>
    <t>d5BNFRylOZE</t>
  </si>
  <si>
    <t>Motion as a function of time: Resistive force example (part 1) | AP Physics | Khan Academy</t>
  </si>
  <si>
    <t>2026-07-11T12:31:53Z</t>
  </si>
  <si>
    <t>T3UBiY4sHKA</t>
  </si>
  <si>
    <t>Motion as a function of time: Friction example | AP Physics | Khan Academy</t>
  </si>
  <si>
    <t>2026-07-09T12:56:41Z</t>
  </si>
  <si>
    <t>6npvM9lop0w</t>
  </si>
  <si>
    <t>What is computer science? #programming #python</t>
  </si>
  <si>
    <t>2026-07-08T17:45:33Z</t>
  </si>
  <si>
    <t>O72cSBd2I6Y</t>
  </si>
  <si>
    <t>Program a Python paint battle! #computerscience #robotics</t>
  </si>
  <si>
    <t>2026-07-08T14:25:48Z</t>
  </si>
  <si>
    <t>ClCSbLcKDyE</t>
  </si>
  <si>
    <t>Kinematic quantities: Accumulations of change | AP Physics | Khan Academy</t>
  </si>
  <si>
    <t>2026-07-07T13:14:46Z</t>
  </si>
  <si>
    <t>8bHhZ66tvfo</t>
  </si>
  <si>
    <t>Kinematic quantities: Rates of change | AP Physics | Khan Academy</t>
  </si>
  <si>
    <t>2026-07-05T13:29:20Z</t>
  </si>
  <si>
    <t>_pH22LAM7Ek</t>
  </si>
  <si>
    <t>Introduction to AP Physics C: Mechanics | Khan Academy</t>
  </si>
  <si>
    <t>2026-07-03T12:11:30Z</t>
  </si>
  <si>
    <t>8mrF81QZVF4</t>
  </si>
  <si>
    <t>Identifying equations from visual models tape diagrams</t>
  </si>
  <si>
    <t>2026-07-02T18:18:00Z</t>
  </si>
  <si>
    <t>orsTliP9CU8</t>
  </si>
  <si>
    <t>Equal and equivalent expressions</t>
  </si>
  <si>
    <t>2026-07-02T18:17:55Z</t>
  </si>
  <si>
    <t>e6u9VT4d_vY</t>
  </si>
  <si>
    <t>Modeling distance over time</t>
  </si>
  <si>
    <t>2026-07-02T18:17:51Z</t>
  </si>
  <si>
    <t>C3OFtj73N0E</t>
  </si>
  <si>
    <t>Identifying bases and heights of parallelograms | Khan Academy</t>
  </si>
  <si>
    <t>2026-07-02T18:17:47Z</t>
  </si>
  <si>
    <t>6yYnr8FL1fk</t>
  </si>
  <si>
    <t>Volume of a cube | Area and surface area | 6th grade math (Illustrative Math-aligned) | Khan Academy</t>
  </si>
  <si>
    <t>2026-07-02T18:17:43Z</t>
  </si>
  <si>
    <t>klMANPlTORs</t>
  </si>
  <si>
    <t>Special polyhedra: cube | 6th grade math (Illustrative Math-aligned) | Khan Academy</t>
  </si>
  <si>
    <t>2026-07-02T18:17:39Z</t>
  </si>
  <si>
    <t>3So5vSNtD48</t>
  </si>
  <si>
    <t>Part-to-part ratio models | 6th grade math (Illustrative Math-aligned) | Khan Academy</t>
  </si>
  <si>
    <t>2026-07-02T18:17:35Z</t>
  </si>
  <si>
    <t>Lwog2qzaS20</t>
  </si>
  <si>
    <t>Missing information: rate problems | 6th grade math (Illustrative Math-aligned) | Khan Academy</t>
  </si>
  <si>
    <t>2026-07-02T18:17:32Z</t>
  </si>
  <si>
    <t>aNywIvg-Q2w</t>
  </si>
  <si>
    <t>Modeling fraction equations with tape diagrams: bike route | Khan Academy</t>
  </si>
  <si>
    <t>2026-07-02T18:17:28Z</t>
  </si>
  <si>
    <t>a7RzJ7piDSc</t>
  </si>
  <si>
    <t>Modeling fraction expressions with tape diagrams: pasta salad | Khan Academy</t>
  </si>
  <si>
    <t>2026-07-02T18:17:21Z</t>
  </si>
  <si>
    <t>JaUu2iS-CuE</t>
  </si>
  <si>
    <t>Modeling expressions with mixed numbers: bracelets | Khan Academy</t>
  </si>
  <si>
    <t>2026-07-02T18:17:17Z</t>
  </si>
  <si>
    <t>i-xK4mSdGUg</t>
  </si>
  <si>
    <t>Using volume for missing side length (mixed numbers) | Khan Academy</t>
  </si>
  <si>
    <t>2026-07-02T18:17:13Z</t>
  </si>
  <si>
    <t>E64fsviSyV4</t>
  </si>
  <si>
    <t>Solving money problems with decimals | 6th grade math (Illustrative Math-aligned) | Khan Academy</t>
  </si>
  <si>
    <t>2026-07-02T18:17:09Z</t>
  </si>
  <si>
    <t>FYN7ElO_6Y0</t>
  </si>
  <si>
    <t>Relating decimal multiplication to fractions and place value | Khan Academy</t>
  </si>
  <si>
    <t>2026-07-02T18:17:03Z</t>
  </si>
  <si>
    <t>mFN9Wh8K_uw</t>
  </si>
  <si>
    <t>Labeling axes to fit data sets | 6th grade math (Illustrative Math-aligned) | Khan Academy</t>
  </si>
  <si>
    <t>2026-07-02T18:16:59Z</t>
  </si>
  <si>
    <t>-GI96_8q2OE</t>
  </si>
  <si>
    <t>Distances in the coordinate plane (between reflected points) | Khan Academy</t>
  </si>
  <si>
    <t>2026-07-02T18:16:54Z</t>
  </si>
  <si>
    <t>Moi2PbI4b48</t>
  </si>
  <si>
    <t>Categorical data sets | 6th grade math (Illustrative Math-aligned) | Khan Academy</t>
  </si>
  <si>
    <t>2026-07-02T18:16:50Z</t>
  </si>
  <si>
    <t>_40su2dEvA4</t>
  </si>
  <si>
    <t>Mean | Data sets and distribution | 6th grade math (Illustrative Math-aligned) | Khan Academy</t>
  </si>
  <si>
    <t>ktaTECHDVy0</t>
  </si>
  <si>
    <t>Numerical data sets | 6th grade math (Illustrative Math-aligned) | Khan Academy</t>
  </si>
  <si>
    <t>2026-07-02T18:16:47Z</t>
  </si>
  <si>
    <t>1DuU8GbTPgk</t>
  </si>
  <si>
    <t>Interpreting mean | 6th grade math (Illustrative Math-aligned) | Khan Academy</t>
  </si>
  <si>
    <t>2026-07-02T18:16:40Z</t>
  </si>
  <si>
    <t>MlrzY0u_aOg</t>
  </si>
  <si>
    <t>Interpreting variability | 6th grade math (Illustrative Math-aligned) | Khan Academy</t>
  </si>
  <si>
    <t>2026-07-02T18:16:36Z</t>
  </si>
  <si>
    <t>jQzoJJRgvcI</t>
  </si>
  <si>
    <t>Median | Data sets and distribution | 6th grade math (Illustrative Math-aligned) | Khan Academy</t>
  </si>
  <si>
    <t>2026-07-02T18:16:33Z</t>
  </si>
  <si>
    <t>SpCYrTAzhjc</t>
  </si>
  <si>
    <t>Estimating a population count from a random sample | Khan Academy</t>
  </si>
  <si>
    <t>2026-06-30T14:49:34Z</t>
  </si>
  <si>
    <t>QhmATB1SkQs</t>
  </si>
  <si>
    <t>Comparing populations using MAD | 7th grade math (IM® v.360 aligned) | Khan Academy</t>
  </si>
  <si>
    <t>2026-06-30T14:49:31Z</t>
  </si>
  <si>
    <t>s013HOLgMWM</t>
  </si>
  <si>
    <t>Comparing populations using IQR | 7th grade math (IM® v.360 aligned) | Khan Academy</t>
  </si>
  <si>
    <t>2026-06-30T14:49:28Z</t>
  </si>
  <si>
    <t>E3DrQ7bfh7s</t>
  </si>
  <si>
    <t>Drawing conclusions from sample data | 7th grade math (IM® v.360 aligned) | Khan Academy</t>
  </si>
  <si>
    <t>2026-06-30T14:49:25Z</t>
  </si>
  <si>
    <t>zrwLq2Decck</t>
  </si>
  <si>
    <t>Determining whether a sample is representative using center | Khan Academy</t>
  </si>
  <si>
    <t>2026-06-30T14:48:03Z</t>
  </si>
  <si>
    <t>QPqigb5jgR0</t>
  </si>
  <si>
    <t>Identifying the most representative sample using shape, center, and spread | Khan Academy</t>
  </si>
  <si>
    <t>2026-06-30T14:47:53Z</t>
  </si>
  <si>
    <t>4xK62sct1fY</t>
  </si>
  <si>
    <t>Estimating probability from a simulation | 7th grade math (IM® v.360 aligned) | Khan Academy</t>
  </si>
  <si>
    <t>2026-06-30T14:47:50Z</t>
  </si>
  <si>
    <t>rMvfxpoAaOA</t>
  </si>
  <si>
    <t>Selecting a valid simulation for a multi-step event | Khan Academy</t>
  </si>
  <si>
    <t>2026-06-30T14:47:48Z</t>
  </si>
  <si>
    <t>sgpbnajY250</t>
  </si>
  <si>
    <t>Identifying valid simulations | 7th grade math (IM® v.360 aligned) | Khan Academy</t>
  </si>
  <si>
    <t>2026-06-30T14:47:45Z</t>
  </si>
  <si>
    <t>4KUg8dcCnQI</t>
  </si>
  <si>
    <t>Comparing two probability values expressed in different forms | Khan Academy</t>
  </si>
  <si>
    <t>2026-06-30T14:47:42Z</t>
  </si>
  <si>
    <t>pW7iL7MdXmA</t>
  </si>
  <si>
    <t>Matching a probability value to a likelihood term | Khan Academy</t>
  </si>
  <si>
    <t>2026-06-30T14:47:40Z</t>
  </si>
  <si>
    <t>weyF8fSxoXQ</t>
  </si>
  <si>
    <t>Classifying outcomes using likelihood terms | 7th grade math (IM® v.360 aligned) | Khan Academy</t>
  </si>
  <si>
    <t>2026-06-30T14:47:38Z</t>
  </si>
  <si>
    <t>rp4sEjQbvno</t>
  </si>
  <si>
    <t>Comparing two experiments to predict the better chance | Khan Academy</t>
  </si>
  <si>
    <t>2026-06-30T14:47:34Z</t>
  </si>
  <si>
    <t>lv9qmWir61I</t>
  </si>
  <si>
    <t>Making a prediction based on results from a single experiment | Khan Academy</t>
  </si>
  <si>
    <t>2026-06-30T14:47:32Z</t>
  </si>
  <si>
    <t>RvCJat52CGU</t>
  </si>
  <si>
    <t>Finding a missing dimension of a prism using the volume formula | Khan Academy</t>
  </si>
  <si>
    <t>2026-06-30T14:47:30Z</t>
  </si>
  <si>
    <t>0X8Oo013zIc</t>
  </si>
  <si>
    <t>Finding the volume of a prism with a polygon base on a grid | Khan Academy</t>
  </si>
  <si>
    <t>2026-06-30T14:47:27Z</t>
  </si>
  <si>
    <t>M8NSMsWkqzs</t>
  </si>
  <si>
    <t>Determining if a triangle is possible given two angle measures | Khan Academy</t>
  </si>
  <si>
    <t>2026-06-30T14:47:24Z</t>
  </si>
  <si>
    <t>D8z6FzeNntk</t>
  </si>
  <si>
    <t>Determining triangle uniqueness | 7th grade math (IM® v.360 aligned) | Khan Academy</t>
  </si>
  <si>
    <t>2026-06-30T14:47:22Z</t>
  </si>
  <si>
    <t>Vp5OLgy_7ps</t>
  </si>
  <si>
    <t>Comparing triangles by analyzing angle and side arrangements | Khan Academy</t>
  </si>
  <si>
    <t>2026-06-30T14:47:18Z</t>
  </si>
  <si>
    <t>zs7mLUcatCI</t>
  </si>
  <si>
    <t>Identifying identical triangle copies | 7th grade math (IM® v.360 aligned) | Khan Academy</t>
  </si>
  <si>
    <t>2026-06-30T14:47:15Z</t>
  </si>
  <si>
    <t>6a2HDER0Sgk</t>
  </si>
  <si>
    <t>Reasoning with tape diagrams to connect situations and equations | Khan Academy</t>
  </si>
  <si>
    <t>2026-06-30T14:47:13Z</t>
  </si>
  <si>
    <t>pJJe4PktTn8</t>
  </si>
  <si>
    <t>Finding the volume of a prism with a polygon base | Khan Academy</t>
  </si>
  <si>
    <t>2026-06-30T14:47:06Z</t>
  </si>
  <si>
    <t>LWHBG5daCUs</t>
  </si>
  <si>
    <t>Reasoning with tape diagrams to solve equations | 7th grade math (IM® v.360 aligned) | Khan Academy</t>
  </si>
  <si>
    <t>2026-06-30T14:46:50Z</t>
  </si>
  <si>
    <t>1iqIpSlEH6E</t>
  </si>
  <si>
    <t>Applying percent error with an underestimate | 7th grade math (IM® v.360 aligned) | Khan Academy</t>
  </si>
  <si>
    <t>2026-06-30T14:46:48Z</t>
  </si>
  <si>
    <t>TmHMtGa1fYU</t>
  </si>
  <si>
    <t>Applying signed number addition to elevation situations: writing equations | Khan Academy</t>
  </si>
  <si>
    <t>2026-06-30T14:46:45Z</t>
  </si>
  <si>
    <t>vpMDVgPCX8g</t>
  </si>
  <si>
    <t>Khan Academy still free, now reimagined #ISTELive26</t>
  </si>
  <si>
    <t>2026-06-29T21:32:10Z</t>
  </si>
  <si>
    <t>e_1M6jOLv68</t>
  </si>
  <si>
    <t>Interpreting constant of proportionality in graphs | Khan Academy</t>
  </si>
  <si>
    <t>2026-06-29T17:33:06Z</t>
  </si>
  <si>
    <t>OLuI0KtQHkc</t>
  </si>
  <si>
    <t>Applying signed number addition to money situations: writing equations | Khan Academy</t>
  </si>
  <si>
    <t>2026-06-29T16:45:00Z</t>
  </si>
  <si>
    <t>pfitOXYt6Fs</t>
  </si>
  <si>
    <t>Applying signed number addition to find a final balance | Khan Academy</t>
  </si>
  <si>
    <t>2026-06-29T16:44:58Z</t>
  </si>
  <si>
    <t>o2GympSkzhI</t>
  </si>
  <si>
    <t>Applying multiplication of signed numbers to motion: calculating final position | Khan Academy</t>
  </si>
  <si>
    <t>2026-06-29T16:44:55Z</t>
  </si>
  <si>
    <t>UYaAQny-lQo</t>
  </si>
  <si>
    <t>Applying multiplication of signed numbers to motion: writing equations | Khan Academy</t>
  </si>
  <si>
    <t>2026-06-29T16:44:51Z</t>
  </si>
  <si>
    <t>KUKdzmAM2b8</t>
  </si>
  <si>
    <t>Relating multiplication and division with negative numbers | Khan Academy</t>
  </si>
  <si>
    <t>2026-06-29T16:44:48Z</t>
  </si>
  <si>
    <t>bZ-PfX9BvEs</t>
  </si>
  <si>
    <t>Matching addition equations with rational numbers to real-world situations | Khan Academy</t>
  </si>
  <si>
    <t>2026-06-29T16:44:46Z</t>
  </si>
  <si>
    <t>SFBr8Agkl4w</t>
  </si>
  <si>
    <t>Writing multiplication equations with rational numbers to represent situations | Khan Academy</t>
  </si>
  <si>
    <t>2026-06-29T16:44:43Z</t>
  </si>
  <si>
    <t>-hVfZpHSVeo</t>
  </si>
  <si>
    <t>Writing addition equations with rational numbers to represent situations | Khan Academy</t>
  </si>
  <si>
    <t>2026-06-29T16:44:41Z</t>
  </si>
  <si>
    <t>7c8eR_CCx-o</t>
  </si>
  <si>
    <t>Finding the percent increase in pricing | 7th grade math (IM® v.360 aligned) | Khan Academy</t>
  </si>
  <si>
    <t>2026-06-29T16:44:35Z</t>
  </si>
  <si>
    <t>OaZp01AhE5Q</t>
  </si>
  <si>
    <t>Finding the discount percentage from a sale price | Khan Academy</t>
  </si>
  <si>
    <t>2026-06-29T16:44:31Z</t>
  </si>
  <si>
    <t>qNg4GZF3sQM</t>
  </si>
  <si>
    <t>Finding the sales tax percentage from a price | 7th grade math (IM® v.360 aligned) | Khan Academy</t>
  </si>
  <si>
    <t>2026-06-29T16:44:29Z</t>
  </si>
  <si>
    <t>jmdaLhmXkoI</t>
  </si>
  <si>
    <t>Interpreting a tape diagram showing a fractional increase | Khan Academy</t>
  </si>
  <si>
    <t>2026-06-29T16:44:26Z</t>
  </si>
  <si>
    <t>lwctkmKBDxA</t>
  </si>
  <si>
    <t>Writing expressions for a percent increase | 7th grade math (IM® v.360 aligned) | Khan Academy</t>
  </si>
  <si>
    <t>2026-06-29T16:44:24Z</t>
  </si>
  <si>
    <t>kjSQSBne0wg</t>
  </si>
  <si>
    <t>Expressing a percent decrease as a percentage of the original | Khan Academy</t>
  </si>
  <si>
    <t>2026-06-29T16:44:21Z</t>
  </si>
  <si>
    <t>n21E7OzXOwI</t>
  </si>
  <si>
    <t>Interpreting a tape diagram to find percent increase | Khan Academy</t>
  </si>
  <si>
    <t>2026-06-29T16:44:18Z</t>
  </si>
  <si>
    <t>Qn5AEUWHbb8</t>
  </si>
  <si>
    <t>Writing expressions for a fraction of a quantity | 7th grade math (IM® v.360 aligned) | Khan Academy</t>
  </si>
  <si>
    <t>2026-06-29T16:44:16Z</t>
  </si>
  <si>
    <t>3AhufdthqEc</t>
  </si>
  <si>
    <t>Expressing a fractional increase as a fraction of the original | Khan Academy</t>
  </si>
  <si>
    <t>2026-06-29T16:44:13Z</t>
  </si>
  <si>
    <t>oeJf2EfGox8</t>
  </si>
  <si>
    <t>Applying percent error: pedometer | 7th grade math (IM® v.360 aligned) | Khan Academy</t>
  </si>
  <si>
    <t>2026-06-29T16:44:10Z</t>
  </si>
  <si>
    <t>WQLcC5SpbYY</t>
  </si>
  <si>
    <t>Finding percent error | 7th grade math (IM® v.360 aligned) | Khan Academy</t>
  </si>
  <si>
    <t>2026-06-29T16:44:08Z</t>
  </si>
  <si>
    <t>Qm1vXiVDyoY</t>
  </si>
  <si>
    <t>Estimating area of a circle with upper and lower bounds | Khan Academy</t>
  </si>
  <si>
    <t>2026-06-29T16:44:03Z</t>
  </si>
  <si>
    <t>7cW2Jf_dOLM</t>
  </si>
  <si>
    <t>Estimating area of a circle using polygons: high estimate | Khan Academy</t>
  </si>
  <si>
    <t>2026-06-29T16:44:01Z</t>
  </si>
  <si>
    <t>nscKNWbt2sE</t>
  </si>
  <si>
    <t>Estimating area of a circle using polygons: low estimate | Khan Academy</t>
  </si>
  <si>
    <t>2026-06-29T16:43:58Z</t>
  </si>
  <si>
    <t>Q4mpvsjJGyI</t>
  </si>
  <si>
    <t>Using the relationship between diameter and circumference to find reasonable approximations</t>
  </si>
  <si>
    <t>2026-06-29T16:43:56Z</t>
  </si>
  <si>
    <t>iXHGujDaEqI</t>
  </si>
  <si>
    <t>Using the relationship between diameter and circumference to find an incorrect measurement</t>
  </si>
  <si>
    <t>2026-06-29T16:43:53Z</t>
  </si>
  <si>
    <t>HfsOzAx_bbo</t>
  </si>
  <si>
    <t>Explaining the relationship between diameter and circumference: ordered pairs | Khan Academy</t>
  </si>
  <si>
    <t>2026-06-29T16:43:51Z</t>
  </si>
  <si>
    <t>nuUsOGJCFCI</t>
  </si>
  <si>
    <t>Explaining the relationship between diameter and circumference from a graph | Khan Academy</t>
  </si>
  <si>
    <t>2026-06-29T16:43:48Z</t>
  </si>
  <si>
    <t>b3VcacQ90hE</t>
  </si>
  <si>
    <t>Comparing constants of proportionality graphically | Khan Academy</t>
  </si>
  <si>
    <t>2026-06-29T16:43:45Z</t>
  </si>
  <si>
    <t>D42p5dXb4-s</t>
  </si>
  <si>
    <t>Constant of proportionality in both directions | 7th grade math (IM® v.360 aligned) | Khan Academy</t>
  </si>
  <si>
    <t>2026-06-29T16:43:39Z</t>
  </si>
  <si>
    <t>pXA_8bRSjGM</t>
  </si>
  <si>
    <t>Analyzing proportionality using equations and tables: bike rental | Khan Academy</t>
  </si>
  <si>
    <t>2026-06-29T16:43:33Z</t>
  </si>
  <si>
    <t>uwCbFDsma7Q</t>
  </si>
  <si>
    <t>Earthquake Resistant Buildings</t>
  </si>
  <si>
    <t>2026-08-25T19:00:25Z</t>
  </si>
  <si>
    <t>UCX6b17PVsYBQ0ip5gyeme-Q</t>
  </si>
  <si>
    <t>CrashCourse</t>
  </si>
  <si>
    <t>ZLc9udbCaeI</t>
  </si>
  <si>
    <t>The Mystery Behind Earth’s Missing Rocks: Crash Course Geology #16</t>
  </si>
  <si>
    <t>2026-08-20T16:00:21Z</t>
  </si>
  <si>
    <t>Ksq2Fq69Yl8</t>
  </si>
  <si>
    <t>Is the Yellowstone volcano going to erupt again? 🌋</t>
  </si>
  <si>
    <t>2026-08-18T16:00:29Z</t>
  </si>
  <si>
    <t>xYKSKBcifaE</t>
  </si>
  <si>
    <t>Is it Possible to Prepare for an Earthquake?: Crash Course Geology #15</t>
  </si>
  <si>
    <t>2026-08-13T16:00:05Z</t>
  </si>
  <si>
    <t>2Gc77M1OZwc</t>
  </si>
  <si>
    <t>How did ocean invertebrates end up on Mt. Everest?!</t>
  </si>
  <si>
    <t>2026-08-11T16:30:06Z</t>
  </si>
  <si>
    <t>WNvAic8KLb0</t>
  </si>
  <si>
    <t>Earthquakes Explained: Crash Course Geology #14</t>
  </si>
  <si>
    <t>2026-08-06T16:00:16Z</t>
  </si>
  <si>
    <t>gCnbYzYZRjg</t>
  </si>
  <si>
    <t>The Ring of Fire</t>
  </si>
  <si>
    <t>2026-08-04T16:00:39Z</t>
  </si>
  <si>
    <t>BMZbbewOLvU</t>
  </si>
  <si>
    <t>Volcanoes Explained: Crash Course Geology #13</t>
  </si>
  <si>
    <t>2026-07-23T16:00:14Z</t>
  </si>
  <si>
    <t>mLQYGG3SjyQ</t>
  </si>
  <si>
    <t>The Deepest Point in the World: Crash Course Geology #12</t>
  </si>
  <si>
    <t>2026-07-16T16:00:39Z</t>
  </si>
  <si>
    <t>r8uQVRVNV14</t>
  </si>
  <si>
    <t>How Do Mountains Form?: Crash Course Geology #11</t>
  </si>
  <si>
    <t>2026-07-09T16:00:37Z</t>
  </si>
  <si>
    <t>krXXSCb_P9Y</t>
  </si>
  <si>
    <t>What is Plate Tectonics: Crash Course Geology #10</t>
  </si>
  <si>
    <t>2026-06-25T16:00:32Z</t>
  </si>
  <si>
    <t>xDll-p5g2EQ</t>
  </si>
  <si>
    <t>How Water Shapes the Land: Crash Course Geology #9</t>
  </si>
  <si>
    <t>2026-06-18T16:00:19Z</t>
  </si>
  <si>
    <t>AF2eYuAKsao</t>
  </si>
  <si>
    <t>Where Do Diamonds Come From?: Crash Course Geology #8</t>
  </si>
  <si>
    <t>2026-06-11T16:12:35Z</t>
  </si>
  <si>
    <t>eKnl_Jp8jsg</t>
  </si>
  <si>
    <t>How Do Gems Form?: Crash Course Geology #7</t>
  </si>
  <si>
    <t>2026-06-04T16:00:20Z</t>
  </si>
  <si>
    <t>O0l98jV6W1Q</t>
  </si>
  <si>
    <t>This Is Your Last Chance!</t>
  </si>
  <si>
    <t>2026-05-29T15:13:38Z</t>
  </si>
  <si>
    <t>M8r8FH4GTCw</t>
  </si>
  <si>
    <t>We've Been At It</t>
  </si>
  <si>
    <t>2026-05-27T17:00:11Z</t>
  </si>
  <si>
    <t>kYSW890YFeU</t>
  </si>
  <si>
    <t>Lily Gladstone Reads Comments</t>
  </si>
  <si>
    <t>2026-05-25T16:25:00Z</t>
  </si>
  <si>
    <t>lT_QAkL6lj0</t>
  </si>
  <si>
    <t>The Rock Episode: Crash Course Geology #6</t>
  </si>
  <si>
    <t>2026-05-21T16:01:05Z</t>
  </si>
  <si>
    <t>AE1D7VtLcFE</t>
  </si>
  <si>
    <t>Crash Course Hosts Read Comments</t>
  </si>
  <si>
    <t>2026-05-20T17:00:21Z</t>
  </si>
  <si>
    <t>cf11w2n9_oA</t>
  </si>
  <si>
    <t>The 2026 Crash Course Coin is available now only until May 29!</t>
  </si>
  <si>
    <t>2026-05-19T17:04:08Z</t>
  </si>
  <si>
    <t>jQvv7CskMuo</t>
  </si>
  <si>
    <t>How Do Minerals Form?: Crash Course Geology #5</t>
  </si>
  <si>
    <t>2026-05-14T16:01:10Z</t>
  </si>
  <si>
    <t>rm46SdVfB4I</t>
  </si>
  <si>
    <t>What’s at the center of the earth?: Crash Course Geology #4</t>
  </si>
  <si>
    <t>2026-05-07T16:01:33Z</t>
  </si>
  <si>
    <t>bouvNyq8xCY</t>
  </si>
  <si>
    <t>Earth's Crust and Mantle Explained: Crash Course Geology #3</t>
  </si>
  <si>
    <t>2026-04-23T16:01:04Z</t>
  </si>
  <si>
    <t>3JdpD3X2Md8</t>
  </si>
  <si>
    <t>How did Earth form?: Crash Course Geology #2</t>
  </si>
  <si>
    <t>2026-04-16T16:00:04Z</t>
  </si>
  <si>
    <t>ypH6dR7YGfU</t>
  </si>
  <si>
    <t>Intro to Geology: Crash Course Geology #1</t>
  </si>
  <si>
    <t>2026-04-09T16:01:44Z</t>
  </si>
  <si>
    <t>YokkwzdZX2A</t>
  </si>
  <si>
    <t>Crash Course Geology Preview</t>
  </si>
  <si>
    <t>2026-04-02T16:01:25Z</t>
  </si>
  <si>
    <t>NaMcw8_10Yg</t>
  </si>
  <si>
    <t>What Happens When Science Clashes with the Public?: Crash Course Scientific Thinking #7</t>
  </si>
  <si>
    <t>2026-03-17T16:00:30Z</t>
  </si>
  <si>
    <t>Fm0MpfKIs5w</t>
  </si>
  <si>
    <t>Evaluating Sources &amp; Fact Checking: Crash Course Scientific Thinking #6</t>
  </si>
  <si>
    <t>2026-03-10T16:00:23Z</t>
  </si>
  <si>
    <t>9wSAeV0xX0M</t>
  </si>
  <si>
    <t>How Scientists Build Consensus: Crash Course Scientific Thinking #5</t>
  </si>
  <si>
    <t>2026-03-03T17:00:15Z</t>
  </si>
  <si>
    <t>AA63Dd58fFc</t>
  </si>
  <si>
    <t>Reading &amp; Writing Latin American literature: Crash Course Latin American Literature #13</t>
  </si>
  <si>
    <t>2026-02-26T17:00:17Z</t>
  </si>
  <si>
    <t>-Mewx3GjK2A</t>
  </si>
  <si>
    <t>Film &amp; Literature: Crash Course Latin American Literature #12</t>
  </si>
  <si>
    <t>2026-02-19T17:00:01Z</t>
  </si>
  <si>
    <t>qsgjKBvxnYA</t>
  </si>
  <si>
    <t>Peer Review and the Quest for Truth: Crash Course Scientific Thinking #4</t>
  </si>
  <si>
    <t>2026-02-17T17:01:21Z</t>
  </si>
  <si>
    <t>ba1YKP28RKY</t>
  </si>
  <si>
    <t>How Does Science Really Work? The Myth of the Great Experiment: Crash Course Scientific Thinking #3</t>
  </si>
  <si>
    <t>2026-02-10T17:00:57Z</t>
  </si>
  <si>
    <t>89RdoqlOujQ</t>
  </si>
  <si>
    <t>How has technology influenced literature?: Crash Course Latin American Literature #11</t>
  </si>
  <si>
    <t>2026-02-05T17:00:15Z</t>
  </si>
  <si>
    <t>0ZpphjzNaGI</t>
  </si>
  <si>
    <t>Animals &amp; Shapeshifters: Crash Course Latin American Literature #10</t>
  </si>
  <si>
    <t>2026-01-29T17:00:02Z</t>
  </si>
  <si>
    <t>Lw4oMXTEAkw</t>
  </si>
  <si>
    <t>Statistical Thinking in Science: Crash Course Scientific Thinking #2</t>
  </si>
  <si>
    <t>2026-01-27T17:00:28Z</t>
  </si>
  <si>
    <t>d2r7Bk1NlgU</t>
  </si>
  <si>
    <t>Introduction to Cognitive Bias: Crash Course Scientific Thinking #1</t>
  </si>
  <si>
    <t>2026-01-20T17:01:09Z</t>
  </si>
  <si>
    <t>ubrntCf-pEc</t>
  </si>
  <si>
    <t>Family, Power, and Legacy: Crash Course Latin American Literature #9</t>
  </si>
  <si>
    <t>2026-01-15T17:01:37Z</t>
  </si>
  <si>
    <t>Y45KrixWRNg</t>
  </si>
  <si>
    <t>Crash Course Scientific Thinking Preview</t>
  </si>
  <si>
    <t>2026-01-13T17:01:02Z</t>
  </si>
  <si>
    <t>_cjphE8S_Kk</t>
  </si>
  <si>
    <t>The Hidden Politics of Home: Crash Course Latin American Literature #8</t>
  </si>
  <si>
    <t>2026-01-08T17:01:06Z</t>
  </si>
  <si>
    <t>8WDcUuz3TqI</t>
  </si>
  <si>
    <t>Borders &amp; Identity: Crash Course Latin American Literature #7</t>
  </si>
  <si>
    <t>2025-12-18T17:00:12Z</t>
  </si>
  <si>
    <t>iNdZFKfExZ8</t>
  </si>
  <si>
    <t>How Should AI Be Governed?: Crash Course Futures of AI #5</t>
  </si>
  <si>
    <t>2025-12-17T17:01:14Z</t>
  </si>
  <si>
    <t>1TmWZ5yIKx0</t>
  </si>
  <si>
    <t>Horror in Latin American literature: Crash Course Latin American Literature #6</t>
  </si>
  <si>
    <t>2025-12-11T17:00:04Z</t>
  </si>
  <si>
    <t>Sp3aCsQUsDc</t>
  </si>
  <si>
    <t>The Alignment Problem Explained: Crash Course Futures of AI #4</t>
  </si>
  <si>
    <t>2025-12-10T17:00:53Z</t>
  </si>
  <si>
    <t>fA7Y0tKlOFk</t>
  </si>
  <si>
    <t>Life under a dictatorship: Crash Course Latin American Literature #5</t>
  </si>
  <si>
    <t>2025-12-04T17:01:14Z</t>
  </si>
  <si>
    <t>KwHS2t2ML9g</t>
  </si>
  <si>
    <t>How close is the worst case scenario?: Crash Course Futures of AI #3</t>
  </si>
  <si>
    <t>2025-12-03T17:00:40Z</t>
  </si>
  <si>
    <t>2XWGxVuOwJQ</t>
  </si>
  <si>
    <t>What Can a Prophecy Tell Us About Climate Change?: Ep 24 of Crash Course Native American History</t>
  </si>
  <si>
    <t>2025-12-02T17:00:04Z</t>
  </si>
  <si>
    <t>t6xLo1XYZZs</t>
  </si>
  <si>
    <t>How is AI impacting society?: Crash Course Futures of AI #2</t>
  </si>
  <si>
    <t>2025-11-26T17:01:42Z</t>
  </si>
  <si>
    <t>7Tg2mCKP6tY</t>
  </si>
  <si>
    <t>Hollywood, Pretendians, and Cultural Appropriation: Ep 23 of Crash Course Native American History</t>
  </si>
  <si>
    <t>2025-11-25T17:00:21Z</t>
  </si>
  <si>
    <t>Nh4I1hMvubU</t>
  </si>
  <si>
    <t>Dictators &amp; Resistance: Crash Course Latin American Literature #4</t>
  </si>
  <si>
    <t>2025-11-20T17:00:45Z</t>
  </si>
  <si>
    <t>UFJQV5Jb0pY</t>
  </si>
  <si>
    <t>The History of AI Explained: Crash Course Futures of AI #1</t>
  </si>
  <si>
    <t>2025-11-19T17:01:01Z</t>
  </si>
  <si>
    <t>0Y3ekwHfq5g</t>
  </si>
  <si>
    <t>Crash Course Preview: What Are the Possible Futures of AI?</t>
  </si>
  <si>
    <t>2025-11-18T17:00:01Z</t>
  </si>
  <si>
    <t>7IaHRXC_U_U</t>
  </si>
  <si>
    <t>Crash Course Writing Workshop</t>
  </si>
  <si>
    <t>2025-11-17T19:45:06Z</t>
  </si>
  <si>
    <t>3V78r1y2EHs</t>
  </si>
  <si>
    <t>Nature in Latin American Literature: Crash Course Latin American Literature #3</t>
  </si>
  <si>
    <t>2025-11-13T17:00:10Z</t>
  </si>
  <si>
    <t>7L2cSifRrLk</t>
  </si>
  <si>
    <t>The Land Back Movement Explained: Ep 22 of Crash Course Native American History</t>
  </si>
  <si>
    <t>2025-11-11T17:00:20Z</t>
  </si>
  <si>
    <t>oyv-eJRRozs</t>
  </si>
  <si>
    <t>Magical Realism &amp; The Latin American Boom: Crash Course Latin American Literature #2</t>
  </si>
  <si>
    <t>2025-11-06T17:01:20Z</t>
  </si>
  <si>
    <t>a9Xt3cl99LM</t>
  </si>
  <si>
    <t>Native Languages &amp; The Indian Education Act: Ep 21 of Crash Course Native American History</t>
  </si>
  <si>
    <t>2025-11-04T17:00:02Z</t>
  </si>
  <si>
    <t>hX6lzkQBmhc</t>
  </si>
  <si>
    <t>Introduction to Latin American Literature: Crash Course Latin American Literature #1</t>
  </si>
  <si>
    <t>2025-10-30T16:01:13Z</t>
  </si>
  <si>
    <t>iBRwcnTUthc</t>
  </si>
  <si>
    <t>Crash Course Latin American Literature Preview</t>
  </si>
  <si>
    <t>2025-10-23T16:01:15Z</t>
  </si>
  <si>
    <t>xtwJfk94CP8</t>
  </si>
  <si>
    <t>Modern Tribal Governments Explained: Ep 20 of Crash Course Native American History</t>
  </si>
  <si>
    <t>2025-10-21T16:01:44Z</t>
  </si>
  <si>
    <t>Dj8EjBQJD84</t>
  </si>
  <si>
    <t>A History of Indigenous Women with Lily Gladstone: Ep 19 of Crash Course Native American History</t>
  </si>
  <si>
    <t>2025-10-14T16:00:32Z</t>
  </si>
  <si>
    <t>-zwgHBrGxtk</t>
  </si>
  <si>
    <t>The History of Alaskan and Hawaiian Statehood: Ep 18 of Crash Course Native American History</t>
  </si>
  <si>
    <t>2025-10-07T16:00:00Z</t>
  </si>
  <si>
    <t>OwTGMhxL22o</t>
  </si>
  <si>
    <t>The Era of Native Urban Relocation: Ep 17 of Crash Course Native American History</t>
  </si>
  <si>
    <t>2025-09-30T16:00:43Z</t>
  </si>
  <si>
    <t>0QIbyjF5FRw</t>
  </si>
  <si>
    <t>Introduction to Federal Indian Law: Ep 16 of Crash Course Native American History</t>
  </si>
  <si>
    <t>2025-09-23T16:00:04Z</t>
  </si>
  <si>
    <t>c7wCbbmLtiI</t>
  </si>
  <si>
    <t>The Secret Language of Cults: Crash Course Lecture</t>
  </si>
  <si>
    <t>2025-09-16T16:00:06Z</t>
  </si>
  <si>
    <t>1O2LWteKuRc</t>
  </si>
  <si>
    <t>The Native Civil Rights Movement: Ep 15 of Crash Course Native American History</t>
  </si>
  <si>
    <t>2025-09-09T16:00:03Z</t>
  </si>
  <si>
    <t>GYw7BrIhWtg</t>
  </si>
  <si>
    <t>The Termination Act Explained: Ep 14 of Crash Course Native American History</t>
  </si>
  <si>
    <t>2025-09-02T16:00:32Z</t>
  </si>
  <si>
    <t>AVAC6WnBSTY</t>
  </si>
  <si>
    <t>The Indian Reorganization Act Explained: Ep 13 of Crash Course Native American History</t>
  </si>
  <si>
    <t>2025-08-26T16:00:28Z</t>
  </si>
  <si>
    <t>icqSBkFJNGU</t>
  </si>
  <si>
    <t>The History of America’s Indian Boarding Schools: Ep 12 of Crash Course Native American History</t>
  </si>
  <si>
    <t>2025-08-12T16:01:17Z</t>
  </si>
  <si>
    <t>VyF8SOSP2YM</t>
  </si>
  <si>
    <t>From the Trail of Tears to Wounded Knee: Ep 11 of Crash Course Native American History</t>
  </si>
  <si>
    <t>2025-08-05T16:01:00Z</t>
  </si>
  <si>
    <t>IIJwt3zO4fw</t>
  </si>
  <si>
    <t>The Truth About Columbus’s “First Contact”: Ep 10 of Crash Course Native American History</t>
  </si>
  <si>
    <t>2025-07-29T16:00:23Z</t>
  </si>
  <si>
    <t>9Gmncfkeh7E</t>
  </si>
  <si>
    <t>What are the Fish Wars and Why Do They Matter?: Ep 9 of Crash Course Native American History</t>
  </si>
  <si>
    <t>2025-07-15T16:00:24Z</t>
  </si>
  <si>
    <t>Mrp0T-4A-2s</t>
  </si>
  <si>
    <t>Introduction to Indigenous Knowledge : Ep 8 of Crash Course Native American History</t>
  </si>
  <si>
    <t>2025-07-08T16:00:38Z</t>
  </si>
  <si>
    <t>T_MjSrQk1VU</t>
  </si>
  <si>
    <t>The Real Impacts of Archaeology on Native Americans: Ep 7 of Crash Course Native American History</t>
  </si>
  <si>
    <t>2025-07-01T16:00:53Z</t>
  </si>
  <si>
    <t>iNG9UYbZHws</t>
  </si>
  <si>
    <t>What is kink?: Sex Ed #15</t>
  </si>
  <si>
    <t>2025-06-26T16:01:15Z</t>
  </si>
  <si>
    <t>27zUjzYG4gY</t>
  </si>
  <si>
    <t>Unpacking masturbation: Sex Ed #14</t>
  </si>
  <si>
    <t>2025-06-19T16:00:05Z</t>
  </si>
  <si>
    <t>0MMa2feSIiQ</t>
  </si>
  <si>
    <t>What Do Native Cultures Have in Common?: Ep 6 of Crash Course Native American History</t>
  </si>
  <si>
    <t>2025-06-17T16:00:03Z</t>
  </si>
  <si>
    <t>edsqqXrIK1k</t>
  </si>
  <si>
    <t>What to know about orgasms: Sex Ed #13</t>
  </si>
  <si>
    <t>2025-06-12T16:01:00Z</t>
  </si>
  <si>
    <t>L3WcELWzNYg</t>
  </si>
  <si>
    <t>Why Land Matters to Native Americans: Ep 5 of Crash Course Native American History</t>
  </si>
  <si>
    <t>2025-06-10T16:00:35Z</t>
  </si>
  <si>
    <t>HvaUdCTMkkk</t>
  </si>
  <si>
    <t>Let's talk about porn literacy: Sex Ed #12</t>
  </si>
  <si>
    <t>2025-06-05T16:00:25Z</t>
  </si>
  <si>
    <t>UxmD-Lone7A</t>
  </si>
  <si>
    <t>What Makes Someone Native American?: Ep 4 of Crash Course Native American History</t>
  </si>
  <si>
    <t>2025-06-03T16:00:57Z</t>
  </si>
  <si>
    <t>InZacsO8ico</t>
  </si>
  <si>
    <t>Myths &amp; Misconceptions About Native Americans: Ep 3 of Crash Course Native American History</t>
  </si>
  <si>
    <t>2025-05-27T16:00:28Z</t>
  </si>
  <si>
    <t>oPFP9SZnoRs</t>
  </si>
  <si>
    <t>What is consent?: Sex Ed #11</t>
  </si>
  <si>
    <t>2025-05-22T16:01:19Z</t>
  </si>
  <si>
    <t>JDixrkU1pp4</t>
  </si>
  <si>
    <t>Understanding Abortion: Sex Ed #10</t>
  </si>
  <si>
    <t>2025-05-15T16:00:35Z</t>
  </si>
  <si>
    <t>GgzR-RSfc9U</t>
  </si>
  <si>
    <t>Tribal Sovereignty Explained: Ep 2 of Crash Course Native American History</t>
  </si>
  <si>
    <t>2025-05-13T16:00:34Z</t>
  </si>
  <si>
    <t>szwo6bqpwwE</t>
  </si>
  <si>
    <t>Pregnancy &amp; Childbirth: Sex Ed #9</t>
  </si>
  <si>
    <t>2025-05-08T16:01:25Z</t>
  </si>
  <si>
    <t>XHXC0uOLOkA</t>
  </si>
  <si>
    <t>Introduction to Native American History: Ep 1 of Crash Course Native American History</t>
  </si>
  <si>
    <t>2025-05-06T16:01:00Z</t>
  </si>
  <si>
    <t>elDPvihPN4k</t>
  </si>
  <si>
    <t>Birth Control Explained: Sex Ed #8</t>
  </si>
  <si>
    <t>2025-05-01T16:01:05Z</t>
  </si>
  <si>
    <t>FgyEIjQ0cr4</t>
  </si>
  <si>
    <t>Crash Course Native American History Preview</t>
  </si>
  <si>
    <t>2025-04-29T16:00:23Z</t>
  </si>
  <si>
    <t>b2Fon62HgOk</t>
  </si>
  <si>
    <t>Getting real about STIs: Sex Ed #7</t>
  </si>
  <si>
    <t>2025-04-24T16:00:54Z</t>
  </si>
  <si>
    <t>OUGdt2Ab0VM</t>
  </si>
  <si>
    <t>Is virginity real?: Sex Ed #6</t>
  </si>
  <si>
    <t>2025-04-17T16:00:38Z</t>
  </si>
  <si>
    <t>_wx8XooVlVs</t>
  </si>
  <si>
    <t>Unpacking Sexual Orientation: Sex Ed #5</t>
  </si>
  <si>
    <t>2025-04-10T16:00:50Z</t>
  </si>
  <si>
    <t>evUZ0MGseJY</t>
  </si>
  <si>
    <t>What is gender identity?: Sex Ed #4</t>
  </si>
  <si>
    <t>2025-04-03T16:01:01Z</t>
  </si>
  <si>
    <t>YPJKlPxMilo</t>
  </si>
  <si>
    <t>The Penis Explained: Sex Ed #3</t>
  </si>
  <si>
    <t>2025-03-27T16:00:45Z</t>
  </si>
  <si>
    <t>WtfOaS_qZrM</t>
  </si>
  <si>
    <t>The Vulva &amp; Vagina Explained: Sex Ed #2</t>
  </si>
  <si>
    <t>2025-03-20T16:00:38Z</t>
  </si>
  <si>
    <t>SkSItIS_Xl0</t>
  </si>
  <si>
    <t>What is sex?: Sex Ed #1</t>
  </si>
  <si>
    <t>2025-03-13T16:00:35Z</t>
  </si>
  <si>
    <t>rO9pOJbvkEA</t>
  </si>
  <si>
    <t>Crash Course Sex Ed Preview</t>
  </si>
  <si>
    <t>2025-03-06T17:01:00Z</t>
  </si>
  <si>
    <t>KkWD6RsSAc0</t>
  </si>
  <si>
    <t>Religions and Pop Culture: Crash Course Religions #24</t>
  </si>
  <si>
    <t>2025-03-04T17:00:19Z</t>
  </si>
  <si>
    <t>3ttJmCQG57A</t>
  </si>
  <si>
    <t>What Does Religious Freedom Mean?: Crash Course Religions #23</t>
  </si>
  <si>
    <t>2025-02-25T17:00:04Z</t>
  </si>
  <si>
    <t>x0xJNs8EKcc</t>
  </si>
  <si>
    <t>Visions of the End of the World: Crash Course Religions #22</t>
  </si>
  <si>
    <t>2025-02-18T17:01:19Z</t>
  </si>
  <si>
    <t>A0z7Vs1tnZs</t>
  </si>
  <si>
    <t>The Power of Political Recognition</t>
  </si>
  <si>
    <t>2025-02-13T17:00:11Z</t>
  </si>
  <si>
    <t>TY8p32K1js4</t>
  </si>
  <si>
    <t>What Does Race Have to Do with Religion?: Crash Course Religions #21</t>
  </si>
  <si>
    <t>2025-02-11T17:00:36Z</t>
  </si>
  <si>
    <t>_URf07Rb_EU</t>
  </si>
  <si>
    <t>Should Art Be Political?</t>
  </si>
  <si>
    <t>2025-02-06T17:00:43Z</t>
  </si>
  <si>
    <t>9peemRxUtkE</t>
  </si>
  <si>
    <t>What Do Sex and Gender Have to Do with Religion?: Crash Course Religions #20</t>
  </si>
  <si>
    <t>2025-02-04T17:00:09Z</t>
  </si>
  <si>
    <t>t44-uHyzvCw</t>
  </si>
  <si>
    <t>Is Utopia Actually Possible?</t>
  </si>
  <si>
    <t>2025-01-30T17:01:05Z</t>
  </si>
  <si>
    <t>Z38LrPadz3Y</t>
  </si>
  <si>
    <t>Are Science and Religion Compatible?: Crash Course Religions #19</t>
  </si>
  <si>
    <t>2025-01-28T17:00:41Z</t>
  </si>
  <si>
    <t>rbSqLQmT2gc</t>
  </si>
  <si>
    <t>Philosophies of Punishment &amp; The Prison Abolition Movement</t>
  </si>
  <si>
    <t>2025-01-23T17:00:58Z</t>
  </si>
  <si>
    <t>Y-YbgGYsHig</t>
  </si>
  <si>
    <t>Religion, Spirituality, and the Supernatural: Crash Course Religions #18</t>
  </si>
  <si>
    <t>2025-01-21T19:15:01Z</t>
  </si>
  <si>
    <t>z_qBal5qwAY</t>
  </si>
  <si>
    <t>Political Cosmopolitanism</t>
  </si>
  <si>
    <t>2025-01-16T17:01:10Z</t>
  </si>
  <si>
    <t>flmfrzshA9s</t>
  </si>
  <si>
    <t>Death and Afterlife Across Religions: Crash Course Religions #17</t>
  </si>
  <si>
    <t>2025-01-14T17:00:47Z</t>
  </si>
  <si>
    <t>1mVuM6OeT7w</t>
  </si>
  <si>
    <t>What is Feminism, and Where Does it Go From Here?</t>
  </si>
  <si>
    <t>2025-01-09T17:00:05Z</t>
  </si>
  <si>
    <t>xXECh1t8vTE</t>
  </si>
  <si>
    <t>Who Speaks for a Religion?: Crash Course Religions #16</t>
  </si>
  <si>
    <t>2025-01-07T17:01:02Z</t>
  </si>
  <si>
    <t>P-Ibq-9wulQ</t>
  </si>
  <si>
    <t>A World Without Governments? Anarchism Explained</t>
  </si>
  <si>
    <t>2025-01-02T17:00:23Z</t>
  </si>
  <si>
    <t>3imIf8NAcWQ</t>
  </si>
  <si>
    <t>Who Was Karl Marx? And Why Is Everyone Still Talking About Him?</t>
  </si>
  <si>
    <t>2024-12-19T17:00:07Z</t>
  </si>
  <si>
    <t>kQ5gjVX4mS0</t>
  </si>
  <si>
    <t>What Does Ritual Have to Do with Religion?: Crash Course Religions #15</t>
  </si>
  <si>
    <t>2024-12-17T17:00:50Z</t>
  </si>
  <si>
    <t>cX7mAZJRrpE</t>
  </si>
  <si>
    <t>What does Machiavellian mean?</t>
  </si>
  <si>
    <t>2024-12-12T17:00:40Z</t>
  </si>
  <si>
    <t>G_Ws8snRg-A</t>
  </si>
  <si>
    <t>How Do Religious Texts Work?: Crash Course Religions #14</t>
  </si>
  <si>
    <t>2024-12-10T17:00:16Z</t>
  </si>
  <si>
    <t>VNbpj4rs3Hw</t>
  </si>
  <si>
    <t>What Are the Rules of War? Just War Theory</t>
  </si>
  <si>
    <t>2024-12-05T17:00:33Z</t>
  </si>
  <si>
    <t>CZXFZAxX3UA</t>
  </si>
  <si>
    <t>Is Atheism a Religion?: Crash Course Religions #13</t>
  </si>
  <si>
    <t>2024-12-03T17:00:18Z</t>
  </si>
  <si>
    <t>JJ7fTJb6RHc</t>
  </si>
  <si>
    <t>Confucianism, Buddhism, and Daoism: Chinese Popular Religion</t>
  </si>
  <si>
    <t>2024-11-26T17:00:11Z</t>
  </si>
  <si>
    <t>PeoEfYtz1Ws</t>
  </si>
  <si>
    <t>Identity politics: the good, the bad, and the… hotly contested</t>
  </si>
  <si>
    <t>2024-11-21T17:00:18Z</t>
  </si>
  <si>
    <t>eWQrjBoT8BA</t>
  </si>
  <si>
    <t>Religions of the African Diaspora: Crash Course Religions #11</t>
  </si>
  <si>
    <t>2024-11-19T17:00:42Z</t>
  </si>
  <si>
    <t>crBi4dPUFQc</t>
  </si>
  <si>
    <t>What Does Liberalism Mean?</t>
  </si>
  <si>
    <t>2024-11-14T17:00:40Z</t>
  </si>
  <si>
    <t>vpQyrDs0Tmo</t>
  </si>
  <si>
    <t>The History and Practice of Islam on Earth and Beyond: Crash Course Religions #10</t>
  </si>
  <si>
    <t>2024-11-12T17:01:02Z</t>
  </si>
  <si>
    <t>qz2-X1LrOPg</t>
  </si>
  <si>
    <t>Where Did Democracy Come From, and Does It Still Work?</t>
  </si>
  <si>
    <t>2024-11-07T17:00:58Z</t>
  </si>
  <si>
    <t>y8xyZbbSWWg</t>
  </si>
  <si>
    <t>Sacrifice, Redemption, and Miracles: The Story of Christianity: Crash Course Religions #9</t>
  </si>
  <si>
    <t>2024-11-05T17:01:04Z</t>
  </si>
  <si>
    <t>LU7flL6Q0f8</t>
  </si>
  <si>
    <t>Crash Course Political Theory Preview</t>
  </si>
  <si>
    <t>2024-10-31T16:00:23Z</t>
  </si>
  <si>
    <t>g9b48p9NaYc</t>
  </si>
  <si>
    <t>What Does it Mean to Be Jewish: Crash Course Religions #8</t>
  </si>
  <si>
    <t>2024-10-29T16:00:40Z</t>
  </si>
  <si>
    <t>52dfLZFY_sY</t>
  </si>
  <si>
    <t>Can a River Be A Person? | Indigenous Traditions: Crash Course Religions #7</t>
  </si>
  <si>
    <t>2024-10-22T16:00:09Z</t>
  </si>
  <si>
    <t>e8FLcGEXsO0</t>
  </si>
  <si>
    <t>Life, the Universe, and the Buddha: Crash Course Religions #6</t>
  </si>
  <si>
    <t>2024-10-15T16:00:40Z</t>
  </si>
  <si>
    <t>Yw-1HeEIf5M</t>
  </si>
  <si>
    <t>The Infinite Stories of Hinduism: Crash Course Religions #5</t>
  </si>
  <si>
    <t>2024-10-08T16:00:40Z</t>
  </si>
  <si>
    <t>68WPYhpIWx4</t>
  </si>
  <si>
    <t>What’s the Difference Between Religion and Magic? | Crash Course Religions #4</t>
  </si>
  <si>
    <t>2024-10-01T16:00:07Z</t>
  </si>
  <si>
    <t>eTlGeL6Yeas</t>
  </si>
  <si>
    <t>What is the Future of Art?</t>
  </si>
  <si>
    <t>2024-09-26T16:00:42Z</t>
  </si>
  <si>
    <t>6Pn2enNmtFI</t>
  </si>
  <si>
    <t>What's the Difference Between Cults and Religion?: Crash Course Religions #3</t>
  </si>
  <si>
    <t>2024-09-24T16:00:05Z</t>
  </si>
  <si>
    <t>ttlLyA-WEcc</t>
  </si>
  <si>
    <t>The Importance of Preserving, Restoring, &amp; Conserving Art</t>
  </si>
  <si>
    <t>2024-09-19T16:00:52Z</t>
  </si>
  <si>
    <t>GxGe4oIiPcE</t>
  </si>
  <si>
    <t>How Many Religions Are There?: Crash Course Religions #2</t>
  </si>
  <si>
    <t>2024-09-17T16:00:25Z</t>
  </si>
  <si>
    <t>KmwQn-8nsyE</t>
  </si>
  <si>
    <t>Does Defacing Art = Activism?</t>
  </si>
  <si>
    <t>2024-09-12T16:00:26Z</t>
  </si>
  <si>
    <t>JYomnAwVgl0</t>
  </si>
  <si>
    <t>How It All Ends | Crash Course Pods: The Universe #11</t>
  </si>
  <si>
    <t>2024-09-11T15:01:12Z</t>
  </si>
  <si>
    <t>2RVSmLxyDpM</t>
  </si>
  <si>
    <t>What Even IS a Religion?: Crash Course Religions #1</t>
  </si>
  <si>
    <t>2024-09-10T16:00:05Z</t>
  </si>
  <si>
    <t>AocmtHefhMI</t>
  </si>
  <si>
    <t>Why Is Art So Expensive?</t>
  </si>
  <si>
    <t>2024-09-05T16:00:12Z</t>
  </si>
  <si>
    <t>Zb60nWtmFpA</t>
  </si>
  <si>
    <t>Making of Crash Course: Live Sound Design with the Team! #Learnathon2024</t>
  </si>
  <si>
    <t>2024-09-04T18:05:03Z</t>
  </si>
  <si>
    <t>O77IFewBxcg</t>
  </si>
  <si>
    <t>Crash Course Religions Preview</t>
  </si>
  <si>
    <t>2024-09-03T16:00:26Z</t>
  </si>
  <si>
    <t>Rxms0gWUmMs</t>
  </si>
  <si>
    <t>Is AI-Generated Art Original? (Authenticity &amp; Originality)</t>
  </si>
  <si>
    <t>2024-08-29T16:00:24Z</t>
  </si>
  <si>
    <t>6ObaEBT-gtQ</t>
  </si>
  <si>
    <t>The Future | Crash Course Pods: The Universe #10</t>
  </si>
  <si>
    <t>2024-08-28T17:30:01Z</t>
  </si>
  <si>
    <t>zJbmhwVmh94</t>
  </si>
  <si>
    <t>Graffiti, Street Art &amp; Murals: What We Learn from Public Art</t>
  </si>
  <si>
    <t>2024-08-22T16:01:04Z</t>
  </si>
  <si>
    <t>KHhM8WIlijc</t>
  </si>
  <si>
    <t>Why Is Everyone So Mad About Public Art?</t>
  </si>
  <si>
    <t>2024-08-15T16:00:18Z</t>
  </si>
  <si>
    <t>eJrer5pRrk0</t>
  </si>
  <si>
    <t>The Cosmos and Us | Crash Course Pods: The Universe #9</t>
  </si>
  <si>
    <t>2024-08-14T15:00:45Z</t>
  </si>
  <si>
    <t>VbfIGVhRups</t>
  </si>
  <si>
    <t>How a Banana Sold for $150,000 : Modern Art</t>
  </si>
  <si>
    <t>2024-08-08T16:00:26Z</t>
  </si>
  <si>
    <t>dZmkPmfW0XA</t>
  </si>
  <si>
    <t>What's the Difference Between Art &amp; Design?</t>
  </si>
  <si>
    <t>2024-08-01T16:00:40Z</t>
  </si>
  <si>
    <t>h6rT770qqxo</t>
  </si>
  <si>
    <t>Life In Our Universe | Crash Course Pods: The Universe #8</t>
  </si>
  <si>
    <t>2024-07-31T18:00:33Z</t>
  </si>
  <si>
    <t>KGYy7UBf3mQ</t>
  </si>
  <si>
    <t>Who Gets to Be a "Real" Artist? (Amateur &amp; Outsider Art): Crash Course Art History #13</t>
  </si>
  <si>
    <t>2024-07-25T16:00:16Z</t>
  </si>
  <si>
    <t>WFO8iUyXlCQ</t>
  </si>
  <si>
    <t>Origins of Color (Trade &amp; Exchange): Crash Course Art History #12</t>
  </si>
  <si>
    <t>2024-07-18T16:00:24Z</t>
  </si>
  <si>
    <t>ZEYH_SxKwrU</t>
  </si>
  <si>
    <t>What’s Keeping the Stars Apart | Crash Course Pods: The Universe #7</t>
  </si>
  <si>
    <t>2024-07-17T16:00:28Z</t>
  </si>
  <si>
    <t>SyHM1gFyP8Y</t>
  </si>
  <si>
    <t>Biology and You: The Dr. Sammy Show: Crash Course Biology #50</t>
  </si>
  <si>
    <t>2024-07-16T16:00:32Z</t>
  </si>
  <si>
    <t>-AKudjxdbQw</t>
  </si>
  <si>
    <t>Bodies in Art: Crash Course Art History #11</t>
  </si>
  <si>
    <t>2024-07-11T16:00:00Z</t>
  </si>
  <si>
    <t>9R_6FoM1cog</t>
  </si>
  <si>
    <t>Animal Behavior: Why This Toad Is Bad at Jumping: Crash Course Biology #49</t>
  </si>
  <si>
    <t>2024-07-09T16:00:07Z</t>
  </si>
  <si>
    <t>MKX1k0kOYMU</t>
  </si>
  <si>
    <t>The Story of Dark Matter | Crash Course Pods: The Universe #6</t>
  </si>
  <si>
    <t>2024-07-03T15:00:31Z</t>
  </si>
  <si>
    <t>KXjxN3t_BNY</t>
  </si>
  <si>
    <t>How Communities Make Art: Crash Course Art History #10</t>
  </si>
  <si>
    <t>2024-06-27T16:00:23Z</t>
  </si>
  <si>
    <t>P8scg_XAgZQ</t>
  </si>
  <si>
    <t>Gender, Sex, &amp; Sexuality: What’s the Difference?: Crash Course Biology #48</t>
  </si>
  <si>
    <t>2024-06-25T16:00:22Z</t>
  </si>
  <si>
    <t>Z21elmpg-W0</t>
  </si>
  <si>
    <t>The Hidden Meanings in Nature Art: Crash Course Art History #9</t>
  </si>
  <si>
    <t>2024-06-20T16:00:30Z</t>
  </si>
  <si>
    <t>56mHhm0TCak</t>
  </si>
  <si>
    <t>Black Holes | Crash Course Pods: The Universe #5</t>
  </si>
  <si>
    <t>2024-06-19T18:00:03Z</t>
  </si>
  <si>
    <t>ruZqnWHINWE</t>
  </si>
  <si>
    <t>Sexual &amp; Asexual Reproduction: How Animals Do It: Crash Course Biology #47</t>
  </si>
  <si>
    <t>2024-06-18T16:00:49Z</t>
  </si>
  <si>
    <t>HCWzzZFCwag</t>
  </si>
  <si>
    <t>How Do Religions Use Art?: Crash Course Art History #8</t>
  </si>
  <si>
    <t>2024-06-13T16:00:12Z</t>
  </si>
  <si>
    <t>NKpkU4-Sf9A</t>
  </si>
  <si>
    <t>Nervous &amp; Endocrine Systems: What Really Happens When You Step on a Lego: Crash Course Biology #46</t>
  </si>
  <si>
    <t>2024-06-11T16:00:31Z</t>
  </si>
  <si>
    <t>IoHsju75rKc</t>
  </si>
  <si>
    <t>How Does Art Tell Stories? : Crash Course Art History #7</t>
  </si>
  <si>
    <t>2024-06-07T16:00:23Z</t>
  </si>
  <si>
    <t>VYbhDmqkF5s</t>
  </si>
  <si>
    <t>When The Stars Turned On | Crash Course Pods: The Universe #4</t>
  </si>
  <si>
    <t>2024-06-05T15:00:28Z</t>
  </si>
  <si>
    <t>Nb6oWRnvBDw</t>
  </si>
  <si>
    <t>Animal Defense Systems: How Skin, Snot, and Cells Keep Us Healthy: Crash Course Biology #45</t>
  </si>
  <si>
    <t>2024-06-04T16:00:29Z</t>
  </si>
  <si>
    <t>PFEFBY-cQhE</t>
  </si>
  <si>
    <t>What Is Good Art? : Crash Course Art History #6</t>
  </si>
  <si>
    <t>2024-05-30T16:00:17Z</t>
  </si>
  <si>
    <t>N5XU87zxTyk</t>
  </si>
  <si>
    <t>Should We Separate Art from the Artist?: Crash Course Art History #5</t>
  </si>
  <si>
    <t>2024-05-23T16:00:17Z</t>
  </si>
  <si>
    <t>DITO5RVk2gI</t>
  </si>
  <si>
    <t>The Dark Ages of the Cosmos | Crash Course Pods: The Universe #3</t>
  </si>
  <si>
    <t>2024-05-22T15:00:12Z</t>
  </si>
  <si>
    <t>gAWYROgu4JU</t>
  </si>
  <si>
    <t>Animal Infrastructure: Why You’re More Than Goo: Crash Course Biology #44</t>
  </si>
  <si>
    <t>2024-05-21T16:00:28Z</t>
  </si>
  <si>
    <t>kjZAHBMMKoU</t>
  </si>
  <si>
    <t>How Animals Turn Resources Into Waste: The Poop Episode: Crash Course Biology #43</t>
  </si>
  <si>
    <t>2024-05-14T16:00:38Z</t>
  </si>
  <si>
    <t>rT6QV0dWJG4</t>
  </si>
  <si>
    <t>What Makes an Artist “Great”? : Crash Course Art History #4</t>
  </si>
  <si>
    <t>2024-05-09T16:00:47Z</t>
  </si>
  <si>
    <t>qOa8djo1uLc</t>
  </si>
  <si>
    <t>Why We Can Exist | Crash Course Pods: The Universe #2</t>
  </si>
  <si>
    <t>2024-05-08T15:00:52Z</t>
  </si>
  <si>
    <t>pvVvCt6Kdp8</t>
  </si>
  <si>
    <t>Plant Anatomy &amp; Physiology: Plants Are Hardcore: Crash Course Biology #42</t>
  </si>
  <si>
    <t>2024-05-07T16:00:41Z</t>
  </si>
  <si>
    <t>hfKymoH9XTc</t>
  </si>
  <si>
    <t>The History of Museums: Crash Course Art History #3</t>
  </si>
  <si>
    <t>2024-05-02T16:00:37Z</t>
  </si>
  <si>
    <t>5dF11sRMWo4</t>
  </si>
  <si>
    <t>Multicellular Function: Why We Aren’t Just One Big Cell: Crash Course Biology #41</t>
  </si>
  <si>
    <t>2024-04-30T16:00:04Z</t>
  </si>
  <si>
    <t>mqRF8jTF74c</t>
  </si>
  <si>
    <t>The First Fraction of a Second | Crash Course Pods: The Universe #1</t>
  </si>
  <si>
    <t>2024-04-24T15:00:47Z</t>
  </si>
  <si>
    <t>o-WFU5ovaTc</t>
  </si>
  <si>
    <t>Bioinformatics: How Data Saves Lives: Crash Course Biology #40</t>
  </si>
  <si>
    <t>2024-04-23T16:00:39Z</t>
  </si>
  <si>
    <t>YHcX_nuyQPc</t>
  </si>
  <si>
    <t>How to Look at Art: Crash Course Art History #2</t>
  </si>
  <si>
    <t>2024-04-18T16:00:33Z</t>
  </si>
  <si>
    <t>L5YO9nmojo4</t>
  </si>
  <si>
    <t>A Podcast About The Entire History Of The Universe</t>
  </si>
  <si>
    <t>2024-04-17T15:00:19Z</t>
  </si>
  <si>
    <t>xSbMX0MFJCY</t>
  </si>
  <si>
    <t>Viruses &amp; Vaccines: How Do Vaccines Work?: Crash Course Biology 39</t>
  </si>
  <si>
    <t>2024-04-16T16:00:51Z</t>
  </si>
  <si>
    <t>t6Wc7OMks4U</t>
  </si>
  <si>
    <t>Why We Study Art: Crash Course Art History #1</t>
  </si>
  <si>
    <t>2024-04-11T16:00:47Z</t>
  </si>
  <si>
    <t>Y1LKHx_GrsY</t>
  </si>
  <si>
    <t>Bacterial DNA &amp; Genetics: Crash Course Biology #38</t>
  </si>
  <si>
    <t>2024-04-09T16:00:32Z</t>
  </si>
  <si>
    <t>T6RJUzuVq4w</t>
  </si>
  <si>
    <t>Crash Course Art History Preview</t>
  </si>
  <si>
    <t>2024-04-04T16:00:21Z</t>
  </si>
  <si>
    <t>8HfzUgxumVE</t>
  </si>
  <si>
    <t>Genetic Mutations: Is Drinking Milk a Super Power?: Crash Course Biology #37</t>
  </si>
  <si>
    <t>2024-04-02T16:00:10Z</t>
  </si>
  <si>
    <t>NeeaP8pp9HI</t>
  </si>
  <si>
    <t>How Genes Express Themselves: Crash Course Biology #36</t>
  </si>
  <si>
    <t>2024-03-28T16:00:13Z</t>
  </si>
  <si>
    <t>7D-gxaie6UI</t>
  </si>
  <si>
    <t>The Deadliest Infectious Disease of All Time | Crash Course Lecture</t>
  </si>
  <si>
    <t>2024-03-25T16:00:06Z</t>
  </si>
  <si>
    <t>6ulXau2HyHg</t>
  </si>
  <si>
    <t>Translation: How RNA Gets Translated into Protein Power: Crash Course Biology #35</t>
  </si>
  <si>
    <t>2024-03-19T16:00:08Z</t>
  </si>
  <si>
    <t>j6YaOqKORYY</t>
  </si>
  <si>
    <t>Transcription: How mRNA Helped Save Lives: Crash Course Biology #34</t>
  </si>
  <si>
    <t>2024-03-12T16:00:35Z</t>
  </si>
  <si>
    <t>4YNDB_zSzfE</t>
  </si>
  <si>
    <t>DNA Structure &amp; Replication: Our Instruction Manual for Existing: Crash Course Biology #33</t>
  </si>
  <si>
    <t>2024-03-05T17:00:03Z</t>
  </si>
  <si>
    <t>9zwq8N4Ufd8</t>
  </si>
  <si>
    <t>Genetic Traits: Nature? Nurture? Not That Simple: Crash Course Biology #32</t>
  </si>
  <si>
    <t>2024-02-27T17:00:13Z</t>
  </si>
  <si>
    <t>YnJPbphsoMY</t>
  </si>
  <si>
    <t>Intro to Genetics: Why Your Cat Looks Like That: Crash Course Biology #31</t>
  </si>
  <si>
    <t>2024-02-20T17:00:21Z</t>
  </si>
  <si>
    <t>bfH3fkIsc5U</t>
  </si>
  <si>
    <t>Black American History Arts &amp; Culture | Compilation</t>
  </si>
  <si>
    <t>2024-02-16T16:30:06Z</t>
  </si>
  <si>
    <t>pj1oFx42d48</t>
  </si>
  <si>
    <t>Meiosis: Why Are All Humans Unique?: Crash Course Biology #30</t>
  </si>
  <si>
    <t>2024-02-13T17:00:39Z</t>
  </si>
  <si>
    <t>skPOXcVvS5c</t>
  </si>
  <si>
    <t>Mitosis &amp; the Cell Cycle: How Cells Clone Themselves: Crash Course Biology #29</t>
  </si>
  <si>
    <t>2024-02-06T17:00:44Z</t>
  </si>
  <si>
    <t>-ZRsLhaukn8</t>
  </si>
  <si>
    <t>Photosynthesis: The Original Solar Power: Crash Course Biology #28</t>
  </si>
  <si>
    <t>2024-01-30T17:00:00Z</t>
  </si>
  <si>
    <t>HeO3yagexTw</t>
  </si>
  <si>
    <t>Cellular Respiration: Do Cells Breathe?: Crash Course Biology #27</t>
  </si>
  <si>
    <t>2024-01-23T17:00:13Z</t>
  </si>
  <si>
    <t>62cN8Z5Velo</t>
  </si>
  <si>
    <t>Chemical Reactions in Biology: Crash Course Biology #26</t>
  </si>
  <si>
    <t>2024-01-16T17:00:05Z</t>
  </si>
  <si>
    <t>p15KSbNxb28</t>
  </si>
  <si>
    <t>Why Do Cells Need to Communicate?: Crash Course Biology #25</t>
  </si>
  <si>
    <t>2024-01-09T17:00:44Z</t>
  </si>
  <si>
    <t>5U-V0y-fkSw</t>
  </si>
  <si>
    <t>It's impossible to choose a number at random</t>
  </si>
  <si>
    <t>2026-08-24T13:08:34Z</t>
  </si>
  <si>
    <t>UCHnyfMqiRRG1u-2MsSQLbXA</t>
  </si>
  <si>
    <t>Veritasium</t>
  </si>
  <si>
    <t>nHAFnH3xRl4</t>
  </si>
  <si>
    <t>Could identical twins commit the perfect crime?</t>
  </si>
  <si>
    <t>2026-08-18T11:33:08Z</t>
  </si>
  <si>
    <t>J1WoNuemKOg</t>
  </si>
  <si>
    <t>We sent a balloon to space to film the solar eclipse</t>
  </si>
  <si>
    <t>2026-08-17T14:30:16Z</t>
  </si>
  <si>
    <t>_1G8nrmBKeY</t>
  </si>
  <si>
    <t>How do submarines know where they are?</t>
  </si>
  <si>
    <t>2026-08-06T13:00:34Z</t>
  </si>
  <si>
    <t>wt4p2oalmRY</t>
  </si>
  <si>
    <t>Is spider web really stronger than steel?</t>
  </si>
  <si>
    <t>2026-08-02T13:21:11Z</t>
  </si>
  <si>
    <t>3HQkVfZ4DNY</t>
  </si>
  <si>
    <t>The World's Heaviest Weight</t>
  </si>
  <si>
    <t>2026-07-30T13:00:16Z</t>
  </si>
  <si>
    <t>tL9Lw250spc</t>
  </si>
  <si>
    <t>Why does every mammal get 1 billion heartbeats in their life?</t>
  </si>
  <si>
    <t>2026-07-25T17:29:09Z</t>
  </si>
  <si>
    <t>2_VB-oc_pmk</t>
  </si>
  <si>
    <t>The Most Controversial Thought Experiment In Physics</t>
  </si>
  <si>
    <t>2026-07-21T15:31:18Z</t>
  </si>
  <si>
    <t>RmHcX5oVzvs</t>
  </si>
  <si>
    <t>Why Waves Travel Faster At The Top</t>
  </si>
  <si>
    <t>2026-07-17T13:28:38Z</t>
  </si>
  <si>
    <t>GK2pZ_oVU1o</t>
  </si>
  <si>
    <t>The Scariest Chart in Electrical Engineering</t>
  </si>
  <si>
    <t>2026-07-14T18:03:28Z</t>
  </si>
  <si>
    <t>kP7l1agsTzQ</t>
  </si>
  <si>
    <t>The Google Interview Question Everyone Gets Wrong</t>
  </si>
  <si>
    <t>2026-07-13T13:57:42Z</t>
  </si>
  <si>
    <t>h1YeIE0vEIs</t>
  </si>
  <si>
    <t>How does light 'know' the shortest path?</t>
  </si>
  <si>
    <t>2026-07-09T13:00:07Z</t>
  </si>
  <si>
    <t>Xhl5TzKZbpw</t>
  </si>
  <si>
    <t>AD - Why are plants colder than their surroundings?</t>
  </si>
  <si>
    <t>2026-07-07T13:04:35Z</t>
  </si>
  <si>
    <t>dquI8khH1Zk</t>
  </si>
  <si>
    <t>AD - Why do I get this spark when I unplug my hair dryer?</t>
  </si>
  <si>
    <t>2026-06-30T14:00:19Z</t>
  </si>
  <si>
    <t>uPGBcVCrdg8</t>
  </si>
  <si>
    <t>Why do these metronomes sync up?</t>
  </si>
  <si>
    <t>2026-06-26T13:00:20Z</t>
  </si>
  <si>
    <t>mvcesPWvUIc</t>
  </si>
  <si>
    <t>We've Been Using The Wrong Science In Court For 50 years</t>
  </si>
  <si>
    <t>2026-06-22T14:40:50Z</t>
  </si>
  <si>
    <t>RxIsjweAAdE</t>
  </si>
  <si>
    <t>This tiny magnetic blob could change how we treat brain tumors forever...</t>
  </si>
  <si>
    <t>2026-06-18T13:00:14Z</t>
  </si>
  <si>
    <t>8HBDE-msUjw</t>
  </si>
  <si>
    <t>We're 99.9% sure this pattern is true, but no one can prove it</t>
  </si>
  <si>
    <t>2026-06-14T15:18:45Z</t>
  </si>
  <si>
    <t>2_Z7FB3vfFg</t>
  </si>
  <si>
    <t>Zippers are stronger than you think...</t>
  </si>
  <si>
    <t>2026-06-12T13:00:18Z</t>
  </si>
  <si>
    <t>AUmHqD0lGHo</t>
  </si>
  <si>
    <t>How A Random System Can Actually Be Predictable</t>
  </si>
  <si>
    <t>2026-06-08T13:00:02Z</t>
  </si>
  <si>
    <t>b_SZC8oIsBw</t>
  </si>
  <si>
    <t>AD - How do cities control traffic? We partnered with Anker to find out…</t>
  </si>
  <si>
    <t>2026-06-05T12:36:51Z</t>
  </si>
  <si>
    <t>tz23G_UXCGA</t>
  </si>
  <si>
    <t>Something is jamming GPS over Europe. Here's what we found</t>
  </si>
  <si>
    <t>2026-06-05T07:09:17Z</t>
  </si>
  <si>
    <t>kS-CGkiPetQ</t>
  </si>
  <si>
    <t>Google Maps is unreasonably fast. Let me explain</t>
  </si>
  <si>
    <t>2026-05-30T14:46:43Z</t>
  </si>
  <si>
    <t>OgFf_J1CP0g</t>
  </si>
  <si>
    <t>How An Infinite Hotel Ran Out Of Room</t>
  </si>
  <si>
    <t>2026-05-28T13:00:55Z</t>
  </si>
  <si>
    <t>fF32B_sOVHA</t>
  </si>
  <si>
    <t>Can you solve the hat riddle?</t>
  </si>
  <si>
    <t>2026-05-23T13:00:28Z</t>
  </si>
  <si>
    <t>Xr2yp8JA9LU</t>
  </si>
  <si>
    <t>How many batteries would it take to power a human?</t>
  </si>
  <si>
    <t>2026-05-20T15:04:02Z</t>
  </si>
  <si>
    <t>zXvygWE3Ess</t>
  </si>
  <si>
    <t>How Alpha Particles Can Break Computer Chips</t>
  </si>
  <si>
    <t>2026-05-15T13:01:53Z</t>
  </si>
  <si>
    <t>7F4pY8Td9QQ</t>
  </si>
  <si>
    <t>The Surprising Genius Of Sewing Machines</t>
  </si>
  <si>
    <t>2026-05-10T13:00:20Z</t>
  </si>
  <si>
    <t>SVTPv4sI_Jc</t>
  </si>
  <si>
    <t>The CIA's new tech doesn't make sense</t>
  </si>
  <si>
    <t>2026-05-03T19:26:56Z</t>
  </si>
  <si>
    <t>ksn5yrsC3Wg</t>
  </si>
  <si>
    <t>The Crystal That Could Destroy All Medicine</t>
  </si>
  <si>
    <t>2026-04-29T20:30:53Z</t>
  </si>
  <si>
    <t>iRach9lpIlg</t>
  </si>
  <si>
    <t>Wombats Poop Cubes</t>
  </si>
  <si>
    <t>2026-04-27T13:18:46Z</t>
  </si>
  <si>
    <t>MVFd0qFB9TE</t>
  </si>
  <si>
    <t>Why don't trains make *that* sound anymore?</t>
  </si>
  <si>
    <t>2026-04-24T13:00:42Z</t>
  </si>
  <si>
    <t>h2KFNdLqAiU</t>
  </si>
  <si>
    <t>The Most Radioactive Place On Earth</t>
  </si>
  <si>
    <t>2026-04-19T13:01:12Z</t>
  </si>
  <si>
    <t>PPJ6NJkmDAo</t>
  </si>
  <si>
    <t>How easy is it to steal $10,000 from a locked phone?</t>
  </si>
  <si>
    <t>2026-04-15T16:40:38Z</t>
  </si>
  <si>
    <t>2GUah9xHVto</t>
  </si>
  <si>
    <t>Can something go faster than it’s pushed?</t>
  </si>
  <si>
    <t>2026-04-09T11:00:03Z</t>
  </si>
  <si>
    <t>jjp3WC8Unj8</t>
  </si>
  <si>
    <t>What happens if you drop 0.125 grams of antimatter?</t>
  </si>
  <si>
    <t>2026-04-05T20:07:08Z</t>
  </si>
  <si>
    <t>BU5HwNyE4mk</t>
  </si>
  <si>
    <t>The Bizarre Behaviour Of Rotating Bodies</t>
  </si>
  <si>
    <t>2026-04-02T11:59:21Z</t>
  </si>
  <si>
    <t>YSJY3DvnybE</t>
  </si>
  <si>
    <t>The Secret Spy Tech Inside Every Credit Card</t>
  </si>
  <si>
    <t>2026-03-26T17:47:09Z</t>
  </si>
  <si>
    <t>zP5uhMpH4mE</t>
  </si>
  <si>
    <t>How Pressure Can Come From *Nothing*</t>
  </si>
  <si>
    <t>2026-03-24T14:01:35Z</t>
  </si>
  <si>
    <t>9szhjhO9epA</t>
  </si>
  <si>
    <t>We Made A Giant Zipper To Explain How It Works</t>
  </si>
  <si>
    <t>2026-03-19T21:12:24Z</t>
  </si>
  <si>
    <t>R8oiho_gKSo</t>
  </si>
  <si>
    <t>The Shadow Illusion</t>
  </si>
  <si>
    <t>2026-03-12T15:59:15Z</t>
  </si>
  <si>
    <t>Ol18JoeXlVI</t>
  </si>
  <si>
    <t>This Paradox Splits Smart People 50/50</t>
  </si>
  <si>
    <t>2026-03-09T16:02:39Z</t>
  </si>
  <si>
    <t>DJ_5_JS9_Rs</t>
  </si>
  <si>
    <t>You Can't Feel Wet</t>
  </si>
  <si>
    <t>2026-03-02T02:00:10Z</t>
  </si>
  <si>
    <t>aoag03mSuXQ</t>
  </si>
  <si>
    <t>The Internet Was Weeks Away From Disaster And No One Knew</t>
  </si>
  <si>
    <t>2026-02-25T20:28:23Z</t>
  </si>
  <si>
    <t>qtPPfM7Tz1o</t>
  </si>
  <si>
    <t>The Crazy Physics of Jet Engines</t>
  </si>
  <si>
    <t>2026-02-22T03:00:53Z</t>
  </si>
  <si>
    <t>cMx139eTxoc</t>
  </si>
  <si>
    <t>The asbestos problem is worse than we thought</t>
  </si>
  <si>
    <t>2026-02-17T21:33:35Z</t>
  </si>
  <si>
    <t>Bl0WZvAeDik</t>
  </si>
  <si>
    <t>Rubber used to be useless…</t>
  </si>
  <si>
    <t>2026-02-12T15:02:13Z</t>
  </si>
  <si>
    <t>Bt3boxwRF84</t>
  </si>
  <si>
    <t>World’s Largest Spiderweb</t>
  </si>
  <si>
    <t>2026-02-07T14:00:16Z</t>
  </si>
  <si>
    <t>6HVYHNTDOFs</t>
  </si>
  <si>
    <t>Why Cold Drinks Were Deadly Before 1914</t>
  </si>
  <si>
    <t>2026-02-03T15:42:10Z</t>
  </si>
  <si>
    <t>XKSjCOKDtpk</t>
  </si>
  <si>
    <t>Do we know how magnets work yet?</t>
  </si>
  <si>
    <t>2026-01-29T22:20:55Z</t>
  </si>
  <si>
    <t>w2TLv30F6UU</t>
  </si>
  <si>
    <t>How They Prevented The Citicorp Disaster</t>
  </si>
  <si>
    <t>2026-01-22T14:01:23Z</t>
  </si>
  <si>
    <t>P-4pbFcERnk</t>
  </si>
  <si>
    <t>What Happens If You Keep Slowing Down?</t>
  </si>
  <si>
    <t>2026-01-19T18:53:55Z</t>
  </si>
  <si>
    <t>itSkBESLZeY</t>
  </si>
  <si>
    <t>What happens if you cut the green rope?</t>
  </si>
  <si>
    <t>2026-01-15T14:01:26Z</t>
  </si>
  <si>
    <t>fkxoaD47-Vo</t>
  </si>
  <si>
    <t>You're Only 6 Steps Away From Anyone On Earth</t>
  </si>
  <si>
    <t>2026-01-09T14:01:13Z</t>
  </si>
  <si>
    <t>MiUHjLxm3V0</t>
  </si>
  <si>
    <t>The World's Most Important Machine</t>
  </si>
  <si>
    <t>2025-12-31T15:37:33Z</t>
  </si>
  <si>
    <t>piHGnG4LsmQ</t>
  </si>
  <si>
    <t>The Future of Veritasium</t>
  </si>
  <si>
    <t>2025-12-24T14:29:28Z</t>
  </si>
  <si>
    <t>NIk_0AW5hFU</t>
  </si>
  <si>
    <t>There Is Something Faster Than Light</t>
  </si>
  <si>
    <t>2025-12-19T06:03:02Z</t>
  </si>
  <si>
    <t>nMqWWO6p7-c</t>
  </si>
  <si>
    <t>What is this strange pattern down the east coast of America?</t>
  </si>
  <si>
    <t>2025-12-11T14:01:33Z</t>
  </si>
  <si>
    <t>Y-W-w8yNiKU</t>
  </si>
  <si>
    <t>Why is there antimatter?</t>
  </si>
  <si>
    <t>2025-12-05T09:47:19Z</t>
  </si>
  <si>
    <t>Bb0uDpvitoE</t>
  </si>
  <si>
    <t>I Turned My Phone Into A Microscope</t>
  </si>
  <si>
    <t>2025-11-27T15:04:19Z</t>
  </si>
  <si>
    <t>HBluLfX2F_k</t>
  </si>
  <si>
    <t>You've (Likely) Been Playing The Game Of Life Wrong</t>
  </si>
  <si>
    <t>2025-11-26T21:45:00Z</t>
  </si>
  <si>
    <t>gGtuw7Rejtk</t>
  </si>
  <si>
    <t>How Strong Is Super Glue?</t>
  </si>
  <si>
    <t>2025-11-21T14:47:27Z</t>
  </si>
  <si>
    <t>QtxVdC7pBQM</t>
  </si>
  <si>
    <t>The Ridiculous Engineering Of Jet Engines</t>
  </si>
  <si>
    <t>2025-11-17T07:58:31Z</t>
  </si>
  <si>
    <t>9M_QK4stCJU</t>
  </si>
  <si>
    <t>Why People Are So Confident When They're Wrong</t>
  </si>
  <si>
    <t>2025-11-12T23:24:30Z</t>
  </si>
  <si>
    <t>HVySQLuxLkI</t>
  </si>
  <si>
    <t>Seeing Inside A Thermite Reaction</t>
  </si>
  <si>
    <t>2025-11-10T14:07:17Z</t>
  </si>
  <si>
    <t>XX7PdJIGiCw</t>
  </si>
  <si>
    <t>The Most Controversial Idea In Biology</t>
  </si>
  <si>
    <t>2025-10-31T22:42:09Z</t>
  </si>
  <si>
    <t>tWRyiCP17do</t>
  </si>
  <si>
    <t>Why didn't this skateboard stunt start from the top?</t>
  </si>
  <si>
    <t>2025-10-29T16:03:24Z</t>
  </si>
  <si>
    <t>h830G5mkTF4</t>
  </si>
  <si>
    <t>How To Solve a Quadratic Equation</t>
  </si>
  <si>
    <t>2025-10-26T13:32:19Z</t>
  </si>
  <si>
    <t>kh9OmFBg8qI</t>
  </si>
  <si>
    <t>How To See Atoms</t>
  </si>
  <si>
    <t>2025-10-17T13:00:04Z</t>
  </si>
  <si>
    <t>S7xvqDUPoJo</t>
  </si>
  <si>
    <t>Renting A Helicopter To Settle A Physics Debate</t>
  </si>
  <si>
    <t>2025-10-09T14:01:34Z</t>
  </si>
  <si>
    <t>CYlon2tvywA</t>
  </si>
  <si>
    <t>Can you really reach anyone in 6 steps?</t>
  </si>
  <si>
    <t>2025-09-30T22:00:54Z</t>
  </si>
  <si>
    <t>onr80iOoEXs</t>
  </si>
  <si>
    <t>Alfred Nobel: The Man Who Fooled The World</t>
  </si>
  <si>
    <t>2025-09-21T14:13:30Z</t>
  </si>
  <si>
    <t>q6WlXhtVvkg</t>
  </si>
  <si>
    <t>How to solve any maze</t>
  </si>
  <si>
    <t>2025-09-18T13:00:02Z</t>
  </si>
  <si>
    <t>b8XVCsXyIZs</t>
  </si>
  <si>
    <t>What Happens When You Spin a Football?</t>
  </si>
  <si>
    <t>2025-09-14T13:00:10Z</t>
  </si>
  <si>
    <t>tZ8ehplVFp4</t>
  </si>
  <si>
    <t>Why Do Escalator Steps Have Teeth?</t>
  </si>
  <si>
    <t>2025-09-11T14:22:52Z</t>
  </si>
  <si>
    <t>CxVXvFOPIyQ</t>
  </si>
  <si>
    <t>Why Farmers Can't Legally Replant Their Own Seeds</t>
  </si>
  <si>
    <t>2025-08-31T19:24:31Z</t>
  </si>
  <si>
    <t>OW9Mq3wrEqY</t>
  </si>
  <si>
    <t>How aerogel can make the ocean drinkable</t>
  </si>
  <si>
    <t>2025-08-28T13:01:05Z</t>
  </si>
  <si>
    <t>AFXLZ7FEJc4</t>
  </si>
  <si>
    <t>This is the natural disaster to worry about</t>
  </si>
  <si>
    <t>2025-08-22T17:11:23Z</t>
  </si>
  <si>
    <t>zQ2ZJuUJeyo</t>
  </si>
  <si>
    <t>Can you swim in shade balls?</t>
  </si>
  <si>
    <t>2025-08-19T08:35:20Z</t>
  </si>
  <si>
    <t>y2y8ME02lX4</t>
  </si>
  <si>
    <t>Testing the US Military’s worst idea</t>
  </si>
  <si>
    <t>2025-08-14T13:00:01Z</t>
  </si>
  <si>
    <t>AGglJehON5g</t>
  </si>
  <si>
    <t>The Perfect Battery Material Is Dangerous</t>
  </si>
  <si>
    <t>2025-08-07T15:02:44Z</t>
  </si>
  <si>
    <t>UKfnXd3x-rw</t>
  </si>
  <si>
    <t>The blue LED was almost impossible to make</t>
  </si>
  <si>
    <t>2025-08-02T13:09:26Z</t>
  </si>
  <si>
    <t>KZeIEiBrT_w</t>
  </si>
  <si>
    <t>The Strange Math That Predicts (Almost) Anything</t>
  </si>
  <si>
    <t>2025-07-25T22:07:23Z</t>
  </si>
  <si>
    <t>za_HO2E3JEU</t>
  </si>
  <si>
    <t>Why do all animals jump to about the same height?</t>
  </si>
  <si>
    <t>2025-07-24T13:31:58Z</t>
  </si>
  <si>
    <t>49NikeBCzWo</t>
  </si>
  <si>
    <t>Why did light bulb lifetimes get shorter?</t>
  </si>
  <si>
    <t>2025-07-17T18:56:42Z</t>
  </si>
  <si>
    <t>-QTkPfq7w1A</t>
  </si>
  <si>
    <t>This mechanism shrinks when pulled</t>
  </si>
  <si>
    <t>2025-06-30T18:02:42Z</t>
  </si>
  <si>
    <t>Jqz_YuyXKJI</t>
  </si>
  <si>
    <t>There are 96 million black balls on this lake</t>
  </si>
  <si>
    <t>2025-06-24T16:40:05Z</t>
  </si>
  <si>
    <t>x32Zq-XvID4</t>
  </si>
  <si>
    <t>The Obviously True Theorem No One Can Prove</t>
  </si>
  <si>
    <t>2025-06-20T13:01:46Z</t>
  </si>
  <si>
    <t>J3i3F2e4IYs</t>
  </si>
  <si>
    <t>The Biggest Misconception in Football (ft. Tom Brady)</t>
  </si>
  <si>
    <t>2025-06-01T05:31:02Z</t>
  </si>
  <si>
    <t>zeZddwimLc8</t>
  </si>
  <si>
    <t>Why do planes fly so high?</t>
  </si>
  <si>
    <t>2025-05-21T14:31:31Z</t>
  </si>
  <si>
    <t>SC2eSujzrUY</t>
  </si>
  <si>
    <t>How One Company Secretly Poisoned The Planet</t>
  </si>
  <si>
    <t>2025-05-14T14:07:28Z</t>
  </si>
  <si>
    <t>Q56PMJbCFXQ</t>
  </si>
  <si>
    <t>How A Student's Question Saved This NYC Skyscraper</t>
  </si>
  <si>
    <t>2025-04-26T20:07:58Z</t>
  </si>
  <si>
    <t>4LYlMqBXTJI</t>
  </si>
  <si>
    <t>Why we put spiders on soccer balls</t>
  </si>
  <si>
    <t>2025-04-22T16:41:43Z</t>
  </si>
  <si>
    <t>lcjdwSY2AzM</t>
  </si>
  <si>
    <t>The Biggest Misconception in Physics</t>
  </si>
  <si>
    <t>2025-04-14T16:31:04Z</t>
  </si>
  <si>
    <t>ZC98ZK6Ivug</t>
  </si>
  <si>
    <t>Can you solve this SAT question?</t>
  </si>
  <si>
    <t>2025-04-08T16:59:15Z</t>
  </si>
  <si>
    <t>_cr46G2K5Fo</t>
  </si>
  <si>
    <t>The Most Controversial Idea In Math</t>
  </si>
  <si>
    <t>2025-04-02T10:31:01Z</t>
  </si>
  <si>
    <t>DCiPrr-dQyw</t>
  </si>
  <si>
    <t>Can you solve the prisoner's riddle?</t>
  </si>
  <si>
    <t>2025-03-24T15:46:32Z</t>
  </si>
  <si>
    <t>20vUNgRdB4o</t>
  </si>
  <si>
    <t>How this helicopter survived 1004 days on Mars, then disappeared...</t>
  </si>
  <si>
    <t>2025-03-20T22:41:55Z</t>
  </si>
  <si>
    <t>qJZ1Ez28C-A</t>
  </si>
  <si>
    <t>The Strangest Implication of Quantum Mechanics</t>
  </si>
  <si>
    <t>2025-03-05T02:22:56Z</t>
  </si>
  <si>
    <t>dFVrncgIvos</t>
  </si>
  <si>
    <t>The Blender Question Everyone Gets Wrong</t>
  </si>
  <si>
    <t>2025-02-18T16:03:35Z</t>
  </si>
  <si>
    <t>mqo1lQL59VI</t>
  </si>
  <si>
    <t>This Is The Perfect Bowling Strategy</t>
  </si>
  <si>
    <t>2025-02-14T16:49:48Z</t>
  </si>
  <si>
    <t>P_fHJIYENdI</t>
  </si>
  <si>
    <t>AlphaFold - The Most Useful Thing AI Has Ever Done</t>
  </si>
  <si>
    <t>2025-02-10T14:03:41Z</t>
  </si>
  <si>
    <t>88bMVbx1dzM</t>
  </si>
  <si>
    <t>Can You Keep Zooming In Infinitely?</t>
  </si>
  <si>
    <t>2025-02-05T15:02:34Z</t>
  </si>
  <si>
    <t>Ni82f1-cAXg</t>
  </si>
  <si>
    <t>Why Super Glue Is Perfect For Gluing Skin</t>
  </si>
  <si>
    <t>2025-01-28T19:17:22Z</t>
  </si>
  <si>
    <t>H6q6pYZ9Fho</t>
  </si>
  <si>
    <t>Why Is MIT Making Robot Insects?</t>
  </si>
  <si>
    <t>2025-01-21T16:58:06Z</t>
  </si>
  <si>
    <t>Rdj5-6t6QI8</t>
  </si>
  <si>
    <t>Why Don’t Railroads Need Expansion Joints?</t>
  </si>
  <si>
    <t>2025-01-01T07:00:06Z</t>
  </si>
  <si>
    <t>zaXKQ70q4KQ</t>
  </si>
  <si>
    <t>The Man Who Took LSD and Changed The World</t>
  </si>
  <si>
    <t>2024-12-26T14:11:09Z</t>
  </si>
  <si>
    <t>rjXZzB5bUAo</t>
  </si>
  <si>
    <t>This Is the Oldest, Weirdest Instrument On Earth</t>
  </si>
  <si>
    <t>2024-12-19T18:40:28Z</t>
  </si>
  <si>
    <t>pgGrQjYcm5A</t>
  </si>
  <si>
    <t>Explaining Pi With Pizza</t>
  </si>
  <si>
    <t>2024-12-11T15:00:36Z</t>
  </si>
  <si>
    <t>IFaAjR_RRJs</t>
  </si>
  <si>
    <t>34 Years Of Strandbeest Evolution</t>
  </si>
  <si>
    <t>2024-12-07T00:58:14Z</t>
  </si>
  <si>
    <t>24GfgNtnjXc</t>
  </si>
  <si>
    <t>What They (Probably) Don't Teach You About Rainbows At School</t>
  </si>
  <si>
    <t>2024-12-01T11:19:12Z</t>
  </si>
  <si>
    <t>NKG0pRwTC5A</t>
  </si>
  <si>
    <t>How Dishwashers Actually Work</t>
  </si>
  <si>
    <t>2024-11-24T20:22:23Z</t>
  </si>
  <si>
    <t>zTDFhWWPZ4Q</t>
  </si>
  <si>
    <t>What Actually Happened To Amelia Earhart?</t>
  </si>
  <si>
    <t>2024-11-20T18:27:03Z</t>
  </si>
  <si>
    <t>0MX-5BDeEnA</t>
  </si>
  <si>
    <t>The BEST way to tie your shoelaces</t>
  </si>
  <si>
    <t>2024-11-16T15:01:57Z</t>
  </si>
  <si>
    <t>2oDXbFcHliM</t>
  </si>
  <si>
    <t>The Most Important Material Ever Made</t>
  </si>
  <si>
    <t>2024-11-13T20:21:24Z</t>
  </si>
  <si>
    <t>zB_OApdxcno</t>
  </si>
  <si>
    <t>On These Math Problems, Smarter People Do Worse</t>
  </si>
  <si>
    <t>2024-11-04T16:48:03Z</t>
  </si>
  <si>
    <t>Q10_srZ-pbs</t>
  </si>
  <si>
    <t>The Closest We’ve Come to a Theory of Everything</t>
  </si>
  <si>
    <t>2024-10-29T12:09:04Z</t>
  </si>
  <si>
    <t>ORxKf1FN3ro</t>
  </si>
  <si>
    <t>The real science of black holes</t>
  </si>
  <si>
    <t>2024-10-16T15:05:39Z</t>
  </si>
  <si>
    <t>DJO_9auJhJQ</t>
  </si>
  <si>
    <t>We Might Find Alien Life In 1,688 Days</t>
  </si>
  <si>
    <t>2024-10-11T18:25:50Z</t>
  </si>
  <si>
    <t>cUBz04LlLVk</t>
  </si>
  <si>
    <t>People said this experiment was impossible, so we tested it</t>
  </si>
  <si>
    <t>2024-10-05T17:27:38Z</t>
  </si>
  <si>
    <t>w5ebcowAJD8</t>
  </si>
  <si>
    <t>I built a QR code with my bare hands to see how it works</t>
  </si>
  <si>
    <t>2024-09-30T18:51:21Z</t>
  </si>
  <si>
    <t>wVyu7NB7W6Y</t>
  </si>
  <si>
    <t>Exposing The Flaw In Our Phone System</t>
  </si>
  <si>
    <t>2024-09-21T23:10:47Z</t>
  </si>
  <si>
    <t>vjDYfvPW4mA</t>
  </si>
  <si>
    <t>What Everyone Gets Wrong About Planes</t>
  </si>
  <si>
    <t>2024-08-31T23:50:38Z</t>
  </si>
  <si>
    <t>qf7ws2DF-zk</t>
  </si>
  <si>
    <t>Why Democracy Is Mathematically Impossible</t>
  </si>
  <si>
    <t>2024-08-27T21:04:56Z</t>
  </si>
  <si>
    <t>nhW0FLEqUkk</t>
  </si>
  <si>
    <t>What Do You Hear?</t>
  </si>
  <si>
    <t>2024-08-16T20:38:04Z</t>
  </si>
  <si>
    <t>Sn07AMCfaAI</t>
  </si>
  <si>
    <t>These Illusions Fool Almost Everyone</t>
  </si>
  <si>
    <t>2024-08-14T17:05:19Z</t>
  </si>
  <si>
    <t>eLVAMG_3fLg</t>
  </si>
  <si>
    <t>The Real Reason Robots Shouldn’t Look Like Humans | Supercut</t>
  </si>
  <si>
    <t>2024-07-31T18:55:46Z</t>
  </si>
  <si>
    <t>v4r71kEdYME</t>
  </si>
  <si>
    <t>Why People Prefer More Pain</t>
  </si>
  <si>
    <t>2024-06-25T20:23:20Z</t>
  </si>
  <si>
    <t>nfAqTSjMBJk</t>
  </si>
  <si>
    <t>What Jumping Spiders Teach Us About Color</t>
  </si>
  <si>
    <t>2024-05-30T19:24:55Z</t>
  </si>
  <si>
    <t>WKvAsz3RoRE</t>
  </si>
  <si>
    <t>This phone trick is IMPOSSIBLE</t>
  </si>
  <si>
    <t>2024-05-17T15:39:46Z</t>
  </si>
  <si>
    <t>Zce-V0YVzeI</t>
  </si>
  <si>
    <t>The Terrifying Real Science Of Avalanches</t>
  </si>
  <si>
    <t>2024-05-03T16:12:18Z</t>
  </si>
  <si>
    <t>6akmv1bsz1M</t>
  </si>
  <si>
    <t>Something Strange Happens When You Follow Einstein's Math</t>
  </si>
  <si>
    <t>2024-04-30T06:16:58Z</t>
  </si>
  <si>
    <t>8fNFd2Xswjs</t>
  </si>
  <si>
    <t>The most dangerous problem in math</t>
  </si>
  <si>
    <t>2024-04-24T15:44:56Z</t>
  </si>
  <si>
    <t>scliyWrN7mk</t>
  </si>
  <si>
    <t>How bikes *actually* work</t>
  </si>
  <si>
    <t>2024-04-17T16:20:50Z</t>
  </si>
  <si>
    <t>2FLqOI9jw-E</t>
  </si>
  <si>
    <t>I call this the 'No, You Don't' Law</t>
  </si>
  <si>
    <t>2024-04-10T17:11:15Z</t>
  </si>
  <si>
    <t>sE-RUu9ClsU</t>
  </si>
  <si>
    <t>Congress is about to make a huge mistake for astronomy #SaveChandra</t>
  </si>
  <si>
    <t>2024-04-04T20:28:58Z</t>
  </si>
  <si>
    <t>d6iQrh2TK98</t>
  </si>
  <si>
    <t>Why is this number everywhere?</t>
  </si>
  <si>
    <t>2024-03-28T18:48:10Z</t>
  </si>
  <si>
    <t>Tt6WQYtefXA</t>
  </si>
  <si>
    <t>How Japanese Masters Turn Sand Into Swords</t>
  </si>
  <si>
    <t>2024-03-21T20:56:45Z</t>
  </si>
  <si>
    <t>dAik8EeDyEI</t>
  </si>
  <si>
    <t>I buried myself in concrete to explain how it works</t>
  </si>
  <si>
    <t>2024-03-13T17:47:21Z</t>
  </si>
  <si>
    <t>Zrv1EDIqHkY</t>
  </si>
  <si>
    <t>The Oldest Unsolved Problem in Math</t>
  </si>
  <si>
    <t>2024-03-08T00:36:07Z</t>
  </si>
  <si>
    <t>A5w-dEgIU1M</t>
  </si>
  <si>
    <t>The Equation That Beat Wall Street</t>
  </si>
  <si>
    <t>2024-02-27T15:46:59Z</t>
  </si>
  <si>
    <t>ov_7HT8bbX4</t>
  </si>
  <si>
    <t>World's strongest magnet!</t>
  </si>
  <si>
    <t>2024-02-21T17:22:53Z</t>
  </si>
  <si>
    <t>AF8d72mA41M</t>
  </si>
  <si>
    <t>Why It Was Almost Impossible to Make the Blue LED</t>
  </si>
  <si>
    <t>2024-02-08T16:12:09Z</t>
  </si>
  <si>
    <t>QAWnEVa9vmw</t>
  </si>
  <si>
    <t>I waterproofed myself with aerogel!</t>
  </si>
  <si>
    <t>2024-02-01T14:58:13Z</t>
  </si>
  <si>
    <t>lGJEihgN4OU</t>
  </si>
  <si>
    <t>The Rainiest Place On Earth</t>
  </si>
  <si>
    <t>2024-01-26T17:50:45Z</t>
  </si>
  <si>
    <t>fG8SwAFQFuU</t>
  </si>
  <si>
    <t>Do people understand the scale of the universe?</t>
  </si>
  <si>
    <t>2024-01-15T21:02:07Z</t>
  </si>
  <si>
    <t>mScpHTIi-kM</t>
  </si>
  <si>
    <t>This game theory problem will change the way you see the world</t>
  </si>
  <si>
    <t>2023-12-23T17:00:08Z</t>
  </si>
  <si>
    <t>Q51-gLL_MRM</t>
  </si>
  <si>
    <t>How To Earthquake-Proof A House</t>
  </si>
  <si>
    <t>2023-12-19T15:16:53Z</t>
  </si>
  <si>
    <t>FUHkTs-Ipfg</t>
  </si>
  <si>
    <t>The SAT Question Everyone Got Wrong</t>
  </si>
  <si>
    <t>2023-11-30T14:13:48Z</t>
  </si>
  <si>
    <t>RQYuyHNLPTQ</t>
  </si>
  <si>
    <t>You (likely) don't understand how a sewing machine works</t>
  </si>
  <si>
    <t>2023-11-22T21:47:40Z</t>
  </si>
  <si>
    <t>vSQjk9jKarg</t>
  </si>
  <si>
    <t>What is the secret of a good life? Lessons from the longest study on happiness</t>
  </si>
  <si>
    <t>2023-11-15T22:36:01Z</t>
  </si>
  <si>
    <t>UAeJHAFjwPM</t>
  </si>
  <si>
    <t>How Do Night Vision Goggles Work?</t>
  </si>
  <si>
    <t>2023-11-04T13:00:31Z</t>
  </si>
  <si>
    <t>czjisEGe5Cw</t>
  </si>
  <si>
    <t>The Problem With Science Communication</t>
  </si>
  <si>
    <t>2023-10-31T23:00:20Z</t>
  </si>
  <si>
    <t>lFlu60qs7_4</t>
  </si>
  <si>
    <t>How One Line in the Oldest Math Text Hinted at Hidden Universes</t>
  </si>
  <si>
    <t>2023-10-21T16:31:35Z</t>
  </si>
  <si>
    <t>QQkmJI63ykI</t>
  </si>
  <si>
    <t>The Man Who Killed Millions and Saved Billions (Clean Version)</t>
  </si>
  <si>
    <t>2023-10-07T17:45:44Z</t>
  </si>
  <si>
    <t>Is2Lip1cJUc</t>
  </si>
  <si>
    <t>Pushing The Limits Of Extreme Breath-Holding</t>
  </si>
  <si>
    <t>2023-09-30T16:39:15Z</t>
  </si>
  <si>
    <t>ILgSesWMUEI</t>
  </si>
  <si>
    <t>How Humanity Almost Destroyed Itself</t>
  </si>
  <si>
    <t>2023-09-11T17:41:27Z</t>
  </si>
  <si>
    <t>8DBhTXM_Br4</t>
  </si>
  <si>
    <t>The Insane Math Of Knot Theory</t>
  </si>
  <si>
    <t>2023-09-03T13:54:14Z</t>
  </si>
  <si>
    <t>ZjBgEkbnX2I</t>
  </si>
  <si>
    <t>Why Airships Might Make A Comeback</t>
  </si>
  <si>
    <t>2023-08-31T14:59:55Z</t>
  </si>
  <si>
    <t>FkKPsLxgpuY</t>
  </si>
  <si>
    <t>I took an IQ test to explain what's wrong with them</t>
  </si>
  <si>
    <t>2023-08-03T16:49:08Z</t>
  </si>
  <si>
    <t>Xzv84ZdtlE0</t>
  </si>
  <si>
    <t>The Man Who Gave us the Power To Destroy Ourselves (Oppenheimer)</t>
  </si>
  <si>
    <t>2023-07-18T23:28:16Z</t>
  </si>
  <si>
    <t>lfkjm2YRG-Q</t>
  </si>
  <si>
    <t>The Hidden Science of Fireworks</t>
  </si>
  <si>
    <t>2023-07-07T17:43:14Z</t>
  </si>
  <si>
    <t>DxL2HoqLbyA</t>
  </si>
  <si>
    <t>The Most Misunderstood Concept in Physics</t>
  </si>
  <si>
    <t>2023-07-01T16:08:04Z</t>
  </si>
  <si>
    <t>6bgNm9l_3qU</t>
  </si>
  <si>
    <t>I Vacuum Venom from the World's Deadliest Spider</t>
  </si>
  <si>
    <t>2023-06-21T14:01:56Z</t>
  </si>
  <si>
    <t>tRaq4aYPzCc</t>
  </si>
  <si>
    <t>What happens if you just keep squaring?</t>
  </si>
  <si>
    <t>2023-06-06T13:43:15Z</t>
  </si>
  <si>
    <t>ZMQbHMgK2rw</t>
  </si>
  <si>
    <t>The Fastest Maze-Solving Competition On Earth</t>
  </si>
  <si>
    <t>2023-05-24T17:39:57Z</t>
  </si>
  <si>
    <t>FU_YFpfDqqA</t>
  </si>
  <si>
    <t>Why The First Computers Were Made Out Of Light Bulbs</t>
  </si>
  <si>
    <t>2023-05-13T14:06:52Z</t>
  </si>
  <si>
    <t>vSNtifE0Z2Q</t>
  </si>
  <si>
    <t>How NASA Made The Indestructible Wheel</t>
  </si>
  <si>
    <t>2023-04-29T15:48:36Z</t>
  </si>
  <si>
    <t>rWVAzS5duAs</t>
  </si>
  <si>
    <t>I got buried in concrete to explain how it works</t>
  </si>
  <si>
    <t>2023-04-14T17:24:46Z</t>
  </si>
  <si>
    <t>w7yFikRD_iQ</t>
  </si>
  <si>
    <t>The illusion only some can see</t>
  </si>
  <si>
    <t>2023-04-02T01:41:19Z</t>
  </si>
  <si>
    <t>-UrdExQW0cs</t>
  </si>
  <si>
    <t>What makes quantum computers SO powerful?</t>
  </si>
  <si>
    <t>2023-03-20T18:42:22Z</t>
  </si>
  <si>
    <t>g0amdIcZt5I</t>
  </si>
  <si>
    <t>World's Strongest Magnet!</t>
  </si>
  <si>
    <t>2023-03-14T16:59:41Z</t>
  </si>
  <si>
    <t>LCQu8EXiDAA</t>
  </si>
  <si>
    <t>The Damaged Chernobyl Reactor</t>
  </si>
  <si>
    <t>2023-03-07T19:07:32Z</t>
  </si>
  <si>
    <t>LY6xeFpBeMQ</t>
  </si>
  <si>
    <t>Microwaving grapes makes plasma</t>
  </si>
  <si>
    <t>2023-02-25T17:39:47Z</t>
  </si>
  <si>
    <t>uDeQB9OkoXY</t>
  </si>
  <si>
    <t>World's Roundest Object</t>
  </si>
  <si>
    <t>2023-02-19T20:44:41Z</t>
  </si>
  <si>
    <t>XeSu9fBJ2sI</t>
  </si>
  <si>
    <t>The Most Controversial Problem in Philosophy</t>
  </si>
  <si>
    <t>2023-02-11T17:58:50Z</t>
  </si>
  <si>
    <t>Ko02mUWhItA</t>
  </si>
  <si>
    <t>Raindrops aren't shaped like raindrops</t>
  </si>
  <si>
    <t>2023-02-03T19:24:54Z</t>
  </si>
  <si>
    <t>rmxh8Nty_eo</t>
  </si>
  <si>
    <t>The stickiest *non-sticky* material</t>
  </si>
  <si>
    <t>2023-01-28T16:22:59Z</t>
  </si>
  <si>
    <t>vS0TuIPoeBs</t>
  </si>
  <si>
    <t>The Stickiest *Non-Sticky* Substance</t>
  </si>
  <si>
    <t>2023-01-23T16:47:09Z</t>
  </si>
  <si>
    <t>Tmy7VYhZEKQ</t>
  </si>
  <si>
    <t>The ring on a chain trick</t>
  </si>
  <si>
    <t>2023-01-18T21:12:01Z</t>
  </si>
  <si>
    <t>n8WxkqMRgS4</t>
  </si>
  <si>
    <t>Falling ladders - why does this happen?</t>
  </si>
  <si>
    <t>2023-01-12T17:24:24Z</t>
  </si>
  <si>
    <t>P_MSlxczd94</t>
  </si>
  <si>
    <t>Indestructible coating?!</t>
  </si>
  <si>
    <t>2022-12-31T16:32:25Z</t>
  </si>
  <si>
    <t>TILjzuBGkRc</t>
  </si>
  <si>
    <t>The Science Behind Dogs' Incredible Sense Of Smell</t>
  </si>
  <si>
    <t>2022-12-24T21:10:10Z</t>
  </si>
  <si>
    <t>J_n1FZaKzF8</t>
  </si>
  <si>
    <t>The US Military's Worst Idea</t>
  </si>
  <si>
    <t>2022-12-21T17:56:57Z</t>
  </si>
  <si>
    <t>pXoZQsZP2PY</t>
  </si>
  <si>
    <t>How To Measure The Tiniest Forces In The Universe</t>
  </si>
  <si>
    <t>2022-12-12T15:53:57Z</t>
  </si>
  <si>
    <t>pir_muTzYM8</t>
  </si>
  <si>
    <t>Inside The Navy's Indoor Ocean</t>
  </si>
  <si>
    <t>2022-12-01T14:00:31Z</t>
  </si>
  <si>
    <t>QiVgJPVKRGI</t>
  </si>
  <si>
    <t>What’s in a candle flame?</t>
  </si>
  <si>
    <t>2022-11-23T20:12:06Z</t>
  </si>
  <si>
    <t>esQyYGezS7c</t>
  </si>
  <si>
    <t>The world depends on a collection of strange items. They're not cheap</t>
  </si>
  <si>
    <t>2022-11-19T14:00:24Z</t>
  </si>
  <si>
    <t>evUfG3lrk5U</t>
  </si>
  <si>
    <t>What if a star explodes near Earth?</t>
  </si>
  <si>
    <t>2022-11-15T14:00:19Z</t>
  </si>
  <si>
    <t>nmgFG7PUHfo</t>
  </si>
  <si>
    <t>The Most Underrated Algorithm</t>
  </si>
  <si>
    <t>2022-11-03T12:52:34Z</t>
  </si>
  <si>
    <t>NdWFCygzr8k</t>
  </si>
  <si>
    <t>Why do we launch rockets from Florida?</t>
  </si>
  <si>
    <t>2022-10-06T01:05:05Z</t>
  </si>
  <si>
    <t>16Ci_2bN_zc</t>
  </si>
  <si>
    <t>How Dangerous is a Penny Dropped From a Skyscraper?</t>
  </si>
  <si>
    <t>2022-10-01T15:00:11Z</t>
  </si>
  <si>
    <t>daaDuC1kbds</t>
  </si>
  <si>
    <t>World's Highest Jumping Robot</t>
  </si>
  <si>
    <t>2022-08-31T13:00:16Z</t>
  </si>
  <si>
    <t>5eW6Eagr9XA</t>
  </si>
  <si>
    <t>The Expert Myth</t>
  </si>
  <si>
    <t>2022-08-02T16:51:13Z</t>
  </si>
  <si>
    <t>EvknN89JoWo</t>
  </si>
  <si>
    <t>The Man Who Killed Millions and Saved Billions</t>
  </si>
  <si>
    <t>2022-07-22T17:03:09Z</t>
  </si>
  <si>
    <t>iSNsgj1OCLA</t>
  </si>
  <si>
    <t>The Riddle That Seems Impossible Even If You Know The Answer</t>
  </si>
  <si>
    <t>2022-06-30T12:20:58Z</t>
  </si>
  <si>
    <t>6etTERFUlUI</t>
  </si>
  <si>
    <t>The Absurd Search For Dark Matter</t>
  </si>
  <si>
    <t>2022-06-02T12:06:02Z</t>
  </si>
  <si>
    <t>Q1bSDnuIPbo</t>
  </si>
  <si>
    <t>How did they actually take this picture? (Very Long Baseline Interferometry)</t>
  </si>
  <si>
    <t>2022-05-12T14:52:13Z</t>
  </si>
  <si>
    <t>oI_X2cMHNe0</t>
  </si>
  <si>
    <t>How Electricity Actually Works</t>
  </si>
  <si>
    <t>2022-04-29T13:59:54Z</t>
  </si>
  <si>
    <t>IV3dnLzthDA</t>
  </si>
  <si>
    <t>The Man Who Accidentally Killed The Most People In History</t>
  </si>
  <si>
    <t>2022-04-22T15:37:40Z</t>
  </si>
  <si>
    <t>QyRqlTV60zM</t>
  </si>
  <si>
    <t>Plato’s infamous Ship of State thought experiment - Michael Vazquez</t>
  </si>
  <si>
    <t>2026-08-25T15:01:09Z</t>
  </si>
  <si>
    <t>UCsooa4yRKGN_zEE8iknghZA</t>
  </si>
  <si>
    <t>TED-Ed</t>
  </si>
  <si>
    <t>l29K-ZkARmE</t>
  </si>
  <si>
    <t>The tragedy of Cassandra, the princess who predicted the fall of Troy - Iseult Gillespie</t>
  </si>
  <si>
    <t>2026-08-18T15:00:37Z</t>
  </si>
  <si>
    <t>2A1IEBFt6Xg</t>
  </si>
  <si>
    <t>How do Maglev trains work? - Ning Zhao</t>
  </si>
  <si>
    <t>2026-08-11T15:01:10Z</t>
  </si>
  <si>
    <t>-61qDRPG3to</t>
  </si>
  <si>
    <t>The fastest way to board a plane, according to mathematics - Rachel Yang</t>
  </si>
  <si>
    <t>2026-08-04T15:00:09Z</t>
  </si>
  <si>
    <t>krNP8RlDsbw</t>
  </si>
  <si>
    <t>Red gold: The world's most expensive spice - Carolyn Beans</t>
  </si>
  <si>
    <t>2026-07-28T15:00:28Z</t>
  </si>
  <si>
    <t>5jPCAlE0z7I</t>
  </si>
  <si>
    <t>The magical forest realm hiding at the bottom of the ocean - Luka Seamus Wright and Salomé Buglass</t>
  </si>
  <si>
    <t>2026-07-21T15:01:01Z</t>
  </si>
  <si>
    <t>JhxuP0AuRPA</t>
  </si>
  <si>
    <t>When did we start using passports? - Kristin Surak</t>
  </si>
  <si>
    <t>2026-07-14T15:00:42Z</t>
  </si>
  <si>
    <t>5ljV0Vxu00M</t>
  </si>
  <si>
    <t>How does the space station never run out of oxygen? - Alvaro Romero-Calvo and Theo St Francis</t>
  </si>
  <si>
    <t>2026-07-07T15:00:49Z</t>
  </si>
  <si>
    <t>QIqKGMM8ivM</t>
  </si>
  <si>
    <t>Psychedelics, mind control, radiation-eating: The secret superpowers of fungi - Max G. Levy</t>
  </si>
  <si>
    <t>2026-06-30T15:03:40Z</t>
  </si>
  <si>
    <t>DbEZmLoGDbk</t>
  </si>
  <si>
    <t>How a broken heart affects your body</t>
  </si>
  <si>
    <t>2026-06-25T15:01:31Z</t>
  </si>
  <si>
    <t>6hCo4S_1Fhw</t>
  </si>
  <si>
    <t>Why avalanches are most deadly when they stop - Simon Trautman</t>
  </si>
  <si>
    <t>2026-06-23T15:00:20Z</t>
  </si>
  <si>
    <t>FBpBUwlDId0</t>
  </si>
  <si>
    <t>Should you rinse your dishes before placing them in the dishwasher? - Rachel Yang</t>
  </si>
  <si>
    <t>2026-06-18T15:01:59Z</t>
  </si>
  <si>
    <t>eR5blcjll8o</t>
  </si>
  <si>
    <t>How to attack (and defend) a medieval castle - Connor C. Wilson</t>
  </si>
  <si>
    <t>2026-06-16T15:01:01Z</t>
  </si>
  <si>
    <t>JDqpcHGfJ2I</t>
  </si>
  <si>
    <t>Meet the slow loris, the only venomous primate in existence - Stephanie A. Poindexter</t>
  </si>
  <si>
    <t>2026-06-11T15:00:13Z</t>
  </si>
  <si>
    <t>Q9Vt6NGBVBc</t>
  </si>
  <si>
    <t>What is sumo, and why is it so popular? - Lee Thompson</t>
  </si>
  <si>
    <t>2026-06-09T15:00:44Z</t>
  </si>
  <si>
    <t>HDt_rTPPh70</t>
  </si>
  <si>
    <t>Why does catnip make cats go crazy? - Jaap de Roode</t>
  </si>
  <si>
    <t>2026-06-04T15:01:03Z</t>
  </si>
  <si>
    <t>pyDZpDkU46Y</t>
  </si>
  <si>
    <t>The dark origins of Disney fairy tales - Claudia Schwabe</t>
  </si>
  <si>
    <t>2026-06-02T15:00:47Z</t>
  </si>
  <si>
    <t>BlK23YzqXOM</t>
  </si>
  <si>
    <t>Why your best ideas usually start as bad ones | Think Like A Musician</t>
  </si>
  <si>
    <t>2026-05-28T15:00:54Z</t>
  </si>
  <si>
    <t>aob7rM5PV5A</t>
  </si>
  <si>
    <t>What toys have kids played with throughout history?</t>
  </si>
  <si>
    <t>2026-05-26T15:00:33Z</t>
  </si>
  <si>
    <t>uBwkMc1llmM</t>
  </si>
  <si>
    <t>The incredible engineering of Venice - Stephanie H. Smith</t>
  </si>
  <si>
    <t>2026-05-21T15:00:50Z</t>
  </si>
  <si>
    <t>gePOX4nbMU4</t>
  </si>
  <si>
    <t>Why is getting bitten by a rabid animal so dangerous? - Charles Rupprecht</t>
  </si>
  <si>
    <t>2026-05-19T15:01:15Z</t>
  </si>
  <si>
    <t>HdieAFhQtPo</t>
  </si>
  <si>
    <t>Edgar Allan Poe's story of the Red Death - Iseult Gillespie</t>
  </si>
  <si>
    <t>2026-05-14T15:01:33Z</t>
  </si>
  <si>
    <t>mA1lnxfqHk8</t>
  </si>
  <si>
    <t>The missing ingredient in how we learn</t>
  </si>
  <si>
    <t>2026-05-12T15:00:54Z</t>
  </si>
  <si>
    <t>8H--GLt3h8I</t>
  </si>
  <si>
    <t>What to do if you live in the path of a volcano - Arianna Soldati</t>
  </si>
  <si>
    <t>2026-05-07T15:01:07Z</t>
  </si>
  <si>
    <t>P8OEz3PvWZQ</t>
  </si>
  <si>
    <t>How to find hidden clues at crime scenes - Theodore E. Yeshion</t>
  </si>
  <si>
    <t>2026-05-05T15:01:09Z</t>
  </si>
  <si>
    <t>qKM4JzToM-A</t>
  </si>
  <si>
    <t>The fascinating reason you loved peek-a-boo</t>
  </si>
  <si>
    <t>2026-04-30T15:00:52Z</t>
  </si>
  <si>
    <t>65I_1sgTMLE</t>
  </si>
  <si>
    <t>Why do we use "they" as a singular pronoun? - Arika Okrent</t>
  </si>
  <si>
    <t>2026-04-28T15:01:02Z</t>
  </si>
  <si>
    <t>QRA1-6imP3s</t>
  </si>
  <si>
    <t>How can you overcome writer’s block?</t>
  </si>
  <si>
    <t>2026-04-23T17:45:26Z</t>
  </si>
  <si>
    <t>2x3rJMBVB28</t>
  </si>
  <si>
    <t>Write every day, even if it’s terrible | Think Like A Musician</t>
  </si>
  <si>
    <t>2026-04-23T15:00:33Z</t>
  </si>
  <si>
    <t>NEFmWclWiOw</t>
  </si>
  <si>
    <t>Why was this kung fu masterpiece banned? - Gladys Mac</t>
  </si>
  <si>
    <t>2026-04-21T15:01:43Z</t>
  </si>
  <si>
    <t>kRAl4Xgs_NU</t>
  </si>
  <si>
    <t>Why kids need to take more risks</t>
  </si>
  <si>
    <t>2026-04-16T15:00:45Z</t>
  </si>
  <si>
    <t>dOqqBQ5Ha6Q</t>
  </si>
  <si>
    <t>What is "The Thinker" actually thinking about? - Noah Charney</t>
  </si>
  <si>
    <t>2026-04-14T15:01:06Z</t>
  </si>
  <si>
    <t>qLrnn24C3zU</t>
  </si>
  <si>
    <t>Do imaginary friends make you smarter?</t>
  </si>
  <si>
    <t>2026-04-09T15:00:47Z</t>
  </si>
  <si>
    <t>m2BE9GZJJbs</t>
  </si>
  <si>
    <t>How do snakes swallow animals so much bigger than they are? - Niko Zlotnik</t>
  </si>
  <si>
    <t>2026-04-07T15:00:34Z</t>
  </si>
  <si>
    <t>ngarNTPMclE</t>
  </si>
  <si>
    <t>The haunting history of the Paris Catacombs - Stephanie H. Smith</t>
  </si>
  <si>
    <t>2026-04-02T15:00:06Z</t>
  </si>
  <si>
    <t>QWCHnR53oIw</t>
  </si>
  <si>
    <t>What happens if you eat a silica gel packet? - Vivian Jiang</t>
  </si>
  <si>
    <t>2026-03-31T15:00:30Z</t>
  </si>
  <si>
    <t>UDdkgOoeNcQ</t>
  </si>
  <si>
    <t>Do artists really write their own songs? | Think Like A Musician</t>
  </si>
  <si>
    <t>2026-03-26T15:00:30Z</t>
  </si>
  <si>
    <t>D98UJl6Ea6o</t>
  </si>
  <si>
    <t>How did ancient civilizations brew beer? - Malcolm Purinton</t>
  </si>
  <si>
    <t>2026-03-24T15:01:02Z</t>
  </si>
  <si>
    <t>DDo4rW0DMpk</t>
  </si>
  <si>
    <t>What if your president was chosen via lottery? - Michael Vazquez</t>
  </si>
  <si>
    <t>2026-03-19T15:00:57Z</t>
  </si>
  <si>
    <t>lQRsqMiBTsI</t>
  </si>
  <si>
    <t>3 surprising ways microplastics can enter your body</t>
  </si>
  <si>
    <t>2026-03-17T15:01:10Z</t>
  </si>
  <si>
    <t>iCBzEZek5cY</t>
  </si>
  <si>
    <t>How long can hair grow? - Maksim Plikus</t>
  </si>
  <si>
    <t>2026-03-12T15:00:21Z</t>
  </si>
  <si>
    <t>gVXoAbeB8QI</t>
  </si>
  <si>
    <t>What happens when you break a bone? - Gurpreet Baht and Natalie Pang</t>
  </si>
  <si>
    <t>2026-03-10T15:01:48Z</t>
  </si>
  <si>
    <t>P5pmMe3EarI</t>
  </si>
  <si>
    <t>How to use emergency contraception effectively - Alison Edelman</t>
  </si>
  <si>
    <t>2026-03-05T16:00:35Z</t>
  </si>
  <si>
    <t>-Tw81EQYV_Y</t>
  </si>
  <si>
    <t>How hat fashion has evolved throughout history - Alison L. Goodrum</t>
  </si>
  <si>
    <t>2026-03-03T16:01:12Z</t>
  </si>
  <si>
    <t>wxf_pKCOCBo</t>
  </si>
  <si>
    <t>The biggest mistake lottery winners make</t>
  </si>
  <si>
    <t>2026-02-26T16:00:39Z</t>
  </si>
  <si>
    <t>JJdoAMiaLZo</t>
  </si>
  <si>
    <t>Does hypnosis ever actually work? - Devin Terhune</t>
  </si>
  <si>
    <t>2026-02-24T16:00:49Z</t>
  </si>
  <si>
    <t>MBir652KZPE</t>
  </si>
  <si>
    <t>How expert songwriters find the right lyrics | Think Like A Musician</t>
  </si>
  <si>
    <t>2026-02-19T16:00:14Z</t>
  </si>
  <si>
    <t>EtiC0DVewa4</t>
  </si>
  <si>
    <t>The biggest myths about Neanderthals - Bruce Hardy</t>
  </si>
  <si>
    <t>2026-02-17T16:01:27Z</t>
  </si>
  <si>
    <t>NOaeKRft-gc</t>
  </si>
  <si>
    <t>3 things that can cause painful periods - Chen X. Chen</t>
  </si>
  <si>
    <t>2026-02-12T16:00:33Z</t>
  </si>
  <si>
    <t>XNEHP6qFeCs</t>
  </si>
  <si>
    <t>The machine that changed our understanding of human history - Max G. Levy</t>
  </si>
  <si>
    <t>2026-02-10T16:01:06Z</t>
  </si>
  <si>
    <t>FKUc8vg_Lus</t>
  </si>
  <si>
    <t>What is vaginal discharge and why does it happen? - Elizabeth Micks</t>
  </si>
  <si>
    <t>2026-02-05T16:00:28Z</t>
  </si>
  <si>
    <t>mnLVpkkQVRU</t>
  </si>
  <si>
    <t>Introducing TED Summer School!</t>
  </si>
  <si>
    <t>2026-02-04T16:10:17Z</t>
  </si>
  <si>
    <t>2gPzWP3dcOQ</t>
  </si>
  <si>
    <t>How much do you really know about Vikings? - Stephanie H. Smith</t>
  </si>
  <si>
    <t>2026-02-03T16:01:44Z</t>
  </si>
  <si>
    <t>rdEC52iCQNk</t>
  </si>
  <si>
    <t>What causes herpes, and how can you treat it? - Christine Johnston</t>
  </si>
  <si>
    <t>2026-01-29T16:00:48Z</t>
  </si>
  <si>
    <t>QFbQkZT1EEk</t>
  </si>
  <si>
    <t>Father vs. Son: A journey into the underworld - Joseph Mbele</t>
  </si>
  <si>
    <t>Lq_TYsGwTfM</t>
  </si>
  <si>
    <t>How top songwriters craft the perfect pop song | Think Like A Musician</t>
  </si>
  <si>
    <t>2026-01-22T16:00:41Z</t>
  </si>
  <si>
    <t>BT93bRX2t68</t>
  </si>
  <si>
    <t>The infamous JoJo thought experiment - Michael Vazquez and Sarah Stroud</t>
  </si>
  <si>
    <t>2026-01-20T16:01:15Z</t>
  </si>
  <si>
    <t>-bFgGvl4pBQ</t>
  </si>
  <si>
    <t>Kiranmala: The tale of the princess who conquered Magic Mountain - Malay Bera</t>
  </si>
  <si>
    <t>2026-01-15T16:00:50Z</t>
  </si>
  <si>
    <t>cmO2ryQ8LcY</t>
  </si>
  <si>
    <t>Will laser blasters ever be possible? - Christopher Baird</t>
  </si>
  <si>
    <t>2026-01-13T16:00:44Z</t>
  </si>
  <si>
    <t>mzREA81VQ34</t>
  </si>
  <si>
    <t>Upstairs, downstairs: The life of a British maid - Stephanie Honchell Smith</t>
  </si>
  <si>
    <t>2026-01-08T16:00:38Z</t>
  </si>
  <si>
    <t>t0h8Dmni8g8</t>
  </si>
  <si>
    <t>How Japan saved its biggest city from collapse - Roman Krznaric</t>
  </si>
  <si>
    <t>2026-01-06T16:01:13Z</t>
  </si>
  <si>
    <t>ybftH3XSd0Q</t>
  </si>
  <si>
    <t>Which instrument should you play? | Think Like A Musician</t>
  </si>
  <si>
    <t>2025-12-23T16:00:38Z</t>
  </si>
  <si>
    <t>bVjKL1zd-vQ</t>
  </si>
  <si>
    <t>Was Alexander the Great really that great? - Stephanie Honchell Smith</t>
  </si>
  <si>
    <t>2025-12-18T16:00:35Z</t>
  </si>
  <si>
    <t>0RiDPisQAzM</t>
  </si>
  <si>
    <t>Winter got you feeling down? Watch this - Kelly Rohan</t>
  </si>
  <si>
    <t>2025-12-16T16:00:34Z</t>
  </si>
  <si>
    <t>_GI9-J-sE5k</t>
  </si>
  <si>
    <t>What’s the best position to sleep in? - Rachel Marie E. Salas</t>
  </si>
  <si>
    <t>2025-12-11T16:00:43Z</t>
  </si>
  <si>
    <t>3ezPMAoxSbw</t>
  </si>
  <si>
    <t>Scientists still don't know the answer to this infamous question - Charles Wallace &amp; Dan Kwartler</t>
  </si>
  <si>
    <t>2025-12-09T16:01:02Z</t>
  </si>
  <si>
    <t>zrjhaYc-9pg</t>
  </si>
  <si>
    <t>10 musicians weigh in on what makes for a great performance | Think Like A Musician</t>
  </si>
  <si>
    <t>2025-12-04T16:00:25Z</t>
  </si>
  <si>
    <t>ofk-aw5G-FQ</t>
  </si>
  <si>
    <t>How comic books can help you learn - Gene Luen Yang</t>
  </si>
  <si>
    <t>2025-12-02T16:01:10Z</t>
  </si>
  <si>
    <t>IpaVpMFBwAE</t>
  </si>
  <si>
    <t>How one of the world’s richest companies rose to power - Shantel George</t>
  </si>
  <si>
    <t>2025-11-25T16:00:12Z</t>
  </si>
  <si>
    <t>wtovy-1-QUM</t>
  </si>
  <si>
    <t>This is what happens in your brain when you can’t recall a word - Cella Wright</t>
  </si>
  <si>
    <t>2025-11-20T16:01:08Z</t>
  </si>
  <si>
    <t>WJhCa12UTsg</t>
  </si>
  <si>
    <t>What lack of sleep does to the teenage brain - Wendy Troxel</t>
  </si>
  <si>
    <t>2025-11-18T16:00:28Z</t>
  </si>
  <si>
    <t>AMKzXZphgyo</t>
  </si>
  <si>
    <t>How the lead industry lied to the public for decades - Gerald Markowitz and David Rosner</t>
  </si>
  <si>
    <t>2025-11-13T16:01:25Z</t>
  </si>
  <si>
    <t>UQdtUaeZWLo</t>
  </si>
  <si>
    <t>The 3 best predictors of how well you’ll age - Juulia Jylhävä</t>
  </si>
  <si>
    <t>2025-11-11T16:00:51Z</t>
  </si>
  <si>
    <t>ul-c6a4QkiU</t>
  </si>
  <si>
    <t>How does leg lengthening surgery work? - Jason Shih Hoellwarth</t>
  </si>
  <si>
    <t>2025-11-06T16:01:13Z</t>
  </si>
  <si>
    <t>jLOuMXnM5wk</t>
  </si>
  <si>
    <t>The best way to become good at something might surprise you - David Epstein</t>
  </si>
  <si>
    <t>2025-11-04T16:01:06Z</t>
  </si>
  <si>
    <t>YtCpZnBhWZ0</t>
  </si>
  <si>
    <t>How to become a great singer | Think Like A Musician</t>
  </si>
  <si>
    <t>2025-10-30T15:00:37Z</t>
  </si>
  <si>
    <t>56F0Y33QZnQ</t>
  </si>
  <si>
    <t>Japan's most famous ghost story - Jeffrey Angles</t>
  </si>
  <si>
    <t>2025-10-28T15:00:57Z</t>
  </si>
  <si>
    <t>_gTgloPR0Aw</t>
  </si>
  <si>
    <t>What’s the best way to lift people out of poverty?</t>
  </si>
  <si>
    <t>2025-10-23T15:01:17Z</t>
  </si>
  <si>
    <t>uJ_d-UD0xPE</t>
  </si>
  <si>
    <t>History vs. Russia’s most infamous empress - Carolyn Harris</t>
  </si>
  <si>
    <t>2025-10-21T15:00:30Z</t>
  </si>
  <si>
    <t>PN4moDNE-Kg</t>
  </si>
  <si>
    <t>Why don't we send our trash to space? - Jim Bentley and Imogen Ellen Napper</t>
  </si>
  <si>
    <t>2025-10-16T15:00:29Z</t>
  </si>
  <si>
    <t>H5DhD5Nwl_0</t>
  </si>
  <si>
    <t>Are vampire bats dangerous? - Imran Razik</t>
  </si>
  <si>
    <t>2025-10-14T15:00:53Z</t>
  </si>
  <si>
    <t>yYPnos84NDY</t>
  </si>
  <si>
    <t>Inside the mind of a drummer | Think Like A Musician</t>
  </si>
  <si>
    <t>2025-10-09T15:01:56Z</t>
  </si>
  <si>
    <t>8hgEorF0vyY</t>
  </si>
  <si>
    <t>How exactly do inhalers work? - Anna Rothschild</t>
  </si>
  <si>
    <t>2025-10-07T15:00:58Z</t>
  </si>
  <si>
    <t>7dm2AsJ3-E8</t>
  </si>
  <si>
    <t>Your phone’s camera isn’t as good as you think - Rachel Yang</t>
  </si>
  <si>
    <t>2025-10-02T15:00:59Z</t>
  </si>
  <si>
    <t>B-ukcWJzXwc</t>
  </si>
  <si>
    <t>The Greek myth of the Fates’ prophecy - Iseult Gillespie</t>
  </si>
  <si>
    <t>2025-09-30T15:00:30Z</t>
  </si>
  <si>
    <t>nQf-lystVn4</t>
  </si>
  <si>
    <t>Is it really that bad to eat cookie dough? - Emma Bryce</t>
  </si>
  <si>
    <t>2025-09-25T15:03:12Z</t>
  </si>
  <si>
    <t>zpEuvaondSo</t>
  </si>
  <si>
    <t>The myth of Dionysus’ drunken revenge - Iseult Gillespie</t>
  </si>
  <si>
    <t>2025-09-23T15:00:35Z</t>
  </si>
  <si>
    <t>vyUJNsibkfQ</t>
  </si>
  <si>
    <t>How do sinkholes swallow entire houses and cities? - Elise Cutts</t>
  </si>
  <si>
    <t>2025-09-18T15:04:17Z</t>
  </si>
  <si>
    <t>QUQyf_irWlw</t>
  </si>
  <si>
    <t>How to improve your singing | Think Like A Musician</t>
  </si>
  <si>
    <t>2025-09-16T15:02:05Z</t>
  </si>
  <si>
    <t>S3jqTWXwzJc</t>
  </si>
  <si>
    <t>If you had the chance to be immortal, would you take it? - Sarah Stroud and Michael Vazquez</t>
  </si>
  <si>
    <t>2025-09-11T15:01:16Z</t>
  </si>
  <si>
    <t>7ZCTazqNYMo</t>
  </si>
  <si>
    <t>What are truffles, and why are they so expensive? - Carolyn Beans</t>
  </si>
  <si>
    <t>2025-09-09T15:01:31Z</t>
  </si>
  <si>
    <t>7MoVb_eXZb4</t>
  </si>
  <si>
    <t>How we got hooked on credit cards - Nidhi Upadhyaya</t>
  </si>
  <si>
    <t>2025-09-04T15:00:50Z</t>
  </si>
  <si>
    <t>SgtdVWEBXOM</t>
  </si>
  <si>
    <t>Can humans be trusted with control over genetics? - Michael Vazquez and Raye Ploeger</t>
  </si>
  <si>
    <t>2025-09-02T15:00:11Z</t>
  </si>
  <si>
    <t>ikxGwImO5sc</t>
  </si>
  <si>
    <t>Why are there so many different kinds of dogs? - Kathleen Morrill Pirovich</t>
  </si>
  <si>
    <t>2025-08-28T15:00:52Z</t>
  </si>
  <si>
    <t>XGH8C1rl7kk</t>
  </si>
  <si>
    <t>Can you figure out the savanna mystery? - Cella Wright</t>
  </si>
  <si>
    <t>2025-08-26T15:00:41Z</t>
  </si>
  <si>
    <t>7c-OXc6H7us</t>
  </si>
  <si>
    <t>Can saunas make you live longer? - Max G. Levy</t>
  </si>
  <si>
    <t>2025-08-21T15:00:38Z</t>
  </si>
  <si>
    <t>XsFP8fpuQR4</t>
  </si>
  <si>
    <t>How do fireflies create light? - Emily A. Geest</t>
  </si>
  <si>
    <t>2025-08-19T15:00:46Z</t>
  </si>
  <si>
    <t>wQ-GmWy_zmM</t>
  </si>
  <si>
    <t>How smart are crows? - Katharina Brecht</t>
  </si>
  <si>
    <t>2025-08-14T15:00:43Z</t>
  </si>
  <si>
    <t>vCbx5jtZ_qI</t>
  </si>
  <si>
    <t>One big reason that life on Earth exists - Elise Cutts</t>
  </si>
  <si>
    <t>2025-08-12T15:00:38Z</t>
  </si>
  <si>
    <t>wpWm87SfASQ</t>
  </si>
  <si>
    <t>What should you do if you accidentally cut off your finger? - Jason Hoellwarth</t>
  </si>
  <si>
    <t>2025-08-07T15:00:29Z</t>
  </si>
  <si>
    <t>mGugp5qs6Vg</t>
  </si>
  <si>
    <t>5 ways to connect with people</t>
  </si>
  <si>
    <t>2025-08-05T14:58:07Z</t>
  </si>
  <si>
    <t>BGqkY-i0ZHU</t>
  </si>
  <si>
    <t>The Greek tragedy of Oedipus' daughter - Stephen Esposito</t>
  </si>
  <si>
    <t>2025-07-31T15:54:08Z</t>
  </si>
  <si>
    <t>PJKeLD-vMvo</t>
  </si>
  <si>
    <t>How to speak with meaning</t>
  </si>
  <si>
    <t>2025-07-29T15:01:32Z</t>
  </si>
  <si>
    <t>3svcvmunYn4</t>
  </si>
  <si>
    <t>What your poop can tell you about your health - Hannibal Person</t>
  </si>
  <si>
    <t>2025-07-24T15:00:32Z</t>
  </si>
  <si>
    <t>1sOgYNgq88E</t>
  </si>
  <si>
    <t>What’s the best way to give a presentation?</t>
  </si>
  <si>
    <t>2025-07-22T15:00:08Z</t>
  </si>
  <si>
    <t>USW8yf4L-R4</t>
  </si>
  <si>
    <t>What happens to your brain without any social contact? - Terry Kupers</t>
  </si>
  <si>
    <t>2025-07-17T15:00:56Z</t>
  </si>
  <si>
    <t>btWlBHE0pe4</t>
  </si>
  <si>
    <t>How to communicate clearly</t>
  </si>
  <si>
    <t>2025-07-15T15:00:33Z</t>
  </si>
  <si>
    <t>F4sVhVi0Ijo</t>
  </si>
  <si>
    <t>Why is it so hard to get rid of bed bugs? - Gale E. Ridge</t>
  </si>
  <si>
    <t>2025-07-10T15:00:52Z</t>
  </si>
  <si>
    <t>nzOdAVgyi0U</t>
  </si>
  <si>
    <t>How to uncover your best ideas</t>
  </si>
  <si>
    <t>2025-07-08T15:00:37Z</t>
  </si>
  <si>
    <t>WRfZf43dnj8</t>
  </si>
  <si>
    <t>Are there really dead wasps in figs? - Carolyn Beans</t>
  </si>
  <si>
    <t>2025-07-03T15:47:40Z</t>
  </si>
  <si>
    <t>Z7bfPaTfU0c</t>
  </si>
  <si>
    <t>What happens when you share an idea?</t>
  </si>
  <si>
    <t>2025-07-01T14:58:50Z</t>
  </si>
  <si>
    <t>tekiHV-e8Uw</t>
  </si>
  <si>
    <t>How did NASA touch the Sun without melting?</t>
  </si>
  <si>
    <t>2025-06-26T15:01:16Z</t>
  </si>
  <si>
    <t>gkTVlYDB21g</t>
  </si>
  <si>
    <t>The physics behind Einstein’s most famous equation - Lindsay DeMarchi and Fabio Pacucci</t>
  </si>
  <si>
    <t>2025-06-24T15:01:18Z</t>
  </si>
  <si>
    <t>myo3SmpIUvM</t>
  </si>
  <si>
    <t>Ethical dilemma: Should knowledge be free? - Michael Vazquez and Will Kanwischer</t>
  </si>
  <si>
    <t>2025-06-18T15:00:48Z</t>
  </si>
  <si>
    <t>I15FmhjEbQ0</t>
  </si>
  <si>
    <t>Why was bloodletting so popular? - Stephanie Honchell Smith</t>
  </si>
  <si>
    <t>2025-06-17T15:00:56Z</t>
  </si>
  <si>
    <t>JWZWb3vN76o</t>
  </si>
  <si>
    <t>The dark history of Graham crackers - Stephanie Honchell Smith</t>
  </si>
  <si>
    <t>2025-06-12T15:01:22Z</t>
  </si>
  <si>
    <t>8NGBG5pKAAY</t>
  </si>
  <si>
    <t>How much do you really know about Ancient Rome? - Stephanie Honchell Smith</t>
  </si>
  <si>
    <t>2025-06-10T15:01:37Z</t>
  </si>
  <si>
    <t>10QcbISOKrg</t>
  </si>
  <si>
    <t>The surprising new treatment for mental illness - Anees Bahji</t>
  </si>
  <si>
    <t>2025-06-05T15:01:23Z</t>
  </si>
  <si>
    <t>x-qsWTPul9Y</t>
  </si>
  <si>
    <t>Why do so many cultures have dragon legends? - Timothy J. Burbery</t>
  </si>
  <si>
    <t>2025-06-03T15:00:55Z</t>
  </si>
  <si>
    <t>eMRtxsj29aQ</t>
  </si>
  <si>
    <t>Would you eat a ghost pepper for a prize? - Dan Kwartler</t>
  </si>
  <si>
    <t>2025-05-29T15:00:51Z</t>
  </si>
  <si>
    <t>2fyX600dL2g</t>
  </si>
  <si>
    <t>The trillion dollar paradox - George Zaidan</t>
  </si>
  <si>
    <t>2025-05-27T15:00:01Z</t>
  </si>
  <si>
    <t>dJoBnnCTP5M</t>
  </si>
  <si>
    <t>When should you break a promise? - Sarah Stroud and Michael Vazquez</t>
  </si>
  <si>
    <t>2025-05-22T15:00:55Z</t>
  </si>
  <si>
    <t>0pF6ZLCxceM</t>
  </si>
  <si>
    <t>Can you survive a Komodo dragon bite? - Achmad Ariefiandy</t>
  </si>
  <si>
    <t>2025-05-20T15:00:48Z</t>
  </si>
  <si>
    <t>ALWp-RMMP5k</t>
  </si>
  <si>
    <t>What inspired us to create Pandora’s Legacy? #shorts #puzzle #escaperoom #boardgames</t>
  </si>
  <si>
    <t>2025-05-16T18:32:57Z</t>
  </si>
  <si>
    <t>vOBjtotp-Gw</t>
  </si>
  <si>
    <t>How much does it cost to fly private? - Rachel Yang</t>
  </si>
  <si>
    <t>2025-05-15T15:01:31Z</t>
  </si>
  <si>
    <t>g-Ff2A4B358</t>
  </si>
  <si>
    <t>Behind-the-scenes look at illustrator Senne Trip creating the art of Pandora’s Legacy</t>
  </si>
  <si>
    <t>2025-05-14T17:52:03Z</t>
  </si>
  <si>
    <t>YYpy0cM-GSE</t>
  </si>
  <si>
    <t>The clever trick used by sports betting apps - Shannon Odell</t>
  </si>
  <si>
    <t>2025-05-13T15:01:33Z</t>
  </si>
  <si>
    <t>i13h9MO4Zuk</t>
  </si>
  <si>
    <t>It’s not your typical jigsaw puzzle — it’s your next great adventure</t>
  </si>
  <si>
    <t>2025-05-09T15:18:42Z</t>
  </si>
  <si>
    <t>7u98x3_r4_A</t>
  </si>
  <si>
    <t>Is this the grossest parasite? - Niko Zlotnik</t>
  </si>
  <si>
    <t>2025-05-08T15:01:27Z</t>
  </si>
  <si>
    <t>vRyoEoyXCEU</t>
  </si>
  <si>
    <t>What caused the fall of one of the most influential empires in history? - Mostafa Minawi</t>
  </si>
  <si>
    <t>2025-05-06T15:00:41Z</t>
  </si>
  <si>
    <t>5XrS3DHMFeY</t>
  </si>
  <si>
    <t>Happy Teacher Appreciation Week!</t>
  </si>
  <si>
    <t>2025-05-05T16:46:35Z</t>
  </si>
  <si>
    <t>O18-FA83BaM</t>
  </si>
  <si>
    <t>The myth of Medusa</t>
  </si>
  <si>
    <t>2025-05-01T15:00:36Z</t>
  </si>
  <si>
    <t>SzC11Ce-ID8</t>
  </si>
  <si>
    <t>We made you something special and unprecedented</t>
  </si>
  <si>
    <t>2025-04-30T15:00:37Z</t>
  </si>
  <si>
    <t>asbbhyHBSKU</t>
  </si>
  <si>
    <t>Can you solve the riddle of Pandora’s box? - Alex Rosenthal</t>
  </si>
  <si>
    <t>2025-04-29T15:00:01Z</t>
  </si>
  <si>
    <t>__nlupHISg0</t>
  </si>
  <si>
    <t>How did detectives solve the case of the bloody fingerprints? - Theodore E. Yeshion</t>
  </si>
  <si>
    <t>2025-04-24T15:03:37Z</t>
  </si>
  <si>
    <t>Bl2-u7HcheQ</t>
  </si>
  <si>
    <t>How much would it cost to buy the Sun? - Cella Wright</t>
  </si>
  <si>
    <t>2025-04-22T15:00:39Z</t>
  </si>
  <si>
    <t>j1EXBeBA89w</t>
  </si>
  <si>
    <t>No one really knows what a tree is - Max G. Levy</t>
  </si>
  <si>
    <t>2025-04-17T15:23:29Z</t>
  </si>
  <si>
    <t>4UJTtk_2ly0</t>
  </si>
  <si>
    <t>What Earth in 2125 could look like - Iseult Gillespie</t>
  </si>
  <si>
    <t>2025-04-15T15:01:15Z</t>
  </si>
  <si>
    <t>A-oxDZ3AO74</t>
  </si>
  <si>
    <t>The tale of the Monkey King and the Buddha - Ji Hao</t>
  </si>
  <si>
    <t>2025-04-10T15:00:48Z</t>
  </si>
  <si>
    <t>mpRJhhbKLFc</t>
  </si>
  <si>
    <t>Why are there two tides a day? - Elise Cutts</t>
  </si>
  <si>
    <t>2025-04-08T15:00:59Z</t>
  </si>
  <si>
    <t>43qXqa8Q8o4</t>
  </si>
  <si>
    <t>The epic Nordic legend of the monster slayer - Iseult Gillespie</t>
  </si>
  <si>
    <t>2025-04-03T15:01:05Z</t>
  </si>
  <si>
    <t>Jp4m3kbE1gA</t>
  </si>
  <si>
    <t>This is how nomadic farmers live</t>
  </si>
  <si>
    <t>2025-04-01T15:01:44Z</t>
  </si>
  <si>
    <t>eBYqlmS4A-E</t>
  </si>
  <si>
    <t>The murderous medieval king who inspired "Macbeth" - Benjamin Hudson</t>
  </si>
  <si>
    <t>2025-03-27T15:01:21Z</t>
  </si>
  <si>
    <t>R03DjtCPkGE</t>
  </si>
  <si>
    <t>The surprising way we can cool the planet - Elise Cutts</t>
  </si>
  <si>
    <t>2025-03-25T15:00:44Z</t>
  </si>
  <si>
    <t>17yqQJLQN_4</t>
  </si>
  <si>
    <t>Do you dare open Pandora’s box?</t>
  </si>
  <si>
    <t>2025-03-21T17:36:13Z</t>
  </si>
  <si>
    <t>kVvewT_tWUA</t>
  </si>
  <si>
    <t>5 signs you’re a good driver - Iseult Gillespie</t>
  </si>
  <si>
    <t>2025-03-20T15:01:49Z</t>
  </si>
  <si>
    <t>jdOjB0j329g</t>
  </si>
  <si>
    <t>Why don’t we get our drinking water from the ocean? - Manish Kumar</t>
  </si>
  <si>
    <t>2025-03-18T15:01:15Z</t>
  </si>
  <si>
    <t>s-EEp5xiF6Q</t>
  </si>
  <si>
    <t>This is the most common way to get head lice - Nazzy Pakpour</t>
  </si>
  <si>
    <t>2025-03-13T15:00:37Z</t>
  </si>
  <si>
    <t>f-T0PEWRaVc</t>
  </si>
  <si>
    <t>The solution to our energy problems is … a toaster - Rachel Yang</t>
  </si>
  <si>
    <t>2025-03-11T15:01:44Z</t>
  </si>
  <si>
    <t>Cdfc9PuXdD0</t>
  </si>
  <si>
    <t>You might be surprised by what you'd find in your pores - M. Alejandra Perotti</t>
  </si>
  <si>
    <t>2025-03-06T16:01:34Z</t>
  </si>
  <si>
    <t>q5WEuoxYIac</t>
  </si>
  <si>
    <t>The tale of the brothers who outwitted the demon queen - Malay Bera</t>
  </si>
  <si>
    <t>2025-03-04T16:00:39Z</t>
  </si>
  <si>
    <t>iEFz9KzOB1g</t>
  </si>
  <si>
    <t>Which species would you get rid of? | Ada, Ep. 5</t>
  </si>
  <si>
    <t>2025-02-27T16:00:48Z</t>
  </si>
  <si>
    <t>IkRXpFIRUl4</t>
  </si>
  <si>
    <t>How are microchips made? - George Zaidan and Sajan Saini</t>
  </si>
  <si>
    <t>2025-02-25T16:01:15Z</t>
  </si>
  <si>
    <t>K-p1z2uKJBg</t>
  </si>
  <si>
    <t>Can we actually control superintelligent AI? | Ada, Ep. 4</t>
  </si>
  <si>
    <t>2025-02-20T16:00:41Z</t>
  </si>
  <si>
    <t>Z_gV1hEqlA8</t>
  </si>
  <si>
    <t>Can you "see" images in your mind? Some people can't - Adam Zeman</t>
  </si>
  <si>
    <t>2025-02-18T16:01:10Z</t>
  </si>
  <si>
    <t>h0rWp3GF_6s</t>
  </si>
  <si>
    <t>Should we get rid of pregnancy? | Ada, Ep. 3</t>
  </si>
  <si>
    <t>2025-02-13T16:00:42Z</t>
  </si>
  <si>
    <t>Kgifhh4pQ10</t>
  </si>
  <si>
    <t>The myth of Ireland's most infamous love triangle - Iseult Gillespie</t>
  </si>
  <si>
    <t>2025-02-11T16:00:37Z</t>
  </si>
  <si>
    <t>dbXFXmSaoD4</t>
  </si>
  <si>
    <t>Would you sell your kidney for $100,000? | Ada, Ep. 2</t>
  </si>
  <si>
    <t>2025-02-06T16:00:41Z</t>
  </si>
  <si>
    <t>kD3-DKkiVeA</t>
  </si>
  <si>
    <t>Why you feel stuck — and how to get motivated - Shannon Odell</t>
  </si>
  <si>
    <t>2025-02-04T16:01:28Z</t>
  </si>
  <si>
    <t>d3RlT7qzAUE</t>
  </si>
  <si>
    <t>How to survive the apocalypse | Ada, Ep. 1</t>
  </si>
  <si>
    <t>2025-01-30T16:01:24Z</t>
  </si>
  <si>
    <t>Qxby1J5bnPQ</t>
  </si>
  <si>
    <t>Is the Amazon Rainforest disappearing? - Anna Rothschild</t>
  </si>
  <si>
    <t>2025-01-28T16:01:32Z</t>
  </si>
  <si>
    <t>sbXie768ZZQ</t>
  </si>
  <si>
    <t>Have we reached the limit of computer power? - Sajan Saini and George Zaidan</t>
  </si>
  <si>
    <t>2025-01-23T16:01:54Z</t>
  </si>
  <si>
    <t>EixIyh1gshM</t>
  </si>
  <si>
    <t>What actually causes high cholesterol? - Hei Man Chan</t>
  </si>
  <si>
    <t>2025-01-21T16:00:52Z</t>
  </si>
  <si>
    <t>puWumt39nak</t>
  </si>
  <si>
    <t>The history of the world according to rats - Max G. Levy</t>
  </si>
  <si>
    <t>2025-01-16T16:01:06Z</t>
  </si>
  <si>
    <t>w3d2DlLX7xw</t>
  </si>
  <si>
    <t>One of the most controversial medical procedures in history - Jenell Johnson</t>
  </si>
  <si>
    <t>2025-01-14T16:01:15Z</t>
  </si>
  <si>
    <t>qH0tUg4Enn0</t>
  </si>
  <si>
    <t>The dark history of arsenic - Neil Bradbury</t>
  </si>
  <si>
    <t>2025-01-09T16:01:51Z</t>
  </si>
  <si>
    <t>HEpJBuPIb4o</t>
  </si>
  <si>
    <t>A day in the life of a martial artist in medieval China -  Peter Lorge</t>
  </si>
  <si>
    <t>2025-01-07T16:00:42Z</t>
  </si>
  <si>
    <t>eEWa7cpiyD8</t>
  </si>
  <si>
    <t>Do you really need to take 10,000 steps a day? - Shannon Odell</t>
  </si>
  <si>
    <t>2025-01-02T16:01:47Z</t>
  </si>
  <si>
    <t>kOVdiDUlNsg</t>
  </si>
  <si>
    <t>How some friendships last — and others don’t - Iseult Gillespie</t>
  </si>
  <si>
    <t>2024-12-19T16:01:26Z</t>
  </si>
  <si>
    <t>qWG2f9DwwpY</t>
  </si>
  <si>
    <t>Why animals help each other - Ashley Ward</t>
  </si>
  <si>
    <t>2024-12-17T16:01:04Z</t>
  </si>
  <si>
    <t>Wb0UgdRFj2A</t>
  </si>
  <si>
    <t>Lady Meng Jiang: The legend of the woman who outwitted an evil emperor - Juwen Zhang</t>
  </si>
  <si>
    <t>2024-12-12T16:00:55Z</t>
  </si>
  <si>
    <t>awhOrqGb-TU</t>
  </si>
  <si>
    <t>How to make your stress work for you - Shannon Odell</t>
  </si>
  <si>
    <t>2024-12-10T16:00:46Z</t>
  </si>
  <si>
    <t>iRGrY9F1cCE</t>
  </si>
  <si>
    <t>How scientists are creating real-life invisibility cloaks - Max G. Levy</t>
  </si>
  <si>
    <t>2024-12-05T16:00:42Z</t>
  </si>
  <si>
    <t>brdrOzVgZX0</t>
  </si>
  <si>
    <t>How are these fires burning underground? - Emma Bryce</t>
  </si>
  <si>
    <t>2024-12-03T16:01:22Z</t>
  </si>
  <si>
    <t>46RDkiy5h3U</t>
  </si>
  <si>
    <t>Why don’t companies want you to repair your stuff? - Aaron Perzanowski</t>
  </si>
  <si>
    <t>2024-11-26T16:00:50Z</t>
  </si>
  <si>
    <t>idrbwnWLJ7w</t>
  </si>
  <si>
    <t>What staying up all night does to your brain - Anna Rothschild</t>
  </si>
  <si>
    <t>2024-11-21T16:01:25Z</t>
  </si>
  <si>
    <t>hYo64qPEGw8</t>
  </si>
  <si>
    <t>Can you solve the trickster god riddle? - Alex Rosenthal</t>
  </si>
  <si>
    <t>2024-11-19T16:00:04Z</t>
  </si>
  <si>
    <t>tmwIhOCXLrQ</t>
  </si>
  <si>
    <t>This could save lives— but are you willing to do it? - Michael Vazquez and Sarah Stroud</t>
  </si>
  <si>
    <t>2024-11-14T16:02:20Z</t>
  </si>
  <si>
    <t>DXgrI8GlUB8</t>
  </si>
  <si>
    <t>Ugly History: The Armenian Genocide - Ümit Kurt</t>
  </si>
  <si>
    <t>2024-11-12T16:01:44Z</t>
  </si>
  <si>
    <t>al_H8f1cG-I</t>
  </si>
  <si>
    <t>How does kidney transplant surgery work? - Alexander H. Toledo</t>
  </si>
  <si>
    <t>2024-11-07T16:00:36Z</t>
  </si>
  <si>
    <t>_ivM7J2ao1s</t>
  </si>
  <si>
    <t>The real reason polio is so dangerous</t>
  </si>
  <si>
    <t>2024-11-05T16:01:35Z</t>
  </si>
  <si>
    <t>S_mtmDL31g4</t>
  </si>
  <si>
    <t>The curse of the monkey's paw - Iseult Gillespie</t>
  </si>
  <si>
    <t>2024-10-31T15:01:24Z</t>
  </si>
  <si>
    <t>fLu080UX25o</t>
  </si>
  <si>
    <t>How does extreme heat affect your body? - Carolyn Beans</t>
  </si>
  <si>
    <t>2024-10-29T15:01:11Z</t>
  </si>
  <si>
    <t>Wver27ebRWU</t>
  </si>
  <si>
    <t>Who is to blame for high prescription prices? - Kiah Williams</t>
  </si>
  <si>
    <t>2024-10-24T15:01:02Z</t>
  </si>
  <si>
    <t>xMcOUyyk9Hk</t>
  </si>
  <si>
    <t>The dungeon master's riddle - Alex Rosenthal</t>
  </si>
  <si>
    <t>2024-10-22T15:00:39Z</t>
  </si>
  <si>
    <t>G4VKiq9NEvM</t>
  </si>
  <si>
    <t>What are those spots you see after you rub your eyes? - Paul CJ Taylor</t>
  </si>
  <si>
    <t>2024-10-17T15:00:31Z</t>
  </si>
  <si>
    <t>4-ZjscuQCX0</t>
  </si>
  <si>
    <t>The real tale of the Monkey King in Heaven - Ji Hao</t>
  </si>
  <si>
    <t>2024-10-15T15:00:22Z</t>
  </si>
  <si>
    <t>4wuL8ZSaDvw</t>
  </si>
  <si>
    <t>This mushroom will kill you before you know what’s happening - Michael Beug</t>
  </si>
  <si>
    <t>2024-10-10T15:01:45Z</t>
  </si>
  <si>
    <t>YYZCpJmHAqI</t>
  </si>
  <si>
    <t>Greek mythology’s greatest warrior - Iseult Gillespie</t>
  </si>
  <si>
    <t>2024-10-08T15:00:55Z</t>
  </si>
  <si>
    <t>jejgP_u82Qo</t>
  </si>
  <si>
    <t>Are there any places on Earth with no bugs? - Charles Wallace</t>
  </si>
  <si>
    <t>2024-10-03T15:01:27Z</t>
  </si>
  <si>
    <t>j2ZdF9qo7IA</t>
  </si>
  <si>
    <t>You'll travel 1 trillion kilometers through space - Fabio Pacucci and Lindsay DeMarchi</t>
  </si>
  <si>
    <t>2024-10-01T15:00:53Z</t>
  </si>
  <si>
    <t>T1aZxcyiYAw</t>
  </si>
  <si>
    <t>Why did it take so long to find giant squids? - Anna Rothschild</t>
  </si>
  <si>
    <t>2024-09-26T15:01:18Z</t>
  </si>
  <si>
    <t>anJKMZCVjxs</t>
  </si>
  <si>
    <t>What is hysteria, and why were so many women diagnosed with it? - Mark S. Micale</t>
  </si>
  <si>
    <t>2024-09-24T15:01:34Z</t>
  </si>
  <si>
    <t>phn0bXbcZYY</t>
  </si>
  <si>
    <t>The birth of the galaxy in 60 seconds - Scott Hershberger</t>
  </si>
  <si>
    <t>2024-09-19T15:01:32Z</t>
  </si>
  <si>
    <t>oQWmagZmogQ</t>
  </si>
  <si>
    <t>What’s the best way to treat the common cold?</t>
  </si>
  <si>
    <t>2024-09-17T15:01:33Z</t>
  </si>
  <si>
    <t>NKgXBjkKI_E</t>
  </si>
  <si>
    <t>The deadliest thing in your kitchen - George Zaidan</t>
  </si>
  <si>
    <t>2024-09-12T15:02:13Z</t>
  </si>
  <si>
    <t>3uTmcG7CgdI</t>
  </si>
  <si>
    <t>How do animals regrow their limbs? And why can't humans do it? - Jessica Whited</t>
  </si>
  <si>
    <t>2024-09-10T15:00:42Z</t>
  </si>
  <si>
    <t>8CUEPNcGtWs</t>
  </si>
  <si>
    <t>What does appendix pain feel like? - David R. Flum</t>
  </si>
  <si>
    <t>2024-09-05T15:01:06Z</t>
  </si>
  <si>
    <t>QJB0nmEjbDY</t>
  </si>
  <si>
    <t>The surprising reason zebras have stripes - Cella Wright</t>
  </si>
  <si>
    <t>2024-09-03T15:00:39Z</t>
  </si>
  <si>
    <t>uuc6bXxgvh8</t>
  </si>
  <si>
    <t>Are you more likely to explode or freeze in space? - Tejal Gala</t>
  </si>
  <si>
    <t>2024-08-29T15:01:31Z</t>
  </si>
  <si>
    <t>SIVyWB-D7Ok</t>
  </si>
  <si>
    <t>Deedz Galasso Never Stops Grinding - Epicly Later'd</t>
  </si>
  <si>
    <t>2026-08-23T15:00:39Z</t>
  </si>
  <si>
    <t>UCn8zNIfYAQNdrFRrr8oibKw</t>
  </si>
  <si>
    <t>VICE</t>
  </si>
  <si>
    <t>Documentary</t>
  </si>
  <si>
    <t>8KHZbiWaxjk</t>
  </si>
  <si>
    <t>Inside The Poison Frog Venom Craze That's The Suburb's Hot New Drug - High Society</t>
  </si>
  <si>
    <t>2026-08-13T15:00:06Z</t>
  </si>
  <si>
    <t>SRkP2ewEWMU</t>
  </si>
  <si>
    <t>SoCal Skate History And Eating At Tony Hawk's Place with Lizzie Armanto</t>
  </si>
  <si>
    <t>2026-08-06T15:00:34Z</t>
  </si>
  <si>
    <t>wv9etTF3j6E</t>
  </si>
  <si>
    <t>The Caribbean's Secret Coke Underground</t>
  </si>
  <si>
    <t>2026-07-30T15:00:02Z</t>
  </si>
  <si>
    <t>ZL5l9iEI0uE</t>
  </si>
  <si>
    <t>The Series That Changed Skateboarding Forever | Let It Kill You</t>
  </si>
  <si>
    <t>2026-07-23T15:00:04Z</t>
  </si>
  <si>
    <t>RpSbNuKpcBw</t>
  </si>
  <si>
    <t>VICE - Summer Issue 2026 Trailer</t>
  </si>
  <si>
    <t>2026-07-09T19:00:29Z</t>
  </si>
  <si>
    <t>H0q6gPY8VH4</t>
  </si>
  <si>
    <t>Jeff Jarrett &amp; The Battle For TNA | Dark Side of the Ring (Full Episode - Part 1)</t>
  </si>
  <si>
    <t>2026-07-08T15:00:06Z</t>
  </si>
  <si>
    <t>4cz5iG12wQ8</t>
  </si>
  <si>
    <t>Caribbean Narco Rappers</t>
  </si>
  <si>
    <t>2026-07-02T17:00:38Z</t>
  </si>
  <si>
    <t>bB5U9T9KZC8</t>
  </si>
  <si>
    <t>Jamie Foy: Two-Time Skater Of The Year And Fisherman | Epicly Later'd</t>
  </si>
  <si>
    <t>2026-06-21T15:00:39Z</t>
  </si>
  <si>
    <t>UODb_l2j_PI</t>
  </si>
  <si>
    <t>Inside Copenhagen with Rune Glifberg, the Danish Destroyer</t>
  </si>
  <si>
    <t>2026-05-28T15:00:05Z</t>
  </si>
  <si>
    <t>r8kpOGuCXe4</t>
  </si>
  <si>
    <t>Riz Ahmed takes on Iconic British Culture | VICE Culture Club Ep11</t>
  </si>
  <si>
    <t>2026-05-19T15:00:22Z</t>
  </si>
  <si>
    <t>tnPnwsfyYnA</t>
  </si>
  <si>
    <t>Taji Goes On Armed Stakeouts As Puerto Rico's Newest Private Detective</t>
  </si>
  <si>
    <t>2026-05-14T14:31:26Z</t>
  </si>
  <si>
    <t>h93zScSbjTs</t>
  </si>
  <si>
    <t>Most Celebrities Shill Crypto, Ben Mckenzie Investigates it | VICE Culture Club Ep10</t>
  </si>
  <si>
    <t>2026-05-05T15:01:15Z</t>
  </si>
  <si>
    <t>fkV-6V18J9g</t>
  </si>
  <si>
    <t>Iced Out: Inside Fentanyl's New Ground Zero</t>
  </si>
  <si>
    <t>2026-04-30T15:01:14Z</t>
  </si>
  <si>
    <t>Kmmxa4Z6Y7k</t>
  </si>
  <si>
    <t>XPLOSION: Inside South Africa’s Underground Taxi Raves</t>
  </si>
  <si>
    <t>2026-04-23T19:00:15Z</t>
  </si>
  <si>
    <t>o6Mt_Qn77ig</t>
  </si>
  <si>
    <t>Lonely Island &amp; SNL Legend Gives VICE Virgins Tips To Get Laid! - VICE Culture Club</t>
  </si>
  <si>
    <t>2026-04-14T15:01:27Z</t>
  </si>
  <si>
    <t>k1sk38Wju68</t>
  </si>
  <si>
    <t>Vice Magazine's Not Photo Issue Trailer!</t>
  </si>
  <si>
    <t>2026-04-10T19:19:33Z</t>
  </si>
  <si>
    <t>FlcIYS6I8EY</t>
  </si>
  <si>
    <t>Young Artisans Crafting a New Era in Age-Old Traditions | Big Shoes to Fill</t>
  </si>
  <si>
    <t>2026-04-09T20:00:11Z</t>
  </si>
  <si>
    <t>8ssuFW9KK3c</t>
  </si>
  <si>
    <t>The Thin White Lines Destroying UK Football - Rule Britannia</t>
  </si>
  <si>
    <t>2026-04-02T15:00:13Z</t>
  </si>
  <si>
    <t>Ib_gQQWK4-0</t>
  </si>
  <si>
    <t>Tranq: Down Bad In Miami | High Society</t>
  </si>
  <si>
    <t>2026-03-26T16:00:22Z</t>
  </si>
  <si>
    <t>RaRBGUvl4ps</t>
  </si>
  <si>
    <t>We're Heading For An AI Apocalypse?!  | VICE Culture Club Ep.8 Pt.1</t>
  </si>
  <si>
    <t>2026-03-24T15:30:16Z</t>
  </si>
  <si>
    <t>W2eMbsa6gbk</t>
  </si>
  <si>
    <t>Inside The Cult Of San La Muerte</t>
  </si>
  <si>
    <t>2026-03-19T16:00:59Z</t>
  </si>
  <si>
    <t>vU3Pcc2SmJQ</t>
  </si>
  <si>
    <t>Love in the Time of Fentanyl</t>
  </si>
  <si>
    <t>2026-03-17T15:01:40Z</t>
  </si>
  <si>
    <t>v-wdDcP-mng</t>
  </si>
  <si>
    <t>Looksmaxxing, Chinesemaxxing, and Monetizing Meme Fame | VICE Culture Club Ep7 Pt.1</t>
  </si>
  <si>
    <t>2026-03-12T15:01:34Z</t>
  </si>
  <si>
    <t>33gGBLsAz8s</t>
  </si>
  <si>
    <t>How Tragedy Forged Casper Brooker Into A World Class Pro - Epicly Later'd</t>
  </si>
  <si>
    <t>2026-03-05T16:00:06Z</t>
  </si>
  <si>
    <t>sQvgeABeUZA</t>
  </si>
  <si>
    <t>My Bad Sister - Inside The UK's Rave Underground</t>
  </si>
  <si>
    <t>2026-03-03T16:01:11Z</t>
  </si>
  <si>
    <t>PFPzsrA7QPk</t>
  </si>
  <si>
    <t>NYC's Wild Underground Subway Wrestling Scene | Gatherings</t>
  </si>
  <si>
    <t>JxVwUlKmbKg</t>
  </si>
  <si>
    <t>"America Has No Culture!" Sumo Legend Squashes Me And The USA  | VICE Culture Club Ep6 Pt.1</t>
  </si>
  <si>
    <t>2026-02-24T16:30:35Z</t>
  </si>
  <si>
    <t>CT9s8qFklhk</t>
  </si>
  <si>
    <t>On The Streets Of Rio For The World's Wildest Carnival</t>
  </si>
  <si>
    <t>2026-02-17T16:00:18Z</t>
  </si>
  <si>
    <t>ya3ByI-4sKM</t>
  </si>
  <si>
    <t>Taking My Car To Puerto Rico's WORST Reviewed Detailer!</t>
  </si>
  <si>
    <t>2026-02-05T17:01:29Z</t>
  </si>
  <si>
    <t>QpRd0SnBX18</t>
  </si>
  <si>
    <t>Brawls, Diamonds, and Celebrity Clients with TRAXNYC | VICE Culture Club Ep5 Pt.1</t>
  </si>
  <si>
    <t>2026-01-27T16:00:45Z</t>
  </si>
  <si>
    <t>NP3275JaTJU</t>
  </si>
  <si>
    <t>Can Taji Become Puerto Rico's Top Cowboy?</t>
  </si>
  <si>
    <t>2026-01-23T16:00:36Z</t>
  </si>
  <si>
    <t>990f_UTwMDM</t>
  </si>
  <si>
    <t>The Ganglord Running Venezuela's Slums</t>
  </si>
  <si>
    <t>2026-01-15T16:00:14Z</t>
  </si>
  <si>
    <t>kMKtd2safx4</t>
  </si>
  <si>
    <t>Jeff Tremaine  |  Let It Kill You  |  OFFICIAL TRAILER</t>
  </si>
  <si>
    <t>2026-01-01T16:01:08Z</t>
  </si>
  <si>
    <t>Kq8fhtXAxtA</t>
  </si>
  <si>
    <t>Inside The Brutal World Of Deathmatch Wrestling</t>
  </si>
  <si>
    <t>2025-12-22T16:49:40Z</t>
  </si>
  <si>
    <t>f311EqtExYw</t>
  </si>
  <si>
    <t>From MMA Champion To Pakistani Prisoner. 1 Final Fight For Redemption  | Kids Fight Episode 4</t>
  </si>
  <si>
    <t>2025-12-11T16:01:10Z</t>
  </si>
  <si>
    <t>HFMMoopSSqg</t>
  </si>
  <si>
    <t>Choosing Between Childhood MMA Or Pakistan Prison | Kids Fight Episode 3</t>
  </si>
  <si>
    <t>2025-12-04T15:59:14Z</t>
  </si>
  <si>
    <t>6_SjLpAExSk</t>
  </si>
  <si>
    <t>Struggling To Escape Pakistan's Slums One Fight At A Time | Kids Fight Episode 2</t>
  </si>
  <si>
    <t>2025-11-27T16:30:06Z</t>
  </si>
  <si>
    <t>97X6rz4mCsU</t>
  </si>
  <si>
    <t>Turning Pakistan's Street Kids Into MMA Fighters | Kids Fight Episode 1</t>
  </si>
  <si>
    <t>2025-11-20T16:00:14Z</t>
  </si>
  <si>
    <t>uPQLCbXASvQ</t>
  </si>
  <si>
    <t>Inside a Small-Town Strip Club | The Manor (Full Documentary)</t>
  </si>
  <si>
    <t>2025-11-06T17:00:11Z</t>
  </si>
  <si>
    <t>nJSHH6okEl0</t>
  </si>
  <si>
    <t>Inside El Salvador's Terrifying Fireball Festival</t>
  </si>
  <si>
    <t>2025-10-31T16:30:31Z</t>
  </si>
  <si>
    <t>hEGKpKOJssY</t>
  </si>
  <si>
    <t>Rule Britannia: Inside A Teenage Drug Empire</t>
  </si>
  <si>
    <t>2025-10-24T15:01:27Z</t>
  </si>
  <si>
    <t>Uc-Mcl9AJlA</t>
  </si>
  <si>
    <t>Taking My Dog To One Of The World's Most HATED Vets - One Star Reviews</t>
  </si>
  <si>
    <t>2025-10-09T16:00:52Z</t>
  </si>
  <si>
    <t>dai-pCj1EYg</t>
  </si>
  <si>
    <t>Skateboarder. Architect. Olympian | Epicly Later’d: Alexis Sablone</t>
  </si>
  <si>
    <t>2025-10-02T15:01:10Z</t>
  </si>
  <si>
    <t>mLs-HpQteIc</t>
  </si>
  <si>
    <t>Hunting For Aliens In The Jungles Of Puerto Rico</t>
  </si>
  <si>
    <t>2025-09-18T15:01:35Z</t>
  </si>
  <si>
    <t>s6fiEgVaGvg</t>
  </si>
  <si>
    <t>Can Taji Become The Dark Prince of Puerto Rico Goths? | Island Classified w/ Taji Ameen</t>
  </si>
  <si>
    <t>2025-09-16T16:17:25Z</t>
  </si>
  <si>
    <t>fJOeJ-BqjCg</t>
  </si>
  <si>
    <t>Rule Britannia: Inside Britain’s Shoplifting Epidemic</t>
  </si>
  <si>
    <t>2025-09-11T15:01:17Z</t>
  </si>
  <si>
    <t>QA0k3IbDlHc</t>
  </si>
  <si>
    <t>Can I Wash Away My Biggest Mistake? | Island Classified w/ Taji Ameen</t>
  </si>
  <si>
    <t>2025-09-09T17:00:37Z</t>
  </si>
  <si>
    <t>u9kFmxBav1Q</t>
  </si>
  <si>
    <t>Can A Marriage Survive The World Of Pro Dominatrix? | Naked Truths</t>
  </si>
  <si>
    <t>2025-09-02T15:01:40Z</t>
  </si>
  <si>
    <t>St59ecWsD3o</t>
  </si>
  <si>
    <t>The Smartest Surfer In The World: Cliff Kapono | Let It Kill You</t>
  </si>
  <si>
    <t>2025-08-28T16:00:51Z</t>
  </si>
  <si>
    <t>YF9YUPzoxuI</t>
  </si>
  <si>
    <t>Lifting 4 Tons For God. Italian Catholics Fight To Survive In Gentrified Brooklyn</t>
  </si>
  <si>
    <t>2025-08-22T17:17:11Z</t>
  </si>
  <si>
    <t>SDFkSInkee8</t>
  </si>
  <si>
    <t>Confronting Yelp's worst rated dating coach with her 'horrible' reviews</t>
  </si>
  <si>
    <t>2025-08-16T23:00:32Z</t>
  </si>
  <si>
    <t>qHqqXsrtyt8</t>
  </si>
  <si>
    <t>Spend A Night with a Findom Streamer | Naked Truths</t>
  </si>
  <si>
    <t>2025-08-14T15:01:33Z</t>
  </si>
  <si>
    <t>3lH7lfpTYTk</t>
  </si>
  <si>
    <t>How one Florida Man became a local legend</t>
  </si>
  <si>
    <t>2025-08-12T22:00:07Z</t>
  </si>
  <si>
    <t>gK-_kcbidls</t>
  </si>
  <si>
    <t>Bare knuckle fighter and doting mother: Mathilda Mayhem Wilson</t>
  </si>
  <si>
    <t>2025-08-10T15:01:07Z</t>
  </si>
  <si>
    <t>2UtVwRoUcgk</t>
  </si>
  <si>
    <t>Sex... magic?</t>
  </si>
  <si>
    <t>2025-08-09T15:00:05Z</t>
  </si>
  <si>
    <t>kam4unMZwkE</t>
  </si>
  <si>
    <t>The dark side of sperm donation</t>
  </si>
  <si>
    <t>2025-08-08T21:01:01Z</t>
  </si>
  <si>
    <t>nLjw8AyGjZI</t>
  </si>
  <si>
    <t>Bare Knuckle Mother: Love and Violence (Full Documentary)</t>
  </si>
  <si>
    <t>2025-08-07T15:02:01Z</t>
  </si>
  <si>
    <t>zVtW1XeGQ0I</t>
  </si>
  <si>
    <t>Fred Durst's closet full of red hats: A Buddyhead story</t>
  </si>
  <si>
    <t>2025-08-05T23:00:56Z</t>
  </si>
  <si>
    <t>PeDJHm-OPYY</t>
  </si>
  <si>
    <t>I Pranked the Biggest Musicians of the 90s and 2000s | I Was There: Buddyhead</t>
  </si>
  <si>
    <t>2025-08-04T15:00:43Z</t>
  </si>
  <si>
    <t>2OtrWfugPkk</t>
  </si>
  <si>
    <t>A crime scene cleaner shares the brutal reality of her profession</t>
  </si>
  <si>
    <t>2025-08-03T15:00:04Z</t>
  </si>
  <si>
    <t>yN6gsfBwEh0</t>
  </si>
  <si>
    <t>I have an indigo child</t>
  </si>
  <si>
    <t>2025-08-02T15:01:40Z</t>
  </si>
  <si>
    <t>QByFR2s9iQc</t>
  </si>
  <si>
    <t>Bonding with a sex doll is hard</t>
  </si>
  <si>
    <t>2025-08-01T15:00:47Z</t>
  </si>
  <si>
    <t>XUNyqZ_2zyY</t>
  </si>
  <si>
    <t>Why I quit working for the California prison system</t>
  </si>
  <si>
    <t>2025-07-31T15:01:00Z</t>
  </si>
  <si>
    <t>8qVwnvmm9QY</t>
  </si>
  <si>
    <t>Investigating the extreme world of Death Diving</t>
  </si>
  <si>
    <t>2025-07-30T15:00:15Z</t>
  </si>
  <si>
    <t>cN_HB6jkAM0</t>
  </si>
  <si>
    <t>How do shell companies work?</t>
  </si>
  <si>
    <t>2025-07-29T15:01:09Z</t>
  </si>
  <si>
    <t>Y6ScIx16gqE</t>
  </si>
  <si>
    <t>VICE Magazine Is Back in Print – We Gave It a Big Day Out in NYC</t>
  </si>
  <si>
    <t>2025-07-29T15:00:52Z</t>
  </si>
  <si>
    <t>aHn24aTNJLs</t>
  </si>
  <si>
    <t>A reminder to be grateful for those warm, boring times</t>
  </si>
  <si>
    <t>2025-07-27T14:00:02Z</t>
  </si>
  <si>
    <t>ZOd_xmz8TlU</t>
  </si>
  <si>
    <t>This is death diving</t>
  </si>
  <si>
    <t>2025-07-26T15:00:51Z</t>
  </si>
  <si>
    <t>kHQyhFdm-ao</t>
  </si>
  <si>
    <t>Inside the hamster wheel of doom</t>
  </si>
  <si>
    <t>2025-07-25T15:01:26Z</t>
  </si>
  <si>
    <t>2OoFSHhI4Vk</t>
  </si>
  <si>
    <t>The Extreme World of Death Diving</t>
  </si>
  <si>
    <t>2025-07-24T16:45:00Z</t>
  </si>
  <si>
    <t>ScZUD1B9sUY</t>
  </si>
  <si>
    <t>Life on Tantra Island is wild</t>
  </si>
  <si>
    <t>2025-07-23T21:00:35Z</t>
  </si>
  <si>
    <t>YgyUkHOyIZw</t>
  </si>
  <si>
    <t>Training to be a 'True Tantric Man'</t>
  </si>
  <si>
    <t>2025-07-22T23:00:39Z</t>
  </si>
  <si>
    <t>03WpKThLBuc</t>
  </si>
  <si>
    <t>Tan Mom' reflects on the moment that changed her life forever</t>
  </si>
  <si>
    <t>2025-07-21T23:30:00Z</t>
  </si>
  <si>
    <t>nUEjd4-_rkM</t>
  </si>
  <si>
    <t>Where British Music Begins: Inside the Community That Shaped Ezra Collective’s Femi Koleoso</t>
  </si>
  <si>
    <t>2025-07-21T15:05:46Z</t>
  </si>
  <si>
    <t>MgJPI0x67M4</t>
  </si>
  <si>
    <t>The people you meet at NYC's weirdest party</t>
  </si>
  <si>
    <t>2025-07-20T19:00:30Z</t>
  </si>
  <si>
    <t>-v84jYmbQQw</t>
  </si>
  <si>
    <t>Cleaning up after a serial killer</t>
  </si>
  <si>
    <t>2025-07-19T15:00:02Z</t>
  </si>
  <si>
    <t>ylyFvk1fu4E</t>
  </si>
  <si>
    <t>The Power She Wears | I’ll Rise</t>
  </si>
  <si>
    <t>2025-07-18T11:46:45Z</t>
  </si>
  <si>
    <t>gyF0A5hmcSg</t>
  </si>
  <si>
    <t>Frames of Morocco | I'll Rise</t>
  </si>
  <si>
    <t>2025-07-18T11:46:38Z</t>
  </si>
  <si>
    <t>bi9CCkxlIlI</t>
  </si>
  <si>
    <t>Beats of Benin | I'll Rise</t>
  </si>
  <si>
    <t>2025-07-18T11:46:32Z</t>
  </si>
  <si>
    <t>UBhrrLTGLZg</t>
  </si>
  <si>
    <t>Delusion, or real coordinated harassment?</t>
  </si>
  <si>
    <t>2025-07-16T00:00:28Z</t>
  </si>
  <si>
    <t>EqE76UeNAak</t>
  </si>
  <si>
    <t>My first siren battle</t>
  </si>
  <si>
    <t>2025-07-14T21:00:21Z</t>
  </si>
  <si>
    <t>NQ5NJyIH-hg</t>
  </si>
  <si>
    <t>If someone told you they were being gang stalked, would you believe them?</t>
  </si>
  <si>
    <t>2025-07-13T15:00:27Z</t>
  </si>
  <si>
    <t>KwKLSS8-oAY</t>
  </si>
  <si>
    <t>The Siren Kings give us a tour of their sirens</t>
  </si>
  <si>
    <t>2025-07-12T15:00:29Z</t>
  </si>
  <si>
    <t>DtPTdBzJNeo</t>
  </si>
  <si>
    <t>Playing SK8 for a free VICE magazine: @TajCam vs. New Yorkers</t>
  </si>
  <si>
    <t>2025-07-11T18:30:18Z</t>
  </si>
  <si>
    <t>oFDs4rFJOvk</t>
  </si>
  <si>
    <t>A siren battle in Auckland. Block your ears.</t>
  </si>
  <si>
    <t>2025-07-10T23:30:16Z</t>
  </si>
  <si>
    <t>AupflCYlFB0</t>
  </si>
  <si>
    <t>Can toad venom cure social anxiety?</t>
  </si>
  <si>
    <t>2025-07-08T23:00:20Z</t>
  </si>
  <si>
    <t>P3r-4FpPM-E</t>
  </si>
  <si>
    <t>Juaan runs us through his setup</t>
  </si>
  <si>
    <t>2025-07-08T15:00:42Z</t>
  </si>
  <si>
    <t>o9D3-fX03T4</t>
  </si>
  <si>
    <t>The World's Loudest Subculture: Siren Kings</t>
  </si>
  <si>
    <t>2025-07-07T15:01:33Z</t>
  </si>
  <si>
    <t>08fYWWQ40TA</t>
  </si>
  <si>
    <t>I Was There: The California Model</t>
  </si>
  <si>
    <t>2025-07-06T14:00:03Z</t>
  </si>
  <si>
    <t>cTe-wp03owE</t>
  </si>
  <si>
    <t>The visionary behind iconic projects like This is Skateboarding, Kids in Emerica, and Stay Gold</t>
  </si>
  <si>
    <t>2025-07-05T15:01:06Z</t>
  </si>
  <si>
    <t>n2z1yPY_Kvc</t>
  </si>
  <si>
    <t>Inside the corrupt California prison system</t>
  </si>
  <si>
    <t>2025-07-04T15:01:29Z</t>
  </si>
  <si>
    <t>Qv--Rab8-mo</t>
  </si>
  <si>
    <t>I Exposed Violence and Corruption Inside the California Prison System | I Was There</t>
  </si>
  <si>
    <t>2025-07-03T15:00:48Z</t>
  </si>
  <si>
    <t>_fDC31JT5vk</t>
  </si>
  <si>
    <t>If you were a skateboarder in the early 2000s, chances are you grew up on Jon Miner’s work</t>
  </si>
  <si>
    <t>2025-07-01T20:00:33Z</t>
  </si>
  <si>
    <t>KyS079s6tS0</t>
  </si>
  <si>
    <t>In Between Magic and Reality: Jon Miner | Let It Kill You</t>
  </si>
  <si>
    <t>2025-06-30T15:00:39Z</t>
  </si>
  <si>
    <t>1VJuftFBVGY</t>
  </si>
  <si>
    <t>Trying the most powerful hallucinogen in the world for the first time</t>
  </si>
  <si>
    <t>2025-06-29T15:00:02Z</t>
  </si>
  <si>
    <t>aicF6hxPgSA</t>
  </si>
  <si>
    <t>What's it like to assist one of the most popular female streamers?</t>
  </si>
  <si>
    <t>2025-06-28T15:00:03Z</t>
  </si>
  <si>
    <t>u4XCDUzVWcM</t>
  </si>
  <si>
    <t>Escaping the FLDS cult</t>
  </si>
  <si>
    <t>2025-06-27T19:00:52Z</t>
  </si>
  <si>
    <t>VJa31MulhXY</t>
  </si>
  <si>
    <t>The 'Tan Mom' origin story</t>
  </si>
  <si>
    <t>2025-06-25T15:00:48Z</t>
  </si>
  <si>
    <t>VtlbybG5wAE</t>
  </si>
  <si>
    <t>Nobody knew 'Never Gonna Give You Up' was going to be a hit. Besides Rick Astley.</t>
  </si>
  <si>
    <t>2025-06-24T21:00:33Z</t>
  </si>
  <si>
    <t>ibXBCc8bXa0</t>
  </si>
  <si>
    <t>A day in the life of Amouranth, one of the most-watched women online</t>
  </si>
  <si>
    <t>2025-06-22T15:01:10Z</t>
  </si>
  <si>
    <t>upa3VoxBwHw</t>
  </si>
  <si>
    <t>This honey makes people hallucinate</t>
  </si>
  <si>
    <t>2025-06-21T15:01:30Z</t>
  </si>
  <si>
    <t>EYzN7Pq0r0g</t>
  </si>
  <si>
    <t>Inside the Pagans and Sutar Soldiers rivalry</t>
  </si>
  <si>
    <t>2025-06-20T15:00:32Z</t>
  </si>
  <si>
    <t>H8klYybQpXE</t>
  </si>
  <si>
    <t>The most powerful hallucinogen in the world</t>
  </si>
  <si>
    <t>2025-06-19T16:00:34Z</t>
  </si>
  <si>
    <t>zqvnTYMSSKI</t>
  </si>
  <si>
    <t>"He suggested natural insemination..."</t>
  </si>
  <si>
    <t>2025-06-18T23:00:59Z</t>
  </si>
  <si>
    <t>HQgqZU02N3g</t>
  </si>
  <si>
    <t>The truth about ransomware</t>
  </si>
  <si>
    <t>2025-06-17T23:00:18Z</t>
  </si>
  <si>
    <t>Z5X2ON1aMYU</t>
  </si>
  <si>
    <t>C-O-M-E to the Mermaid Parade and you'll run into some of NYC's most creative characters</t>
  </si>
  <si>
    <t>2025-06-16T21:00:38Z</t>
  </si>
  <si>
    <t>K3ZhfajYeck</t>
  </si>
  <si>
    <t>Cleaning old gravestones, and sharing stories about the people who lie underneath them</t>
  </si>
  <si>
    <t>2025-06-15T15:00:35Z</t>
  </si>
  <si>
    <t>548eDd1MB0M</t>
  </si>
  <si>
    <t>The real story behind Rick Astley's 'Never Gonna Give You Up' video</t>
  </si>
  <si>
    <t>2025-06-14T14:00:05Z</t>
  </si>
  <si>
    <t>J3Qw3PRWzvw</t>
  </si>
  <si>
    <t>I married a deathmatch wrestler</t>
  </si>
  <si>
    <t>2025-06-13T21:00:16Z</t>
  </si>
  <si>
    <t>GqpsyKfzBDM</t>
  </si>
  <si>
    <t>True New York style to some, the beginning of summer to others – this is Mermaid Parade</t>
  </si>
  <si>
    <t>2025-06-12T22:00:27Z</t>
  </si>
  <si>
    <t>90sH17nyY1o</t>
  </si>
  <si>
    <t>What Happens at NYC's Weirdest Party? | Gatherings</t>
  </si>
  <si>
    <t>2025-06-12T15:00:13Z</t>
  </si>
  <si>
    <t>xGCt1urWLms</t>
  </si>
  <si>
    <t>A drive-by sparks a deadly retaliation between the Hells Angels and Pagans</t>
  </si>
  <si>
    <t>2025-06-11T18:01:01Z</t>
  </si>
  <si>
    <t>vyUCXhwpags</t>
  </si>
  <si>
    <t>Asking rappers why they sip lean</t>
  </si>
  <si>
    <t>2025-06-09T23:00:59Z</t>
  </si>
  <si>
    <t>LEu2dmUgI14</t>
  </si>
  <si>
    <t>The DIY sperm donor</t>
  </si>
  <si>
    <t>2025-06-08T13:00:35Z</t>
  </si>
  <si>
    <t>efc9J_oITsk</t>
  </si>
  <si>
    <t>"I'm clown sexual..."</t>
  </si>
  <si>
    <t>2025-06-07T23:00:37Z</t>
  </si>
  <si>
    <t>qOc97yk-rXs</t>
  </si>
  <si>
    <t>Only in Florida...</t>
  </si>
  <si>
    <t>2025-06-04T19:30:19Z</t>
  </si>
  <si>
    <t>VWM_h7SLQnE</t>
  </si>
  <si>
    <t>Smoking weed in the name of God</t>
  </si>
  <si>
    <t>2025-06-04T00:30:33Z</t>
  </si>
  <si>
    <t>fvD-1eAcalQ</t>
  </si>
  <si>
    <t>I found my sperm donor on Facebook</t>
  </si>
  <si>
    <t>2025-06-02T22:00:46Z</t>
  </si>
  <si>
    <t>DvOaW6AUNSY</t>
  </si>
  <si>
    <t>"My dad has 14 wives..."</t>
  </si>
  <si>
    <t>2025-06-01T16:00:25Z</t>
  </si>
  <si>
    <t>QgpnX1jp86o</t>
  </si>
  <si>
    <t>VICE Magazine Returns to New York City</t>
  </si>
  <si>
    <t>2025-05-30T20:00:28Z</t>
  </si>
  <si>
    <t>civwS2pOCPM</t>
  </si>
  <si>
    <t>Why are young men taking ED medication?</t>
  </si>
  <si>
    <t>2025-05-30T18:00:39Z</t>
  </si>
  <si>
    <t>GVbuaPSOmUk</t>
  </si>
  <si>
    <t>The zombie drug: flakka</t>
  </si>
  <si>
    <t>2025-05-30T00:00:18Z</t>
  </si>
  <si>
    <t>mLwBgC7NgVM</t>
  </si>
  <si>
    <t>The first time Rick Astley got RickRolled</t>
  </si>
  <si>
    <t>2025-05-28T20:30:15Z</t>
  </si>
  <si>
    <t>N1RdQJiuBQ0</t>
  </si>
  <si>
    <t>Welcome to Clown Cult 🤡</t>
  </si>
  <si>
    <t>2025-05-27T23:00:20Z</t>
  </si>
  <si>
    <t>1uY25BvkHCU</t>
  </si>
  <si>
    <t>The dark reality of working at a corrupt rehab facility</t>
  </si>
  <si>
    <t>2025-05-26T13:00:03Z</t>
  </si>
  <si>
    <t>rpJ_1zKmtWs</t>
  </si>
  <si>
    <t>Wise words from Maji at the craziest hippie festival in the jungle</t>
  </si>
  <si>
    <t>2025-05-25T14:01:14Z</t>
  </si>
  <si>
    <t>dPGyfFT-wH8</t>
  </si>
  <si>
    <t>The challenges when trying to make a documentary about K...</t>
  </si>
  <si>
    <t>2025-05-24T17:00:46Z</t>
  </si>
  <si>
    <t>2jfcemzS628</t>
  </si>
  <si>
    <t>Can you be a functioning drug user?</t>
  </si>
  <si>
    <t>2025-05-24T01:00:06Z</t>
  </si>
  <si>
    <t>o6RXAKpG9wE</t>
  </si>
  <si>
    <t>The traffic warden who moonlights as a bare knuckle fighter</t>
  </si>
  <si>
    <t>2025-05-22T22:01:02Z</t>
  </si>
  <si>
    <t>35f3aedksuM</t>
  </si>
  <si>
    <t>My only drug is donuts</t>
  </si>
  <si>
    <t>2025-05-21T14:00:06Z</t>
  </si>
  <si>
    <t>iS-XGSLyNpY</t>
  </si>
  <si>
    <t>Adult films... with clowns?</t>
  </si>
  <si>
    <t>2025-05-21T00:00:46Z</t>
  </si>
  <si>
    <t>VcBlsK8NIpw</t>
  </si>
  <si>
    <t>Carpet shopping with the Human Carpet</t>
  </si>
  <si>
    <t>2025-05-19T22:30:12Z</t>
  </si>
  <si>
    <t>1IPwb-YegTw</t>
  </si>
  <si>
    <t>LARPing saved my life</t>
  </si>
  <si>
    <t>2025-05-18T13:00:04Z</t>
  </si>
  <si>
    <t>7BoUO5R_pMQ</t>
  </si>
  <si>
    <t>Asking an astrophysicist about astrology</t>
  </si>
  <si>
    <t>2025-05-17T22:00:07Z</t>
  </si>
  <si>
    <t>l959QpID-8I</t>
  </si>
  <si>
    <t>Killer clowns out, sexy clowns in?</t>
  </si>
  <si>
    <t>2025-05-16T20:00:29Z</t>
  </si>
  <si>
    <t>F-3jo6VvtpE</t>
  </si>
  <si>
    <t>I Joined a Sexy Clown Cult | Gatherings</t>
  </si>
  <si>
    <t>2025-05-15T15:00:32Z</t>
  </si>
  <si>
    <t>NyUDUHOtkXg</t>
  </si>
  <si>
    <t>Why 'Organic' and 'Free Range' farms are still a problem</t>
  </si>
  <si>
    <t>2025-05-14T23:00:32Z</t>
  </si>
  <si>
    <t>x3gUSaW729M</t>
  </si>
  <si>
    <t>The Seattle DJ who discovered Beck</t>
  </si>
  <si>
    <t>2025-05-12T15:01:35Z</t>
  </si>
  <si>
    <t>mAoz5jfFN8s</t>
  </si>
  <si>
    <t>How America's misguided War on Drugs is still impacting Nepal</t>
  </si>
  <si>
    <t>2025-05-11T16:01:07Z</t>
  </si>
  <si>
    <t>sVr-PcrjhgQ</t>
  </si>
  <si>
    <t>Weeds IRL: The Real Nancy Botwin</t>
  </si>
  <si>
    <t>2025-05-11T00:00:53Z</t>
  </si>
  <si>
    <t>H-RidLTZAgI</t>
  </si>
  <si>
    <t>Rick Astley, on dealing with 'Never Gonna Give You Up' burnout</t>
  </si>
  <si>
    <t>2025-05-09T15:30:08Z</t>
  </si>
  <si>
    <t>WxSd_XtrG74</t>
  </si>
  <si>
    <t>The World’s First Cocaine Bar: Route 36</t>
  </si>
  <si>
    <t>2025-05-09T15:00:54Z</t>
  </si>
  <si>
    <t>lJB1fTj0wTQ</t>
  </si>
  <si>
    <t>"Narcissists are absolutely the stuff horror movies are made of..."</t>
  </si>
  <si>
    <t>2025-05-08T17:00:52Z</t>
  </si>
  <si>
    <t>ExFkJeD-cxQ</t>
  </si>
  <si>
    <t>The dark side of the swinger lifestyle</t>
  </si>
  <si>
    <t>2025-05-07T23:00:11Z</t>
  </si>
  <si>
    <t>s3Lwp1O-9u4</t>
  </si>
  <si>
    <t>"We were misled, told that weed is a gateway to harder drugs..."</t>
  </si>
  <si>
    <t>2025-05-06T23:01:03Z</t>
  </si>
  <si>
    <t>SdMzrpFyxt8</t>
  </si>
  <si>
    <t>The real 'Fight Club'</t>
  </si>
  <si>
    <t>2025-05-06T15:00:49Z</t>
  </si>
  <si>
    <t>-BePGG1RUHM</t>
  </si>
  <si>
    <t>Meet Stormin' Norman the Doorman, former British bare knuckle champion</t>
  </si>
  <si>
    <t>2025-05-05T23:00:02Z</t>
  </si>
  <si>
    <t>WyMv4MrzSLw</t>
  </si>
  <si>
    <t>The magic behind #StarWars, according to legendary animator Phil Tippett</t>
  </si>
  <si>
    <t>2025-05-04T14:00:44Z</t>
  </si>
  <si>
    <t>Ve_XOqxKeIA</t>
  </si>
  <si>
    <t>Bartenders reveal their pet peeves</t>
  </si>
  <si>
    <t>2025-05-03T17:00:36Z</t>
  </si>
  <si>
    <t>8StSeEzta6Q</t>
  </si>
  <si>
    <t>Inside a mushroom group therapy session</t>
  </si>
  <si>
    <t>2025-05-02T22:00:22Z</t>
  </si>
  <si>
    <t>FkYwY_UhJtc</t>
  </si>
  <si>
    <t>The radio DJ who leaked Nirvana's In Utero</t>
  </si>
  <si>
    <t>2025-05-01T23:00:29Z</t>
  </si>
  <si>
    <t>N4K42kCaD5U</t>
  </si>
  <si>
    <t>Meeting Lovecraft at a legal Las Vegas brothel</t>
  </si>
  <si>
    <t>2025-04-30T22:00:20Z</t>
  </si>
  <si>
    <t>WNIrQb7kO3Y</t>
  </si>
  <si>
    <t>Can a narcissist have friends?</t>
  </si>
  <si>
    <t>2025-04-29T17:00:47Z</t>
  </si>
  <si>
    <t>1dhuYEqVseM</t>
  </si>
  <si>
    <t>The Country Where Weed Is Legal One Day A Year | The War on Drugs</t>
  </si>
  <si>
    <t>2025-04-29T16:00:02Z</t>
  </si>
  <si>
    <t>9g2ynxV4shM</t>
  </si>
  <si>
    <t>How much did the highest paid dancer in the '90s make?</t>
  </si>
  <si>
    <t>2025-04-28T23:00:09Z</t>
  </si>
  <si>
    <t>iD5QNxaEne0</t>
  </si>
  <si>
    <t>Inside the thriving drug economy in the UK prison system</t>
  </si>
  <si>
    <t>2025-04-27T17:30:09Z</t>
  </si>
  <si>
    <t>hOSoB5lLZWo</t>
  </si>
  <si>
    <t>Meet Missouri's half naked hacky sack champion</t>
  </si>
  <si>
    <t>2025-04-26T16:30:21Z</t>
  </si>
  <si>
    <t>XnmCn7fhzAM</t>
  </si>
  <si>
    <t>Going Full Christian: "It was one of the most beautiful days of my life..."</t>
  </si>
  <si>
    <t>2025-04-25T23:30:12Z</t>
  </si>
  <si>
    <t>GTDc7owgnqc</t>
  </si>
  <si>
    <t>Combat training with a doomsday prepper</t>
  </si>
  <si>
    <t>2025-04-24T20:00:19Z</t>
  </si>
  <si>
    <t>HhBBqVDWEZc</t>
  </si>
  <si>
    <t>Only in Ibiza, eh?</t>
  </si>
  <si>
    <t>2025-04-24T00:00:30Z</t>
  </si>
  <si>
    <t>MzQpnR_Ujs0</t>
  </si>
  <si>
    <t>Florida man fired for farting</t>
  </si>
  <si>
    <t>2025-04-22T23:30:07Z</t>
  </si>
  <si>
    <t>tH9A3mKRe6k</t>
  </si>
  <si>
    <t>Massage therapist by day, human carpet by night</t>
  </si>
  <si>
    <t>2025-04-22T00:00:51Z</t>
  </si>
  <si>
    <t>Alg3FkIhuiE</t>
  </si>
  <si>
    <t>20+ years after 'Because I Got High', Afroman is still living his best life</t>
  </si>
  <si>
    <t>2025-04-20T08:00:15Z</t>
  </si>
  <si>
    <t>GCgCKLfYn6U</t>
  </si>
  <si>
    <t>Drone pilot reveals how easy it is to smuggle contraband into prison</t>
  </si>
  <si>
    <t>2025-04-19T20:00:14Z</t>
  </si>
  <si>
    <t>diXKMDMruFI</t>
  </si>
  <si>
    <t>How much should you tip for drinks? We asked bartenders</t>
  </si>
  <si>
    <t>2025-04-16T23:30:12Z</t>
  </si>
  <si>
    <t>oYg0ZW0X1lE</t>
  </si>
  <si>
    <t>How much does a narco pilot make?</t>
  </si>
  <si>
    <t>2025-04-15T19:30:10Z</t>
  </si>
  <si>
    <t>31M7FzE9Cfc</t>
  </si>
  <si>
    <t>Meet Larry the Bird Man. He has quite the story to tell.</t>
  </si>
  <si>
    <t>2025-04-15T00:00:02Z</t>
  </si>
  <si>
    <t>nhz2nRVhlq0</t>
  </si>
  <si>
    <t>What Happens When 16,400 Inmates Are Released Early? (VICE Documentary)</t>
  </si>
  <si>
    <t>2025-04-14T15:01:16Z</t>
  </si>
  <si>
    <t>hVa3MXdyuuY</t>
  </si>
  <si>
    <t>Our informer reveals the dirty tactics of the American insurance industry</t>
  </si>
  <si>
    <t>2025-04-13T15:01:03Z</t>
  </si>
  <si>
    <t>ktSS0Jn3qww</t>
  </si>
  <si>
    <t>Max the Forger claims he was addicted to forging famous pieces of art</t>
  </si>
  <si>
    <t>2025-04-12T14:01:03Z</t>
  </si>
  <si>
    <t>Y4xykISK9Ug</t>
  </si>
  <si>
    <t>The Passport Bros explain why American men are moving to Columbia</t>
  </si>
  <si>
    <t>2025-04-12T01:00:37Z</t>
  </si>
  <si>
    <t>q3TRZEzU9Ok</t>
  </si>
  <si>
    <t>The disturbing reality of being a content moderation contractor for Meta</t>
  </si>
  <si>
    <t>2025-04-10T21:30:07Z</t>
  </si>
  <si>
    <t>zcI-o4D0Et0</t>
  </si>
  <si>
    <t>"I crawled into this cupboard with Brian the cat, and we went to the center of the Earth..."</t>
  </si>
  <si>
    <t>2025-04-10T00:00:56Z</t>
  </si>
  <si>
    <t>2VyN8bmnHJI</t>
  </si>
  <si>
    <t>Death Doula explains the feeling of watching so many people die</t>
  </si>
  <si>
    <t>2025-04-08T18:00:02Z</t>
  </si>
  <si>
    <t>frCOwf9UL1g</t>
  </si>
  <si>
    <t>Mexico’s Notorious Narco Pilots (VICE Documentary)</t>
  </si>
  <si>
    <t>2025-03-31T15:00:55Z</t>
  </si>
  <si>
    <t>FaY-8mB6R0U</t>
  </si>
  <si>
    <t>Chewing Coca Leaves In Bolivia</t>
  </si>
  <si>
    <t>2025-03-27T16:00:22Z</t>
  </si>
  <si>
    <t>2VTjAguC-Fg</t>
  </si>
  <si>
    <t>Missing Millions: The Mysterious Death of Canada’s Crypto King (Films on VICE)</t>
  </si>
  <si>
    <t>2025-03-24T16:00:03Z</t>
  </si>
  <si>
    <t>pl6wUD-bVVw</t>
  </si>
  <si>
    <t>I Sell Coke For $1.50 in Bolivia #shorts</t>
  </si>
  <si>
    <t>2025-03-21T16:01:05Z</t>
  </si>
  <si>
    <t>js_XhsdHUQ8</t>
  </si>
  <si>
    <t>I Sell Coke For $1.50 in Bolivia</t>
  </si>
  <si>
    <t>2025-03-20T16:00:58Z</t>
  </si>
  <si>
    <t>HcjBuQw7t3g</t>
  </si>
  <si>
    <t>Fight Fest: The Final Showdown | Spartan Bare Knuckle (Part 3)</t>
  </si>
  <si>
    <t>2025-03-17T16:07:03Z</t>
  </si>
  <si>
    <t>4JFSAm4io-o</t>
  </si>
  <si>
    <t>The Brutal Therapy of Spartan Bare Knuckle (Part 2) | New VICE Documentary</t>
  </si>
  <si>
    <t>2025-03-10T16:00:05Z</t>
  </si>
  <si>
    <t>SSZTl62W-RE</t>
  </si>
  <si>
    <t>Underground Skate Legend Bobby Puleo | Epicly Later’d</t>
  </si>
  <si>
    <t>2025-03-06T17:00:36Z</t>
  </si>
  <si>
    <t>5geJcMNEQ74</t>
  </si>
  <si>
    <t>The Bloody, Brutal Therapy of Spartan Bare Knuckle (Part 1) | New VICE Documentary</t>
  </si>
  <si>
    <t>2025-03-04T16:00:05Z</t>
  </si>
  <si>
    <t>4BUTzQHzL5s</t>
  </si>
  <si>
    <t>Gangs of Chicago | Jamali Maddix: Follow the Leader (full episode)</t>
  </si>
  <si>
    <t>2025-02-27T16:00:06Z</t>
  </si>
  <si>
    <t>VTDX6cLbo1s</t>
  </si>
  <si>
    <t>King Bullet Head and the Gun Church | Jamali Maddix: Follow the Leader (full episode)</t>
  </si>
  <si>
    <t>2025-02-20T16:00:35Z</t>
  </si>
  <si>
    <t>C5i2G3HFe4I</t>
  </si>
  <si>
    <t>Inside America’s Oldest Party Thriving in the Deep South | Cajun Mardi Gras | VICE Documentary</t>
  </si>
  <si>
    <t>2025-02-18T16:00:10Z</t>
  </si>
  <si>
    <t>S9UnGk_jshA</t>
  </si>
  <si>
    <t>Passport Bros | Jamali Maddix: Follow the Leader (full episode)</t>
  </si>
  <si>
    <t>2025-02-13T16:01:16Z</t>
  </si>
  <si>
    <t>EZLr6w7C-xY</t>
  </si>
  <si>
    <t>The Dark Reality of Moderating for Meta | Informer</t>
  </si>
  <si>
    <t>2025-02-10T16:00:21Z</t>
  </si>
  <si>
    <t>QDpUi-6It74</t>
  </si>
  <si>
    <t>Child Predator Hunters | Jamali Maddix: Follow the Leader (full episode)</t>
  </si>
  <si>
    <t>2025-02-06T16:00:06Z</t>
  </si>
  <si>
    <t>-d3VXcFVa0w</t>
  </si>
  <si>
    <t>Skater, Artist, Icon: The Rise of Nora Vasconcellos | Let it Kill You</t>
  </si>
  <si>
    <t>2025-02-03T18:00:01Z</t>
  </si>
  <si>
    <t>1nn_DTfEUP0</t>
  </si>
  <si>
    <t>Inside the Hustle of Being a NY Stand-Up</t>
  </si>
  <si>
    <t>2025-01-19T18:00:01Z</t>
  </si>
  <si>
    <t>YrmakZiZTOE</t>
  </si>
  <si>
    <t>Ben Kadow: An American Original | Epicly Later’d</t>
  </si>
  <si>
    <t>2025-01-01T17:00:34Z</t>
  </si>
  <si>
    <t>WUAD_KYHEcI</t>
  </si>
  <si>
    <t>All the Loopholes Billionaires Use To Live Above the Law | Offshore</t>
  </si>
  <si>
    <t>2024-12-26T16:00:24Z</t>
  </si>
  <si>
    <t>hJbzkwGkZ3E</t>
  </si>
  <si>
    <t>What US Insurance Companies Aren’t Telling You | Informer</t>
  </si>
  <si>
    <t>2024-12-22T16:00:27Z</t>
  </si>
  <si>
    <t>nc2ctthOq2o</t>
  </si>
  <si>
    <t>“I don’t regret the crime I was involved in” Confessions of an Undercover Police Officer #shorts</t>
  </si>
  <si>
    <t>2024-12-20T16:00:45Z</t>
  </si>
  <si>
    <t>qQHUro6u6Kc</t>
  </si>
  <si>
    <t>Israelism: How Young American Jews’ Views of Israel Are Shifting | Films on VICE</t>
  </si>
  <si>
    <t>2024-12-18T16:00:47Z</t>
  </si>
  <si>
    <t>If53opEUuNE</t>
  </si>
  <si>
    <t>Taji Gets a One Star Chemical Peel | One Star Reviews</t>
  </si>
  <si>
    <t>2024-12-10T17:00:25Z</t>
  </si>
  <si>
    <t>x7o3QYDMjmw</t>
  </si>
  <si>
    <t>@TajCam  Discovers a Dark Secret #shorts</t>
  </si>
  <si>
    <t>2024-12-09T16:01:00Z</t>
  </si>
  <si>
    <t>NT1n8gYR0Kc</t>
  </si>
  <si>
    <t>The Secrets of an Undercover Cop | Informer</t>
  </si>
  <si>
    <t>2024-12-07T16:00:16Z</t>
  </si>
  <si>
    <t>ojt1S7rScZg</t>
  </si>
  <si>
    <t>Inside The Mind Of A School Shooter</t>
  </si>
  <si>
    <t>2026-08-25T16:00:13Z</t>
  </si>
  <si>
    <t>UCu4XcDBdnZkV6-5z2f16M0g</t>
  </si>
  <si>
    <t>Real Stories</t>
  </si>
  <si>
    <t>xYTHSzNmHuE</t>
  </si>
  <si>
    <t>Rosie O’Donnell Uncovers Her Family's Heartbreaking Past</t>
  </si>
  <si>
    <t>2026-08-23T18:30:01Z</t>
  </si>
  <si>
    <t>z3NREMqx6GY</t>
  </si>
  <si>
    <t>Why Did Two Dancers Perform in the World's Coldest Place?</t>
  </si>
  <si>
    <t>2026-08-22T17:00:26Z</t>
  </si>
  <si>
    <t>6Dc5eWDyauA</t>
  </si>
  <si>
    <t>Soul Survivor: Overcoming Homelessness and Addiction on America's Toughest Street</t>
  </si>
  <si>
    <t>2026-08-19T16:00:01Z</t>
  </si>
  <si>
    <t>8VZMV2p7NHc</t>
  </si>
  <si>
    <t>How Freeports Help The Super Rich Evade Tax and Hide Their Wealth Explained</t>
  </si>
  <si>
    <t>2026-08-18T18:00:04Z</t>
  </si>
  <si>
    <t>yxYV1hS4BqQ</t>
  </si>
  <si>
    <t>Country Star Tim McGraw’s Hidden Ties To George Washington | Who Do You Think You Are?</t>
  </si>
  <si>
    <t>2026-08-16T16:00:39Z</t>
  </si>
  <si>
    <t>9XC079gniX8</t>
  </si>
  <si>
    <t>Exposing Cartels: Inside Colombia’s Most Dangerous City for Journalists</t>
  </si>
  <si>
    <t>2026-08-15T18:00:05Z</t>
  </si>
  <si>
    <t>bMZr5l2Yw_Y</t>
  </si>
  <si>
    <t>Inside The Search For Charles Manson's Missing Victims</t>
  </si>
  <si>
    <t>2026-08-13T18:00:27Z</t>
  </si>
  <si>
    <t>Uy7RLMIGXp0</t>
  </si>
  <si>
    <t>Hercules: The Circus Bear That Became A Movie Star</t>
  </si>
  <si>
    <t>2026-08-12T18:00:11Z</t>
  </si>
  <si>
    <t>M8fOyB6DGaY</t>
  </si>
  <si>
    <t>A Palestinian Mother’s Impossible Battle To Win Back Her Children In Israel</t>
  </si>
  <si>
    <t>2026-08-11T16:00:10Z</t>
  </si>
  <si>
    <t>wcNjuW0k5KQ</t>
  </si>
  <si>
    <t>Kim Cattrall's Emotional Reunion With Her Secret Long Lost Family | Who Do You Think You Are?</t>
  </si>
  <si>
    <t>2026-08-09T16:30:17Z</t>
  </si>
  <si>
    <t>sZc48Yqt5EA</t>
  </si>
  <si>
    <t>How 14 Elite Soldiers Survived Against 200 Taliban Fighters</t>
  </si>
  <si>
    <t>2026-08-08T18:00:21Z</t>
  </si>
  <si>
    <t>MKCcYtYWBxY</t>
  </si>
  <si>
    <t>Louis Theroux Goes Under Knife and Explores Extreme Plastic Surgery</t>
  </si>
  <si>
    <t>2026-08-06T21:26:21Z</t>
  </si>
  <si>
    <t>_yXr5ECKlJY</t>
  </si>
  <si>
    <t>Bikini Atoll Nuked: How 23 American Atomic Bombs Poisoned Generations For Decades</t>
  </si>
  <si>
    <t>2026-08-05T16:00:31Z</t>
  </si>
  <si>
    <t>u8F33zBDax0</t>
  </si>
  <si>
    <t>Putin's Young Patriots: Inside The Russian Town Raised To Hate The West</t>
  </si>
  <si>
    <t>2026-08-04T16:00:02Z</t>
  </si>
  <si>
    <t>zo8Qx_9ORto</t>
  </si>
  <si>
    <t>Louis Theroux: The Battle Inside Adult Anorexia Wards</t>
  </si>
  <si>
    <t>2026-08-02T19:00:05Z</t>
  </si>
  <si>
    <t>syAVgUjFv7Y</t>
  </si>
  <si>
    <t>Inside Uganda: Reporting the Truth Can Get You Killed</t>
  </si>
  <si>
    <t>2026-08-01T16:00:38Z</t>
  </si>
  <si>
    <t>IPbTRkAXuTA</t>
  </si>
  <si>
    <t>Louis Theroux Investigates Campus Assaults In America's Colleges</t>
  </si>
  <si>
    <t>2026-07-30T19:00:21Z</t>
  </si>
  <si>
    <t>trHrxI7Fwxc</t>
  </si>
  <si>
    <t>Inside The Bombing of Pan Am 103</t>
  </si>
  <si>
    <t>2026-07-29T16:00:27Z</t>
  </si>
  <si>
    <t>wP80t7gukF4</t>
  </si>
  <si>
    <t>He Seduced Wealthy Women Then Blackmailed Them For Millions</t>
  </si>
  <si>
    <t>2026-07-28T17:00:26Z</t>
  </si>
  <si>
    <t>oNyubAc8hr4</t>
  </si>
  <si>
    <t>Louis Theroux Revisits America's Most Hated Family (Westboro Baptist Church)</t>
  </si>
  <si>
    <t>2026-07-26T19:00:30Z</t>
  </si>
  <si>
    <t>_B-f-jI7VZ4</t>
  </si>
  <si>
    <t>The Deadliest Secret to Keep in Taliban-Ruled Afghanistan</t>
  </si>
  <si>
    <t>2026-07-25T19:00:10Z</t>
  </si>
  <si>
    <t>eZgTc45HrVk</t>
  </si>
  <si>
    <t>Louis Theroux Returns To The West Bank After October 7th</t>
  </si>
  <si>
    <t>2026-07-23T19:00:10Z</t>
  </si>
  <si>
    <t>wlD4tjd5aCY</t>
  </si>
  <si>
    <t>Norway's Most Tragic Day: 15 Years After the Utøya Massacre</t>
  </si>
  <si>
    <t>2026-07-22T16:00:40Z</t>
  </si>
  <si>
    <t>1YRiOJ7PV9g</t>
  </si>
  <si>
    <t>Charles Manson Was My Grandfather - Family Curse</t>
  </si>
  <si>
    <t>2026-07-21T18:00:39Z</t>
  </si>
  <si>
    <t>6TnYXWwaAqg</t>
  </si>
  <si>
    <t>Louis Theroux Meets The Ultra Zionists Seizing Palestinian Land in the West Bank</t>
  </si>
  <si>
    <t>2026-07-19T19:00:28Z</t>
  </si>
  <si>
    <t>3QLOxxg8jjc</t>
  </si>
  <si>
    <t>Russell King: The Fake Billionaire Pulled Off The World's Biggest Ever Sports Scam</t>
  </si>
  <si>
    <t>2026-07-18T18:30:16Z</t>
  </si>
  <si>
    <t>XMMgxbLfDfY</t>
  </si>
  <si>
    <t>Louis Therous Meets America's Most Hated Family</t>
  </si>
  <si>
    <t>2026-07-16T18:30:18Z</t>
  </si>
  <si>
    <t>kfYbL3xEXuU</t>
  </si>
  <si>
    <t>Why Is This Europe's Most Divisive Mosque?</t>
  </si>
  <si>
    <t>2026-07-14T16:30:02Z</t>
  </si>
  <si>
    <t>6HLrSpp0_eY</t>
  </si>
  <si>
    <t>Louis Theroux Reflects On The Deepest Regret of His Entire Career</t>
  </si>
  <si>
    <t>2026-07-12T18:30:25Z</t>
  </si>
  <si>
    <t>V1NziI4Iyf4</t>
  </si>
  <si>
    <t>Scientists Are So Close to Curing Alzheimer's. Here's Why</t>
  </si>
  <si>
    <t>2026-07-11T16:00:14Z</t>
  </si>
  <si>
    <t>JqEBBuPFZQ8</t>
  </si>
  <si>
    <t>Louis Theroux Meets New Mothers Battling Severe Mental Illness After Pregnancy</t>
  </si>
  <si>
    <t>2026-07-09T18:30:05Z</t>
  </si>
  <si>
    <t>Uvv-BaRkPyY</t>
  </si>
  <si>
    <t>Tibetan Refugees: The Hardest Fight For Justice After 70 Years Of Exile</t>
  </si>
  <si>
    <t>2026-07-07T16:00:19Z</t>
  </si>
  <si>
    <t>kPl-b7coKLU</t>
  </si>
  <si>
    <t>Louis Theroux Goes Behind Closed Doors To Explore Legal Sex Work</t>
  </si>
  <si>
    <t>2026-07-05T16:00:19Z</t>
  </si>
  <si>
    <t>c1H8FIQdnd0</t>
  </si>
  <si>
    <t>The Real Marty Supreme: Life and Times of a Ping Pong Hustler</t>
  </si>
  <si>
    <t>2026-07-04T16:00:18Z</t>
  </si>
  <si>
    <t>lLflXHVWcqQ</t>
  </si>
  <si>
    <t>Louis Theroux Explores The Extremely High Cost Of End Of Life Care in America</t>
  </si>
  <si>
    <t>2026-07-02T18:00:15Z</t>
  </si>
  <si>
    <t>kfa4Vud7Ojk</t>
  </si>
  <si>
    <t>Eye Of The Beholder: The Story Of Looking With Mark Cousins</t>
  </si>
  <si>
    <t>2026-06-30T16:00:16Z</t>
  </si>
  <si>
    <t>P-1bQuWh3EM</t>
  </si>
  <si>
    <t>Louis Theroux Explores America's Strangest City Full Of Dangerous Dogs</t>
  </si>
  <si>
    <t>2026-06-28T18:00:30Z</t>
  </si>
  <si>
    <t>LRQwFwJtEjo</t>
  </si>
  <si>
    <t>How To Stop The Hidden Damage of Your Sleepless Nights</t>
  </si>
  <si>
    <t>2026-06-27T18:00:23Z</t>
  </si>
  <si>
    <t>zBZ3WGrm4AM</t>
  </si>
  <si>
    <t>Louis Theroux Goes Inside America's Most Lucrative Adoption Business</t>
  </si>
  <si>
    <t>2026-06-25T18:00:18Z</t>
  </si>
  <si>
    <t>Z-Hnx_X3QPY</t>
  </si>
  <si>
    <t>The Weightlifter His Country Wants You to Forget</t>
  </si>
  <si>
    <t>2026-06-23T16:00:22Z</t>
  </si>
  <si>
    <t>Z6zPEig8Sk0</t>
  </si>
  <si>
    <t>Louis Theroux Meets Terminally Ill Patients That Are Choosing Death</t>
  </si>
  <si>
    <t>2026-06-21T18:00:19Z</t>
  </si>
  <si>
    <t>qqtZe-DZWAc</t>
  </si>
  <si>
    <t>Surviving America's Most Extreme Prison for Children</t>
  </si>
  <si>
    <t>2026-06-20T16:00:35Z</t>
  </si>
  <si>
    <t>gbJi6b_tgdg</t>
  </si>
  <si>
    <t>Louis Theroux: Life Inside America's Best School For Autistic Kids</t>
  </si>
  <si>
    <t>2026-06-18T16:00:32Z</t>
  </si>
  <si>
    <t>tz-OS2pol5k</t>
  </si>
  <si>
    <t>Surviving Iraq and Afghanistan's Most Brutal Battlefields</t>
  </si>
  <si>
    <t>2026-06-16T16:00:12Z</t>
  </si>
  <si>
    <t>bAsVTqUHXpY</t>
  </si>
  <si>
    <t>Louis Theroux Explores Open Marriages and Polyamory In America</t>
  </si>
  <si>
    <t>2026-06-14T20:00:07Z</t>
  </si>
  <si>
    <t>TTrRo2mi0-0</t>
  </si>
  <si>
    <t>The Most Dangerous Soccer Match Ever Played</t>
  </si>
  <si>
    <t>2026-06-13T16:00:03Z</t>
  </si>
  <si>
    <t>JaozZlWw1-A</t>
  </si>
  <si>
    <t>Italia 90: The Most Intense World Cup in History</t>
  </si>
  <si>
    <t>2026-06-11T16:00:39Z</t>
  </si>
  <si>
    <t>zpSA3LxsD_I</t>
  </si>
  <si>
    <t>Disclosure Day: The Final Evidence From Roswell UFO Incident</t>
  </si>
  <si>
    <t>2026-06-10T16:00:02Z</t>
  </si>
  <si>
    <t>3BOT7QfOS1w</t>
  </si>
  <si>
    <t>Nadia Nadim: The Woman Who Escaped the Taliban And Became A Star</t>
  </si>
  <si>
    <t>2026-06-09T19:30:06Z</t>
  </si>
  <si>
    <t>4KtEgWcka5I</t>
  </si>
  <si>
    <t>Louis Theroux: Inside America's Largest Dementia Capital</t>
  </si>
  <si>
    <t>2026-06-07T20:00:12Z</t>
  </si>
  <si>
    <t>kL1QXIfAiIg</t>
  </si>
  <si>
    <t>Prison Moms: The World's Worst Place To Raise A Child?</t>
  </si>
  <si>
    <t>2026-06-06T16:00:26Z</t>
  </si>
  <si>
    <t>2BQnrszcC4A</t>
  </si>
  <si>
    <t>Louis Theroux: Meeting Joe Exotic &amp; America's Most Dangerous Pets</t>
  </si>
  <si>
    <t>2026-06-04T20:00:05Z</t>
  </si>
  <si>
    <t>8-NES4k3xlU</t>
  </si>
  <si>
    <t>Michael Jackson's Closest Friends Expose The Truth Behind The Controversy</t>
  </si>
  <si>
    <t>2026-06-02T16:00:02Z</t>
  </si>
  <si>
    <t>o4iEXCkuJHk</t>
  </si>
  <si>
    <t>Louis Theroux: Inside Miami's Brutal Mega Jail</t>
  </si>
  <si>
    <t>2026-05-31T18:00:33Z</t>
  </si>
  <si>
    <t>aDRW4-FxF6U</t>
  </si>
  <si>
    <t>Surviving Addiction: The Deadliest Drug in North America</t>
  </si>
  <si>
    <t>2026-05-29T16:00:23Z</t>
  </si>
  <si>
    <t>tnxLRfeVygw</t>
  </si>
  <si>
    <t>Beyond The Manosphere: The Most Dangerous Myth About Modern Masculinity</t>
  </si>
  <si>
    <t>2026-05-28T16:00:03Z</t>
  </si>
  <si>
    <t>Lf5leszPfPw</t>
  </si>
  <si>
    <t>Louis Theroux: The Most Extreme Effects Of Alcohol Addiction</t>
  </si>
  <si>
    <t>2026-05-26T18:00:33Z</t>
  </si>
  <si>
    <t>0ZFjgvMttFI</t>
  </si>
  <si>
    <t>Is This The Most Dangerous Country To Report The Truth?</t>
  </si>
  <si>
    <t>2026-05-24T16:00:17Z</t>
  </si>
  <si>
    <t>TH6BHfDqEfs</t>
  </si>
  <si>
    <t>The Man Who Thinks He's An Alien</t>
  </si>
  <si>
    <t>2026-05-22T16:00:26Z</t>
  </si>
  <si>
    <t>c_Acf7WcGX4</t>
  </si>
  <si>
    <t>The War on Drugs: Is This the World’s Most Dangerous Drug Trade?</t>
  </si>
  <si>
    <t>2026-05-20T16:00:04Z</t>
  </si>
  <si>
    <t>vrD1duEbtdw</t>
  </si>
  <si>
    <t>Cerebral Palsy: The Dangerous Surgery Fighting an "Incurable" Disease</t>
  </si>
  <si>
    <t>2026-05-19T16:00:29Z</t>
  </si>
  <si>
    <t>xRs_tlb2-GM</t>
  </si>
  <si>
    <t>The Lethal Drug Trial That Turned Men Into Elephants</t>
  </si>
  <si>
    <t>2026-05-17T16:00:30Z</t>
  </si>
  <si>
    <t>KUp2Ki6UucY</t>
  </si>
  <si>
    <t>Why I'm OK With Being A "Bad" Person</t>
  </si>
  <si>
    <t>2026-05-16T16:00:17Z</t>
  </si>
  <si>
    <t>HnO95Htvx-M</t>
  </si>
  <si>
    <t>Citizens of America’s Happiest State Are Angry and Preparing for War</t>
  </si>
  <si>
    <t>2026-05-15T16:00:01Z</t>
  </si>
  <si>
    <t>HxUGHnGCl1A</t>
  </si>
  <si>
    <t>Inside Maximum Security With America's Youngest Criminals</t>
  </si>
  <si>
    <t>2026-05-14T16:00:21Z</t>
  </si>
  <si>
    <t>9aKo80TZQoo</t>
  </si>
  <si>
    <t>This Man Executed 62 People Then Walked Away</t>
  </si>
  <si>
    <t>2026-05-12T18:45:31Z</t>
  </si>
  <si>
    <t>DChhblqgUZE</t>
  </si>
  <si>
    <t>Genius of Grifter? The Man Who Wants To Break The World</t>
  </si>
  <si>
    <t>2026-05-10T16:00:19Z</t>
  </si>
  <si>
    <t>SHlf2yTrD4c</t>
  </si>
  <si>
    <t>The Betty Hill Abduction Case: Scientists Examine Her Dress For Alien DNA</t>
  </si>
  <si>
    <t>2026-05-09T16:00:44Z</t>
  </si>
  <si>
    <t>KUp6B1fGOrs</t>
  </si>
  <si>
    <t>Little Joe | Episode 6 - Trophy | Real Stories</t>
  </si>
  <si>
    <t>2026-05-08T16:05:16Z</t>
  </si>
  <si>
    <t>lt4kAyHckeE</t>
  </si>
  <si>
    <t>Little Joe | Episode 5 - The Pecking Order | Real Stories</t>
  </si>
  <si>
    <t>2026-05-08T16:04:34Z</t>
  </si>
  <si>
    <t>qgJgOaHf4bQ</t>
  </si>
  <si>
    <t>Harvey Weinstein: Taking Down Hollywood's Most Hated Man</t>
  </si>
  <si>
    <t>2026-05-07T16:01:34Z</t>
  </si>
  <si>
    <t>qkdXuA1TsAQ</t>
  </si>
  <si>
    <t>Do The Inmates Of This Prison Deserve a Second Chance?</t>
  </si>
  <si>
    <t>2026-05-05T16:01:24Z</t>
  </si>
  <si>
    <t>wqi5ljmv5YU</t>
  </si>
  <si>
    <t>Blackface: The Most Controversial Show on Earth?</t>
  </si>
  <si>
    <t>2026-05-03T18:00:59Z</t>
  </si>
  <si>
    <t>GcSzV4dhs6Q</t>
  </si>
  <si>
    <t>Cryptocurrency: The Big Lie Trying To Steal Your Money?</t>
  </si>
  <si>
    <t>2026-05-02T16:00:33Z</t>
  </si>
  <si>
    <t>4_EWhOdUU04</t>
  </si>
  <si>
    <t>America's Most Dangerous Cult: Will QAnon Shape The Next US Election?</t>
  </si>
  <si>
    <t>2026-04-30T16:00:08Z</t>
  </si>
  <si>
    <t>NC6nHAhkoTo</t>
  </si>
  <si>
    <t>Inside the Complicated Rise of King Charles</t>
  </si>
  <si>
    <t>2026-04-29T16:30:17Z</t>
  </si>
  <si>
    <t>iWJX_uSdmDk</t>
  </si>
  <si>
    <t>Surviving Inside The World's Most Overcrowded Women's Prison</t>
  </si>
  <si>
    <t>2026-04-28T16:01:20Z</t>
  </si>
  <si>
    <t>5qiaQIl8za4</t>
  </si>
  <si>
    <t>The Truth Behind America's Most Disturbing Police Statistic</t>
  </si>
  <si>
    <t>2026-04-27T16:00:11Z</t>
  </si>
  <si>
    <t>0D4ZiL_LQaE</t>
  </si>
  <si>
    <t>Chernobyl's Forgotten Heroes Finally Break Their Silence</t>
  </si>
  <si>
    <t>2026-04-26T16:00:01Z</t>
  </si>
  <si>
    <t>llCNTTACXS0</t>
  </si>
  <si>
    <t>The Blue Sphere: The World's Strangest UFO Sighting</t>
  </si>
  <si>
    <t>2026-04-25T16:01:11Z</t>
  </si>
  <si>
    <t>nIvD5bEbMqo</t>
  </si>
  <si>
    <t>Investigating The Conspiracy Behind Michael Jackson's Shocking Death</t>
  </si>
  <si>
    <t>2026-04-24T16:01:19Z</t>
  </si>
  <si>
    <t>QbTRVmZAQFw</t>
  </si>
  <si>
    <t>Meet America's Most Controversial Teens</t>
  </si>
  <si>
    <t>2026-04-23T16:00:44Z</t>
  </si>
  <si>
    <t>yeX17nnNUPI</t>
  </si>
  <si>
    <t>New Evidence, New Answers? The Endless Search For Flight MH370</t>
  </si>
  <si>
    <t>2026-04-22T16:01:39Z</t>
  </si>
  <si>
    <t>L1kFuyoVgfM</t>
  </si>
  <si>
    <t>Survival Inside The World's Toughest Women's Prison</t>
  </si>
  <si>
    <t>2026-04-21T16:00:43Z</t>
  </si>
  <si>
    <t>BU0496uHA40</t>
  </si>
  <si>
    <t>The Trayvon Martin Hoax: The Fake Witness That Divided America</t>
  </si>
  <si>
    <t>2026-04-20T16:00:30Z</t>
  </si>
  <si>
    <t>aic8D3BSrYA</t>
  </si>
  <si>
    <t>The Racist With A Secret That Nearly Ended His Life</t>
  </si>
  <si>
    <t>2026-04-19T16:00:03Z</t>
  </si>
  <si>
    <t>rTWrkQ9FA30</t>
  </si>
  <si>
    <t>The Human Mannequin: Living With A Rare Genetic Disorder Turns Muscle Into Bone</t>
  </si>
  <si>
    <t>2026-04-18T16:01:18Z</t>
  </si>
  <si>
    <t>fDXwukxfa_g</t>
  </si>
  <si>
    <t>Surviving As A Guard In America's Toughest Jail | The Insider Reggie Yates</t>
  </si>
  <si>
    <t>2026-04-17T16:01:10Z</t>
  </si>
  <si>
    <t>e50ynHHkU9k</t>
  </si>
  <si>
    <t>Past Life? The Boy Who Thinks He's 100 Years Old</t>
  </si>
  <si>
    <t>2026-04-16T16:01:11Z</t>
  </si>
  <si>
    <t>vx60a5p4aDo</t>
  </si>
  <si>
    <t>The Most Mysterious Crime That Rocked A Peaceful American City</t>
  </si>
  <si>
    <t>2026-04-15T16:01:42Z</t>
  </si>
  <si>
    <t>jQZm54xANa0</t>
  </si>
  <si>
    <t>Bay Of Blood: How The US Backed A Mass Genocide</t>
  </si>
  <si>
    <t>2026-04-14T16:01:13Z</t>
  </si>
  <si>
    <t>wRsTpKJjYNY</t>
  </si>
  <si>
    <t>Karl Lagerfeld's Secrets: Fashion's Most Mysterious Genius</t>
  </si>
  <si>
    <t>2026-04-13T16:01:38Z</t>
  </si>
  <si>
    <t>uvyQ_uRDmIE</t>
  </si>
  <si>
    <t>Taxi Driver With Terminal Cancer Wants To Be Mummified</t>
  </si>
  <si>
    <t>2026-04-12T04:01:02Z</t>
  </si>
  <si>
    <t>a-k4lXMxzuQ</t>
  </si>
  <si>
    <t>Meet America’s Most Feared Tenants</t>
  </si>
  <si>
    <t>2026-04-11T16:00:00Z</t>
  </si>
  <si>
    <t>YLVpYECjiO4</t>
  </si>
  <si>
    <t>The Original False Prophet: Inside The Warren Jeffs Cult</t>
  </si>
  <si>
    <t>2026-04-10T16:01:00Z</t>
  </si>
  <si>
    <t>cmH3JPGL_7A</t>
  </si>
  <si>
    <t>Before Artemis 2: The Most Intense Experiment To Prepare For NASA's Mission To The Moon</t>
  </si>
  <si>
    <t>2026-04-07T16:00:55Z</t>
  </si>
  <si>
    <t>TUJoFwJa84E</t>
  </si>
  <si>
    <t>What Is The True Cause Of Schizophrenia?</t>
  </si>
  <si>
    <t>2026-04-06T16:00:00Z</t>
  </si>
  <si>
    <t>9K76qEmAdRM</t>
  </si>
  <si>
    <t>To Kill For: How Did Pamela Smart Convince Two Teenage Boys To Kill?</t>
  </si>
  <si>
    <t>2026-04-05T16:00:13Z</t>
  </si>
  <si>
    <t>dLyy1Mneo5Y</t>
  </si>
  <si>
    <t>An Uncensored Look At Atlanta's Endless Homeless Crisis</t>
  </si>
  <si>
    <t>2026-04-04T16:00:00Z</t>
  </si>
  <si>
    <t>lpSEPG0W4o8</t>
  </si>
  <si>
    <t>Choose Life: This Shocking Story Changed Culture Forever</t>
  </si>
  <si>
    <t>2026-04-03T16:00:00Z</t>
  </si>
  <si>
    <t>foDAHgoom98</t>
  </si>
  <si>
    <t>Surviving A Week Inside Iraq's Most Dangerous Refugee Camp | The Insider Reggie Yates</t>
  </si>
  <si>
    <t>2026-04-02T16:00:00Z</t>
  </si>
  <si>
    <t>aZwGgFmhlpM</t>
  </si>
  <si>
    <t>Is This The Most Radical Way To Delay Death?</t>
  </si>
  <si>
    <t>2026-04-01T16:00:00Z</t>
  </si>
  <si>
    <t>AcJx1yxeH6c</t>
  </si>
  <si>
    <t>Fighting Parkinson's: The Most Inspiring Show Ever Staged</t>
  </si>
  <si>
    <t>2026-03-31T16:00:00Z</t>
  </si>
  <si>
    <t>WaXXkxPvvOc</t>
  </si>
  <si>
    <t>50 Million Dead: Inside The Flu That Stopped The World</t>
  </si>
  <si>
    <t>2026-03-30T16:00:00Z</t>
  </si>
  <si>
    <t>xBEjp56tzu8</t>
  </si>
  <si>
    <t>Idomeni: Border Crossing or Permanent Trap?</t>
  </si>
  <si>
    <t>2026-03-29T16:00:00Z</t>
  </si>
  <si>
    <t>WNlY_nafLOk</t>
  </si>
  <si>
    <t>This Is How Your Old Electronics Are Killing People | Reggie Yates The Insider</t>
  </si>
  <si>
    <t>2026-03-28T17:00:00Z</t>
  </si>
  <si>
    <t>i3aKw299brk</t>
  </si>
  <si>
    <t>Inside The Most Brutal ISIS Kidnap Of 3000 Innocent Women</t>
  </si>
  <si>
    <t>2026-03-27T17:00:00Z</t>
  </si>
  <si>
    <t>ZeCz-57seAA</t>
  </si>
  <si>
    <t>Surviving A Jeffrey Dahmer Copycat Predator</t>
  </si>
  <si>
    <t>2026-03-26T17:00:00Z</t>
  </si>
  <si>
    <t>GHaMbfyzhDA</t>
  </si>
  <si>
    <t>The Columbia Space Disaster: The Last Flight Minute by Minute</t>
  </si>
  <si>
    <t>2026-03-25T17:00:00Z</t>
  </si>
  <si>
    <t>ns3996v_9AE</t>
  </si>
  <si>
    <t>Inside The Dark Secrets Of Kim Jong Un's Nuclear Weapons</t>
  </si>
  <si>
    <t>2026-03-24T17:01:13Z</t>
  </si>
  <si>
    <t>ja0i-b7d5Cw</t>
  </si>
  <si>
    <t>Wannabe Gangster Rich Kid Kills Poor Student</t>
  </si>
  <si>
    <t>2026-03-23T17:01:07Z</t>
  </si>
  <si>
    <t>knR0DPeCLA4</t>
  </si>
  <si>
    <t>Did These People Actually Meet Aliens?</t>
  </si>
  <si>
    <t>2026-03-22T17:01:03Z</t>
  </si>
  <si>
    <t>ARlVCUSknwY</t>
  </si>
  <si>
    <t>Why Is The US Army Recruiting 80,000 New Soldiers From High Schools?</t>
  </si>
  <si>
    <t>2026-03-21T17:00:12Z</t>
  </si>
  <si>
    <t>rrwIVbZb67E</t>
  </si>
  <si>
    <t>The Impossible Search For True Happiness</t>
  </si>
  <si>
    <t>2026-03-20T17:01:20Z</t>
  </si>
  <si>
    <t>3O45wRZB2HM</t>
  </si>
  <si>
    <t>The Most Secret Dark Origins Of Power In Washington DC</t>
  </si>
  <si>
    <t>2026-03-19T17:00:05Z</t>
  </si>
  <si>
    <t>P8EFtc0IP4w</t>
  </si>
  <si>
    <t>Innocent Man Sent To Death Row For Murder After Bad Forensic Evidence</t>
  </si>
  <si>
    <t>2026-03-18T17:00:44Z</t>
  </si>
  <si>
    <t>lhmGMgIKXt4</t>
  </si>
  <si>
    <t>Who Really Killed JFK? The Greatest Conspiracy Of All Time Exposed</t>
  </si>
  <si>
    <t>2026-03-17T17:01:16Z</t>
  </si>
  <si>
    <t>QFuwr67K_7M</t>
  </si>
  <si>
    <t>The Most Human Way to Stop a Global Disease?</t>
  </si>
  <si>
    <t>2026-03-16T17:15:02Z</t>
  </si>
  <si>
    <t>DGSG3FSX4IU</t>
  </si>
  <si>
    <t>The Hollywood Strike That Almost Cancelled The Oscars</t>
  </si>
  <si>
    <t>2026-03-15T17:00:15Z</t>
  </si>
  <si>
    <t>XabYN-Jvd4A</t>
  </si>
  <si>
    <t>The Most Violent Police Department In North America Exposed</t>
  </si>
  <si>
    <t>2026-03-14T17:00:45Z</t>
  </si>
  <si>
    <t>81Ir9xvpGDo</t>
  </si>
  <si>
    <t>The Most Dangerous Workers Strike in American History</t>
  </si>
  <si>
    <t>2026-03-13T17:00:19Z</t>
  </si>
  <si>
    <t>f4rCsxoRtZo</t>
  </si>
  <si>
    <t>Living with the World’s Most Painful Disease</t>
  </si>
  <si>
    <t>2026-03-12T17:01:03Z</t>
  </si>
  <si>
    <t>O5-27Ht4IHE</t>
  </si>
  <si>
    <t>The Fake Billionaire That Got Away With Murder</t>
  </si>
  <si>
    <t>2026-03-11T17:00:39Z</t>
  </si>
  <si>
    <t>fhxADxWAWPs</t>
  </si>
  <si>
    <t>The Hidden Truth Behind The Adult Industry (and their unique pets)</t>
  </si>
  <si>
    <t>2026-03-10T17:01:03Z</t>
  </si>
  <si>
    <t>nj-t62YHEwk</t>
  </si>
  <si>
    <t>River City: Inside Washington's Homeless Camps</t>
  </si>
  <si>
    <t>2026-03-09T17:01:10Z</t>
  </si>
  <si>
    <t>lxH0gcD2ePA</t>
  </si>
  <si>
    <t>Putin's Kursk Disaster: Why Russia's Unsinkable Submarine Sank?</t>
  </si>
  <si>
    <t>2026-03-08T19:00:46Z</t>
  </si>
  <si>
    <t>Kdg_yvHH-NU</t>
  </si>
  <si>
    <t>Yemen: The War The World Ignored</t>
  </si>
  <si>
    <t>2026-03-07T17:00:24Z</t>
  </si>
  <si>
    <t>Pj0lYu6jIiU</t>
  </si>
  <si>
    <t>How The World’s Biggest Crypto Was A Total Lie</t>
  </si>
  <si>
    <t>2026-03-06T17:00:46Z</t>
  </si>
  <si>
    <t>fEyWLpDVAHg</t>
  </si>
  <si>
    <t>The NYPD's Most Shocking Case Of Custody Abuse</t>
  </si>
  <si>
    <t>2026-03-05T17:01:09Z</t>
  </si>
  <si>
    <t>fympPU5iQWI</t>
  </si>
  <si>
    <t>Could This Asteroid End Life On Earth?</t>
  </si>
  <si>
    <t>2026-03-04T17:00:58Z</t>
  </si>
  <si>
    <t>j0C5iriky6A</t>
  </si>
  <si>
    <t>The Truth Behind The Fall Of Iran | Death Of The Shah</t>
  </si>
  <si>
    <t>2026-03-03T16:23:16Z</t>
  </si>
  <si>
    <t>VcdQWeM_NYs</t>
  </si>
  <si>
    <t>Israel and Iran: The Complete History Of An Eternal Conflict</t>
  </si>
  <si>
    <t>2026-03-02T14:07:10Z</t>
  </si>
  <si>
    <t>kpu_PS7wj2s</t>
  </si>
  <si>
    <t>America's Cold War Nuclear Cover Ups Declassified</t>
  </si>
  <si>
    <t>2026-03-01T17:00:59Z</t>
  </si>
  <si>
    <t>sowj_oz-H_0</t>
  </si>
  <si>
    <t>The World's Smallest Miniatures Ever Made by Human Hands</t>
  </si>
  <si>
    <t>2026-02-28T17:01:22Z</t>
  </si>
  <si>
    <t>YG3bfRnM8Mc</t>
  </si>
  <si>
    <t>Johnny Strange: The Youngest Person To Conquer Seven Summits</t>
  </si>
  <si>
    <t>2026-02-27T10:01:02Z</t>
  </si>
  <si>
    <t>879Ms_4dI-o</t>
  </si>
  <si>
    <t>Inside The School That Fights Taliban Brainwashing</t>
  </si>
  <si>
    <t>2026-02-26T17:00:24Z</t>
  </si>
  <si>
    <t>TsJMmCfkQxw</t>
  </si>
  <si>
    <t>FBI Agents Defuse Bomb During MLK Day Parade</t>
  </si>
  <si>
    <t>2026-02-25T17:00:48Z</t>
  </si>
  <si>
    <t>AnkXcFfoc3k</t>
  </si>
  <si>
    <t>Inside The World’s Most Secret Billionaire Dinner Parties</t>
  </si>
  <si>
    <t>2026-02-24T17:00:19Z</t>
  </si>
  <si>
    <t>QvJDveYpPMk</t>
  </si>
  <si>
    <t>The Whistleblowers Fighting to Expose Mexico’s Corrupt Cartels</t>
  </si>
  <si>
    <t>2026-02-23T17:00:41Z</t>
  </si>
  <si>
    <t>qOFeRT5UARo</t>
  </si>
  <si>
    <t>Max Mosley: F1’s Most Controversial Figure</t>
  </si>
  <si>
    <t>2026-02-22T17:01:12Z</t>
  </si>
  <si>
    <t>6UMNAM-Si1o</t>
  </si>
  <si>
    <t>Inside The Perfect Western Family That Became Jihadis</t>
  </si>
  <si>
    <t>2026-02-21T17:00:14Z</t>
  </si>
  <si>
    <t>T1iEpC3CPyA</t>
  </si>
  <si>
    <t>Jerusalem: The World’s Most Fragile Cultural Collision</t>
  </si>
  <si>
    <t>2026-02-20T17:00:46Z</t>
  </si>
  <si>
    <t>xMwSERZy0SA</t>
  </si>
  <si>
    <t>Aliens Undercover: The Real Men In Black Exposed</t>
  </si>
  <si>
    <t>2026-02-19T17:01:34Z</t>
  </si>
  <si>
    <t>EtodSzkhFrM</t>
  </si>
  <si>
    <t>Mossad's Most Dangerous Operations In The Middle East</t>
  </si>
  <si>
    <t>2026-02-18T17:00:31Z</t>
  </si>
  <si>
    <t>b4WlLbJoCSs</t>
  </si>
  <si>
    <t>The Mysterious Phenomenon Called "Steve" Discovered by Amateur Photographers</t>
  </si>
  <si>
    <t>2026-02-17T22:00:37Z</t>
  </si>
  <si>
    <t>iYzAKuYrIKI</t>
  </si>
  <si>
    <t>Undercover In Kim Jong Un's North Korea</t>
  </si>
  <si>
    <t>2026-02-16T17:01:11Z</t>
  </si>
  <si>
    <t>wCIZ1JcOpg8</t>
  </si>
  <si>
    <t>Hardcore Mercenaries Take Down Brutal Dictator</t>
  </si>
  <si>
    <t>2026-02-15T17:01:17Z</t>
  </si>
  <si>
    <t>vwHorUi66HQ</t>
  </si>
  <si>
    <t>I Fell For A Romance Scammer On My Dream Vacation</t>
  </si>
  <si>
    <t>2026-02-14T17:01:32Z</t>
  </si>
  <si>
    <t>3JdBq-jWWGY</t>
  </si>
  <si>
    <t>Pan Am Flight 103: How A Small Town Survived the Worst Tragedy</t>
  </si>
  <si>
    <t>2026-02-13T17:00:10Z</t>
  </si>
  <si>
    <t>O9Be53yjjAg</t>
  </si>
  <si>
    <t>The Hidden Secret Of This Famous Fashion Photographer</t>
  </si>
  <si>
    <t>2026-02-12T17:00:42Z</t>
  </si>
  <si>
    <t>-rPIFEyZuaQ</t>
  </si>
  <si>
    <t>Unsolved Mysteries: Strangest Cold Case of Kidnapped Mother Of 5</t>
  </si>
  <si>
    <t>2026-02-11T17:00:00Z</t>
  </si>
  <si>
    <t>1AVEfn7G_Gc</t>
  </si>
  <si>
    <t>The Fog of War: The Trauma Of Friendly Fire</t>
  </si>
  <si>
    <t>2026-02-10T17:00:04Z</t>
  </si>
  <si>
    <t>03lP61R5xRM</t>
  </si>
  <si>
    <t>Unseen Footage: Inside John F. Kennedy Jr. &amp; Carolyn Bessette's Wedding</t>
  </si>
  <si>
    <t>2026-02-09T17:00:03Z</t>
  </si>
  <si>
    <t>5RueuqXrQE4</t>
  </si>
  <si>
    <t>Roswell: The World’s Biggest Alien Cover-Up Finally Exposed</t>
  </si>
  <si>
    <t>2026-02-08T17:00:08Z</t>
  </si>
  <si>
    <t>t8_fCjAFKrk</t>
  </si>
  <si>
    <t>Inside The US Coast Guard's Most Dangerous Missions</t>
  </si>
  <si>
    <t>2026-02-06T17:01:33Z</t>
  </si>
  <si>
    <t>ykPU-3Y836E</t>
  </si>
  <si>
    <t>Is Elon Musk The Real Reason Behind Tesla's Success?</t>
  </si>
  <si>
    <t>2026-02-05T17:01:37Z</t>
  </si>
  <si>
    <t>KXkLetXwL8I</t>
  </si>
  <si>
    <t>Inside ICE: On The Controversial Frontline Of Immigration Enforcement</t>
  </si>
  <si>
    <t>2026-02-04T17:00:37Z</t>
  </si>
  <si>
    <t>CoN7Ip8cVqo</t>
  </si>
  <si>
    <t>The Complicated Life Of The Clintons</t>
  </si>
  <si>
    <t>2026-02-03T17:00:30Z</t>
  </si>
  <si>
    <t>5Jl9Noc0UNg</t>
  </si>
  <si>
    <t>Border Force Arrests Drug Traffickers</t>
  </si>
  <si>
    <t>2026-02-02T17:00:08Z</t>
  </si>
  <si>
    <t>MrKEWJX5IU0</t>
  </si>
  <si>
    <t>Unsolved Mysteries: The Most Chilling Unsolved Cold Case</t>
  </si>
  <si>
    <t>2026-02-01T17:00:36Z</t>
  </si>
  <si>
    <t>G_nf_tLiqAA</t>
  </si>
  <si>
    <t>Somali Pirates Taken Down By Special Forces Mercenaries</t>
  </si>
  <si>
    <t>2026-01-31T17:00:33Z</t>
  </si>
  <si>
    <t>Gw59fmJe-kQ</t>
  </si>
  <si>
    <t>Arizona SWAT Raids a Million Dollar Cartel Stash House</t>
  </si>
  <si>
    <t>2026-01-30T17:00:34Z</t>
  </si>
  <si>
    <t>JizX4LOW0LY</t>
  </si>
  <si>
    <t>Saviors or Assassins? The Secret Origins of Mossad</t>
  </si>
  <si>
    <t>2026-01-29T18:00:18Z</t>
  </si>
  <si>
    <t>NMEkM9oDJBs</t>
  </si>
  <si>
    <t>The Women Helping Left Wing Politics Rise</t>
  </si>
  <si>
    <t>2026-01-28T17:00:43Z</t>
  </si>
  <si>
    <t>wZND_lSkChk</t>
  </si>
  <si>
    <t>Raw and Uncensored Holocaust Survivors Recount Horrific Nazi Experiments</t>
  </si>
  <si>
    <t>2026-01-27T17:01:28Z</t>
  </si>
  <si>
    <t>sdu9suzFo_c</t>
  </si>
  <si>
    <t>Could This Be The Most Conflicted City on Earth?</t>
  </si>
  <si>
    <t>2026-01-26T17:01:26Z</t>
  </si>
  <si>
    <t>kTh5BeeeA6o</t>
  </si>
  <si>
    <t>This Checklist Can Save Millions Of Lives</t>
  </si>
  <si>
    <t>2026-01-25T17:01:09Z</t>
  </si>
  <si>
    <t>9hQlgXbw_CI</t>
  </si>
  <si>
    <t>Meet The Child Drug Runners Who Are Trapped By Gangs</t>
  </si>
  <si>
    <t>2026-01-24T17:00:22Z</t>
  </si>
  <si>
    <t>QayVWq5LrIk</t>
  </si>
  <si>
    <t>Versace's Killer: The Most Obsessive Stalker in Criminal History</t>
  </si>
  <si>
    <t>2026-01-23T18:00:23Z</t>
  </si>
  <si>
    <t>reAr28vSBVE</t>
  </si>
  <si>
    <t>Why Does Trump Want To Own Greenland?</t>
  </si>
  <si>
    <t>2026-01-22T13:01:42Z</t>
  </si>
  <si>
    <t>t1CCSYmnAUk</t>
  </si>
  <si>
    <t>Mexico’s Most Dangerous Drug Lord</t>
  </si>
  <si>
    <t>2026-01-21T17:01:32Z</t>
  </si>
  <si>
    <t>eWZ9jXI1d2I</t>
  </si>
  <si>
    <t>Inside The Shocking Legacy of the Aum Cult</t>
  </si>
  <si>
    <t>2026-01-20T17:01:11Z</t>
  </si>
  <si>
    <t>P1KI33vtn9U</t>
  </si>
  <si>
    <t>Rare Interview With Martin Luther King Jr</t>
  </si>
  <si>
    <t>2026-01-19T17:00:43Z</t>
  </si>
  <si>
    <t>aqJVcoz4Aec</t>
  </si>
  <si>
    <t>Was The Eric Garner Incident Warning About Government Brutality?</t>
  </si>
  <si>
    <t>2026-01-18T17:00:06Z</t>
  </si>
  <si>
    <t>bUwAq5nPqAM</t>
  </si>
  <si>
    <t>Is This Why The World Is Running Out Of Oil?</t>
  </si>
  <si>
    <t>2026-01-17T17:00:53Z</t>
  </si>
  <si>
    <t>PJLf8zN8B0s</t>
  </si>
  <si>
    <t>Inside Boko Haram The World's Most Evil Terrorist Group</t>
  </si>
  <si>
    <t>2026-01-16T17:00:43Z</t>
  </si>
  <si>
    <t>NtcYIZQJzPI</t>
  </si>
  <si>
    <t>Pee-Wee Gaskins: America's Most Heartless Serial Killer</t>
  </si>
  <si>
    <t>2026-01-15T17:00:49Z</t>
  </si>
  <si>
    <t>jwLNEYOPK8U</t>
  </si>
  <si>
    <t>Flight 191: The Worst Air Crash In US History</t>
  </si>
  <si>
    <t>2026-01-14T17:01:20Z</t>
  </si>
  <si>
    <t>xjc8CaapvxU</t>
  </si>
  <si>
    <t>The Iran You Aren't Supposed to See</t>
  </si>
  <si>
    <t>2026-01-13T17:01:41Z</t>
  </si>
  <si>
    <t>R3wzgXpQpso</t>
  </si>
  <si>
    <t>The Darkest Side of Venezuela’s Revolution</t>
  </si>
  <si>
    <t>2026-01-12T18:00:36Z</t>
  </si>
  <si>
    <t>cHkoe5JeXNc</t>
  </si>
  <si>
    <t>This Is Why People Are Leaving New York</t>
  </si>
  <si>
    <t>2026-01-11T18:00:54Z</t>
  </si>
  <si>
    <t>wBF9sRJyvaA</t>
  </si>
  <si>
    <t>The Prison Unit That Turns Criminal Teens Into Soldiers</t>
  </si>
  <si>
    <t>2026-01-10T18:01:09Z</t>
  </si>
  <si>
    <t>Bkh1p-1y-FU</t>
  </si>
  <si>
    <t>Inside The Decade Long Search For Flight MH370</t>
  </si>
  <si>
    <t>2026-01-09T18:00:13Z</t>
  </si>
  <si>
    <t>bYKUO2zQJGk</t>
  </si>
  <si>
    <t>The Truth Behind The Trump Takeover</t>
  </si>
  <si>
    <t>2026-01-08T18:00:43Z</t>
  </si>
  <si>
    <t>h8obCmEuwwM</t>
  </si>
  <si>
    <t>Inside How The FBI Caught The Washington DC Snipers</t>
  </si>
  <si>
    <t>2026-01-07T18:01:00Z</t>
  </si>
  <si>
    <t>wwAcT9mseB0</t>
  </si>
  <si>
    <t>Before Maduro: America's Capture Of Noriega</t>
  </si>
  <si>
    <t>2026-01-06T18:01:13Z</t>
  </si>
  <si>
    <t>fO-ffRMprFg</t>
  </si>
  <si>
    <t>The Hidden Reality Behind Canada's "Open" Borders</t>
  </si>
  <si>
    <t>2026-01-04T17:01:11Z</t>
  </si>
  <si>
    <t>UbG-NvDlkZk</t>
  </si>
  <si>
    <t>Life Inside America's Toughest Prison For Kids</t>
  </si>
  <si>
    <t>2026-01-03T17:00:53Z</t>
  </si>
  <si>
    <t>RCrPMil015I</t>
  </si>
  <si>
    <t>Border Crisis: Is Migration A Right or a Privilege?</t>
  </si>
  <si>
    <t>2026-01-02T17:00:46Z</t>
  </si>
  <si>
    <t>Y_VEijDamsQ</t>
  </si>
  <si>
    <t>Exposing The Dark Side Of The Clean Eating Diet Trend</t>
  </si>
  <si>
    <t>2026-01-01T17:00:55Z</t>
  </si>
  <si>
    <t>b5cPbBZzCbE</t>
  </si>
  <si>
    <t>Addicted And Pregnant At The Fringes Of Society</t>
  </si>
  <si>
    <t>2025-12-31T17:01:11Z</t>
  </si>
  <si>
    <t>ijroooJY0Cg</t>
  </si>
  <si>
    <t>The World’s Most Dangerous Places To Be A Christian Exposed</t>
  </si>
  <si>
    <t>2025-12-30T17:01:23Z</t>
  </si>
  <si>
    <t>jzEt2cpTcfw</t>
  </si>
  <si>
    <t>The Hidden Lives Of Jerusalem: Beyond the Headlines</t>
  </si>
  <si>
    <t>2025-12-29T17:01:13Z</t>
  </si>
  <si>
    <t>UsDRte1Du2Y</t>
  </si>
  <si>
    <t>The Most Emotional Reunion After War Forced Them Apart</t>
  </si>
  <si>
    <t>2025-12-28T17:00:49Z</t>
  </si>
  <si>
    <t>pITbdeBH-cM</t>
  </si>
  <si>
    <t>Meet America's Most Troubled Prison Kids</t>
  </si>
  <si>
    <t>2025-12-27T17:01:29Z</t>
  </si>
  <si>
    <t>1EhQT-DBjFE</t>
  </si>
  <si>
    <t>Inside The Most Dangerous Refugee Route To The Western World</t>
  </si>
  <si>
    <t>2025-12-26T17:00:01Z</t>
  </si>
  <si>
    <t>IJdvRmc3SO0</t>
  </si>
  <si>
    <t>The Violent Raid That Shook The Christian World</t>
  </si>
  <si>
    <t>2025-12-25T17:00:34Z</t>
  </si>
  <si>
    <t>MarV19LnSJ8</t>
  </si>
  <si>
    <t>The Forgotten Theme Park That Tried To Beat Disneyland</t>
  </si>
  <si>
    <t>2025-12-24T17:00:41Z</t>
  </si>
  <si>
    <t>9dEOjvA9HeA</t>
  </si>
  <si>
    <t>Is This The Toughest Neighborhood in Australia?</t>
  </si>
  <si>
    <t>2025-12-23T17:00:31Z</t>
  </si>
  <si>
    <t>w3Gbo-u7M1M</t>
  </si>
  <si>
    <t>Giant Cleaning Machine: Secrets of the World’s Biggest Car Wash | Free Documentary</t>
  </si>
  <si>
    <t>2026-08-23T13:00:49Z</t>
  </si>
  <si>
    <t>UCijcd0GR0fkxCAZwkiuWqtQ</t>
  </si>
  <si>
    <t>Free Documentary</t>
  </si>
  <si>
    <t>K_8wyUmn6uE</t>
  </si>
  <si>
    <t>The Gateway to the Mediterranean | Marseille’s Iconic Train Station | Free Documentary</t>
  </si>
  <si>
    <t>2026-08-19T13:00:53Z</t>
  </si>
  <si>
    <t>6S10meb3NJQ</t>
  </si>
  <si>
    <t>The World's Most Impossible Rescues | Survival Against All Odds | Free Documentary</t>
  </si>
  <si>
    <t>2026-08-16T13:00:48Z</t>
  </si>
  <si>
    <t>ESC3uoTQJus</t>
  </si>
  <si>
    <t>The Inmates We Fear Most | Inside a Maximum Security Prison for Murderers | Free Documentary</t>
  </si>
  <si>
    <t>2026-08-14T13:00:55Z</t>
  </si>
  <si>
    <t>jKWEZV4yN4o</t>
  </si>
  <si>
    <t>The Hidden World of Europe's Most Stunning Train Station | Lisbon | Free Documentary</t>
  </si>
  <si>
    <t>2026-08-12T13:00:52Z</t>
  </si>
  <si>
    <t>t-awSHNJ79s</t>
  </si>
  <si>
    <t>World's Most Isolated Town | Surviving the Last Town Before the North Pole | Free Documentary</t>
  </si>
  <si>
    <t>2026-08-09T13:00:54Z</t>
  </si>
  <si>
    <t>Ci7HlkDwKio</t>
  </si>
  <si>
    <t>Italy's Mega Prison | Rebibbia: Mafia Bosses on Stage | Free Documentary</t>
  </si>
  <si>
    <t>2026-08-07T13:00:54Z</t>
  </si>
  <si>
    <t>6bVsOohLz-Y</t>
  </si>
  <si>
    <t>China's Disaster Zones: Civilian Rescuers | No Ordinary Rescue | Free Documentary</t>
  </si>
  <si>
    <t>2026-08-05T13:00:48Z</t>
  </si>
  <si>
    <t>ngjR2BvBq9I</t>
  </si>
  <si>
    <t>World's New Megacities | Dubai: The Desert Supercity | Free Documentary</t>
  </si>
  <si>
    <t>2026-08-02T13:00:47Z</t>
  </si>
  <si>
    <t>fRqJPVZkYzQ</t>
  </si>
  <si>
    <t>Mystery Places: Siberian Mega Mine, Most Dangerous Hotel &amp; Extreme Airport | Free Documentary</t>
  </si>
  <si>
    <t>2026-07-31T13:00:58Z</t>
  </si>
  <si>
    <t>G6_i7C_dr2g</t>
  </si>
  <si>
    <t>Filipino Inferno Hunters | Manila: Citizen Firefighters | No Ordinary Rescue | Free Documentary</t>
  </si>
  <si>
    <t>2026-07-29T13:00:48Z</t>
  </si>
  <si>
    <t>zIlIM6B691E</t>
  </si>
  <si>
    <t>World's Toughest Arctic Ships: Working at the Edge of the World | Free Documentary</t>
  </si>
  <si>
    <t>2026-07-26T13:00:59Z</t>
  </si>
  <si>
    <t>y0_BzF7wywI</t>
  </si>
  <si>
    <t>Mystery Places: Ghost Town, Dr. Seuss House &amp; Deadliest Bird's Nest Harvest | Free Documentary</t>
  </si>
  <si>
    <t>2026-07-24T13:00:54Z</t>
  </si>
  <si>
    <t>XPpcZ_bYmGI</t>
  </si>
  <si>
    <t>Vietnam's Motorcycle Vigilantes | No Ordinary Rescue | Free Documentary</t>
  </si>
  <si>
    <t>2026-07-22T13:00:51Z</t>
  </si>
  <si>
    <t>2A8cVqIKPus</t>
  </si>
  <si>
    <t>World's New Megacities | Muscat: Arabia's Hidden Metropolis | Free Documentary</t>
  </si>
  <si>
    <t>2026-07-19T13:00:54Z</t>
  </si>
  <si>
    <t>TkOf4x_4fqI</t>
  </si>
  <si>
    <t>Mystery Places: Luxury Doomsday Bunker, King Cobra Village &amp; More | Free Documentary</t>
  </si>
  <si>
    <t>2026-07-17T13:00:48Z</t>
  </si>
  <si>
    <t>tKC4Ws9nF38</t>
  </si>
  <si>
    <t>World's Oldest Divers | Haenyeo: South Korea's Most Dangerous Tradition | Free Documentary</t>
  </si>
  <si>
    <t>2026-07-15T13:00:51Z</t>
  </si>
  <si>
    <t>cCX8t3rKIMw</t>
  </si>
  <si>
    <t>World's New Megacities | Kuala Lumpur: Malaysia's Vertical City | Free Documentary</t>
  </si>
  <si>
    <t>2026-07-12T13:00:53Z</t>
  </si>
  <si>
    <t>6S5BHS0k0xI</t>
  </si>
  <si>
    <t>South America's Biggest Railway Hub | Retiro Station, Buenos Aires | Free Documentary</t>
  </si>
  <si>
    <t>2026-07-10T13:00:56Z</t>
  </si>
  <si>
    <t>qhTg0YpMbZ0</t>
  </si>
  <si>
    <t>Behind the Badge | The Truth About Police Brutality in South Africa | Free Documentary</t>
  </si>
  <si>
    <t>2026-07-08T13:00:52Z</t>
  </si>
  <si>
    <t>AVKOvDFmYwo</t>
  </si>
  <si>
    <t>World's New Megacities | Jakarta: City of 30 Million | Free Documentary</t>
  </si>
  <si>
    <t>2026-07-05T13:00:55Z</t>
  </si>
  <si>
    <t>PUEhz9X6RL8</t>
  </si>
  <si>
    <t>The Hidden World of Grand Central Terminal | New York | Free Documentary</t>
  </si>
  <si>
    <t>2026-07-03T13:00:50Z</t>
  </si>
  <si>
    <t>AchVC6jnfl0</t>
  </si>
  <si>
    <t>South Africa's Deadliest Streets | Durban After Dark | Free Documentary</t>
  </si>
  <si>
    <t>2026-07-01T13:00:55Z</t>
  </si>
  <si>
    <t>j6qCVFm47ws</t>
  </si>
  <si>
    <t>The Tribe That Left the Forest | Mlabri: Asia's Forgotten People | Free Documentary</t>
  </si>
  <si>
    <t>2026-06-28T13:00:57Z</t>
  </si>
  <si>
    <t>8CB-ZXgoe3o</t>
  </si>
  <si>
    <t>Egypt's Busiest Railway Station | Ramses Station, Cairo | Free Documentary</t>
  </si>
  <si>
    <t>2026-06-26T13:00:56Z</t>
  </si>
  <si>
    <t>yd2ovFw1N6w</t>
  </si>
  <si>
    <t>Earth Untold: Java | Hidden Tales from the World's Most Crowded Island | Free Documentary</t>
  </si>
  <si>
    <t>2026-06-24T13:00:47Z</t>
  </si>
  <si>
    <t>pfx2qO231es</t>
  </si>
  <si>
    <t>World's Most Dangerous Roads | East Africa: Mission to Collision | Full Series | Free Documentary</t>
  </si>
  <si>
    <t>2026-06-21T13:00:49Z</t>
  </si>
  <si>
    <t>F5L_ZAPRNSk</t>
  </si>
  <si>
    <t>The Station at the End of Russia | Vladivostok Station | Free Documentary</t>
  </si>
  <si>
    <t>2026-06-19T13:00:54Z</t>
  </si>
  <si>
    <t>C71akI-KlNg</t>
  </si>
  <si>
    <t>Earth Untold: Polynesia | Hidden Tales from the World's Largest Ocean | Free Documentary</t>
  </si>
  <si>
    <t>2026-06-17T13:00:51Z</t>
  </si>
  <si>
    <t>eVODc8yIvls</t>
  </si>
  <si>
    <t>World's Most Dangerous Shipwrecks: The Toxic Secrets of Sunken Giants | Free Documentary</t>
  </si>
  <si>
    <t>2026-06-14T13:00:47Z</t>
  </si>
  <si>
    <t>QVzWriRgfXc</t>
  </si>
  <si>
    <t>World's Most Crowded Commute | CST Mumbai Mega Station | Free Documentary</t>
  </si>
  <si>
    <t>2026-06-12T13:00:50Z</t>
  </si>
  <si>
    <t>8GgAh5YwFuU</t>
  </si>
  <si>
    <t>Earth Untold: Namibia | Hidden Tales from a Land of Extremes | Free Documentary</t>
  </si>
  <si>
    <t>2026-06-10T13:00:46Z</t>
  </si>
  <si>
    <t>M-7RMxbcYC4</t>
  </si>
  <si>
    <t>Border Megacity: The World’s Busiest Land Crossing | Free Documentary</t>
  </si>
  <si>
    <t>2026-06-07T13:00:55Z</t>
  </si>
  <si>
    <t>ebfaLtXrGx4</t>
  </si>
  <si>
    <t>World's Largest Isolated Tribe | Mashco Piro: Living Like 20,000 Years Ago | Free Documentary</t>
  </si>
  <si>
    <t>2026-06-05T13:00:57Z</t>
  </si>
  <si>
    <t>SbxbLOdCqns</t>
  </si>
  <si>
    <t>Earth Untold: Panama | Hidden Tales from the Land Between Oceans | Free Documentary</t>
  </si>
  <si>
    <t>2026-06-03T13:00:46Z</t>
  </si>
  <si>
    <t>A8I7pnhQWhI</t>
  </si>
  <si>
    <t>World's Deadliest Narco Zones: Trapped Among Cartels | Mexico, Honduras, Colombia | Free Documentary</t>
  </si>
  <si>
    <t>2026-05-31T13:00:51Z</t>
  </si>
  <si>
    <t>JHQNiYzh2vc</t>
  </si>
  <si>
    <t>The Filipino Prison Where Drug Lords Live Like Kings | Free Documentary</t>
  </si>
  <si>
    <t>2026-05-29T13:00:51Z</t>
  </si>
  <si>
    <t>pNqcGtWlyjo</t>
  </si>
  <si>
    <t>Earth Untold: Cape Town | Hidden Tales from South Africa’s City of Contrasts | Free Documentary</t>
  </si>
  <si>
    <t>2026-05-27T13:00:54Z</t>
  </si>
  <si>
    <t>dkOSaRDHun8</t>
  </si>
  <si>
    <t>Prison Hell: Inside Brazil’s Most Feared Prisons | Behind Bars | Free Documentary</t>
  </si>
  <si>
    <t>2026-05-24T13:00:58Z</t>
  </si>
  <si>
    <t>1KcraWvf9Zg</t>
  </si>
  <si>
    <t>Beirut Mega Blast: The Deadly Secret Behind the Catastrophic Explosion | Free Documentary</t>
  </si>
  <si>
    <t>2026-05-22T13:00:57Z</t>
  </si>
  <si>
    <t>j0mDhjfLHy8</t>
  </si>
  <si>
    <t>Black Paradise | Indonesia: Drowning in a Toxic Flood | Free Documentary</t>
  </si>
  <si>
    <t>2026-05-20T13:00:53Z</t>
  </si>
  <si>
    <t>b0rej5FR25Y</t>
  </si>
  <si>
    <t>World’s Toughest Fishing Ships | Life Aboard Floating Factories | Free Documentary</t>
  </si>
  <si>
    <t>2026-05-17T13:00:51Z</t>
  </si>
  <si>
    <t>X0OSKla_gYs</t>
  </si>
  <si>
    <t>Where Roads End and Ice Begins | Greenland: Life Beyond the Arctic Circle | Free Documentary</t>
  </si>
  <si>
    <t>2026-05-15T13:00:53Z</t>
  </si>
  <si>
    <t>e26df9plNmY</t>
  </si>
  <si>
    <t>Earth Untold: South Korea | Hidden Tales from the Land of the Calm Morning | Free Documentary</t>
  </si>
  <si>
    <t>2026-05-13T13:00:58Z</t>
  </si>
  <si>
    <t>E9O1XBS0Aq4</t>
  </si>
  <si>
    <t>Harpooning for Survival | Lamalera: Indonesia's Last Whaling Culture | Free Documentary</t>
  </si>
  <si>
    <t>2026-05-10T13:00:54Z</t>
  </si>
  <si>
    <t>BGFfp5CoBqY</t>
  </si>
  <si>
    <t>War Next Door, Water Running Out | Jordan: A Kingdom on the Edge | Free Documentary</t>
  </si>
  <si>
    <t>2026-05-08T13:00:52Z</t>
  </si>
  <si>
    <t>Tp8OAU9psoU</t>
  </si>
  <si>
    <t>Earth Untold: Tohoku | Hidden Tales from Japan’s Rugged North | Free Documentary</t>
  </si>
  <si>
    <t>2026-05-06T13:00:59Z</t>
  </si>
  <si>
    <t>9Bwo3QLAwFs</t>
  </si>
  <si>
    <t>Guadeloupe: An Island Living in Fear | Free Documentary</t>
  </si>
  <si>
    <t>2026-05-03T13:00:50Z</t>
  </si>
  <si>
    <t>IplC4oF43WI</t>
  </si>
  <si>
    <t>Venezuela’s Lost Children | Surviving a Country in Collapse | Free Documentary</t>
  </si>
  <si>
    <t>2026-05-01T13:00:58Z</t>
  </si>
  <si>
    <t>wT_BhsrdQ2A</t>
  </si>
  <si>
    <t>Earth Untold: Ethiopia | Hidden Tales from Africa’s Ancient Kingdom | Free Documentary</t>
  </si>
  <si>
    <t>2026-04-29T13:00:49Z</t>
  </si>
  <si>
    <t>t0zkJjfZPGs</t>
  </si>
  <si>
    <t>Surviving Diepsloot: South Africa’s No-Go Zone | Free Documentary</t>
  </si>
  <si>
    <t>2026-04-26T13:00:55Z</t>
  </si>
  <si>
    <t>xxf-RtWO6-c</t>
  </si>
  <si>
    <t>Bhutan: Life Between the Middle Ages and the Modern World | Free Documentary</t>
  </si>
  <si>
    <t>2026-04-24T13:00:55Z</t>
  </si>
  <si>
    <t>24ZC1MthVo8</t>
  </si>
  <si>
    <t>Earth Untold: Rwanda | Hidden Tales from Africa’s Land of a Thousand Hills | Free Documentary</t>
  </si>
  <si>
    <t>2026-04-22T13:00:50Z</t>
  </si>
  <si>
    <t>3-6PIRF45ZU</t>
  </si>
  <si>
    <t>World’s Most Dangerous Slum | Cité Soleil: Life in Hell | Free Documentary</t>
  </si>
  <si>
    <t>2026-04-19T13:00:55Z</t>
  </si>
  <si>
    <t>VKpv_a30un4</t>
  </si>
  <si>
    <t>Women Warriors | Congo: Female Fighters on the Frontline | Free Documentary</t>
  </si>
  <si>
    <t>2026-04-17T13:00:53Z</t>
  </si>
  <si>
    <t>B0FwaLH_ZSI</t>
  </si>
  <si>
    <t>Earth Untold: Uruguay | Hidden Tales of South America’s Quiet Nation | Free Documentary</t>
  </si>
  <si>
    <t>2026-04-15T13:00:58Z</t>
  </si>
  <si>
    <t>p3EdLKSLJYY</t>
  </si>
  <si>
    <t>Cartels, Mega Prisons, Total Chaos | Ecuador: The Narco Wars | Free Documentary</t>
  </si>
  <si>
    <t>2026-04-12T13:00:54Z</t>
  </si>
  <si>
    <t>ZFdj7uVbzGk</t>
  </si>
  <si>
    <t>The Mountains That Look Like Another Planet | Uganda’s Rwenzori | Free Documentary</t>
  </si>
  <si>
    <t>2026-04-10T13:00:47Z</t>
  </si>
  <si>
    <t>L0p3uSXrkqA</t>
  </si>
  <si>
    <t>Earth Untold: Botswana | Hidden Tales from the Heart of Southern Africa | Free Documentary</t>
  </si>
  <si>
    <t>2026-04-08T13:00:58Z</t>
  </si>
  <si>
    <t>xhvzqiC2pmo</t>
  </si>
  <si>
    <t>The Tribe from the Forbidden Mountains | Zeliangrong People | Free Documentary</t>
  </si>
  <si>
    <t>2026-04-05T13:00:49Z</t>
  </si>
  <si>
    <t>RKQJmvbR6P0</t>
  </si>
  <si>
    <t>Surviving Nigeria: Being Ultra Poor in a Country of Riches | Free Documentary</t>
  </si>
  <si>
    <t>2026-04-02T13:35:30Z</t>
  </si>
  <si>
    <t>dxI3LTp2Grw</t>
  </si>
  <si>
    <t>Earth Untold: Wudang Mountains | Hidden Tales of China’s Mystic Peaks | Free Documentary</t>
  </si>
  <si>
    <t>2026-04-01T13:00:50Z</t>
  </si>
  <si>
    <t>lXCRxJh4xEk</t>
  </si>
  <si>
    <t>World’s Most Dangerous Jobs: South Africa | Cape Town’s Anti-Gang Unit | Free Documentary</t>
  </si>
  <si>
    <t>2026-03-29T13:00:48Z</t>
  </si>
  <si>
    <t>CjKiWz-5CHs</t>
  </si>
  <si>
    <t>The Most Dangerous River on Earth | Indonesia: Surviving the Citarum | Free Documentary</t>
  </si>
  <si>
    <t>2026-03-27T14:00:46Z</t>
  </si>
  <si>
    <t>wzSKdWILDnc</t>
  </si>
  <si>
    <t>Earth Untold: Tanzania | Hidden Tales from the Swahili Coast | Free Documentary</t>
  </si>
  <si>
    <t>2026-03-25T14:03:42Z</t>
  </si>
  <si>
    <t>vE-poEIRGCo</t>
  </si>
  <si>
    <t>The Tribe That Took Human Heads | Naga: The Last Headhunters | Free Documentary</t>
  </si>
  <si>
    <t>2026-03-22T14:00:51Z</t>
  </si>
  <si>
    <t>UWhZWXC80mo</t>
  </si>
  <si>
    <t>World’s Most Luxurious Cruise Ship | Secrets of the Floating Palace | Free Documentary</t>
  </si>
  <si>
    <t>2026-03-20T14:00:54Z</t>
  </si>
  <si>
    <t>C9frX3h7RTc</t>
  </si>
  <si>
    <t>Earth Untold: West Sumatra | Hidden Tales of Indonesia’s Wild Frontier | Free Documentary</t>
  </si>
  <si>
    <t>2026-03-18T14:00:54Z</t>
  </si>
  <si>
    <t>Cjwm_96zmMo</t>
  </si>
  <si>
    <t>Beauty and Bloodshed | Mozambique: A Nation on Edge | Free Documentary</t>
  </si>
  <si>
    <t>2026-03-15T14:00:54Z</t>
  </si>
  <si>
    <t>5C4MBcOmZ2o</t>
  </si>
  <si>
    <t>World’s Toughest Flights | The Mountain Beast: No Runway, No Second Chances | Free Documentary</t>
  </si>
  <si>
    <t>2026-03-13T14:00:59Z</t>
  </si>
  <si>
    <t>v84g8g4ieYI</t>
  </si>
  <si>
    <t>Secrets of the Apsara | Cambodia: The Kingdom’s Hidden Legacy | Free Documentary</t>
  </si>
  <si>
    <t>2026-03-11T14:00:55Z</t>
  </si>
  <si>
    <t>obySpxYXzfw</t>
  </si>
  <si>
    <t>Sudan: Surviving a Broken Nation | Free Documentary</t>
  </si>
  <si>
    <t>2026-03-08T14:00:53Z</t>
  </si>
  <si>
    <t>9bHzNWgv0JE</t>
  </si>
  <si>
    <t>World’s Toughest Ships | The Pressure Cage: Life in the Saturation Lab | Free Documentary</t>
  </si>
  <si>
    <t>2026-03-06T14:00:52Z</t>
  </si>
  <si>
    <t>VmUJZv01wpI</t>
  </si>
  <si>
    <t>Where Pirate Ships Go to Die | Indonesia: The War for the Seas | Free Documentary</t>
  </si>
  <si>
    <t>2026-03-04T14:00:48Z</t>
  </si>
  <si>
    <t>LNxaoBUSeps</t>
  </si>
  <si>
    <t>Nomads at the Edge of the World | Mongolia: The Tsaatan People | Free Documentary</t>
  </si>
  <si>
    <t>2026-03-01T14:00:46Z</t>
  </si>
  <si>
    <t>hugN6DqupdE</t>
  </si>
  <si>
    <t>World’s Toughest Planes | Arctic Lifeline: Racing Greenland’s Frozen Fury | Free Documentary</t>
  </si>
  <si>
    <t>2026-02-27T14:00:57Z</t>
  </si>
  <si>
    <t>EYtFYOgeGVU</t>
  </si>
  <si>
    <t>City of Poison | Johannesburg: The World’s Most Contaminated City | Free Documentary</t>
  </si>
  <si>
    <t>2026-02-25T14:00:58Z</t>
  </si>
  <si>
    <t>DQLf2glmL5I</t>
  </si>
  <si>
    <t>World’s Most Dangerous Roads | Narok County, Kenya | Free Documentary</t>
  </si>
  <si>
    <t>2026-02-22T14:00:53Z</t>
  </si>
  <si>
    <t>HIhXy1NJ8gY</t>
  </si>
  <si>
    <t>The Sky Clinic: Secrets of the World’s Only Flying Hospital | Free Documentary</t>
  </si>
  <si>
    <t>2026-02-20T14:00:53Z</t>
  </si>
  <si>
    <t>RWJafHULG7A</t>
  </si>
  <si>
    <t>The Endless Flood | Bangladesh: A Nation Drowning | Free Documentary</t>
  </si>
  <si>
    <t>2026-02-18T14:01:01Z</t>
  </si>
  <si>
    <t>e9iyc4X_Dv0</t>
  </si>
  <si>
    <t>The Strictest Prison in Asia | Institution A4: Singapore's Mega Prison | Free Documentary</t>
  </si>
  <si>
    <t>2026-02-15T14:01:01Z</t>
  </si>
  <si>
    <t>Hrzhie8BXVM</t>
  </si>
  <si>
    <t>World’s Toughest Ships | Great Lakes Titan: Wrestling the Elements at Full Load | Free Documentary</t>
  </si>
  <si>
    <t>2026-02-13T14:00:54Z</t>
  </si>
  <si>
    <t>HHNmo21Cvvo</t>
  </si>
  <si>
    <t>Volcano Boulevard: Ecuador’s Hidden Time Bomb | Free Documentary</t>
  </si>
  <si>
    <t>2026-02-11T14:00:56Z</t>
  </si>
  <si>
    <t>nvpkLoslDys</t>
  </si>
  <si>
    <t>World's Most Dangerous Roads | Kenya: Dust, Death, Diesel | Free Documentary</t>
  </si>
  <si>
    <t>2026-02-08T14:03:46Z</t>
  </si>
  <si>
    <t>0ivgdPNCiOs</t>
  </si>
  <si>
    <t>Secrets of the Mega Liner: Life Inside a Giant Cruise Ship | Free Documentary</t>
  </si>
  <si>
    <t>2026-02-06T14:00:59Z</t>
  </si>
  <si>
    <t>TvsXjEeQI0Q</t>
  </si>
  <si>
    <t>The Disaster Islands | Fiji: Paradise at the Price of Survival | Free Documentary</t>
  </si>
  <si>
    <t>2026-02-04T14:00:50Z</t>
  </si>
  <si>
    <t>RR2VQOV5tM4</t>
  </si>
  <si>
    <t>World's Most Dangerous Roads | Route to Uganda: The Lunatic Express | Free Documentary</t>
  </si>
  <si>
    <t>2026-02-01T14:00:47Z</t>
  </si>
  <si>
    <t>JGiE_Zkwd4I</t>
  </si>
  <si>
    <t>World’s Toughest Ships | Arctic Monster: Surviving the Ocean’s Coldest Fury | Free Documentary</t>
  </si>
  <si>
    <t>2026-01-30T14:00:52Z</t>
  </si>
  <si>
    <t>RTUVFuXbZHk</t>
  </si>
  <si>
    <t>The Drowning Megacity | Indonesia: Surviving a Sinking Capital | Free Documentary</t>
  </si>
  <si>
    <t>2026-01-28T14:00:57Z</t>
  </si>
  <si>
    <t>_Em7EN5QG6Q</t>
  </si>
  <si>
    <t>Behind Bars | Litla-Hraun, Iceland: Prison at the End of the World | Free Documentary</t>
  </si>
  <si>
    <t>2026-01-25T14:00:56Z</t>
  </si>
  <si>
    <t>xft_6Yap_gc</t>
  </si>
  <si>
    <t>A World Without Solid Ground: Floating Life on Inle Lake | Free Documentary</t>
  </si>
  <si>
    <t>2026-01-23T14:00:50Z</t>
  </si>
  <si>
    <t>d3Y8qNnbVrU</t>
  </si>
  <si>
    <t>Tanzania's Water War: Surviving a Thirsty Land | Free Documentary</t>
  </si>
  <si>
    <t>2026-01-21T14:00:56Z</t>
  </si>
  <si>
    <t>uyAIgfbCJb8</t>
  </si>
  <si>
    <t>Behind Bars: CPDRC, Philippines | World’s Toughest Prisons | Free Documentary</t>
  </si>
  <si>
    <t>2026-01-18T14:00:57Z</t>
  </si>
  <si>
    <t>9aBzjR2Fca4</t>
  </si>
  <si>
    <t>Tower People: The Last Medieval Society That Still Exists | The Svans | Free Documentary</t>
  </si>
  <si>
    <t>2026-01-16T14:00:46Z</t>
  </si>
  <si>
    <t>bxj136aRpu8</t>
  </si>
  <si>
    <t>Christian Death Cult | Kenya: What Really Happened in Shakahola? | Free Documentary</t>
  </si>
  <si>
    <t>2026-01-14T14:00:56Z</t>
  </si>
  <si>
    <t>5Gn017aR3BM</t>
  </si>
  <si>
    <t>World’s Toughest Ships | Floating Mega Mine | Free Documentary</t>
  </si>
  <si>
    <t>2026-01-11T14:00:53Z</t>
  </si>
  <si>
    <t>q7-lmr0M-MY</t>
  </si>
  <si>
    <t>World's Most Feared Narco Stronghold | Ecuador: Overrun by Cartels | Free Documentary</t>
  </si>
  <si>
    <t>2026-01-09T14:00:53Z</t>
  </si>
  <si>
    <t>icFOiJiyugw</t>
  </si>
  <si>
    <t>Malaysia: The Whole of Asia in One Country | Free Documentary</t>
  </si>
  <si>
    <t>2026-01-07T14:00:50Z</t>
  </si>
  <si>
    <t>DhXQDz-Oo-4</t>
  </si>
  <si>
    <t>World’s Toughest Ships | Extreme Icebreaker: Lost in Frozen Hell | Free Documentary</t>
  </si>
  <si>
    <t>2026-01-04T14:00:57Z</t>
  </si>
  <si>
    <t>je_Y7BmhdfM</t>
  </si>
  <si>
    <t>Meet the Oldest Sea Divers in the World | The Last Mermaids | Free Documentary</t>
  </si>
  <si>
    <t>2026-01-02T14:00:59Z</t>
  </si>
  <si>
    <t>TbeeEhk44Ro</t>
  </si>
  <si>
    <t>The Great Blizzard of NYC: America’s Deadliest Winter Disaster | Free Documentary</t>
  </si>
  <si>
    <t>2025-12-31T14:00:46Z</t>
  </si>
  <si>
    <t>nLWywxa6hrk</t>
  </si>
  <si>
    <t>World’s Toughest Trains | Ecuador: The Devil’s Nose Railway | Free Documentary</t>
  </si>
  <si>
    <t>2025-12-28T14:01:00Z</t>
  </si>
  <si>
    <t>UN3zHxFd5TI</t>
  </si>
  <si>
    <t>World’s Only Witch School | Secrets of the Forbidden Academy | Free Documentary</t>
  </si>
  <si>
    <t>2025-12-26T14:00:54Z</t>
  </si>
  <si>
    <t>TLqU-yYDHP0</t>
  </si>
  <si>
    <t>The Mega Hurricanes That Crushed Charleston: Hazel &amp; Hugo | Free Documentary</t>
  </si>
  <si>
    <t>2025-12-24T14:00:48Z</t>
  </si>
  <si>
    <t>n-Ds6P-vNEw</t>
  </si>
  <si>
    <t>No-Go Zones l Cauca, Colombia | Enter At Your Own Risk | Free Documentary</t>
  </si>
  <si>
    <t>2025-12-21T14:00:53Z</t>
  </si>
  <si>
    <t>M7wY8iGwy6E</t>
  </si>
  <si>
    <t>Dangerous Cities: Chihuahua - Life Under Cartel Rule | Free Documentary</t>
  </si>
  <si>
    <t>2025-12-19T14:00:54Z</t>
  </si>
  <si>
    <t>KVnk8QMexNM</t>
  </si>
  <si>
    <t>Hawaii Tsunami Disaster: When the Ocean Swallowed a City | Free Documentary</t>
  </si>
  <si>
    <t>2025-12-17T14:00:48Z</t>
  </si>
  <si>
    <t>se94JIphuKs</t>
  </si>
  <si>
    <t>World’s Most Feared Cartel War | Mexico: Enter at Your Own Risk | Free Documentary</t>
  </si>
  <si>
    <t>2025-12-14T14:00:51Z</t>
  </si>
  <si>
    <t>UhktQLwfqJc</t>
  </si>
  <si>
    <t>World’s Toughest Ships | Extreme Trawler: Fishing the World’s Coldest Seas | Free Documentary</t>
  </si>
  <si>
    <t>2025-12-12T14:00:56Z</t>
  </si>
  <si>
    <t>wyw7AVoQBO4</t>
  </si>
  <si>
    <t>Chicago Fire Disaster: When Infernos Destroyed the City Twice | Free Documentary</t>
  </si>
  <si>
    <t>2025-12-10T14:00:50Z</t>
  </si>
  <si>
    <t>LT5JwBnH7Lo</t>
  </si>
  <si>
    <t>World’s Most Feared Gang War | Honduras: Enter at Your Own Risk | Free Documentary</t>
  </si>
  <si>
    <t>2025-12-07T14:00:53Z</t>
  </si>
  <si>
    <t>ObcB5XR1KXc</t>
  </si>
  <si>
    <t>The Chiefs: The Last Defenders of the Amazon | Free Documentary</t>
  </si>
  <si>
    <t>2025-12-05T18:59:56Z</t>
  </si>
  <si>
    <t>PunUbKDuraE</t>
  </si>
  <si>
    <t>Dangerous Cities: Kabul - Poverty, Gangs and the Taliban | Free Documentary</t>
  </si>
  <si>
    <t>2025-12-05T14:00:56Z</t>
  </si>
  <si>
    <t>n324_6dafDU</t>
  </si>
  <si>
    <t>The World's Most Devastating Cyclone | Disaster Deja Vu | Free Documentary</t>
  </si>
  <si>
    <t>2025-12-03T14:00:53Z</t>
  </si>
  <si>
    <t>Bg8vtllvOzs</t>
  </si>
  <si>
    <t>World’s Toughest Ships | Pirate Hunter: Defending the World’s Busiest Sea Route | Free Documentary</t>
  </si>
  <si>
    <t>2025-11-30T14:00:54Z</t>
  </si>
  <si>
    <t>PO_MGSjhVMs</t>
  </si>
  <si>
    <t>Dangerous Cities: Lagos - The Corruption Capital of Africa | Free Documentary</t>
  </si>
  <si>
    <t>2025-11-28T14:00:55Z</t>
  </si>
  <si>
    <t>290sUnSw5aE</t>
  </si>
  <si>
    <t>The Locust Swarm That Consumed a Country | Disaster Deja Vu | Free Documentary</t>
  </si>
  <si>
    <t>2025-11-26T14:00:53Z</t>
  </si>
  <si>
    <t>fy01ItYUwmg</t>
  </si>
  <si>
    <t>World’s Toughest Flights | The Hurricane Plane: Flying Into the Deadliest Storms | Free Documentary</t>
  </si>
  <si>
    <t>2025-11-23T14:01:00Z</t>
  </si>
  <si>
    <t>1O7c_CKLcDQ</t>
  </si>
  <si>
    <t>Dangerous Cities: São Paulo - Inside Brazil’s Crime Capital | Free Documentary</t>
  </si>
  <si>
    <t>2025-11-21T14:00:46Z</t>
  </si>
  <si>
    <t>DY1ACLFs28Y</t>
  </si>
  <si>
    <t>The Deadliest Tornado in Modern History | Disaster Deja Vu | Free Documentary</t>
  </si>
  <si>
    <t>2025-11-19T14:00:50Z</t>
  </si>
  <si>
    <t>5vhY-y1ErZw</t>
  </si>
  <si>
    <t>Most Dangerous Ways To School | Uganda | Free Documentary</t>
  </si>
  <si>
    <t>2025-11-16T14:00:59Z</t>
  </si>
  <si>
    <t>xL5UnfGRySw</t>
  </si>
  <si>
    <t>Dangerous Cities: Bangkok - The Dark Side of Thailand’s Mega Metropolis | Free Documentary</t>
  </si>
  <si>
    <t>2025-11-14T14:00:50Z</t>
  </si>
  <si>
    <t>N5wxWYWtdb4</t>
  </si>
  <si>
    <t>The Painted People: The Last Hidden Tribe of the Amazon | Free Documentary</t>
  </si>
  <si>
    <t>2025-11-12T14:00:51Z</t>
  </si>
  <si>
    <t>VXl_LVPBn1A</t>
  </si>
  <si>
    <t>Most Dangerous Ways To School | Kyrgyzstan | Free Documentary</t>
  </si>
  <si>
    <t>2025-11-09T14:00:46Z</t>
  </si>
  <si>
    <t>N2YcWFiUQXw</t>
  </si>
  <si>
    <t>A Himalayan Life: The Secret Rituals of Bhutan | Free Documentary</t>
  </si>
  <si>
    <t>2025-11-07T14:00:45Z</t>
  </si>
  <si>
    <t>QMd75Gcn-Yw</t>
  </si>
  <si>
    <t>The City of the Future: Malmö | Habitats of the World: Sweden | Free Documentary</t>
  </si>
  <si>
    <t>2025-11-05T14:00:52Z</t>
  </si>
  <si>
    <t>NNbTbIyC2wI</t>
  </si>
  <si>
    <t>Behind Bars: Osaka Prison, Japan | World’s Toughest Prisons | Free Documentary</t>
  </si>
  <si>
    <t>2025-11-02T14:01:01Z</t>
  </si>
  <si>
    <t>2oX-meG01Tk</t>
  </si>
  <si>
    <t>The Fisherman’s Curse: Malaysia’s Deadly Drug Coast | Free Documentary</t>
  </si>
  <si>
    <t>2025-10-31T14:00:50Z</t>
  </si>
  <si>
    <t>Jv4NrOEJGb8</t>
  </si>
  <si>
    <t>The Legendary Wooden Houses of Chiloé Island | Habitats of the World: Chile | Free Documentary</t>
  </si>
  <si>
    <t>2025-10-29T14:00:59Z</t>
  </si>
  <si>
    <t>PvhNyVbY9cU</t>
  </si>
  <si>
    <t>Behind Bars: Renovación 1, Guatemala | World’s Toughest Prisons | Free Documentary</t>
  </si>
  <si>
    <t>2025-10-26T14:00:52Z</t>
  </si>
  <si>
    <t>OQ7jYm2ANsQ</t>
  </si>
  <si>
    <t>The Himalayan Nomads: Crossing the Last Forbidden Kingdom | Free Documentary</t>
  </si>
  <si>
    <t>2025-10-24T13:00:52Z</t>
  </si>
  <si>
    <t>rF8maIlc6lg</t>
  </si>
  <si>
    <t>Stilt Houses: Surviving Hurricane Country | Habitats of the World: Louisiana | Free Documentary</t>
  </si>
  <si>
    <t>2025-10-22T13:00:47Z</t>
  </si>
  <si>
    <t>UBSQaRjW4j8</t>
  </si>
  <si>
    <t>No Power, No Technology, No Modern Life: The Mennonites of Mexico | Free Documentary</t>
  </si>
  <si>
    <t>2025-10-19T13:00:49Z</t>
  </si>
  <si>
    <t>kAAjW53QQBE</t>
  </si>
  <si>
    <t>The Soul of the Mongolian Horseman | Free Documentary</t>
  </si>
  <si>
    <t>2025-10-17T13:00:47Z</t>
  </si>
  <si>
    <t>YsbWGzbXJ14</t>
  </si>
  <si>
    <t>The Sacred City on the Edge of Decay | Habitats of the World: India | Free Documentary</t>
  </si>
  <si>
    <t>2025-10-15T13:00:50Z</t>
  </si>
  <si>
    <t>3Aa9uKNFC7o</t>
  </si>
  <si>
    <t>Kids in Jail: Young Offenders Behind Bars | Free Documentary</t>
  </si>
  <si>
    <t>2025-10-12T13:00:46Z</t>
  </si>
  <si>
    <t>bJUtYveVX30</t>
  </si>
  <si>
    <t>Red Zones: The World's Most Dangerous Living Conditions | Free Documentary</t>
  </si>
  <si>
    <t>2025-10-10T13:01:51Z</t>
  </si>
  <si>
    <t>zry69CthjBw</t>
  </si>
  <si>
    <t>Houses of the Dead | Habitats of the World: Indonesia | Free Documentary</t>
  </si>
  <si>
    <t>2025-10-08T13:00:52Z</t>
  </si>
  <si>
    <t>V2zZj3jHg50</t>
  </si>
  <si>
    <t>Prison Girls: Life Inside America’s Toughest Women’s Prison | Complete Series | Free Documentary</t>
  </si>
  <si>
    <t>2025-10-05T13:00:56Z</t>
  </si>
  <si>
    <t>UWSLfwrRcxE</t>
  </si>
  <si>
    <t>The Filipino Purge: World’s Most Feared Drug War | Free Documentary</t>
  </si>
  <si>
    <t>2025-10-03T13:00:49Z</t>
  </si>
  <si>
    <t>kISM2SeKyDQ</t>
  </si>
  <si>
    <t>The Biggest City You Can’t Reach By Car | Habitats of the World: Peru | Free Documentary</t>
  </si>
  <si>
    <t>2025-10-01T13:00:54Z</t>
  </si>
  <si>
    <t>3bZ7fuAQ7HQ</t>
  </si>
  <si>
    <t>World's Toughest Car Trip: The Last Overland Route | Full Series | Free Documentary</t>
  </si>
  <si>
    <t>2025-09-28T13:01:00Z</t>
  </si>
  <si>
    <t>mmfnE9THpUw</t>
  </si>
  <si>
    <t>World's Deadliest Roads | Texas: Interstate 35 | Free Documentary</t>
  </si>
  <si>
    <t>2025-09-26T13:00:55Z</t>
  </si>
  <si>
    <t>e7bprVsVdy0</t>
  </si>
  <si>
    <t>The City That Tried to Build a Perfect World | Habitats of the World: India | Free Documentary</t>
  </si>
  <si>
    <t>2025-09-24T13:00:46Z</t>
  </si>
  <si>
    <t>62cDQIRsnHQ</t>
  </si>
  <si>
    <t>Inside Japan’s Prisons: The Most Ruthless Prison System | Free Documentary</t>
  </si>
  <si>
    <t>2025-09-21T13:00:56Z</t>
  </si>
  <si>
    <t>l4yGpKYuHcA</t>
  </si>
  <si>
    <t>People of the Sea: Lives Shaped by the Ocean | Colombia, Honduras, Panama, Brazil | Free Documentary</t>
  </si>
  <si>
    <t>2025-09-19T13:00:58Z</t>
  </si>
  <si>
    <t>HlXcSdkgEi4</t>
  </si>
  <si>
    <t>Wasteland Houses: Defying a Poisonous Land | Habitats of the World: Bolivia | Free Documentary</t>
  </si>
  <si>
    <t>2025-09-17T13:00:53Z</t>
  </si>
  <si>
    <t>K0uxX2tQFFQ</t>
  </si>
  <si>
    <t>World’s Toughest Road Trip: Myanmar &amp; India | The Last Overland | Free Documentary</t>
  </si>
  <si>
    <t>2025-09-14T13:00:58Z</t>
  </si>
  <si>
    <t>aIoAyop9arM</t>
  </si>
  <si>
    <t>People of the Sea: Survival in a World of Water | Indonesia, Timor &amp; India | Free Documentary</t>
  </si>
  <si>
    <t>2025-09-12T13:00:54Z</t>
  </si>
  <si>
    <t>IY908vmjKeQ</t>
  </si>
  <si>
    <t>Paper-Thin Houses: Living Inside a Machiya | Habitats of the World: Kyoto | Free Documentary</t>
  </si>
  <si>
    <t>2025-09-10T13:00:47Z</t>
  </si>
  <si>
    <t>wOIJe7nIyGQ</t>
  </si>
  <si>
    <t>Transgender in a Women’s Jail | WCC Massachusetts, USA: Prison Girls | Free Documentary</t>
  </si>
  <si>
    <t>2025-09-07T13:00:48Z</t>
  </si>
  <si>
    <t>MUShgIXvQcg</t>
  </si>
  <si>
    <t>Wizards of Wood | The Zafimaniry: Madagascar’s Master Craftsmen | Free Documentary</t>
  </si>
  <si>
    <t>2025-09-05T13:00:46Z</t>
  </si>
  <si>
    <t>1AusNQLgBMI</t>
  </si>
  <si>
    <t>No Land, No Road, Just Reeds: Life on a Reed Island | Habitats of the World: Peru | Free Documentary</t>
  </si>
  <si>
    <t>2025-09-03T13:00:46Z</t>
  </si>
  <si>
    <t>o3I1sn9avpI</t>
  </si>
  <si>
    <t>World’s Toughest Road Trip: Malaysia, Thailand &amp; More | The Last Overland | Free Documentary</t>
  </si>
  <si>
    <t>2025-08-31T13:00:55Z</t>
  </si>
  <si>
    <t>IA1eZejjNKc</t>
  </si>
  <si>
    <t>Mali’s Dogon Warriors - Defending the Sahel | Free Documentary</t>
  </si>
  <si>
    <t>2025-08-29T13:00:46Z</t>
  </si>
  <si>
    <t>NGTSAXJf1P0</t>
  </si>
  <si>
    <t>The Village Where the Roof Is the Road | Habitats of the World: Iran | Free Documentary</t>
  </si>
  <si>
    <t>2025-08-27T13:00:56Z</t>
  </si>
  <si>
    <t>hxhgE_xAbEs</t>
  </si>
  <si>
    <t>Pregnant, Addicted, Locked Up | WCC Massachusetts, USA: Prison Girls | Free Documentary</t>
  </si>
  <si>
    <t>2025-08-24T13:00:46Z</t>
  </si>
  <si>
    <t>D3vT7wF5rv0</t>
  </si>
  <si>
    <t>Tanzania’s Last Hunter-Gatherers | The Hadzabe Tribe Unfiltered | Free Documentary</t>
  </si>
  <si>
    <t>2025-08-22T13:00:53Z</t>
  </si>
  <si>
    <t>cZZeC7m4oy0</t>
  </si>
  <si>
    <t>Village in the Clouds: Ultra-high Altitude Life | Habitats of the World: Nepal | Free Documentary</t>
  </si>
  <si>
    <t>2025-08-20T13:00:54Z</t>
  </si>
  <si>
    <t>1Nd55gjLVLk</t>
  </si>
  <si>
    <t>Women on Death Row | Free Documentary</t>
  </si>
  <si>
    <t>2025-08-17T13:00:47Z</t>
  </si>
  <si>
    <t>1TiFD8od4ac</t>
  </si>
  <si>
    <t>Central African Republic - In The Heart of Chaos | Free Documentary</t>
  </si>
  <si>
    <t>2025-08-15T13:00:58Z</t>
  </si>
  <si>
    <t>WtuoK7jH5xg</t>
  </si>
  <si>
    <t>The Northernmost Town on Earth | Habitats of the World: High Arctic | Free Documentary</t>
  </si>
  <si>
    <t>2025-08-13T13:00:51Z</t>
  </si>
  <si>
    <t>d_wydBfgSpk</t>
  </si>
  <si>
    <t>Iran's Last Great Nomads | Inside the Bakhtiari Tribe | Free Documentary</t>
  </si>
  <si>
    <t>2025-08-10T13:00:59Z</t>
  </si>
  <si>
    <t>JcZKE04wFUU</t>
  </si>
  <si>
    <t>The Most Destructive Tornado Day Ever | Alabama Super Outbreak | Free Documentary</t>
  </si>
  <si>
    <t>2025-08-08T13:00:56Z</t>
  </si>
  <si>
    <t>W4tdE9v1hSI</t>
  </si>
  <si>
    <t>The Floating Villages of Inle Lake | Habitats of the World: Myanmar | Free Documentary</t>
  </si>
  <si>
    <t>2025-08-06T13:00:50Z</t>
  </si>
  <si>
    <t>MqgyRslKo_A</t>
  </si>
  <si>
    <t>World's Biggest Market | Inside Central de Abasto: Cartel’s Playground? | Free Documentary</t>
  </si>
  <si>
    <t>2025-08-03T13:00:48Z</t>
  </si>
  <si>
    <t>a5dAzRpp7L0</t>
  </si>
  <si>
    <t>The Monster Storm That Wouldn’t Stop | Hurricane Matthew | Free Documentary</t>
  </si>
  <si>
    <t>2025-08-01T13:00:47Z</t>
  </si>
  <si>
    <t>DIFzAMEmNDs</t>
  </si>
  <si>
    <t>Living in an Earth Fortress | Habitats of the World: Togo | Free Documentary</t>
  </si>
  <si>
    <t>2025-07-30T13:00:47Z</t>
  </si>
  <si>
    <t>CO8FtiTLOzs</t>
  </si>
  <si>
    <t>World's Deadliest Roads | Canada: Route 132 | Free Documentary</t>
  </si>
  <si>
    <t>2025-07-27T13:00:46Z</t>
  </si>
  <si>
    <t>h5F6VXGW2wA</t>
  </si>
  <si>
    <t>The Worst Disaster in Modern Canadian History | Fort McMurray Inferno | Free Documentary</t>
  </si>
  <si>
    <t>2025-07-25T13:01:05Z</t>
  </si>
  <si>
    <t>4dTDm0TNRTo</t>
  </si>
  <si>
    <t>The Bamboo Houses of the Adi Tribe | Habitats of the World: India | Free Documentary</t>
  </si>
  <si>
    <t>2025-07-23T13:00:46Z</t>
  </si>
  <si>
    <t>VKUh3Jp8xF4</t>
  </si>
  <si>
    <t>World's Deadliest Roads | India: Tracks of Doom | Free Documentary</t>
  </si>
  <si>
    <t>2025-07-20T13:00:53Z</t>
  </si>
  <si>
    <t>27f_YrNeUMQ</t>
  </si>
  <si>
    <t>The Flood of Floods | Alberta Underwater | Free Documentary</t>
  </si>
  <si>
    <t>2025-07-18T13:00:56Z</t>
  </si>
  <si>
    <t>hBqCMI81pHY</t>
  </si>
  <si>
    <t>Village in a Castle: Life Behind Fortress Walls | Habitats of the World: China | Free Documentary</t>
  </si>
  <si>
    <t>2025-07-16T13:00:48Z</t>
  </si>
  <si>
    <t>WACqoTGWa_w</t>
  </si>
  <si>
    <t>Dangerous Cities: Cape Town - Inside South Africa’s Gang Wars | Free Documentary</t>
  </si>
  <si>
    <t>2025-07-13T13:00:47Z</t>
  </si>
  <si>
    <t>hotgTJ8d_E0</t>
  </si>
  <si>
    <t>World's Last Nomads | Mongolia: The Hunter’s Final Dilemma | Free Documentary</t>
  </si>
  <si>
    <t>2025-07-11T13:00:54Z</t>
  </si>
  <si>
    <t>18IvIfCqU6I</t>
  </si>
  <si>
    <t>Tunnel Houses: Living in an Ultra-thin Tube | Habitats of the World: Vietnam | Free Documentary</t>
  </si>
  <si>
    <t>2025-07-09T13:01:02Z</t>
  </si>
  <si>
    <t>rrirG3iCWv8</t>
  </si>
  <si>
    <t>Dangerous Cities: Rio - Inside Brazil’s Urban Battlefield | Free Documentary</t>
  </si>
  <si>
    <t>2025-07-06T13:00:59Z</t>
  </si>
  <si>
    <t>OJsSuecpJ-g</t>
  </si>
  <si>
    <t>Changi Prison Fortress: Inside Singapore’s Only Female Prison | Part 3 | Free Documentary</t>
  </si>
  <si>
    <t>2025-07-04T13:00:57Z</t>
  </si>
  <si>
    <t>JEIKDq5RtTc</t>
  </si>
  <si>
    <t>The Megacity of Micro Homes | Habitats of the World: Tokyo | Free Documentary</t>
  </si>
  <si>
    <t>2025-07-02T13:00:48Z</t>
  </si>
  <si>
    <t>TikK5aAk8pc</t>
  </si>
  <si>
    <t>Gangs of Papua New Guinea | Raskols | Free Documentary</t>
  </si>
  <si>
    <t>2025-06-29T13:00:52Z</t>
  </si>
  <si>
    <t>7X331yhfWb0</t>
  </si>
  <si>
    <t>Changi Prison Fortress: Inside Singapore’s Only Female Prison | Part 2 | Free Documentary</t>
  </si>
  <si>
    <t>2025-06-27T13:00:52Z</t>
  </si>
  <si>
    <t>Mo45k4w4VOM</t>
  </si>
  <si>
    <t>The City of Clay | Habitats of the World: Burkina Faso | Free Documentary</t>
  </si>
  <si>
    <t>2025-06-25T13:00:45Z</t>
  </si>
  <si>
    <t>pI-ent75XFk</t>
  </si>
  <si>
    <t>Red Zones - World’s Toughest Places | Congo - Conflict and Blood Gold | Free Documentary</t>
  </si>
  <si>
    <t>2025-06-22T13:00:50Z</t>
  </si>
  <si>
    <t>F4kirILWJRs</t>
  </si>
  <si>
    <t>Changi Prison Fortress: Inside Singapore’s Only Female Prison | Part 1 | Free Documentary</t>
  </si>
  <si>
    <t>2025-06-20T13:00:49Z</t>
  </si>
  <si>
    <t>Kz-i90Xa244</t>
  </si>
  <si>
    <t>The Last Volcanic Cave Village | Habitats of the World: Iran | Free Documentary</t>
  </si>
  <si>
    <t>2025-06-18T13:00:56Z</t>
  </si>
  <si>
    <t>WlEX62_Bx9o</t>
  </si>
  <si>
    <t>Secrets of the Five-Masted Marvel: Inside the World’s Biggest Sailing Ship | Free Documentary</t>
  </si>
  <si>
    <t>2025-06-15T13:00:55Z</t>
  </si>
  <si>
    <t>_3EORqhBQGM</t>
  </si>
  <si>
    <t>Colombian Cartels: Meet the World's Biggest Drug Suppliers | Free Documentary</t>
  </si>
  <si>
    <t>2025-06-13T13:00:48Z</t>
  </si>
  <si>
    <t>yO4OZVMWPTY</t>
  </si>
  <si>
    <t>World's Deadliest Roads | Florida: Peril in Paradise | Free Documentary</t>
  </si>
  <si>
    <t>2025-06-11T13:05:39Z</t>
  </si>
  <si>
    <t>_xCIIrk0EGc</t>
  </si>
  <si>
    <t>World’s Toughest Trains | Thai Rail: The Death Railway | Free Documentary</t>
  </si>
  <si>
    <t>2025-06-08T13:04:32Z</t>
  </si>
  <si>
    <t>QvBCzaRsyb4</t>
  </si>
  <si>
    <t>World's Most Brutal Cartel | Mexico: The Sinaloa Connection | Free Documentary</t>
  </si>
  <si>
    <t>2025-06-06T13:01:43Z</t>
  </si>
  <si>
    <t>WlH3YpbRpKg</t>
  </si>
  <si>
    <t>World's Deadliest Roads | California: A Golden State's Dark Side | Free Documentary</t>
  </si>
  <si>
    <t>2025-06-04T13:00:52Z</t>
  </si>
  <si>
    <t>F_4bjS7O72o</t>
  </si>
  <si>
    <t>World’s Toughest Ships | Extreme Dredger: Breaking the Unbreakable | Free Documentary</t>
  </si>
  <si>
    <t>2025-06-01T13:00:51Z</t>
  </si>
  <si>
    <t>iIGXugrTaMA</t>
  </si>
  <si>
    <t>Gangland Marseille: War of the Drug Cartels | Free Documentary</t>
  </si>
  <si>
    <t>2025-05-30T13:00:47Z</t>
  </si>
  <si>
    <t>iexl2QsU_E4</t>
  </si>
  <si>
    <t>World's Deadliest Roads | Mexico: Highways of Carnage | Free Documentary</t>
  </si>
  <si>
    <t>2025-05-28T13:00:47Z</t>
  </si>
  <si>
    <t>oNGv6N9Yiec</t>
  </si>
  <si>
    <t>World’s Toughest Ships | Frozen Cargo Vessel: The Arctic's Lifeline | Free Documentary</t>
  </si>
  <si>
    <t>2025-05-25T13:00:54Z</t>
  </si>
  <si>
    <t>3dWWgYmH2G4</t>
  </si>
  <si>
    <t>Gang Capital of the World | Port-au-Prince: A City Held Hostage | Free Documentary</t>
  </si>
  <si>
    <t>2025-05-23T13:00:47Z</t>
  </si>
  <si>
    <t>5RdQK7YOIjU</t>
  </si>
  <si>
    <t>The MH17 Mystery: Who Took Down Malaysia Airlines Flight 17? | What Went Wrong | Free Documentary</t>
  </si>
  <si>
    <t>2025-05-21T13:00:55Z</t>
  </si>
  <si>
    <t>Si0Sh5HbzEE</t>
  </si>
  <si>
    <t>World’s Most Dangerous Roads | Georgia, Bangladesch, Indonesia, Burundi | Free Documentary</t>
  </si>
  <si>
    <t>2025-05-18T13:00:47Z</t>
  </si>
  <si>
    <t>obIDd6SmgWg</t>
  </si>
  <si>
    <t>Narcos in Paradise | Los Cabos: Where Millionaires and Mexican Cartels Collide | Free Documentary</t>
  </si>
  <si>
    <t>2025-05-16T13:00:56Z</t>
  </si>
  <si>
    <t>y9HlSWmDtLw</t>
  </si>
  <si>
    <t>How This Dying Rainforest Is a Sign of Things to Come</t>
  </si>
  <si>
    <t>2026-08-20T16:19:47Z</t>
  </si>
  <si>
    <t>UCpxYSWgxVt3Pyn1ovXsGQ0g</t>
  </si>
  <si>
    <t>PBS Terra</t>
  </si>
  <si>
    <t>PW1_v7K2d7w</t>
  </si>
  <si>
    <t>You’re not paying enough attention to moss</t>
  </si>
  <si>
    <t>2026-08-17T17:45:20Z</t>
  </si>
  <si>
    <t>GL3YUDYWcTI</t>
  </si>
  <si>
    <t>EXTREME HEAT Is Getting Worse, and It Will Reshape Earth FOREVER</t>
  </si>
  <si>
    <t>2026-08-10T15:00:16Z</t>
  </si>
  <si>
    <t>rtrVruYF48Y</t>
  </si>
  <si>
    <t>These places seem out of place</t>
  </si>
  <si>
    <t>2026-08-04T15:00:28Z</t>
  </si>
  <si>
    <t>69o-8Mtd3Kc</t>
  </si>
  <si>
    <t>A SUPER El Niño Triggered History’s DEADLIEST Disaster. THIS One Might Be Worse.</t>
  </si>
  <si>
    <t>2026-07-28T15:00:23Z</t>
  </si>
  <si>
    <t>vfquT63htyI</t>
  </si>
  <si>
    <t>Why Are Europe’s Heatwaves the Deadliest?</t>
  </si>
  <si>
    <t>2026-07-24T14:00:39Z</t>
  </si>
  <si>
    <t>o21a0jkC_Ww</t>
  </si>
  <si>
    <t>Peep this dazzling high stakes mating game</t>
  </si>
  <si>
    <t>2026-07-21T20:25:32Z</t>
  </si>
  <si>
    <t>KZ_t6YKUjKY</t>
  </si>
  <si>
    <t>Is this the STRANGEST Natural Disaster Coincidence?</t>
  </si>
  <si>
    <t>2026-07-16T19:07:41Z</t>
  </si>
  <si>
    <t>G3KQW7M4VFI</t>
  </si>
  <si>
    <t>48 Minutes of the Weirdest Nature in America</t>
  </si>
  <si>
    <t>2026-07-09T15:00:02Z</t>
  </si>
  <si>
    <t>4BiYXQGWqSA</t>
  </si>
  <si>
    <t>This Is the Most Dangerous Volcano on Earth. And It’s Not Even Close.</t>
  </si>
  <si>
    <t>2026-07-07T16:53:59Z</t>
  </si>
  <si>
    <t>nLUAN2Rev1E</t>
  </si>
  <si>
    <t>America's Most TOXIC Site Could Be Worse Than CHERNOBYL</t>
  </si>
  <si>
    <t>2026-07-02T16:00:28Z</t>
  </si>
  <si>
    <t>t-J5QNauVIc</t>
  </si>
  <si>
    <t>This Ancient Swamp Is Hiding a Carbon Time Bomb</t>
  </si>
  <si>
    <t>2026-06-25T15:30:24Z</t>
  </si>
  <si>
    <t>WBQDWwhzuII</t>
  </si>
  <si>
    <t>The fascinating phenomena of recursive islands</t>
  </si>
  <si>
    <t>2026-06-23T14:00:18Z</t>
  </si>
  <si>
    <t>fFlkixHDyWU</t>
  </si>
  <si>
    <t>These Human Footprints Changed Everything</t>
  </si>
  <si>
    <t>2026-06-18T18:15:02Z</t>
  </si>
  <si>
    <t>A7iKAyGbFCs</t>
  </si>
  <si>
    <t>Why America's Deadliest Disaster is Essentially Invisible</t>
  </si>
  <si>
    <t>2026-06-16T19:02:43Z</t>
  </si>
  <si>
    <t>5p426fSlYH4</t>
  </si>
  <si>
    <t>We Saw What AI Data Centers Don't Want You to See</t>
  </si>
  <si>
    <t>2026-05-28T15:35:26Z</t>
  </si>
  <si>
    <t>5uJSwfRBFpM</t>
  </si>
  <si>
    <t>How a SUPER El Niño Can Trigger the WORST Natural Disaster</t>
  </si>
  <si>
    <t>2026-05-27T16:45:06Z</t>
  </si>
  <si>
    <t>7_US-EEgH6c</t>
  </si>
  <si>
    <t>The Perfect Storm Hasn’t Happened Yet. But It Will.</t>
  </si>
  <si>
    <t>2026-05-21T18:00:08Z</t>
  </si>
  <si>
    <t>tau6F1qMXUQ</t>
  </si>
  <si>
    <t>These are the most EXTREME tides on Earth</t>
  </si>
  <si>
    <t>2026-05-18T19:12:03Z</t>
  </si>
  <si>
    <t>hqp9GlNFQWs</t>
  </si>
  <si>
    <t>This lake kills with its burps</t>
  </si>
  <si>
    <t>2026-05-12T14:01:03Z</t>
  </si>
  <si>
    <t>ETdmBUHM830</t>
  </si>
  <si>
    <t>How Cows Turn Soil Into a Sponge</t>
  </si>
  <si>
    <t>2026-05-08T14:00:31Z</t>
  </si>
  <si>
    <t>5UTQ4KrtVGc</t>
  </si>
  <si>
    <t>Tornado Alley Is MOVING and That's a HUGE Problem</t>
  </si>
  <si>
    <t>2026-04-30T18:00:05Z</t>
  </si>
  <si>
    <t>PkQ8ORLcweA</t>
  </si>
  <si>
    <t>These are the weirdest sharks out there</t>
  </si>
  <si>
    <t>2026-04-29T19:30:04Z</t>
  </si>
  <si>
    <t>zrHJoyy3gwM</t>
  </si>
  <si>
    <t>What are birds hiding under their feathers?</t>
  </si>
  <si>
    <t>2026-04-27T15:01:42Z</t>
  </si>
  <si>
    <t>ZfHe74eXD9w</t>
  </si>
  <si>
    <t>Three Cyclones at Once?! But That’s Not the Weird Part</t>
  </si>
  <si>
    <t>2026-04-23T23:14:44Z</t>
  </si>
  <si>
    <t>X0N4IU62AnQ</t>
  </si>
  <si>
    <t>How does this fish survive DEATH VALLEY?</t>
  </si>
  <si>
    <t>2026-04-22T16:42:00Z</t>
  </si>
  <si>
    <t>eNtGTE7zxgg</t>
  </si>
  <si>
    <t>What exactly are the Horse Latitudes?</t>
  </si>
  <si>
    <t>2026-04-20T15:01:06Z</t>
  </si>
  <si>
    <t>ivoV1rwiYJk</t>
  </si>
  <si>
    <t>America Made Its Most Toxic Lake. Now We Need What's Inside.</t>
  </si>
  <si>
    <t>2026-04-16T17:45:41Z</t>
  </si>
  <si>
    <t>QhvrgohnLcw</t>
  </si>
  <si>
    <t>The Truth About Sea Level</t>
  </si>
  <si>
    <t>2026-04-15T22:15:01Z</t>
  </si>
  <si>
    <t>HBE4vCCMaF8</t>
  </si>
  <si>
    <t>Is This the Most Dangerous River in America?</t>
  </si>
  <si>
    <t>2026-04-14T10:45:02Z</t>
  </si>
  <si>
    <t>SX7p8JYqZhg</t>
  </si>
  <si>
    <t>What makes bird feet so special?</t>
  </si>
  <si>
    <t>2026-04-06T19:45:01Z</t>
  </si>
  <si>
    <t>bZwB7kRhLIc</t>
  </si>
  <si>
    <t>The Cascadia Megaquake Is Inevitable. And It Will Reshape America Forever</t>
  </si>
  <si>
    <t>2026-04-02T15:01:03Z</t>
  </si>
  <si>
    <t>KvUWf1pGmDw</t>
  </si>
  <si>
    <t>This island is a giant Petri dish</t>
  </si>
  <si>
    <t>2026-03-26T13:00:36Z</t>
  </si>
  <si>
    <t>Dka4mcVQ4mA</t>
  </si>
  <si>
    <t>A Hidden Antarctic Tipping Point May Have Just Been Triggered</t>
  </si>
  <si>
    <t>2026-03-19T18:00:13Z</t>
  </si>
  <si>
    <t>r8VU1bZdXKA</t>
  </si>
  <si>
    <t>This Winter Was the HOTTEST and COLDEST EVER ?!?</t>
  </si>
  <si>
    <t>2026-03-18T20:52:54Z</t>
  </si>
  <si>
    <t>t9i1v2GhekQ</t>
  </si>
  <si>
    <t>Why Did This Farm Survive Vermont's Extreme Floods?</t>
  </si>
  <si>
    <t>2026-03-12T15:01:37Z</t>
  </si>
  <si>
    <t>0jd0HUQ2mnY</t>
  </si>
  <si>
    <t>Why are hurricanes scared of South America?</t>
  </si>
  <si>
    <t>2026-03-10T19:00:01Z</t>
  </si>
  <si>
    <t>QVKeAcVP9AQ</t>
  </si>
  <si>
    <t>The Hidden Danger of the Northern Lights</t>
  </si>
  <si>
    <t>2026-03-05T19:08:06Z</t>
  </si>
  <si>
    <t>53zGQT_akoo</t>
  </si>
  <si>
    <t>Is This the ABSOLUTE Worst Case Tipping Point?</t>
  </si>
  <si>
    <t>2026-02-26T18:59:16Z</t>
  </si>
  <si>
    <t>M4pSD1D1JMo</t>
  </si>
  <si>
    <t>Climate Change Won't End the World. This Could.</t>
  </si>
  <si>
    <t>2026-02-12T19:00:27Z</t>
  </si>
  <si>
    <t>JS0b19OqBJo</t>
  </si>
  <si>
    <t>Why did the Ice Age forget this one spot?</t>
  </si>
  <si>
    <t>2026-02-12T16:58:21Z</t>
  </si>
  <si>
    <t>ZZCLAgLj_dE</t>
  </si>
  <si>
    <t>Why Do Farmers Love This Seed?</t>
  </si>
  <si>
    <t>2026-02-05T18:15:04Z</t>
  </si>
  <si>
    <t>mpOpmANCXJo</t>
  </si>
  <si>
    <t>The Vegetables 99% of American Farms Refuse to Grow</t>
  </si>
  <si>
    <t>2026-01-29T16:01:11Z</t>
  </si>
  <si>
    <t>x2pn6X9K2-A</t>
  </si>
  <si>
    <t>This Storm is OVERPOWERING Global Warming ?!?</t>
  </si>
  <si>
    <t>2026-01-27T21:31:57Z</t>
  </si>
  <si>
    <t>twMsC2NVBK4</t>
  </si>
  <si>
    <t>How Stealing Endangered Turtle Eggs Saved Them From Extinction</t>
  </si>
  <si>
    <t>2026-01-22T16:01:31Z</t>
  </si>
  <si>
    <t>ZkzlDzfYy6E</t>
  </si>
  <si>
    <t>What if the Deccan Traps erupted today?</t>
  </si>
  <si>
    <t>2026-01-20T22:14:05Z</t>
  </si>
  <si>
    <t>wugkIxGKzx8</t>
  </si>
  <si>
    <t>This Is How the World Ends According to Science</t>
  </si>
  <si>
    <t>2026-01-16T00:07:51Z</t>
  </si>
  <si>
    <t>L3Ssc4fqPq0</t>
  </si>
  <si>
    <t>The weird way bees use pheromones</t>
  </si>
  <si>
    <t>2026-01-08T22:30:09Z</t>
  </si>
  <si>
    <t>tYNwfj74WsI</t>
  </si>
  <si>
    <t>I Know Why LA Burned (And Why It WILL Happen Again)</t>
  </si>
  <si>
    <t>2026-01-08T01:01:21Z</t>
  </si>
  <si>
    <t>U-kreNB4avQ</t>
  </si>
  <si>
    <t>Why Bees Are Swarming Our Cities</t>
  </si>
  <si>
    <t>2025-12-18T16:00:49Z</t>
  </si>
  <si>
    <t>3vb2wEaZ_rI</t>
  </si>
  <si>
    <t>How can these rivers flow BACKWARDS?</t>
  </si>
  <si>
    <t>2025-12-17T23:57:32Z</t>
  </si>
  <si>
    <t>nXvWSktbpd0</t>
  </si>
  <si>
    <t>A Cat-4 atmospheric river just SLAMMED the PNW</t>
  </si>
  <si>
    <t>2025-12-12T18:44:14Z</t>
  </si>
  <si>
    <t>xRnub-FtKtE</t>
  </si>
  <si>
    <t>How Goats Make Your Food Healthier</t>
  </si>
  <si>
    <t>2025-12-05T19:01:04Z</t>
  </si>
  <si>
    <t>bg7x6mlD5Js</t>
  </si>
  <si>
    <t>The WORST Climate News I've Ever Seen</t>
  </si>
  <si>
    <t>2025-12-04T19:00:45Z</t>
  </si>
  <si>
    <t>aKCSMZwYLF8</t>
  </si>
  <si>
    <t>The invisible cloud which connects two worlds</t>
  </si>
  <si>
    <t>2025-11-26T17:30:00Z</t>
  </si>
  <si>
    <t>5ji0Pu8ZW2k</t>
  </si>
  <si>
    <t>Is this the world's WEIRDEST glacier?</t>
  </si>
  <si>
    <t>2025-11-21T17:00:14Z</t>
  </si>
  <si>
    <t>RhAi7F360Y4</t>
  </si>
  <si>
    <t>How Tiny Hooves Are Rewilding the Great Plains</t>
  </si>
  <si>
    <t>2025-11-18T16:00:56Z</t>
  </si>
  <si>
    <t>4GD64GTRpXM</t>
  </si>
  <si>
    <t>There's Something MUCH Bigger Than Yellowstone. And It Will Happen Again.</t>
  </si>
  <si>
    <t>2025-11-13T19:00:09Z</t>
  </si>
  <si>
    <t>1ElTiJL_cZU</t>
  </si>
  <si>
    <t>This Brazilian national park is unlike anywhere on Earth</t>
  </si>
  <si>
    <t>2025-11-10T17:00:02Z</t>
  </si>
  <si>
    <t>mgqJHTetu3Y</t>
  </si>
  <si>
    <t>Why do BILLIONS of flowers bloom in the desert?</t>
  </si>
  <si>
    <t>2025-11-06T20:07:52Z</t>
  </si>
  <si>
    <t>5_1sL7Addic</t>
  </si>
  <si>
    <t>Did we just witness the LIMIT of hurricane power?</t>
  </si>
  <si>
    <t>2025-10-31T00:57:56Z</t>
  </si>
  <si>
    <t>biGJ_5t30Lk</t>
  </si>
  <si>
    <t>It Looks Like a Desert. But It Has Thousands of Lakes</t>
  </si>
  <si>
    <t>2025-10-28T15:01:17Z</t>
  </si>
  <si>
    <t>U4ZrcFMtHx0</t>
  </si>
  <si>
    <t>Mushrooms Can Eat Metal?!</t>
  </si>
  <si>
    <t>2025-10-27T19:00:25Z</t>
  </si>
  <si>
    <t>ECYMHIbBYyI</t>
  </si>
  <si>
    <t>We Just Crossed Our FIRST Tipping Point… And It’s NOT What You Think</t>
  </si>
  <si>
    <t>2025-10-23T18:00:19Z</t>
  </si>
  <si>
    <t>aDYefKyC6Po</t>
  </si>
  <si>
    <t>How are hurricanes hitting ALASKA now?</t>
  </si>
  <si>
    <t>2025-10-21T16:25:00Z</t>
  </si>
  <si>
    <t>yjkqQfgYlVA</t>
  </si>
  <si>
    <t>The continent that’s tearing itself apart</t>
  </si>
  <si>
    <t>2025-10-16T20:50:14Z</t>
  </si>
  <si>
    <t>3vkvPErIvss</t>
  </si>
  <si>
    <t>Why The World’s Rarest Fish Is Trapped In The Hottest Desert On Earth</t>
  </si>
  <si>
    <t>2025-10-14T15:00:11Z</t>
  </si>
  <si>
    <t>ViDfJ9kx2lA</t>
  </si>
  <si>
    <t>How American Chestnut Trees (Nearly) Disappeared</t>
  </si>
  <si>
    <t>2025-10-13T15:01:01Z</t>
  </si>
  <si>
    <t>UBYmiesEBnM</t>
  </si>
  <si>
    <t>She's Healing Wildfire Pollution. With Mushrooms.</t>
  </si>
  <si>
    <t>2025-10-09T15:00:53Z</t>
  </si>
  <si>
    <t>Q0UBobfMkuk</t>
  </si>
  <si>
    <t>The hidden cause of the life expectancy gap</t>
  </si>
  <si>
    <t>2025-10-08T20:45:01Z</t>
  </si>
  <si>
    <t>uSDJMGm0-wE</t>
  </si>
  <si>
    <t>Did we just witness a ONCE IN A LIFETIME event?</t>
  </si>
  <si>
    <t>2025-10-03T15:01:45Z</t>
  </si>
  <si>
    <t>wzL7Symegmg</t>
  </si>
  <si>
    <t>Are we playing chicken with hurricanes like Melissa?</t>
  </si>
  <si>
    <t>2025-10-02T18:00:58Z</t>
  </si>
  <si>
    <t>dkLeTKdbmLA</t>
  </si>
  <si>
    <t>California’s Deadliest Body of Water</t>
  </si>
  <si>
    <t>2025-09-30T14:01:08Z</t>
  </si>
  <si>
    <t>SAB_dr6TLn0</t>
  </si>
  <si>
    <t>Something weird happened to these trees…</t>
  </si>
  <si>
    <t>2025-09-29T17:00:43Z</t>
  </si>
  <si>
    <t>VUeVDiTC0U4</t>
  </si>
  <si>
    <t>What causes these MASSIVE waves?</t>
  </si>
  <si>
    <t>2025-09-25T20:45:17Z</t>
  </si>
  <si>
    <t>ADA6cuWy8Xg</t>
  </si>
  <si>
    <t>America's Great Lost Tree Is Finally Returning</t>
  </si>
  <si>
    <t>2025-09-23T16:00:31Z</t>
  </si>
  <si>
    <t>FtNMdpFeuxo</t>
  </si>
  <si>
    <t>The Ocean’s Most Underrated Creature?</t>
  </si>
  <si>
    <t>2025-09-19T15:00:29Z</t>
  </si>
  <si>
    <t>LsToZlTBeGc</t>
  </si>
  <si>
    <t>Did Scientists Just Figure Out Why People Die A DECADE Earlier in the Southeast US?</t>
  </si>
  <si>
    <t>2025-09-18T18:00:18Z</t>
  </si>
  <si>
    <t>S79IBVP7uRE</t>
  </si>
  <si>
    <t>How Did Rabbits Almost Wreck Australia?</t>
  </si>
  <si>
    <t>2025-09-17T14:00:48Z</t>
  </si>
  <si>
    <t>5hxp_VWFR3A</t>
  </si>
  <si>
    <t>These Ancient Footprints Rewrite Human History</t>
  </si>
  <si>
    <t>2025-09-16T15:00:21Z</t>
  </si>
  <si>
    <t>bfl-96qEwwM</t>
  </si>
  <si>
    <t>How can a river flow THROUGH a mountain?</t>
  </si>
  <si>
    <t>2025-09-11T22:00:02Z</t>
  </si>
  <si>
    <t>tJcO0Eh5M-Y</t>
  </si>
  <si>
    <t>I Visited America's Poison Sea</t>
  </si>
  <si>
    <t>2025-09-09T16:01:40Z</t>
  </si>
  <si>
    <t>_BAljvV8JfE</t>
  </si>
  <si>
    <t>How Microplastics Infiltrated Our Food (And One Way To Get Them Out)</t>
  </si>
  <si>
    <t>2025-09-04T15:01:08Z</t>
  </si>
  <si>
    <t>8N7hecK0Fa4</t>
  </si>
  <si>
    <t>The Ice Age Graveyard Discovered by Mistake</t>
  </si>
  <si>
    <t>2025-09-02T14:00:14Z</t>
  </si>
  <si>
    <t>r3VGALlunDw</t>
  </si>
  <si>
    <t>The Mystery of Northern Lights Sounds</t>
  </si>
  <si>
    <t>2025-09-01T14:01:32Z</t>
  </si>
  <si>
    <t>GMf32qo7CHk</t>
  </si>
  <si>
    <t>Is There a Goldilocks Zone of Global Warming?</t>
  </si>
  <si>
    <t>2025-08-28T18:00:21Z</t>
  </si>
  <si>
    <t>WEwTHys9Nuo</t>
  </si>
  <si>
    <t>How 13 Rabbits Became 600 Million</t>
  </si>
  <si>
    <t>2025-08-26T16:00:56Z</t>
  </si>
  <si>
    <t>p7J7IyAaw1k</t>
  </si>
  <si>
    <t>How a MASSIVE dam altered the length of a day</t>
  </si>
  <si>
    <t>2025-08-22T19:23:50Z</t>
  </si>
  <si>
    <t>YiOW_Sb_iFE</t>
  </si>
  <si>
    <t>The Odd Yet Brilliant Method Protecting Millions of Bees</t>
  </si>
  <si>
    <t>2025-08-21T14:00:53Z</t>
  </si>
  <si>
    <t>SeI7l9cCkVk</t>
  </si>
  <si>
    <t>How Did Buffalo Survive Extinction?</t>
  </si>
  <si>
    <t>2025-08-20T18:45:01Z</t>
  </si>
  <si>
    <t>wC6m2KNpcto</t>
  </si>
  <si>
    <t>This Bay Moves 100 Billion Tons of Water Every Day</t>
  </si>
  <si>
    <t>2025-08-19T15:01:39Z</t>
  </si>
  <si>
    <t>1Nhr_ol7cjQ</t>
  </si>
  <si>
    <t>Could "Category 6" Hurricanes Exist?</t>
  </si>
  <si>
    <t>2025-08-18T12:45:01Z</t>
  </si>
  <si>
    <t>O-lLJlhWDMc</t>
  </si>
  <si>
    <t>When Will The World Run Out of Water?</t>
  </si>
  <si>
    <t>2025-08-14T18:00:21Z</t>
  </si>
  <si>
    <t>rhvP19QNqTE</t>
  </si>
  <si>
    <t>The Mysterious Mass Extinction Hidden in LA</t>
  </si>
  <si>
    <t>2025-08-12T15:01:33Z</t>
  </si>
  <si>
    <t>pc3Qm5r5pww</t>
  </si>
  <si>
    <t>why are these people intentionally releasing mosquitos?</t>
  </si>
  <si>
    <t>2025-08-05T14:01:17Z</t>
  </si>
  <si>
    <t>Dpm9JMPcD_k</t>
  </si>
  <si>
    <t>What’s Happening Inside The Volcano That Never Stops?</t>
  </si>
  <si>
    <t>2025-08-04T18:15:03Z</t>
  </si>
  <si>
    <t>HgVlYMOGXCI</t>
  </si>
  <si>
    <t>Why Are Buffalo Returning to Texas After 136 Years?</t>
  </si>
  <si>
    <t>2025-07-31T15:00:25Z</t>
  </si>
  <si>
    <t>YPvfQ12Y0mE</t>
  </si>
  <si>
    <t>This Bee Is Worth Millions (And You've Never Heard Of It)</t>
  </si>
  <si>
    <t>2025-07-29T16:01:02Z</t>
  </si>
  <si>
    <t>Y1sc8qD5aCg</t>
  </si>
  <si>
    <t>We just discovered a LOST WORLD thanks to… lasers?</t>
  </si>
  <si>
    <t>2025-07-25T14:00:53Z</t>
  </si>
  <si>
    <t>lAsEZRiL_nM</t>
  </si>
  <si>
    <t>This Bizarre Fossil Reveals SO Much About Dinosaurs 🦖</t>
  </si>
  <si>
    <t>2025-07-24T18:00:52Z</t>
  </si>
  <si>
    <t>iHSMivwUQg0</t>
  </si>
  <si>
    <t>This One Change Made Billions for Kellogg’s</t>
  </si>
  <si>
    <t>2025-07-23T14:01:13Z</t>
  </si>
  <si>
    <t>8LD9-jyDjEg</t>
  </si>
  <si>
    <t>We Crashed the Ocean’s Freakiest Breeding Ground</t>
  </si>
  <si>
    <t>2025-07-22T16:00:12Z</t>
  </si>
  <si>
    <t>cQFjegBPoGk</t>
  </si>
  <si>
    <t>Shouldn't tiny islands be sinking as sea levels rise?</t>
  </si>
  <si>
    <t>2025-07-18T19:00:37Z</t>
  </si>
  <si>
    <t>8iAEq_41dlU</t>
  </si>
  <si>
    <t>Are These Islands Actually Rising WITH the Sea?</t>
  </si>
  <si>
    <t>2025-07-17T18:00:06Z</t>
  </si>
  <si>
    <t>AI3HE7BcIBk</t>
  </si>
  <si>
    <t>I Visited a Mosquito Factory</t>
  </si>
  <si>
    <t>2025-07-15T19:00:07Z</t>
  </si>
  <si>
    <t>7sOSGiFHmuA</t>
  </si>
  <si>
    <t>Can PBS Staff Pass This Trivia Challenge? Ft. Joe Hanson &amp; Maiya May</t>
  </si>
  <si>
    <t>2025-07-11T20:15:01Z</t>
  </si>
  <si>
    <t>_7P2yxWrfBc</t>
  </si>
  <si>
    <t>The Secret Life Of Apples After Harvest</t>
  </si>
  <si>
    <t>2025-07-10T14:00:54Z</t>
  </si>
  <si>
    <t>6myQDQS0tNk</t>
  </si>
  <si>
    <t>Were We WRONG About Spinosaurus?</t>
  </si>
  <si>
    <t>2025-07-08T18:00:06Z</t>
  </si>
  <si>
    <t>pAMWY39cf1A</t>
  </si>
  <si>
    <t>What’s hiding in Grand Prismatic Spring?</t>
  </si>
  <si>
    <t>2025-07-07T20:45:03Z</t>
  </si>
  <si>
    <t>89uVoIN5ZH4</t>
  </si>
  <si>
    <t>Wait...The Worst Possible US Disaster Just Got EVEN WORSE?!? (Cascadia Megaquake)</t>
  </si>
  <si>
    <t>2025-07-03T18:00:15Z</t>
  </si>
  <si>
    <t>G6zcWjBwIB4</t>
  </si>
  <si>
    <t>The motion of the ocean… like you’ve never seen it</t>
  </si>
  <si>
    <t>2025-07-02T18:15:13Z</t>
  </si>
  <si>
    <t>wBLE_AaAyRk</t>
  </si>
  <si>
    <t>Why These Bugs Live Inside Plants That Eat Them</t>
  </si>
  <si>
    <t>2025-07-01T15:02:00Z</t>
  </si>
  <si>
    <t>lWxoMYHmjLs</t>
  </si>
  <si>
    <t>When Dinosaurs Conquered the Arctic</t>
  </si>
  <si>
    <t>2025-06-27T17:00:59Z</t>
  </si>
  <si>
    <t>y0KS9LZ2um8</t>
  </si>
  <si>
    <t>How Supermarkets Rewired The Planet</t>
  </si>
  <si>
    <t>2025-06-25T15:01:40Z</t>
  </si>
  <si>
    <t>qtinSxbRJV8</t>
  </si>
  <si>
    <t>Can Our Cities Survive the Heat?</t>
  </si>
  <si>
    <t>2025-06-23T19:02:26Z</t>
  </si>
  <si>
    <t>jtpJgxpc-nU</t>
  </si>
  <si>
    <t>How Extreme Weather Can Reveal (And Destroy) Dinosaur Fossils | Walking with Dinosaurs Unearthed</t>
  </si>
  <si>
    <t>2025-06-20T15:01:25Z</t>
  </si>
  <si>
    <t>7hBMbQ9de1g</t>
  </si>
  <si>
    <t>When Will Extreme Heat Become Unlivable?</t>
  </si>
  <si>
    <t>2025-06-18T18:00:07Z</t>
  </si>
  <si>
    <t>uSlu4SuA2mA</t>
  </si>
  <si>
    <t>why does this desert look like a mirror?</t>
  </si>
  <si>
    <t>2025-06-17T18:14:33Z</t>
  </si>
  <si>
    <t>E-jtwNGnQ5U</t>
  </si>
  <si>
    <t>Utahraptor vs Gastonia: A 20-Million-Year Evolutionary Arms Race | Walking with Dinosaurs Unearthed</t>
  </si>
  <si>
    <t>2025-06-16T15:00:20Z</t>
  </si>
  <si>
    <t>ax2SyJtWpuE</t>
  </si>
  <si>
    <t>new study reveals what's under Antarctica's ice</t>
  </si>
  <si>
    <t>2025-06-12T16:00:07Z</t>
  </si>
  <si>
    <t>ySqIw_vw-ko</t>
  </si>
  <si>
    <t>The Dirty Truth About Truffles</t>
  </si>
  <si>
    <t>2025-06-09T18:00:56Z</t>
  </si>
  <si>
    <t>7SOFoxXiLEQ</t>
  </si>
  <si>
    <t>The Real Reason People Move Toward Risk</t>
  </si>
  <si>
    <t>2025-06-04T18:00:11Z</t>
  </si>
  <si>
    <t>-MeqMiumjso</t>
  </si>
  <si>
    <t>what melting Antarctic ice would do to our coastlines</t>
  </si>
  <si>
    <t>2025-05-29T19:34:52Z</t>
  </si>
  <si>
    <t>iP2lH2EEr9I</t>
  </si>
  <si>
    <t>The REAL STORY of Climate Skeptics New Favorite Graph</t>
  </si>
  <si>
    <t>2025-05-21T18:00:48Z</t>
  </si>
  <si>
    <t>zKWDzClXaVo</t>
  </si>
  <si>
    <t>the simple logging fix to help the climate</t>
  </si>
  <si>
    <t>2025-05-19T15:01:37Z</t>
  </si>
  <si>
    <t>gGuyqpxoT3A</t>
  </si>
  <si>
    <t>Earth's Worst Mass Extinction Is Actually a Warning</t>
  </si>
  <si>
    <t>2025-05-15T17:42:31Z</t>
  </si>
  <si>
    <t>hOImOY2xIGs</t>
  </si>
  <si>
    <t>This 'Forest' Isn't What You Think</t>
  </si>
  <si>
    <t>2025-05-12T19:40:01Z</t>
  </si>
  <si>
    <t>k7AzHDaTHHo</t>
  </si>
  <si>
    <t>What's Really Under Antarctica's Ice?</t>
  </si>
  <si>
    <t>2025-05-07T18:00:52Z</t>
  </si>
  <si>
    <t>jU9vHev_xvc</t>
  </si>
  <si>
    <t>Why humans gave cows their own continent</t>
  </si>
  <si>
    <t>2025-05-06T19:59:52Z</t>
  </si>
  <si>
    <t>tnATQJJIsK4</t>
  </si>
  <si>
    <t>There’s Something Weird Going On With the Northern Lights</t>
  </si>
  <si>
    <t>2025-04-29T14:30:41Z</t>
  </si>
  <si>
    <t>iWDEawUSyUY</t>
  </si>
  <si>
    <t>The Biggest Climate Scam Ever?</t>
  </si>
  <si>
    <t>2025-04-24T15:01:17Z</t>
  </si>
  <si>
    <t>FYOD7lLJa1k</t>
  </si>
  <si>
    <t>The Modern City That Was Buried By a Volcano</t>
  </si>
  <si>
    <t>2025-04-22T15:04:07Z</t>
  </si>
  <si>
    <t>VK47VDV88q0</t>
  </si>
  <si>
    <t>Why Do So Many Tornadoes Occur Here?</t>
  </si>
  <si>
    <t>2025-04-21T19:28:08Z</t>
  </si>
  <si>
    <t>T2PnkliGl9s</t>
  </si>
  <si>
    <t>What is Iceberg Alley? (And why it’s amazing)</t>
  </si>
  <si>
    <t>2025-04-14T17:00:38Z</t>
  </si>
  <si>
    <t>dkJuKLrxQ4c</t>
  </si>
  <si>
    <t>The Entire Pacific SHOULD Be Warming, But It's Not!</t>
  </si>
  <si>
    <t>2025-04-09T18:00:35Z</t>
  </si>
  <si>
    <t>wx6yvLMI3s4</t>
  </si>
  <si>
    <t>What's up with this eternally burning pit in the desert?</t>
  </si>
  <si>
    <t>2025-04-03T17:01:11Z</t>
  </si>
  <si>
    <t>zCplWv60M6A</t>
  </si>
  <si>
    <t>What Turned These Ancient Trees to Stone?</t>
  </si>
  <si>
    <t>2025-04-01T15:01:20Z</t>
  </si>
  <si>
    <t>KORn-9SR0LA</t>
  </si>
  <si>
    <t>Carbon dioxide can save us...?</t>
  </si>
  <si>
    <t>2025-03-28T19:00:14Z</t>
  </si>
  <si>
    <t>z_lOASkYvjM</t>
  </si>
  <si>
    <t>Can We Save Mexico City’s Famous Axolotls?</t>
  </si>
  <si>
    <t>2025-03-27T16:22:49Z</t>
  </si>
  <si>
    <t>qixO-kRVXF8</t>
  </si>
  <si>
    <t>Urban firestorms are back, and there’s one thing that can stop them</t>
  </si>
  <si>
    <t>2025-03-20T15:01:13Z</t>
  </si>
  <si>
    <t>PiX9t_wovEY</t>
  </si>
  <si>
    <t>Inside the LA Firestorm - The REAL Story | Full Documentary</t>
  </si>
  <si>
    <t>2025-03-20T00:30:07Z</t>
  </si>
  <si>
    <t>oYPlI29MPT4</t>
  </si>
  <si>
    <t>Why Do Redwoods Grow THIS Tall?</t>
  </si>
  <si>
    <t>2025-03-17T17:30:12Z</t>
  </si>
  <si>
    <t>O2YCr6HXLoQ</t>
  </si>
  <si>
    <t>What’s up with these bizarre land forms?</t>
  </si>
  <si>
    <t>2025-03-13T14:00:25Z</t>
  </si>
  <si>
    <t>20QOS9CE0do</t>
  </si>
  <si>
    <t>How We Know The AMOC Will Collapse Again</t>
  </si>
  <si>
    <t>2025-03-05T21:39:03Z</t>
  </si>
  <si>
    <t>fyapsneYoS4</t>
  </si>
  <si>
    <t>What Is Killing These Indestructible Swamp Trees?</t>
  </si>
  <si>
    <t>2025-03-04T16:00:51Z</t>
  </si>
  <si>
    <t>rqyMAxGPCtk</t>
  </si>
  <si>
    <t>We figured out why it’s been so hot</t>
  </si>
  <si>
    <t>2025-02-28T17:01:12Z</t>
  </si>
  <si>
    <t>4LrDz63Br04</t>
  </si>
  <si>
    <t>This Is The Best Evidence That Atlantic Currents Are Slowing (AMOC Explained)</t>
  </si>
  <si>
    <t>2025-02-26T15:00:10Z</t>
  </si>
  <si>
    <t>uTEKnCojBAU</t>
  </si>
  <si>
    <t>Is This Earth’s Most Treacherous Coastline?</t>
  </si>
  <si>
    <t>2025-02-20T16:28:36Z</t>
  </si>
  <si>
    <t>ue6yAkUnNqg</t>
  </si>
  <si>
    <t>How Did This Giant Rock Actually Form?</t>
  </si>
  <si>
    <t>2025-02-18T17:01:09Z</t>
  </si>
  <si>
    <t>7ALeNj7cp_s</t>
  </si>
  <si>
    <t>Our Water Crisis Is WAY WORSE than You Think...Here's Why</t>
  </si>
  <si>
    <t>2025-02-12T16:00:12Z</t>
  </si>
  <si>
    <t>H6PmurDzRGo</t>
  </si>
  <si>
    <t>The World's Largest Iceberg Is On The Move</t>
  </si>
  <si>
    <t>2025-02-07T19:00:17Z</t>
  </si>
  <si>
    <t>iPgVrFPKZog</t>
  </si>
  <si>
    <t>What Causes These Mind-Bending Waves?</t>
  </si>
  <si>
    <t>2025-02-06T16:00:50Z</t>
  </si>
  <si>
    <t>SwBgSbPvg7Q</t>
  </si>
  <si>
    <t>This Is Not a Forest</t>
  </si>
  <si>
    <t>2025-02-04T16:00:25Z</t>
  </si>
  <si>
    <t>BHqY0l_LiFo</t>
  </si>
  <si>
    <t>Why Are So Many Power Plants Blowing Up?</t>
  </si>
  <si>
    <t>2025-01-29T15:00:19Z</t>
  </si>
  <si>
    <t>CRhNFTvnd28</t>
  </si>
  <si>
    <t>What La Niña Will Do to Our Weather in 2025?</t>
  </si>
  <si>
    <t>2025-01-27T18:40:51Z</t>
  </si>
  <si>
    <t>EPeT3LMU_BQ</t>
  </si>
  <si>
    <t>Why Crocodiles Are Thriving in the Shadow of A Nuclear Plant</t>
  </si>
  <si>
    <t>2025-01-23T16:11:42Z</t>
  </si>
  <si>
    <t>qLuBEztfvJI</t>
  </si>
  <si>
    <t>Biologically speaking, how many types of hair are there?</t>
  </si>
  <si>
    <t>2025-01-20T19:30:08Z</t>
  </si>
  <si>
    <t>jFp6YcFsNn0</t>
  </si>
  <si>
    <t>Wait, it’s all Canadian shield?</t>
  </si>
  <si>
    <t>2025-01-16T17:00:49Z</t>
  </si>
  <si>
    <t>PORbrxg-2GQ</t>
  </si>
  <si>
    <t>When Will We Stop Moving to the Riskiest Regions?</t>
  </si>
  <si>
    <t>2025-01-15T19:00:28Z</t>
  </si>
  <si>
    <t>tDdnXcu_X3s</t>
  </si>
  <si>
    <t>How do we measure skin color?</t>
  </si>
  <si>
    <t>2025-01-13T15:45:04Z</t>
  </si>
  <si>
    <t>T8GAJwRZKyo</t>
  </si>
  <si>
    <t>The Real Reason California Is Burning</t>
  </si>
  <si>
    <t>2025-01-11T13:05:01Z</t>
  </si>
  <si>
    <t>szhD4tn0-0Y</t>
  </si>
  <si>
    <t>The world is warming, so why is the US so cold right now?</t>
  </si>
  <si>
    <t>2025-01-08T15:53:55Z</t>
  </si>
  <si>
    <t>gofsxxIA0O8</t>
  </si>
  <si>
    <t>Animals don't tend to have baby fat, so why do humans?</t>
  </si>
  <si>
    <t>2025-01-06T16:15:03Z</t>
  </si>
  <si>
    <t>_uHA-pS0HwI</t>
  </si>
  <si>
    <t>How do they create skin color maps?</t>
  </si>
  <si>
    <t>2025-01-03T18:00:26Z</t>
  </si>
  <si>
    <t>SrrYhfOseGM</t>
  </si>
  <si>
    <t>What is the "Language Gene"?</t>
  </si>
  <si>
    <t>2024-12-30T18:15:01Z</t>
  </si>
  <si>
    <t>zjNOArFg4Ro</t>
  </si>
  <si>
    <t>Are Pheromones Real?</t>
  </si>
  <si>
    <t>2024-12-28T17:30:11Z</t>
  </si>
  <si>
    <t>vz035FQNwxs</t>
  </si>
  <si>
    <t>You've never seen Jupiter like this!</t>
  </si>
  <si>
    <t>2024-12-26T16:00:47Z</t>
  </si>
  <si>
    <t>L2FIk_LDDfI</t>
  </si>
  <si>
    <t>The First Computer Bug Was a Literal Insect</t>
  </si>
  <si>
    <t>2024-12-23T17:00:17Z</t>
  </si>
  <si>
    <t>rObhGFIdKYI</t>
  </si>
  <si>
    <t>Where did denim REALLY come from?</t>
  </si>
  <si>
    <t>2024-12-21T00:02:51Z</t>
  </si>
  <si>
    <t>5R-PeI6wI3s</t>
  </si>
  <si>
    <t>The AMOC Might Be WAY More Unstable Than We Thought...Here's Why</t>
  </si>
  <si>
    <t>2024-12-18T19:00:03Z</t>
  </si>
  <si>
    <t>derhRom2h1M</t>
  </si>
  <si>
    <t>The Insane History of Blood-Thinning Medication</t>
  </si>
  <si>
    <t>2024-12-17T22:06:30Z</t>
  </si>
  <si>
    <t>enzhuq-t7Iw</t>
  </si>
  <si>
    <t>Why was 2024 Weather So Weird</t>
  </si>
  <si>
    <t>2024-12-16T19:00:21Z</t>
  </si>
  <si>
    <t>CVtxOVWOExg</t>
  </si>
  <si>
    <t>how the military accidentally invented your microwave</t>
  </si>
  <si>
    <t>2024-12-13T21:11:19Z</t>
  </si>
  <si>
    <t>A1R6B6_2KOk</t>
  </si>
  <si>
    <t>How Scientists Solved the Mystery of a 300-Year-Old Megaquake</t>
  </si>
  <si>
    <t>2024-12-12T16:00:09Z</t>
  </si>
  <si>
    <t>6i3zVAravzM</t>
  </si>
  <si>
    <t>This Discovery Was Lost for Almost 100 Years</t>
  </si>
  <si>
    <t>2024-12-10T18:17:00Z</t>
  </si>
  <si>
    <t>SuyBwAIKIA4</t>
  </si>
  <si>
    <t>Pessimistic about the climate, here's some good news!</t>
  </si>
  <si>
    <t>2024-12-09T16:00:31Z</t>
  </si>
  <si>
    <t>dg9Ch-m4xYo</t>
  </si>
  <si>
    <t>Why Are Leeches Used In Medicine?</t>
  </si>
  <si>
    <t>2024-12-06T16:15:05Z</t>
  </si>
  <si>
    <t>vEmLlldj_64</t>
  </si>
  <si>
    <t>What is this toxic graveyard in the desert?</t>
  </si>
  <si>
    <t>2024-12-05T16:00:52Z</t>
  </si>
  <si>
    <t>rN48_LnZbew</t>
  </si>
  <si>
    <t>Arctic Warming Is Out of Control. But Can We Fix It?</t>
  </si>
  <si>
    <t>2024-12-04T16:00:57Z</t>
  </si>
  <si>
    <t>H6ozjSdXdE4</t>
  </si>
  <si>
    <t>Did we finally figure out the AMOC?</t>
  </si>
  <si>
    <t>2024-11-29T17:30:01Z</t>
  </si>
  <si>
    <t>2wTo9M7rAis</t>
  </si>
  <si>
    <t>How Did Dog Fur Inspire Velcro?</t>
  </si>
  <si>
    <t>2024-11-26T17:00:02Z</t>
  </si>
  <si>
    <t>Y5bcig6AyPM</t>
  </si>
  <si>
    <t>What Happens When the Land Runs Out? Earth's Extremes: Full Episode</t>
  </si>
  <si>
    <t>2024-11-25T16:00:33Z</t>
  </si>
  <si>
    <t>ruWuAas8T7Y</t>
  </si>
  <si>
    <t>Why Was Ancient America's Greatest City Abandoned?</t>
  </si>
  <si>
    <t>2024-11-21T16:58:31Z</t>
  </si>
  <si>
    <t>pujxYbujKtQ</t>
  </si>
  <si>
    <t>The Lab Mistake That Changed Food Forever</t>
  </si>
  <si>
    <t>2024-11-20T16:00:51Z</t>
  </si>
  <si>
    <t>wKmslVnqoVs</t>
  </si>
  <si>
    <t>I flew an electric plane, kinda</t>
  </si>
  <si>
    <t>2024-11-18T19:30:12Z</t>
  </si>
  <si>
    <t>gnlNCz1nNh8</t>
  </si>
  <si>
    <t>What can ancient ice teach us about our climate’s future?</t>
  </si>
  <si>
    <t>2024-11-15T19:00:25Z</t>
  </si>
  <si>
    <t>RjoRttLlkW0</t>
  </si>
  <si>
    <t>Wait, Did Houston CREATE This Storm? Or Maybe Attract It?</t>
  </si>
  <si>
    <t>2024-11-14T16:00:23Z</t>
  </si>
  <si>
    <t>TvSeQmyuuj0</t>
  </si>
  <si>
    <t>How Post-its Accidentally Became a Hit</t>
  </si>
  <si>
    <t>2024-11-13T21:00:22Z</t>
  </si>
  <si>
    <t>p4V9t2Yr6EI</t>
  </si>
  <si>
    <t>Greenland and Antarctica Are Melting Fast</t>
  </si>
  <si>
    <t>2024-11-11T17:30:06Z</t>
  </si>
  <si>
    <t>tvragymjtIg</t>
  </si>
  <si>
    <t>Why The Sahara Desert Flooded</t>
  </si>
  <si>
    <t>2024-11-08T17:01:03Z</t>
  </si>
  <si>
    <t>rAycp0TO6KA</t>
  </si>
  <si>
    <t>What Was Play-Doh Originally Used For?</t>
  </si>
  <si>
    <t>2024-11-07T18:40:00Z</t>
  </si>
  <si>
    <t>_uhS-xk8sE0</t>
  </si>
  <si>
    <t>What’s it like to fly THROUGH a hurricane? I found out</t>
  </si>
  <si>
    <t>2024-11-04T17:47:06Z</t>
  </si>
  <si>
    <t>dhoCwCspSD8</t>
  </si>
  <si>
    <t>The Story Of The World’s Deadliest Surgery</t>
  </si>
  <si>
    <t>2024-11-01T15:39:53Z</t>
  </si>
  <si>
    <t>_uVdeK2nrrg</t>
  </si>
  <si>
    <t>The Most Dangerous Wildfires All Have ONE THING in Common</t>
  </si>
  <si>
    <t>2024-10-30T18:00:25Z</t>
  </si>
  <si>
    <t>HEIUUg0wh9M</t>
  </si>
  <si>
    <t>Were The Salem Witch Trials Caused by a Fungus?</t>
  </si>
  <si>
    <t>2024-10-29T19:00:15Z</t>
  </si>
  <si>
    <t>dqes1hLv93w</t>
  </si>
  <si>
    <t>Coal Plant Explosion Knocks Me Off My Feet</t>
  </si>
  <si>
    <t>2024-10-28T19:16:47Z</t>
  </si>
  <si>
    <t>7bFf0PHJ25I</t>
  </si>
  <si>
    <t>The Toxic Beach Where Giant Ships Go to Die</t>
  </si>
  <si>
    <t>2024-10-24T15:06:18Z</t>
  </si>
  <si>
    <t>1X1N9iCYyrc</t>
  </si>
  <si>
    <t>Why Are These Huge Cracks Appearing in the Desert?</t>
  </si>
  <si>
    <t>2024-10-21T16:54:31Z</t>
  </si>
  <si>
    <t>d3Lt58tTYFk</t>
  </si>
  <si>
    <t>Who Killed the Colorado River?</t>
  </si>
  <si>
    <t>2024-10-17T15:00:47Z</t>
  </si>
  <si>
    <t>ad7uxgAZ5WY</t>
  </si>
  <si>
    <t>Just How Much Hotter are Treeless Streets?</t>
  </si>
  <si>
    <t>2024-10-15T17:03:15Z</t>
  </si>
  <si>
    <t>2gpRaJMjHbc</t>
  </si>
  <si>
    <t>Why the Ikea Business Model Wins</t>
  </si>
  <si>
    <t>2026-08-25T17:56:16Z</t>
  </si>
  <si>
    <t>UC9RM-iSvTu1uPJb8X5yp3EQ</t>
  </si>
  <si>
    <t>Wendover Productions</t>
  </si>
  <si>
    <t>2iHPVsyv4GU</t>
  </si>
  <si>
    <t>How Taiwan is Preparing to Get Invaded</t>
  </si>
  <si>
    <t>2026-08-08T17:59:43Z</t>
  </si>
  <si>
    <t>dzmoALgtB1Q</t>
  </si>
  <si>
    <t>Why Texas Wins</t>
  </si>
  <si>
    <t>2026-08-04T14:30:25Z</t>
  </si>
  <si>
    <t>VuliaG_-uao</t>
  </si>
  <si>
    <t>Why American Houses Are So Flimsy</t>
  </si>
  <si>
    <t>2026-07-15T16:49:56Z</t>
  </si>
  <si>
    <t>DPeRd48YfqY</t>
  </si>
  <si>
    <t>How Private Equity Ruined American Youth Sports</t>
  </si>
  <si>
    <t>2026-06-30T20:13:31Z</t>
  </si>
  <si>
    <t>ABRjwGo6Usg</t>
  </si>
  <si>
    <t>The Problem With Spirit Airlines’ Business Model</t>
  </si>
  <si>
    <t>2026-06-16T21:32:00Z</t>
  </si>
  <si>
    <t>hIOW2HKgzPk</t>
  </si>
  <si>
    <t>Why Fast Food Got So Expensive</t>
  </si>
  <si>
    <t>2026-06-01T15:37:26Z</t>
  </si>
  <si>
    <t>2NK0wBBZZ24</t>
  </si>
  <si>
    <t>What Went Wrong With California High Speed Rail</t>
  </si>
  <si>
    <t>2026-05-20T14:30:02Z</t>
  </si>
  <si>
    <t>GREaEG_0Xcw</t>
  </si>
  <si>
    <t>How Car Dealerships Scam America</t>
  </si>
  <si>
    <t>2026-05-05T20:37:33Z</t>
  </si>
  <si>
    <t>5qjvluMnyAw</t>
  </si>
  <si>
    <t>How the Iran War Spiked Oil Prices</t>
  </si>
  <si>
    <t>2026-04-17T17:38:44Z</t>
  </si>
  <si>
    <t>WGhy62UZnbg</t>
  </si>
  <si>
    <t>How Nike Lost Its Way</t>
  </si>
  <si>
    <t>2026-03-31T21:31:51Z</t>
  </si>
  <si>
    <t>aRUhgrqnpGY</t>
  </si>
  <si>
    <t>How ICE's Surveillance System Works</t>
  </si>
  <si>
    <t>2026-03-24T19:50:03Z</t>
  </si>
  <si>
    <t>GeYvNkaLAqA</t>
  </si>
  <si>
    <t>California's Water Problem</t>
  </si>
  <si>
    <t>2026-03-10T14:30:18Z</t>
  </si>
  <si>
    <t>gokC5fXEM00</t>
  </si>
  <si>
    <t>How Red Bull Built Its Empire</t>
  </si>
  <si>
    <t>2026-02-24T17:39:57Z</t>
  </si>
  <si>
    <t>7NBa5o--y3k</t>
  </si>
  <si>
    <t>The Cruise Industry's Arms Race</t>
  </si>
  <si>
    <t>2026-02-10T18:27:10Z</t>
  </si>
  <si>
    <t>XcbAhYQ49_U</t>
  </si>
  <si>
    <t>The Cartels Running Up Transatlantic Airfares</t>
  </si>
  <si>
    <t>2026-01-27T15:48:22Z</t>
  </si>
  <si>
    <t>624QcAMbLxI</t>
  </si>
  <si>
    <t>Okinawa vs the US Military: The Decades-Long Feud</t>
  </si>
  <si>
    <t>2026-01-16T18:36:00Z</t>
  </si>
  <si>
    <t>LU58bHm7GlE</t>
  </si>
  <si>
    <t>One Piece of News From Every Country in the World (Pt 2)</t>
  </si>
  <si>
    <t>2025-12-31T18:21:57Z</t>
  </si>
  <si>
    <t>fiG1MZATT3M</t>
  </si>
  <si>
    <t>One Piece of News From Every Country in the World</t>
  </si>
  <si>
    <t>2025-12-24T17:14:58Z</t>
  </si>
  <si>
    <t>uBpgTgFF1ek</t>
  </si>
  <si>
    <t>New Zealand's Australia Problem</t>
  </si>
  <si>
    <t>2025-12-02T20:19:29Z</t>
  </si>
  <si>
    <t>EBChGfYdkh0</t>
  </si>
  <si>
    <t>The NFL's Concussion Crisis</t>
  </si>
  <si>
    <t>2025-11-20T17:31:59Z</t>
  </si>
  <si>
    <t>uEVv8SOJ6Is</t>
  </si>
  <si>
    <t>How Self Storage Consumed America</t>
  </si>
  <si>
    <t>2025-11-12T19:02:19Z</t>
  </si>
  <si>
    <t>3_V6HJNDjDs</t>
  </si>
  <si>
    <t>Why American Airlines Stopped Making Money</t>
  </si>
  <si>
    <t>2025-10-28T19:57:31Z</t>
  </si>
  <si>
    <t>dXC_IPcDW_A</t>
  </si>
  <si>
    <t>Amtrak's Subtle, Surprising Success</t>
  </si>
  <si>
    <t>2025-10-17T14:16:16Z</t>
  </si>
  <si>
    <t>aaQWgd3guy8</t>
  </si>
  <si>
    <t>Why Britain Cares So Much About the Falklands</t>
  </si>
  <si>
    <t>2025-09-30T19:03:38Z</t>
  </si>
  <si>
    <t>8JqxcibEnjg</t>
  </si>
  <si>
    <t>How the US' Only District Works</t>
  </si>
  <si>
    <t>2025-09-17T19:07:47Z</t>
  </si>
  <si>
    <t>EpzzTNhKXAg</t>
  </si>
  <si>
    <t>The Terrible Design of Newark Airport</t>
  </si>
  <si>
    <t>2025-08-26T16:08:38Z</t>
  </si>
  <si>
    <t>coEQlXTXh-c</t>
  </si>
  <si>
    <t>The Failed Logistics of Hurricane Katrina</t>
  </si>
  <si>
    <t>2025-08-12T14:30:24Z</t>
  </si>
  <si>
    <t>XSLB1dxI0Qs</t>
  </si>
  <si>
    <t>How Airlines Decide Which Plane to Use</t>
  </si>
  <si>
    <t>2025-07-25T14:30:23Z</t>
  </si>
  <si>
    <t>Om3IQ5HEQ8g</t>
  </si>
  <si>
    <t>The Logistics of Music Festivals</t>
  </si>
  <si>
    <t>2025-07-15T20:01:29Z</t>
  </si>
  <si>
    <t>1zzE-Qw5W9c</t>
  </si>
  <si>
    <t>How American Cars Got So Bad</t>
  </si>
  <si>
    <t>2025-06-30T20:52:40Z</t>
  </si>
  <si>
    <t>3__HO-akNC8</t>
  </si>
  <si>
    <t>How AI is Ruining the Electric Grid</t>
  </si>
  <si>
    <t>2025-06-19T19:47:58Z</t>
  </si>
  <si>
    <t>BD-rLIz9XUo</t>
  </si>
  <si>
    <t>The Downfall of Southwest Airlines</t>
  </si>
  <si>
    <t>2025-05-29T16:47:00Z</t>
  </si>
  <si>
    <t>NmhDcZHg7ik</t>
  </si>
  <si>
    <t>The Logistics of Fruit</t>
  </si>
  <si>
    <t>2025-05-22T17:52:55Z</t>
  </si>
  <si>
    <t>sY7cQNx4Hg4</t>
  </si>
  <si>
    <t>The Design of Airline Route Networks</t>
  </si>
  <si>
    <t>2025-05-01T14:36:16Z</t>
  </si>
  <si>
    <t>yIZRffLA294</t>
  </si>
  <si>
    <t>How the Trucking Industry Got So Terrible</t>
  </si>
  <si>
    <t>2025-04-22T17:34:13Z</t>
  </si>
  <si>
    <t>a5126u88E7E</t>
  </si>
  <si>
    <t>The Surprising Success of Gondola Transit Systems</t>
  </si>
  <si>
    <t>2025-04-08T17:28:11Z</t>
  </si>
  <si>
    <t>7u0_nrsfxXs</t>
  </si>
  <si>
    <t>Why Japanese Railways Win</t>
  </si>
  <si>
    <t>2025-03-20T19:53:54Z</t>
  </si>
  <si>
    <t>7Mvy_Y2j3GE</t>
  </si>
  <si>
    <t>The Illogical Case Behind Buying Greenland</t>
  </si>
  <si>
    <t>2025-03-07T15:33:53Z</t>
  </si>
  <si>
    <t>_zQ8cFF3DG8</t>
  </si>
  <si>
    <t>How the Vatican's Embassies Work</t>
  </si>
  <si>
    <t>2025-02-27T18:33:52Z</t>
  </si>
  <si>
    <t>CxfFKuSfQ8c</t>
  </si>
  <si>
    <t>How F1 Exploded</t>
  </si>
  <si>
    <t>2025-02-07T17:48:47Z</t>
  </si>
  <si>
    <t>HuMxQzX0uso</t>
  </si>
  <si>
    <t>The Logistics of Natural Gas</t>
  </si>
  <si>
    <t>2025-01-30T19:26:48Z</t>
  </si>
  <si>
    <t>74E-eAxQ9P4</t>
  </si>
  <si>
    <t>Volkswagen's China Problem</t>
  </si>
  <si>
    <t>2025-01-21T21:15:33Z</t>
  </si>
  <si>
    <t>FyemWfUZ2lo</t>
  </si>
  <si>
    <t>The 20 Most Important Flights of 2024</t>
  </si>
  <si>
    <t>2024-12-31T19:01:19Z</t>
  </si>
  <si>
    <t>B2j-LgcA7Gk</t>
  </si>
  <si>
    <t>The Battle Over NYC Congestion Pricing</t>
  </si>
  <si>
    <t>2024-12-17T15:37:52Z</t>
  </si>
  <si>
    <t>RckX1yiVPIE</t>
  </si>
  <si>
    <t>How Arenas Transform Overnight</t>
  </si>
  <si>
    <t>2024-11-27T14:46:49Z</t>
  </si>
  <si>
    <t>cQI9z7picQI</t>
  </si>
  <si>
    <t>The World's Fastest Growing Economy</t>
  </si>
  <si>
    <t>2024-11-14T18:12:59Z</t>
  </si>
  <si>
    <t>qARQV3WDv4o</t>
  </si>
  <si>
    <t>The Gov Agency That Manages America's Worst Land</t>
  </si>
  <si>
    <t>2024-10-31T14:15:48Z</t>
  </si>
  <si>
    <t>Uqs-f862YaU</t>
  </si>
  <si>
    <t>How Inland Waterways Work</t>
  </si>
  <si>
    <t>2024-10-22T16:31:46Z</t>
  </si>
  <si>
    <t>JrO_tvMjqjo</t>
  </si>
  <si>
    <t>Hawaii's Logistics Problem</t>
  </si>
  <si>
    <t>2024-10-08T13:23:50Z</t>
  </si>
  <si>
    <t>_xt05Z-fF9Q</t>
  </si>
  <si>
    <t>The Huge Controversy Over Moving This Runway 80 Feet</t>
  </si>
  <si>
    <t>2024-09-24T15:52:59Z</t>
  </si>
  <si>
    <t>Aj8lwyWKpa4</t>
  </si>
  <si>
    <t>The Logistics of a Presidential Campaign</t>
  </si>
  <si>
    <t>2024-09-05T15:29:05Z</t>
  </si>
  <si>
    <t>O1zqDZacoVc</t>
  </si>
  <si>
    <t>How an Amusement Park Works</t>
  </si>
  <si>
    <t>2024-08-22T17:58:18Z</t>
  </si>
  <si>
    <t>kFSR6OuWVQ4</t>
  </si>
  <si>
    <t>The Terrifying Efficiency of Drone Warfare</t>
  </si>
  <si>
    <t>2024-08-08T14:04:18Z</t>
  </si>
  <si>
    <t>8wjFcTcWa4U</t>
  </si>
  <si>
    <t>The Slow, Quiet Death of Hong Kong</t>
  </si>
  <si>
    <t>2024-07-24T14:34:24Z</t>
  </si>
  <si>
    <t>4-Pu3CXatsA</t>
  </si>
  <si>
    <t>Why Budget Airlines are Suddenly Failing</t>
  </si>
  <si>
    <t>2024-07-17T15:34:26Z</t>
  </si>
  <si>
    <t>1pYjtCaqiys</t>
  </si>
  <si>
    <t>How Big Tech Ruined Farming</t>
  </si>
  <si>
    <t>2024-06-27T18:11:02Z</t>
  </si>
  <si>
    <t>bQE_zNs5HOU</t>
  </si>
  <si>
    <t>Why Wyoming is so Weirdly Wealthy</t>
  </si>
  <si>
    <t>2024-06-11T15:26:51Z</t>
  </si>
  <si>
    <t>E5aGyiTCxDA</t>
  </si>
  <si>
    <t>The Logistics of German Reunification</t>
  </si>
  <si>
    <t>2024-06-04T14:57:12Z</t>
  </si>
  <si>
    <t>OK804tfnPEg</t>
  </si>
  <si>
    <t>The Six-Country Fight Over These Tiny, Terrible Islands</t>
  </si>
  <si>
    <t>2024-05-17T17:11:59Z</t>
  </si>
  <si>
    <t>XK8hpxR_r2Y</t>
  </si>
  <si>
    <t>How Private Equity Consumed America</t>
  </si>
  <si>
    <t>2024-05-07T16:50:45Z</t>
  </si>
  <si>
    <t>fndEkeob5tY</t>
  </si>
  <si>
    <t>How the Korean DMZ Works</t>
  </si>
  <si>
    <t>2024-04-22T19:02:27Z</t>
  </si>
  <si>
    <t>M_U_rzlVVdA</t>
  </si>
  <si>
    <t>Why Utah is So Weird</t>
  </si>
  <si>
    <t>2024-04-05T14:43:46Z</t>
  </si>
  <si>
    <t>ascPhiXcpss</t>
  </si>
  <si>
    <t>Why China's Economy is Finally Slowing Down</t>
  </si>
  <si>
    <t>2024-03-21T19:43:47Z</t>
  </si>
  <si>
    <t>V0DmliiUFHk</t>
  </si>
  <si>
    <t>The Increasing Reality of War in Space</t>
  </si>
  <si>
    <t>2024-03-06T14:26:59Z</t>
  </si>
  <si>
    <t>OQm1l6OWahA</t>
  </si>
  <si>
    <t>How Qatar is Trying to Become the Switzerland of the Middle East</t>
  </si>
  <si>
    <t>2024-02-22T19:33:31Z</t>
  </si>
  <si>
    <t>URoVKPVDKPU</t>
  </si>
  <si>
    <t>How Boeing Lost Its Way</t>
  </si>
  <si>
    <t>2024-02-09T22:18:42Z</t>
  </si>
  <si>
    <t>iJuGkwA7S1c</t>
  </si>
  <si>
    <t>The Logistics of Firefighting</t>
  </si>
  <si>
    <t>2024-01-25T17:05:24Z</t>
  </si>
  <si>
    <t>dmpyV4Yf8b0</t>
  </si>
  <si>
    <t>The Surprising Success of Private Passenger Rail</t>
  </si>
  <si>
    <t>2024-01-12T16:34:35Z</t>
  </si>
  <si>
    <t>S_vc04fveGc</t>
  </si>
  <si>
    <t>Everything That's Changed With Nine of Our Most Popular Videos</t>
  </si>
  <si>
    <t>2023-12-28T17:48:25Z</t>
  </si>
  <si>
    <t>nDXsVhFG7TE</t>
  </si>
  <si>
    <t>The Most Dangerous Subway in America</t>
  </si>
  <si>
    <t>2023-12-14T18:06:26Z</t>
  </si>
  <si>
    <t>8cyuOcb5O_M</t>
  </si>
  <si>
    <t>How Modern Treasure Hunting Works</t>
  </si>
  <si>
    <t>2023-11-30T16:10:41Z</t>
  </si>
  <si>
    <t>aQXD-Wr6h64</t>
  </si>
  <si>
    <t>Why the US Military Costs so Much</t>
  </si>
  <si>
    <t>2023-11-16T19:11:42Z</t>
  </si>
  <si>
    <t>Iiny1GrfhYM</t>
  </si>
  <si>
    <t>South Africa's Slow, Inevitable March Towards Collapse</t>
  </si>
  <si>
    <t>2023-10-17T14:32:32Z</t>
  </si>
  <si>
    <t>44l6f7iXGAk</t>
  </si>
  <si>
    <t>Why West Virginia is so Poor</t>
  </si>
  <si>
    <t>2023-10-03T16:10:36Z</t>
  </si>
  <si>
    <t>AL57dSIXqBM</t>
  </si>
  <si>
    <t>The Troubling Danger of Dams</t>
  </si>
  <si>
    <t>2023-09-19T17:54:42Z</t>
  </si>
  <si>
    <t>vQpUV--2Jao</t>
  </si>
  <si>
    <t>How Dollar Stores Quietly Consumed America</t>
  </si>
  <si>
    <t>2023-09-07T14:45:41Z</t>
  </si>
  <si>
    <t>C_B09FZwSbA</t>
  </si>
  <si>
    <t>How to Control a Crowd</t>
  </si>
  <si>
    <t>2023-08-23T17:44:05Z</t>
  </si>
  <si>
    <t>Kmlfy4svwuM</t>
  </si>
  <si>
    <t>How to Build a Road</t>
  </si>
  <si>
    <t>2023-08-11T14:45:42Z</t>
  </si>
  <si>
    <t>mYGTNHfgZ8E</t>
  </si>
  <si>
    <t>Saudi Arabia’s Plan to Conquer Global Golf</t>
  </si>
  <si>
    <t>2023-07-27T15:24:03Z</t>
  </si>
  <si>
    <t>73ygHs4Kwcs</t>
  </si>
  <si>
    <t>The Broken Economics of the Oceans</t>
  </si>
  <si>
    <t>2023-07-14T15:02:48Z</t>
  </si>
  <si>
    <t>g6rFff2MAxM</t>
  </si>
  <si>
    <t>The Growing Revolt Against the US Dollar</t>
  </si>
  <si>
    <t>2023-06-29T16:32:22Z</t>
  </si>
  <si>
    <t>Alqt6RCEWdM</t>
  </si>
  <si>
    <t>How We Built a $150 Million Streaming Platform with $100,000</t>
  </si>
  <si>
    <t>2023-06-15T16:03:00Z</t>
  </si>
  <si>
    <t>37Hmd-VkMIM</t>
  </si>
  <si>
    <t>Too Many People are Going Outside</t>
  </si>
  <si>
    <t>2023-06-01T16:40:16Z</t>
  </si>
  <si>
    <t>WtkI-QAgM6w</t>
  </si>
  <si>
    <t>How the World’s Most Dangerous Country Solved Murder</t>
  </si>
  <si>
    <t>2023-05-16T16:47:24Z</t>
  </si>
  <si>
    <t>GXT46osICdY</t>
  </si>
  <si>
    <t>How Mexico is Becoming the New China</t>
  </si>
  <si>
    <t>2023-05-04T15:56:15Z</t>
  </si>
  <si>
    <t>S46iJIk3t70</t>
  </si>
  <si>
    <t>How Corporate Consolidation is Killing Ski Towns</t>
  </si>
  <si>
    <t>2023-04-18T14:30:14Z</t>
  </si>
  <si>
    <t>1ngms6iRa14</t>
  </si>
  <si>
    <t>Why California Has So Many Problems</t>
  </si>
  <si>
    <t>2023-04-07T15:51:33Z</t>
  </si>
  <si>
    <t>89FoKRtpAy4</t>
  </si>
  <si>
    <t>The System that Fuels Media Negativity</t>
  </si>
  <si>
    <t>2023-03-21T17:02:00Z</t>
  </si>
  <si>
    <t>TcSpBAZvMhI</t>
  </si>
  <si>
    <t>A Week in the Life of a US President</t>
  </si>
  <si>
    <t>2023-03-10T17:19:56Z</t>
  </si>
  <si>
    <t>xpUIZ32n9nw</t>
  </si>
  <si>
    <t>How Tesla Fumbled</t>
  </si>
  <si>
    <t>2023-02-23T16:11:24Z</t>
  </si>
  <si>
    <t>1-m_Jjse-cs</t>
  </si>
  <si>
    <t>The Airline Industry’s Problem with Absolutely Ancient IT</t>
  </si>
  <si>
    <t>2023-02-09T17:12:33Z</t>
  </si>
  <si>
    <t>xfN6lgxedEI</t>
  </si>
  <si>
    <t>The Impossible Ethical Bargain Behind African Safaris</t>
  </si>
  <si>
    <t>2023-01-25T17:53:19Z</t>
  </si>
  <si>
    <t>qQTjLWIHN74</t>
  </si>
  <si>
    <t>The One Tiny Law That Keeps Amtrak Terrible</t>
  </si>
  <si>
    <t>2023-01-10T19:18:14Z</t>
  </si>
  <si>
    <t>c3dDagZMALQ</t>
  </si>
  <si>
    <t>22 Problems Solved in 2022</t>
  </si>
  <si>
    <t>2022-12-29T16:05:35Z</t>
  </si>
  <si>
    <t>Pm5bTZRhncY</t>
  </si>
  <si>
    <t>How the Sports Betting Industry Quietly Consumed America</t>
  </si>
  <si>
    <t>2022-12-13T20:28:17Z</t>
  </si>
  <si>
    <t>AIqxfBhlwx0</t>
  </si>
  <si>
    <t>How Florida Got So Weird</t>
  </si>
  <si>
    <t>2022-11-30T17:37:58Z</t>
  </si>
  <si>
    <t>oL0umpPPe-8</t>
  </si>
  <si>
    <t>Samsung’s Dangerous Dominance over South Korea</t>
  </si>
  <si>
    <t>2022-11-16T15:32:56Z</t>
  </si>
  <si>
    <t>GBp_NgrrtPM</t>
  </si>
  <si>
    <t>China’s Electricity Problem</t>
  </si>
  <si>
    <t>2022-11-03T15:08:42Z</t>
  </si>
  <si>
    <t>YBNcYxHJPLE</t>
  </si>
  <si>
    <t>How the World’s Wealthiest People Travel</t>
  </si>
  <si>
    <t>2022-10-19T16:01:35Z</t>
  </si>
  <si>
    <t>iIpPuJ_r8Xg</t>
  </si>
  <si>
    <t>The US Military’s Massive Global Transportation System</t>
  </si>
  <si>
    <t>2022-10-05T15:03:54Z</t>
  </si>
  <si>
    <t>MY8AB1wYOtg</t>
  </si>
  <si>
    <t>The Absurd Logistics of Concert Tours</t>
  </si>
  <si>
    <t>2022-09-22T14:38:43Z</t>
  </si>
  <si>
    <t>8xzINLykprA</t>
  </si>
  <si>
    <t>Money’s Mostly Digital, So Why Is Moving It So Hard?</t>
  </si>
  <si>
    <t>2022-09-07T14:11:47Z</t>
  </si>
  <si>
    <t>f66GfsKPTUg</t>
  </si>
  <si>
    <t>How This Central African City Became the World’s Most Expensive</t>
  </si>
  <si>
    <t>2022-08-23T14:51:42Z</t>
  </si>
  <si>
    <t>IDLkOWW0_xg</t>
  </si>
  <si>
    <t>The Simple Genius of NYC’s Water Supply System</t>
  </si>
  <si>
    <t>2022-08-10T15:26:01Z</t>
  </si>
  <si>
    <t>U9jirFqex6g</t>
  </si>
  <si>
    <t>Europe’s Experiment: Treating Trains Like Planes</t>
  </si>
  <si>
    <t>2022-07-27T14:00:27Z</t>
  </si>
  <si>
    <t>eoWcQUjNM8o</t>
  </si>
  <si>
    <t>How the YouTube Creator Economy Works</t>
  </si>
  <si>
    <t>2022-07-12T15:58:42Z</t>
  </si>
  <si>
    <t>V0Xx0E8cs7U</t>
  </si>
  <si>
    <t>The Incredible Logistics Behind Weather Forecasting</t>
  </si>
  <si>
    <t>2022-06-29T15:23:35Z</t>
  </si>
  <si>
    <t>v0aGGOK4kAM</t>
  </si>
  <si>
    <t>Australia Had a Mass-Shooting Problem. Here’s How it Stopped</t>
  </si>
  <si>
    <t>2022-06-14T18:38:18Z</t>
  </si>
  <si>
    <t>AW3gaelBypY</t>
  </si>
  <si>
    <t>The Carbon Offset Problem</t>
  </si>
  <si>
    <t>2022-06-03T16:11:31Z</t>
  </si>
  <si>
    <t>xhYl7Jjefo8</t>
  </si>
  <si>
    <t>Jet Lag: The Game - A New Channel by Wendover Productions</t>
  </si>
  <si>
    <t>2022-05-25T17:59:14Z</t>
  </si>
  <si>
    <t>oESoI6XxZTg</t>
  </si>
  <si>
    <t>How to Design a Theme Park (To Take Tons of Your Money)</t>
  </si>
  <si>
    <t>2022-05-18T17:22:11Z</t>
  </si>
  <si>
    <t>AQbmpecxS2w</t>
  </si>
  <si>
    <t>Why Gas Got So Expensive (It’s Not the War)</t>
  </si>
  <si>
    <t>2022-05-03T15:45:14Z</t>
  </si>
  <si>
    <t>U_7CGl6VWaQ</t>
  </si>
  <si>
    <t>How Cyberwarfare Actually Works</t>
  </si>
  <si>
    <t>2022-04-19T15:34:38Z</t>
  </si>
  <si>
    <t>R9pxFgJwxFE</t>
  </si>
  <si>
    <t>The Incredible Logistics Behind Corn Farming</t>
  </si>
  <si>
    <t>2022-04-05T15:46:27Z</t>
  </si>
  <si>
    <t>SrTrpwzVt4g</t>
  </si>
  <si>
    <t>The Sanction-Fueled Destruction of the Russian Aviation Industry</t>
  </si>
  <si>
    <t>2022-03-23T15:10:29Z</t>
  </si>
  <si>
    <t>b4wRdoWpw0w</t>
  </si>
  <si>
    <t>The Failed Logistics of Russia's Invasion of Ukraine</t>
  </si>
  <si>
    <t>2022-03-05T18:59:58Z</t>
  </si>
  <si>
    <t>UX4KklvCDmg</t>
  </si>
  <si>
    <t>Why Everywhere in the US is Starting to Look the Same</t>
  </si>
  <si>
    <t>2022-02-23T15:30:39Z</t>
  </si>
  <si>
    <t>J-M98KLgaUU</t>
  </si>
  <si>
    <t>Drone Delivery Was Supposed to be the Future. What Went Wrong?</t>
  </si>
  <si>
    <t>2022-02-08T16:19:25Z</t>
  </si>
  <si>
    <t>0faCad2kKeg</t>
  </si>
  <si>
    <t>How Cell Service Actually Works</t>
  </si>
  <si>
    <t>2022-01-26T15:30:23Z</t>
  </si>
  <si>
    <t>9dnN82DsQ2k</t>
  </si>
  <si>
    <t>Electric Vehicles' Battery Problem</t>
  </si>
  <si>
    <t>2022-01-11T15:53:15Z</t>
  </si>
  <si>
    <t>Y413Czri6qw</t>
  </si>
  <si>
    <t>The News You Missed in 2021, From Every Country in the World (Part 2)</t>
  </si>
  <si>
    <t>2021-12-31T16:03:53Z</t>
  </si>
  <si>
    <t>W3qZIPiWKc4</t>
  </si>
  <si>
    <t>The News You Missed in 2021, From Every Country in the World (Part 1)</t>
  </si>
  <si>
    <t>2021-12-29T16:45:50Z</t>
  </si>
  <si>
    <t>ggUduBmvQ_4</t>
  </si>
  <si>
    <t>How Airlines Quietly Became Banks</t>
  </si>
  <si>
    <t>2021-12-14T17:44:36Z</t>
  </si>
  <si>
    <t>xhxo2oXRiio</t>
  </si>
  <si>
    <t>How Electricity Gets to You</t>
  </si>
  <si>
    <t>2021-12-02T15:58:58Z</t>
  </si>
  <si>
    <t>8d5d_HXGeMA</t>
  </si>
  <si>
    <t>How Ocean Shipping Works (And Why It's Broken)</t>
  </si>
  <si>
    <t>2021-11-17T19:03:15Z</t>
  </si>
  <si>
    <t>8egszLpKMWU</t>
  </si>
  <si>
    <t>Is Africa the Next China?</t>
  </si>
  <si>
    <t>2021-11-04T15:27:38Z</t>
  </si>
  <si>
    <t>WNrobOYWZQE</t>
  </si>
  <si>
    <t>When Will Space Tourism be Affordable?</t>
  </si>
  <si>
    <t>2021-10-19T16:25:05Z</t>
  </si>
  <si>
    <t>ZZ3F3zWiEmc</t>
  </si>
  <si>
    <t>The Art Market is a Scam (And Rich People Run It)</t>
  </si>
  <si>
    <t>2021-10-05T16:48:36Z</t>
  </si>
  <si>
    <t>V16GdzRvhRU</t>
  </si>
  <si>
    <t>Saudi Arabia's Oil Problem</t>
  </si>
  <si>
    <t>2021-09-23T16:08:59Z</t>
  </si>
  <si>
    <t>o4tuhWvKduU</t>
  </si>
  <si>
    <t>The Logistics of Evacuating Afghanistan</t>
  </si>
  <si>
    <t>2021-09-08T16:56:50Z</t>
  </si>
  <si>
    <t>1-uNMj57Y4c</t>
  </si>
  <si>
    <t>Airlines' Business Travel Problem</t>
  </si>
  <si>
    <t>2021-08-26T17:23:24Z</t>
  </si>
  <si>
    <t>SR7BA3xEmDo</t>
  </si>
  <si>
    <t>The Simple Genius of the Interstate Highway System</t>
  </si>
  <si>
    <t>2021-08-11T16:33:32Z</t>
  </si>
  <si>
    <t>iO5mfbpq16A</t>
  </si>
  <si>
    <t>Why the Southern Hemisphere is Poorer</t>
  </si>
  <si>
    <t>2021-07-28T15:14:46Z</t>
  </si>
  <si>
    <t>B3FKtBNEBRc</t>
  </si>
  <si>
    <t>The Incredible Logistics of the Tokyo Olympics</t>
  </si>
  <si>
    <t>2021-07-13T14:32:15Z</t>
  </si>
  <si>
    <t>VJtFgte1GKc</t>
  </si>
  <si>
    <t>Little Bay: Why This Island Was Abandoned on December 31st, 2019</t>
  </si>
  <si>
    <t>2021-07-01T14:05:20Z</t>
  </si>
  <si>
    <t>J5PLyYVIEpg</t>
  </si>
  <si>
    <t>How the Navajo Nation Works (A Country Within a Country?)</t>
  </si>
  <si>
    <t>2021-06-30T14:22:51Z</t>
  </si>
  <si>
    <t>LHhJuAOK3CI</t>
  </si>
  <si>
    <t>Extremities: A New Channel by Wendover Productions</t>
  </si>
  <si>
    <t>2021-06-23T16:29:19Z</t>
  </si>
  <si>
    <t>aH4b3sAs-l8</t>
  </si>
  <si>
    <t>Why Electric Planes are Inevitably Coming</t>
  </si>
  <si>
    <t>2021-06-16T16:34:37Z</t>
  </si>
  <si>
    <t>b1JlYZQG3lI</t>
  </si>
  <si>
    <t>Why There are Now So Many Shortages (It's Not COVID)</t>
  </si>
  <si>
    <t>2021-06-01T18:04:03Z</t>
  </si>
  <si>
    <t>BNpk_OGEGlA</t>
  </si>
  <si>
    <t>The Incredible Logistics of Grocery Stores</t>
  </si>
  <si>
    <t>2021-05-19T15:23:52Z</t>
  </si>
  <si>
    <t>4p0fRlCHYyg</t>
  </si>
  <si>
    <t>Supersonic Planes are Coming Back (And This Time, They Might Work)</t>
  </si>
  <si>
    <t>2021-05-05T16:51:23Z</t>
  </si>
  <si>
    <t>N4dOCfWlgBw</t>
  </si>
  <si>
    <t>The Insane Logistics of Shutting Down the Cruise Industry</t>
  </si>
  <si>
    <t>2021-04-07T15:59:19Z</t>
  </si>
  <si>
    <t>3CuPqeIJr3U</t>
  </si>
  <si>
    <t>China's Vaccine Diplomacy</t>
  </si>
  <si>
    <t>2021-03-26T16:32:55Z</t>
  </si>
  <si>
    <t>DlTq8DbRs4k</t>
  </si>
  <si>
    <t>The UK's Failed Experiment in Rail Privatization</t>
  </si>
  <si>
    <t>2021-03-09T18:12:11Z</t>
  </si>
  <si>
    <t>VjiH3mpxyrQ</t>
  </si>
  <si>
    <t>How to Start an Airline</t>
  </si>
  <si>
    <t>2021-02-24T15:31:50Z</t>
  </si>
  <si>
    <t>pLcqJ2DclEg</t>
  </si>
  <si>
    <t>The Electric Vehicle Charging Problem</t>
  </si>
  <si>
    <t>2021-02-09T19:53:44Z</t>
  </si>
  <si>
    <t>3gdCH1XUIlE</t>
  </si>
  <si>
    <t>How Air Ambulances (Don't) Work</t>
  </si>
  <si>
    <t>2021-01-26T20:32:57Z</t>
  </si>
  <si>
    <t>2qanMpnYsjk</t>
  </si>
  <si>
    <t>How Amazon's Super-Complex Shipping System Works</t>
  </si>
  <si>
    <t>2021-01-12T16:36:51Z</t>
  </si>
  <si>
    <t>7R7jNWHp0D0</t>
  </si>
  <si>
    <t>The News You Missed in 2020, From Every Country in the World (Part 2)</t>
  </si>
  <si>
    <t>2020-12-31T17:53:05Z</t>
  </si>
  <si>
    <t>GIFV_Z7Y9_w</t>
  </si>
  <si>
    <t>The News You Missed in 2020, From Every Country in the World (Part 1)</t>
  </si>
  <si>
    <t>2020-12-29T16:37:10Z</t>
  </si>
  <si>
    <t>KXRtNwUju5g</t>
  </si>
  <si>
    <t>How China Broke the World's Recycling</t>
  </si>
  <si>
    <t>2020-12-16T16:32:15Z</t>
  </si>
  <si>
    <t>fTyUE162lrw</t>
  </si>
  <si>
    <t>Why Long-Haul Low-Cost Airlines Always Go Bankrupt</t>
  </si>
  <si>
    <t>2020-12-03T19:35:20Z</t>
  </si>
  <si>
    <t>ZAEydOjNWyQ</t>
  </si>
  <si>
    <t>How Living at the South Pole Works</t>
  </si>
  <si>
    <t>2020-11-19T16:55:03Z</t>
  </si>
  <si>
    <t>_BCY0SPOFpE</t>
  </si>
  <si>
    <t>Egypt's Dam Problem: The Geopolitics of the Nile</t>
  </si>
  <si>
    <t>2020-11-09T20:31:39Z</t>
  </si>
  <si>
    <t>v_rXhuaI0W8</t>
  </si>
  <si>
    <t>The 8 Flights That Show How COVID-19 Reinvented Aviation</t>
  </si>
  <si>
    <t>2020-10-21T14:54:21Z</t>
  </si>
  <si>
    <t>Ongqf93rAcM</t>
  </si>
  <si>
    <t>How to Beat the Casino, and How They'll Stop You</t>
  </si>
  <si>
    <t>2020-10-08T14:33:54Z</t>
  </si>
  <si>
    <t>byW1GExQB84</t>
  </si>
  <si>
    <t>Distributing the COVID Vaccine: The Greatest Logistics Challenge Ever</t>
  </si>
  <si>
    <t>2020-09-23T17:28:58Z</t>
  </si>
  <si>
    <t>DTIDCA7mjZs</t>
  </si>
  <si>
    <t>How to Illegally Cross the Mexico-US Border</t>
  </si>
  <si>
    <t>2020-09-09T14:46:34Z</t>
  </si>
  <si>
    <t>H_akzwzghWQ</t>
  </si>
  <si>
    <t>How COVID-19 Broke the Airline Pricing Model</t>
  </si>
  <si>
    <t>2020-08-26T19:23:50Z</t>
  </si>
  <si>
    <t>7C1fPocIFgU</t>
  </si>
  <si>
    <t>The Broken Economics of Organ Transplants</t>
  </si>
  <si>
    <t>2020-08-11T18:27:04Z</t>
  </si>
  <si>
    <t>3J06af5xHD0</t>
  </si>
  <si>
    <t>The Final Years of Majuro [Documentary]</t>
  </si>
  <si>
    <t>2020-08-04T14:39:43Z</t>
  </si>
  <si>
    <t>YgiMqePRp0Y</t>
  </si>
  <si>
    <t>The Logistics of Covid-19 Testing</t>
  </si>
  <si>
    <t>2020-07-28T16:41:28Z</t>
  </si>
  <si>
    <t>Rtmhv5qEBg0</t>
  </si>
  <si>
    <t>Airlines' Protocol for After a Plane Crash</t>
  </si>
  <si>
    <t>2020-07-14T16:46:38Z</t>
  </si>
  <si>
    <t>6GMoUmvw8kU</t>
  </si>
  <si>
    <t>Why Taiwan and China are Battling over Tiny Island Countries</t>
  </si>
  <si>
    <t>2020-07-01T14:32:02Z</t>
  </si>
  <si>
    <t>QlPrAKtegFQ</t>
  </si>
  <si>
    <t>How Long-Haul Trucking Works</t>
  </si>
  <si>
    <t>2020-06-16T16:27:39Z</t>
  </si>
  <si>
    <t>uAG4zCsiA_w</t>
  </si>
  <si>
    <t>Why Helicopter Airlines Failed</t>
  </si>
  <si>
    <t>2020-06-03T14:30:06Z</t>
  </si>
  <si>
    <t>NtX-Ibi21tU</t>
  </si>
  <si>
    <t>The Five Rules of Risk</t>
  </si>
  <si>
    <t>2020-05-20T15:55:19Z</t>
  </si>
  <si>
    <t>r2oPk20OHBE</t>
  </si>
  <si>
    <t>Air Cargo's Coronavirus Problem</t>
  </si>
  <si>
    <t>2020-05-05T16:56:29Z</t>
  </si>
  <si>
    <t>ABIkWS_YavM</t>
  </si>
  <si>
    <t>How Offshore Oil Rigs Work</t>
  </si>
  <si>
    <t>2020-04-21T16:59:49Z</t>
  </si>
  <si>
    <t>-pNBAxx4IRo</t>
  </si>
  <si>
    <t>How the US' Hospital Ships Work</t>
  </si>
  <si>
    <t>2020-04-07T17:04:32Z</t>
  </si>
  <si>
    <t>VX2e2iEg_pM</t>
  </si>
  <si>
    <t>COVID-19: How Aviation is Fighting for Survival</t>
  </si>
  <si>
    <t>2020-03-24T18:25:44Z</t>
  </si>
  <si>
    <t>Ppjv0H-Yt5Q</t>
  </si>
  <si>
    <t>The Logistics of the US Census</t>
  </si>
  <si>
    <t>2020-03-10T19:36:03Z</t>
  </si>
  <si>
    <t>QvUpSFGRqEo</t>
  </si>
  <si>
    <t>How Boeing Will Get the 737 MAX Flying Again</t>
  </si>
  <si>
    <t>2020-02-26T18:34:15Z</t>
  </si>
  <si>
    <t>3Sh7hghljuQ</t>
  </si>
  <si>
    <t>How China Built a Hospital in 10 Days</t>
  </si>
  <si>
    <t>2020-02-11T17:32:30Z</t>
  </si>
  <si>
    <t>vpcUVOjUrKk</t>
  </si>
  <si>
    <t>The Business of Ski Resorts</t>
  </si>
  <si>
    <t>2020-01-29T18:01:15Z</t>
  </si>
  <si>
    <t>FCEwPio2bkg</t>
  </si>
  <si>
    <t>American Sports' Battle for China</t>
  </si>
  <si>
    <t>2020-01-15T19:00:42Z</t>
  </si>
  <si>
    <t>5-QejUTDCWw</t>
  </si>
  <si>
    <t>The World's Most Useful Airport [Documentary]</t>
  </si>
  <si>
    <t>2019-12-31T16:59:39Z</t>
  </si>
  <si>
    <t>RyG7nzteG64</t>
  </si>
  <si>
    <t>The Logistics of the US Election</t>
  </si>
  <si>
    <t>2019-12-17T15:46:00Z</t>
  </si>
  <si>
    <t>dSw7fWCrDk0</t>
  </si>
  <si>
    <t>Amtrak’s Grand Plan for Profitability</t>
  </si>
  <si>
    <t>2019-12-03T19:50:53Z</t>
  </si>
  <si>
    <t>5SDUm1bx7Zc</t>
  </si>
  <si>
    <t>Australia's China Problem</t>
  </si>
  <si>
    <t>2019-11-19T17:37:25Z</t>
  </si>
  <si>
    <t>U1a73gdNs0M</t>
  </si>
  <si>
    <t>The US Government Program That Pays For Your Flights</t>
  </si>
  <si>
    <t>2019-11-05T18:46:54Z</t>
  </si>
  <si>
    <t>tLS9IK693KI</t>
  </si>
  <si>
    <t>The Logistics of Disaster Response</t>
  </si>
  <si>
    <t>2019-10-22T17:34:56Z</t>
  </si>
  <si>
    <t>cnfoTAxhpzQ</t>
  </si>
  <si>
    <t>Why So Many Airlines are Going Bankrupt</t>
  </si>
  <si>
    <t>2019-10-08T17:57:46Z</t>
  </si>
  <si>
    <t>erS2YMYcZO8</t>
  </si>
  <si>
    <t>The Logistics of Filming Avengers</t>
  </si>
  <si>
    <t>2019-09-24T15:01:43Z</t>
  </si>
  <si>
    <t>XjbYloKJX7c</t>
  </si>
  <si>
    <t>Boeing's China Problem</t>
  </si>
  <si>
    <t>2019-09-10T15:55:28Z</t>
  </si>
  <si>
    <t>A0qt0hdCQtg</t>
  </si>
  <si>
    <t>The US' Overseas Military Base Strategy</t>
  </si>
  <si>
    <t>2019-08-27T18:10:40Z</t>
  </si>
  <si>
    <t>I9ttpHvK6yw</t>
  </si>
  <si>
    <t>How to Stop an Epidemic</t>
  </si>
  <si>
    <t>2019-08-13T16:05:20Z</t>
  </si>
  <si>
    <t>pJ_LUFBSoqM</t>
  </si>
  <si>
    <t>The NFL's Logistics Problem</t>
  </si>
  <si>
    <t>2019-07-30T14:30:02Z</t>
  </si>
  <si>
    <t>jYPrH4xANpU</t>
  </si>
  <si>
    <t>The Economics of Private Jets</t>
  </si>
  <si>
    <t>2019-07-16T17:23:45Z</t>
  </si>
  <si>
    <t>KgsxapE27NU</t>
  </si>
  <si>
    <t>The World's Shortcut: How the Panama Canal Works</t>
  </si>
  <si>
    <t>2019-07-02T14:30:00Z</t>
  </si>
  <si>
    <t>C1f2GwWLB3k</t>
  </si>
  <si>
    <t>How Air Traffic Control Works</t>
  </si>
  <si>
    <t>2019-06-18T17:16:03Z</t>
  </si>
  <si>
    <t>u2-ehDQM6TM</t>
  </si>
  <si>
    <t>Extremities: A New Scripted Podcast from Wendover</t>
  </si>
  <si>
    <t>2019-06-12T20:53:45Z</t>
  </si>
  <si>
    <t>17oZPYcpPnQ</t>
  </si>
  <si>
    <t>Iceland's Tourism Revolution</t>
  </si>
  <si>
    <t>2019-06-05T17:35:39Z</t>
  </si>
  <si>
    <t>SUsqnD9-42g</t>
  </si>
  <si>
    <t>Mini Countries Abroad: How Embassies Work</t>
  </si>
  <si>
    <t>2019-05-15T14:30:01Z</t>
  </si>
  <si>
    <t>BfNEOfEGe3I</t>
  </si>
  <si>
    <t>The Economics That Made Boeing Build the 737 Max</t>
  </si>
  <si>
    <t>2019-04-30T15:09:58Z</t>
  </si>
  <si>
    <t>EkRRo5DN9lI</t>
  </si>
  <si>
    <t>The Logistics of the International Space Station</t>
  </si>
  <si>
    <t>2019-04-16T14:41:43Z</t>
  </si>
  <si>
    <t>E3jfvncofiA</t>
  </si>
  <si>
    <t>How Airlines Decide Where to Fly</t>
  </si>
  <si>
    <t>2019-04-02T16:28:33Z</t>
  </si>
  <si>
    <t>xX0ozxrZlEQ</t>
  </si>
  <si>
    <t>How Rwanda is Becoming the Singapore of Africa</t>
  </si>
  <si>
    <t>2019-03-19T16:35:00Z</t>
  </si>
  <si>
    <t>9poImReDFeY</t>
  </si>
  <si>
    <t>How Freight Trains Connect the World</t>
  </si>
  <si>
    <t>2019-03-05T15:30:01Z</t>
  </si>
  <si>
    <t>5mU6SRS2Bxo</t>
  </si>
  <si>
    <t>World’s Largest Tennis Match</t>
  </si>
  <si>
    <t>2026-08-23T16:00:04Z</t>
  </si>
  <si>
    <t>UCX6OQ3DkcsbYNE6H8uQQuVA</t>
  </si>
  <si>
    <t>MrBeast</t>
  </si>
  <si>
    <t>Entertainment</t>
  </si>
  <si>
    <t>Qtl8lJwbd4g</t>
  </si>
  <si>
    <t>Escape 100 Cops, Win $500,000</t>
  </si>
  <si>
    <t>2026-08-22T16:00:05Z</t>
  </si>
  <si>
    <t>LiH-P4rSkLI</t>
  </si>
  <si>
    <t>Can You Pass This Classroom Quiz?</t>
  </si>
  <si>
    <t>2026-08-11T16:00:06Z</t>
  </si>
  <si>
    <t>Af6i6ChAVTw</t>
  </si>
  <si>
    <t>Last To Leave Mansion, Keeps It</t>
  </si>
  <si>
    <t>2026-08-08T16:00:01Z</t>
  </si>
  <si>
    <t>f7y2XikE7sY</t>
  </si>
  <si>
    <t>Paying For Food With My Car</t>
  </si>
  <si>
    <t>2026-07-31T16:00:11Z</t>
  </si>
  <si>
    <t>lVylRtlPOIE</t>
  </si>
  <si>
    <t>I Granted 100 Kids Their Biggest Wish!</t>
  </si>
  <si>
    <t>2026-07-25T16:00:05Z</t>
  </si>
  <si>
    <t>Df5Y-2ndQyU</t>
  </si>
  <si>
    <t>Read My Book, You Could Win $1,000,000</t>
  </si>
  <si>
    <t>2026-07-17T16:00:06Z</t>
  </si>
  <si>
    <t>egvLKQe6I4I</t>
  </si>
  <si>
    <t>Don't Pop the Balloon</t>
  </si>
  <si>
    <t>2026-07-10T16:00:09Z</t>
  </si>
  <si>
    <t>LgbyEFILLJI</t>
  </si>
  <si>
    <t>$1 vs $10,000 Cake</t>
  </si>
  <si>
    <t>2026-07-03T16:00:02Z</t>
  </si>
  <si>
    <t>iYlODtkyw_I</t>
  </si>
  <si>
    <t>Survive 30 Days Chained To A Stranger, Win $250,000</t>
  </si>
  <si>
    <t>2026-06-27T16:00:05Z</t>
  </si>
  <si>
    <t>YA_kX8hu1gg</t>
  </si>
  <si>
    <t>This Plane Takes Off in 12 Seconds</t>
  </si>
  <si>
    <t>2026-06-26T16:00:01Z</t>
  </si>
  <si>
    <t>XCGVurja73c</t>
  </si>
  <si>
    <t>I Raced The Fastest Man On Earth</t>
  </si>
  <si>
    <t>2026-06-24T16:00:14Z</t>
  </si>
  <si>
    <t>r9aWeGqp43s</t>
  </si>
  <si>
    <t>We Made Make-A-Wish Kids’ Dreams Come True</t>
  </si>
  <si>
    <t>2026-06-17T17:00:21Z</t>
  </si>
  <si>
    <t>xDuuM3ERr5Q</t>
  </si>
  <si>
    <t>Guess The Youtuber = Win $1,000</t>
  </si>
  <si>
    <t>2026-06-14T16:00:01Z</t>
  </si>
  <si>
    <t>__fmDj0ZJ1Q</t>
  </si>
  <si>
    <t>50 YouTube Legends Fight For $1,000,000</t>
  </si>
  <si>
    <t>2026-06-13T16:00:00Z</t>
  </si>
  <si>
    <t>xCl2gndzFqE</t>
  </si>
  <si>
    <t>POV: You Time Traveled Back to 2016</t>
  </si>
  <si>
    <t>2026-06-12T16:00:05Z</t>
  </si>
  <si>
    <t>GpQSUjNsNm0</t>
  </si>
  <si>
    <t>7 Days Stranded in The Arctic</t>
  </si>
  <si>
    <t>2026-05-30T16:00:02Z</t>
  </si>
  <si>
    <t>y1UVAtHALaA</t>
  </si>
  <si>
    <t>I Surprised a Random Subscriber With $10,000</t>
  </si>
  <si>
    <t>2026-05-29T16:00:07Z</t>
  </si>
  <si>
    <t>hYahU_Cqwp8</t>
  </si>
  <si>
    <t>YouTube CEO Has A Surprise For Me</t>
  </si>
  <si>
    <t>2026-05-22T16:00:04Z</t>
  </si>
  <si>
    <t>SllXaJiQjBA</t>
  </si>
  <si>
    <t>Every Youtube Play Button</t>
  </si>
  <si>
    <t>2026-05-19T16:00:02Z</t>
  </si>
  <si>
    <t>dqpCvSU-ECE</t>
  </si>
  <si>
    <t>Can He Make This Shot?</t>
  </si>
  <si>
    <t>2026-05-17T16:00:00Z</t>
  </si>
  <si>
    <t>AaMdXZMvT3w</t>
  </si>
  <si>
    <t>Survive 30 Days On An Island With Your Ex, Win $250,000</t>
  </si>
  <si>
    <t>2026-05-16T16:00:01Z</t>
  </si>
  <si>
    <t>QAkEMtJpq3c</t>
  </si>
  <si>
    <t>Hit The Button, Win $1,000</t>
  </si>
  <si>
    <t>2026-05-15T16:00:10Z</t>
  </si>
  <si>
    <t>hCuqh2NU2Yg</t>
  </si>
  <si>
    <t>World's Fastest Date</t>
  </si>
  <si>
    <t>2026-05-12T16:00:07Z</t>
  </si>
  <si>
    <t>B9LizOAAoLg</t>
  </si>
  <si>
    <t>I’m Granting Wishes For My Subscribers</t>
  </si>
  <si>
    <t>2026-05-07T16:00:00Z</t>
  </si>
  <si>
    <t>rqsRdfdN4uI</t>
  </si>
  <si>
    <t>Guess The Animal</t>
  </si>
  <si>
    <t>2026-05-05T16:00:02Z</t>
  </si>
  <si>
    <t>feu5PQvoCiA</t>
  </si>
  <si>
    <t>Asking My Fiancée on a Date</t>
  </si>
  <si>
    <t>2026-05-03T16:00:11Z</t>
  </si>
  <si>
    <t>6Zy5VLcEbZc</t>
  </si>
  <si>
    <t>I Stranded 100 People In The Wilderness For $250,000</t>
  </si>
  <si>
    <t>2026-05-02T16:00:01Z</t>
  </si>
  <si>
    <t>EdT5Z16Y5WE</t>
  </si>
  <si>
    <t>Would Your Dog Pick $10,000 or Steak?</t>
  </si>
  <si>
    <t>2026-04-29T16:00:05Z</t>
  </si>
  <si>
    <t>ScjQAcbA9e4</t>
  </si>
  <si>
    <t>Important Announcement From The Grocery Store</t>
  </si>
  <si>
    <t>2026-04-28T16:00:24Z</t>
  </si>
  <si>
    <t>hRBpDdWbUpI</t>
  </si>
  <si>
    <t>Can My Fiancée Lift Me?</t>
  </si>
  <si>
    <t>2026-04-27T19:01:02Z</t>
  </si>
  <si>
    <t>pzxtGL9kzPs</t>
  </si>
  <si>
    <t>Try Not To Get Slimed</t>
  </si>
  <si>
    <t>2026-04-24T16:00:00Z</t>
  </si>
  <si>
    <t>yy-Nt0dRhNI</t>
  </si>
  <si>
    <t>Winner Picks Our Honeymoon</t>
  </si>
  <si>
    <t>2026-04-21T16:00:02Z</t>
  </si>
  <si>
    <t>zRtGL0-5rg4</t>
  </si>
  <si>
    <t>Last To Leave Grocery Store, Wins $250,000</t>
  </si>
  <si>
    <t>2026-04-18T16:00:01Z</t>
  </si>
  <si>
    <t>mFWpUx3FiyU</t>
  </si>
  <si>
    <t>2026-04-17T16:00:01Z</t>
  </si>
  <si>
    <t>6W_841xoprg</t>
  </si>
  <si>
    <t>Can a Window Stop a Wrecking Ball?</t>
  </si>
  <si>
    <t>2026-04-14T16:00:01Z</t>
  </si>
  <si>
    <t>VIJLIo5yT1I</t>
  </si>
  <si>
    <t>Don’t Eat The Spicy Yoshi Egg</t>
  </si>
  <si>
    <t>2026-04-10T16:00:00Z</t>
  </si>
  <si>
    <t>uNu6XEPTy5g</t>
  </si>
  <si>
    <t>$1 or Mystery Vial?</t>
  </si>
  <si>
    <t>2026-04-07T16:00:04Z</t>
  </si>
  <si>
    <t>DXVHmGoCTco</t>
  </si>
  <si>
    <t>50 Streamers Fight for $1,000,000</t>
  </si>
  <si>
    <t>2026-04-04T16:00:01Z</t>
  </si>
  <si>
    <t>_JUlWtSCNbs</t>
  </si>
  <si>
    <t>Who's The Strongest Streamer?</t>
  </si>
  <si>
    <t>2026-04-03T16:00:06Z</t>
  </si>
  <si>
    <t>AKC50SZQFN8</t>
  </si>
  <si>
    <t>Spreading Rumors About Streamers</t>
  </si>
  <si>
    <t>897gvApD6V4</t>
  </si>
  <si>
    <t>Will a Zebra Subscribe to me?</t>
  </si>
  <si>
    <t>2026-04-01T16:00:01Z</t>
  </si>
  <si>
    <t>Z9NxQdQ8Rpg</t>
  </si>
  <si>
    <t>Bring Me A Glass Of Water = Win $10,000</t>
  </si>
  <si>
    <t>2026-03-26T19:00:02Z</t>
  </si>
  <si>
    <t>JFtlf8RoPZY</t>
  </si>
  <si>
    <t>Trapped On An Island Until I Build A Boat</t>
  </si>
  <si>
    <t>2026-03-21T16:00:00Z</t>
  </si>
  <si>
    <t>jCE1Ol3PYDs</t>
  </si>
  <si>
    <t>I Hid $1,000,000 In This Vault</t>
  </si>
  <si>
    <t>2026-03-20T16:00:03Z</t>
  </si>
  <si>
    <t>IqL-ZunFfpk</t>
  </si>
  <si>
    <t>Pop The Balloons, Win $10,000</t>
  </si>
  <si>
    <t>2026-03-17T16:00:04Z</t>
  </si>
  <si>
    <t>purAsH7pXTQ</t>
  </si>
  <si>
    <t>5 Strangers Split $100,000</t>
  </si>
  <si>
    <t>2026-03-13T16:00:00Z</t>
  </si>
  <si>
    <t>IEuDUhGIJ5c</t>
  </si>
  <si>
    <t>My Chocolate Factory Blew Up</t>
  </si>
  <si>
    <t>2026-03-10T16:00:01Z</t>
  </si>
  <si>
    <t>AoN1K4c7VKE</t>
  </si>
  <si>
    <t>Survive 30 Days Stranded With Your Ex, Win $250,000</t>
  </si>
  <si>
    <t>2026-03-07T17:00:02Z</t>
  </si>
  <si>
    <t>IcuJ3vO_t3k</t>
  </si>
  <si>
    <t>Would You Steal Money From A Stranger?</t>
  </si>
  <si>
    <t>2026-03-06T18:00:01Z</t>
  </si>
  <si>
    <t>c9VS_cgInT4</t>
  </si>
  <si>
    <t>Subscribe, I’ll Double Your Bank Account</t>
  </si>
  <si>
    <t>2026-02-28T20:00:03Z</t>
  </si>
  <si>
    <t>KaUuPNYHFNg</t>
  </si>
  <si>
    <t>I Built a School in Mexico</t>
  </si>
  <si>
    <t>2026-02-22T17:00:00Z</t>
  </si>
  <si>
    <t>5OLs1GWB4OA</t>
  </si>
  <si>
    <t>I Built 10 Schools Around The World</t>
  </si>
  <si>
    <t>2026-02-21T17:00:07Z</t>
  </si>
  <si>
    <t>hjkbqeWQAM8</t>
  </si>
  <si>
    <t>Every Step You Take, Win $1,000</t>
  </si>
  <si>
    <t>2026-02-18T20:00:03Z</t>
  </si>
  <si>
    <t>XbaZ45LVzzM</t>
  </si>
  <si>
    <t>Surprising My Fiancée With A Chocolate Heart</t>
  </si>
  <si>
    <t>2026-02-12T17:00:01Z</t>
  </si>
  <si>
    <t>gar4U3n-ILY</t>
  </si>
  <si>
    <t>Guess What Age Punched You</t>
  </si>
  <si>
    <t>2026-02-09T17:00:00Z</t>
  </si>
  <si>
    <t>9WEQts7b8Pw</t>
  </si>
  <si>
    <t>Ages 1 - 100 Race For $250,000!</t>
  </si>
  <si>
    <t>2026-02-07T17:00:01Z</t>
  </si>
  <si>
    <t>toIeUtplfWQ</t>
  </si>
  <si>
    <t>Is Being Smart or Strong Better?</t>
  </si>
  <si>
    <t>2026-02-06T20:00:08Z</t>
  </si>
  <si>
    <t>_sBRk9ADpK8</t>
  </si>
  <si>
    <t>Flip a Coin, Win $30,000</t>
  </si>
  <si>
    <t>2026-01-27T17:00:03Z</t>
  </si>
  <si>
    <t>kNLr-cduzuo</t>
  </si>
  <si>
    <t>Wait... Was He Famous?</t>
  </si>
  <si>
    <t>2026-01-25T20:00:01Z</t>
  </si>
  <si>
    <t>pAnGwRiQ4-4</t>
  </si>
  <si>
    <t>$1 vs $1,000,000,000 Futuristic Tech!</t>
  </si>
  <si>
    <t>2026-01-24T17:00:01Z</t>
  </si>
  <si>
    <t>wSh8fAFWEWs</t>
  </si>
  <si>
    <t>Survivor vs Beast Games</t>
  </si>
  <si>
    <t>2026-01-16T19:00:01Z</t>
  </si>
  <si>
    <t>3GNyw4uaAqU</t>
  </si>
  <si>
    <t>Subscribe for an iPhone</t>
  </si>
  <si>
    <t>2026-01-13T19:00:04Z</t>
  </si>
  <si>
    <t>ywIcdSNJolo</t>
  </si>
  <si>
    <t>Pass the Phone</t>
  </si>
  <si>
    <t>2026-01-09T19:00:05Z</t>
  </si>
  <si>
    <t>QJI0an6irrA</t>
  </si>
  <si>
    <t>30 Celebrities Fight For $1,000,000!</t>
  </si>
  <si>
    <t>2026-01-07T20:00:09Z</t>
  </si>
  <si>
    <t>mktYW177p6U</t>
  </si>
  <si>
    <t>Guess the Animal</t>
  </si>
  <si>
    <t>2026-01-06T17:00:02Z</t>
  </si>
  <si>
    <t>7aE4EhHXzlA</t>
  </si>
  <si>
    <t>I Paid Everyone Stuck in Traffic</t>
  </si>
  <si>
    <t>2025-12-26T17:00:05Z</t>
  </si>
  <si>
    <t>IJkB-oapuks</t>
  </si>
  <si>
    <t>Giving Away $1,000,000 in Gifts To My Subscribers</t>
  </si>
  <si>
    <t>2025-12-21T17:00:01Z</t>
  </si>
  <si>
    <t>ZFoNBxpXen4</t>
  </si>
  <si>
    <t>Survive 30 Days Trapped In The Sky, Win $250,000</t>
  </si>
  <si>
    <t>2025-12-20T17:00:01Z</t>
  </si>
  <si>
    <t>RB71Z-vVvCc</t>
  </si>
  <si>
    <t>Find The Real Celebrity, Win $10,000</t>
  </si>
  <si>
    <t>2025-12-19T17:00:02Z</t>
  </si>
  <si>
    <t>fO5FwBcCJBY</t>
  </si>
  <si>
    <t>Would You Date Him for $10,000?</t>
  </si>
  <si>
    <t>2025-12-12T17:00:03Z</t>
  </si>
  <si>
    <t>U-x6KxH1kB4</t>
  </si>
  <si>
    <t>How Many People to Pull a Plane?</t>
  </si>
  <si>
    <t>2025-12-06T19:55:52Z</t>
  </si>
  <si>
    <t>8bMh8azh3CY</t>
  </si>
  <si>
    <t>100 Pilots Fight For A Private Jet</t>
  </si>
  <si>
    <t>2025-12-06T17:00:01Z</t>
  </si>
  <si>
    <t>SE9xF1l3ZwE</t>
  </si>
  <si>
    <t>Hit The Target, Keep The Prize</t>
  </si>
  <si>
    <t>2025-12-05T17:00:03Z</t>
  </si>
  <si>
    <t>rF00lQ_upzg</t>
  </si>
  <si>
    <t>Whatever You Hold Onto, You Keep</t>
  </si>
  <si>
    <t>2025-12-02T20:00:01Z</t>
  </si>
  <si>
    <t>uZY9xr-QAk0</t>
  </si>
  <si>
    <t>Flip a Coin, I’ll Pay For Your College</t>
  </si>
  <si>
    <t>2025-11-28T17:00:01Z</t>
  </si>
  <si>
    <t>AWBsoArakNY</t>
  </si>
  <si>
    <t>Who Has The Fastest Reaction Time?</t>
  </si>
  <si>
    <t>2025-11-25T17:00:00Z</t>
  </si>
  <si>
    <t>Ah_uuTwGOYU</t>
  </si>
  <si>
    <t>World's Strongest Man Vs Robot</t>
  </si>
  <si>
    <t>2025-11-22T17:00:01Z</t>
  </si>
  <si>
    <t>HISfrcjiNPM</t>
  </si>
  <si>
    <t>I Surprised 50 Make-A-Wish Kids With Disneyland</t>
  </si>
  <si>
    <t>2025-11-21T19:40:01Z</t>
  </si>
  <si>
    <t>WROMyJAJmp4</t>
  </si>
  <si>
    <t>Can I Beat An F1 Driver?</t>
  </si>
  <si>
    <t>tAwzBYE18Us</t>
  </si>
  <si>
    <t>How I Became MrBeef</t>
  </si>
  <si>
    <t>2025-11-16T20:00:02Z</t>
  </si>
  <si>
    <t>LyFMbY-c_Lc</t>
  </si>
  <si>
    <t>I Raced Noah Lyles</t>
  </si>
  <si>
    <t>2025-11-14T17:00:01Z</t>
  </si>
  <si>
    <t>3RmOvxilbPM</t>
  </si>
  <si>
    <t>100 People Vs World’s Biggest Trap!</t>
  </si>
  <si>
    <t>2025-11-08T17:00:00Z</t>
  </si>
  <si>
    <t>R7MkZL5i3FQ</t>
  </si>
  <si>
    <t>Giving Trick-or-Treaters Weirder and Weirder Gifts</t>
  </si>
  <si>
    <t>2025-11-07T17:00:05Z</t>
  </si>
  <si>
    <t>26QQE7EsnLA</t>
  </si>
  <si>
    <t>MrBeast Lab Disaster!</t>
  </si>
  <si>
    <t>2025-11-03T17:00:01Z</t>
  </si>
  <si>
    <t>PryTbmudhS8</t>
  </si>
  <si>
    <t>Can We Stop World's Best Tennis Player</t>
  </si>
  <si>
    <t>2025-10-31T16:00:02Z</t>
  </si>
  <si>
    <t>Oo9EbArcQ1c</t>
  </si>
  <si>
    <t>I Saved 1,000 Animals From Dying</t>
  </si>
  <si>
    <t>2025-10-25T16:00:01Z</t>
  </si>
  <si>
    <t>yWEUL3crU_E</t>
  </si>
  <si>
    <t>I Baked a Cake In a Race Car</t>
  </si>
  <si>
    <t>2025-10-21T16:00:01Z</t>
  </si>
  <si>
    <t>JgJrQnDIRgg</t>
  </si>
  <si>
    <t>First to Answer the Phone, Wins $10,000</t>
  </si>
  <si>
    <t>2025-10-17T16:00:00Z</t>
  </si>
  <si>
    <t>gtkqnhN0VkU</t>
  </si>
  <si>
    <t>Answer The Door, Win $10,000</t>
  </si>
  <si>
    <t>2025-10-14T16:00:00Z</t>
  </si>
  <si>
    <t>oBXSvS2QKxU</t>
  </si>
  <si>
    <t>100 Kids Vs World's Strongest Man!</t>
  </si>
  <si>
    <t>2025-10-11T16:00:00Z</t>
  </si>
  <si>
    <t>UTdcX1e0cMA</t>
  </si>
  <si>
    <t>Jump Over The Lava, Win!</t>
  </si>
  <si>
    <t>2025-10-10T16:00:01Z</t>
  </si>
  <si>
    <t>oiZvK6MY7tI</t>
  </si>
  <si>
    <t>Call Your Ex, Win $10,000</t>
  </si>
  <si>
    <t>F0OkwXKcPSE</t>
  </si>
  <si>
    <t>Hi Me In 10 Years</t>
  </si>
  <si>
    <t>2025-10-04T16:00:07Z</t>
  </si>
  <si>
    <t>686PL7rt654</t>
  </si>
  <si>
    <t>World’s Fastest Dinner Date</t>
  </si>
  <si>
    <t>2025-10-03T16:00:03Z</t>
  </si>
  <si>
    <t>zo7i8VTpfNM</t>
  </si>
  <si>
    <t>How Much Would You Risk For $500,000?</t>
  </si>
  <si>
    <t>2025-09-27T16:00:04Z</t>
  </si>
  <si>
    <t>NfhuGUyWYfQ</t>
  </si>
  <si>
    <t>Would Your Grandma Go Skydiving?</t>
  </si>
  <si>
    <t>2025-09-26T18:00:07Z</t>
  </si>
  <si>
    <t>wIpWCJKfRXs</t>
  </si>
  <si>
    <t>I Cooked A Pizza With Power Tools</t>
  </si>
  <si>
    <t>2025-09-23T16:00:07Z</t>
  </si>
  <si>
    <t>9Xeepzg1B8I</t>
  </si>
  <si>
    <t>Which Celebrity Punches The Hardest?</t>
  </si>
  <si>
    <t>2025-09-19T16:00:03Z</t>
  </si>
  <si>
    <t>50G0kIty7Cg</t>
  </si>
  <si>
    <t>Answer The Call, Win $10,000</t>
  </si>
  <si>
    <t>2025-09-16T17:00:04Z</t>
  </si>
  <si>
    <t>4l97aNza_Zc</t>
  </si>
  <si>
    <t>Survive 30 Days Chained To Your Ex, Win $250,000</t>
  </si>
  <si>
    <t>2025-09-13T16:00:01Z</t>
  </si>
  <si>
    <t>3ih2bPKSWsQ</t>
  </si>
  <si>
    <t>I Arrested IShowSpeed</t>
  </si>
  <si>
    <t>2025-09-12T17:00:01Z</t>
  </si>
  <si>
    <t>uA9Zcg3vHvo</t>
  </si>
  <si>
    <t>I Raced IShowSpeed</t>
  </si>
  <si>
    <t>2025-09-01T20:45:41Z</t>
  </si>
  <si>
    <t>_AbFXuGDRTs</t>
  </si>
  <si>
    <t>$1 vs $1,000,000,000 Nuclear Bunker!</t>
  </si>
  <si>
    <t>2025-08-30T16:00:11Z</t>
  </si>
  <si>
    <t>MOGW3v3pJ5Y</t>
  </si>
  <si>
    <t>1 Subscriber = 1 Penny Donated</t>
  </si>
  <si>
    <t>2025-08-29T16:00:10Z</t>
  </si>
  <si>
    <t>XNtTO_339kU</t>
  </si>
  <si>
    <t>Pick The Wrong Tube, Get Slimed</t>
  </si>
  <si>
    <t>2025-08-27T16:00:02Z</t>
  </si>
  <si>
    <t>rB9NynBZ4go</t>
  </si>
  <si>
    <t>Reaction Time Challenge</t>
  </si>
  <si>
    <t>2025-08-19T16:00:02Z</t>
  </si>
  <si>
    <t>TDv56whosPQ</t>
  </si>
  <si>
    <t>Survive 100 Days In Prison, Win $500,000</t>
  </si>
  <si>
    <t>2025-08-16T19:00:02Z</t>
  </si>
  <si>
    <t>R_BmT1OJw98</t>
  </si>
  <si>
    <t>Every YouTube Play Button I Have</t>
  </si>
  <si>
    <t>2025-08-15T16:00:01Z</t>
  </si>
  <si>
    <t>vpRW4JhzfSE</t>
  </si>
  <si>
    <t>1 Subscriber = 1 Second In The Arctic</t>
  </si>
  <si>
    <t>2025-08-08T16:00:02Z</t>
  </si>
  <si>
    <t>qXW93Cois2s</t>
  </si>
  <si>
    <t>Guess What Hit You</t>
  </si>
  <si>
    <t>2025-08-05T16:00:01Z</t>
  </si>
  <si>
    <t>r7f0L48dHpc</t>
  </si>
  <si>
    <t>$1  = One Year of Clean Water</t>
  </si>
  <si>
    <t>2025-08-02T16:00:02Z</t>
  </si>
  <si>
    <t>Z4hVGCWH1Kc</t>
  </si>
  <si>
    <t>2,000,000 People Get Clean Water For The First Time!</t>
  </si>
  <si>
    <t>2025-08-01T16:00:01Z</t>
  </si>
  <si>
    <t>zxuICI0kL3s</t>
  </si>
  <si>
    <t>Don’t Turn Around, Win $10k</t>
  </si>
  <si>
    <t>2025-07-31T16:00:01Z</t>
  </si>
  <si>
    <t>R1SFXJo-FlE</t>
  </si>
  <si>
    <t>Subscribe To Explode The TNT</t>
  </si>
  <si>
    <t>2025-07-29T16:00:01Z</t>
  </si>
  <si>
    <t>lQz5aqjZ3lQ</t>
  </si>
  <si>
    <t>Find This Briefcase, Win $10,000</t>
  </si>
  <si>
    <t>2025-07-25T16:00:02Z</t>
  </si>
  <si>
    <t>EiFcNbXBqeo</t>
  </si>
  <si>
    <t>Jet Engine vs Human for $10k</t>
  </si>
  <si>
    <t>2025-07-20T16:00:01Z</t>
  </si>
  <si>
    <t>pzBi1nwDn8U</t>
  </si>
  <si>
    <t>Survive 100 Days Trapped In A Private Jet, Keep It</t>
  </si>
  <si>
    <t>2025-07-19T16:00:01Z</t>
  </si>
  <si>
    <t>R7oW0LwS_e4</t>
  </si>
  <si>
    <t>I Met Neymar</t>
  </si>
  <si>
    <t>2025-07-11T16:15:07Z</t>
  </si>
  <si>
    <t>BfKI_TQnQvo</t>
  </si>
  <si>
    <t>I Raced A Cheetah</t>
  </si>
  <si>
    <t>2025-07-06T16:00:01Z</t>
  </si>
  <si>
    <t>FWAdfuPpLOc</t>
  </si>
  <si>
    <t>World's Fastest Car Vs Cheetah!</t>
  </si>
  <si>
    <t>2025-07-05T16:00:01Z</t>
  </si>
  <si>
    <t>NjlP2_l1Wr0</t>
  </si>
  <si>
    <t>You Lose, You Get Shot</t>
  </si>
  <si>
    <t>2025-06-30T16:00:08Z</t>
  </si>
  <si>
    <t>gGcaGdHlt60</t>
  </si>
  <si>
    <t>If You Spill, You Lose!</t>
  </si>
  <si>
    <t>2025-06-25T17:00:08Z</t>
  </si>
  <si>
    <t>pe_ejTiIcSs</t>
  </si>
  <si>
    <t>Lose 100 LBs, Win $250,000!</t>
  </si>
  <si>
    <t>2025-06-21T16:00:01Z</t>
  </si>
  <si>
    <t>V6In4tmd-w8</t>
  </si>
  <si>
    <t>$1 vs $25,000 VFX</t>
  </si>
  <si>
    <t>2025-06-19T17:00:41Z</t>
  </si>
  <si>
    <t>ZGvn9ywXjpY</t>
  </si>
  <si>
    <t>Feastables vs Reese’s Taste Test with @gordonramsay</t>
  </si>
  <si>
    <t>2025-06-10T16:00:02Z</t>
  </si>
  <si>
    <t>hTSaweR8qMI</t>
  </si>
  <si>
    <t>$1 vs $500,000 Date</t>
  </si>
  <si>
    <t>2025-06-07T16:00:00Z</t>
  </si>
  <si>
    <t>KCRLP-zBacU</t>
  </si>
  <si>
    <t>Can I Teach a Penguin To Subscribe?</t>
  </si>
  <si>
    <t>2025-05-31T16:10:27Z</t>
  </si>
  <si>
    <t>c2ukL_zjFCk</t>
  </si>
  <si>
    <t>Extreme Helmet Game</t>
  </si>
  <si>
    <t>2025-05-28T16:00:19Z</t>
  </si>
  <si>
    <t>DZIASl9q90s</t>
  </si>
  <si>
    <t>Beat Neymar, Win $500,000</t>
  </si>
  <si>
    <t>2025-05-24T16:00:01Z</t>
  </si>
  <si>
    <t>7qY-qalCI2Y</t>
  </si>
  <si>
    <t>Grab The Rolex, Keep It!</t>
  </si>
  <si>
    <t>2025-05-21T15:59:50Z</t>
  </si>
  <si>
    <t>N0pwLtonPdg</t>
  </si>
  <si>
    <t>Slippery vs Sticky Stairs</t>
  </si>
  <si>
    <t>2025-05-16T16:00:01Z</t>
  </si>
  <si>
    <t>-4GmbBoYQjE</t>
  </si>
  <si>
    <t>I Survived 100 Hours In An Ancient Temple</t>
  </si>
  <si>
    <t>2025-05-10T16:00:01Z</t>
  </si>
  <si>
    <t>0yPgljFcTR4</t>
  </si>
  <si>
    <t>Subscribe to Win $50,000</t>
  </si>
  <si>
    <t>2025-05-07T16:00:01Z</t>
  </si>
  <si>
    <t>TN1wErFGTzM</t>
  </si>
  <si>
    <t>Find This Key, Win $10,000</t>
  </si>
  <si>
    <t>2025-05-05T16:00:00Z</t>
  </si>
  <si>
    <t>3dxksf0CzS8</t>
  </si>
  <si>
    <t>World’s Fastest Robbers</t>
  </si>
  <si>
    <t>2025-05-02T16:00:00Z</t>
  </si>
  <si>
    <t>x7yv72s8h0o</t>
  </si>
  <si>
    <t>Would You Go On Vacation With A Stranger?</t>
  </si>
  <si>
    <t>2025-04-29T16:00:00Z</t>
  </si>
  <si>
    <t>uyiG6uw-6pA</t>
  </si>
  <si>
    <t>Would You Risk Drowning for $500,000?</t>
  </si>
  <si>
    <t>2025-04-26T16:00:00Z</t>
  </si>
  <si>
    <t>M1STzb7k9L8</t>
  </si>
  <si>
    <t>2025-04-25T16:15:00Z</t>
  </si>
  <si>
    <t>7K-yxGWYsnk</t>
  </si>
  <si>
    <t>$10,000 Human Shuffleboard</t>
  </si>
  <si>
    <t>2025-04-22T16:30:14Z</t>
  </si>
  <si>
    <t>Tbn4cYCaZCk</t>
  </si>
  <si>
    <t>Drift This Car, Win $10,000</t>
  </si>
  <si>
    <t>2025-04-16T17:00:15Z</t>
  </si>
  <si>
    <t>figrl0aOULs</t>
  </si>
  <si>
    <t>Click This Video To Feed 1 Person</t>
  </si>
  <si>
    <t>2025-04-12T16:00:01Z</t>
  </si>
  <si>
    <t>Uxc84UUrVHk</t>
  </si>
  <si>
    <t>You Can Stop Child Labor</t>
  </si>
  <si>
    <t>2025-04-11T16:00:01Z</t>
  </si>
  <si>
    <t>BzKaMelDzqo</t>
  </si>
  <si>
    <t>How Fast Can I Go?</t>
  </si>
  <si>
    <t>2025-04-05T16:00:12Z</t>
  </si>
  <si>
    <t>4yx9ZJDfyKk</t>
  </si>
  <si>
    <t>Baseball Tic Tac Toe vs MLB Pro</t>
  </si>
  <si>
    <t>2025-03-27T16:00:00Z</t>
  </si>
  <si>
    <t>kPa_S6jN9ls</t>
  </si>
  <si>
    <t>Could You Win This Obstacle Course?</t>
  </si>
  <si>
    <t>2025-03-25T16:15:01Z</t>
  </si>
  <si>
    <t>69g-YcbmgQA</t>
  </si>
  <si>
    <t>Find Your Dog, Win $10,000</t>
  </si>
  <si>
    <t>2025-03-23T16:00:01Z</t>
  </si>
  <si>
    <t>aKq8bkY5eTU</t>
  </si>
  <si>
    <t>I Survived The 5 Deadliest Places On Earth</t>
  </si>
  <si>
    <t>2025-03-22T16:00:00Z</t>
  </si>
  <si>
    <t>TNtpUQbW4mg</t>
  </si>
  <si>
    <t>This Is How The Pyramids Were Built</t>
  </si>
  <si>
    <t>2025-03-18T16:00:00Z</t>
  </si>
  <si>
    <t>TgCm8oDmxOk</t>
  </si>
  <si>
    <t>I Crashed One Of The Most Expensive Cars In The World</t>
  </si>
  <si>
    <t>2025-03-14T16:00:00Z</t>
  </si>
  <si>
    <t>954wJ3uHVAk</t>
  </si>
  <si>
    <t>Last One To Fall Wins</t>
  </si>
  <si>
    <t>2025-03-08T18:05:23Z</t>
  </si>
  <si>
    <t>zajUgQLviwk</t>
  </si>
  <si>
    <t>Last to Leave Their Circle Wins $500,000</t>
  </si>
  <si>
    <t>2025-03-01T17:00:01Z</t>
  </si>
  <si>
    <t>PXevNM0awlI</t>
  </si>
  <si>
    <t>Highest Away From Me Wins $10,000</t>
  </si>
  <si>
    <t>2025-02-28T17:00:00Z</t>
  </si>
  <si>
    <t>PuQ5UxKUY48</t>
  </si>
  <si>
    <t>Find The Human, Win $10,000</t>
  </si>
  <si>
    <t>2025-02-24T17:00:02Z</t>
  </si>
  <si>
    <t>L5ihmu87xTE</t>
  </si>
  <si>
    <t>Find This Stranger, Win $10,000</t>
  </si>
  <si>
    <t>2025-02-19T18:00:00Z</t>
  </si>
  <si>
    <t>nAiKLoCP-kU</t>
  </si>
  <si>
    <t>Reach the Money, Win $10,000</t>
  </si>
  <si>
    <t>2025-02-14T18:15:00Z</t>
  </si>
  <si>
    <t>NDsO1LT_0lw</t>
  </si>
  <si>
    <t>I Spent 100 Hours Inside The Pyramids!</t>
  </si>
  <si>
    <t>2025-02-08T17:00:00Z</t>
  </si>
  <si>
    <t>sF5LYGgKbUA</t>
  </si>
  <si>
    <t>Every Minute One Person Is Eliminated</t>
  </si>
  <si>
    <t>2025-01-25T17:00:01Z</t>
  </si>
  <si>
    <t>MFpWEKN9c6Y</t>
  </si>
  <si>
    <t>Last Person Hanging Wins $10,000</t>
  </si>
  <si>
    <t>2025-01-21T17:00:03Z</t>
  </si>
  <si>
    <t>TRxMLLuWIhw</t>
  </si>
  <si>
    <t>Subscribe For An iPhone</t>
  </si>
  <si>
    <t>2025-01-17T17:00:00Z</t>
  </si>
  <si>
    <t>SM66GDRyIVY</t>
  </si>
  <si>
    <t>I Helped 2,000 People Walk Again</t>
  </si>
  <si>
    <t>2025-01-11T17:00:02Z</t>
  </si>
  <si>
    <t>EvqtfK_RaRg</t>
  </si>
  <si>
    <t>This obstacle course is WILD</t>
  </si>
  <si>
    <t>2025-01-10T17:00:00Z</t>
  </si>
  <si>
    <t>3cWm9B_0_kI</t>
  </si>
  <si>
    <t>How Many People To Stop Ronaldo?</t>
  </si>
  <si>
    <t>2024-12-27T19:00:00Z</t>
  </si>
  <si>
    <t>qtWqHIx8Z-o</t>
  </si>
  <si>
    <t>Last Person Standing Wins $10,000</t>
  </si>
  <si>
    <t>2024-12-22T17:00:01Z</t>
  </si>
  <si>
    <t>gs8qfL9PNac</t>
  </si>
  <si>
    <t>2,000 People Fight For $5,000,000</t>
  </si>
  <si>
    <t>2024-12-19T17:00:00Z</t>
  </si>
  <si>
    <t>DBPYB8WkkDc</t>
  </si>
  <si>
    <t>Bring Me Back Snow From The North Pole</t>
  </si>
  <si>
    <t>2024-12-10T17:00:00Z</t>
  </si>
  <si>
    <t>zvBXpoBegwE</t>
  </si>
  <si>
    <t>I Got T-Series To Subscribe To Me</t>
  </si>
  <si>
    <t>2024-12-09T17:00:01Z</t>
  </si>
  <si>
    <t>SWc8fI_9iqA</t>
  </si>
  <si>
    <t>Ronaldo Teaches Me How To SIUU</t>
  </si>
  <si>
    <t>2024-12-01T17:00:00Z</t>
  </si>
  <si>
    <t>0BjlBnfHcHM</t>
  </si>
  <si>
    <t>Beat Ronaldo, Win $1,000,000</t>
  </si>
  <si>
    <t>2024-11-30T17:00:00Z</t>
  </si>
  <si>
    <t>HcL1EQ5qD_g</t>
  </si>
  <si>
    <t>Confronting Ronaldo</t>
  </si>
  <si>
    <t>2024-11-29T17:30:10Z</t>
  </si>
  <si>
    <t>dc089EZRGcg</t>
  </si>
  <si>
    <t>How Many Balloons To Make A Store Fly?</t>
  </si>
  <si>
    <t>2024-11-18T19:00:00Z</t>
  </si>
  <si>
    <t>vXNtju4VFm4</t>
  </si>
  <si>
    <t>Restocking MrBeast Labs at Walmart</t>
  </si>
  <si>
    <t>2024-11-18T17:00:00Z</t>
  </si>
  <si>
    <t>I9mw5UlDyPI</t>
  </si>
  <si>
    <t>This Game Is Wild...</t>
  </si>
  <si>
    <t>2024-11-12T17:00:00Z</t>
  </si>
  <si>
    <t>pS-fFdvyHLE</t>
  </si>
  <si>
    <t>How Much Tape To Stop A Lamborghini?</t>
  </si>
  <si>
    <t>2024-11-08T17:00:00Z</t>
  </si>
  <si>
    <t>Xj0Jtjg3lHQ</t>
  </si>
  <si>
    <t>$1 vs $500,000 Experiences!</t>
  </si>
  <si>
    <t>2024-11-02T16:00:00Z</t>
  </si>
  <si>
    <t>9UtcHPCEBgg</t>
  </si>
  <si>
    <t>1 Subscriber = 1 Penny</t>
  </si>
  <si>
    <t>2024-10-19T18:00:00Z</t>
  </si>
  <si>
    <t>ZNt_GoOBHq8</t>
  </si>
  <si>
    <t>Human vs Jet Engine</t>
  </si>
  <si>
    <t>2024-10-17T19:00:00Z</t>
  </si>
  <si>
    <t>bn0Kh9c4Zv4</t>
  </si>
  <si>
    <t>7 Days Exploring An Underground City</t>
  </si>
  <si>
    <t>2024-10-12T16:00:00Z</t>
  </si>
  <si>
    <t>dDVFnfCwjHA</t>
  </si>
  <si>
    <t>Will A Basketball Boat Hold My Weight?</t>
  </si>
  <si>
    <t>2024-10-11T16:00:01Z</t>
  </si>
  <si>
    <t>Kt2HvqRruHQ</t>
  </si>
  <si>
    <t>Find The Real MrBeast, Win $10,000</t>
  </si>
  <si>
    <t>2024-10-05T16:00:00Z</t>
  </si>
  <si>
    <t>vDrSCXFMAKk</t>
  </si>
  <si>
    <t>Spot The Difference, Win $10,000</t>
  </si>
  <si>
    <t>2024-09-28T20:00:00Z</t>
  </si>
  <si>
    <t>snX5YyflrGw</t>
  </si>
  <si>
    <t>100 Identical Twins Fight For $250,000</t>
  </si>
  <si>
    <t>2024-09-28T16:00:00Z</t>
  </si>
  <si>
    <t>nbzQdlWrcnk</t>
  </si>
  <si>
    <t>Running With Bigger And Bigger Lunchlys</t>
  </si>
  <si>
    <t>2024-09-20T16:00:00Z</t>
  </si>
  <si>
    <t>8krJy31Diow</t>
  </si>
  <si>
    <t>Holding Bigger And Bigger Dogs</t>
  </si>
  <si>
    <t>2024-09-16T18:00:00Z</t>
  </si>
  <si>
    <t>aRcUVhVlSHg</t>
  </si>
  <si>
    <t>Men Vs Women Survive In The Wilderness For $500,000</t>
  </si>
  <si>
    <t>2024-09-07T16:00:00Z</t>
  </si>
  <si>
    <t>Jo7sfpeWqwE</t>
  </si>
  <si>
    <t>Will A Guitar Boat Hold My Weight?</t>
  </si>
  <si>
    <t>2024-09-05T16:00:01Z</t>
  </si>
  <si>
    <t>QtD-CeUdRUQ</t>
  </si>
  <si>
    <t>Real Or Cake For $10,000</t>
  </si>
  <si>
    <t>2024-08-29T16:00:00Z</t>
  </si>
  <si>
    <t>ndAQfTzlVjc</t>
  </si>
  <si>
    <t>7 Days Stranded In A Cave</t>
  </si>
  <si>
    <t>2024-08-17T16:00:00Z</t>
  </si>
  <si>
    <t>AydS-vA3qa4</t>
  </si>
  <si>
    <t>Running With Bigger And Bigger Feastables</t>
  </si>
  <si>
    <t>2024-08-15T23:00:00Z</t>
  </si>
  <si>
    <t>UPrkC1LdlLY</t>
  </si>
  <si>
    <t>Survive 100 Days In Nuclear Bunker, Win $500,000</t>
  </si>
  <si>
    <t>2024-08-03T16:00:00Z</t>
  </si>
  <si>
    <t>8bTQMDM4qvY</t>
  </si>
  <si>
    <t>Spot The Fake Animal For $10,000</t>
  </si>
  <si>
    <t>2024-07-19T16:00:00Z</t>
  </si>
  <si>
    <t>DBw0oD38z0Q</t>
  </si>
  <si>
    <t>This Game Is Wild</t>
  </si>
  <si>
    <t>2024-07-17T16:00:00Z</t>
  </si>
  <si>
    <t>4SNThp0YiU4</t>
  </si>
  <si>
    <t>50 YouTubers Fight For $1,000,000</t>
  </si>
  <si>
    <t>2024-07-13T16:00:01Z</t>
  </si>
  <si>
    <t>XhuisK0bTSA</t>
  </si>
  <si>
    <t>Pass The Phone To…</t>
  </si>
  <si>
    <t>2024-07-11T17:00:01Z</t>
  </si>
  <si>
    <t>lkCRPp7cnP8</t>
  </si>
  <si>
    <t>How Many Balloons Does It Take To Fly?</t>
  </si>
  <si>
    <t>2024-07-10T17:00:00Z</t>
  </si>
  <si>
    <t>KkCXLABwHP0</t>
  </si>
  <si>
    <t>I Built 100 Houses And Gave Them Away!</t>
  </si>
  <si>
    <t>2024-06-29T16:00:00Z</t>
  </si>
  <si>
    <t>PWirijQkH4M</t>
  </si>
  <si>
    <t>World’s Deadliest Obstacle Course!</t>
  </si>
  <si>
    <t>2024-06-15T16:00:01Z</t>
  </si>
  <si>
    <t>U_LlX4t0A9I</t>
  </si>
  <si>
    <t>$10,000 Every Day You Survive In The Wilderness</t>
  </si>
  <si>
    <t>2024-06-01T16:00:00Z</t>
  </si>
  <si>
    <t>T8I165Qxeo8</t>
  </si>
  <si>
    <t>Sprinting with More and More Money</t>
  </si>
  <si>
    <t>2024-05-30T16:00:01Z</t>
  </si>
  <si>
    <t>i-9V21MqlhY</t>
  </si>
  <si>
    <t>Giving 1000 Phones Away</t>
  </si>
  <si>
    <t>2024-05-28T16:00:00Z</t>
  </si>
  <si>
    <t>pe8nanpv0Oo</t>
  </si>
  <si>
    <t>3v3 Stump Game</t>
  </si>
  <si>
    <t>2026-08-24T20:43:15Z</t>
  </si>
  <si>
    <t>UCRijo3ddMTht_IHyNSNXpNQ</t>
  </si>
  <si>
    <t>Dude Perfect</t>
  </si>
  <si>
    <t>6BjR_UP2dzM</t>
  </si>
  <si>
    <t>School Stereotypes</t>
  </si>
  <si>
    <t>Nna95q3pZTo</t>
  </si>
  <si>
    <t>Can a NBA Star Make This Impossible Shot?</t>
  </si>
  <si>
    <t>2026-08-21T21:03:07Z</t>
  </si>
  <si>
    <t>qawb_xEt88o</t>
  </si>
  <si>
    <t>Can Bryson DeChambeau Make This Chip? 😱</t>
  </si>
  <si>
    <t>2026-08-20T22:13:30Z</t>
  </si>
  <si>
    <t>UTuZTGa_85k</t>
  </si>
  <si>
    <t>Undisputed Podium King 👑</t>
  </si>
  <si>
    <t>2026-08-19T00:39:37Z</t>
  </si>
  <si>
    <t>JQUw9O4osUw</t>
  </si>
  <si>
    <t>We put a bowling ball in EVERY sport!</t>
  </si>
  <si>
    <t>2026-08-14T20:05:07Z</t>
  </si>
  <si>
    <t>d7WgbNPACY4</t>
  </si>
  <si>
    <t>Do NOT break the glass! ⚾️</t>
  </si>
  <si>
    <t>2026-08-13T19:40:41Z</t>
  </si>
  <si>
    <t>w0bQCkoUkz0</t>
  </si>
  <si>
    <t>Top 10 HARDEST Impossible Walls</t>
  </si>
  <si>
    <t>2026-08-12T21:59:14Z</t>
  </si>
  <si>
    <t>LBYkNHZVQrc</t>
  </si>
  <si>
    <t>He Stopped Embarrassing Himself 😳</t>
  </si>
  <si>
    <t>2026-08-11T19:58:51Z</t>
  </si>
  <si>
    <t>DBJJt9ZUNF8</t>
  </si>
  <si>
    <t>That Last Dunk Tho 👀</t>
  </si>
  <si>
    <t>2026-08-10T20:00:02Z</t>
  </si>
  <si>
    <t>IREY8wVupM8</t>
  </si>
  <si>
    <t>Who Can Kick the Most Field Goals?</t>
  </si>
  <si>
    <t>2026-08-08T16:03:33Z</t>
  </si>
  <si>
    <t>5R1yh5iMBhU</t>
  </si>
  <si>
    <t>The 🐐 of Frisbee</t>
  </si>
  <si>
    <t>2026-08-04T20:25:16Z</t>
  </si>
  <si>
    <t>ULmFCiPSF7s</t>
  </si>
  <si>
    <t>Ender Pearls in Sports 🤣</t>
  </si>
  <si>
    <t>2026-08-03T19:38:17Z</t>
  </si>
  <si>
    <t>9XQMYTNrsz0</t>
  </si>
  <si>
    <t>We Played Rocket League In Real Life</t>
  </si>
  <si>
    <t>2026-08-01T18:09:51Z</t>
  </si>
  <si>
    <t>MhXPm7JcWCo</t>
  </si>
  <si>
    <t>All Sports Golf Battle 7</t>
  </si>
  <si>
    <t>2026-08-01T14:00:01Z</t>
  </si>
  <si>
    <t>ZGGjCQLIQLk</t>
  </si>
  <si>
    <t>DON'T MISS FIRST 😳</t>
  </si>
  <si>
    <t>2026-07-28T19:30:32Z</t>
  </si>
  <si>
    <t>ZTMx4D5fu_k</t>
  </si>
  <si>
    <t>CAITLIN’S SHOT AT THE END 🔥</t>
  </si>
  <si>
    <t>2026-07-25T20:02:29Z</t>
  </si>
  <si>
    <t>7zfg2xPEWZI</t>
  </si>
  <si>
    <t>Most Balls Dropped Wins!</t>
  </si>
  <si>
    <t>2026-07-24T19:16:47Z</t>
  </si>
  <si>
    <t>OM3EaN9pGaw</t>
  </si>
  <si>
    <t>Her Timer Skills Are UNREAL</t>
  </si>
  <si>
    <t>2026-07-22T16:28:49Z</t>
  </si>
  <si>
    <t>BgE71W2u8GE</t>
  </si>
  <si>
    <t>We Broke Every Sports World Record</t>
  </si>
  <si>
    <t>2026-07-21T17:22:04Z</t>
  </si>
  <si>
    <t>DEzRJKdJ5Fs</t>
  </si>
  <si>
    <t>World’s Longest Yoga Ball Crawl</t>
  </si>
  <si>
    <t>2026-07-16T17:05:21Z</t>
  </si>
  <si>
    <t>hnYUUkCZrLU</t>
  </si>
  <si>
    <t>Dude Perfect EXPOSED!</t>
  </si>
  <si>
    <t>2026-07-15T16:56:17Z</t>
  </si>
  <si>
    <t>nYTVRfi3kmA</t>
  </si>
  <si>
    <t>Hit the Target or Get Skunked!</t>
  </si>
  <si>
    <t>2026-07-13T20:46:53Z</t>
  </si>
  <si>
    <t>Cj5mDzR981Q</t>
  </si>
  <si>
    <t>Rocket League In Real Life 🤯</t>
  </si>
  <si>
    <t>2026-07-12T13:32:14Z</t>
  </si>
  <si>
    <t>38sRNvQUPYs</t>
  </si>
  <si>
    <t>INSANE SOCCER TRICK SHOT 🤯</t>
  </si>
  <si>
    <t>2026-07-10T21:42:12Z</t>
  </si>
  <si>
    <t>CuUgvyVsUIM</t>
  </si>
  <si>
    <t>Don’t Miss The Last One!</t>
  </si>
  <si>
    <t>2026-07-08T19:44:27Z</t>
  </si>
  <si>
    <t>JPR63bxZBAA</t>
  </si>
  <si>
    <t>So Satisfying 🧼</t>
  </si>
  <si>
    <t>2026-07-07T20:33:52Z</t>
  </si>
  <si>
    <t>BGiUWJhpENw</t>
  </si>
  <si>
    <t>you tuff bro 😭✌️</t>
  </si>
  <si>
    <t>2026-07-05T22:37:30Z</t>
  </si>
  <si>
    <t>IRaXnX_Dufo</t>
  </si>
  <si>
    <t>OVERTIME 250 IS HERE</t>
  </si>
  <si>
    <t>2026-07-04T14:00:03Z</t>
  </si>
  <si>
    <t>yrNZBS46xvw</t>
  </si>
  <si>
    <t>Tyler was DIALED 🔥</t>
  </si>
  <si>
    <t>2026-07-03T20:10:13Z</t>
  </si>
  <si>
    <t>od3ifPseLuk</t>
  </si>
  <si>
    <t>WORLD'S HIGHEST SHOT 🎯</t>
  </si>
  <si>
    <t>2026-07-02T20:19:59Z</t>
  </si>
  <si>
    <t>JS6EA5zu2qM</t>
  </si>
  <si>
    <t>How Far Can I Dunk?</t>
  </si>
  <si>
    <t>2026-06-30T21:38:56Z</t>
  </si>
  <si>
    <t>Iy71mcDGTnE</t>
  </si>
  <si>
    <t>Impossible Soccer Wall Battle</t>
  </si>
  <si>
    <t>2026-06-24T19:28:13Z</t>
  </si>
  <si>
    <t>aJNjE4Zl5wI</t>
  </si>
  <si>
    <t>That Friend Who Always Misses 🤣</t>
  </si>
  <si>
    <t>2026-06-21T19:06:55Z</t>
  </si>
  <si>
    <t>LW49IzWVCcY</t>
  </si>
  <si>
    <t>Average Dudes vs. WWE Superstars</t>
  </si>
  <si>
    <t>2026-06-20T14:00:07Z</t>
  </si>
  <si>
    <t>CclLzwgtHUc</t>
  </si>
  <si>
    <t>Gym Teachers Always Doing The Most 🤣</t>
  </si>
  <si>
    <t>2026-06-19T16:35:46Z</t>
  </si>
  <si>
    <t>j7wikZktz8E</t>
  </si>
  <si>
    <t>Kick Through The Arches, You Win!</t>
  </si>
  <si>
    <t>2026-06-06T16:06:33Z</t>
  </si>
  <si>
    <t>SfHZkY1peiQ</t>
  </si>
  <si>
    <t>Average Dudes vs Pro Footballers</t>
  </si>
  <si>
    <t>2026-06-06T14:00:12Z</t>
  </si>
  <si>
    <t>uO8dnTeg3uw</t>
  </si>
  <si>
    <t>Real Life Lightsaber 🤯</t>
  </si>
  <si>
    <t>2026-06-04T22:08:41Z</t>
  </si>
  <si>
    <t>troD7Ti_oao</t>
  </si>
  <si>
    <t>4 IN A ROW 🤯👀</t>
  </si>
  <si>
    <t>2026-06-03T22:29:16Z</t>
  </si>
  <si>
    <t>XX4hQc0wKyg</t>
  </si>
  <si>
    <t>What Are The Odds?!</t>
  </si>
  <si>
    <t>2026-06-02T17:57:13Z</t>
  </si>
  <si>
    <t>09KzpbRhRPY</t>
  </si>
  <si>
    <t>This Is Harder Than It Looks 💀</t>
  </si>
  <si>
    <t>2026-05-28T21:47:39Z</t>
  </si>
  <si>
    <t>tJNjuyeRPGg</t>
  </si>
  <si>
    <t>This Trick Shot Almost Made Him QUIT</t>
  </si>
  <si>
    <t>2026-05-25T18:55:41Z</t>
  </si>
  <si>
    <t>BKzGq4pRrEQ</t>
  </si>
  <si>
    <t>Dude Perfect vs. AI</t>
  </si>
  <si>
    <t>2026-05-25T00:35:29Z</t>
  </si>
  <si>
    <t>kmlzZ0FxR1Q</t>
  </si>
  <si>
    <t>OVERTIME 50 IS FINALLY HERE!!</t>
  </si>
  <si>
    <t>2026-05-23T14:00:00Z</t>
  </si>
  <si>
    <t>wA0bqop6ueA</t>
  </si>
  <si>
    <t>Which Shot Went In?</t>
  </si>
  <si>
    <t>2026-05-15T01:01:12Z</t>
  </si>
  <si>
    <t>fp77qbUJJbQ</t>
  </si>
  <si>
    <t>Break The Glass, YOU LOSE</t>
  </si>
  <si>
    <t>2026-05-13T21:58:16Z</t>
  </si>
  <si>
    <t>sv37nVemnsQ</t>
  </si>
  <si>
    <t>Hardest Hockey Trick Shot EVER!</t>
  </si>
  <si>
    <t>2026-05-09T16:41:19Z</t>
  </si>
  <si>
    <t>d9_uWbK8-d0</t>
  </si>
  <si>
    <t>This Golf Shot Shouldn’t Be Possible</t>
  </si>
  <si>
    <t>2026-05-02T20:04:13Z</t>
  </si>
  <si>
    <t>Q_xwiljjLiE</t>
  </si>
  <si>
    <t>Ultimate Fort Battle</t>
  </si>
  <si>
    <t>2026-05-02T14:00:06Z</t>
  </si>
  <si>
    <t>xcqrpFVSZ6I</t>
  </si>
  <si>
    <t>The LAST Shot Was Insane!</t>
  </si>
  <si>
    <t>2026-04-30T23:14:35Z</t>
  </si>
  <si>
    <t>g1dyjw6kseM</t>
  </si>
  <si>
    <t>How Many Hangers Can Hold Me?</t>
  </si>
  <si>
    <t>2026-04-25T16:08:08Z</t>
  </si>
  <si>
    <t>N04l44go2sg</t>
  </si>
  <si>
    <t>Cooper Flagg vs. Normal Dude</t>
  </si>
  <si>
    <t>2026-04-19T21:54:59Z</t>
  </si>
  <si>
    <t>5H1HWJB1Uww</t>
  </si>
  <si>
    <t>Steph Curry Can Make ANYTHING</t>
  </si>
  <si>
    <t>2026-04-16T19:46:54Z</t>
  </si>
  <si>
    <t>Ay2XxSL0790</t>
  </si>
  <si>
    <t>you BETTER NOT miss 😭</t>
  </si>
  <si>
    <t>2026-04-11T22:15:48Z</t>
  </si>
  <si>
    <t>2_grvTrxgb4</t>
  </si>
  <si>
    <t>First to Make the Plane Shot Wins!</t>
  </si>
  <si>
    <t>2026-04-11T14:00:16Z</t>
  </si>
  <si>
    <t>ONQbLl9a11Q</t>
  </si>
  <si>
    <t>Every Athlete Knows This Pain 😭</t>
  </si>
  <si>
    <t>2026-04-08T20:07:24Z</t>
  </si>
  <si>
    <t>MMmyCIWA-F4</t>
  </si>
  <si>
    <t>UNEXPECTED GOLF TRICK SHOTS ⛳️</t>
  </si>
  <si>
    <t>2026-04-06T21:14:00Z</t>
  </si>
  <si>
    <t>SPkH-9D0vJY</t>
  </si>
  <si>
    <t>Smallest Bat vs Biggest Bat 🏏</t>
  </si>
  <si>
    <t>2026-04-01T22:24:48Z</t>
  </si>
  <si>
    <t>Nin66-gPHkM</t>
  </si>
  <si>
    <t>How Many Balloons to Fly? 🎈</t>
  </si>
  <si>
    <t>2026-03-28T19:18:58Z</t>
  </si>
  <si>
    <t>tj-9sh8DG5o</t>
  </si>
  <si>
    <t>Quicksand Football Battle 🤯</t>
  </si>
  <si>
    <t>2026-03-23T22:40:43Z</t>
  </si>
  <si>
    <t>1rPIQJ8NF3E</t>
  </si>
  <si>
    <t>$1 vs $100,000,000 Rocket 🚀</t>
  </si>
  <si>
    <t>2026-03-21T16:09:02Z</t>
  </si>
  <si>
    <t>msj1qZmJ4PY</t>
  </si>
  <si>
    <t>Airsoft Battle Royale (feat. Wives)</t>
  </si>
  <si>
    <t>2026-03-21T14:00:00Z</t>
  </si>
  <si>
    <t>BBZ9WkEVP6E</t>
  </si>
  <si>
    <t>BIGGEST TIC TAC TOE EVER 😱🏌️‍♂️</t>
  </si>
  <si>
    <t>2026-03-20T01:19:20Z</t>
  </si>
  <si>
    <t>TSZ4L_A1Y7s</t>
  </si>
  <si>
    <t>PERFECT BASKETBALL SHOT 😱</t>
  </si>
  <si>
    <t>2026-03-13T00:06:20Z</t>
  </si>
  <si>
    <t>GFh997S_mS8</t>
  </si>
  <si>
    <t>DON’T EAT THE SPICY CHIP 🥵</t>
  </si>
  <si>
    <t>2026-03-07T19:07:39Z</t>
  </si>
  <si>
    <t>LdHDiXUI4Oc</t>
  </si>
  <si>
    <t>IMPOSSIBLE BASEBALL PITCH</t>
  </si>
  <si>
    <t>2026-02-28T17:01:48Z</t>
  </si>
  <si>
    <t>UjsrLMY13Bo</t>
  </si>
  <si>
    <t>I Played in the NBA All-Star Game</t>
  </si>
  <si>
    <t>2026-02-28T15:00:53Z</t>
  </si>
  <si>
    <t>jb_kemuM0iM</t>
  </si>
  <si>
    <t>bro did it AGAIN 😂</t>
  </si>
  <si>
    <t>2026-02-25T00:10:18Z</t>
  </si>
  <si>
    <t>ueK0m5i8SEI</t>
  </si>
  <si>
    <t>WILL IT 3 POINT?! 😱</t>
  </si>
  <si>
    <t>2026-02-15T02:48:09Z</t>
  </si>
  <si>
    <t>RgPqGMkmHp0</t>
  </si>
  <si>
    <t>Which is the BEST DRIVER? 👀</t>
  </si>
  <si>
    <t>2026-02-13T02:46:04Z</t>
  </si>
  <si>
    <t>E0etwXYllfs</t>
  </si>
  <si>
    <t>CRAZIEST DUNK CONTEST 😱</t>
  </si>
  <si>
    <t>2026-02-12T02:23:53Z</t>
  </si>
  <si>
    <t>LA7YXWV0RXk</t>
  </si>
  <si>
    <t>wait... WHAT?! 😱</t>
  </si>
  <si>
    <t>2026-02-07T23:26:20Z</t>
  </si>
  <si>
    <t>A10M15TdZpI</t>
  </si>
  <si>
    <t>HOW MANY BALLOONS TO FLY? (Mini Games Battle)</t>
  </si>
  <si>
    <t>2026-02-07T15:00:00Z</t>
  </si>
  <si>
    <t>M8TweRFGmfE</t>
  </si>
  <si>
    <t>WORLD'S HIGHEST FREE THROW 🏀☁️</t>
  </si>
  <si>
    <t>2026-01-31T19:39:50Z</t>
  </si>
  <si>
    <t>KhGtQxQ6CM8</t>
  </si>
  <si>
    <t>FIRE &amp; ICE BATTLE 🔥🥶</t>
  </si>
  <si>
    <t>2026-01-28T21:53:43Z</t>
  </si>
  <si>
    <t>Gzuect1m4MI</t>
  </si>
  <si>
    <t>SWIPE TO THE BEAT 👆</t>
  </si>
  <si>
    <t>2026-01-24T22:30:05Z</t>
  </si>
  <si>
    <t>0WF4xMc5-FA</t>
  </si>
  <si>
    <t>How Did He Make That? 😱</t>
  </si>
  <si>
    <t>2026-01-19T21:32:01Z</t>
  </si>
  <si>
    <t>dyXGjEkDrbY</t>
  </si>
  <si>
    <t>smallest vs. BIGGEST DRIVER</t>
  </si>
  <si>
    <t>2026-01-17T19:41:03Z</t>
  </si>
  <si>
    <t>dgr4_G8-7F8</t>
  </si>
  <si>
    <t>Highest Dunk Wins</t>
  </si>
  <si>
    <t>2026-01-17T14:59:57Z</t>
  </si>
  <si>
    <t>YrB1K3xxTxo</t>
  </si>
  <si>
    <t>Impossible Golf Flop Shot</t>
  </si>
  <si>
    <t>2025-12-31T19:43:56Z</t>
  </si>
  <si>
    <t>wzCPU9mELUA</t>
  </si>
  <si>
    <t>If Every Sport Used LEGO Bricks 😂</t>
  </si>
  <si>
    <t>2025-12-29T20:01:07Z</t>
  </si>
  <si>
    <t>cPdpCpxRoeA</t>
  </si>
  <si>
    <t>The Hardest Baseball Trickshot EVER</t>
  </si>
  <si>
    <t>2025-12-27T18:20:53Z</t>
  </si>
  <si>
    <t>KuYj339iJfg</t>
  </si>
  <si>
    <t>Dude Perfect vs Savannah Bananas in Every Sport | Squad Games</t>
  </si>
  <si>
    <t>2025-12-27T14:59:49Z</t>
  </si>
  <si>
    <t>DoCxRi7ZYzQ</t>
  </si>
  <si>
    <t>ONE OF THE RAREST LEGO BUILDS?!</t>
  </si>
  <si>
    <t>2025-12-23T19:40:54Z</t>
  </si>
  <si>
    <t>Jlk2iFp-gcE</t>
  </si>
  <si>
    <t>CRUISE STEREOTYPES 🤣</t>
  </si>
  <si>
    <t>2025-12-20T18:08:13Z</t>
  </si>
  <si>
    <t>Q619sOPhTEg</t>
  </si>
  <si>
    <t>bottle flip days 🥹✌️</t>
  </si>
  <si>
    <t>2025-12-13T19:17:58Z</t>
  </si>
  <si>
    <t>aVKO486KiwA</t>
  </si>
  <si>
    <t>WORLD’S HIGHEST DUNK 😱🏀</t>
  </si>
  <si>
    <t>2025-12-06T18:45:26Z</t>
  </si>
  <si>
    <t>0o94V7NGcR8</t>
  </si>
  <si>
    <t>OVERTIME IS BACK! | OT 49.5</t>
  </si>
  <si>
    <t>2025-12-06T14:59:56Z</t>
  </si>
  <si>
    <t>yTDvvou97G4</t>
  </si>
  <si>
    <t>Impossible Field Goal Kick</t>
  </si>
  <si>
    <t>2025-11-22T17:42:33Z</t>
  </si>
  <si>
    <t>2QZxVQTKe5Q</t>
  </si>
  <si>
    <t>Level 1 to 1000 Rockets</t>
  </si>
  <si>
    <t>2025-11-15T15:59:51Z</t>
  </si>
  <si>
    <t>uBGUkbeqFs8</t>
  </si>
  <si>
    <t>100 Person Rocket Battle</t>
  </si>
  <si>
    <t>2025-11-15T15:00:01Z</t>
  </si>
  <si>
    <t>BBJPsAf0ckY</t>
  </si>
  <si>
    <t>INSANE BATTLE WITH 1000lb FISH!</t>
  </si>
  <si>
    <t>2025-11-13T19:24:18Z</t>
  </si>
  <si>
    <t>n6rqc2hP3HY</t>
  </si>
  <si>
    <t>TOM BRADY THROWS THE PERFECT PASS 👀</t>
  </si>
  <si>
    <t>2025-11-06T22:36:14Z</t>
  </si>
  <si>
    <t>B2qcJ8zSCSk</t>
  </si>
  <si>
    <t>IMPOSSIBLE FOOTBALL THROW WITH TOM BRADY 🏈</t>
  </si>
  <si>
    <t>2025-11-06T00:03:11Z</t>
  </si>
  <si>
    <t>prPW2NKXYy0</t>
  </si>
  <si>
    <t>GIANT TIC TAC TOE vs. Tom Brady</t>
  </si>
  <si>
    <t>2025-10-28T20:41:00Z</t>
  </si>
  <si>
    <t>JfDgvERBi-M</t>
  </si>
  <si>
    <t>All Sports Golf Battle 6 (feat. Wives)</t>
  </si>
  <si>
    <t>2025-10-25T14:00:01Z</t>
  </si>
  <si>
    <t>ua9KqYNRXNU</t>
  </si>
  <si>
    <t>Mystery Box Dunk Contest!</t>
  </si>
  <si>
    <t>2025-10-18T20:23:49Z</t>
  </si>
  <si>
    <t>j9u9q8m8pz0</t>
  </si>
  <si>
    <t>iShowSpeed Challenged Ty 💀</t>
  </si>
  <si>
    <t>2025-10-09T18:48:16Z</t>
  </si>
  <si>
    <t>l9nTejkslMY</t>
  </si>
  <si>
    <t>We Made the World’s Biggest Blaster!</t>
  </si>
  <si>
    <t>2025-10-04T15:04:15Z</t>
  </si>
  <si>
    <t>TIPBeJq2CA8</t>
  </si>
  <si>
    <t>Going to Every Disney Park in 75 Hours</t>
  </si>
  <si>
    <t>2025-10-04T14:00:02Z</t>
  </si>
  <si>
    <t>zYjESyCCiVQ</t>
  </si>
  <si>
    <t>Is Dude Perfect chopped? 😭</t>
  </si>
  <si>
    <t>2025-09-27T00:48:17Z</t>
  </si>
  <si>
    <t>7Lorw4qL46E</t>
  </si>
  <si>
    <t>Movie Stereotypes 😂</t>
  </si>
  <si>
    <t>2025-09-24T21:32:30Z</t>
  </si>
  <si>
    <t>kljxVDeApFQ</t>
  </si>
  <si>
    <t>Dude Perfect vs. Good Good in Every Sport | Squad Games</t>
  </si>
  <si>
    <t>2025-09-13T14:00:11Z</t>
  </si>
  <si>
    <t>83u2oqo5L9E</t>
  </si>
  <si>
    <t>Thoughts on Ty’s B-Bite pick? 😆 First ep of our new podcast @almostathletes was electric</t>
  </si>
  <si>
    <t>2025-09-11T23:02:37Z</t>
  </si>
  <si>
    <t>DxTVbRg8GIg</t>
  </si>
  <si>
    <t>Better not miss the last one!</t>
  </si>
  <si>
    <t>2025-09-05T21:44:49Z</t>
  </si>
  <si>
    <t>HvSp6Ta_5o8</t>
  </si>
  <si>
    <t>We Started A PODCAST</t>
  </si>
  <si>
    <t>2025-09-03T14:00:04Z</t>
  </si>
  <si>
    <t>jdQFaC4id-8</t>
  </si>
  <si>
    <t>No WAY he actually did that! ✈️😱</t>
  </si>
  <si>
    <t>2025-09-02T18:21:20Z</t>
  </si>
  <si>
    <t>3hcRWzyKukA</t>
  </si>
  <si>
    <t>Can a Robot Beat a Human in Basketball?</t>
  </si>
  <si>
    <t>2025-08-23T14:20:55Z</t>
  </si>
  <si>
    <t>rWt4ME_xyfM</t>
  </si>
  <si>
    <t>Dude Perfect vs Robots</t>
  </si>
  <si>
    <t>2025-08-23T13:59:42Z</t>
  </si>
  <si>
    <t>KnZEH3-9pnM</t>
  </si>
  <si>
    <t>Who is the Strongest Dude?</t>
  </si>
  <si>
    <t>2025-08-02T14:00:01Z</t>
  </si>
  <si>
    <t>sABCiSt_Tto</t>
  </si>
  <si>
    <t>I can’t look away 😂</t>
  </si>
  <si>
    <t>2025-07-26T01:26:15Z</t>
  </si>
  <si>
    <t>LnuPCavhlUU</t>
  </si>
  <si>
    <t>Who was the Most Accurate 😂 #GalaxyZFold7 #SamsungPartner #GoogleGemini</t>
  </si>
  <si>
    <t>2025-07-25T16:29:34Z</t>
  </si>
  <si>
    <t>0iZ70zLPfLc</t>
  </si>
  <si>
    <t>15 Years of Trickshots…</t>
  </si>
  <si>
    <t>2025-07-23T21:17:24Z</t>
  </si>
  <si>
    <t>W1FzfKrT5LM</t>
  </si>
  <si>
    <t>Side Quest: Ride a Bull</t>
  </si>
  <si>
    <t>2025-07-12T13:59:14Z</t>
  </si>
  <si>
    <t>fP-_vyVyAzU</t>
  </si>
  <si>
    <t>We ACTUALLY thought this was Impossible…</t>
  </si>
  <si>
    <t>2025-07-11T21:22:27Z</t>
  </si>
  <si>
    <t>EB26yMwuois</t>
  </si>
  <si>
    <t>THIS HAD A 0.001% CHANCE of going in 🤯 #ChatwithGemini</t>
  </si>
  <si>
    <t>2025-07-01T20:43:21Z</t>
  </si>
  <si>
    <t>XZB9eG2wYow</t>
  </si>
  <si>
    <t>Airsoft Battle Royale (100 Fans)</t>
  </si>
  <si>
    <t>2025-06-21T13:59:52Z</t>
  </si>
  <si>
    <t>c9tTCrhSMXw</t>
  </si>
  <si>
    <t>Dude Perfect Exposed 🫣</t>
  </si>
  <si>
    <t>2025-06-16T21:58:36Z</t>
  </si>
  <si>
    <t>v-qMaw--o6Y</t>
  </si>
  <si>
    <t>Marcelo aura farming at the end 👀</t>
  </si>
  <si>
    <t>2025-06-12T00:57:46Z</t>
  </si>
  <si>
    <t>HyBIypqwzhs</t>
  </si>
  <si>
    <t>Who can stack the HIGHEST pile?! 🤯🧳</t>
  </si>
  <si>
    <t>2025-06-01T20:11:50Z</t>
  </si>
  <si>
    <t>Bu7NDeZDTsY</t>
  </si>
  <si>
    <t>HE DIDN’T EVEN HIT RIM 🤯⚽️</t>
  </si>
  <si>
    <t>2025-05-31T17:41:55Z</t>
  </si>
  <si>
    <t>sgCLXGtoqXE</t>
  </si>
  <si>
    <t>Level 1-50 EXTREME Basketball Shots With Caitlin Clark</t>
  </si>
  <si>
    <t>2025-05-31T14:00:02Z</t>
  </si>
  <si>
    <t>wlLRxo9TWv8</t>
  </si>
  <si>
    <t>Caitlin’s shot at the end 👀💰</t>
  </si>
  <si>
    <t>2025-05-31T07:34:24Z</t>
  </si>
  <si>
    <t>9OADNOhW-Wg</t>
  </si>
  <si>
    <t>Now ya know 😂🤷‍♂️</t>
  </si>
  <si>
    <t>2025-05-29T21:13:39Z</t>
  </si>
  <si>
    <t>VHvRN6E7lZc</t>
  </si>
  <si>
    <t>Which shot went in? 🧐 Featuring Caitlin Clark!</t>
  </si>
  <si>
    <t>2025-05-25T13:54:18Z</t>
  </si>
  <si>
    <t>z93_sStwW9o</t>
  </si>
  <si>
    <t>We Raced The Craziest Soapbox Cars Ever!</t>
  </si>
  <si>
    <t>2025-05-17T13:59:57Z</t>
  </si>
  <si>
    <t>-BJbUpS5AUk</t>
  </si>
  <si>
    <t>Bull Riding with Emojis 🐂😱</t>
  </si>
  <si>
    <t>2025-05-16T19:40:10Z</t>
  </si>
  <si>
    <t>BOmTTKTQceM</t>
  </si>
  <si>
    <t>CRAZIEST IMPOSSIBLE SHOT YET 🤯🏒 @AlwaysHockey</t>
  </si>
  <si>
    <t>2025-05-01T19:49:30Z</t>
  </si>
  <si>
    <t>NHozLQe99oM</t>
  </si>
  <si>
    <t>Tortoise vs. Hare - Who Wins?</t>
  </si>
  <si>
    <t>2025-04-26T13:59:55Z</t>
  </si>
  <si>
    <t>UvAnYnJDpJc</t>
  </si>
  <si>
    <t>NO WAY he actually made it 🤯 @gmgolf</t>
  </si>
  <si>
    <t>2025-04-10T18:43:22Z</t>
  </si>
  <si>
    <t>YJt2E33zEL4</t>
  </si>
  <si>
    <t>Stranded In Arctic Wilderness | Winter Survival Games</t>
  </si>
  <si>
    <t>2025-04-05T13:59:53Z</t>
  </si>
  <si>
    <t>iL8Hir3KA1c</t>
  </si>
  <si>
    <t>It just keeps getting crazier 😂</t>
  </si>
  <si>
    <t>2025-04-03T15:09:52Z</t>
  </si>
  <si>
    <t>hvyzyQ2M_jo</t>
  </si>
  <si>
    <t>Sooo THIS JUST HAPPENED 😳  New vid with Caitlin Clark coming soon...</t>
  </si>
  <si>
    <t>2025-04-01T20:01:07Z</t>
  </si>
  <si>
    <t>qxKuw-Q-Xx8</t>
  </si>
  <si>
    <t>#wbpartner This was INSANE. Go get tickets for A Minecraft Movie today, only in theaters April 4th!</t>
  </si>
  <si>
    <t>2025-03-31T16:50:43Z</t>
  </si>
  <si>
    <t>y0ybVeYsiuk</t>
  </si>
  <si>
    <t>It bent the bat 😱</t>
  </si>
  <si>
    <t>2025-03-23T22:02:13Z</t>
  </si>
  <si>
    <t>iKB8StO052g</t>
  </si>
  <si>
    <t>We Built A 1000 MPH Baseball Cannon</t>
  </si>
  <si>
    <t>2025-03-22T13:59:59Z</t>
  </si>
  <si>
    <t>YgqXFkj2pQ4</t>
  </si>
  <si>
    <t>THE LIQUID NITROGEN ONE 😱 @NickDiGiovanni</t>
  </si>
  <si>
    <t>2025-03-15T19:32:39Z</t>
  </si>
  <si>
    <t>pU-kmvzZmqM</t>
  </si>
  <si>
    <t>Ty aura farming at the end 😂</t>
  </si>
  <si>
    <t>2025-03-11T21:50:39Z</t>
  </si>
  <si>
    <t>lcLpV8vYUg4</t>
  </si>
  <si>
    <t>REAL or CAKE with Nick DiGiovanni | OT 49</t>
  </si>
  <si>
    <t>2025-03-08T15:00:02Z</t>
  </si>
  <si>
    <t>5Bw9XjBk8X4</t>
  </si>
  <si>
    <t>Balloon Pop SHOWDOWN with @howridiculous!</t>
  </si>
  <si>
    <t>2025-02-27T18:52:03Z</t>
  </si>
  <si>
    <t>jvUX3ocBSCk</t>
  </si>
  <si>
    <t>20 YouTubers Compete in Biggest Trick Shot Contest Ever! | TSWC '25</t>
  </si>
  <si>
    <t>2025-02-22T15:00:00Z</t>
  </si>
  <si>
    <t>AqWjPfz1HEg</t>
  </si>
  <si>
    <t>First To The Top Wins A Lamborghini</t>
  </si>
  <si>
    <t>2025-02-08T15:00:00Z</t>
  </si>
  <si>
    <t>Zrtz_8k1MTc</t>
  </si>
  <si>
    <t>Dear Luka...</t>
  </si>
  <si>
    <t>2025-02-02T18:02:51Z</t>
  </si>
  <si>
    <t>MjU2hs-mK2k</t>
  </si>
  <si>
    <t>Side Quest: Drive a Race Car</t>
  </si>
  <si>
    <t>2025-01-25T14:59:51Z</t>
  </si>
  <si>
    <t>hbq1KsCJT68</t>
  </si>
  <si>
    <t>Panda got absolutely POSTERIZED 🐼</t>
  </si>
  <si>
    <t>2025-01-24T21:51:55Z</t>
  </si>
  <si>
    <t>sgC734u0hGI</t>
  </si>
  <si>
    <t>bro was just doing his routine 😭🙏🏻</t>
  </si>
  <si>
    <t>2025-01-23T14:38:42Z</t>
  </si>
  <si>
    <t>kObmcOaPcbM</t>
  </si>
  <si>
    <t>We Built The World's Greatest Office</t>
  </si>
  <si>
    <t>2025-01-11T15:00:01Z</t>
  </si>
  <si>
    <t>InWF1xwBw1g</t>
  </si>
  <si>
    <t>This vid’s gonna bang 💥</t>
  </si>
  <si>
    <t>2024-12-31T04:18:47Z</t>
  </si>
  <si>
    <t>Tsejx-oR94c</t>
  </si>
  <si>
    <t>Cowboy Airsoft Battle Royale</t>
  </si>
  <si>
    <t>2024-12-28T15:00:03Z</t>
  </si>
  <si>
    <t>aGfuAjHuMTE</t>
  </si>
  <si>
    <t>Side Quest: Catch a 1,000lb Fish</t>
  </si>
  <si>
    <t>2024-12-14T15:00:04Z</t>
  </si>
  <si>
    <t>Z80t7v1ZD8g</t>
  </si>
  <si>
    <t>Take note ✍️</t>
  </si>
  <si>
    <t>2024-12-07T02:55:22Z</t>
  </si>
  <si>
    <t>_Bj0BecNq10</t>
  </si>
  <si>
    <t>We tried to break THREE World Records in ONE hour with Jason Kelce 🏈🌭😂 @NFL</t>
  </si>
  <si>
    <t>2024-12-02T22:05:00Z</t>
  </si>
  <si>
    <t>qdAeOWlKnrY</t>
  </si>
  <si>
    <t>Birthday Stereotypes | Dude Perfect</t>
  </si>
  <si>
    <t>2024-11-30T15:02:03Z</t>
  </si>
  <si>
    <t>-5jlVEOJaLc</t>
  </si>
  <si>
    <t>That's how break dancing should be done tbh</t>
  </si>
  <si>
    <t>2024-11-28T20:32:59Z</t>
  </si>
  <si>
    <t>rNcMFBHikKc</t>
  </si>
  <si>
    <t>Which sports should we do next? 😂</t>
  </si>
  <si>
    <t>2024-11-21T18:50:12Z</t>
  </si>
  <si>
    <t>L7nuMgfeynw</t>
  </si>
  <si>
    <t>Average Dude vs. Steph Curry</t>
  </si>
  <si>
    <t>2024-11-16T14:59:48Z</t>
  </si>
  <si>
    <t>ZInkQdVVhe4</t>
  </si>
  <si>
    <t>Steph Curry's son the next member of Dude Perfect? 😤</t>
  </si>
  <si>
    <t>2024-11-14T22:13:29Z</t>
  </si>
  <si>
    <t>lRN6C-8SszU</t>
  </si>
  <si>
    <t>Which shot went in? 😵‍💫 #StephCurry</t>
  </si>
  <si>
    <t>2024-11-10T21:35:40Z</t>
  </si>
  <si>
    <t>9QXxid7t9oM</t>
  </si>
  <si>
    <t>We Won Every Game at the State Fair!</t>
  </si>
  <si>
    <t>2024-11-02T14:00:00Z</t>
  </si>
  <si>
    <t>OqHfPvYkf9A</t>
  </si>
  <si>
    <t>Mystery Detective Battle: HALLOWEEN</t>
  </si>
  <si>
    <t>2024-10-19T14:00:01Z</t>
  </si>
  <si>
    <t>uCTsmdDMq0U</t>
  </si>
  <si>
    <t>Dude Perfect Headquarters is GONE! | OT 47</t>
  </si>
  <si>
    <t>2024-10-05T14:00:05Z</t>
  </si>
  <si>
    <t>idFpAv9nh9E</t>
  </si>
  <si>
    <t>Our Longest Trick Shots EVER</t>
  </si>
  <si>
    <t>2024-09-21T13:59:59Z</t>
  </si>
  <si>
    <t>xJa8ydTQl64</t>
  </si>
  <si>
    <t>Football is BACK! 🏈 Let's kick it off with some tailgating trick shots with @Reeses !</t>
  </si>
  <si>
    <t>2024-09-17T21:04:52Z</t>
  </si>
  <si>
    <t>3ODA2VO00y4</t>
  </si>
  <si>
    <t>Which one was the worst? 🤣</t>
  </si>
  <si>
    <t>2024-09-16T22:27:03Z</t>
  </si>
  <si>
    <t>yJ_MS4m4ZnY</t>
  </si>
  <si>
    <t>CeeDee is SMOOTH with it</t>
  </si>
  <si>
    <t>2024-09-13T21:08:54Z</t>
  </si>
  <si>
    <t>N_a1GJWaH70</t>
  </si>
  <si>
    <t>Dude Perfect vs Mark Rober: Battle Bots</t>
  </si>
  <si>
    <t>2024-09-07T18:01:30Z</t>
  </si>
  <si>
    <t>OqScoVdjq1c</t>
  </si>
  <si>
    <t>Awkward Stereotypes</t>
  </si>
  <si>
    <t>2024-08-24T14:22:10Z</t>
  </si>
  <si>
    <t>xofVzFPxo9I</t>
  </si>
  <si>
    <t>End of an era 🥺. DPHQ3 reveal COMING SOON!</t>
  </si>
  <si>
    <t>2024-08-14T13:54:18Z</t>
  </si>
  <si>
    <t>lT8O3KleVos</t>
  </si>
  <si>
    <t>F1 Edition | Dude Perfect</t>
  </si>
  <si>
    <t>2024-08-10T13:59:30Z</t>
  </si>
  <si>
    <t>TL5zPys0ufk</t>
  </si>
  <si>
    <t>Olympic Mini Games Battle</t>
  </si>
  <si>
    <t>2024-07-27T14:00:01Z</t>
  </si>
  <si>
    <t>QwQ_Y4gf2DI</t>
  </si>
  <si>
    <t>This should be an Olympic sport</t>
  </si>
  <si>
    <t>2024-07-27T01:57:19Z</t>
  </si>
  <si>
    <t>ZToieI7hPoM</t>
  </si>
  <si>
    <t>We Dropped 1000 Basketballs from an Airplane</t>
  </si>
  <si>
    <t>2024-07-13T14:00:01Z</t>
  </si>
  <si>
    <t>YQvm5qxZTBg</t>
  </si>
  <si>
    <t>The Survivor Games: Island Edition</t>
  </si>
  <si>
    <t>2024-06-29T14:00:00Z</t>
  </si>
  <si>
    <t>jfNUWOpPVr8</t>
  </si>
  <si>
    <t>Dad Stereotypes</t>
  </si>
  <si>
    <t>2024-06-15T13:59:53Z</t>
  </si>
  <si>
    <t>8JcuC348Ibg</t>
  </si>
  <si>
    <t>Dads be like...</t>
  </si>
  <si>
    <t>2024-06-12T03:16:35Z</t>
  </si>
  <si>
    <t>SFAt6gfm-xE</t>
  </si>
  <si>
    <t>Dodgeball Island Battle Royale</t>
  </si>
  <si>
    <t>2024-06-01T14:00:00Z</t>
  </si>
  <si>
    <t>7pTwqG9VM7o</t>
  </si>
  <si>
    <t>Gonna tell my kids this was Spider-Man</t>
  </si>
  <si>
    <t>2024-05-30T20:40:55Z</t>
  </si>
  <si>
    <t>_BUXTjeKQHk</t>
  </si>
  <si>
    <t>Australia Bucket List</t>
  </si>
  <si>
    <t>2024-05-18T13:59:49Z</t>
  </si>
  <si>
    <t>7ba_eJicUlU</t>
  </si>
  <si>
    <t>Dude Wars 2 | OT 45</t>
  </si>
  <si>
    <t>2024-05-04T14:00:00Z</t>
  </si>
  <si>
    <t>eS3zqME3bT4</t>
  </si>
  <si>
    <t>How it started vs how it’s going</t>
  </si>
  <si>
    <t>2024-05-01T20:51:07Z</t>
  </si>
  <si>
    <t>M_7o6tekeXg</t>
  </si>
  <si>
    <t>LEGOOOOO! One year ago, the impossible happened.</t>
  </si>
  <si>
    <t>2024-04-30T00:58:33Z</t>
  </si>
  <si>
    <t>_J3LCIS3Vz4</t>
  </si>
  <si>
    <t>We Remade Our 1st Video 15 Years Later</t>
  </si>
  <si>
    <t>2024-04-20T14:00:15Z</t>
  </si>
  <si>
    <t>BlQoJy8J_Q8</t>
  </si>
  <si>
    <t>Make it or break it! (That last level 🤯)</t>
  </si>
  <si>
    <t>2024-04-16T14:34:22Z</t>
  </si>
  <si>
    <t>tnb8XcGbYCM</t>
  </si>
  <si>
    <t>Average Dude vs. MLB Pitcher</t>
  </si>
  <si>
    <t>2024-04-06T14:00:01Z</t>
  </si>
  <si>
    <t>NRj1JJsncIk</t>
  </si>
  <si>
    <t>THE WINK AT THE END 💀 Storybook day at the @Formula1 AGP for Ty and the CHAMP, Carlos Sainz!</t>
  </si>
  <si>
    <t>2024-03-24T11:53:25Z</t>
  </si>
  <si>
    <t>pykmv7VdBs4</t>
  </si>
  <si>
    <t>The Tesla Coil Electricity Gun! | OT 43</t>
  </si>
  <si>
    <t>2024-03-23T13:59:55Z</t>
  </si>
  <si>
    <t>dw-kwjzXSsA</t>
  </si>
  <si>
    <t>Prison Escape Battle</t>
  </si>
  <si>
    <t>2024-03-09T15:00:28Z</t>
  </si>
  <si>
    <t>Um1M0hfQsik</t>
  </si>
  <si>
    <t>HOW did that happen to Ty at the end?!</t>
  </si>
  <si>
    <t>2024-03-08T01:54:36Z</t>
  </si>
  <si>
    <t>e3d5gMGzbIM</t>
  </si>
  <si>
    <t>Honestly whoever did it should just own up</t>
  </si>
  <si>
    <t>2024-02-26T18:00:22Z</t>
  </si>
  <si>
    <t>DHe_rLbwsv0</t>
  </si>
  <si>
    <t>Office Stereotypes | Dude Perfect</t>
  </si>
  <si>
    <t>2024-02-24T15:00:01Z</t>
  </si>
  <si>
    <t>bm2xEQT8NDY</t>
  </si>
  <si>
    <t>Medieval Battle</t>
  </si>
  <si>
    <t>2024-02-10T14:59:43Z</t>
  </si>
  <si>
    <t>CGOLDYiVqww</t>
  </si>
  <si>
    <t>Which level took the longest?? 🏈</t>
  </si>
  <si>
    <t>2024-02-01T15:48:03Z</t>
  </si>
  <si>
    <t>uAiN7BmUjTg</t>
  </si>
  <si>
    <t>We Put a Rocket in a Football</t>
  </si>
  <si>
    <t>2024-01-20T15:00:47Z</t>
  </si>
  <si>
    <t>YyXs2tSxhvs</t>
  </si>
  <si>
    <t>INSANE ROCKET FOOTBALL THROW 🤯🚀</t>
  </si>
  <si>
    <t>2024-01-09T01:32:07Z</t>
  </si>
  <si>
    <t>ASipOm0M8ME</t>
  </si>
  <si>
    <t>this stuff is CRAZY 🤯</t>
  </si>
  <si>
    <t>2024-01-07T20:13:21Z</t>
  </si>
  <si>
    <t>7-nJBiJROGU</t>
  </si>
  <si>
    <t>Pet Stereotypes</t>
  </si>
  <si>
    <t>2024-01-06T15:00:03Z</t>
  </si>
  <si>
    <t>IeBzNzzFMLI</t>
  </si>
  <si>
    <t>What was that?!? 🤣🤣 #challenge</t>
  </si>
  <si>
    <t>2023-12-26T21:32:37Z</t>
  </si>
  <si>
    <t>rx9JELYVR2M</t>
  </si>
  <si>
    <t>How did Zach do that?? 🤯🪄</t>
  </si>
  <si>
    <t>2023-12-22T19:23:12Z</t>
  </si>
  <si>
    <t>utPN36QqUDk</t>
  </si>
  <si>
    <t>WHO had the best response? 😂🦉</t>
  </si>
  <si>
    <t>2023-12-20T19:26:43Z</t>
  </si>
  <si>
    <t>97-R1BFJOE8</t>
  </si>
  <si>
    <t>We're just thinking about the food ☺️</t>
  </si>
  <si>
    <t>2026-08-25T17:00:36Z</t>
  </si>
  <si>
    <t>UC4PooiX37Pld1T8J5SYT-SQ</t>
  </si>
  <si>
    <t>Good Mythical Morning</t>
  </si>
  <si>
    <t>GwuBlFBGKf4</t>
  </si>
  <si>
    <t>Homemade vs. Fast Food</t>
  </si>
  <si>
    <t>2026-08-24T10:00:16Z</t>
  </si>
  <si>
    <t>JTUZIm4HeD8</t>
  </si>
  <si>
    <t>He shoots and he indeed doesn't score.</t>
  </si>
  <si>
    <t>2026-08-23T16:00:22Z</t>
  </si>
  <si>
    <t>cTJG2t3fbKY</t>
  </si>
  <si>
    <t>1 Hour vs 24 Hour Marinade (Taste Test)</t>
  </si>
  <si>
    <t>2026-08-21T10:00:30Z</t>
  </si>
  <si>
    <t>2MSEeM6V6ck</t>
  </si>
  <si>
    <t>Angela has a message for all you beer can chicken lovers</t>
  </si>
  <si>
    <t>2026-08-20T17:00:05Z</t>
  </si>
  <si>
    <t>YrLGjxFMWTo</t>
  </si>
  <si>
    <t>We Attempt To Follow Directions (Taskmaster Challenge)</t>
  </si>
  <si>
    <t>2026-08-19T10:00:35Z</t>
  </si>
  <si>
    <t>XusyKLNXbMM</t>
  </si>
  <si>
    <t>Guys watch this!</t>
  </si>
  <si>
    <t>2026-08-18T17:00:12Z</t>
  </si>
  <si>
    <t>8dEnWAHjifs</t>
  </si>
  <si>
    <t>Making Foods That Should Exist</t>
  </si>
  <si>
    <t>2026-08-17T10:00:14Z</t>
  </si>
  <si>
    <t>9NQCzwsC2hE</t>
  </si>
  <si>
    <t>We apologize to chicken pot pies everywhere</t>
  </si>
  <si>
    <t>2026-08-16T16:00:11Z</t>
  </si>
  <si>
    <t>-lGj0zkLkz8</t>
  </si>
  <si>
    <t>Can We Find The Name Brand?</t>
  </si>
  <si>
    <t>2026-08-14T10:00:05Z</t>
  </si>
  <si>
    <t>9jDKEKxGTk0</t>
  </si>
  <si>
    <t>We're not sure this is entirely accurate 🤔</t>
  </si>
  <si>
    <t>2026-08-13T17:00:22Z</t>
  </si>
  <si>
    <t>O4NRnKvOCYI</t>
  </si>
  <si>
    <t>Leaving Things In A Hot Car For A Month</t>
  </si>
  <si>
    <t>2026-08-12T10:00:02Z</t>
  </si>
  <si>
    <t>-mZ_iQHsrDg</t>
  </si>
  <si>
    <t>🎶 He doesn't like pretty much anything 🎶</t>
  </si>
  <si>
    <t>2026-08-11T17:00:23Z</t>
  </si>
  <si>
    <t>A-8MWjPb4XQ</t>
  </si>
  <si>
    <t>Are Comfort Foods Better Spicy? (Taste Test)</t>
  </si>
  <si>
    <t>2026-08-10T10:00:22Z</t>
  </si>
  <si>
    <t>tO_g285Oo3w</t>
  </si>
  <si>
    <t>Said by the guy in pjs...</t>
  </si>
  <si>
    <t>2026-08-09T16:00:07Z</t>
  </si>
  <si>
    <t>B58j5wolmF8</t>
  </si>
  <si>
    <t>Guess The Calorie Count (Taste Test)</t>
  </si>
  <si>
    <t>2026-08-07T10:00:22Z</t>
  </si>
  <si>
    <t>e0DOkIiTorI</t>
  </si>
  <si>
    <t>What do y'all think?</t>
  </si>
  <si>
    <t>2026-08-06T17:00:33Z</t>
  </si>
  <si>
    <t>14Ryct_0pyk</t>
  </si>
  <si>
    <t>Can We Spot The Liar?</t>
  </si>
  <si>
    <t>2026-08-05T10:00:26Z</t>
  </si>
  <si>
    <t>r9x-z4fjhu4</t>
  </si>
  <si>
    <t>Are we best friends now? 🤜 🤛</t>
  </si>
  <si>
    <t>2026-08-04T17:00:13Z</t>
  </si>
  <si>
    <t>7MunEHVrL7E</t>
  </si>
  <si>
    <t>Guess The Bugles Flavors From Around The World</t>
  </si>
  <si>
    <t>2026-08-03T10:00:33Z</t>
  </si>
  <si>
    <t>HBqJ76NKjw4</t>
  </si>
  <si>
    <t>We weren't even scared</t>
  </si>
  <si>
    <t>2026-08-02T16:00:22Z</t>
  </si>
  <si>
    <t>L96_lMydTQg</t>
  </si>
  <si>
    <t>Should These Classic Combos Be Flipped?</t>
  </si>
  <si>
    <t>2026-07-31T10:00:13Z</t>
  </si>
  <si>
    <t>2QEfmq5R_H8</t>
  </si>
  <si>
    <t>New song just dropped!! 🕺🕺🕺</t>
  </si>
  <si>
    <t>2026-07-30T17:00:37Z</t>
  </si>
  <si>
    <t>tRPkxmHzgfk</t>
  </si>
  <si>
    <t>Can We Guess The Mystery Snack?</t>
  </si>
  <si>
    <t>2026-07-29T10:00:20Z</t>
  </si>
  <si>
    <t>5ChBMwRE4b4</t>
  </si>
  <si>
    <t>No one wants to feel stupid at a party</t>
  </si>
  <si>
    <t>2026-07-28T17:00:12Z</t>
  </si>
  <si>
    <t>0x8Zq9Y3vL0</t>
  </si>
  <si>
    <t>Trying The Most Underrated Fast Food Items</t>
  </si>
  <si>
    <t>2026-07-27T10:00:18Z</t>
  </si>
  <si>
    <t>JS9X-KGAZEg</t>
  </si>
  <si>
    <t>Safe to say we only lost our minds a little bit</t>
  </si>
  <si>
    <t>2026-07-26T16:00:37Z</t>
  </si>
  <si>
    <t>FiONhy5xx4Q</t>
  </si>
  <si>
    <t>We Tried EVERY Pudding Flavor</t>
  </si>
  <si>
    <t>2026-07-24T10:00:07Z</t>
  </si>
  <si>
    <t>OOky8zi6n2E</t>
  </si>
  <si>
    <t>The cutest devil and angel on your shoulder</t>
  </si>
  <si>
    <t>2026-07-23T17:00:19Z</t>
  </si>
  <si>
    <t>sobmJ9Z5ib4</t>
  </si>
  <si>
    <t>We Ride Jurassic Park ALL Day (Universal Studios)</t>
  </si>
  <si>
    <t>2026-07-22T10:00:31Z</t>
  </si>
  <si>
    <t>OwYQc4Lq_jc</t>
  </si>
  <si>
    <t>Arigato Thomas</t>
  </si>
  <si>
    <t>2026-07-21T17:00:32Z</t>
  </si>
  <si>
    <t>toHSrR7hvhQ</t>
  </si>
  <si>
    <t>Will It Chicken Fingers? (Taste Test)</t>
  </si>
  <si>
    <t>2026-07-20T10:00:19Z</t>
  </si>
  <si>
    <t>uhiPmqPjMb8</t>
  </si>
  <si>
    <t>A special treat for Sean 🌭</t>
  </si>
  <si>
    <t>2026-07-19T16:00:31Z</t>
  </si>
  <si>
    <t>ZStnrr9R9V4</t>
  </si>
  <si>
    <t>Propane vs Charcoal Grill Taste Test</t>
  </si>
  <si>
    <t>2026-07-17T10:00:38Z</t>
  </si>
  <si>
    <t>Gi2iNa-OPDc</t>
  </si>
  <si>
    <t>No ship wreck to see here!</t>
  </si>
  <si>
    <t>2026-07-16T17:00:16Z</t>
  </si>
  <si>
    <t>p8BHwQ79zgU</t>
  </si>
  <si>
    <t>We Got Ripped Off By AI Slop Products</t>
  </si>
  <si>
    <t>2026-07-15T10:00:31Z</t>
  </si>
  <si>
    <t>VencwSAI2b0</t>
  </si>
  <si>
    <t>We have a permit for that</t>
  </si>
  <si>
    <t>2026-07-14T17:00:06Z</t>
  </si>
  <si>
    <t>hH-5CsuHM4o</t>
  </si>
  <si>
    <t>Starting on September 7, you can also get your daily dose of Good Mythical Morning on Netflix!</t>
  </si>
  <si>
    <t>2026-07-14T16:00:29Z</t>
  </si>
  <si>
    <t>qtUQEBuEOyo</t>
  </si>
  <si>
    <t>Breakfast Burrito Blind Taste Test</t>
  </si>
  <si>
    <t>2026-07-13T10:00:31Z</t>
  </si>
  <si>
    <t>i31n5x2TeeM</t>
  </si>
  <si>
    <t>Apologies to the Mythical Crew's kids Rhett got a little carried away...</t>
  </si>
  <si>
    <t>2026-07-12T16:00:29Z</t>
  </si>
  <si>
    <t>hood5EWOaJ0</t>
  </si>
  <si>
    <t>What’s Better Than Marinara on Mozzarella Sticks?</t>
  </si>
  <si>
    <t>2026-07-10T10:00:23Z</t>
  </si>
  <si>
    <t>m0mB9YdA_5o</t>
  </si>
  <si>
    <t>Rhett STILL believes in Women in STEM</t>
  </si>
  <si>
    <t>2026-07-09T17:00:23Z</t>
  </si>
  <si>
    <t>KIBdt4z39xg</t>
  </si>
  <si>
    <t>What Am I Swimming In? (Game)</t>
  </si>
  <si>
    <t>2026-07-08T10:00:26Z</t>
  </si>
  <si>
    <t>5N9kAbyRa0k</t>
  </si>
  <si>
    <t>He's a wizard! 🧙‍♂️🥰</t>
  </si>
  <si>
    <t>2026-07-07T17:00:34Z</t>
  </si>
  <si>
    <t>7hpbZjqpQpg</t>
  </si>
  <si>
    <t>Catch us outside and all new episodes every Monday, Wednesday, and Friday</t>
  </si>
  <si>
    <t>2026-07-06T18:00:07Z</t>
  </si>
  <si>
    <t>xwPRwOnDiT0</t>
  </si>
  <si>
    <t>International Soda Taste Test</t>
  </si>
  <si>
    <t>2026-07-06T10:00:31Z</t>
  </si>
  <si>
    <t>trnj3S5uV5g</t>
  </si>
  <si>
    <t>The ultimate payoff</t>
  </si>
  <si>
    <t>2026-07-05T16:00:39Z</t>
  </si>
  <si>
    <t>mOXiM0g22JU</t>
  </si>
  <si>
    <t>Episodes To Watch When You're Feeling Lonely (Marathon)</t>
  </si>
  <si>
    <t>2026-07-03T10:00:14Z</t>
  </si>
  <si>
    <t>2jbn7tDpdCo</t>
  </si>
  <si>
    <t>Sean beats to his own drum 🐾 🐶 🥰</t>
  </si>
  <si>
    <t>2026-07-02T17:00:11Z</t>
  </si>
  <si>
    <t>vfKgEdAVCwI</t>
  </si>
  <si>
    <t>Exploding Soda Challenge (Rhett's Fav Throwback)</t>
  </si>
  <si>
    <t>2026-07-01T10:00:16Z</t>
  </si>
  <si>
    <t>st8hofIxHGY</t>
  </si>
  <si>
    <t>Some jelly asmr with a chocolate surprise??</t>
  </si>
  <si>
    <t>2026-06-30T17:00:23Z</t>
  </si>
  <si>
    <t>AhsZA9Zvlk8</t>
  </si>
  <si>
    <t>Comfort Food Taste Test (Marathon)</t>
  </si>
  <si>
    <t>2026-06-29T10:00:14Z</t>
  </si>
  <si>
    <t>gYiygXCJaPY</t>
  </si>
  <si>
    <t>Consent is key</t>
  </si>
  <si>
    <t>2026-06-28T16:00:05Z</t>
  </si>
  <si>
    <t>REMmoNgf6NY</t>
  </si>
  <si>
    <t>The First Ever Mythical Dog Show</t>
  </si>
  <si>
    <t>2026-06-26T10:00:32Z</t>
  </si>
  <si>
    <t>6S5z2ekOWEI</t>
  </si>
  <si>
    <t>It doesn't suck, it sucks</t>
  </si>
  <si>
    <t>2026-06-25T17:00:02Z</t>
  </si>
  <si>
    <t>krZuyzkGK4o</t>
  </si>
  <si>
    <t>Can We Taste The Hidden Fast Food?</t>
  </si>
  <si>
    <t>2026-06-25T10:00:39Z</t>
  </si>
  <si>
    <t>ijJWzn2I_1w</t>
  </si>
  <si>
    <t>Craziest Official Brand Collabs</t>
  </si>
  <si>
    <t>2026-06-24T10:00:05Z</t>
  </si>
  <si>
    <t>_8XORfAarwg</t>
  </si>
  <si>
    <t>Rhett's therapist has an interesting life</t>
  </si>
  <si>
    <t>2026-06-23T17:00:12Z</t>
  </si>
  <si>
    <t>Sb8EnvoXfdI</t>
  </si>
  <si>
    <t>What Are We 3D Printing? (Game)</t>
  </si>
  <si>
    <t>2026-06-23T10:00:06Z</t>
  </si>
  <si>
    <t>Zf-w0Eymdxs</t>
  </si>
  <si>
    <t>Match The Sandwich To The State</t>
  </si>
  <si>
    <t>2026-06-22T10:00:14Z</t>
  </si>
  <si>
    <t>1NAQvayOCc4</t>
  </si>
  <si>
    <t>A baddie indeed</t>
  </si>
  <si>
    <t>2026-06-21T16:00:32Z</t>
  </si>
  <si>
    <t>4OPwzehvJrQ</t>
  </si>
  <si>
    <t>Are Vintage Kitchen Gadgets Better?</t>
  </si>
  <si>
    <t>2026-06-19T10:00:27Z</t>
  </si>
  <si>
    <t>Xfc0a0lp9gU</t>
  </si>
  <si>
    <t>All praise the cheese gods 🧀 🙌</t>
  </si>
  <si>
    <t>2026-06-18T17:15:33Z</t>
  </si>
  <si>
    <t>k2agWgSc0Iw</t>
  </si>
  <si>
    <t>Making Nightmare Restaurant Orders</t>
  </si>
  <si>
    <t>2026-06-18T10:00:33Z</t>
  </si>
  <si>
    <t>s1nPpF-re4U</t>
  </si>
  <si>
    <t>We Try Free Foods Hacks</t>
  </si>
  <si>
    <t>2026-06-17T10:00:04Z</t>
  </si>
  <si>
    <t>fMFYeWY699U</t>
  </si>
  <si>
    <t>Fun to play with not to eat!</t>
  </si>
  <si>
    <t>2026-06-16T22:11:15Z</t>
  </si>
  <si>
    <t>IXrV8WUCwYg</t>
  </si>
  <si>
    <t>Science needs to get on this hand mouth thing...</t>
  </si>
  <si>
    <t>2026-06-16T17:00:34Z</t>
  </si>
  <si>
    <t>Kr4yS_dbQjs</t>
  </si>
  <si>
    <t>We Made Tacos With The World's Deadliest Mushroom</t>
  </si>
  <si>
    <t>2026-06-16T10:00:11Z</t>
  </si>
  <si>
    <t>6PoSkruy5yY</t>
  </si>
  <si>
    <t>Blind Chicken Finger Taste Test</t>
  </si>
  <si>
    <t>2026-06-15T10:00:22Z</t>
  </si>
  <si>
    <t>xs2RWeJ3z6U</t>
  </si>
  <si>
    <t>Rhett's a very reliable source of information</t>
  </si>
  <si>
    <t>2026-06-14T16:00:08Z</t>
  </si>
  <si>
    <t>7XAXxdTPTds</t>
  </si>
  <si>
    <t>Should It Steak?</t>
  </si>
  <si>
    <t>2026-06-12T10:00:11Z</t>
  </si>
  <si>
    <t>a9Iim-XFAUE</t>
  </si>
  <si>
    <t>We must protect Link's nana at all costs</t>
  </si>
  <si>
    <t>2026-06-11T18:48:23Z</t>
  </si>
  <si>
    <t>x9ESK9HWukw</t>
  </si>
  <si>
    <t>Who Can Make The Best Mexican Dish?</t>
  </si>
  <si>
    <t>2026-06-11T10:00:13Z</t>
  </si>
  <si>
    <t>rkB-U6UGpfI</t>
  </si>
  <si>
    <t>Guess The Instant Ramen Flavor</t>
  </si>
  <si>
    <t>2026-06-10T10:00:35Z</t>
  </si>
  <si>
    <t>9G0-Z6FhVVo</t>
  </si>
  <si>
    <t>Got Milk??</t>
  </si>
  <si>
    <t>2026-06-09T17:00:10Z</t>
  </si>
  <si>
    <t>IfmzXJi5ZPg</t>
  </si>
  <si>
    <t>2026-06-09T10:00:13Z</t>
  </si>
  <si>
    <t>DNlV87B8Yq8</t>
  </si>
  <si>
    <t>Discontinued Snacks Taste Test</t>
  </si>
  <si>
    <t>2026-06-08T10:00:25Z</t>
  </si>
  <si>
    <t>5SnBx2G4n9U</t>
  </si>
  <si>
    <t>We have so many questions</t>
  </si>
  <si>
    <t>2026-06-07T16:00:14Z</t>
  </si>
  <si>
    <t>6PMwzGKY21Q</t>
  </si>
  <si>
    <t>Forgotten Food Inventions Taste Test</t>
  </si>
  <si>
    <t>2026-06-05T10:00:24Z</t>
  </si>
  <si>
    <t>ywMgN8mRQPg</t>
  </si>
  <si>
    <t>Yikes indeed.</t>
  </si>
  <si>
    <t>2026-06-04T17:45:05Z</t>
  </si>
  <si>
    <t>to4xew_2RdU</t>
  </si>
  <si>
    <t>Misleading Food Packaging</t>
  </si>
  <si>
    <t>2026-06-04T10:00:04Z</t>
  </si>
  <si>
    <t>X5FOLkVpLvY</t>
  </si>
  <si>
    <t>We Try EVERY Burger At Wendy's</t>
  </si>
  <si>
    <t>2026-06-03T10:00:15Z</t>
  </si>
  <si>
    <t>b5-7OreGEbw</t>
  </si>
  <si>
    <t>Why Were These Toys Banned?</t>
  </si>
  <si>
    <t>2026-06-02T10:00:03Z</t>
  </si>
  <si>
    <t>zQkUiwxxakY</t>
  </si>
  <si>
    <t>Happy Birthday, Big Boy! 🥳</t>
  </si>
  <si>
    <t>2026-06-01T17:00:20Z</t>
  </si>
  <si>
    <t>G4Im4JIgNa8</t>
  </si>
  <si>
    <t>International Appetizer Taste Test</t>
  </si>
  <si>
    <t>2026-06-01T10:00:26Z</t>
  </si>
  <si>
    <t>0KHhNtiKWdg</t>
  </si>
  <si>
    <t>Teamwork makes the dream work</t>
  </si>
  <si>
    <t>2026-05-31T16:00:35Z</t>
  </si>
  <si>
    <t>I482qpNIcGo</t>
  </si>
  <si>
    <t>The perfect Easter gift??? 🤔</t>
  </si>
  <si>
    <t>2026-05-29T18:21:53Z</t>
  </si>
  <si>
    <t>zhPk2QcLi3E</t>
  </si>
  <si>
    <t>Can You Trust TikTok Shop?</t>
  </si>
  <si>
    <t>2026-05-29T10:00:40Z</t>
  </si>
  <si>
    <t>K_RQlV9Z-H8</t>
  </si>
  <si>
    <t>We're just gonna leave it at that</t>
  </si>
  <si>
    <t>2026-05-28T17:45:25Z</t>
  </si>
  <si>
    <t>I6FFfcAoD34</t>
  </si>
  <si>
    <t>Can We Cure Link’s Picky Eating?</t>
  </si>
  <si>
    <t>2026-05-28T10:00:16Z</t>
  </si>
  <si>
    <t>aMdPoatYv9o</t>
  </si>
  <si>
    <t>Frozen vs. Fast vs. Fancy Food Taste Test</t>
  </si>
  <si>
    <t>2026-05-27T10:00:02Z</t>
  </si>
  <si>
    <t>VfZj8Z2NulQ</t>
  </si>
  <si>
    <t>Do you like to be lied to?</t>
  </si>
  <si>
    <t>2026-05-26T17:30:06Z</t>
  </si>
  <si>
    <t>YoZnyuetwpY</t>
  </si>
  <si>
    <t>We Try Survival Hacks</t>
  </si>
  <si>
    <t>2026-05-26T10:00:26Z</t>
  </si>
  <si>
    <t>AAh4V4AiwUQ</t>
  </si>
  <si>
    <t>7-Eleven vs Circle K | Food Feuds</t>
  </si>
  <si>
    <t>2026-05-25T10:00:25Z</t>
  </si>
  <si>
    <t>8p2uzfNXkGc</t>
  </si>
  <si>
    <t>Link wants to address the elephant in the room 💇‍♂️</t>
  </si>
  <si>
    <t>2026-05-24T16:00:00Z</t>
  </si>
  <si>
    <t>rMd0KWONctE</t>
  </si>
  <si>
    <t>The Most Unhinged Girl Dinners (Taste Test)</t>
  </si>
  <si>
    <t>2026-05-22T10:00:08Z</t>
  </si>
  <si>
    <t>KD2SP20I2ag</t>
  </si>
  <si>
    <t>There are just some things you have to do yourself 🏃</t>
  </si>
  <si>
    <t>2026-05-21T18:00:06Z</t>
  </si>
  <si>
    <t>2qyPk9M0E2w</t>
  </si>
  <si>
    <t>High Calorie vs Low Calorie Fast Food</t>
  </si>
  <si>
    <t>2026-05-21T10:00:32Z</t>
  </si>
  <si>
    <t>-QGmiO4myiA</t>
  </si>
  <si>
    <t>Cheap vs Expensive Grocery Stores (Taste Test)</t>
  </si>
  <si>
    <t>2026-05-20T10:00:05Z</t>
  </si>
  <si>
    <t>_bQ_-bCrFj4</t>
  </si>
  <si>
    <t>The butter Rhett wants to remember forever</t>
  </si>
  <si>
    <t>2026-05-19T17:15:16Z</t>
  </si>
  <si>
    <t>Tp1AhBaKzDU</t>
  </si>
  <si>
    <t>Unboxing Other People's Lost Mail</t>
  </si>
  <si>
    <t>2026-05-19T10:00:35Z</t>
  </si>
  <si>
    <t>8J2xeXIHSII</t>
  </si>
  <si>
    <t>The Most Popular Flavors</t>
  </si>
  <si>
    <t>2026-05-18T10:00:12Z</t>
  </si>
  <si>
    <t>-NNuRsNtIHg</t>
  </si>
  <si>
    <t>Cause you're hot then you're cold. You're yes then you're no...or however it goes</t>
  </si>
  <si>
    <t>2026-05-17T16:15:26Z</t>
  </si>
  <si>
    <t>D5vtrM22kuw</t>
  </si>
  <si>
    <t>Light vs. Regular vs. Extra Taste Test</t>
  </si>
  <si>
    <t>2026-05-15T10:00:04Z</t>
  </si>
  <si>
    <t>B8RtX5BXu-A</t>
  </si>
  <si>
    <t>Curiosity shattered the block of ice</t>
  </si>
  <si>
    <t>2026-05-14T17:45:01Z</t>
  </si>
  <si>
    <t>pABdjew0B_U</t>
  </si>
  <si>
    <t>What Are These Mystery Things For?</t>
  </si>
  <si>
    <t>2026-05-14T10:00:19Z</t>
  </si>
  <si>
    <t>OhPDLaaV5t8</t>
  </si>
  <si>
    <t>Guess The Mystery Snack</t>
  </si>
  <si>
    <t>2026-05-13T10:00:29Z</t>
  </si>
  <si>
    <t>PVO1IavIf1k</t>
  </si>
  <si>
    <t>he's back...💖💜💙</t>
  </si>
  <si>
    <t>2026-05-12T17:15:01Z</t>
  </si>
  <si>
    <t>oXP_5YR1p3A</t>
  </si>
  <si>
    <t>Do These Food Hacks ACTUALLY Work?</t>
  </si>
  <si>
    <t>2026-05-12T10:00:05Z</t>
  </si>
  <si>
    <t>4kDEC02_JMU</t>
  </si>
  <si>
    <t>The Best Fast Food Hot Sauces</t>
  </si>
  <si>
    <t>2026-05-11T10:00:07Z</t>
  </si>
  <si>
    <t>C8EjLafclZ8</t>
  </si>
  <si>
    <t>It’s like they have ESPN or something</t>
  </si>
  <si>
    <t>2026-05-10T15:30:09Z</t>
  </si>
  <si>
    <t>XlKUZ0Elc9k</t>
  </si>
  <si>
    <t>100 Years Of Frozen Foods</t>
  </si>
  <si>
    <t>2026-05-08T10:00:52Z</t>
  </si>
  <si>
    <t>YfJdNRIIoHs</t>
  </si>
  <si>
    <t>Link just can't catch a break</t>
  </si>
  <si>
    <t>2026-05-07T18:00:28Z</t>
  </si>
  <si>
    <t>CRlA_M-6opM</t>
  </si>
  <si>
    <t>Can This Hold My Body Weight?</t>
  </si>
  <si>
    <t>2026-05-07T10:00:19Z</t>
  </si>
  <si>
    <t>KzzrjKSIE_w</t>
  </si>
  <si>
    <t>2026-05-06T10:00:30Z</t>
  </si>
  <si>
    <t>lvJgCND6-00</t>
  </si>
  <si>
    <t>Gotta get your fiber on all fours</t>
  </si>
  <si>
    <t>2026-05-05T17:30:21Z</t>
  </si>
  <si>
    <t>jk6fQ-h9TDs</t>
  </si>
  <si>
    <t>Hot Vs Cold Product Test</t>
  </si>
  <si>
    <t>2026-05-05T10:01:15Z</t>
  </si>
  <si>
    <t>Aj0s9ztoKUc</t>
  </si>
  <si>
    <t>International Wrap Taste Test</t>
  </si>
  <si>
    <t>2026-05-04T10:00:14Z</t>
  </si>
  <si>
    <t>SARRdee8MQk</t>
  </si>
  <si>
    <t>This is what we would call AI slop.</t>
  </si>
  <si>
    <t>2026-05-03T15:30:15Z</t>
  </si>
  <si>
    <t>Vz5IPnWkDao</t>
  </si>
  <si>
    <t>Canadians, is this accurate? 🤔</t>
  </si>
  <si>
    <t>2026-05-01T17:00:49Z</t>
  </si>
  <si>
    <t>GY7WhUg8P_A</t>
  </si>
  <si>
    <t>Which Restaurants Give You More Food?</t>
  </si>
  <si>
    <t>2026-05-01T10:00:22Z</t>
  </si>
  <si>
    <t>GpjlSzZ9RzU</t>
  </si>
  <si>
    <t>BEWARE the tickle monster😈</t>
  </si>
  <si>
    <t>2026-04-30T17:15:01Z</t>
  </si>
  <si>
    <t>-Ltg2SyuSMQ</t>
  </si>
  <si>
    <t>We Built Human Sized Feeders</t>
  </si>
  <si>
    <t>2026-04-30T10:00:00Z</t>
  </si>
  <si>
    <t>ZuBE9Fj4XM4</t>
  </si>
  <si>
    <t>What’s Better Than Ketchup on Scrambled Eggs?</t>
  </si>
  <si>
    <t>2026-04-29T10:00:54Z</t>
  </si>
  <si>
    <t>Oyi0mlgh3pA</t>
  </si>
  <si>
    <t>We think Link should end every episode this way</t>
  </si>
  <si>
    <t>2026-04-28T18:00:22Z</t>
  </si>
  <si>
    <t>iviJeJ6MEpk</t>
  </si>
  <si>
    <t>2026-04-28T10:01:15Z</t>
  </si>
  <si>
    <t>o7tMevd0ggg</t>
  </si>
  <si>
    <t>Fancy Comfort Food Taste Test</t>
  </si>
  <si>
    <t>2026-04-27T10:01:14Z</t>
  </si>
  <si>
    <t>AvWX6xHLtgI</t>
  </si>
  <si>
    <t>Real life fruit (veggie?) ninja!</t>
  </si>
  <si>
    <t>2026-04-26T16:00:30Z</t>
  </si>
  <si>
    <t>Yc8hBhZ5czQ</t>
  </si>
  <si>
    <t>How Unpopular Are Our Food Opinions?</t>
  </si>
  <si>
    <t>2026-04-24T10:00:58Z</t>
  </si>
  <si>
    <t>iYGae2MJTdQ</t>
  </si>
  <si>
    <t>You CANNOT trust Link with a knife</t>
  </si>
  <si>
    <t>2026-04-23T17:30:23Z</t>
  </si>
  <si>
    <t>3exDMNtBS18</t>
  </si>
  <si>
    <t>Food Inventions From Around The World</t>
  </si>
  <si>
    <t>2026-04-23T10:00:04Z</t>
  </si>
  <si>
    <t>fk3A04XqHCE</t>
  </si>
  <si>
    <t>2026-04-22T10:01:13Z</t>
  </si>
  <si>
    <t>Sn3GjykSErs</t>
  </si>
  <si>
    <t>Guess the real Italian, super difficult level</t>
  </si>
  <si>
    <t>2026-04-21T23:07:49Z</t>
  </si>
  <si>
    <t>Pwx-aWSXKbQ</t>
  </si>
  <si>
    <t>We bet you missed the 5th passenger on the Artemis II mission</t>
  </si>
  <si>
    <t>2026-04-21T17:15:01Z</t>
  </si>
  <si>
    <t>IVPkDbqCvmY</t>
  </si>
  <si>
    <t>One Of Them Is LYING</t>
  </si>
  <si>
    <t>2026-04-21T10:00:33Z</t>
  </si>
  <si>
    <t>gVHv1SHrY3c</t>
  </si>
  <si>
    <t>2026-04-20T10:01:04Z</t>
  </si>
  <si>
    <t>i3hO_WL5RAM</t>
  </si>
  <si>
    <t>FRONT TO BACK, ALWAYS.</t>
  </si>
  <si>
    <t>2026-04-19T16:01:08Z</t>
  </si>
  <si>
    <t>WlMWNq64sSQ</t>
  </si>
  <si>
    <t>The ultimate cheese?? pull</t>
  </si>
  <si>
    <t>2026-04-17T17:30:18Z</t>
  </si>
  <si>
    <t>OUVDDnGt46k</t>
  </si>
  <si>
    <t>Guess The Coke Flavor (Taste Test)</t>
  </si>
  <si>
    <t>2026-04-17T10:00:45Z</t>
  </si>
  <si>
    <t>CSaFlZBJ3wE</t>
  </si>
  <si>
    <t>McLaughlin dogs, ASSEMBLE 🐸💚</t>
  </si>
  <si>
    <t>2026-04-16T17:00:17Z</t>
  </si>
  <si>
    <t>_xSRGigPark</t>
  </si>
  <si>
    <t>The Cure For Being Ticklish</t>
  </si>
  <si>
    <t>2026-04-16T10:00:51Z</t>
  </si>
  <si>
    <t>Uva6FI6WEVM</t>
  </si>
  <si>
    <t>Combining The Best Japanese Foods</t>
  </si>
  <si>
    <t>2026-04-15T10:00:56Z</t>
  </si>
  <si>
    <t>An6o64NLdkQ</t>
  </si>
  <si>
    <t>98 Bizarre Drinks vs. 1 Good Drink</t>
  </si>
  <si>
    <t>2026-04-14T10:00:25Z</t>
  </si>
  <si>
    <t>a2qUlu00--4</t>
  </si>
  <si>
    <t>Madison Beer talks about being a guest on GMM!</t>
  </si>
  <si>
    <t>2026-04-13T17:30:02Z</t>
  </si>
  <si>
    <t>Y_Ex0lGX0k4</t>
  </si>
  <si>
    <t>2026-04-13T10:01:01Z</t>
  </si>
  <si>
    <t>y69IR_-iNNc</t>
  </si>
  <si>
    <t>Our crew does WHAT??</t>
  </si>
  <si>
    <t>2026-04-12T16:01:32Z</t>
  </si>
  <si>
    <t>yGA5elmF4QQ</t>
  </si>
  <si>
    <t>Link is quite satisfied</t>
  </si>
  <si>
    <t>2026-04-10T17:30:15Z</t>
  </si>
  <si>
    <t>MlsDMrBhCI8</t>
  </si>
  <si>
    <t>What’s The Best Starburst Flavor?</t>
  </si>
  <si>
    <t>2026-04-10T10:00:42Z</t>
  </si>
  <si>
    <t>nF7a8ReFR9c</t>
  </si>
  <si>
    <t>Who Makes The Sharpest Knives?</t>
  </si>
  <si>
    <t>2026-04-09T10:01:16Z</t>
  </si>
  <si>
    <t>6rQ2h4KlMnE</t>
  </si>
  <si>
    <t>INSTANT popcorn?!?🍿👀</t>
  </si>
  <si>
    <t>2026-04-08T17:00:09Z</t>
  </si>
  <si>
    <t>qB0DeQ9SJY4</t>
  </si>
  <si>
    <t>2026-04-08T10:01:23Z</t>
  </si>
  <si>
    <t>gUE9BdcBq7s</t>
  </si>
  <si>
    <t>Are These New Products Worth It?</t>
  </si>
  <si>
    <t>2026-04-07T10:01:10Z</t>
  </si>
  <si>
    <t>hSumUcCVoCU</t>
  </si>
  <si>
    <t>International Sides Taste Test</t>
  </si>
  <si>
    <t>2026-04-06T10:00:59Z</t>
  </si>
  <si>
    <t>ouRJfa0AU34</t>
  </si>
  <si>
    <t>We know Taco Bell Mexican Pizza's biggest fan😍🌮🍕</t>
  </si>
  <si>
    <t>2026-04-05T16:30:00Z</t>
  </si>
  <si>
    <t>A3wbUdvbUiY</t>
  </si>
  <si>
    <t>Did we just invent the BEST way to butter your popcorn?</t>
  </si>
  <si>
    <t>2026-04-03T17:30:00Z</t>
  </si>
  <si>
    <t>MYrYnyzOGjI</t>
  </si>
  <si>
    <t>Low vs. High Heat (Taste Test)</t>
  </si>
  <si>
    <t>2026-04-03T10:00:29Z</t>
  </si>
  <si>
    <t>jCQb3n_4J0U</t>
  </si>
  <si>
    <t>Vintage Popcorn Cooker Taste Test</t>
  </si>
  <si>
    <t>2026-04-02T10:01:00Z</t>
  </si>
  <si>
    <t>Y6jqyUbgIaU</t>
  </si>
  <si>
    <t>Your next favorite movie theatre snack?👀</t>
  </si>
  <si>
    <t>2026-04-01T17:00:00Z</t>
  </si>
  <si>
    <t>cX2Lik9FNoM</t>
  </si>
  <si>
    <t>Can Men Endure Pregnancy Pain?</t>
  </si>
  <si>
    <t>2026-04-01T13:05:41Z</t>
  </si>
  <si>
    <t>myx-nuFNros</t>
  </si>
  <si>
    <t>What Do These Mystery Products Do?</t>
  </si>
  <si>
    <t>2026-03-31T10:00:00Z</t>
  </si>
  <si>
    <t>xAZfbd6iORI</t>
  </si>
  <si>
    <t>2026-03-30T10:00:00Z</t>
  </si>
  <si>
    <t>b3IacWq3QFo</t>
  </si>
  <si>
    <t>Rhett's catch of the day! 🧇🎣</t>
  </si>
  <si>
    <t>2026-03-29T16:00:37Z</t>
  </si>
  <si>
    <t>aTEynTqTiso</t>
  </si>
  <si>
    <t>HASHTAG HEATED RIVALRY</t>
  </si>
  <si>
    <t>2026-03-27T16:00:01Z</t>
  </si>
  <si>
    <t>Gpc17TEjnPs</t>
  </si>
  <si>
    <t>2026-03-27T10:00:00Z</t>
  </si>
  <si>
    <t>1WPU35ZcrHI</t>
  </si>
  <si>
    <t>Is the set finally Link-proofed??</t>
  </si>
  <si>
    <t>2026-03-26T22:00:00Z</t>
  </si>
  <si>
    <t>NEzVOkMexbg</t>
  </si>
  <si>
    <t>Rhett &amp; Link vs Bubble Wrap</t>
  </si>
  <si>
    <t>2026-03-26T10:00:00Z</t>
  </si>
  <si>
    <t>SK5BxwCBik0</t>
  </si>
  <si>
    <t>Our friend Madison Beer is BACK and good news-- Link finally got an IG follow.</t>
  </si>
  <si>
    <t>2026-03-25T17:30:06Z</t>
  </si>
  <si>
    <t>2W3bDmp48eo</t>
  </si>
  <si>
    <t>Craziest Official Snack Collabs</t>
  </si>
  <si>
    <t>2026-03-25T10:00:00Z</t>
  </si>
  <si>
    <t>OQmEoX5Ibk4</t>
  </si>
  <si>
    <t>Is It Cake? (Challenge)</t>
  </si>
  <si>
    <t>2026-03-24T10:00:29Z</t>
  </si>
  <si>
    <t>G4MaqFi2GQk</t>
  </si>
  <si>
    <t>The strawberries help him deliberate 🍓</t>
  </si>
  <si>
    <t>2026-03-23T15:00:56Z</t>
  </si>
  <si>
    <t>-p8UYDnh7jM</t>
  </si>
  <si>
    <t>Universal Studios vs Disneyland | Food Feuds</t>
  </si>
  <si>
    <t>2026-03-23T10:00:01Z</t>
  </si>
  <si>
    <t>wCiIH_I_rys</t>
  </si>
  <si>
    <t>We Tried EVERY Food At Taco Bell</t>
  </si>
  <si>
    <t>2026-03-20T10:01:28Z</t>
  </si>
  <si>
    <t>xiVQb-rw--0</t>
  </si>
  <si>
    <t>Well he did say he was coming hard...</t>
  </si>
  <si>
    <t>2026-03-19T18:20:12Z</t>
  </si>
  <si>
    <t>7ERIMXLbZ_4</t>
  </si>
  <si>
    <t>Lifelong vs Brand New Best Friends Challenge</t>
  </si>
  <si>
    <t>2026-03-19T10:00:23Z</t>
  </si>
  <si>
    <t>k6p-v-V5NYc</t>
  </si>
  <si>
    <t>Homemade vs Store-Bought Food Taste Test</t>
  </si>
  <si>
    <t>2026-03-18T10:01:11Z</t>
  </si>
  <si>
    <t>pmZdvxo82-c</t>
  </si>
  <si>
    <t>Rhett gave his son a lesson about the importance of the 🔥Doritos Locos Taco🔥</t>
  </si>
  <si>
    <t>2026-03-17T15:01:31Z</t>
  </si>
  <si>
    <t>4P1kA2CJGvY</t>
  </si>
  <si>
    <t>We Go Magnet Fishing</t>
  </si>
  <si>
    <t>2026-03-17T10:00:13Z</t>
  </si>
  <si>
    <t>HhjpQc5ztno</t>
  </si>
  <si>
    <t>You can't replicate perfection (unfortunately) #GoodMythicalMorning</t>
  </si>
  <si>
    <t>2026-03-16T17:30:05Z</t>
  </si>
  <si>
    <t>zJoM2pQYRE0</t>
  </si>
  <si>
    <t>The World's Most Popular Snacks</t>
  </si>
  <si>
    <t>2026-03-16T10:01:37Z</t>
  </si>
  <si>
    <t>X4IvCYQ0ZgY</t>
  </si>
  <si>
    <t>YOU'LL NEVER GET RID OF US! #GoodMythicalMorning</t>
  </si>
  <si>
    <t>2026-03-15T17:00:44Z</t>
  </si>
  <si>
    <t>MsUdzlT-rQw</t>
  </si>
  <si>
    <t>Looking back at the best things that have happened on #GoodMythicalMorning since the 2000th episode!</t>
  </si>
  <si>
    <t>2026-03-14T16:00:35Z</t>
  </si>
  <si>
    <t>lRXjDS4kdWo</t>
  </si>
  <si>
    <t>A salute to Stevie.🫡🎙️❤️ #GoodMythicalMorning</t>
  </si>
  <si>
    <t>2026-03-13T21:00:52Z</t>
  </si>
  <si>
    <t>vUwAbsXoxgI</t>
  </si>
  <si>
    <t>Here's to 3000 Good Mythical Mornings with all of you ❤️</t>
  </si>
  <si>
    <t>2026-03-13T17:45:06Z</t>
  </si>
  <si>
    <t>vS6HEes8daw</t>
  </si>
  <si>
    <t>The PROBLEM with Capitalism - Smarter Every Day 316</t>
  </si>
  <si>
    <t>2026-07-26T14:00:36Z</t>
  </si>
  <si>
    <t>7ZenZAqIVqk</t>
  </si>
  <si>
    <t>UC6107grRI4m0o2-emgoDnAA</t>
  </si>
  <si>
    <t>3,000th Episode Celebration Special</t>
  </si>
  <si>
    <t>2026-03-13T10:00:21Z</t>
  </si>
  <si>
    <t>SmarterEveryDay</t>
  </si>
  <si>
    <t>eaVwkqlp8dY</t>
  </si>
  <si>
    <t>The Messiest Episode Of GMM</t>
  </si>
  <si>
    <t>2026-03-12T10:01:07Z</t>
  </si>
  <si>
    <t>vMuYIjCZBaw</t>
  </si>
  <si>
    <t>2026-03-11T10:01:33Z</t>
  </si>
  <si>
    <t>5Fg7q_9_zNE</t>
  </si>
  <si>
    <t>Leaving Things In Beer For A Month (ft. Madison Beer)</t>
  </si>
  <si>
    <t>2026-03-10T11:00:16Z</t>
  </si>
  <si>
    <t>WcPfx6bqDHs</t>
  </si>
  <si>
    <t>Mckenna Grace has never tried WHAT foods?!</t>
  </si>
  <si>
    <t>2026-03-09T15:21:31Z</t>
  </si>
  <si>
    <t>WXYkwHQORDs</t>
  </si>
  <si>
    <t>International Cake Taste Test</t>
  </si>
  <si>
    <t>2026-03-09T10:00:54Z</t>
  </si>
  <si>
    <t>SYqi9RvqtLc</t>
  </si>
  <si>
    <t>Kid Food vs. Adult Food (Taste Test)</t>
  </si>
  <si>
    <t>2026-03-06T11:00:57Z</t>
  </si>
  <si>
    <t>5lCWqEFVzbY</t>
  </si>
  <si>
    <t>JuPGKgxUnM8</t>
  </si>
  <si>
    <t>They Call it "The Taco Turn" and it's Genius - Smarter Every Day 315</t>
  </si>
  <si>
    <t>Testing Crazy Reusable Products</t>
  </si>
  <si>
    <t>2026-05-31T14:20:12Z</t>
  </si>
  <si>
    <t>2026-03-05T11:00:22Z</t>
  </si>
  <si>
    <t>_pps5iD8f8I</t>
  </si>
  <si>
    <t>Rhett &amp; Link LIVE! Book Signing + Q&amp;A</t>
  </si>
  <si>
    <t>2026-03-04T20:48:14Z</t>
  </si>
  <si>
    <t>xBsO1E-iQjs</t>
  </si>
  <si>
    <t>Craziest New Flavor Combos Taste Test</t>
  </si>
  <si>
    <t>2026-03-04T11:01:38Z</t>
  </si>
  <si>
    <t>hcAdjlf8CN8</t>
  </si>
  <si>
    <t>You Won't Believe How Long We've Known Mckenna Grace</t>
  </si>
  <si>
    <t>2026-03-04T01:09:20Z</t>
  </si>
  <si>
    <t>G9heIvKpfS0</t>
  </si>
  <si>
    <t>Big Man vs Tiny Food</t>
  </si>
  <si>
    <t>2026-03-03T11:00:22Z</t>
  </si>
  <si>
    <t>ZtUyC7z85dE</t>
  </si>
  <si>
    <t>Blind Biscuit Taste Test</t>
  </si>
  <si>
    <t>2026-03-02T11:01:02Z</t>
  </si>
  <si>
    <t>WtQ64nSbdY4</t>
  </si>
  <si>
    <t>What Everyone Sees... But I Don't (The Johari Window) - Smarter Every Day 314</t>
  </si>
  <si>
    <t>2026-04-11T14:16:34Z</t>
  </si>
  <si>
    <t>SahG7LFmL9w</t>
  </si>
  <si>
    <t>Link almost learned how to say thank you in Japanese</t>
  </si>
  <si>
    <t>2026-02-28T18:00:25Z</t>
  </si>
  <si>
    <t>NsSAnySQnA8</t>
  </si>
  <si>
    <t>It's important to be neighborly!</t>
  </si>
  <si>
    <t>2026-02-27T16:00:40Z</t>
  </si>
  <si>
    <t>EbCTly7s3E0</t>
  </si>
  <si>
    <t>Frozen vs. Fast vs. Fancy Food Taste Test (ft. Mckenna Grace)</t>
  </si>
  <si>
    <t>2026-02-27T11:00:21Z</t>
  </si>
  <si>
    <t>5ZyCh1yse6c</t>
  </si>
  <si>
    <t>Sean's table manners are impeccable.</t>
  </si>
  <si>
    <t>2026-02-26T17:00:09Z</t>
  </si>
  <si>
    <t>VTP55wT4vHk</t>
  </si>
  <si>
    <t>would you have believed them?👀</t>
  </si>
  <si>
    <t>2026-08-24T23:01:13Z</t>
  </si>
  <si>
    <t>UCpi8TJfiA4lKGkaXs__YdBA</t>
  </si>
  <si>
    <t>The Try Guys</t>
  </si>
  <si>
    <t>I1rY_MUviao</t>
  </si>
  <si>
    <t>Try Guys Ultimate Philly Scavenger Hunt</t>
  </si>
  <si>
    <t>-0JKHuzJ67A</t>
  </si>
  <si>
    <t>2026-08-22T15:00:19Z</t>
  </si>
  <si>
    <t>Everything About Disc Golf Aerodynamics - Smarter Every Day 313</t>
  </si>
  <si>
    <t>2026-03-06T20:30:16Z</t>
  </si>
  <si>
    <t>ScoBzypcaLk</t>
  </si>
  <si>
    <t>YB invited us to try pilates and @Liquid-iv hydrated us through it all! #liquidivpartner</t>
  </si>
  <si>
    <t>2026-08-18T16:25:36Z</t>
  </si>
  <si>
    <t>9wMcQWZYJhg</t>
  </si>
  <si>
    <t>@Liquid-iv helped us make it through the extreme heat. #liquidivpartner</t>
  </si>
  <si>
    <t>2026-08-15T21:53:55Z</t>
  </si>
  <si>
    <t>WrgAW8ccHXE</t>
  </si>
  <si>
    <t>Try Guys Survive the World's Hottest Golf Course (Death Valley)</t>
  </si>
  <si>
    <t>2026-08-15T15:00:34Z</t>
  </si>
  <si>
    <t>shsbLCbwFWc</t>
  </si>
  <si>
    <t>Keith Eats Everything At Waffle House At Midnight In Florida</t>
  </si>
  <si>
    <t>2026-08-08T15:00:30Z</t>
  </si>
  <si>
    <t>AlyxdVMkHxE</t>
  </si>
  <si>
    <t>Keith had a rough day at the office… (hehehehe)</t>
  </si>
  <si>
    <t>2026-08-07T23:55:07Z</t>
  </si>
  <si>
    <t>XwBZx1cXEdM</t>
  </si>
  <si>
    <t>Why Do Spinning Things Do This? - Smarter Every Day 312</t>
  </si>
  <si>
    <t>2026-01-11T15:00:10Z</t>
  </si>
  <si>
    <t>8Jo0qpLLgsU</t>
  </si>
  <si>
    <t>Without A Recipe is back... which means long shoot days and lots of @Liquid-iv  😅 #liquidivpartner</t>
  </si>
  <si>
    <t>2026-08-07T16:44:26Z</t>
  </si>
  <si>
    <t>J5zW7d_Czr8</t>
  </si>
  <si>
    <t>this one’s for all the savory kings!! you deserve a little treat too🫡</t>
  </si>
  <si>
    <t>2026-08-04T01:55:13Z</t>
  </si>
  <si>
    <t>potjStLDORo</t>
  </si>
  <si>
    <t>Smosh Takes A Lie Detector Test (again) · Trolley Problems</t>
  </si>
  <si>
    <t>2026-08-01T15:00:10Z</t>
  </si>
  <si>
    <t>arbpUxmyWOw</t>
  </si>
  <si>
    <t>This is my new favorite prank🙂‍↕️</t>
  </si>
  <si>
    <t>2026-07-30T22:27:55Z</t>
  </si>
  <si>
    <t>dJ9vAQscb7M</t>
  </si>
  <si>
    <t>We have profiles on 2nd try! Comment down below what icons you guys want to see added👀</t>
  </si>
  <si>
    <t>2026-07-29T23:59:32Z</t>
  </si>
  <si>
    <t>dESaogkv5Cg</t>
  </si>
  <si>
    <t>Try Guys Make Dumplings to Escape the Kitchen</t>
  </si>
  <si>
    <t>2026-07-29T15:00:37Z</t>
  </si>
  <si>
    <t>v0afQ6w3Bjw</t>
  </si>
  <si>
    <t>Refueling a NUCLEAR REACTOR - Smarter Every Day 311</t>
  </si>
  <si>
    <t>6UmSI9SPYOU</t>
  </si>
  <si>
    <t>2025-11-03T17:35:35Z</t>
  </si>
  <si>
    <t>I tried as many Mickey shaped snacks and treats we could find!👀</t>
  </si>
  <si>
    <t>2026-07-29T01:59:11Z</t>
  </si>
  <si>
    <t>ND-lh8tECSU</t>
  </si>
  <si>
    <t>Your journey is just beginning! Thanks to PFCLA Health</t>
  </si>
  <si>
    <t>2026-07-28T02:35:12Z</t>
  </si>
  <si>
    <t>pL2jEUFPKp0</t>
  </si>
  <si>
    <t>This was no easy task…</t>
  </si>
  <si>
    <t>2026-07-27T00:01:41Z</t>
  </si>
  <si>
    <t>0NQtWFfS2-8</t>
  </si>
  <si>
    <t>I Got An Egg Retrieval For IVF</t>
  </si>
  <si>
    <t>2026-07-25T15:00:29Z</t>
  </si>
  <si>
    <t>WtO5rvaTu5Q</t>
  </si>
  <si>
    <t>the stats are CRAZY! Thanks to PFCLA for all the info!</t>
  </si>
  <si>
    <t>2026-07-20T23:15:23Z</t>
  </si>
  <si>
    <t>pubsTMxm6cQ</t>
  </si>
  <si>
    <t>I choose my baby daddy?!</t>
  </si>
  <si>
    <t>2026-07-19T16:53:14Z</t>
  </si>
  <si>
    <t>fy_Px5_0xWI</t>
  </si>
  <si>
    <t>How I Chose My Sperm Donor</t>
  </si>
  <si>
    <t>2026-07-18T15:00:17Z</t>
  </si>
  <si>
    <t>X5Db0Gvx8Tw</t>
  </si>
  <si>
    <t>You can stream 2nd try (almost) anywhere! How do you watch 2nd try?🩵👀</t>
  </si>
  <si>
    <t>2026-07-17T18:26:31Z</t>
  </si>
  <si>
    <t>B8B0rxliSc4</t>
  </si>
  <si>
    <t>Keith Eats Everything At Disney's Typhoon Lagoon</t>
  </si>
  <si>
    <t>dt_CG_xRnrY</t>
  </si>
  <si>
    <t>2026-07-15T15:00:11Z</t>
  </si>
  <si>
    <t>Pompeii Changed How I Think About The Roman Empire - Smarter Every Day 310</t>
  </si>
  <si>
    <t>2025-09-07T20:37:06Z</t>
  </si>
  <si>
    <t>VETux3G66lM</t>
  </si>
  <si>
    <t>which new food item do YOU want to try?</t>
  </si>
  <si>
    <t>2026-07-13T23:37:54Z</t>
  </si>
  <si>
    <t>lQ4iScSRk_w</t>
  </si>
  <si>
    <t>The first episode of Marissa In Fertility is out now❤️</t>
  </si>
  <si>
    <t>2026-07-12T17:18:45Z</t>
  </si>
  <si>
    <t>yaUsGT7tU-U</t>
  </si>
  <si>
    <t>I Got an Infertility Diagnosis</t>
  </si>
  <si>
    <t>2026-07-11T15:00:39Z</t>
  </si>
  <si>
    <t>SwwOu-zhKL4</t>
  </si>
  <si>
    <t>so we’ve become a loud keyboard office…</t>
  </si>
  <si>
    <t>2026-07-10T16:57:23Z</t>
  </si>
  <si>
    <t>IPdwt_65qW0</t>
  </si>
  <si>
    <t>We got to try everything at GEO-82, the only 21+ bar in the Disney World parks! Thanks for having us</t>
  </si>
  <si>
    <t>2026-07-05T19:03:05Z</t>
  </si>
  <si>
    <t>YuNLAv4-FMk</t>
  </si>
  <si>
    <t>Keith Plays a 🌽 Game RETURNS.... in heaven?👀 Catch it only on 2nd try starting 7/8😇</t>
  </si>
  <si>
    <t>2026-07-03T15:02:19Z</t>
  </si>
  <si>
    <t>HSUyBpqQ_tc</t>
  </si>
  <si>
    <t>Celeb Crush Surprise (feat. Yung Gravy)</t>
  </si>
  <si>
    <t>2026-06-27T15:00:12Z</t>
  </si>
  <si>
    <t>BiBa02zIOyQ</t>
  </si>
  <si>
    <t>we CANT believe he got this</t>
  </si>
  <si>
    <t>2026-06-25T22:17:57Z</t>
  </si>
  <si>
    <t>cRaKMTK7ea0</t>
  </si>
  <si>
    <t>fDt3d8M6iwQ</t>
  </si>
  <si>
    <t>Keith Drinks Everything At Dave &amp; Busters</t>
  </si>
  <si>
    <t>I Went Into a Nuclear Plant and It Changed How I Think About Radiation - Smarter Every Day 309</t>
  </si>
  <si>
    <t>2026-06-24T15:00:34Z</t>
  </si>
  <si>
    <t>2025-07-13T14:00:11Z</t>
  </si>
  <si>
    <t>T6PF55UyDzk</t>
  </si>
  <si>
    <t>Try Guys Ruin Scotch Egg • Phoning It In</t>
  </si>
  <si>
    <t>2026-06-20T15:00:30Z</t>
  </si>
  <si>
    <t>PHnt7jN_3RY</t>
  </si>
  <si>
    <t>BOLD lies happening here</t>
  </si>
  <si>
    <t>2026-06-19T18:19:53Z</t>
  </si>
  <si>
    <t>YD2mnZXVj1k</t>
  </si>
  <si>
    <t>Keith Eats Everything At Dave &amp; Busters</t>
  </si>
  <si>
    <t>2026-06-17T15:00:32Z</t>
  </si>
  <si>
    <t>FTFS7nAPi6E</t>
  </si>
  <si>
    <t>starting this wednesday 6/17 on 2nd try🤍</t>
  </si>
  <si>
    <t>2026-06-16T07:44:58Z</t>
  </si>
  <si>
    <t>fB1PmBt_wFk</t>
  </si>
  <si>
    <t>buzz buzz</t>
  </si>
  <si>
    <t>2026-06-14T17:30:44Z</t>
  </si>
  <si>
    <t>9Y44qFMk-lg</t>
  </si>
  <si>
    <t>those are some BIG lemons</t>
  </si>
  <si>
    <t>2026-06-13T17:31:15Z</t>
  </si>
  <si>
    <t>AfEsuzV8sQA</t>
  </si>
  <si>
    <t>Try Guys Ruin Lemon Olive Oil Cake • Phoning It In</t>
  </si>
  <si>
    <t>2026-06-13T15:00:27Z</t>
  </si>
  <si>
    <t>QS2OiD30sb0</t>
  </si>
  <si>
    <t>they let us into their WORLD</t>
  </si>
  <si>
    <t>2026-06-12T18:59:24Z</t>
  </si>
  <si>
    <t>3ZTGwcHQfLY</t>
  </si>
  <si>
    <t>buvv18-6-CE</t>
  </si>
  <si>
    <t>I Tried To Make Something In America (The Smarter Scrubber Experiment) - Smarter Every Day 308</t>
  </si>
  <si>
    <t>okay it’s giving actors🤏</t>
  </si>
  <si>
    <t>2025-06-08T19:52:05Z</t>
  </si>
  <si>
    <t>2026-06-11T17:42:36Z</t>
  </si>
  <si>
    <t>uY6peL58Qdc</t>
  </si>
  <si>
    <t>Try Guys Try Jazz in New Orleans</t>
  </si>
  <si>
    <t>2026-06-10T15:00:26Z</t>
  </si>
  <si>
    <t>h-GIsp_7iM8</t>
  </si>
  <si>
    <t>#ad Keith gets private - thanks to @Norton. Get up to 70% off Norton VPN before your next trip!</t>
  </si>
  <si>
    <t>2026-06-09T22:41:53Z</t>
  </si>
  <si>
    <t>PJTSjTAQlgM</t>
  </si>
  <si>
    <t>this did NOT go as planned...</t>
  </si>
  <si>
    <t>2026-06-07T17:30:39Z</t>
  </si>
  <si>
    <t>FGP7QkfGFSQ</t>
  </si>
  <si>
    <t>Get your try guys photocards now at tryguys.com !!!</t>
  </si>
  <si>
    <t>2026-06-06T23:01:08Z</t>
  </si>
  <si>
    <t>sXt85Xcf1Fg</t>
  </si>
  <si>
    <t>don't do THIS while cooking</t>
  </si>
  <si>
    <t>2026-06-06T17:30:47Z</t>
  </si>
  <si>
    <t>FYThVOe3TNA</t>
  </si>
  <si>
    <t>Try Guys Ruin French Macarons • Phoning It In</t>
  </si>
  <si>
    <t>2026-06-06T15:00:11Z</t>
  </si>
  <si>
    <t>8cjlaGZ0aEY</t>
  </si>
  <si>
    <t>I've NEVER tasted anything like THIS before!</t>
  </si>
  <si>
    <t>2026-05-30T17:01:14Z</t>
  </si>
  <si>
    <t>Eml5FsSz3Aw</t>
  </si>
  <si>
    <t>Try Guys Ruin Crepe Cakes • Phoning It In</t>
  </si>
  <si>
    <t>8nilP--GFLY</t>
  </si>
  <si>
    <t>2026-05-30T15:00:11Z</t>
  </si>
  <si>
    <t>The Unsolved Mystery of Impact Flashes - Smarter Every Day 307</t>
  </si>
  <si>
    <t>2025-03-31T15:19:15Z</t>
  </si>
  <si>
    <t>4BqjTQbcuJI</t>
  </si>
  <si>
    <t>Watch Oops! All Idiots only on 2nd try ☎️ 📞</t>
  </si>
  <si>
    <t>2026-05-21T17:27:06Z</t>
  </si>
  <si>
    <t>Jzg4Kj9Dx-w</t>
  </si>
  <si>
    <t>We made it easier for you to find the things you want to watch on 2nd try!</t>
  </si>
  <si>
    <t>2026-05-17T15:00:50Z</t>
  </si>
  <si>
    <t>UXoGG2ZgAYE</t>
  </si>
  <si>
    <t>Try Guys Walk in a Real Fashion Show</t>
  </si>
  <si>
    <t>2026-05-16T15:00:41Z</t>
  </si>
  <si>
    <t>vAYzftpX7vE</t>
  </si>
  <si>
    <t>we LOVE password sharing!</t>
  </si>
  <si>
    <t>2026-05-11T21:08:54Z</t>
  </si>
  <si>
    <t>oKwypg825q4</t>
  </si>
  <si>
    <t>ALERT ALERT🚨‼️ we ARE NOT changing our prices🩵</t>
  </si>
  <si>
    <t>2026-05-10T17:49:20Z</t>
  </si>
  <si>
    <t>qc1HEP2h6P8</t>
  </si>
  <si>
    <t>Keith Eats Everything at Jimmy Johns</t>
  </si>
  <si>
    <t>2026-05-09T15:01:33Z</t>
  </si>
  <si>
    <t>IPvi2VBIru0</t>
  </si>
  <si>
    <t>You can now watch Killer Dinner, Ghost Kitchen, and the Live Reunion Special without subscribing!</t>
  </si>
  <si>
    <t>2026-05-08T22:30:18Z</t>
  </si>
  <si>
    <t>NdhNUtAbSzI</t>
  </si>
  <si>
    <t>Keith Eats Everything At Dairy Queen</t>
  </si>
  <si>
    <t>2026-05-02T15:00:37Z</t>
  </si>
  <si>
    <t>JVROsxtjoCw</t>
  </si>
  <si>
    <t>I Explored the World's First Nuclear Power Plant (and How It Works) - Smarter Every Day 306</t>
  </si>
  <si>
    <t>AFbVjZR29Fs</t>
  </si>
  <si>
    <t>2025-01-31T17:00:05Z</t>
  </si>
  <si>
    <t>Trolley Problems</t>
  </si>
  <si>
    <t>2026-04-18T15:00:27Z</t>
  </si>
  <si>
    <t>jKtBj7rrm0I</t>
  </si>
  <si>
    <t>keep that crown on KING👑</t>
  </si>
  <si>
    <t>2026-04-15T00:06:32Z</t>
  </si>
  <si>
    <t>rh9zv7_ZqDw</t>
  </si>
  <si>
    <t>This HISTORY TEA is HOT!</t>
  </si>
  <si>
    <t>2026-04-12T16:01:22Z</t>
  </si>
  <si>
    <t>9rDcxKryjvo</t>
  </si>
  <si>
    <t>Did you know THIS about VOODOO DOLLS?!</t>
  </si>
  <si>
    <t>2026-04-11T16:53:13Z</t>
  </si>
  <si>
    <t>ZCj3vrkM8wM</t>
  </si>
  <si>
    <t>Try Guys Investigate Voodoo in New Orleans</t>
  </si>
  <si>
    <t>2026-04-11T15:01:03Z</t>
  </si>
  <si>
    <t>zNkO3OD8jlU</t>
  </si>
  <si>
    <t>Keith Eats Everything in London</t>
  </si>
  <si>
    <t>2026-04-04T15:01:28Z</t>
  </si>
  <si>
    <t>a0B4g6V4V9c</t>
  </si>
  <si>
    <t>Try Guys Murder Mystery Dinner Party</t>
  </si>
  <si>
    <t>2026-04-01T15:00:00Z</t>
  </si>
  <si>
    <t>aRa8pwR9mO8</t>
  </si>
  <si>
    <t>lylCYkgC63Q</t>
  </si>
  <si>
    <t>Keith Eats A Full English Breakfast with Jolly at Fallow</t>
  </si>
  <si>
    <t>The Backwards Brain Tractor - Smarter Every Day 305</t>
  </si>
  <si>
    <t>2026-03-28T15:00:01Z</t>
  </si>
  <si>
    <t>2024-12-15T15:19:27Z</t>
  </si>
  <si>
    <t>syfXamF8fJY</t>
  </si>
  <si>
    <t>Keith Eats Everything At Greggs</t>
  </si>
  <si>
    <t>2026-03-25T15:01:23Z</t>
  </si>
  <si>
    <t>f0Yyz-i1CIQ</t>
  </si>
  <si>
    <t>Try Guys Take A Birthing Class Feat. Cameron Esposito</t>
  </si>
  <si>
    <t>2026-03-21T15:01:11Z</t>
  </si>
  <si>
    <t>j_PgVRsQ7Js</t>
  </si>
  <si>
    <t>7 Biggest Pregnancy Fears</t>
  </si>
  <si>
    <t>2026-03-14T15:01:16Z</t>
  </si>
  <si>
    <t>hqbTIXjIHZ0</t>
  </si>
  <si>
    <t>Public but still private!</t>
  </si>
  <si>
    <t>2026-03-08T16:01:02Z</t>
  </si>
  <si>
    <t>_HeVFrburEU</t>
  </si>
  <si>
    <t>Keithonce is actually BEAUTIFUL!  #tryguys #beyonce #2ndtry</t>
  </si>
  <si>
    <t>2026-03-07T17:00:55Z</t>
  </si>
  <si>
    <t>CasIe-39Fr8</t>
  </si>
  <si>
    <t>Try Guys Recreate Iconic Pregnancy Announcements feat. Cameron Esposito</t>
  </si>
  <si>
    <t>2026-03-07T16:00:15Z</t>
  </si>
  <si>
    <t>jDusS--bZZA</t>
  </si>
  <si>
    <t>The Incredibly Unique Triple Barreled Pistol...  - Smarter Every Day 304</t>
  </si>
  <si>
    <t>2024-11-24T20:00:31Z</t>
  </si>
  <si>
    <t>dMDbK92IR9I</t>
  </si>
  <si>
    <t>i thought EVERYONE would be GAY!</t>
  </si>
  <si>
    <t>2026-03-03T00:33:05Z</t>
  </si>
  <si>
    <t>q0QUcGWM63A</t>
  </si>
  <si>
    <t>pregnancy is my BIGGEST fear</t>
  </si>
  <si>
    <t>2026-03-02T04:10:02Z</t>
  </si>
  <si>
    <t>Bfk_ZJihR38</t>
  </si>
  <si>
    <t>does pregnancy change your style?!</t>
  </si>
  <si>
    <t>2026-02-28T19:00:45Z</t>
  </si>
  <si>
    <t>BjL_zGsHgtg</t>
  </si>
  <si>
    <t>We Tried Every Pregnancy Outfit</t>
  </si>
  <si>
    <t>2026-02-28T16:00:12Z</t>
  </si>
  <si>
    <t>lRlOzcU9UdE</t>
  </si>
  <si>
    <t>Keith Eats Everything At Wingstop</t>
  </si>
  <si>
    <t>2026-02-21T16:01:08Z</t>
  </si>
  <si>
    <t>g98aeWUV5Mk</t>
  </si>
  <si>
    <t>The Try Guys go to NOLA!! Starting February 25th on 2nd try🎊🍾</t>
  </si>
  <si>
    <t>2026-02-18T17:29:52Z</t>
  </si>
  <si>
    <t>6MxnEeY9Hw4</t>
  </si>
  <si>
    <t>Keith Eats Everything At Sbarro</t>
  </si>
  <si>
    <t>2026-02-14T16:00:16Z</t>
  </si>
  <si>
    <t>JJofuF2zcTE</t>
  </si>
  <si>
    <t>Live From Space - Smarter Every Day 303</t>
  </si>
  <si>
    <t>2024-10-27T14:04:59Z</t>
  </si>
  <si>
    <t>WuweOsFuLEY</t>
  </si>
  <si>
    <t>doctors are SCARY!</t>
  </si>
  <si>
    <t>2026-02-14T01:33:04Z</t>
  </si>
  <si>
    <t>u-Hdp78wHxM</t>
  </si>
  <si>
    <t>how did YOU know you wanted kids?</t>
  </si>
  <si>
    <t>2026-02-13T01:16:15Z</t>
  </si>
  <si>
    <t>zAdrU4zov4c</t>
  </si>
  <si>
    <t>let’s think before we ask!</t>
  </si>
  <si>
    <t>2026-02-12T05:12:05Z</t>
  </si>
  <si>
    <t>9LqKgnmNbbI</t>
  </si>
  <si>
    <t>overthinking king</t>
  </si>
  <si>
    <t>2026-02-12T00:39:34Z</t>
  </si>
  <si>
    <t>DaqT8h92ND4</t>
  </si>
  <si>
    <t>Can I Beat a 7-Year-Old Pro at Ping Pong</t>
  </si>
  <si>
    <t>2026-02-11T16:00:29Z</t>
  </si>
  <si>
    <t>Ery4bj4gARs</t>
  </si>
  <si>
    <t>and that’s VALID</t>
  </si>
  <si>
    <t>2026-02-11T02:14:14Z</t>
  </si>
  <si>
    <t>j2e0cfdkjNQ</t>
  </si>
  <si>
    <t>sEK6wZWMbCY</t>
  </si>
  <si>
    <t>Are you scared of being a queer parent?!</t>
  </si>
  <si>
    <t>2026-02-10T00:07:25Z</t>
  </si>
  <si>
    <t>Climbing Kilimanjaro - Smarter Every Day 302</t>
  </si>
  <si>
    <t>2024-09-30T14:00:09Z</t>
  </si>
  <si>
    <t>drXudgj3nrk</t>
  </si>
  <si>
    <t>Questions For A Pregnant Lesbian</t>
  </si>
  <si>
    <t>2026-02-07T16:00:51Z</t>
  </si>
  <si>
    <t>ycrLqEQHAlw</t>
  </si>
  <si>
    <t>We hope that this lil shift will make things better for yall on YouTube❤️</t>
  </si>
  <si>
    <t>2026-02-06T17:36:05Z</t>
  </si>
  <si>
    <t>D8eCL30B-FM</t>
  </si>
  <si>
    <t>Our new series Call Them Mother premieres on 2nd try Saturday 2/7 and on YouTube a month later💝</t>
  </si>
  <si>
    <t>2026-01-31T20:25:46Z</t>
  </si>
  <si>
    <t>AJXvAwrk3o4</t>
  </si>
  <si>
    <t>Keith Eats Everything At Dollywood</t>
  </si>
  <si>
    <t>2026-01-31T16:00:21Z</t>
  </si>
  <si>
    <t>L_qKehotBJY</t>
  </si>
  <si>
    <t>Try Guys Game Time is BACK!👾🧩🎮 Watch the first video now at @TryGuysGameTime</t>
  </si>
  <si>
    <t>2026-01-20T17:40:58Z</t>
  </si>
  <si>
    <t>mN1HdpVj4N4</t>
  </si>
  <si>
    <t>We played reverse charades with Genshin Impact and things got silly👀</t>
  </si>
  <si>
    <t>2026-01-16T01:01:17Z</t>
  </si>
  <si>
    <t>frbLIoqDIO8</t>
  </si>
  <si>
    <t>ByOwBZSAIgw</t>
  </si>
  <si>
    <t>How Disc Golf Discs Are Made (MVP Manufacturing Tour) - Smarter Every Day 301</t>
  </si>
  <si>
    <t>Try Guys Play Reverse Charades</t>
  </si>
  <si>
    <t>2026-01-15T16:00:18Z</t>
  </si>
  <si>
    <t>2024-09-01T13:34:07Z</t>
  </si>
  <si>
    <t>5yvM35hJvEk</t>
  </si>
  <si>
    <t>Try Guys Ultimate Scavenger Hunt • Seattle</t>
  </si>
  <si>
    <t>2026-01-10T16:00:17Z</t>
  </si>
  <si>
    <t>dzExG0WOtSU</t>
  </si>
  <si>
    <t>what happened this year</t>
  </si>
  <si>
    <t>2025-12-23T16:01:08Z</t>
  </si>
  <si>
    <t>5jRTlnPtECA</t>
  </si>
  <si>
    <t>okay that’s IMPRESSIVE!</t>
  </si>
  <si>
    <t>2025-12-22T22:40:31Z</t>
  </si>
  <si>
    <t>Wf6AK8XmbK4</t>
  </si>
  <si>
    <t>leveling up in 2026 in a big way👀🩵</t>
  </si>
  <si>
    <t>2025-12-20T20:15:44Z</t>
  </si>
  <si>
    <t>VPSm9gJkPxU</t>
  </si>
  <si>
    <t>lbbUkjGfUiY</t>
  </si>
  <si>
    <t>Nature's Incredible ROTATING MOTOR (It’s Electric!) - Smarter Every Day 300</t>
  </si>
  <si>
    <t>We Tried The 50 Best Things In NYC</t>
  </si>
  <si>
    <t>2024-07-28T14:00:19Z</t>
  </si>
  <si>
    <t>2025-12-20T16:01:18Z</t>
  </si>
  <si>
    <t>kxKLTtlwzFw</t>
  </si>
  <si>
    <t>Long live the lobster!🦞 #sponsored #MagicTheGathering #EdgeofEternities</t>
  </si>
  <si>
    <t>2025-12-18T19:53:03Z</t>
  </si>
  <si>
    <t>Ikt4pGJMoTA</t>
  </si>
  <si>
    <t>it’s getting HOT in here</t>
  </si>
  <si>
    <t>2025-12-17T20:40:47Z</t>
  </si>
  <si>
    <t>aZl5kp9_H2g</t>
  </si>
  <si>
    <t>Just you wait Miles!🧙‍♂️  #sponsored #MagicTheGathering #EdgeOfEternities @mtg</t>
  </si>
  <si>
    <t>2025-12-16T21:27:24Z</t>
  </si>
  <si>
    <t>_uyqW9MsFQQ</t>
  </si>
  <si>
    <t>Try Guys VS Drag Queens - Magic: The Gathering | Edge of Eternities</t>
  </si>
  <si>
    <t>2025-12-15T16:01:00Z</t>
  </si>
  <si>
    <t>62-RlQhTqG0</t>
  </si>
  <si>
    <t>Would YOU go to Medieval Times for your day off? Watch this full episode of Day Off on 2nd try now!</t>
  </si>
  <si>
    <t>2025-12-14T18:00:06Z</t>
  </si>
  <si>
    <t>rA2y2kxEyvM</t>
  </si>
  <si>
    <t>Try Guys Make Anti-Gravity Cakes Without A Recipe</t>
  </si>
  <si>
    <t>2025-12-13T16:01:30Z</t>
  </si>
  <si>
    <t>TWc48iVC8u8</t>
  </si>
  <si>
    <t>How Do Cicadas Make Noise? (In Slow Motion)  - Smarter Every Day 299</t>
  </si>
  <si>
    <t>AT8rcbwditU</t>
  </si>
  <si>
    <t>2024-06-02T14:04:50Z</t>
  </si>
  <si>
    <t>Did Miles or Ryann have the PERFECT day off? 🏝️🍹Watch the FULL EPISODE on 2nd try now!</t>
  </si>
  <si>
    <t>2025-12-12T01:00:29Z</t>
  </si>
  <si>
    <t>76o83IaJ4eM</t>
  </si>
  <si>
    <t>Keith Plays a P*rn Game is COMING BACK! Watch EXCLUSIVELY on 2nd try! #tryguys</t>
  </si>
  <si>
    <t>2025-12-11T20:00:07Z</t>
  </si>
  <si>
    <t>Jsh8-TQLxcQ</t>
  </si>
  <si>
    <t>Keith Eats Every Oreo</t>
  </si>
  <si>
    <t>2025-12-10T16:00:38Z</t>
  </si>
  <si>
    <t>53qG9xk1C-Y</t>
  </si>
  <si>
    <t>STRIP dreidel?!</t>
  </si>
  <si>
    <t>2025-12-07T17:21:01Z</t>
  </si>
  <si>
    <t>trvXykXwaKY</t>
  </si>
  <si>
    <t>Try Guys Make Beef Wellington Without A Recipe</t>
  </si>
  <si>
    <t>2025-12-06T16:01:26Z</t>
  </si>
  <si>
    <t>9P81G2xlhKs</t>
  </si>
  <si>
    <t>bQF51mqzrY4</t>
  </si>
  <si>
    <t>ok, let’s talk about it</t>
  </si>
  <si>
    <t>2025-12-05T01:03:40Z</t>
  </si>
  <si>
    <t>I Accidentally Photographed Something Unknown During the Eclipse - Smarter Every Day 298</t>
  </si>
  <si>
    <t>2024-05-19T14:00:48Z</t>
  </si>
  <si>
    <t>wn3byH-Fet8</t>
  </si>
  <si>
    <t>Try Guys Try Not To Die In The Rainforest</t>
  </si>
  <si>
    <t>2025-12-03T16:01:44Z</t>
  </si>
  <si>
    <t>z-J_1fPI-FY</t>
  </si>
  <si>
    <t>BETRAYAL in the kitchen?!</t>
  </si>
  <si>
    <t>2025-12-03T00:40:05Z</t>
  </si>
  <si>
    <t>egY89b8RUxY</t>
  </si>
  <si>
    <t>is THIS an ANTI-GRAVITY cake?!</t>
  </si>
  <si>
    <t>2025-12-02T02:16:13Z</t>
  </si>
  <si>
    <t>Z1UIG92rJNU</t>
  </si>
  <si>
    <t>Possibly the perfect day in San Fran?🌉 Is this how you would spend your day off?👀</t>
  </si>
  <si>
    <t>2025-11-29T22:14:11Z</t>
  </si>
  <si>
    <t>qyPjoULuMSM</t>
  </si>
  <si>
    <t>Try Guys Make Samosas Without A Recipe</t>
  </si>
  <si>
    <t>2025-11-29T16:01:31Z</t>
  </si>
  <si>
    <t>Bh7Xf3Ox7K8</t>
  </si>
  <si>
    <t>3mO2UCyJr6s</t>
  </si>
  <si>
    <t>Touring the Vulcan Rocket on the Launch Pad - Smarter Every Day 297</t>
  </si>
  <si>
    <t>Thanks for joining us in all the fun this year🩵</t>
  </si>
  <si>
    <t>2024-04-28T14:00:05Z</t>
  </si>
  <si>
    <t>2025-11-28T21:36:21Z</t>
  </si>
  <si>
    <t>PX6y84uxa1o</t>
  </si>
  <si>
    <t>This year I’m thankful for a brand new season of Drop Into City!!🌇👀 Coming to 2nd try 12/13🩵</t>
  </si>
  <si>
    <t>2025-11-27T20:12:13Z</t>
  </si>
  <si>
    <t>baoyamXmPoA</t>
  </si>
  <si>
    <t>Is this what 12 year old YOU would do?👀</t>
  </si>
  <si>
    <t>2025-11-27T15:50:57Z</t>
  </si>
  <si>
    <t>nQRHWIX3TD8</t>
  </si>
  <si>
    <t>is it supposed to look like THAT?!</t>
  </si>
  <si>
    <t>2025-11-26T22:51:14Z</t>
  </si>
  <si>
    <t>sbvP5MZH_Iw</t>
  </si>
  <si>
    <t>Try Guys Go to Wilderness Survival School</t>
  </si>
  <si>
    <t>2025-11-26T16:01:21Z</t>
  </si>
  <si>
    <t>cxLYrOJTKsA</t>
  </si>
  <si>
    <t>dont tell keith🤫 and pls go subscribe to @tryeveryday 🧡</t>
  </si>
  <si>
    <t>2025-11-25T22:02:20Z</t>
  </si>
  <si>
    <t>x7ngy_XYfwA</t>
  </si>
  <si>
    <t>AiZd5yBWvYY</t>
  </si>
  <si>
    <t>newest member of black scottish tiktok</t>
  </si>
  <si>
    <t>2025-11-25T06:10:26Z</t>
  </si>
  <si>
    <t>Why NASA's Next Space Suits are not Pressurized to 14.7psi - Smarter Every Day 296</t>
  </si>
  <si>
    <t>2024-03-31T14:07:29Z</t>
  </si>
  <si>
    <t>jyXEo038a_I</t>
  </si>
  <si>
    <t>trying KILTS for the first time?!</t>
  </si>
  <si>
    <t>2025-11-24T00:50:14Z</t>
  </si>
  <si>
    <t>2p31ZIsO2NQ</t>
  </si>
  <si>
    <t>Try Guys Make Kit Kats Without A Recipe</t>
  </si>
  <si>
    <t>2025-11-22T16:00:05Z</t>
  </si>
  <si>
    <t>ihinf2BdlHQ</t>
  </si>
  <si>
    <t>one time for the BODEGA CAT!</t>
  </si>
  <si>
    <t>2025-11-22T01:03:42Z</t>
  </si>
  <si>
    <t>H9WIFegkpyg</t>
  </si>
  <si>
    <t>Is this what YOU would do on your DAY OFF?!</t>
  </si>
  <si>
    <t>2025-11-20T01:19:18Z</t>
  </si>
  <si>
    <t>tsycXEbY404</t>
  </si>
  <si>
    <t>Keith Drinks Everything At EPCOT</t>
  </si>
  <si>
    <t>2025-11-19T16:01:29Z</t>
  </si>
  <si>
    <t>SzoDGl0Ve6o</t>
  </si>
  <si>
    <t>there is BEEF this season of Without A Recipe👀</t>
  </si>
  <si>
    <t>2025-11-17T21:16:38Z</t>
  </si>
  <si>
    <t>vAe7vF3tEg4</t>
  </si>
  <si>
    <t>Jared accidentally made concrete instead of a Samosa🤨</t>
  </si>
  <si>
    <t>2025-11-17T02:10:58Z</t>
  </si>
  <si>
    <t>OxRfik3Px8I</t>
  </si>
  <si>
    <t>Try Guys Make Cookie Cakes Without A Recipe</t>
  </si>
  <si>
    <t>2025-11-15T16:00:40Z</t>
  </si>
  <si>
    <t>KWjWv5wIUjE</t>
  </si>
  <si>
    <t>What would YOU do on your best DAY OFF?!</t>
  </si>
  <si>
    <t>2025-11-14T16:36:21Z</t>
  </si>
  <si>
    <t>eNK2LI7VeX4</t>
  </si>
  <si>
    <t>YOx8SictHJI</t>
  </si>
  <si>
    <t>April 8, 2024 Total Solar Eclipse: Here's what you need to know -Smarter Every Day 295</t>
  </si>
  <si>
    <t>Keith Eats Everything At EPCOT • Part 2</t>
  </si>
  <si>
    <t>2024-02-25T14:27:14Z</t>
  </si>
  <si>
    <t>2025-11-12T16:01:01Z</t>
  </si>
  <si>
    <t>mMU_YbtygEM</t>
  </si>
  <si>
    <t>help us TACKLE keith! Subscribe to @tryeveryday !!</t>
  </si>
  <si>
    <t>2025-11-12T00:14:05Z</t>
  </si>
  <si>
    <t>RocP3Nd9fKQ</t>
  </si>
  <si>
    <t>we’re BACK! Check us out at @tryeveryday</t>
  </si>
  <si>
    <t>2025-11-11T17:14:29Z</t>
  </si>
  <si>
    <t>_8qiv9awVPg</t>
  </si>
  <si>
    <t>could YOU run a REPTILE convention?!</t>
  </si>
  <si>
    <t>2025-11-10T23:27:34Z</t>
  </si>
  <si>
    <t>7Oazsjnhx4c</t>
  </si>
  <si>
    <t>snakes aren’t TOO scary!</t>
  </si>
  <si>
    <t>2025-11-09T20:26:03Z</t>
  </si>
  <si>
    <t>eFO3LBtQmQo</t>
  </si>
  <si>
    <t>the office is getting CRAZY?!</t>
  </si>
  <si>
    <t>2025-11-09T00:23:51Z</t>
  </si>
  <si>
    <t>3huyMYDKVAc</t>
  </si>
  <si>
    <t>W4QSGlM06Gs</t>
  </si>
  <si>
    <t>The Try Guys Audition For Phineas And Ferb</t>
  </si>
  <si>
    <t>I Struck A Match With a Bullet (380,117 frames per second SlowMo) - Smarter Every Day 294</t>
  </si>
  <si>
    <t>2025-11-08T16:00:07Z</t>
  </si>
  <si>
    <t>2024-01-22T16:58:19Z</t>
  </si>
  <si>
    <t>7zPlsAKw7qA</t>
  </si>
  <si>
    <t>WEIRD BANANA facts?!</t>
  </si>
  <si>
    <t>2025-11-06T20:38:39Z</t>
  </si>
  <si>
    <t>BYlxblDMM2w</t>
  </si>
  <si>
    <t>did YOU get all these POP CULTURE references?!</t>
  </si>
  <si>
    <t>2025-11-06T02:18:11Z</t>
  </si>
  <si>
    <t>0NaKJ9KM6Iw</t>
  </si>
  <si>
    <t>The COOKIE tasted like FLESH?!</t>
  </si>
  <si>
    <t>2025-11-05T21:24:44Z</t>
  </si>
  <si>
    <t>4mvQt9sX0SM</t>
  </si>
  <si>
    <t>Keith Eats Everything At EPCOT • Part 1</t>
  </si>
  <si>
    <t>2025-11-05T16:00:10Z</t>
  </si>
  <si>
    <t>frcKl0VugaY</t>
  </si>
  <si>
    <t>is THAT a KITKAT?!</t>
  </si>
  <si>
    <t>2025-11-04T02:11:22Z</t>
  </si>
  <si>
    <t>OoJsPvmFixU</t>
  </si>
  <si>
    <t>I Was SCARED To Say This To NASA... (But I said it anyway) - Smarter Every Day 293</t>
  </si>
  <si>
    <t>lyaCjRVW76Y</t>
  </si>
  <si>
    <t>2023-12-03T14:39:51Z</t>
  </si>
  <si>
    <t>STOP adding EGGS!!</t>
  </si>
  <si>
    <t>2025-11-02T23:17:52Z</t>
  </si>
  <si>
    <t>OPn_D77T6t4</t>
  </si>
  <si>
    <t>The Try Guys Make Yule Logs Without A Recipe • Full Live Special</t>
  </si>
  <si>
    <t>2025-11-01T15:00:42Z</t>
  </si>
  <si>
    <t>IUumX8FwigY</t>
  </si>
  <si>
    <t>things are getting STEAMMYYY</t>
  </si>
  <si>
    <t>2025-11-01T03:00:44Z</t>
  </si>
  <si>
    <t>_DP9jCbG1OU</t>
  </si>
  <si>
    <t>is our office HAUNTED?!</t>
  </si>
  <si>
    <t>2025-10-31T22:06:04Z</t>
  </si>
  <si>
    <t>0MJ9Gj-6Cfg</t>
  </si>
  <si>
    <t>play along in the comments!</t>
  </si>
  <si>
    <t>2025-10-30T23:12:58Z</t>
  </si>
  <si>
    <t>TbhF7jTLlG4</t>
  </si>
  <si>
    <t>This TRANSPARENT ENGINE is Fascinating (How Engines Work) - Smarter Every Day 292</t>
  </si>
  <si>
    <t>2023-11-15T15:00:02Z</t>
  </si>
  <si>
    <t>PAJTKrqMecs</t>
  </si>
  <si>
    <t>Who will have the best Day Off?👀 Find out starting 11/12 only on 2nd try!🏖️</t>
  </si>
  <si>
    <t>2025-10-30T16:30:21Z</t>
  </si>
  <si>
    <t>SWo9Z8uBKL8</t>
  </si>
  <si>
    <t>RUTH or JUDY?!</t>
  </si>
  <si>
    <t>2025-10-29T23:32:38Z</t>
  </si>
  <si>
    <t>hTtk-JsR4DM</t>
  </si>
  <si>
    <t>this is what the try guys group chat looks like</t>
  </si>
  <si>
    <t>2025-10-28T21:27:54Z</t>
  </si>
  <si>
    <t>bbF_WeeJEHQ</t>
  </si>
  <si>
    <t>LOG SAWING competition?!</t>
  </si>
  <si>
    <t>2025-10-28T17:34:22Z</t>
  </si>
  <si>
    <t>wib-xqL2BC4</t>
  </si>
  <si>
    <t>Did you know the origin of Oktoberfest?🍻</t>
  </si>
  <si>
    <t>2025-10-28T01:18:14Z</t>
  </si>
  <si>
    <t>zxCES4oC8Vw</t>
  </si>
  <si>
    <t>how to pour beer the RIGHT way</t>
  </si>
  <si>
    <t>2025-10-26T22:58:54Z</t>
  </si>
  <si>
    <t>mTvxIcugIkk</t>
  </si>
  <si>
    <t>prRTWThrotU</t>
  </si>
  <si>
    <t>would you try this challenge?🦘</t>
  </si>
  <si>
    <t>We made a Video Game (FISH GAME) - Smarter Every Day 291</t>
  </si>
  <si>
    <t>2025-10-25T23:56:19Z</t>
  </si>
  <si>
    <t>2023-10-29T14:23:09Z</t>
  </si>
  <si>
    <t>IreARj8aokE</t>
  </si>
  <si>
    <t>I Stayed At Every Themed Hotel</t>
  </si>
  <si>
    <t>2025-10-25T15:00:36Z</t>
  </si>
  <si>
    <t>XJ2DlbQWzNE</t>
  </si>
  <si>
    <t>we’ve all been there! right?</t>
  </si>
  <si>
    <t>2025-10-24T22:22:50Z</t>
  </si>
  <si>
    <t>IuPxbK2sCjk</t>
  </si>
  <si>
    <t>We have a LOT coming to you in the rest of 2025… check it all out first on 2nd try🩵</t>
  </si>
  <si>
    <t>2025-10-24T17:10:33Z</t>
  </si>
  <si>
    <t>6s_plwPZ_2Q</t>
  </si>
  <si>
    <t>don’t make me STICKY!</t>
  </si>
  <si>
    <t>2025-10-23T17:31:13Z</t>
  </si>
  <si>
    <t>nQN7dhKjtwM</t>
  </si>
  <si>
    <t>DRESS CODE for a DATE?!</t>
  </si>
  <si>
    <t>2025-10-22T20:12:00Z</t>
  </si>
  <si>
    <t>dCXu8Ju_fdY</t>
  </si>
  <si>
    <t>ROBOFORMING: The Future of Metalworking? (I Had NO IDEA This Was Possible) - Smarter Every Day 290</t>
  </si>
  <si>
    <t>93u2LO2VvcM</t>
  </si>
  <si>
    <t>2023-09-16T15:58:08Z</t>
  </si>
  <si>
    <t>Keith Eats Everything At A Seafood Championship</t>
  </si>
  <si>
    <t>2025-10-22T15:00:29Z</t>
  </si>
  <si>
    <t>ROnmxi5dWfM</t>
  </si>
  <si>
    <t>Jabba gets crazy!</t>
  </si>
  <si>
    <t>2025-10-19T16:03:17Z</t>
  </si>
  <si>
    <t>ETTFMvgeygA</t>
  </si>
  <si>
    <t>Kwesi loves to learn and we love to watch Kwesi learn!👀 Only on 2nd try starting 10/25🩵</t>
  </si>
  <si>
    <t>2025-10-19T14:46:38Z</t>
  </si>
  <si>
    <t>Th1U-kLe3VU</t>
  </si>
  <si>
    <t>The Curious Case of the Copper Key ft. MatPat, Max Fosh, Keith Habs &amp; More</t>
  </si>
  <si>
    <t>2025-10-18T21:33:48Z</t>
  </si>
  <si>
    <t>qnICTDdI_7c</t>
  </si>
  <si>
    <t>Sneaking Into Restaurants For Free Kids Meals</t>
  </si>
  <si>
    <t>2025-10-18T15:01:35Z</t>
  </si>
  <si>
    <t>Dvo6ZNWzvSo</t>
  </si>
  <si>
    <t>LETS GOOO DARREN!!</t>
  </si>
  <si>
    <t>2025-10-17T19:03:58Z</t>
  </si>
  <si>
    <t>oTfXehFVFyk</t>
  </si>
  <si>
    <t>The Amazing Engineering of Rescue Helicopters  - Smarter Every Day 289</t>
  </si>
  <si>
    <t>U7zNGgBKmO8</t>
  </si>
  <si>
    <t>2023-08-21T19:35:47Z</t>
  </si>
  <si>
    <t>Are you ready for The Bad Boys Season?👨‍🍳 Subscribe to 2nd try to binge it early🩵👀</t>
  </si>
  <si>
    <t>2025-10-16T16:32:39Z</t>
  </si>
  <si>
    <t>8XBuVfafeuY</t>
  </si>
  <si>
    <t>Jonny no...</t>
  </si>
  <si>
    <t>2025-10-15T23:02:10Z</t>
  </si>
  <si>
    <t>zoeYSEWRceU</t>
  </si>
  <si>
    <t>Keith Eats Every Taco Chain • Marathon</t>
  </si>
  <si>
    <t>2025-10-15T15:01:58Z</t>
  </si>
  <si>
    <t>cqD_M0qBlNQ</t>
  </si>
  <si>
    <t>Did we just find the best Olive Garden hack?!</t>
  </si>
  <si>
    <t>2025-10-14T19:02:31Z</t>
  </si>
  <si>
    <t>rRzAnsHbpdA</t>
  </si>
  <si>
    <t>i’m a dad now</t>
  </si>
  <si>
    <t>2025-10-12T01:22:49Z</t>
  </si>
  <si>
    <t>Rw6vN26OgfU</t>
  </si>
  <si>
    <t>i'm a dad now</t>
  </si>
  <si>
    <t>GDzBE6vz5r0</t>
  </si>
  <si>
    <t>2025-10-11T15:00:50Z</t>
  </si>
  <si>
    <t>The Mind-Blowing Machines that Stamp Millions of Metal Parts - Smarter Every Day 288</t>
  </si>
  <si>
    <t>2023-07-31T15:01:24Z</t>
  </si>
  <si>
    <t>pp22GwyacYY</t>
  </si>
  <si>
    <t>NOT jungle juice?!</t>
  </si>
  <si>
    <t>2025-10-10T16:50:44Z</t>
  </si>
  <si>
    <t>h8yq07nOFnU</t>
  </si>
  <si>
    <t>watch our FASHION SHOW!</t>
  </si>
  <si>
    <t>2025-10-09T17:30:38Z</t>
  </si>
  <si>
    <t>tcQVrD7RnNI</t>
  </si>
  <si>
    <t>1cxzZ1I4drc</t>
  </si>
  <si>
    <t>Bullets HITTING Bullets in Slow Motion - THE IMPOSSIBLE SHOT - Smarter Every Day 287</t>
  </si>
  <si>
    <t>what’s the WEIRDEST place you’ve done the deed?!</t>
  </si>
  <si>
    <t>2023-06-10T15:00:39Z</t>
  </si>
  <si>
    <t>2025-10-08T21:39:10Z</t>
  </si>
  <si>
    <t>k9kYWKrhs7s</t>
  </si>
  <si>
    <t>Ex-Buzzfeed Star Takes Lie Detector Test</t>
  </si>
  <si>
    <t>2025-10-08T15:01:22Z</t>
  </si>
  <si>
    <t>e1WQ3WxWKnI</t>
  </si>
  <si>
    <t>it’s giving found footage horror movie😬</t>
  </si>
  <si>
    <t>2025-10-07T23:09:14Z</t>
  </si>
  <si>
    <t>2x6dso71ejQ</t>
  </si>
  <si>
    <t>Do you have the will to survive?</t>
  </si>
  <si>
    <t>2025-10-06T23:01:40Z</t>
  </si>
  <si>
    <t>4VuTzm1I5H0</t>
  </si>
  <si>
    <t>SURVIVING in the RAINFOREST?!</t>
  </si>
  <si>
    <t>2025-10-05T18:01:32Z</t>
  </si>
  <si>
    <t>kCBWGI1n2z4</t>
  </si>
  <si>
    <t>We gave our friends TATTOOS?!</t>
  </si>
  <si>
    <t>2025-10-04T21:01:28Z</t>
  </si>
  <si>
    <t>mrJP82ZZiag</t>
  </si>
  <si>
    <t>M01L92WZkpk</t>
  </si>
  <si>
    <t>This Thing is Crazy Fast - Kodak Part 3-  Smarter Every Day 286</t>
  </si>
  <si>
    <t>We Tried 100 Levels Of Origami</t>
  </si>
  <si>
    <t>2023-05-14T14:07:20Z</t>
  </si>
  <si>
    <t>2025-10-04T15:10:04Z</t>
  </si>
  <si>
    <t>yW6IkgSr-o0</t>
  </si>
  <si>
    <t>Optimus Prime is WATCHING us?!?!?  #tryguys #transformers #funny</t>
  </si>
  <si>
    <t>2025-10-03T19:00:56Z</t>
  </si>
  <si>
    <t>WPu-mKYIZVA</t>
  </si>
  <si>
    <t>who has the BEST themed hotel?!</t>
  </si>
  <si>
    <t>2025-10-02T22:08:01Z</t>
  </si>
  <si>
    <t>2tXXNT9b_yg</t>
  </si>
  <si>
    <t>SMASH or PASS?!</t>
  </si>
  <si>
    <t>2025-10-02T17:43:26Z</t>
  </si>
  <si>
    <t>MWNFeOHo6tY</t>
  </si>
  <si>
    <t>🐸😬 (don’t worry it’s an invasive species)</t>
  </si>
  <si>
    <t>2025-10-02T02:05:01Z</t>
  </si>
  <si>
    <t>cn67yQsbaf0</t>
  </si>
  <si>
    <t>could YOU survive with these skills?!</t>
  </si>
  <si>
    <t>2025-09-30T19:37:20Z</t>
  </si>
  <si>
    <t>vULwVcBIEyg</t>
  </si>
  <si>
    <t>Could YOU make a fire like this?!</t>
  </si>
  <si>
    <t>2025-09-29T02:07:09Z</t>
  </si>
  <si>
    <t>C1KT8PS6Zs4</t>
  </si>
  <si>
    <t>MOLTEN GLASS VS Prince Rupert's Drop - Smarter Every Day 285</t>
  </si>
  <si>
    <t>2023-04-16T14:00:05Z</t>
  </si>
  <si>
    <t>xLWUGumz1dI</t>
  </si>
  <si>
    <t>How My School Teachers Influenced Me - Smarter Every Day 284</t>
  </si>
  <si>
    <t>2023-03-31T13:39:51Z</t>
  </si>
  <si>
    <t>Q07CTj4fUeY</t>
  </si>
  <si>
    <t>How the Germans Measured Milliseconds MECHANICALLY - Smarter Every Day 283</t>
  </si>
  <si>
    <t>2023-02-26T19:39:04Z</t>
  </si>
  <si>
    <t>x8L83AHYum0</t>
  </si>
  <si>
    <t>How the Warhead on the AIM-9 Sidewinder Works - Smarter Every Day 282</t>
  </si>
  <si>
    <t>2023-02-16T18:53:12Z</t>
  </si>
  <si>
    <t>UkeGQotnsDU</t>
  </si>
  <si>
    <t>Why Fuel Injectors are AWESOME (28,000 fps Slow Mo) Part 1 - Smarter Every Day 281</t>
  </si>
  <si>
    <t>2023-01-22T14:59:32Z</t>
  </si>
  <si>
    <t>1nLHIM2IPRY</t>
  </si>
  <si>
    <t>I Asked An Actual Apollo Engineer to Explain the Saturn 5 Rocket - Smarter Every Day 280</t>
  </si>
  <si>
    <t>2022-12-26T23:14:29Z</t>
  </si>
  <si>
    <t>G3Dl9Ir6Dhw</t>
  </si>
  <si>
    <t>US Coast Guard Rescue Swimmer Gear - Smarter Every Day 279</t>
  </si>
  <si>
    <t>2022-11-23T13:43:29Z</t>
  </si>
  <si>
    <t>7j1lMs7fcIQ</t>
  </si>
  <si>
    <t>Everything About Irrigation Pivots (Farmers are Geniuses) - Smarter Every Day 278</t>
  </si>
  <si>
    <t>2022-10-30T21:39:23Z</t>
  </si>
  <si>
    <t>gl3bY6vME4w</t>
  </si>
  <si>
    <t>Responding to a Capsized Boat with the U.S. Coast Guard - Smarter Every Day 277</t>
  </si>
  <si>
    <t>2022-09-25T14:01:28Z</t>
  </si>
  <si>
    <t>VZ6_8WJ3mh8</t>
  </si>
  <si>
    <t>TRACTOR PULLS: It's Not What You Think  - Smarter Every Day 276</t>
  </si>
  <si>
    <t>2022-08-27T05:54:36Z</t>
  </si>
  <si>
    <t>cAAJUHwh9F4</t>
  </si>
  <si>
    <t>How Does Kodak Make Film? (Kodak Factory Tour Part 2 of 3) - Smarter Every Day 275</t>
  </si>
  <si>
    <t>2022-07-21T15:14:49Z</t>
  </si>
  <si>
    <t>rSYwebUsHRg</t>
  </si>
  <si>
    <t>well we get away with THIS?!</t>
  </si>
  <si>
    <t>2025-09-26T17:00:05Z</t>
  </si>
  <si>
    <t>GYsmWhrtuFY</t>
  </si>
  <si>
    <t>could YOU survive in the WILDERNESS?!</t>
  </si>
  <si>
    <t>2025-09-26T00:07:47Z</t>
  </si>
  <si>
    <t>ktp62UtKy1c</t>
  </si>
  <si>
    <t>The Mystery of Synchronous Fireflies - Smarter Every Day 274</t>
  </si>
  <si>
    <t>2022-06-20T14:00:05Z</t>
  </si>
  <si>
    <t>aPuH7vUpUuI</t>
  </si>
  <si>
    <t>Keith plays a totally normal game returns by popular demand….👀 🙂‍↕️😤 Only on 2nd try!🩵</t>
  </si>
  <si>
    <t>2025-09-25T17:37:32Z</t>
  </si>
  <si>
    <t>9kfheMxZwB4</t>
  </si>
  <si>
    <t>is this is the CRAZIEST thing we’ve ever done?!</t>
  </si>
  <si>
    <t>2025-09-24T23:06:38Z</t>
  </si>
  <si>
    <t>ftfWxvdDeRc</t>
  </si>
  <si>
    <t>a GENDER REVEAL PIZZA?!</t>
  </si>
  <si>
    <t>2025-09-20T17:18:05Z</t>
  </si>
  <si>
    <t>mXvnP4Bs-5s</t>
  </si>
  <si>
    <t>Did we find the BEST ribs?👀</t>
  </si>
  <si>
    <t>2025-09-19T17:14:11Z</t>
  </si>
  <si>
    <t>X3o71W4uNHc</t>
  </si>
  <si>
    <t>Prince Rupert's Drop EXPLODING in Epoxy Resin at 456,522 fps - Smarter Every Day 273</t>
  </si>
  <si>
    <t>2022-05-29T14:00:03Z</t>
  </si>
  <si>
    <t>USlUHe-Onxg</t>
  </si>
  <si>
    <t>Have you ever seen THIS type of GENDER REVEAL?!</t>
  </si>
  <si>
    <t>2025-09-19T01:47:06Z</t>
  </si>
  <si>
    <t>ilj1oFefg9E</t>
  </si>
  <si>
    <t>Zach’s just doing the Ashley Tisdale!</t>
  </si>
  <si>
    <t>2025-09-15T23:02:44Z</t>
  </si>
  <si>
    <t>AvAdUC86ajE</t>
  </si>
  <si>
    <t>the WORST part of the MUSTARD?!</t>
  </si>
  <si>
    <t>2025-09-15T17:53:40Z</t>
  </si>
  <si>
    <t>dtZlghW65Ew</t>
  </si>
  <si>
    <t>what is VOICE ACTING?!</t>
  </si>
  <si>
    <t>2025-09-15T02:17:55Z</t>
  </si>
  <si>
    <t>GfiC4y8u5ow</t>
  </si>
  <si>
    <t>Try Guys Hunt The World's Rarest Food</t>
  </si>
  <si>
    <t>2025-09-13T15:00:26Z</t>
  </si>
  <si>
    <t>uFzuRm3wCDk</t>
  </si>
  <si>
    <t>Why Jet Boats are AWESOME (U.S. Coast Guard's Workhorse) - Smarter Every Day 272</t>
  </si>
  <si>
    <t>5OqOiVBMcQc</t>
  </si>
  <si>
    <t>2022-04-29T14:04:00Z</t>
  </si>
  <si>
    <t>would YOU try voice acting?!</t>
  </si>
  <si>
    <t>2025-09-12T22:05:41Z</t>
  </si>
  <si>
    <t>QqTVvMdlIqA</t>
  </si>
  <si>
    <t>at least they got to a finished product!🍔</t>
  </si>
  <si>
    <t>2025-09-11T18:14:29Z</t>
  </si>
  <si>
    <t>VXCCHFsm61k</t>
  </si>
  <si>
    <t>HOW to cut onions WITHOUT CRYING?!</t>
  </si>
  <si>
    <t>2025-09-10T22:59:33Z</t>
  </si>
  <si>
    <t>Nbu5VUX0cYM</t>
  </si>
  <si>
    <t>calling all corporate baddies!!</t>
  </si>
  <si>
    <t>2025-09-08T23:56:44Z</t>
  </si>
  <si>
    <t>qHaSAX-hyyM</t>
  </si>
  <si>
    <t>#behindthescenes</t>
  </si>
  <si>
    <t>2026-08-06T20:33:13Z</t>
  </si>
  <si>
    <t>UCq8DICunczvLuJJq414110A</t>
  </si>
  <si>
    <t>Zach King</t>
  </si>
  <si>
    <t>fpsVgV0X6sc</t>
  </si>
  <si>
    <t>She almost didn’t make it to the show</t>
  </si>
  <si>
    <t>HQKy1KJpSVc</t>
  </si>
  <si>
    <t>2026-07-21T13:39:00Z</t>
  </si>
  <si>
    <t>How Does Kodak Make Film? (Kodak Factory Tour Part 1 of 3) - Smarter Every Day 271</t>
  </si>
  <si>
    <t>2022-03-19T14:02:17Z</t>
  </si>
  <si>
    <t>X0wxLr5W2X8</t>
  </si>
  <si>
    <t>Which one is cake? 🍰</t>
  </si>
  <si>
    <t>2026-07-11T15:23:59Z</t>
  </si>
  <si>
    <t>7fT3fNIsrHc</t>
  </si>
  <si>
    <t>trying to find the stolen Legos #bricksandminifigs #recklessben</t>
  </si>
  <si>
    <t>2026-07-03T16:57:31Z</t>
  </si>
  <si>
    <t>XpHsEGOEdo8</t>
  </si>
  <si>
    <t>this is a message to AI</t>
  </si>
  <si>
    <t>2026-06-24T16:58:19Z</t>
  </si>
  <si>
    <t>jbvpGSCF-DI</t>
  </si>
  <si>
    <t>Worlds largest paper airplane</t>
  </si>
  <si>
    <t>2026-06-20T14:49:59Z</t>
  </si>
  <si>
    <t>vNR3noE9aCM</t>
  </si>
  <si>
    <t>How we smashed a car into my house #behindthescenes</t>
  </si>
  <si>
    <t>2026-06-17T13:59:39Z</t>
  </si>
  <si>
    <t>6UxNhdhTIZA</t>
  </si>
  <si>
    <t>World record Eating Spaghetti 🍝</t>
  </si>
  <si>
    <t>2026-06-16T13:26:07Z</t>
  </si>
  <si>
    <t>Pu97IiO_yDI</t>
  </si>
  <si>
    <t>Why Are there Holes in the James Webb Sunshield? (Explained by My Dad) - Smarter Every Day 270</t>
  </si>
  <si>
    <t>qNd2EHbWFho</t>
  </si>
  <si>
    <t>2022-03-01T05:28:36Z</t>
  </si>
  <si>
    <t>I Survived 1 Year in an Arcade!</t>
  </si>
  <si>
    <t>2026-06-13T12:00:01Z</t>
  </si>
  <si>
    <t>NOf47c048hM</t>
  </si>
  <si>
    <t>Stop ruining the movies 🍿</t>
  </si>
  <si>
    <t>2026-06-10T14:25:10Z</t>
  </si>
  <si>
    <t>LpkkkpsxZhw</t>
  </si>
  <si>
    <t>Food hack</t>
  </si>
  <si>
    <t>2026-06-03T17:29:24Z</t>
  </si>
  <si>
    <t>tOIFZ8O6Ezk</t>
  </si>
  <si>
    <t>The floating tree illusion</t>
  </si>
  <si>
    <t>2026-05-30T13:48:48Z</t>
  </si>
  <si>
    <t>BEldg6atD_M</t>
  </si>
  <si>
    <t>Don't Try This GTA Heist At Home ⛽️ #gta5 #illusion #shorts</t>
  </si>
  <si>
    <t>2026-05-25T14:36:34Z</t>
  </si>
  <si>
    <t>6tSz0Jcqex8</t>
  </si>
  <si>
    <t>LEGO Batman rarely uses the door #sponsored @WBGAMES</t>
  </si>
  <si>
    <t>2026-05-22T13:31:16Z</t>
  </si>
  <si>
    <t>bJ1M8z-u-30</t>
  </si>
  <si>
    <t>Can you fly with a leaf blower?</t>
  </si>
  <si>
    <t>2026-05-14T14:12:45Z</t>
  </si>
  <si>
    <t>ldVk_znInmg</t>
  </si>
  <si>
    <t>Ever wonder where that lost sock went? @tidelaundry</t>
  </si>
  <si>
    <t>2026-05-07T12:06:00Z</t>
  </si>
  <si>
    <t>bdDyxGoxnMY</t>
  </si>
  <si>
    <t>L9a-yhJO0Mw</t>
  </si>
  <si>
    <t>Making our way downtown…🎵</t>
  </si>
  <si>
    <t>The History of Not Forgotten - Smarter Every Day 269</t>
  </si>
  <si>
    <t>2026-05-06T14:29:38Z</t>
  </si>
  <si>
    <t>2022-02-25T18:43:39Z</t>
  </si>
  <si>
    <t>O4Eu-e53oOE</t>
  </si>
  <si>
    <t>This carpet looks like it has a hole</t>
  </si>
  <si>
    <t>2026-05-03T14:45:15Z</t>
  </si>
  <si>
    <t>3EDuXUDh9D8</t>
  </si>
  <si>
    <t>I remade Star Wars out of Cardboard</t>
  </si>
  <si>
    <t>2026-04-25T16:21:23Z</t>
  </si>
  <si>
    <t>4Mpp5tIRa5I</t>
  </si>
  <si>
    <t>The ultimate cleaning crew is hiding inside Tide evo @tidelaundry</t>
  </si>
  <si>
    <t>2026-04-17T13:49:35Z</t>
  </si>
  <si>
    <t>NYUWVjyESIQ</t>
  </si>
  <si>
    <t>Zach King VS Dude Perfect: Ultimate Trick Shots</t>
  </si>
  <si>
    <t>2026-04-14T14:07:57Z</t>
  </si>
  <si>
    <t>2lJuM_nwezE</t>
  </si>
  <si>
    <t>April Fools</t>
  </si>
  <si>
    <t>2026-04-01T13:35:36Z</t>
  </si>
  <si>
    <t>4BYFc4QT52Q</t>
  </si>
  <si>
    <t>Late again ... at least I have an iced coffee for the wait! #NescaféICEDHacks</t>
  </si>
  <si>
    <t>2026-03-26T14:27:34Z</t>
  </si>
  <si>
    <t>aoXJfuPaFF8</t>
  </si>
  <si>
    <t>Why This Zig-Zag Coast Guard Search Pattern is Actually Genius - Smarter Every Day 268</t>
  </si>
  <si>
    <t>2022-01-18T15:36:30Z</t>
  </si>
  <si>
    <t>5jhEoRZXhjE</t>
  </si>
  <si>
    <t>Banksy Identity Revealed</t>
  </si>
  <si>
    <t>2026-03-22T16:43:08Z</t>
  </si>
  <si>
    <t>iJsPWrjO4pM</t>
  </si>
  <si>
    <t>What really happens when you charge your phone…</t>
  </si>
  <si>
    <t>2026-03-14T11:19:16Z</t>
  </si>
  <si>
    <t>-lXITbp95TE</t>
  </si>
  <si>
    <t>They Remade Jurassic Park but with Dogs</t>
  </si>
  <si>
    <t>2026-03-11T04:54:16Z</t>
  </si>
  <si>
    <t>CQ4lDyuq1EI</t>
  </si>
  <si>
    <t>Bike thief caught on camera</t>
  </si>
  <si>
    <t>2026-02-20T16:41:35Z</t>
  </si>
  <si>
    <t>NPaaJxmgVLk</t>
  </si>
  <si>
    <t>Comic Book Battle</t>
  </si>
  <si>
    <t>2026-02-10T13:13:00Z</t>
  </si>
  <si>
    <t>svJlZpJ-_Hc</t>
  </si>
  <si>
    <t>This iced coffee rocks (and so does the kitchen #NescaféICEDHacks</t>
  </si>
  <si>
    <t>2026-02-05T15:03:35Z</t>
  </si>
  <si>
    <t>prN0uUvivjg</t>
  </si>
  <si>
    <t>you think this text can stop me?</t>
  </si>
  <si>
    <t>2026-01-31T15:31:19Z</t>
  </si>
  <si>
    <t>U2UIaDp5GYk</t>
  </si>
  <si>
    <t>Swipe to the beat</t>
  </si>
  <si>
    <t>2026-01-24T14:30:40Z</t>
  </si>
  <si>
    <t>HUX-LRNrsv4</t>
  </si>
  <si>
    <t>Can VFX Artists Beat AI?</t>
  </si>
  <si>
    <t>2026-01-17T12:41:54Z</t>
  </si>
  <si>
    <t>iDYb40cDhKA</t>
  </si>
  <si>
    <t>Sun Dunk</t>
  </si>
  <si>
    <t>2026-01-09T12:46:00Z</t>
  </si>
  <si>
    <t>lIzsHq-h3Bs</t>
  </si>
  <si>
    <t>Was this the driver's fault?</t>
  </si>
  <si>
    <t>2026-01-08T14:01:30Z</t>
  </si>
  <si>
    <t>xcxThQKBeIQ</t>
  </si>
  <si>
    <t>Magic 🪄 on the new @IHOP  Value Menu, available every day! #IHOPPartner</t>
  </si>
  <si>
    <t>2025-12-19T15:11:49Z</t>
  </si>
  <si>
    <t>_YHo3LQFHDw</t>
  </si>
  <si>
    <t>How I Became An Avatar</t>
  </si>
  <si>
    <t>2025-12-17T15:01:10Z</t>
  </si>
  <si>
    <t>khgpJwuLYTQ</t>
  </si>
  <si>
    <t>He broke the golf simulator</t>
  </si>
  <si>
    <t>2025-12-16T13:30:56Z</t>
  </si>
  <si>
    <t>_HygvlqWICo</t>
  </si>
  <si>
    <t>How Did He Escape This Prison Cell?</t>
  </si>
  <si>
    <t>2025-11-17T15:42:44Z</t>
  </si>
  <si>
    <t>at-xZA5U1ps</t>
  </si>
  <si>
    <t>What does a Gong Sound Like when Hit with a 1189mph Baseball? - Smarter Every Day 267</t>
  </si>
  <si>
    <t>2021-12-07T15:00:14Z</t>
  </si>
  <si>
    <t>MRFa9qBIM20</t>
  </si>
  <si>
    <t>Solve the clues, win $10,000</t>
  </si>
  <si>
    <t>2025-11-13T17:38:40Z</t>
  </si>
  <si>
    <t>LYb8jCNax_Q</t>
  </si>
  <si>
    <t>I Made an Action Movie to help my Friend Propose!</t>
  </si>
  <si>
    <t>2025-11-09T13:00:39Z</t>
  </si>
  <si>
    <t>zrXVnWrtddk</t>
  </si>
  <si>
    <t>Epic Block Tower Fail with Rumi</t>
  </si>
  <si>
    <t>2025-11-07T19:37:21Z</t>
  </si>
  <si>
    <t>HyCywNKLiGs</t>
  </si>
  <si>
    <t>Office Shredder Secrets EXPOSED</t>
  </si>
  <si>
    <t>2025-11-05T23:33:42Z</t>
  </si>
  <si>
    <t>0ezThwX7yCc</t>
  </si>
  <si>
    <t>I hide $10,000 💰 in this video</t>
  </si>
  <si>
    <t>2025-11-03T15:43:24Z</t>
  </si>
  <si>
    <t>NLnPAaBQTLI</t>
  </si>
  <si>
    <t>Footage of the Louvre Heist</t>
  </si>
  <si>
    <t>2025-10-30T14:23:50Z</t>
  </si>
  <si>
    <t>ZVaUoyabjAg</t>
  </si>
  <si>
    <t>YouTube Shorts is Changing YouTube - Smarter Every Day 266</t>
  </si>
  <si>
    <t>2021-12-01T14:00:24Z</t>
  </si>
  <si>
    <t>1aTKamA_74A</t>
  </si>
  <si>
    <t>they ran away with the MONEY</t>
  </si>
  <si>
    <t>2025-10-28T17:05:17Z</t>
  </si>
  <si>
    <t>fqKd0Qj3wDo</t>
  </si>
  <si>
    <t>How many tricks did you SPOT?</t>
  </si>
  <si>
    <t>2025-10-27T14:19:14Z</t>
  </si>
  <si>
    <t>tZLS3EZDezY</t>
  </si>
  <si>
    <t>This restaurant only has NO employees</t>
  </si>
  <si>
    <t>2025-10-24T14:30:54Z</t>
  </si>
  <si>
    <t>Ms_hO0EGBvg</t>
  </si>
  <si>
    <t>Is this REAL or AI?</t>
  </si>
  <si>
    <t>2025-10-19T14:37:48Z</t>
  </si>
  <si>
    <t>S0sK6xu-d1g</t>
  </si>
  <si>
    <t>labubu destroyed my house</t>
  </si>
  <si>
    <t>2025-10-11T14:54:12Z</t>
  </si>
  <si>
    <t>fU_pilTk624</t>
  </si>
  <si>
    <t>svx-79u-lsk</t>
  </si>
  <si>
    <t>When you call the US Coast Guard - Smarter Every Day 265</t>
  </si>
  <si>
    <t>I Made a Hidden Hideout in Costco!</t>
  </si>
  <si>
    <t>2021-11-16T02:46:19Z</t>
  </si>
  <si>
    <t>2025-10-08T12:12:01Z</t>
  </si>
  <si>
    <t>5s8mZNdYZBs</t>
  </si>
  <si>
    <t>who ate all the popsicles?</t>
  </si>
  <si>
    <t>2025-10-06T14:49:11Z</t>
  </si>
  <si>
    <t>TdAzTE-Le80</t>
  </si>
  <si>
    <t>They say there's an iced coffee at the bottom of the feed #NescaféICEDHacks</t>
  </si>
  <si>
    <t>2025-10-03T14:01:00Z</t>
  </si>
  <si>
    <t>BvAuxaO_ONI</t>
  </si>
  <si>
    <t>Zach King is a black belt 🥋</t>
  </si>
  <si>
    <t>2025-10-02T00:48:39Z</t>
  </si>
  <si>
    <t>EHflUpAxE3c</t>
  </si>
  <si>
    <t>What Happens Inside a Toaster?</t>
  </si>
  <si>
    <t>2025-09-26T11:30:23Z</t>
  </si>
  <si>
    <t>pAOCiNhQW2Y</t>
  </si>
  <si>
    <t>1,074 MPH BASEBALL vs. 1 Gallon of Mayonnaise - Smarter Every Day 264</t>
  </si>
  <si>
    <t>Yu2unRy9gJk</t>
  </si>
  <si>
    <t>2021-10-28T14:15:08Z</t>
  </si>
  <si>
    <t>Zach King’s Best Magic Videos of 2025</t>
  </si>
  <si>
    <t>2025-09-24T15:57:24Z</t>
  </si>
  <si>
    <t>hfL7T9D2zKs</t>
  </si>
  <si>
    <t>I Dropped My Rock And This Happened…</t>
  </si>
  <si>
    <t>2025-09-23T13:01:24Z</t>
  </si>
  <si>
    <t>Icb_IiauzDk</t>
  </si>
  <si>
    <t>Why I Got Banned From Beach Volleyball</t>
  </si>
  <si>
    <t>2025-09-21T16:21:59Z</t>
  </si>
  <si>
    <t>yNpMrHeNMqw</t>
  </si>
  <si>
    <t>I Tried SMASHING The Subscribe Button And This Happened</t>
  </si>
  <si>
    <t>2025-09-17T12:31:24Z</t>
  </si>
  <si>
    <t>9lxKklkBBHg</t>
  </si>
  <si>
    <t>Tourist RUINS My Perfect Zen Garden</t>
  </si>
  <si>
    <t>2025-09-15T14:24:30Z</t>
  </si>
  <si>
    <t>UeCQioSlz0w</t>
  </si>
  <si>
    <t>Cargo Ship DISASTER Caught On Camera!</t>
  </si>
  <si>
    <t>2025-09-13T12:00:57Z</t>
  </si>
  <si>
    <t>KMtrY6lbjcY</t>
  </si>
  <si>
    <t>Is Your Privacy An Illusion? (Taking on Big Tech) - Smarter Every Day 263</t>
  </si>
  <si>
    <t>FmJfIuXKsBA</t>
  </si>
  <si>
    <t>2021-10-21T14:37:16Z</t>
  </si>
  <si>
    <t>World’s BIGGEST Jenga Game with Arden Cho!</t>
  </si>
  <si>
    <t>2025-09-12T16:46:26Z</t>
  </si>
  <si>
    <t>vOdWAK0ntas</t>
  </si>
  <si>
    <t>Is Your CRYPTO Safe From This New Hack?</t>
  </si>
  <si>
    <t>2025-09-10T15:01:53Z</t>
  </si>
  <si>
    <t>tmnw_TnSRsA</t>
  </si>
  <si>
    <t>How I went Cave Diving in my Living Room</t>
  </si>
  <si>
    <t>2025-09-06T12:01:49Z</t>
  </si>
  <si>
    <t>FkdkoIuLfv0</t>
  </si>
  <si>
    <t>Parking Fail Goes Hilariously Wrong</t>
  </si>
  <si>
    <t>2025-08-29T12:03:00Z</t>
  </si>
  <si>
    <t>M6r7vqKni3Y</t>
  </si>
  <si>
    <t>Can You Hit A Golf Ball Over A House?</t>
  </si>
  <si>
    <t>4P8fKd0IVOs</t>
  </si>
  <si>
    <t>2025-08-27T12:04:00Z</t>
  </si>
  <si>
    <t>How Does The James Webb Space Telescope Work? - Smarter Every Day 262</t>
  </si>
  <si>
    <t>2021-10-01T05:15:01Z</t>
  </si>
  <si>
    <t>0njPPm3bvLo</t>
  </si>
  <si>
    <t>I Faced the ROBOT TEST and Lived to Tell</t>
  </si>
  <si>
    <t>2025-08-24T12:00:01Z</t>
  </si>
  <si>
    <t>A1xOD-7cpSA</t>
  </si>
  <si>
    <t>Our D&amp;D Game Came to Life and Got SCARY!</t>
  </si>
  <si>
    <t>2025-08-19T13:00:25Z</t>
  </si>
  <si>
    <t>yFOT-XQDupw</t>
  </si>
  <si>
    <t>Could you stop a bullet train?</t>
  </si>
  <si>
    <t>2025-08-17T11:12:00Z</t>
  </si>
  <si>
    <t>-AMqaKS2z_Y</t>
  </si>
  <si>
    <t>Thief Gets INSTANT Karma</t>
  </si>
  <si>
    <t>2025-08-15T12:00:01Z</t>
  </si>
  <si>
    <t>olUtUqluIZU</t>
  </si>
  <si>
    <t>Date Night Gone Wrong!</t>
  </si>
  <si>
    <t>2025-08-13T12:01:33Z</t>
  </si>
  <si>
    <t>DudsqgYwo3A</t>
  </si>
  <si>
    <t>Can You Text While Rock Climbing?</t>
  </si>
  <si>
    <t>2025-08-12T00:37:35Z</t>
  </si>
  <si>
    <t>1_hFKRDDP_o</t>
  </si>
  <si>
    <t>How Carburetors are Made (Basically Magic) - Holley Factory Tour | Smarter Every Day 261</t>
  </si>
  <si>
    <t>2EqC5w_8izs</t>
  </si>
  <si>
    <t>2021-08-21T04:33:53Z</t>
  </si>
  <si>
    <t>Behind the Scenes of My Most INSANE Stunts!</t>
  </si>
  <si>
    <t>2025-08-09T14:00:03Z</t>
  </si>
  <si>
    <t>-So5Pr70hMQ</t>
  </si>
  <si>
    <t>Trust me, the iced coffee turned out better than that tutorial 😉 #NESCAFÉICEDHacks</t>
  </si>
  <si>
    <t>2025-07-31T14:24:52Z</t>
  </si>
  <si>
    <t>2AD7LThWRRg</t>
  </si>
  <si>
    <t>Cybertruck Secret Features you STILL don't know about...</t>
  </si>
  <si>
    <t>2025-07-20T13:09:00Z</t>
  </si>
  <si>
    <t>t7mU_k4qNic</t>
  </si>
  <si>
    <t>Note to self, don’t bring art to life. #promopartner @thesketchmovie</t>
  </si>
  <si>
    <t>2025-07-10T14:58:56Z</t>
  </si>
  <si>
    <t>XFJnWp1tAdU</t>
  </si>
  <si>
    <t>How to Surface a Submarine in the Arctic Ocean  - Smarter Every Day 260</t>
  </si>
  <si>
    <t>ivF__Pc72vU</t>
  </si>
  <si>
    <t>2021-07-30T21:26:13Z</t>
  </si>
  <si>
    <t>What if a painting gets hungry?</t>
  </si>
  <si>
    <t>2025-06-25T14:06:55Z</t>
  </si>
  <si>
    <t>Pnd6LCyiHIU</t>
  </si>
  <si>
    <t>Mission Impossible or Zach King??</t>
  </si>
  <si>
    <t>2025-06-21T13:00:55Z</t>
  </si>
  <si>
    <t>9zKSfK96kC8</t>
  </si>
  <si>
    <t>Hibachi DISASTER with Nick DiGiovanni</t>
  </si>
  <si>
    <t>2025-06-19T13:00:30Z</t>
  </si>
  <si>
    <t>E42SbfFcPCA</t>
  </si>
  <si>
    <t>If Zach King made Barbenheimer</t>
  </si>
  <si>
    <t>2025-06-17T16:42:37Z</t>
  </si>
  <si>
    <t>ZX-eolBj-Ss</t>
  </si>
  <si>
    <t>This Explosion Cost Me $10,000</t>
  </si>
  <si>
    <t>2025-06-11T14:31:46Z</t>
  </si>
  <si>
    <t>toVfvRhWbj8</t>
  </si>
  <si>
    <t>How Does A Carburetor Work? | Transparent Carburetor at 28,546 fps Slow Mo - Smarter Every Day 259</t>
  </si>
  <si>
    <t>2021-06-30T16:01:11Z</t>
  </si>
  <si>
    <t>mLYGbS8fp-k</t>
  </si>
  <si>
    <t>Summer Camp Gone Wrong</t>
  </si>
  <si>
    <t>2025-06-10T14:23:37Z</t>
  </si>
  <si>
    <t>C9Lphh3zQms</t>
  </si>
  <si>
    <t>This AI prompt took forever to get right</t>
  </si>
  <si>
    <t>2025-06-09T17:23:14Z</t>
  </si>
  <si>
    <t>k7rFMSLdWhQ</t>
  </si>
  <si>
    <t>Worlds Biggest Donut rolls downhill 🍩</t>
  </si>
  <si>
    <t>2025-05-28T14:20:05Z</t>
  </si>
  <si>
    <t>53TTzpQgFVc</t>
  </si>
  <si>
    <t>Haters will say it’s Redstone generated</t>
  </si>
  <si>
    <t>2025-05-20T23:14:23Z</t>
  </si>
  <si>
    <t>hjIMl7blxao</t>
  </si>
  <si>
    <t>Mom, I made it! I'm on a billboard! 🤩 ☕ #NescaféIcedHacks</t>
  </si>
  <si>
    <t>2025-05-15T14:00:23Z</t>
  </si>
  <si>
    <t>TCxoZlFqzwA</t>
  </si>
  <si>
    <t>How Does Film ACTUALLY Work? (It's MAGIC)  [Photos and Development] - Smarter Every Day 258</t>
  </si>
  <si>
    <t>2021-06-13T21:14:30Z</t>
  </si>
  <si>
    <t>TRLkATwIb2A</t>
  </si>
  <si>
    <t>tung tung tung tung sahur</t>
  </si>
  <si>
    <t>2025-05-15T00:40:31Z</t>
  </si>
  <si>
    <t>XNjKSrOdMCQ</t>
  </si>
  <si>
    <t>May the 4th be with you 🌌</t>
  </si>
  <si>
    <t>2025-05-03T15:37:07Z</t>
  </si>
  <si>
    <t>jzKyk5h6iwo</t>
  </si>
  <si>
    <t>Cat destroys school</t>
  </si>
  <si>
    <t>2025-04-29T14:00:27Z</t>
  </si>
  <si>
    <t>ogNodbk0KfE</t>
  </si>
  <si>
    <t>The Ice Bucket Challenge 🧊 🥶</t>
  </si>
  <si>
    <t>2025-04-23T14:19:51Z</t>
  </si>
  <si>
    <t>WhoTThwc-qA</t>
  </si>
  <si>
    <t>Creeper! Awww man…</t>
  </si>
  <si>
    <t>2025-04-17T11:20:00Z</t>
  </si>
  <si>
    <t>vm7SNR3zgPc</t>
  </si>
  <si>
    <t>Day 191 of my Afternoon Routine</t>
  </si>
  <si>
    <t>MUaTOoVmg1Q</t>
  </si>
  <si>
    <t>2025-04-09T14:03:03Z</t>
  </si>
  <si>
    <t>Exploding Weed Seeds (28,546 fps Slow Motion)- Smarter Every Day 257</t>
  </si>
  <si>
    <t>2021-05-30T14:00:14Z</t>
  </si>
  <si>
    <t>rVwpWnO9Mh0</t>
  </si>
  <si>
    <t>I used my magic to surprise a theater full of families seeing @KingofKingsAnimation</t>
  </si>
  <si>
    <t>2025-04-05T14:14:08Z</t>
  </si>
  <si>
    <t>1xh4a979PWY</t>
  </si>
  <si>
    <t>I did this Morning Routine for 191 days…</t>
  </si>
  <si>
    <t>2025-04-03T13:36:49Z</t>
  </si>
  <si>
    <t>uw_l4WCzW-M</t>
  </si>
  <si>
    <t>I didn’t know he was chill like that</t>
  </si>
  <si>
    <t>2025-03-20T11:20:01Z</t>
  </si>
  <si>
    <t>wpvF84VjMQg</t>
  </si>
  <si>
    <t>The Vintage Photo Comes Alive</t>
  </si>
  <si>
    <t>2025-03-16T14:13:44Z</t>
  </si>
  <si>
    <t>4BYU9AOx_xI</t>
  </si>
  <si>
    <t>Stranded in a Cave</t>
  </si>
  <si>
    <t>2025-03-10T18:30:31Z</t>
  </si>
  <si>
    <t>Zim-wv4_zSA</t>
  </si>
  <si>
    <t>NPCs when you enter render distance:</t>
  </si>
  <si>
    <t>2025-03-01T12:20:00Z</t>
  </si>
  <si>
    <t>SYFuA3xnkUE</t>
  </si>
  <si>
    <t>wDbcD_tdZvc</t>
  </si>
  <si>
    <t>How to Poop on a Nuclear Submarine - Smarter Every Day 256</t>
  </si>
  <si>
    <t>@Daxflame technically never tapped out…</t>
  </si>
  <si>
    <t>2021-05-09T14:00:20Z</t>
  </si>
  <si>
    <t>2025-02-25T12:54:58Z</t>
  </si>
  <si>
    <t>cNCwGw3U-Ys</t>
  </si>
  <si>
    <t>3D Chalk Art! Put to the test! 🎨🖌️ #art #chalk #chalkart</t>
  </si>
  <si>
    <t>2025-02-23T15:18:07Z</t>
  </si>
  <si>
    <t>RPrW39XFjDk</t>
  </si>
  <si>
    <t>How Cryptocurrency ACTUALLY Works</t>
  </si>
  <si>
    <t>2025-02-23T00:27:42Z</t>
  </si>
  <si>
    <t>qncX0xYtZ0Q</t>
  </si>
  <si>
    <t>Why does everything have a tip!?</t>
  </si>
  <si>
    <t>2025-02-18T18:09:15Z</t>
  </si>
  <si>
    <t>IVMN_jWWPfI</t>
  </si>
  <si>
    <t>Love is as old as time 💕</t>
  </si>
  <si>
    <t>2025-02-13T18:10:43Z</t>
  </si>
  <si>
    <t>ZXvHGTVvCXo</t>
  </si>
  <si>
    <t>Setting my stuff on FIRE</t>
  </si>
  <si>
    <t>2025-02-11T17:56:57Z</t>
  </si>
  <si>
    <t>flmkQZvN_g8</t>
  </si>
  <si>
    <t>What happens when 2 Weedeaters Hit Each Other? (28,000 fps SLOW MOTION)  - Smarter Every Day 255</t>
  </si>
  <si>
    <t>2021-04-30T01:02:05Z</t>
  </si>
  <si>
    <t>c8yjUrGQzW0</t>
  </si>
  <si>
    <t>I Built a SECRET Magic Movie Room | ULTIMATE Hide and Seek</t>
  </si>
  <si>
    <t>2025-02-08T14:09:00Z</t>
  </si>
  <si>
    <t>2n5hn33PFWo</t>
  </si>
  <si>
    <t>I definitely CHEATED #rubikscube</t>
  </si>
  <si>
    <t>2025-02-03T23:07:51Z</t>
  </si>
  <si>
    <t>5iQScF1nomE</t>
  </si>
  <si>
    <t>i should’ve hand squeezed some almond milk</t>
  </si>
  <si>
    <t>2025-01-29T12:20:00Z</t>
  </si>
  <si>
    <t>wlTbdSjTSqo</t>
  </si>
  <si>
    <t>Police fooled by magician 🚨👀</t>
  </si>
  <si>
    <t>2025-01-22T20:01:00Z</t>
  </si>
  <si>
    <t>2FBZbmfDqoo</t>
  </si>
  <si>
    <t>TikTok Got BANNED 😭</t>
  </si>
  <si>
    <t>2025-01-19T04:15:14Z</t>
  </si>
  <si>
    <t>JO0UbmjDDI0</t>
  </si>
  <si>
    <t>I GOT CAUGHT 😭😣😩</t>
  </si>
  <si>
    <t>2025-01-18T12:00:22Z</t>
  </si>
  <si>
    <t>zKNlPrEQwPY</t>
  </si>
  <si>
    <t>I Looked Inside A Live  Egg ....  Smarter Every Day 254</t>
  </si>
  <si>
    <t>2021-04-18T13:00:31Z</t>
  </si>
  <si>
    <t>ANXOsZH4Vmc</t>
  </si>
  <si>
    <t>It’s been real, it’s been fun, it’s been real fun 😔</t>
  </si>
  <si>
    <t>2025-01-18T05:36:38Z</t>
  </si>
  <si>
    <t>ZpD-rDt2eDk</t>
  </si>
  <si>
    <t>TIKTOK IS GETTING BANNED!! pt. 5</t>
  </si>
  <si>
    <t>2025-01-15T19:59:44Z</t>
  </si>
  <si>
    <t>ghoDmKomhCM</t>
  </si>
  <si>
    <t>TIKTOK IS GETTING BANNED!! pt. 4</t>
  </si>
  <si>
    <t>2025-01-15T19:58:00Z</t>
  </si>
  <si>
    <t>6d8nZWF6cek</t>
  </si>
  <si>
    <t>TIKTOK IS GETTING BANNED!! pt. 3</t>
  </si>
  <si>
    <t>2025-01-15T19:56:00Z</t>
  </si>
  <si>
    <t>OY2jWA2sYLI</t>
  </si>
  <si>
    <t>TIKTOK IS GETTING BANNED!! pt. 1</t>
  </si>
  <si>
    <t>2025-01-15T19:55:00Z</t>
  </si>
  <si>
    <t>WGvKclmutpM</t>
  </si>
  <si>
    <t>TIKTOK IS GETTING BANNED!! pt. 2</t>
  </si>
  <si>
    <t>SWCQr4MruFM</t>
  </si>
  <si>
    <t>Ms65JBrevYU</t>
  </si>
  <si>
    <t>Scaring my team</t>
  </si>
  <si>
    <t>The Mystery of Magnetic Worms - Smarter Every Day 253</t>
  </si>
  <si>
    <t>2025-01-14T22:03:57Z</t>
  </si>
  <si>
    <t>2021-03-31T14:28:27Z</t>
  </si>
  <si>
    <t>_VLlvxKQCqU</t>
  </si>
  <si>
    <t>WHY is the ice cream machine always BROKEN</t>
  </si>
  <si>
    <t>2025-01-05T19:11:18Z</t>
  </si>
  <si>
    <t>vxKlmtZCx5s</t>
  </si>
  <si>
    <t>If people could teleport</t>
  </si>
  <si>
    <t>2024-12-28T16:21:50Z</t>
  </si>
  <si>
    <t>AiQJZ4dgyms</t>
  </si>
  <si>
    <t>Bringing a Military Dad Home for Christmas</t>
  </si>
  <si>
    <t>2024-12-22T18:34:03Z</t>
  </si>
  <si>
    <t>aw8kRZEvh_s</t>
  </si>
  <si>
    <t>usxvZSIvTh4</t>
  </si>
  <si>
    <t>How Does NASA Practice Landing on the Moon? - Smarter Every Day 252</t>
  </si>
  <si>
    <t>How Zach King Sound Effects are Made</t>
  </si>
  <si>
    <t>2021-03-07T14:03:29Z</t>
  </si>
  <si>
    <t>2024-12-19T15:17:09Z</t>
  </si>
  <si>
    <t>M8CkT0kQcU4</t>
  </si>
  <si>
    <t>How Snowglobes are really made</t>
  </si>
  <si>
    <t>2024-12-15T15:19:50Z</t>
  </si>
  <si>
    <t>AdUerkY_e3Y</t>
  </si>
  <si>
    <t>Porch Pirates get WRECKED</t>
  </si>
  <si>
    <t>2024-12-11T15:46:53Z</t>
  </si>
  <si>
    <t>nLhgpHUwtQw</t>
  </si>
  <si>
    <t>He could identify the DIRT</t>
  </si>
  <si>
    <t>2024-12-06T15:04:30Z</t>
  </si>
  <si>
    <t>6Mtfis3p4ls</t>
  </si>
  <si>
    <t>#StateFarmPartner Tis the season🌲❄️ to be a good neighbor @statefarm</t>
  </si>
  <si>
    <t>2024-12-02T14:47:42Z</t>
  </si>
  <si>
    <t>TStKl6s_oUo</t>
  </si>
  <si>
    <t>Zach King’s Best Magic Videos of 2024</t>
  </si>
  <si>
    <t>2024-11-30T12:00:39Z</t>
  </si>
  <si>
    <t>PFlSRwIZ8EM</t>
  </si>
  <si>
    <t>I'm sure they're fine 😅🌱</t>
  </si>
  <si>
    <t>2024-11-26T20:19:06Z</t>
  </si>
  <si>
    <t>g3Ud6mHdhlQ</t>
  </si>
  <si>
    <t>How Do Nuclear Submarines Make Oxygen?- Smarter Every Day 251</t>
  </si>
  <si>
    <t>2021-02-21T14:00:10Z</t>
  </si>
  <si>
    <t>psnfySnzeRo</t>
  </si>
  <si>
    <t>When will Bitcoin Hit 100k?</t>
  </si>
  <si>
    <t>2024-11-21T14:06:09Z</t>
  </si>
  <si>
    <t>JdPIts7RgUM</t>
  </si>
  <si>
    <t>I BROKE AIRDROP 👀👀</t>
  </si>
  <si>
    <t>2024-11-18T19:20:46Z</t>
  </si>
  <si>
    <t>AnwPF6nZj7Y</t>
  </si>
  <si>
    <t>I Survived My Most EXTREME Video Yet | 24 Hour Alaska MAGIC Challenge</t>
  </si>
  <si>
    <t>2024-11-16T16:30:05Z</t>
  </si>
  <si>
    <t>ys5re4kXW1I</t>
  </si>
  <si>
    <t>I swear I didn't mean to 🥺😏</t>
  </si>
  <si>
    <t>2024-11-13T12:01:16Z</t>
  </si>
  <si>
    <t>_OXk4RKZhaY</t>
  </si>
  <si>
    <t>How Neil Armstrong Trained to Land on the Moon  - Smarter Every Day 250</t>
  </si>
  <si>
    <t>2021-01-30T19:52:44Z</t>
  </si>
  <si>
    <t>NFMqcsBtY30</t>
  </si>
  <si>
    <t>Does this qualify for workers comp? 🤕⚡️</t>
  </si>
  <si>
    <t>2024-11-11T19:41:12Z</t>
  </si>
  <si>
    <t>Z5fnnWTVTrI</t>
  </si>
  <si>
    <t>Would you vacuum this up?</t>
  </si>
  <si>
    <t>2024-11-10T15:41:15Z</t>
  </si>
  <si>
    <t>OZ2jP_DiS24</t>
  </si>
  <si>
    <t>That could have gone better 😅</t>
  </si>
  <si>
    <t>2024-11-06T12:00:34Z</t>
  </si>
  <si>
    <t>lT7pXGR7npU</t>
  </si>
  <si>
    <t>THANK YOU FOR 40M SUBS ❤️</t>
  </si>
  <si>
    <t>2024-11-02T12:05:01Z</t>
  </si>
  <si>
    <t>uYIWSSQNV4w</t>
  </si>
  <si>
    <t>How to Hack Daylight Savings… 🥱</t>
  </si>
  <si>
    <t>2024-11-02T11:01:07Z</t>
  </si>
  <si>
    <t>U1ITx9lOCRE</t>
  </si>
  <si>
    <t>Mario vs Candy Criminal</t>
  </si>
  <si>
    <t>2024-10-31T19:24:39Z</t>
  </si>
  <si>
    <t>AqqaYs7LjlM</t>
  </si>
  <si>
    <t>How Sonar Works (Submarine Shadow Zone) - Smarter Every Day 249</t>
  </si>
  <si>
    <t>2020-12-26T16:03:40Z</t>
  </si>
  <si>
    <t>ZkOFum69vqg</t>
  </si>
  <si>
    <t>THERE COULD ONLY BE ONE 😈</t>
  </si>
  <si>
    <t>2024-10-29T17:05:55Z</t>
  </si>
  <si>
    <t>vgn90nv4BFA</t>
  </si>
  <si>
    <t>Shadow magic gone WRONG 😟🔥</t>
  </si>
  <si>
    <t>2024-10-26T13:01:09Z</t>
  </si>
  <si>
    <t>tU6pFUTJtAk</t>
  </si>
  <si>
    <t>BONE-AFIDE Magic 💀</t>
  </si>
  <si>
    <t>2024-10-24T13:01:08Z</t>
  </si>
  <si>
    <t>1LVC2T6gN_8</t>
  </si>
  <si>
    <t>Who Am I? - The Zach King Story</t>
  </si>
  <si>
    <t>2024-10-24T12:00:01Z</t>
  </si>
  <si>
    <t>56BynqqAJgI</t>
  </si>
  <si>
    <t>My drawing CAME TO LIFE 🤯</t>
  </si>
  <si>
    <t>2024-10-23T16:32:08Z</t>
  </si>
  <si>
    <t>SCUQfIDE5R0</t>
  </si>
  <si>
    <t>aK5AnViPkJ0</t>
  </si>
  <si>
    <t>He Tried the Do Re Mi Challenge</t>
  </si>
  <si>
    <t>How to Harvest Pecans (In Slow Motion) - Smarter Every Day 248</t>
  </si>
  <si>
    <t>2024-10-21T14:45:39Z</t>
  </si>
  <si>
    <t>2020-12-06T14:00:01Z</t>
  </si>
  <si>
    <t>t39Lrm022m4</t>
  </si>
  <si>
    <t>FIRST cold plunge, did not go as expected 🥶</t>
  </si>
  <si>
    <t>2024-10-16T13:19:40Z</t>
  </si>
  <si>
    <t>-zHV0mIU--4</t>
  </si>
  <si>
    <t>It’s gone FORVER 🥺👉🏼👈🏼</t>
  </si>
  <si>
    <t>2024-10-14T11:20:00Z</t>
  </si>
  <si>
    <t>XQyxCMHHp-o</t>
  </si>
  <si>
    <t>Gone Fishing</t>
  </si>
  <si>
    <t>2024-10-12T13:59:45Z</t>
  </si>
  <si>
    <t>tK-7uKKvNFY</t>
  </si>
  <si>
    <t>Best way to deal with SPAM 😤😡</t>
  </si>
  <si>
    <t>2024-10-12T11:20:00Z</t>
  </si>
  <si>
    <t>RjZBp7m6vwg</t>
  </si>
  <si>
    <t>Did he just eat plastic? 🤢</t>
  </si>
  <si>
    <t>2024-10-11T11:20:00Z</t>
  </si>
  <si>
    <t>4I-p8vjQ95s</t>
  </si>
  <si>
    <t>Trying to Catch a 1,000 MPH Baseball - Smarter Every Day 247</t>
  </si>
  <si>
    <t>2020-11-12T14:55:58Z</t>
  </si>
  <si>
    <t>-7mUMEE6D_s</t>
  </si>
  <si>
    <t>Was this too much?? 😳🫢</t>
  </si>
  <si>
    <t>2024-10-10T11:20:00Z</t>
  </si>
  <si>
    <t>IUVfdNqH-ic</t>
  </si>
  <si>
    <t>RC Helicopter Trick</t>
  </si>
  <si>
    <t>2024-10-08T13:50:27Z</t>
  </si>
  <si>
    <t>NLwtaeRQIoQ</t>
  </si>
  <si>
    <t>TRY THIS AT HOME ‼️⚠️🎃</t>
  </si>
  <si>
    <t>2024-10-08T11:20:00Z</t>
  </si>
  <si>
    <t>cJAA8JTbm4g</t>
  </si>
  <si>
    <t>They were TRICK Candles 🔥</t>
  </si>
  <si>
    <t>2024-10-07T21:35:36Z</t>
  </si>
  <si>
    <t>xJB8u-Ge0do</t>
  </si>
  <si>
    <t>I tried Garbage Collection</t>
  </si>
  <si>
    <t>2024-10-04T12:02:00Z</t>
  </si>
  <si>
    <t>vXIsntxzBdk</t>
  </si>
  <si>
    <t>bPJUVKizh90</t>
  </si>
  <si>
    <t>Can you spot the Chameleon?</t>
  </si>
  <si>
    <t>How to Make Pizza on a Submarine - Smarter Every Day 246</t>
  </si>
  <si>
    <t>2024-10-01T19:08:38Z</t>
  </si>
  <si>
    <t>2020-11-01T17:10:34Z</t>
  </si>
  <si>
    <t>SCMug7Tl6Iw</t>
  </si>
  <si>
    <t>Foreshadowing is a literary device…</t>
  </si>
  <si>
    <t>2024-10-01T13:09:00Z</t>
  </si>
  <si>
    <t>n1xyaEqqZoU</t>
  </si>
  <si>
    <t>Zach King's BEST Magic Videos of ALL TIME</t>
  </si>
  <si>
    <t>2024-09-28T15:31:40Z</t>
  </si>
  <si>
    <t>Sg3VrBWhmEQ</t>
  </si>
  <si>
    <t>Always wondered how it was done 🤔</t>
  </si>
  <si>
    <t>2024-09-28T11:20:00Z</t>
  </si>
  <si>
    <t>2Ix428YLSOc</t>
  </si>
  <si>
    <t>VFX Secrets Professionals Don't Want You to Know</t>
  </si>
  <si>
    <t>2024-09-27T11:21:00Z</t>
  </si>
  <si>
    <t>fKtctcNexMU</t>
  </si>
  <si>
    <t>Trees grow on money now?? 🌳</t>
  </si>
  <si>
    <t>6zHegXvEwdI</t>
  </si>
  <si>
    <t>2024-09-26T13:09:00Z</t>
  </si>
  <si>
    <t>Explosive Bat in Slow Motion Ft. Stuff Made Here - Smarter Every Day 245</t>
  </si>
  <si>
    <t>2020-10-18T13:00:01Z</t>
  </si>
  <si>
    <t>ONxcUN432hw</t>
  </si>
  <si>
    <t>Strike? 🎳</t>
  </si>
  <si>
    <t>2024-09-25T13:09:00Z</t>
  </si>
  <si>
    <t>ZIcx-iRZG4E</t>
  </si>
  <si>
    <t>Time is free, yet priceless…</t>
  </si>
  <si>
    <t>2024-09-22T13:09:00Z</t>
  </si>
  <si>
    <t>BKhvGR0xl5s</t>
  </si>
  <si>
    <t>SMASHING a pool full of ORBEEZ 💥</t>
  </si>
  <si>
    <t>2024-09-21T11:20:00Z</t>
  </si>
  <si>
    <t>UHfHLLfGHGs</t>
  </si>
  <si>
    <t>🚨EXPOSING🚨 ZACH KING MAGIC 🪄</t>
  </si>
  <si>
    <t>2024-09-20T11:20:00Z</t>
  </si>
  <si>
    <t>QNM-lO6SHgQ</t>
  </si>
  <si>
    <t>Got Water? 💧</t>
  </si>
  <si>
    <t>2024-09-19T12:25:01Z</t>
  </si>
  <si>
    <t>ajK1QMP7ZyI</t>
  </si>
  <si>
    <t>How to Fight Fire or Flooding on a Nuclear Submarine - Smarter Every Day 244</t>
  </si>
  <si>
    <t>WrFNCkCTce0</t>
  </si>
  <si>
    <t>2020-10-04T13:00:01Z</t>
  </si>
  <si>
    <t>Really hit us with the Michael Jordan pose 🏀</t>
  </si>
  <si>
    <t>2024-09-18T13:09:00Z</t>
  </si>
  <si>
    <t>RdDzFuX1b1s</t>
  </si>
  <si>
    <t>The gardeners are going to love this…</t>
  </si>
  <si>
    <t>2024-09-17T12:05:00Z</t>
  </si>
  <si>
    <t>WP9q_SoD1Pk</t>
  </si>
  <si>
    <t>To think we went from rocks to Bluetooth 🪨</t>
  </si>
  <si>
    <t>2024-09-16T13:09:00Z</t>
  </si>
  <si>
    <t>JNLJZUcSykA</t>
  </si>
  <si>
    <t>JASON DERULO Sigma Rizz vs Ohio Rizz</t>
  </si>
  <si>
    <t>2024-09-15T13:09:00Z</t>
  </si>
  <si>
    <t>YfbZV7u3kMM</t>
  </si>
  <si>
    <t>He got PRANKED 😱🥤</t>
  </si>
  <si>
    <t>2024-09-15T10:20:55Z</t>
  </si>
  <si>
    <t>g_30TaTpU2I</t>
  </si>
  <si>
    <t>Perfect Toast EVERY time 🍞</t>
  </si>
  <si>
    <t>2024-09-13T11:20:00Z</t>
  </si>
  <si>
    <t>aS0u_8heYc8</t>
  </si>
  <si>
    <t>QlTf5X0MKbg</t>
  </si>
  <si>
    <t>It’s really simple actually…</t>
  </si>
  <si>
    <t>Navy SEAL Astronauts - Smarter Every Day 243</t>
  </si>
  <si>
    <t>2024-09-12T12:55:00Z</t>
  </si>
  <si>
    <t>2020-09-27T14:15:23Z</t>
  </si>
  <si>
    <t>ZkHz73eAE8g</t>
  </si>
  <si>
    <t>Ice Bear would appreciate some cheese 🧀</t>
  </si>
  <si>
    <t>2024-09-11T11:20:00Z</t>
  </si>
  <si>
    <t>iPADP0iLfTk</t>
  </si>
  <si>
    <t>Where did that city come from?? 😱🤔</t>
  </si>
  <si>
    <t>2024-09-10T11:20:00Z</t>
  </si>
  <si>
    <t>lJcTCcUJK0I</t>
  </si>
  <si>
    <t>They asked to see a magic trick</t>
  </si>
  <si>
    <t>2024-09-09T14:42:50Z</t>
  </si>
  <si>
    <t>BjWELohWM-c</t>
  </si>
  <si>
    <t>How did he get in there?</t>
  </si>
  <si>
    <t>2024-09-08T11:18:00Z</t>
  </si>
  <si>
    <t>jkzLNjB8KEw</t>
  </si>
  <si>
    <t>The 👑 is up for grabs! #challenge</t>
  </si>
  <si>
    <t>2024-09-07T13:38:54Z</t>
  </si>
  <si>
    <t>cqidD7kVnxY</t>
  </si>
  <si>
    <t>World's Fastest Pitch - Supersonic Baseball Cannon - Smarter Every Day 242</t>
  </si>
  <si>
    <t>2020-09-06T15:38:12Z</t>
  </si>
  <si>
    <t>fJXMq7YbHak</t>
  </si>
  <si>
    <t>Ranking My MOST VIRAL Sports Videos</t>
  </si>
  <si>
    <t>2024-09-07T13:00:44Z</t>
  </si>
  <si>
    <t>FGFtFtk6MhE</t>
  </si>
  <si>
    <t>Can you spot the continuity mistake?? 🔍</t>
  </si>
  <si>
    <t>2024-09-06T13:09:00Z</t>
  </si>
  <si>
    <t>97qgw4qA0GM</t>
  </si>
  <si>
    <t>I ❤️ 🌽</t>
  </si>
  <si>
    <t>2024-09-05T12:30:07Z</t>
  </si>
  <si>
    <t>WFTQLLXE1Vw</t>
  </si>
  <si>
    <t>“It seems your luggage was lost in transit” ✈️</t>
  </si>
  <si>
    <t>2024-09-04T11:20:00Z</t>
  </si>
  <si>
    <t>bJn_CJa6Js4</t>
  </si>
  <si>
    <t>A storybook destination! 🌍📖 ✈️  #Lucerne</t>
  </si>
  <si>
    <t>2024-09-03T14:00:46Z</t>
  </si>
  <si>
    <t>Q6saU9KnJSU</t>
  </si>
  <si>
    <t>Does anyone still use these things?</t>
  </si>
  <si>
    <t>2024-09-02T16:11:09Z</t>
  </si>
  <si>
    <t>UYEyhB0AGlw</t>
  </si>
  <si>
    <t>Crawling Down A Torpedo Tube -US NAVY Nuclear Submarine - Smarter Every Day 241</t>
  </si>
  <si>
    <t>2020-08-16T13:00:41Z</t>
  </si>
  <si>
    <t>9q8osIXs4v0</t>
  </si>
  <si>
    <t>What if this really existed?</t>
  </si>
  <si>
    <t>2024-09-01T23:08:33Z</t>
  </si>
  <si>
    <t>AGP-Z1SR9E8</t>
  </si>
  <si>
    <t>They had no idea what was about to happen! 😂</t>
  </si>
  <si>
    <t>2024-08-31T14:18:54Z</t>
  </si>
  <si>
    <t>5DfUuuHByJE</t>
  </si>
  <si>
    <t>The Leather Shop</t>
  </si>
  <si>
    <t>2024-08-28T16:33:32Z</t>
  </si>
  <si>
    <t>g5yElilYUN4</t>
  </si>
  <si>
    <t>the mailman didn't know he was on camera</t>
  </si>
  <si>
    <t>2024-08-26T12:04:00Z</t>
  </si>
  <si>
    <t>NieV-3G4Syw</t>
  </si>
  <si>
    <t>Please Don't Duet This</t>
  </si>
  <si>
    <t>2024-08-25T15:17:20Z</t>
  </si>
  <si>
    <t>VeWpNBh1-Qw</t>
  </si>
  <si>
    <t>RXXMJAU6vY8</t>
  </si>
  <si>
    <t>Don’t take your eyes off the laundry 👀 🧺</t>
  </si>
  <si>
    <t>Boarding a US NAVY NUCLEAR SUBMARINE in the Arctic - Smarter Every Day 240</t>
  </si>
  <si>
    <t>2024-08-20T14:52:23Z</t>
  </si>
  <si>
    <t>2020-07-26T14:57:41Z</t>
  </si>
  <si>
    <t>oIphBFQ0oks</t>
  </si>
  <si>
    <t>We’ll never get this set ready in time 😩🎨</t>
  </si>
  <si>
    <t>2024-08-09T17:05:36Z</t>
  </si>
  <si>
    <t>MFtZBGSaln4</t>
  </si>
  <si>
    <t>We never talk about the people in the buildings 🤨</t>
  </si>
  <si>
    <t>2024-08-01T13:09:00Z</t>
  </si>
  <si>
    <t>NGGbzy81cDs</t>
  </si>
  <si>
    <t>How to STEAL Selena Gomez's look! 💅</t>
  </si>
  <si>
    <t>2024-07-30T12:09:00Z</t>
  </si>
  <si>
    <t>x0c2fmm0Wtw</t>
  </si>
  <si>
    <t>Huge surge wave nearly takes out the ocean cafe</t>
  </si>
  <si>
    <t>2024-07-26T15:26:17Z</t>
  </si>
  <si>
    <t>0Ii-uXzl_YE</t>
  </si>
  <si>
    <t>Crossing the Most Dangerous Crosswalk</t>
  </si>
  <si>
    <t>5fZRRfai1bs</t>
  </si>
  <si>
    <t>2024-07-20T14:41:35Z</t>
  </si>
  <si>
    <t>Everything about Sea Turtles  - Smarter Every Day 239</t>
  </si>
  <si>
    <t>2020-07-13T23:31:09Z</t>
  </si>
  <si>
    <t>hPaVnJw3nrc</t>
  </si>
  <si>
    <t>How to beat the traffic in #Zurich 🚤</t>
  </si>
  <si>
    <t>2024-07-16T13:09:00Z</t>
  </si>
  <si>
    <t>R-LvmQdw4ao</t>
  </si>
  <si>
    <t>Good thing you’re watching this on YouTube 😮‍💨</t>
  </si>
  <si>
    <t>2024-07-14T11:20:00Z</t>
  </si>
  <si>
    <t>FdkXmy42Qv8</t>
  </si>
  <si>
    <t>Playing hide and seek with my dog 🐶</t>
  </si>
  <si>
    <t>2024-07-13T12:02:46Z</t>
  </si>
  <si>
    <t>OT6wk_Xrkto</t>
  </si>
  <si>
    <t>The guy who walked in front of the camera was a paid actor…</t>
  </si>
  <si>
    <t>2024-07-11T13:09:00Z</t>
  </si>
  <si>
    <t>apdTcSZTtnY</t>
  </si>
  <si>
    <t>“Don’t wrap your car in camo” they said🙄</t>
  </si>
  <si>
    <t>2024-07-10T13:09:00Z</t>
  </si>
  <si>
    <t>Dy55X4QaAAU</t>
  </si>
  <si>
    <t>Which Shape CUTS BEST? (Weed Eater Line at 100,000 Frames Per Second) - Smarter Every Day 238</t>
  </si>
  <si>
    <t>2020-06-28T15:43:13Z</t>
  </si>
  <si>
    <t>UsM8alHAgGQ</t>
  </si>
  <si>
    <t>A magician never reveals his secrets 🪄</t>
  </si>
  <si>
    <t>2024-07-09T13:09:00Z</t>
  </si>
  <si>
    <t>wfqmCM5oHgA</t>
  </si>
  <si>
    <t>Works 33% of the time, every time.</t>
  </si>
  <si>
    <t>2024-07-08T11:20:02Z</t>
  </si>
  <si>
    <t>mX8hOwsCWPE</t>
  </si>
  <si>
    <t>Only 1% of people can track the ball 🎾</t>
  </si>
  <si>
    <t>2024-07-06T16:25:37Z</t>
  </si>
  <si>
    <t>qVQVFKqt08c</t>
  </si>
  <si>
    <t>Steve Kornacki analyzes results from South Carolina's GOP Senate runoff | Kornacki Cam | NBC News</t>
  </si>
  <si>
    <t>2026-08-24T17:56:44Z</t>
  </si>
  <si>
    <t>UCeY0bbntWzzVIaj2z3QigXg</t>
  </si>
  <si>
    <t>NBC News</t>
  </si>
  <si>
    <t>News</t>
  </si>
  <si>
    <t>f_bHurecirQ</t>
  </si>
  <si>
    <t>Everton Blair wins in Georgia’s 13th District special election, NBC News projects </t>
  </si>
  <si>
    <t>2026-08-26T01:21:39Z</t>
  </si>
  <si>
    <t>NJ6S-9WUHIo</t>
  </si>
  <si>
    <t>Graham wins South Carolina Republican Senate primary runoff, NBC News projects</t>
  </si>
  <si>
    <t>5d6SEQQbwtU</t>
  </si>
  <si>
    <t>2026-08-26T01:16:24Z</t>
  </si>
  <si>
    <t>N1Rzb-KL4SM</t>
  </si>
  <si>
    <t>Top Story with Tom Llamas - Aug. 25 | NBC News NOW</t>
  </si>
  <si>
    <t>2026-08-26T01:15:54Z</t>
  </si>
  <si>
    <t>3aU7SXyAI5c</t>
  </si>
  <si>
    <t>Fans gather at Dolly Parton's statue in her hometown </t>
  </si>
  <si>
    <t>2026-08-26T01:13:21Z</t>
  </si>
  <si>
    <t>How I Boarded a US NAVY NUCLEAR SUBMARINE in the Arctic (ICEX 2020) - Smarter Every Day 237</t>
  </si>
  <si>
    <t>2020-06-14T15:04:00Z</t>
  </si>
  <si>
    <t>fFeh4-EKAE0</t>
  </si>
  <si>
    <t>Sen. Darline Graham wins the GOP Senate primary runoff</t>
  </si>
  <si>
    <t>2026-08-26T01:11:28Z</t>
  </si>
  <si>
    <t>7gwqNzJlc0U</t>
  </si>
  <si>
    <t>Stay Tuned NOW Streaming Behind The Scenes! - Aug 25</t>
  </si>
  <si>
    <t>2026-08-26T01:04:18Z</t>
  </si>
  <si>
    <t>lFBZc0f7SxM</t>
  </si>
  <si>
    <t>Georgia town honors Dolly Parton and Carl Dean's love story</t>
  </si>
  <si>
    <t>2026-08-26T00:57:36Z</t>
  </si>
  <si>
    <t>tbeVcR9OWek</t>
  </si>
  <si>
    <t>Hallie Jackson NOW - Aug. 25 | NBC News NOW</t>
  </si>
  <si>
    <t>2026-08-26T00:54:41Z</t>
  </si>
  <si>
    <t>E6utMFXobpE</t>
  </si>
  <si>
    <t>Fires tear through parts of Texas and Nevada</t>
  </si>
  <si>
    <t>2026-08-26T00:52:35Z</t>
  </si>
  <si>
    <t>gpvvWojWXY8</t>
  </si>
  <si>
    <t>Study: 1 in 4 NFL players who died in 5-year span had CTE</t>
  </si>
  <si>
    <t>2026-08-26T00:51:43Z</t>
  </si>
  <si>
    <t>Z-n615ES-8s</t>
  </si>
  <si>
    <t>Carson Daly reflects on Dolly Parton's career</t>
  </si>
  <si>
    <t>2026-08-26T00:40:24Z</t>
  </si>
  <si>
    <t>_RsJwcjH_xk</t>
  </si>
  <si>
    <t>Dolly Parton: Remembering the life, legacy and lyrics of an American icon</t>
  </si>
  <si>
    <t>2026-08-26T00:35:30Z</t>
  </si>
  <si>
    <t>7BUOYLdx_48</t>
  </si>
  <si>
    <t>Remembering Dolly Parton, in her own words</t>
  </si>
  <si>
    <t>2026-08-26T00:02:27Z</t>
  </si>
  <si>
    <t>YjYCZyeQVgA</t>
  </si>
  <si>
    <t>Hundreds evacuated as Texas wildfire explodes</t>
  </si>
  <si>
    <t>2026-08-26T00:00:45Z</t>
  </si>
  <si>
    <t>4Mjp3ppD0xY</t>
  </si>
  <si>
    <t>Dolly Parton’s legacy as a philanthropist</t>
  </si>
  <si>
    <t>2026-08-25T23:59:34Z</t>
  </si>
  <si>
    <t>Zztql7hZgxo</t>
  </si>
  <si>
    <t>Fans mourn the passing of music legend Dolly Parton</t>
  </si>
  <si>
    <t>2026-08-25T23:57:49Z</t>
  </si>
  <si>
    <t>7siNTSBLggk</t>
  </si>
  <si>
    <t>Country music legend Dolly Parton dies at 80</t>
  </si>
  <si>
    <t>2026-08-25T23:55:56Z</t>
  </si>
  <si>
    <t>dgm02Ib4a64</t>
  </si>
  <si>
    <t>Trump admin. threatens Kennedy Center demolition</t>
  </si>
  <si>
    <t>2026-08-25T23:50:27Z</t>
  </si>
  <si>
    <t>upnUMzKdonY</t>
  </si>
  <si>
    <t>Target apologizes for clown costume after backlash</t>
  </si>
  <si>
    <t>2026-08-25T23:34:23Z</t>
  </si>
  <si>
    <t>xxH3Y5nvKMk</t>
  </si>
  <si>
    <t>Prosecution challenges Clancy's claims with final witnesses</t>
  </si>
  <si>
    <t>2026-08-25T23:25:40Z</t>
  </si>
  <si>
    <t>aDQHg15a1GI</t>
  </si>
  <si>
    <t>Escalating Israeli strikes kill several people across Gaza</t>
  </si>
  <si>
    <t>2026-08-25T23:13:09Z</t>
  </si>
  <si>
    <t>_I09J6kjDf8</t>
  </si>
  <si>
    <t>CIA director makes an unannounced trip to Moscow for talks, source says</t>
  </si>
  <si>
    <t>2026-08-25T22:53:11Z</t>
  </si>
  <si>
    <t>8teaB2oILwQ</t>
  </si>
  <si>
    <t>Last witness in Clancy trial takes the stand</t>
  </si>
  <si>
    <t>2026-08-25T22:52:45Z</t>
  </si>
  <si>
    <t>GF6yrAaNFRs</t>
  </si>
  <si>
    <t>Federal judge rejects Ghislaine Maxwell's request to toss sex trafficking conviction</t>
  </si>
  <si>
    <t>zdA58_LbpeM</t>
  </si>
  <si>
    <t>White House lowers U.S. flag to honor Dolly Parton</t>
  </si>
  <si>
    <t>2026-08-25T22:52:44Z</t>
  </si>
  <si>
    <t>7fstWeIRYo0</t>
  </si>
  <si>
    <t>Target facing backlash over children's clown costume</t>
  </si>
  <si>
    <t>2026-08-25T22:50:04Z</t>
  </si>
  <si>
    <t>je5mm07oDXo</t>
  </si>
  <si>
    <t>Meet the Press NOW — August 25</t>
  </si>
  <si>
    <t>2026-08-25T22:09:14Z</t>
  </si>
  <si>
    <t>1EtapqWhKPw</t>
  </si>
  <si>
    <t>S1opkMO1w4U</t>
  </si>
  <si>
    <t>Canada Retaliates in Trade War, the Battle Over Mail-In Ballots and Dolly Parton’s Legacy | Aug. 25</t>
  </si>
  <si>
    <t>How Weed Eaters Work (at 62,000 FRAMES PER SECOND) - Smarter Every Day 236</t>
  </si>
  <si>
    <t>2026-08-25T22:07:18Z</t>
  </si>
  <si>
    <t>2020-05-31T15:34:49Z</t>
  </si>
  <si>
    <t>atM5JjH4Thw</t>
  </si>
  <si>
    <t>LIVE: NBC News NOW - Aug. 25</t>
  </si>
  <si>
    <t>2026-08-25T21:56:05Z</t>
  </si>
  <si>
    <t>HPyZV9JkK_0</t>
  </si>
  <si>
    <t>LIVE: Day 21 of Lindsay Clancy murder trial | NBC News</t>
  </si>
  <si>
    <t>2026-08-25T21:44:44Z</t>
  </si>
  <si>
    <t>hlpl-A3ccP0</t>
  </si>
  <si>
    <t>Kornacki previews key counties in the South Carolina runoff between Darline Graham &amp; Ralph Norman</t>
  </si>
  <si>
    <t>2026-08-25T21:15:56Z</t>
  </si>
  <si>
    <t>MEwSMYUzFmU</t>
  </si>
  <si>
    <t>Canada’s trade minister: ‘We’re not waiting by the phone’ as tariff war escalates</t>
  </si>
  <si>
    <t>2026-08-25T21:07:42Z</t>
  </si>
  <si>
    <t>jIYCR3dsgNc</t>
  </si>
  <si>
    <t>Fans honor Dolly Parton at her hometown statue</t>
  </si>
  <si>
    <t>2026-08-25T21:05:12Z</t>
  </si>
  <si>
    <t>f8I8LHRbTY4</t>
  </si>
  <si>
    <t>2014: Dolly Parton reflects on releasing her 42nd album</t>
  </si>
  <si>
    <t>2026-08-25T20:52:54Z</t>
  </si>
  <si>
    <t>Nr_dft1GMp0</t>
  </si>
  <si>
    <t>Fans and fellow artists post tributes to Dolly Parton</t>
  </si>
  <si>
    <t>p1PgNbgWSyY</t>
  </si>
  <si>
    <t>2026-08-25T20:44:40Z</t>
  </si>
  <si>
    <t>GOING SUPERSONIC with U.S. Air Force Thunderbirds! Pulling 7 G's in an F-16 -Smarter Every Day 235</t>
  </si>
  <si>
    <t>2020-05-18T21:55:08Z</t>
  </si>
  <si>
    <t>iCvmTgi1CRk</t>
  </si>
  <si>
    <t>LIVE: Day 20 of Lindsay Clancy murder trial | NBC News</t>
  </si>
  <si>
    <t>2026-08-25T20:17:40Z</t>
  </si>
  <si>
    <t>5ExTsknVEH8</t>
  </si>
  <si>
    <t>Eyewitness video shows terrifying power of French tornado</t>
  </si>
  <si>
    <t>2026-08-25T20:17:05Z</t>
  </si>
  <si>
    <t>1FfmZQUZ7ug</t>
  </si>
  <si>
    <t>2000: Dolly Parton celebrates Dollywood's 15th anniversary</t>
  </si>
  <si>
    <t>2026-08-25T20:16:19Z</t>
  </si>
  <si>
    <t>pG9K7_tlJx0</t>
  </si>
  <si>
    <t>1989: Dolly Parton on her 'Steel Magnolias' character</t>
  </si>
  <si>
    <t>2026-08-25T20:05:08Z</t>
  </si>
  <si>
    <t>ChGA8nZJ85g</t>
  </si>
  <si>
    <t>Music legend Dolly Parton dies at 80</t>
  </si>
  <si>
    <t>2026-08-25T19:47:11Z</t>
  </si>
  <si>
    <t>k2ceROPHYnA</t>
  </si>
  <si>
    <t>BREAKING: Country music legend Dolly Parton dies at 80</t>
  </si>
  <si>
    <t>2026-08-25T19:13:44Z</t>
  </si>
  <si>
    <t>f1trJj_mAxc</t>
  </si>
  <si>
    <t>Looking back on Dolly Parton's groundbreaking career and music legacy</t>
  </si>
  <si>
    <t>2026-08-25T18:38:27Z</t>
  </si>
  <si>
    <t>b_54LR0mRCM</t>
  </si>
  <si>
    <t>What we know about Dolly Parton's health struggles in her final days</t>
  </si>
  <si>
    <t>2026-08-25T18:35:41Z</t>
  </si>
  <si>
    <t>XT5j4aFyfec</t>
  </si>
  <si>
    <t>4LWmRuB-uNU</t>
  </si>
  <si>
    <t>Dolly Parton, country music icon, dies at 80</t>
  </si>
  <si>
    <t>I Didn't know Birds use Math in Murmurations! - Smarter Every Day 234</t>
  </si>
  <si>
    <t>2026-08-25T18:30:23Z</t>
  </si>
  <si>
    <t>2020-04-27T13:26:36Z</t>
  </si>
  <si>
    <t>KgkFU7bjzLQ</t>
  </si>
  <si>
    <t>Dolly Parton has died, her family announces</t>
  </si>
  <si>
    <t>2026-08-25T18:27:32Z</t>
  </si>
  <si>
    <t>ronY4wb1JOM</t>
  </si>
  <si>
    <t>Multiple killed in Montana shooting and house fire</t>
  </si>
  <si>
    <t>2026-08-25T18:16:48Z</t>
  </si>
  <si>
    <t>yklGi5Ld1pc</t>
  </si>
  <si>
    <t>Multiple dead, including children, after Montana shooting and house fire</t>
  </si>
  <si>
    <t>2026-08-25T18:03:24Z</t>
  </si>
  <si>
    <t>RAX9vZuSc94</t>
  </si>
  <si>
    <t>Full Episode: TODAY Show - Aug. 25</t>
  </si>
  <si>
    <t>2026-08-25T18:00:06Z</t>
  </si>
  <si>
    <t>AxWYjpqsElE</t>
  </si>
  <si>
    <t>Current with Christine Romans – Aug. 25 | NBC News NOW</t>
  </si>
  <si>
    <t>2026-08-25T17:43:59Z</t>
  </si>
  <si>
    <t>1d5iZmAuq3E</t>
  </si>
  <si>
    <t>Forensic psychologist testifies Lindsay Clancy is 'criminally responsible' for children's deaths</t>
  </si>
  <si>
    <t>2026-08-25T17:28:45Z</t>
  </si>
  <si>
    <t>eNcRR4gzSuE</t>
  </si>
  <si>
    <t>Canada retaliates, adding new tariffs on $20B of goods</t>
  </si>
  <si>
    <t>2026-08-25T17:04:16Z</t>
  </si>
  <si>
    <t>sbEj7M3aZIg</t>
  </si>
  <si>
    <t>We Made Face Shields - Smarter Every Day 233</t>
  </si>
  <si>
    <t>2020-04-07T16:01:32Z</t>
  </si>
  <si>
    <t>DtiafP9doiI</t>
  </si>
  <si>
    <t>Canada announces new tariffs on the U.S. as trade tensions rise</t>
  </si>
  <si>
    <t>2026-08-25T16:56:03Z</t>
  </si>
  <si>
    <t>oVQjW6Qjvv0</t>
  </si>
  <si>
    <t>Morning News NOW Full Episode – Aug. 25</t>
  </si>
  <si>
    <t>2026-08-25T16:36:24Z</t>
  </si>
  <si>
    <t>RZcg3K6moGY</t>
  </si>
  <si>
    <t>Clancy witness has made $54K from state</t>
  </si>
  <si>
    <t>2026-08-25T16:15:40Z</t>
  </si>
  <si>
    <t>PaSVU-WAkUE</t>
  </si>
  <si>
    <t>Two deaths reported in Pennsylvania measles outbreak</t>
  </si>
  <si>
    <t>2026-08-25T15:33:05Z</t>
  </si>
  <si>
    <t>aBQGMkICQKo</t>
  </si>
  <si>
    <t>Trump administration looks to revoke visas of up to 200,000 people</t>
  </si>
  <si>
    <t>2026-08-25T15:31:43Z</t>
  </si>
  <si>
    <t>fU5DwgSz6E4</t>
  </si>
  <si>
    <t>soYkEqDp760</t>
  </si>
  <si>
    <t>Judge rejects Ghislaine Maxwell’s bid to overturn conviction</t>
  </si>
  <si>
    <t>Reddit Disinformation &amp; How We Beat It Together - Smarter Every Day 232</t>
  </si>
  <si>
    <t>2026-08-25T15:11:53Z</t>
  </si>
  <si>
    <t>2020-03-25T17:03:58Z</t>
  </si>
  <si>
    <t>xnhXyYvhG94</t>
  </si>
  <si>
    <t>Trump proposes renaming Lake Ontario to 'Lake America'</t>
  </si>
  <si>
    <t>2026-08-25T15:10:46Z</t>
  </si>
  <si>
    <t>sKevEnhSxD8</t>
  </si>
  <si>
    <t>Tesla drivers sleep with driver assistance programs engaged</t>
  </si>
  <si>
    <t>2026-08-25T15:07:25Z</t>
  </si>
  <si>
    <t>ndk1-jmM3Ps</t>
  </si>
  <si>
    <t>Brendan Hunt on the future of 'Ted Lasso' and how a rejection led him to get Coach Beard</t>
  </si>
  <si>
    <t>2026-08-25T14:34:40Z</t>
  </si>
  <si>
    <t>30J8mVRGXvY</t>
  </si>
  <si>
    <t>Residents lose homes as firefighters battle Hawk Fire</t>
  </si>
  <si>
    <t>2026-08-25T12:09:07Z</t>
  </si>
  <si>
    <t>hwHWEbQHqco</t>
  </si>
  <si>
    <t>This Morning’s Top Headlines – Aug. 25 | Morning News NOW</t>
  </si>
  <si>
    <t>2026-08-25T11:59:18Z</t>
  </si>
  <si>
    <t>o0fG_lnVhHw</t>
  </si>
  <si>
    <t>BtzShd8mwDY</t>
  </si>
  <si>
    <t>HOW ROCKETS ARE MADE (Rocket Factory Tour - United Launch Alliance) - Smarter Every Day 231</t>
  </si>
  <si>
    <t>Economic “D-Day” for Iran; Why Vigilantes are Vandalizing Flock Cameras | Aug. 24</t>
  </si>
  <si>
    <t>2026-08-25T11:50:36Z</t>
  </si>
  <si>
    <t>adDm1DWz7ZI</t>
  </si>
  <si>
    <t>Dust devil swirls through an Alabama softball game</t>
  </si>
  <si>
    <t>2026-08-25T10:13:07Z</t>
  </si>
  <si>
    <t>2020-02-29T19:25:15Z</t>
  </si>
  <si>
    <t>IGU6nU6R8WQ</t>
  </si>
  <si>
    <t>Russian arena says Kanye West concerts will not happen</t>
  </si>
  <si>
    <t>2026-08-25T09:28:14Z</t>
  </si>
  <si>
    <t>uiiWgskoExQ</t>
  </si>
  <si>
    <t>Climbers rescued from a central California cliffside</t>
  </si>
  <si>
    <t>2026-08-25T08:40:58Z</t>
  </si>
  <si>
    <t>sv1gJb2Zrl4</t>
  </si>
  <si>
    <t>Box truck flips as strong storms reach Louisiana</t>
  </si>
  <si>
    <t>2026-08-25T06:41:03Z</t>
  </si>
  <si>
    <t>_zSBOvBzq1M</t>
  </si>
  <si>
    <t>California attorney general canceled talks with Paramount</t>
  </si>
  <si>
    <t>2026-08-25T04:21:23Z</t>
  </si>
  <si>
    <t>AlFwTiWhvRo</t>
  </si>
  <si>
    <t>Train operator appears to nod off before crash</t>
  </si>
  <si>
    <t>2026-08-25T03:50:43Z</t>
  </si>
  <si>
    <t>Q4TFugNS7Pk</t>
  </si>
  <si>
    <t>Man arrested after entering St. Louis Zoo tiger enclosure</t>
  </si>
  <si>
    <t>2026-08-25T03:49:43Z</t>
  </si>
  <si>
    <t>KHcuwX-6HwE</t>
  </si>
  <si>
    <t>Florida lifeguard saves his own family after boat crash</t>
  </si>
  <si>
    <t>2026-08-25T02:24:38Z</t>
  </si>
  <si>
    <t>e7iei7pBRtg</t>
  </si>
  <si>
    <t>NBC Nightly News Full Episode - Aug. 24</t>
  </si>
  <si>
    <t>2026-08-25T02:00:27Z</t>
  </si>
  <si>
    <t>QIcTYPAiadE</t>
  </si>
  <si>
    <t>Inside Colombia: Two weeks since 7.4 magnitude earthquake rocked the country</t>
  </si>
  <si>
    <t>2026-08-25T01:58:56Z</t>
  </si>
  <si>
    <t>Q_F9CxSmGOM</t>
  </si>
  <si>
    <t>World's Longest Home Run (The "Mad Batter" Machine) - Smarter Every Day 230</t>
  </si>
  <si>
    <t>2020-01-01T05:58:06Z</t>
  </si>
  <si>
    <t>2NPN--LE6-k</t>
  </si>
  <si>
    <t>Top Story with Tom Llamas - Aug. 24 | NBC News NOW</t>
  </si>
  <si>
    <t>2026-08-25T01:49:40Z</t>
  </si>
  <si>
    <t>chg_MXkMolY</t>
  </si>
  <si>
    <t>Amazon’s steering wheel-free robotaxi expands to more cities</t>
  </si>
  <si>
    <t>2026-08-25T01:38:07Z</t>
  </si>
  <si>
    <t>B1zXquNijdg</t>
  </si>
  <si>
    <t>Stay Tuned NOW Streaming Behind The Scenes! - Aug 24</t>
  </si>
  <si>
    <t>2026-08-25T01:06:28Z</t>
  </si>
  <si>
    <t>F0nj7a4K2cY</t>
  </si>
  <si>
    <t>Thousands in Gary, Indiana still without power</t>
  </si>
  <si>
    <t>2026-08-25T01:04:53Z</t>
  </si>
  <si>
    <t>QjMViKUdTGw</t>
  </si>
  <si>
    <t>Hallie Jackson NOW - Aug. 24 | NBC News NOW</t>
  </si>
  <si>
    <t>2026-08-25T01:04:20Z</t>
  </si>
  <si>
    <t>ks1nGMXK67I</t>
  </si>
  <si>
    <t>Judge warns prosecution not to bring up Clancy's Catholic faith</t>
  </si>
  <si>
    <t>2026-08-25T01:04:06Z</t>
  </si>
  <si>
    <t>9hpUP86kM38</t>
  </si>
  <si>
    <t>Tens of thousands evacuate from Nevada’s Hawk Fire</t>
  </si>
  <si>
    <t>2026-08-25T00:33:47Z</t>
  </si>
  <si>
    <t>IucUXlM2qy0</t>
  </si>
  <si>
    <t>Police rush into Uber to chase fleeing suspect</t>
  </si>
  <si>
    <t>2026-08-25T00:25:34Z</t>
  </si>
  <si>
    <t>QeBc2nFVXl8</t>
  </si>
  <si>
    <t>Mystery unfolding underground in New York City</t>
  </si>
  <si>
    <t>2026-08-25T00:24:57Z</t>
  </si>
  <si>
    <t>V7Fpi7xtBZ4</t>
  </si>
  <si>
    <t>49ers Owner Arrested in Prostitution Sting</t>
  </si>
  <si>
    <t>ozIKwGt38LQ</t>
  </si>
  <si>
    <t>2026-08-25T00:24:24Z</t>
  </si>
  <si>
    <t>Breaking Into a Smart Home With A Laser - Smarter Every Day 229</t>
  </si>
  <si>
    <t>2019-12-26T16:02:12Z</t>
  </si>
  <si>
    <t>fTKsUScIx4s</t>
  </si>
  <si>
    <t>Clancy defense attorney reacts to mistrial denial</t>
  </si>
  <si>
    <t>2026-08-24T23:58:19Z</t>
  </si>
  <si>
    <t>evIrtlDSx88</t>
  </si>
  <si>
    <t>People in Gary, Indiana without power for 13 days</t>
  </si>
  <si>
    <t>2026-08-24T23:50:30Z</t>
  </si>
  <si>
    <t>DPIUL8dwKak</t>
  </si>
  <si>
    <t>2026-08-24T23:50:20Z</t>
  </si>
  <si>
    <t>wQoF-IvpLII</t>
  </si>
  <si>
    <t>Hero lifeguard rushes in to save own family</t>
  </si>
  <si>
    <t>2026-08-24T23:49:21Z</t>
  </si>
  <si>
    <t>fxZggn2T37g</t>
  </si>
  <si>
    <t>SCOTUS allows Trump’s mail-in ballot executive order</t>
  </si>
  <si>
    <t>2026-08-24T23:44:28Z</t>
  </si>
  <si>
    <t>VyCMcioz-jo</t>
  </si>
  <si>
    <t>Police rush into Uber to chase fleeing suspect </t>
  </si>
  <si>
    <t>2026-08-24T23:39:38Z</t>
  </si>
  <si>
    <t>Zjp0nCdq0pc</t>
  </si>
  <si>
    <t>Ten of thousands evacuated from Nevada wildfire</t>
  </si>
  <si>
    <t>2026-08-24T23:38:14Z</t>
  </si>
  <si>
    <t>-R2gNBu3Zu4</t>
  </si>
  <si>
    <t>In win for Trump, Supreme Court backs restrictions on mail-in ballots</t>
  </si>
  <si>
    <t>M2w3NZzPwOM</t>
  </si>
  <si>
    <t>2026-08-24T23:36:58Z</t>
  </si>
  <si>
    <t>Why Snatch Blocks are AWESOME (How Pulleys Work)  - Smarter Every Day 228</t>
  </si>
  <si>
    <t>2019-12-05T15:01:04Z</t>
  </si>
  <si>
    <t>aP-itmrVqcg</t>
  </si>
  <si>
    <t>2026-08-24T23:35:35Z</t>
  </si>
  <si>
    <t>fWjNPl1Wz4k</t>
  </si>
  <si>
    <t>2026-08-24T23:33:12Z</t>
  </si>
  <si>
    <t>Pwi6bZYULiM</t>
  </si>
  <si>
    <t>What is postpartum psychosis? The condition is at the center of the Lindsay Clancy trial</t>
  </si>
  <si>
    <t>2026-08-24T23:03:13Z</t>
  </si>
  <si>
    <t>z08gvdFugFU</t>
  </si>
  <si>
    <t>Secret Service responds to reports of Iranian threat against Trump's son Barron</t>
  </si>
  <si>
    <t>2026-08-24T22:45:31Z</t>
  </si>
  <si>
    <t>UHbgB1KgDOg</t>
  </si>
  <si>
    <t>State fair swing: Plenty of fun, healthy competition and unusual food</t>
  </si>
  <si>
    <t>2026-08-24T22:45:27Z</t>
  </si>
  <si>
    <t>WMUNNo0qCug</t>
  </si>
  <si>
    <t>Four Georgia police department employees arrested after alleged misuse of Flock cameras</t>
  </si>
  <si>
    <t>2026-08-24T22:16:21Z</t>
  </si>
  <si>
    <t>eA8uqtKANWM</t>
  </si>
  <si>
    <t>Supreme Court allows Trump's mail-in ballot order to go into effect</t>
  </si>
  <si>
    <t>2026-08-24T21:57:51Z</t>
  </si>
  <si>
    <t>yBBjoM60FoQ</t>
  </si>
  <si>
    <t>7bsuXsxX950</t>
  </si>
  <si>
    <t>Judge in Lindsay Clancy case denies defense's motion for mistrial after witness brings up religion</t>
  </si>
  <si>
    <t>2026-08-24T21:47:31Z</t>
  </si>
  <si>
    <t>How to Plant 20 MILLION TREES - Smarter Every Day 227 #TeamTrees</t>
  </si>
  <si>
    <t>2019-10-25T19:03:38Z</t>
  </si>
  <si>
    <t>sBwbAQRMGVs</t>
  </si>
  <si>
    <t>Meet the Press NOW — August 24</t>
  </si>
  <si>
    <t>2026-08-24T21:47:30Z</t>
  </si>
  <si>
    <t>XyWSBoLEfFg</t>
  </si>
  <si>
    <t>The opposing narratives in the Lindsay Clancy trial</t>
  </si>
  <si>
    <t>2026-08-24T21:37:20Z</t>
  </si>
  <si>
    <t>prr2ZqIobsc</t>
  </si>
  <si>
    <t>Video shows huge tornado over southern France</t>
  </si>
  <si>
    <t>2026-08-24T21:15:28Z</t>
  </si>
  <si>
    <t>49ZuV-znso4</t>
  </si>
  <si>
    <t>U.S. must be ‘very, very careful’ about Iran sanctions that target Beijing: Former Amb. to China</t>
  </si>
  <si>
    <t>2026-08-24T21:06:11Z</t>
  </si>
  <si>
    <t>G1OMyTqmCFE</t>
  </si>
  <si>
    <t>Lindsay Clancy's lawyer scolds witness for smiling</t>
  </si>
  <si>
    <t>2026-08-24T21:05:23Z</t>
  </si>
  <si>
    <t>3rSU4_DMo50</t>
  </si>
  <si>
    <t>Voter concerns about data centers ‘cuts across party lines’ ahead of midterms</t>
  </si>
  <si>
    <t>2026-08-24T21:01:35Z</t>
  </si>
  <si>
    <t>53pp1pPbl3M</t>
  </si>
  <si>
    <t>49ers owner pleads no contest to two misdemeanor charges</t>
  </si>
  <si>
    <t>2026-08-24T20:55:27Z</t>
  </si>
  <si>
    <t>pG-vQOD_SlE</t>
  </si>
  <si>
    <t>California attorney general cancels Paramount merger talks</t>
  </si>
  <si>
    <t>2026-08-24T20:54:38Z</t>
  </si>
  <si>
    <t>HA9NGNL7UAM</t>
  </si>
  <si>
    <t>Enes Kanter Freedom ejected from WNBA game</t>
  </si>
  <si>
    <t>2026-08-24T20:17:01Z</t>
  </si>
  <si>
    <t>PD1qGCtHu6M</t>
  </si>
  <si>
    <t>LIVE: Lindsay Clancy trial resumes after defense rests its case | NBC News</t>
  </si>
  <si>
    <t>2026-08-24T19:57:56Z</t>
  </si>
  <si>
    <t>M4-L8UgPkOk</t>
  </si>
  <si>
    <t>Which Way Will the Water Go? (ft. Steve Mould)- Smarter Every Day 226</t>
  </si>
  <si>
    <t>2019-10-13T13:30:14Z</t>
  </si>
  <si>
    <t>Q1lAHWs_Wvg</t>
  </si>
  <si>
    <t>Veteran who served three tours in Iraq facing possible deportation</t>
  </si>
  <si>
    <t>2026-08-24T19:57:40Z</t>
  </si>
  <si>
    <t>g0w109uZkdE</t>
  </si>
  <si>
    <t>Three people emerge from manhole near Penn Station</t>
  </si>
  <si>
    <t>2026-08-24T19:42:45Z</t>
  </si>
  <si>
    <t>iTELU-sXOc4</t>
  </si>
  <si>
    <t>LIVE: Trump holds back-to-school event at the White House | NBC News</t>
  </si>
  <si>
    <t>2026-08-24T19:08:13Z</t>
  </si>
  <si>
    <t>mzxnbCjyv8M</t>
  </si>
  <si>
    <t>Full Episode: TODAY Show - Aug. 24</t>
  </si>
  <si>
    <t>2026-08-24T18:59:54Z</t>
  </si>
  <si>
    <t>AL9adjxcGy4</t>
  </si>
  <si>
    <t>Humanoid robot fails weightlifting test at Beijing games</t>
  </si>
  <si>
    <t>2026-08-24T18:56:36Z</t>
  </si>
  <si>
    <t>L_JGiZmZ9qQ</t>
  </si>
  <si>
    <t>Serena Williams to play with Carlos Alcaraz in return to US Open</t>
  </si>
  <si>
    <t>2026-08-24T18:38:13Z</t>
  </si>
  <si>
    <t>wqx1Ndo7OzA</t>
  </si>
  <si>
    <t>Good News: Grandson surprises grandparents during vow renewal for 60th anniversary</t>
  </si>
  <si>
    <t>2026-08-24T18:35:49Z</t>
  </si>
  <si>
    <t>fAaG9RYHqiw</t>
  </si>
  <si>
    <t>Recent graduates struggle to launch careers in toughest job market in years</t>
  </si>
  <si>
    <t>2026-08-24T18:34:53Z</t>
  </si>
  <si>
    <t>Lh0x54GC1sw</t>
  </si>
  <si>
    <t>The Gun Detector - Smarter Every Day 225</t>
  </si>
  <si>
    <t>joN3YPMLM18</t>
  </si>
  <si>
    <t>2019-09-29T13:13:27Z</t>
  </si>
  <si>
    <t>Bessent pressures countries to cut economic ties with Iran</t>
  </si>
  <si>
    <t>2026-08-24T18:27:41Z</t>
  </si>
  <si>
    <t>_j4T8Nzzub0</t>
  </si>
  <si>
    <t>How the new U.S. sanctions on Iran could affect China</t>
  </si>
  <si>
    <t>2026-08-24T17:55:00Z</t>
  </si>
  <si>
    <t>UVeAf_XN5yA</t>
  </si>
  <si>
    <t>Zelenskyy takes Independence Day selfie with veteran</t>
  </si>
  <si>
    <t>2026-08-24T17:47:52Z</t>
  </si>
  <si>
    <t>n1lxhbuT_-Q</t>
  </si>
  <si>
    <t>BREAKING: Bessent announces new Iranian sanctions in 'Operation Economic Outcast'</t>
  </si>
  <si>
    <t>2026-08-24T17:40:33Z</t>
  </si>
  <si>
    <t>ccqsSVDqnng</t>
  </si>
  <si>
    <t>LIVE: Treasury Secretary Bessent details economic sanctions against Iran | NBC News</t>
  </si>
  <si>
    <t>2026-08-24T17:40:28Z</t>
  </si>
  <si>
    <t>X_IrgDziEp0</t>
  </si>
  <si>
    <t>Current with Christine Romans – Aug. 24 | NBC News NOW</t>
  </si>
  <si>
    <t>2026-08-24T17:39:35Z</t>
  </si>
  <si>
    <t>Gwjl8Y03Z18</t>
  </si>
  <si>
    <t>Sec. Bessent threatens new Iran secondary sanctions</t>
  </si>
  <si>
    <t>2026-08-24T17:39:24Z</t>
  </si>
  <si>
    <t>4gibcRfp4zA</t>
  </si>
  <si>
    <t>This is Music On An Oscilloscope - (Drawing with Sound) - Smarter Every Day 224</t>
  </si>
  <si>
    <t>050i3of3eu8</t>
  </si>
  <si>
    <t>2019-09-01T02:47:12Z</t>
  </si>
  <si>
    <t>Psychiatrist clashes with Clancy attorney on definition of postpartum psychosis</t>
  </si>
  <si>
    <t>2026-08-24T16:12:34Z</t>
  </si>
  <si>
    <t>810AnV6YgGg</t>
  </si>
  <si>
    <t>Former NBA player ejected from WNBA game after confrontation</t>
  </si>
  <si>
    <t>2026-08-24T16:07:36Z</t>
  </si>
  <si>
    <t>s0OBcM54Ics</t>
  </si>
  <si>
    <t>Sean Grayson, former deputy convicted of fatally shooting Sonya Massey, dies in prison</t>
  </si>
  <si>
    <t>2026-08-24T16:02:36Z</t>
  </si>
  <si>
    <t>Gu5ybi2Rn9E</t>
  </si>
  <si>
    <t>Trump threatens to raise auto, truck and metal tariffs on Canada</t>
  </si>
  <si>
    <t>2026-08-24T15:58:44Z</t>
  </si>
  <si>
    <t>91DHsRkQarc</t>
  </si>
  <si>
    <t>Morning News NOW Full Episode – Aug. 24</t>
  </si>
  <si>
    <t>2026-08-24T15:57:04Z</t>
  </si>
  <si>
    <t>Gom9XUylu8s</t>
  </si>
  <si>
    <t>dI-JW2UIAG0</t>
  </si>
  <si>
    <t>Former deputy who fatally shot Sonya Massey dies in prison</t>
  </si>
  <si>
    <t>How did NASA Steer the Saturn V?- Smarter Every Day 223</t>
  </si>
  <si>
    <t>2026-08-24T15:44:49Z</t>
  </si>
  <si>
    <t>2019-08-08T01:29:42Z</t>
  </si>
  <si>
    <t>8xmtfh9MPVE</t>
  </si>
  <si>
    <t>Graham and Norman to face off in South Carolina election</t>
  </si>
  <si>
    <t>2026-08-24T13:54:13Z</t>
  </si>
  <si>
    <t>r7429KB7dws</t>
  </si>
  <si>
    <t>This Morning’s Top Headlines – Aug. 24 | Morning News NOW</t>
  </si>
  <si>
    <t>2026-08-24T12:00:30Z</t>
  </si>
  <si>
    <t>yO83VIVqBg4</t>
  </si>
  <si>
    <t>Dozens of attacks reported across southern Thailand</t>
  </si>
  <si>
    <t>2026-08-24T10:57:45Z</t>
  </si>
  <si>
    <t>N5MpDvGfro0</t>
  </si>
  <si>
    <t>Still Serving: Inside the Most Bombed McDonald’s in The World</t>
  </si>
  <si>
    <t>2026-08-24T10:00:22Z</t>
  </si>
  <si>
    <t>rgnYetSclWM</t>
  </si>
  <si>
    <t>Harry and Meghan set to make a return to the U.K.</t>
  </si>
  <si>
    <t>2026-08-24T09:40:34Z</t>
  </si>
  <si>
    <t>2gcTK7gTLno</t>
  </si>
  <si>
    <t>New York woman describes violent attack at the Grand Canyon</t>
  </si>
  <si>
    <t>2026-08-24T07:25:21Z</t>
  </si>
  <si>
    <t>w927Nby1LSo</t>
  </si>
  <si>
    <t>Dallas Cowboys star CeeDee Lamb’s home burglarized</t>
  </si>
  <si>
    <t>2026-08-24T03:56:05Z</t>
  </si>
  <si>
    <t>lcWSrIiR1tY</t>
  </si>
  <si>
    <t>TK32dZ50sKM</t>
  </si>
  <si>
    <t>160TB Server with Linus! (From Linus Tech Tips) - Smarter Every Day 222</t>
  </si>
  <si>
    <t>100-pound bear falls out of tree after tranquilization</t>
  </si>
  <si>
    <t>2019-07-30T19:52:58Z</t>
  </si>
  <si>
    <t>2026-08-24T03:52:39Z</t>
  </si>
  <si>
    <t>MFtGjgDuSks</t>
  </si>
  <si>
    <t>Officials describe Nevada’s Hawk Fire as human-caused</t>
  </si>
  <si>
    <t>2026-08-24T01:29:30Z</t>
  </si>
  <si>
    <t>CkpL2QlWkYo</t>
  </si>
  <si>
    <t>NBC Nightly News Full Episode - Aug. 23</t>
  </si>
  <si>
    <t>2026-08-24T00:55:47Z</t>
  </si>
  <si>
    <t>vD51fykV9Lg</t>
  </si>
  <si>
    <t>U.S. wages economic battles against Canada and Iran</t>
  </si>
  <si>
    <t>2026-08-24T00:51:28Z</t>
  </si>
  <si>
    <t>Fh_csyVjg5A</t>
  </si>
  <si>
    <t>E-bike injuries surge in kids and teens</t>
  </si>
  <si>
    <t>2026-08-23T23:30:24Z</t>
  </si>
  <si>
    <t>Nk0MRxXqo9s</t>
  </si>
  <si>
    <t>I watched the Eclipse in Argentina - Smarter Every Day 221</t>
  </si>
  <si>
    <t>2019-07-25T23:06:23Z</t>
  </si>
  <si>
    <t>SyHraHtpChA</t>
  </si>
  <si>
    <t>Hiker speaks out after violent attack </t>
  </si>
  <si>
    <t>2026-08-23T23:30:04Z</t>
  </si>
  <si>
    <t>CaEztnATkqA</t>
  </si>
  <si>
    <t>Inside the global humanoid robot competition in China</t>
  </si>
  <si>
    <t>2026-08-23T23:29:48Z</t>
  </si>
  <si>
    <t>GI9arAf5DTI</t>
  </si>
  <si>
    <t>Good News: College football players surprised with scholarships</t>
  </si>
  <si>
    <t>2026-08-23T23:29:43Z</t>
  </si>
  <si>
    <t>grHxe4OfATQ</t>
  </si>
  <si>
    <t>NFL player’s home burglarized</t>
  </si>
  <si>
    <t>2026-08-23T23:29:25Z</t>
  </si>
  <si>
    <t>jiWbU1Iuhxc</t>
  </si>
  <si>
    <t>U.S. wages economic battles against Iran and Canada</t>
  </si>
  <si>
    <t>2026-08-23T23:28:59Z</t>
  </si>
  <si>
    <t>QZRBcWLxajA</t>
  </si>
  <si>
    <t>Eagles’ Ja’Quinden Jackson taken off field in ambulance</t>
  </si>
  <si>
    <t>2026-08-23T19:46:47Z</t>
  </si>
  <si>
    <t>ls2BTLvc7Gc</t>
  </si>
  <si>
    <t>Trump waves green flag to officially start D.C. Grand Prix race</t>
  </si>
  <si>
    <t>2026-08-23T18:26:23Z</t>
  </si>
  <si>
    <t>QxZ_iPldGtI</t>
  </si>
  <si>
    <t>Where does NASA keep the Moon Rocks? - Smarter Every Day 220</t>
  </si>
  <si>
    <t>2019-07-09T19:00:01Z</t>
  </si>
  <si>
    <t>dCT_mJwN2cY</t>
  </si>
  <si>
    <t>Trump takes 'lap of honor' ahead of Freedom 250 Grand Prix</t>
  </si>
  <si>
    <t>2026-08-23T18:16:50Z</t>
  </si>
  <si>
    <t>Lv5_nB4EKKI</t>
  </si>
  <si>
    <t>Trump says D.C. Grand Prix is bigger than ‘we ever thought possible’</t>
  </si>
  <si>
    <t>2026-08-23T18:14:49Z</t>
  </si>
  <si>
    <t>b1_6fxO_Fa4</t>
  </si>
  <si>
    <t>Meet the Press Full Episode — August 23</t>
  </si>
  <si>
    <t>2026-08-23T18:10:32Z</t>
  </si>
  <si>
    <t>vPGcjcg06vs</t>
  </si>
  <si>
    <t>President Trump attends Freedom250 Grand Prix</t>
  </si>
  <si>
    <t>2026-08-23T17:48:25Z</t>
  </si>
  <si>
    <t>iouKLsbGYkg</t>
  </si>
  <si>
    <t>Sen. Hollen 'testing the waters' on 2028 presidential bid</t>
  </si>
  <si>
    <t>2026-08-23T15:56:37Z</t>
  </si>
  <si>
    <t>vBR-RM5L46o</t>
  </si>
  <si>
    <t>Israel launches deadly airstrike on Gaza</t>
  </si>
  <si>
    <t>2026-08-23T15:15:37Z</t>
  </si>
  <si>
    <t>2hB3WtzLXCA</t>
  </si>
  <si>
    <t>Sen. Tim Scott says Darline Graham is ‘ready for primetime’</t>
  </si>
  <si>
    <t>2026-08-23T14:38:26Z</t>
  </si>
  <si>
    <t>GPh6GffGkmE</t>
  </si>
  <si>
    <t>Chris Van Hollen says he won’t reject DSA endorsement but ‘certainly not seeking’ it: Full interview</t>
  </si>
  <si>
    <t>pUwVZUOSTvk</t>
  </si>
  <si>
    <t>2026-08-23T13:58:52Z</t>
  </si>
  <si>
    <t>What Happens to Lasers Underwater? (Total internal reflection) - Smarter Every Day 219</t>
  </si>
  <si>
    <t>2019-06-20T21:02:42Z</t>
  </si>
  <si>
    <t>bVZJXS6zIeY</t>
  </si>
  <si>
    <t>Tim Scott says he’s ‘very confident’ Republicans will keep Senate control: Full interview</t>
  </si>
  <si>
    <t>2026-08-23T13:57:37Z</t>
  </si>
  <si>
    <t>5FsSDeJiDmA</t>
  </si>
  <si>
    <t>Chris Van Hollen says he’s ‘kicking the tires’ on 2028 presidential run</t>
  </si>
  <si>
    <t>2026-08-23T13:55:00Z</t>
  </si>
  <si>
    <t>hs26q8wvzGY</t>
  </si>
  <si>
    <t>Tim Scott says ‘without question’ Darline Graham is qualified for Senate</t>
  </si>
  <si>
    <t>2026-08-23T13:38:02Z</t>
  </si>
  <si>
    <t>LmdSVji9E38</t>
  </si>
  <si>
    <t>Serena Williams set to make her U.S. Open return</t>
  </si>
  <si>
    <t>2026-08-23T13:25:48Z</t>
  </si>
  <si>
    <t>s8RmEPEGjfQ</t>
  </si>
  <si>
    <t>Putin says new Ukrainian strikes opened ‘Pandora’s box’</t>
  </si>
  <si>
    <t>2026-08-23T12:20:33Z</t>
  </si>
  <si>
    <t>ywBV6M7VOFU</t>
  </si>
  <si>
    <t>Everything About Grain Bins (Farmers are Geniuses) - Smarter Every Day 218</t>
  </si>
  <si>
    <t>2019-06-13T19:56:55Z</t>
  </si>
  <si>
    <t>WVuaJqKT8BM</t>
  </si>
  <si>
    <t>NBC Nightly News Full Episode - Aug. 22</t>
  </si>
  <si>
    <t>2026-08-23T01:54:38Z</t>
  </si>
  <si>
    <t>a3LHd-Mthys</t>
  </si>
  <si>
    <t>Dolly Parton gives update about her health</t>
  </si>
  <si>
    <t>2026-08-23T00:29:12Z</t>
  </si>
  <si>
    <t>tz-9n7ZSNSY</t>
  </si>
  <si>
    <t>Small plane makes emergency landing at Boca Raton beach</t>
  </si>
  <si>
    <t>2026-08-22T20:45:09Z</t>
  </si>
  <si>
    <t>2VlUfXUqVMw</t>
  </si>
  <si>
    <t>Massive explosion rocks Taiwan neighborhood</t>
  </si>
  <si>
    <t>2026-08-22T18:54:58Z</t>
  </si>
  <si>
    <t>4Ocx01m4j64</t>
  </si>
  <si>
    <t>Growing desperation in Indiana as thousands still without power</t>
  </si>
  <si>
    <t>2026-08-22T18:30:46Z</t>
  </si>
  <si>
    <t>fM9Smih8S_A</t>
  </si>
  <si>
    <t>Humanoid robot beats Usain Bolt's 100-meter record</t>
  </si>
  <si>
    <t>2026-08-22T18:21:04Z</t>
  </si>
  <si>
    <t>T_GVXJ2Oyvk</t>
  </si>
  <si>
    <t>Canada will match U.S. tariffs 'dollar for dollar'</t>
  </si>
  <si>
    <t>j2_dJY_mIys</t>
  </si>
  <si>
    <t>2026-08-22T16:43:15Z</t>
  </si>
  <si>
    <t>Unmixing Color Machine (Ultra Laminar Reversible Flow) - Smarter Every Day 217</t>
  </si>
  <si>
    <t>2019-05-22T23:10:26Z</t>
  </si>
  <si>
    <t>VuvO1cKXY1o</t>
  </si>
  <si>
    <t>U.S. imposes 50% tariffs on some Canadian goods after trade talks collapse</t>
  </si>
  <si>
    <t>2026-08-22T16:29:08Z</t>
  </si>
  <si>
    <t>UMBi4_KV_80</t>
  </si>
  <si>
    <t>Taking a test lap on the streets of IndyCar’s D.C. Grand Prix</t>
  </si>
  <si>
    <t>2026-08-22T16:08:15Z</t>
  </si>
  <si>
    <t>iAMSiAu_at8</t>
  </si>
  <si>
    <t>Powerful storms wreak havoc across several states</t>
  </si>
  <si>
    <t>2026-08-22T14:10:58Z</t>
  </si>
  <si>
    <t>X6DW4V3Bu74</t>
  </si>
  <si>
    <t>U.S. imposes 50% tariffs on some Canadian goods</t>
  </si>
  <si>
    <t>2026-08-22T12:34:49Z</t>
  </si>
  <si>
    <t>IFgQQAmETO0</t>
  </si>
  <si>
    <t>XYfv0T2k4h8</t>
  </si>
  <si>
    <t>NBC Nightly News Full Episode – Aug. 21</t>
  </si>
  <si>
    <t>Why some flames are blue and others are red?</t>
  </si>
  <si>
    <t>2026-08-22T02:00:09Z</t>
  </si>
  <si>
    <t>2026-07-16T17:00:20Z</t>
  </si>
  <si>
    <t>UCUHW94eEFW7hkUMVaZz4eDg</t>
  </si>
  <si>
    <t>minutephysics</t>
  </si>
  <si>
    <t>d8PAL5oYXoU</t>
  </si>
  <si>
    <t>New details in Hayden Panettiere’s final moments</t>
  </si>
  <si>
    <t>2026-08-22T01:23:55Z</t>
  </si>
  <si>
    <t>yPz8ctdkwZA</t>
  </si>
  <si>
    <t>Supreme Court allows White House ballroom construction for now</t>
  </si>
  <si>
    <t>2026-08-22T01:23:46Z</t>
  </si>
  <si>
    <t>gY6hSrlbBE0</t>
  </si>
  <si>
    <t>Mother and son charged in teen death</t>
  </si>
  <si>
    <t>2026-08-22T01:23:32Z</t>
  </si>
  <si>
    <t>df39fbn4fWY</t>
  </si>
  <si>
    <t>Top Story with Tom Llamas - Aug. 21 | NBC News NOW</t>
  </si>
  <si>
    <t>2026-08-22T01:20:37Z</t>
  </si>
  <si>
    <t>-th98EU93ps</t>
  </si>
  <si>
    <t>How the U.S. government went from a balanced budget to $40 trillion in debt</t>
  </si>
  <si>
    <t>2026-08-22T01:05:49Z</t>
  </si>
  <si>
    <t>dWa96eDR6j8</t>
  </si>
  <si>
    <t>Hallie Jackson NOW - Aug. 21 | NBC News NOW</t>
  </si>
  <si>
    <t>2026-08-22T01:03:53Z</t>
  </si>
  <si>
    <t>QgMO-B7B2Qw</t>
  </si>
  <si>
    <t>Stay Tuned NOW Streaming Behind The Scenes! - Aug 21</t>
  </si>
  <si>
    <t>2026-08-22T01:03:20Z</t>
  </si>
  <si>
    <t>R2G8Xy6hiyg</t>
  </si>
  <si>
    <t>LBwSbFZUAIM</t>
  </si>
  <si>
    <t>This Orbit is the WORST</t>
  </si>
  <si>
    <t>Plane crash in remote region of Alaska leaves 8 dead</t>
  </si>
  <si>
    <t>2026-06-30T18:06:36Z</t>
  </si>
  <si>
    <t>2026-08-22T00:44:51Z</t>
  </si>
  <si>
    <t>4BUhwAeQ8x8</t>
  </si>
  <si>
    <t>CDC investigates cases of salmonella and E.coli linked to alfalfa sprouts</t>
  </si>
  <si>
    <t>2026-08-21T23:52:51Z</t>
  </si>
  <si>
    <t>ffepeweLa_E</t>
  </si>
  <si>
    <t>2026-08-21T23:41:53Z</t>
  </si>
  <si>
    <t>93iKvsvNVZ4</t>
  </si>
  <si>
    <t>2026-08-21T23:30:42Z</t>
  </si>
  <si>
    <t>noaZ58z6Yhs</t>
  </si>
  <si>
    <t>Horrific plane crash kills eight in Alaska</t>
  </si>
  <si>
    <t>2026-08-21T23:27:28Z</t>
  </si>
  <si>
    <t>PD6hVg7sljo</t>
  </si>
  <si>
    <t>Tornadoes rip across Northeast</t>
  </si>
  <si>
    <t>2026-08-21T23:25:45Z</t>
  </si>
  <si>
    <t>Ff6IS7BQwxo</t>
  </si>
  <si>
    <t>A conversation with Marine veteran and advocate Jason Bush</t>
  </si>
  <si>
    <t>2026-08-21T23:24:35Z</t>
  </si>
  <si>
    <t>zavFdaSBgIE</t>
  </si>
  <si>
    <t>2026-08-21T23:14:28Z</t>
  </si>
  <si>
    <t>TM8JhXsPYTo</t>
  </si>
  <si>
    <t>There Is No 4th Dimension</t>
  </si>
  <si>
    <t>2026-06-25T21:00:19Z</t>
  </si>
  <si>
    <t>UJNBInLyxGY</t>
  </si>
  <si>
    <t>U.S.-Canada Tariff Talks Jolt Auto Industry; Drive to Decision Day at the Iowa State Fair | Aug. 21</t>
  </si>
  <si>
    <t>2026-08-21T23:11:19Z</t>
  </si>
  <si>
    <t>beUM06ufq08</t>
  </si>
  <si>
    <t>City leaders face death threats across the country as tensions grow over data centers</t>
  </si>
  <si>
    <t>2026-08-21T23:04:38Z</t>
  </si>
  <si>
    <t>xt_aro6POdg</t>
  </si>
  <si>
    <t>Judge in Clancy trial urges jurors to 'keep an open mind'</t>
  </si>
  <si>
    <t>2026-08-21T22:34:22Z</t>
  </si>
  <si>
    <t>YELiEmCpcls</t>
  </si>
  <si>
    <t>Plane crash near remote radar site in Alaska kills 8 people</t>
  </si>
  <si>
    <t>2026-08-21T22:17:26Z</t>
  </si>
  <si>
    <t>08zMxi7ZKec</t>
  </si>
  <si>
    <t>Meet the Press NOW — August 21   </t>
  </si>
  <si>
    <t>2026-08-21T21:58:51Z</t>
  </si>
  <si>
    <t>XXXBJjFueSo</t>
  </si>
  <si>
    <t>Forensic psychiatrist Dr. Resnick testifies on Clancy's mental state</t>
  </si>
  <si>
    <t>2026-08-21T21:55:23Z</t>
  </si>
  <si>
    <t>dLtRtdg67PU</t>
  </si>
  <si>
    <t>Two Paradoxes of Space Navigation</t>
  </si>
  <si>
    <t>2026-06-04T15:47:58Z</t>
  </si>
  <si>
    <t>UQLsQUcN2eQ</t>
  </si>
  <si>
    <t>Two injured riders of state fair swing ride speak out</t>
  </si>
  <si>
    <t>2026-08-21T21:51:56Z</t>
  </si>
  <si>
    <t>0SRcbbEZWTw</t>
  </si>
  <si>
    <t>Byron Donalds says Trump ‘did not break that promise’ to keep prices down amid Iran war</t>
  </si>
  <si>
    <t>2026-08-21T21:25:22Z</t>
  </si>
  <si>
    <t>v6wtPQ6gt8E</t>
  </si>
  <si>
    <t>Start your engines: NBC News takes you inside IndyCar’s D.C. Grand Prix</t>
  </si>
  <si>
    <t>2026-08-21T21:23:47Z</t>
  </si>
  <si>
    <t>-VS4EL8eiaY</t>
  </si>
  <si>
    <t>Dear Donald': Battleground district voters share their message to Trump</t>
  </si>
  <si>
    <t>2026-08-21T20:36:38Z</t>
  </si>
  <si>
    <t>HLeOtBhhHfg</t>
  </si>
  <si>
    <t>LIVE: Breaking News and Top Stories on CBS News 24/7</t>
  </si>
  <si>
    <t>2026-08-24T18:19:34Z</t>
  </si>
  <si>
    <t>UC8p1vwvWtl6T73JiExfWs1g</t>
  </si>
  <si>
    <t>CBS News</t>
  </si>
  <si>
    <t>sEQvDbyFNbo</t>
  </si>
  <si>
    <t>Why Driving Backwards Is So Hard</t>
  </si>
  <si>
    <t>22blu0VImvk</t>
  </si>
  <si>
    <t>2026-05-22T22:00:26Z</t>
  </si>
  <si>
    <t>Darline Graham wins South Carolina GOP Senate primary runoff, CBS News projects | Special Report</t>
  </si>
  <si>
    <t>2026-08-26T01:28:01Z</t>
  </si>
  <si>
    <t>B9KNPtc5d0s</t>
  </si>
  <si>
    <t>President of Dolly Parton's foundation says nonprofit will "carry her dream forward"</t>
  </si>
  <si>
    <t>2026-08-26T00:44:51Z</t>
  </si>
  <si>
    <t>a0Tm_GdES8A</t>
  </si>
  <si>
    <t>Attorney weighs in on Texas surrogacy dispute</t>
  </si>
  <si>
    <t>2026-08-26T00:33:56Z</t>
  </si>
  <si>
    <t>Ab7uYpS75GU</t>
  </si>
  <si>
    <t>What to expect from key U.S. inflation indicator releasing Wednesday</t>
  </si>
  <si>
    <t>2026-08-26T00:29:12Z</t>
  </si>
  <si>
    <t>SUyhaTQpHJ0</t>
  </si>
  <si>
    <t>Tony Dokoupil reflects on interviewing Dolly Parton in 2019</t>
  </si>
  <si>
    <t>2026-08-26T00:19:05Z</t>
  </si>
  <si>
    <t>PxaL1TCfzQo</t>
  </si>
  <si>
    <t>Country Music Hall of Fame curator shares Dolly Parton memories</t>
  </si>
  <si>
    <t>2026-08-25T23:58:37Z</t>
  </si>
  <si>
    <t>SrGd13685Rk</t>
  </si>
  <si>
    <t>The story of the manhunt for Nazi leaders after WWII</t>
  </si>
  <si>
    <t>2026-08-25T23:46:22Z</t>
  </si>
  <si>
    <t>G0zAwcKpHT0</t>
  </si>
  <si>
    <t>PTO0s8YQ49o</t>
  </si>
  <si>
    <t>Dolly Parton dies at age 80, Canada slaps U.S. with tariffs and more | The Takeout</t>
  </si>
  <si>
    <t>The Magic of Thorium Nuclear Reactors</t>
  </si>
  <si>
    <t>2026-08-25T23:40:48Z</t>
  </si>
  <si>
    <t>2026-05-12T16:47:18Z</t>
  </si>
  <si>
    <t>fPge5SlSFro</t>
  </si>
  <si>
    <t>From the archives: Dolly Parton on the opening of Dollywood</t>
  </si>
  <si>
    <t>2026-08-25T23:26:50Z</t>
  </si>
  <si>
    <t>FaCP0E77CO8</t>
  </si>
  <si>
    <t>Johnny Cash's son on his father's special relationship with Dolly Parton</t>
  </si>
  <si>
    <t>2026-08-25T23:13:52Z</t>
  </si>
  <si>
    <t>DIL-Rc604PA</t>
  </si>
  <si>
    <t>Doctor testifies Clancy was criminally responsible for killings as closing arguments approach</t>
  </si>
  <si>
    <t>2026-08-25T23:11:06Z</t>
  </si>
  <si>
    <t>Xvt0qsW2ZnY</t>
  </si>
  <si>
    <t>El-Sayed appears on Fox News for contentious interview</t>
  </si>
  <si>
    <t>2026-08-25T23:10:00Z</t>
  </si>
  <si>
    <t>GKgHTzZ59w0</t>
  </si>
  <si>
    <t>New study raises concerns about prevalence of CTE among NFL players</t>
  </si>
  <si>
    <t>2026-08-25T23:03:58Z</t>
  </si>
  <si>
    <t>F184Gs2NnsI</t>
  </si>
  <si>
    <t>GOP Rep. Tom Barrett "still hopeful" U.S. and Canada can strike trade deal</t>
  </si>
  <si>
    <t>2026-08-25T23:02:48Z</t>
  </si>
  <si>
    <t>2_9rmF9Euqw</t>
  </si>
  <si>
    <t>Fans mourn loss of Dolly Parton as Trump orders flags flown at half-staff</t>
  </si>
  <si>
    <t>2026-08-25T22:59:55Z</t>
  </si>
  <si>
    <t>w3gnFbWciE8</t>
  </si>
  <si>
    <t>8wDha-G35KA</t>
  </si>
  <si>
    <t>South Carolina GOP Senate primary runoff comes to a head</t>
  </si>
  <si>
    <t>Is Perfect Prediction Possible?</t>
  </si>
  <si>
    <t>2026-08-25T22:55:29Z</t>
  </si>
  <si>
    <t>2026-04-15T17:59:07Z</t>
  </si>
  <si>
    <t>zh6qFvozTq0</t>
  </si>
  <si>
    <t>Ontario Premier Doug Ford says "we just want a fair trade deal" as Canada announces tariffs on U.S.</t>
  </si>
  <si>
    <t>2026-08-25T22:20:55Z</t>
  </si>
  <si>
    <t>GT1HgMwVH_c</t>
  </si>
  <si>
    <t>Dolly Parton's "9 to 5" and the U.S.-Canada trade battle</t>
  </si>
  <si>
    <t>2026-08-25T22:11:16Z</t>
  </si>
  <si>
    <t>pLLH-zQf29E</t>
  </si>
  <si>
    <t>Breaking down Canada's retaliatory tariffs against U.S.</t>
  </si>
  <si>
    <t>2026-08-25T22:09:39Z</t>
  </si>
  <si>
    <t>lH1Vy7lxqu4</t>
  </si>
  <si>
    <t>Rancher says Trump cutting tariffs on foreign beef could run him out of business</t>
  </si>
  <si>
    <t>2026-08-25T21:13:41Z</t>
  </si>
  <si>
    <t>VMIsuJxuCIg</t>
  </si>
  <si>
    <t>Day 20 of Lindsay Clancy trial ends with more testimony expected</t>
  </si>
  <si>
    <t>2026-08-25T20:59:21Z</t>
  </si>
  <si>
    <t>nOiRzvAh6C4</t>
  </si>
  <si>
    <t>Remembering Dolly Parton's life and legacy</t>
  </si>
  <si>
    <t>2026-08-25T20:46:01Z</t>
  </si>
  <si>
    <t>qKMVnR4U33U</t>
  </si>
  <si>
    <t>RXaCC7N7_G4</t>
  </si>
  <si>
    <t>What is the farthest on earth you can get from ANYTHING</t>
  </si>
  <si>
    <t>From 2023: Dolly Parton on exploring rock music, spirituality and more</t>
  </si>
  <si>
    <t>2026-08-25T20:23:34Z</t>
  </si>
  <si>
    <t>2026-04-11T18:00:00Z</t>
  </si>
  <si>
    <t>-5A6SrgSi20</t>
  </si>
  <si>
    <t>Music icon Dolly Parton dies at 80 | full coverage</t>
  </si>
  <si>
    <t>2026-08-25T20:22:53Z</t>
  </si>
  <si>
    <t>HIKDwnVCG4k</t>
  </si>
  <si>
    <t>Lindsay Clancy trial continues with final witness expected | full video</t>
  </si>
  <si>
    <t>2026-08-25T20:09:15Z</t>
  </si>
  <si>
    <t>afaWSZOBJcQ</t>
  </si>
  <si>
    <t>Trump orders flags at half-staff to honor Dolly Parton after her death</t>
  </si>
  <si>
    <t>2026-08-25T19:27:54Z</t>
  </si>
  <si>
    <t>-jtlNjXf6ng</t>
  </si>
  <si>
    <t>Dolly Parton's nephew announces her death in social media video</t>
  </si>
  <si>
    <t>2026-08-25T19:21:45Z</t>
  </si>
  <si>
    <t>WiUKUyTYG5A</t>
  </si>
  <si>
    <t>Dolly Parton on hearing "I Will Always Love You" at Whitney Houston's  funeral: "So overwhelming"</t>
  </si>
  <si>
    <t>2026-08-25T19:03:43Z</t>
  </si>
  <si>
    <t>lpTdg6_lLdY</t>
  </si>
  <si>
    <t>Early details after Dolly Parton dies at 80</t>
  </si>
  <si>
    <t>2026-08-25T18:51:02Z</t>
  </si>
  <si>
    <t>i45dfK7wYvA</t>
  </si>
  <si>
    <t>7AyBTAAno3g</t>
  </si>
  <si>
    <t>Schrödinger’s Cat (from the cat's perspective)</t>
  </si>
  <si>
    <t>Dolly Parton dies at 80 | Special Report</t>
  </si>
  <si>
    <t>2026-08-25T18:28:12Z</t>
  </si>
  <si>
    <t>2026-03-21T17:00:00Z</t>
  </si>
  <si>
    <t>6zHD-VqK3vs</t>
  </si>
  <si>
    <t>At least 1 in 4 ex-NFL players who died from 2016 to 2021 had CTE, study finds</t>
  </si>
  <si>
    <t>2026-08-25T18:08:44Z</t>
  </si>
  <si>
    <t>cfKg6LtfssA</t>
  </si>
  <si>
    <t>Legal breakdown of testimony about religion in Lindsay Clancy trial</t>
  </si>
  <si>
    <t>2026-08-25T17:44:27Z</t>
  </si>
  <si>
    <t>NhVBfjT-uDs</t>
  </si>
  <si>
    <t>Texas Gov. Abbott refuses to extradite ICE officer charged in Minneapolis shooting</t>
  </si>
  <si>
    <t>2026-08-25T17:44:24Z</t>
  </si>
  <si>
    <t>XhAdvfQ6HWo</t>
  </si>
  <si>
    <t>Expert explains why Lindsay Clancy's religious beliefs have no legal weight</t>
  </si>
  <si>
    <t>2026-08-25T17:43:03Z</t>
  </si>
  <si>
    <t>5LuU4ODkIac</t>
  </si>
  <si>
    <t>Republicans want Trump to "wake their base up" for midterm elections, analyst says</t>
  </si>
  <si>
    <t>2026-08-25T16:20:48Z</t>
  </si>
  <si>
    <t>sEYsndWzwMQ</t>
  </si>
  <si>
    <t>Lindsay Clancy's prosecutors question final witnesses about her mental health</t>
  </si>
  <si>
    <t>2026-08-25T16:18:44Z</t>
  </si>
  <si>
    <t>LcnTITZ5sbU</t>
  </si>
  <si>
    <t>China unlikely to stop buying Iranian oil in the face of U.S. threats, Biden-era economist says</t>
  </si>
  <si>
    <t>2026-08-25T16:11:56Z</t>
  </si>
  <si>
    <t>xhzU77Ur4X4</t>
  </si>
  <si>
    <t>Canadian finance minister announces retaliatory tariffs against U.S.</t>
  </si>
  <si>
    <t>ZWSvHBG7X0w</t>
  </si>
  <si>
    <t>2026-08-25T15:44:52Z</t>
  </si>
  <si>
    <t>Do *you* understand ISO?</t>
  </si>
  <si>
    <t>2026-03-11T19:03:33Z</t>
  </si>
  <si>
    <t>mma_sRjKkq4</t>
  </si>
  <si>
    <t>Canada's trade minister explains why talks with the U.S. failed</t>
  </si>
  <si>
    <t>2026-08-25T15:44:28Z</t>
  </si>
  <si>
    <t>YrOUuOdbPS0</t>
  </si>
  <si>
    <t>Elon Musk's data center cluster sparks backlash from residents</t>
  </si>
  <si>
    <t>2026-08-25T14:26:15Z</t>
  </si>
  <si>
    <t>xyNyezYNxCM</t>
  </si>
  <si>
    <t>Will Darline Graham's national security flub turn off voters?</t>
  </si>
  <si>
    <t>2026-08-25T14:06:38Z</t>
  </si>
  <si>
    <t>5Wxhu-sUctQ</t>
  </si>
  <si>
    <t>What you need to know about Trump’s economic warfare against Iran and tariff tiff with Canada</t>
  </si>
  <si>
    <t>2026-08-25T13:55:08Z</t>
  </si>
  <si>
    <t>gCgVa88Fv8s</t>
  </si>
  <si>
    <t>Gary Mayor Eddie Melton reacts as parts of Indiana remain in the dark after storm</t>
  </si>
  <si>
    <t>2026-08-25T13:31:46Z</t>
  </si>
  <si>
    <t>wkFJXu_ALcg</t>
  </si>
  <si>
    <t>Thousands flee the Hawk Fire in Reno</t>
  </si>
  <si>
    <t>2026-08-25T13:19:55Z</t>
  </si>
  <si>
    <t>Uq_7Cf4bw8k</t>
  </si>
  <si>
    <t>Air Force officer who criticized Trump faces rare criminal charges</t>
  </si>
  <si>
    <t>2026-08-25T13:18:14Z</t>
  </si>
  <si>
    <t>zdUMsiCipVw</t>
  </si>
  <si>
    <t>Trump says he'll change name of Lake Ontario to "Lake America" as trade war flares</t>
  </si>
  <si>
    <t>2026-08-25T13:08:42Z</t>
  </si>
  <si>
    <t>XuslOkEnevY</t>
  </si>
  <si>
    <t>Trump administration's plan to sever Iran's economy until it "stands alone"</t>
  </si>
  <si>
    <t>2026-08-25T12:55:46Z</t>
  </si>
  <si>
    <t>0fV8kYoGDNM</t>
  </si>
  <si>
    <t>When 2 + 2 = 3.999999999…</t>
  </si>
  <si>
    <t>2026-02-28T18:00:00Z</t>
  </si>
  <si>
    <t>z-x-K1u41fU</t>
  </si>
  <si>
    <t>How the Supreme Court siding with Trump over mail voting restrictions could impact midterms</t>
  </si>
  <si>
    <t>2026-08-25T12:53:28Z</t>
  </si>
  <si>
    <t>5DW_TnDrvRg</t>
  </si>
  <si>
    <t>Why the judge in the Lindsay Clancy trial scolded prosecutors for testimony on her faith</t>
  </si>
  <si>
    <t>2026-08-25T12:52:04Z</t>
  </si>
  <si>
    <t>uAw2sqAxiDY</t>
  </si>
  <si>
    <t>What to know after Enes Kanter Freedom ejected from WNBA game over Natasha Cloud confrontation</t>
  </si>
  <si>
    <t>2026-08-25T00:37:44Z</t>
  </si>
  <si>
    <t>VeNSjcQ2CM4</t>
  </si>
  <si>
    <t>Doctor fact-checks Dr. Oz's comments about vaccines, drug prices</t>
  </si>
  <si>
    <t>2026-08-25T00:26:52Z</t>
  </si>
  <si>
    <t>HkNUZ-Ta6G8</t>
  </si>
  <si>
    <t>U.S. announces new Iran sanction plan, judge denies mistrial for Lindsay Clancy, more | The Takeout</t>
  </si>
  <si>
    <t>2026-08-25T00:23:22Z</t>
  </si>
  <si>
    <t>O9OSu3Ve8FI</t>
  </si>
  <si>
    <t>Trump announces 50% tariffs on Canadian auto and steel imports starting in 2027</t>
  </si>
  <si>
    <t>2026-08-25T00:11:59Z</t>
  </si>
  <si>
    <t>-y2gKIGFTns</t>
  </si>
  <si>
    <t>"Functional unemployment" nearing 25% in U.S., analysis finds</t>
  </si>
  <si>
    <t>2026-08-24T23:47:30Z</t>
  </si>
  <si>
    <t>VXf0Wt1H_OM</t>
  </si>
  <si>
    <t>Latest on Lindsay Clancy trial as judge denies mistrial request</t>
  </si>
  <si>
    <t>2026-08-24T23:03:44Z</t>
  </si>
  <si>
    <t>qqWZg4sZNjk</t>
  </si>
  <si>
    <t>Breaking the speed of light from your backyard</t>
  </si>
  <si>
    <t>2026-02-20T22:00:00Z</t>
  </si>
  <si>
    <t>ISCfnEBG6-4</t>
  </si>
  <si>
    <t>How this summer's food recalls compare to past years</t>
  </si>
  <si>
    <t>2026-08-24T22:52:48Z</t>
  </si>
  <si>
    <t>LCh45dhRUG8</t>
  </si>
  <si>
    <t>Kushner and Jeffries held private meeting, New York Times reports</t>
  </si>
  <si>
    <t>2026-08-24T22:52:04Z</t>
  </si>
  <si>
    <t>sOAiYKoBsHI</t>
  </si>
  <si>
    <t>He almost died 20 times. Here's what he learned.</t>
  </si>
  <si>
    <t>2026-08-24T22:50:39Z</t>
  </si>
  <si>
    <t>Np0Xd86vBVE</t>
  </si>
  <si>
    <t>Bessent offers scant details about "economic D-Day" sanctions against Iran</t>
  </si>
  <si>
    <t>2026-08-24T22:48:23Z</t>
  </si>
  <si>
    <t>QfQcSL6R8fg</t>
  </si>
  <si>
    <t>Former Stars and Stripes editor-in-chief says his firing "was a real shock"</t>
  </si>
  <si>
    <t>2026-08-24T22:47:53Z</t>
  </si>
  <si>
    <t>8TESUWjDpWE</t>
  </si>
  <si>
    <t>Lindsay Clancy trial judge tells jurors to disregard religious testimony</t>
  </si>
  <si>
    <t>2026-08-24T22:42:55Z</t>
  </si>
  <si>
    <t>kBKmRCDzOqo</t>
  </si>
  <si>
    <t>Supreme Court lets Trump's order overhauling mail-in voting take effect for now</t>
  </si>
  <si>
    <t>2026-08-24T22:38:41Z</t>
  </si>
  <si>
    <t>mTPoA643qDo</t>
  </si>
  <si>
    <t>Breaking down Scott Bessent's comments on Canada, tariffs, Mark Carney</t>
  </si>
  <si>
    <t>2026-08-24T21:31:17Z</t>
  </si>
  <si>
    <t>reK4TjH9meY</t>
  </si>
  <si>
    <t>Women left behind in high-paying AI job boom, LinkedIn research finds</t>
  </si>
  <si>
    <t>2026-08-24T21:27:39Z</t>
  </si>
  <si>
    <t>ZATCqVvf7ck</t>
  </si>
  <si>
    <t>Massachusetts woman suspected of killing husband found dead</t>
  </si>
  <si>
    <t>2026-08-24T21:12:33Z</t>
  </si>
  <si>
    <t>BVinpoxXr2c</t>
  </si>
  <si>
    <t>Judge in Lindsay Clancy case rejects defense's call for mistrial</t>
  </si>
  <si>
    <t>2026-08-24T20:34:42Z</t>
  </si>
  <si>
    <t>sotBbuB1vEI</t>
  </si>
  <si>
    <t>Lindsay Clancy murder trial continues as closing arguments near | full video</t>
  </si>
  <si>
    <t>2026-08-24T19:52:00Z</t>
  </si>
  <si>
    <t>2C6ZSShi0ms</t>
  </si>
  <si>
    <t>Prosecution in Lindsay Clancy trial focuses on psychological experts in rebuttal testimony</t>
  </si>
  <si>
    <t>lZGyjR6Y9vw</t>
  </si>
  <si>
    <t>2026-08-24T18:23:02Z</t>
  </si>
  <si>
    <t>Is Quantum Mechanics Stopping Aliens From Contacting Us?</t>
  </si>
  <si>
    <t>2026-02-11T21:50:45Z</t>
  </si>
  <si>
    <t>dW5qPJITwLg</t>
  </si>
  <si>
    <t>Firefighters battle flames and smoke near Reno fueled by drought and wind</t>
  </si>
  <si>
    <t>2026-08-24T18:21:47Z</t>
  </si>
  <si>
    <t>NTzbJUOc2Sk</t>
  </si>
  <si>
    <t>Trial lawyer on how Lindsay Clancy jury may weigh expert testimony</t>
  </si>
  <si>
    <t>2026-08-24T18:10:30Z</t>
  </si>
  <si>
    <t>A3HXdNyGa2k</t>
  </si>
  <si>
    <t>Watch: Bessent announces "economic D-Day" sanction plan for Iran, Iranian trade partners</t>
  </si>
  <si>
    <t>2026-08-24T17:52:42Z</t>
  </si>
  <si>
    <t>tX1ZR9AJ7ZM</t>
  </si>
  <si>
    <t>Bessent announces economic campaign against Iran | full video</t>
  </si>
  <si>
    <t>2026-08-24T17:22:21Z</t>
  </si>
  <si>
    <t>JFHqgHaI91g</t>
  </si>
  <si>
    <t>Trump's trade representative calls U.S.-Mexico talks constructive as Canada dispute intensifies</t>
  </si>
  <si>
    <t>2026-08-24T16:36:49Z</t>
  </si>
  <si>
    <t>rDSTyIH5dBA</t>
  </si>
  <si>
    <t>-kwF6M4juiU</t>
  </si>
  <si>
    <t>The best new restaurants of 2026, according to Bon Appétit</t>
  </si>
  <si>
    <t>Not a rainbow!</t>
  </si>
  <si>
    <t>2026-08-24T16:24:43Z</t>
  </si>
  <si>
    <t>2026-02-04T18:00:00Z</t>
  </si>
  <si>
    <t>EswKk0NPicI</t>
  </si>
  <si>
    <t>Lindsay Clancy murder trial reaches last stage of testimony before closing arguments</t>
  </si>
  <si>
    <t>2026-08-24T16:02:00Z</t>
  </si>
  <si>
    <t>ftBkZfqqtds</t>
  </si>
  <si>
    <t>Stars and Stripes reporter fired by Pentagon speaks out</t>
  </si>
  <si>
    <t>2026-08-24T15:39:47Z</t>
  </si>
  <si>
    <t>7SIJyZQavVs</t>
  </si>
  <si>
    <t>How Trump's economic offensives against Iran and Canada will impact American wallets</t>
  </si>
  <si>
    <t>2026-08-24T15:02:02Z</t>
  </si>
  <si>
    <t>xmuRIokNcEo</t>
  </si>
  <si>
    <t>Chinese robot beats Usain Bolt's running record</t>
  </si>
  <si>
    <t>2026-08-24T14:04:43Z</t>
  </si>
  <si>
    <t>OJ9xzk0SDYg</t>
  </si>
  <si>
    <t>Republican, Democratic strategists react to data centers becoming a huge voting issue</t>
  </si>
  <si>
    <t>2026-08-24T13:58:57Z</t>
  </si>
  <si>
    <t>m7rlKrZ6-Zw</t>
  </si>
  <si>
    <t>2 takes on Lindsay Clancy's state of mind at the time of the alleged crimes</t>
  </si>
  <si>
    <t>2026-08-24T13:44:45Z</t>
  </si>
  <si>
    <t>YaGEjPdJycA</t>
  </si>
  <si>
    <t>-vZEyMvO5EE</t>
  </si>
  <si>
    <t>What’s the source of gravity? (a common physics misconception)</t>
  </si>
  <si>
    <t>Navy sailor has been on USS Lincoln for 9 months. He just found out ICE took his dad.</t>
  </si>
  <si>
    <t>2026-08-24T13:37:18Z</t>
  </si>
  <si>
    <t>2026-01-28T18:00:00Z</t>
  </si>
  <si>
    <t>yB5UMGDdP2A</t>
  </si>
  <si>
    <t>U.S.-Canada trade war intensifies</t>
  </si>
  <si>
    <t>2026-08-24T13:28:27Z</t>
  </si>
  <si>
    <t>ehwZU7DDWeo</t>
  </si>
  <si>
    <t>Wildfire burns out of control in Reno as thousands evacuate</t>
  </si>
  <si>
    <t>2026-08-24T13:18:42Z</t>
  </si>
  <si>
    <t>9HY_NaBZPYQ</t>
  </si>
  <si>
    <t>Iran-linked hackers shut down a U.K. power plant, report alleges</t>
  </si>
  <si>
    <t>2026-08-24T12:55:41Z</t>
  </si>
  <si>
    <t>H_akHJFDY_k</t>
  </si>
  <si>
    <t>Where the Lindsay Clancy murder trial stands</t>
  </si>
  <si>
    <t>2026-08-24T12:49:48Z</t>
  </si>
  <si>
    <t>squ8IyDktUI</t>
  </si>
  <si>
    <t>Trump escalates trade tensions with Canada</t>
  </si>
  <si>
    <t>2026-08-24T12:38:29Z</t>
  </si>
  <si>
    <t>UP8FWjjknLs</t>
  </si>
  <si>
    <t>World awaits Iran's response to Trump's "economic D-Day" sanctions</t>
  </si>
  <si>
    <t>2026-08-24T12:35:44Z</t>
  </si>
  <si>
    <t>kzfXBenNxeA</t>
  </si>
  <si>
    <t>Vg2DksHoPls</t>
  </si>
  <si>
    <t>The REAL Reason Asteroids Aren't Planets</t>
  </si>
  <si>
    <t>How some are keeping manual driving alive</t>
  </si>
  <si>
    <t>2026-01-22T18:16:55Z</t>
  </si>
  <si>
    <t>2026-08-24T03:37:34Z</t>
  </si>
  <si>
    <t>lcEXMN0CGJU</t>
  </si>
  <si>
    <t>Cost of building and construction could increase with new U.S. tariffs on Canada</t>
  </si>
  <si>
    <t>2026-08-24T01:14:50Z</t>
  </si>
  <si>
    <t>3rtZwGsz7MM</t>
  </si>
  <si>
    <t>U.S. promises economic warfare against Iran, urges allies to join economic pressure campaign</t>
  </si>
  <si>
    <t>2026-08-24T01:05:07Z</t>
  </si>
  <si>
    <t>j2svAACWJtU</t>
  </si>
  <si>
    <t>Inferno bears down on Reno, Nevada, displacing thousands</t>
  </si>
  <si>
    <t>2026-08-24T00:52:26Z</t>
  </si>
  <si>
    <t>kyqZGZpMflA</t>
  </si>
  <si>
    <t>Videos show Hawk Fire spreading around Reno, Nevada, prompting thousands to evacuate</t>
  </si>
  <si>
    <t>2026-08-24T00:18:35Z</t>
  </si>
  <si>
    <t>QYJdKmZD9Wk</t>
  </si>
  <si>
    <t>Losses from Indiana storm could top $5 billion as many still without power, governor says</t>
  </si>
  <si>
    <t>2026-08-23T02:19:00Z</t>
  </si>
  <si>
    <t>9RXrY9TM1xE</t>
  </si>
  <si>
    <t>Canada to match Trump's 50% tariffs "dollar-for-dollar," Carney says</t>
  </si>
  <si>
    <t>2026-08-23T02:16:27Z</t>
  </si>
  <si>
    <t>xgFKxFX3IwY</t>
  </si>
  <si>
    <t>An Argument The Moon is a PLANET!</t>
  </si>
  <si>
    <t>2025-12-22T18:24:51Z</t>
  </si>
  <si>
    <t>JXf8_HA7X9U</t>
  </si>
  <si>
    <t>Man speaks out after being deported to dangerous African nation</t>
  </si>
  <si>
    <t>2026-08-22T18:03:00Z</t>
  </si>
  <si>
    <t>dFT-nutV4dE</t>
  </si>
  <si>
    <t>Medical experts give opposing opinions on Lindsay Clancy</t>
  </si>
  <si>
    <t>2026-08-22T18:00:16Z</t>
  </si>
  <si>
    <t>FdjuytNkX3w</t>
  </si>
  <si>
    <t>U.S. and Canada to levy 50% tariffs against one another after talks fall through</t>
  </si>
  <si>
    <t>2026-08-22T17:58:40Z</t>
  </si>
  <si>
    <t>nFn9F6bO14U</t>
  </si>
  <si>
    <t>2026-08-22T04:25:01Z</t>
  </si>
  <si>
    <t>xaMlhamGaCA</t>
  </si>
  <si>
    <t>Hayden Panettiere said Neutrogena fired her after talking about PPD. Now, they've apologized #shorts</t>
  </si>
  <si>
    <t>2026-08-22T01:51:40Z</t>
  </si>
  <si>
    <t>VZQqX34Jj8A</t>
  </si>
  <si>
    <t>Madame Tussauds marks Harry and Meghan's U.K. return by pairing wax figures with suitcases #shorts</t>
  </si>
  <si>
    <t>2026-08-22T01:50:51Z</t>
  </si>
  <si>
    <t>S1HTySCWjjA</t>
  </si>
  <si>
    <t>_DYZF-piKKU</t>
  </si>
  <si>
    <t>Psychiatrist in Andrea Yates case testifies in Lindsay Clancy's murder trial #shorts</t>
  </si>
  <si>
    <t>The TROJAN Test</t>
  </si>
  <si>
    <t>2026-08-22T01:50:06Z</t>
  </si>
  <si>
    <t>2025-12-03T19:14:38Z</t>
  </si>
  <si>
    <t>rb9nI-8hZHw</t>
  </si>
  <si>
    <t>Rare tornado destroys beach club in New York #shorts</t>
  </si>
  <si>
    <t>2026-08-22T01:48:52Z</t>
  </si>
  <si>
    <t>T1fwD1bfdVM</t>
  </si>
  <si>
    <t>Jury hears Tupac murder suspect say he spoke to Sean "Diddy" Combs about killing the rapper #shorts</t>
  </si>
  <si>
    <t>2026-08-22T01:48:15Z</t>
  </si>
  <si>
    <t>XUxGRjDDJhY</t>
  </si>
  <si>
    <t>NFL storylines as preseason hits Week 2</t>
  </si>
  <si>
    <t>2026-08-22T00:31:43Z</t>
  </si>
  <si>
    <t>2-FiRNeiUhs</t>
  </si>
  <si>
    <t>Some "third country" U.S. deportees refused to get off plane in Liberia</t>
  </si>
  <si>
    <t>2026-08-22T00:25:34Z</t>
  </si>
  <si>
    <t>EAd7ALTp9Jk</t>
  </si>
  <si>
    <t>The roller coaster popularity of plastic surgery</t>
  </si>
  <si>
    <t>2026-08-22T00:14:16Z</t>
  </si>
  <si>
    <t>7Zqv4a_IiHI</t>
  </si>
  <si>
    <t>USS Lincoln heading home from Mideast, Bessent vows "toughest sanctions" on Iran, more | The Takeout</t>
  </si>
  <si>
    <t>2026-08-21T23:33:58Z</t>
  </si>
  <si>
    <t>_MmkHcI_b5k</t>
  </si>
  <si>
    <t>Kindergarten vaccine exemptions at record levels, CDC says</t>
  </si>
  <si>
    <t>2026-08-21T23:30:37Z</t>
  </si>
  <si>
    <t>OEQeSrXy-YA</t>
  </si>
  <si>
    <t>Why Some Rainbows Turn White</t>
  </si>
  <si>
    <t>2025-10-24T18:38:40Z</t>
  </si>
  <si>
    <t>pBXvnYm7jtE</t>
  </si>
  <si>
    <t>Trump front-and-center in South Carolina GOP Senate runoff as he stumps for Darline Graham</t>
  </si>
  <si>
    <t>2026-08-21T23:20:40Z</t>
  </si>
  <si>
    <t>TQEEPECvJfc</t>
  </si>
  <si>
    <t>What to know about Prince Harry and Meghan Markle's U.K. return</t>
  </si>
  <si>
    <t>2026-08-21T23:16:49Z</t>
  </si>
  <si>
    <t>XPs2cLw0AkM</t>
  </si>
  <si>
    <t>First week wraps in Tupac murder trial, defendant says he's worried for his family's safety</t>
  </si>
  <si>
    <t>2026-08-21T23:03:51Z</t>
  </si>
  <si>
    <t>yu6I0kg8DGw</t>
  </si>
  <si>
    <t>True-crime stories involving DNA found on tossed cigarettes | "48 Hours" Full Episodes</t>
  </si>
  <si>
    <t>2026-08-21T23:00:10Z</t>
  </si>
  <si>
    <t>0qEBwfTQx9k</t>
  </si>
  <si>
    <t>Congressional lawyers facing barrage of AI-generated bills filled with errors</t>
  </si>
  <si>
    <t>2026-08-21T22:59:51Z</t>
  </si>
  <si>
    <t>yY7ZUIbWTyc</t>
  </si>
  <si>
    <t>Common Moon Mistakes</t>
  </si>
  <si>
    <t>2025-10-03T16:16:08Z</t>
  </si>
  <si>
    <t>8cw6gH8aAwg</t>
  </si>
  <si>
    <t>Where South Carolina's GOP Senate race stands amid Trump visit</t>
  </si>
  <si>
    <t>2026-08-21T22:58:25Z</t>
  </si>
  <si>
    <t>D28Aivg10AI</t>
  </si>
  <si>
    <t>Legal scholar says Lindsay Clancy trial is a "battle of the experts" as defense rests</t>
  </si>
  <si>
    <t>2026-08-21T22:54:35Z</t>
  </si>
  <si>
    <t>n6Y9OUltaAc</t>
  </si>
  <si>
    <t>What to know as Lindsay Clancy trial nears closing arguments</t>
  </si>
  <si>
    <t>2026-08-21T22:37:44Z</t>
  </si>
  <si>
    <t>XV2MO-znJoo</t>
  </si>
  <si>
    <t>USS Lincoln leaves Middle East after 9-month deployment as Trump ramps up economic pressure on Iran</t>
  </si>
  <si>
    <t>2026-08-21T22:17:20Z</t>
  </si>
  <si>
    <t>JiOs735TVIw</t>
  </si>
  <si>
    <t>Man who took final photo of Tupac testifies about lead-up to murder</t>
  </si>
  <si>
    <t>2026-08-21T22:13:21Z</t>
  </si>
  <si>
    <t>sIfdNCqWcD4</t>
  </si>
  <si>
    <t>Watch: Severe storms slam the Northeast</t>
  </si>
  <si>
    <t>2026-08-21T21:40:01Z</t>
  </si>
  <si>
    <t>pgqkti7yePk</t>
  </si>
  <si>
    <t>Why Do Wind Turbines Have Three Blades?</t>
  </si>
  <si>
    <t>gEv1zzjLzyE</t>
  </si>
  <si>
    <t>Lindsay Clancy trial resumes with defense testimony as it nears closings | full video</t>
  </si>
  <si>
    <t>2026-08-21T20:38:45Z</t>
  </si>
  <si>
    <t>8jP-Tu37v2A</t>
  </si>
  <si>
    <t>Why Lindsay Clancy didn't testify in her murder trial</t>
  </si>
  <si>
    <t>2026-08-21T19:09:55Z</t>
  </si>
  <si>
    <t>2025-09-12T17:56:38Z</t>
  </si>
  <si>
    <t>ZCuBVWQK_hQ</t>
  </si>
  <si>
    <t>Supreme Court temporarily allows Trump's White House ballroom construction to continue</t>
  </si>
  <si>
    <t>2026-08-21T19:03:42Z</t>
  </si>
  <si>
    <t>ItXIKHAJGXg</t>
  </si>
  <si>
    <t>Psychiatrist from Andrea Yates case takes stand in Lindsay Clancy murder trial</t>
  </si>
  <si>
    <t>2026-08-21T18:13:39Z</t>
  </si>
  <si>
    <t>MCrmnjsspZg</t>
  </si>
  <si>
    <t>Defense rests case in Lindsay Clancy trial</t>
  </si>
  <si>
    <t>2026-08-21T17:37:55Z</t>
  </si>
  <si>
    <t>0ZNFuZECSls</t>
  </si>
  <si>
    <t>Meta AI glasses spark fears about privacy</t>
  </si>
  <si>
    <t>2026-08-21T17:31:55Z</t>
  </si>
  <si>
    <t>TTXIwBex6aY</t>
  </si>
  <si>
    <t>NASA scraps mission to save Swift telescope that will plunge toward Earth</t>
  </si>
  <si>
    <t>2026-08-21T17:21:47Z</t>
  </si>
  <si>
    <t>zzWKh8W8dX8</t>
  </si>
  <si>
    <t>_8G7p6bpyf4</t>
  </si>
  <si>
    <t>Draining The Oceans Is HARD</t>
  </si>
  <si>
    <t>AI could be used to generate bills that may become laws. Here are the concerns.</t>
  </si>
  <si>
    <t>2025-09-05T15:47:57Z</t>
  </si>
  <si>
    <t>2026-08-21T17:19:57Z</t>
  </si>
  <si>
    <t>3yAIO68xO_8</t>
  </si>
  <si>
    <t>2 patients say they are paralyzed after a Tennessee hospital mixed up medications</t>
  </si>
  <si>
    <t>2026-08-21T16:49:30Z</t>
  </si>
  <si>
    <t>UjzZqi6lNKs</t>
  </si>
  <si>
    <t>Deadline approaching for Supreme Court to rule on Trump's White House ballroom project</t>
  </si>
  <si>
    <t>2026-08-21T16:41:50Z</t>
  </si>
  <si>
    <t>zx2OCDgpXBA</t>
  </si>
  <si>
    <t>Liberia receives first group of U.S. deportees from other countries</t>
  </si>
  <si>
    <t>2026-08-21T16:38:32Z</t>
  </si>
  <si>
    <t>c3mFPysTIFA</t>
  </si>
  <si>
    <t>Alfalfa sprouts linked to food poisoning illnesses like E. coli and salmonella</t>
  </si>
  <si>
    <t>2026-08-21T16:32:47Z</t>
  </si>
  <si>
    <t>6c7JoCZmqC4</t>
  </si>
  <si>
    <t>GahQ-6TCO34</t>
  </si>
  <si>
    <t>The Physics of Supercooling</t>
  </si>
  <si>
    <t>Trump to campaign for Darline Graham after she got pummeled for her debate performance</t>
  </si>
  <si>
    <t>2025-08-15T18:18:19Z</t>
  </si>
  <si>
    <t>2026-08-21T15:40:50Z</t>
  </si>
  <si>
    <t>lbNScCCERcE</t>
  </si>
  <si>
    <t>Hayden Panettiere's mom speaks out after star's shocking death as 37th birthday occurs</t>
  </si>
  <si>
    <t>2026-08-21T15:15:42Z</t>
  </si>
  <si>
    <t>95sfA_dOalk</t>
  </si>
  <si>
    <t>Listen: Trump joins Michael Cohen's radio show after public feud</t>
  </si>
  <si>
    <t>2026-08-21T14:18:52Z</t>
  </si>
  <si>
    <t>ViGkL_NasIw</t>
  </si>
  <si>
    <t>Army moves to disband drone unit and office politics may be to blame, expert says</t>
  </si>
  <si>
    <t>2026-08-21T14:09:40Z</t>
  </si>
  <si>
    <t>ilyTzGxvPFM</t>
  </si>
  <si>
    <t>Tornado forms close to New York City and wreaks havoc</t>
  </si>
  <si>
    <t>2026-08-21T14:03:03Z</t>
  </si>
  <si>
    <t>jOYv1htbcMA</t>
  </si>
  <si>
    <t>Olympian Jenny Simpson says she will never run again</t>
  </si>
  <si>
    <t>2026-08-21T13:49:45Z</t>
  </si>
  <si>
    <t>YAKX9Kj0OQE</t>
  </si>
  <si>
    <t>Chaplain's testimony on Lindsay Clancy conversation was "colossal," lawyer says</t>
  </si>
  <si>
    <t>2026-08-21T13:39:52Z</t>
  </si>
  <si>
    <t>SR71MzrTgOM</t>
  </si>
  <si>
    <t>Bond market trouble sparks global concern</t>
  </si>
  <si>
    <t>2026-08-21T13:20:54Z</t>
  </si>
  <si>
    <t>WFJ_Z3rUlxQ</t>
  </si>
  <si>
    <t>WADuXiMZxq4</t>
  </si>
  <si>
    <t>President Trump and Michael Cohen tape radio show after massive public split</t>
  </si>
  <si>
    <t>White Balance is Broken</t>
  </si>
  <si>
    <t>2026-08-21T13:16:44Z</t>
  </si>
  <si>
    <t>2025-08-05T15:22:26Z</t>
  </si>
  <si>
    <t>00VjWFnZJ88</t>
  </si>
  <si>
    <t>Astonishing video of intense storm slamming New York</t>
  </si>
  <si>
    <t>2026-08-21T13:05:46Z</t>
  </si>
  <si>
    <t>Gm0EZMSkYqc</t>
  </si>
  <si>
    <t>Recapping Day 17 of Lindsay Clancy's murder trial #shorts</t>
  </si>
  <si>
    <t>2026-08-21T01:48:26Z</t>
  </si>
  <si>
    <t>rYDhgdqUXrA</t>
  </si>
  <si>
    <t>Darline Graham on reactions to her saying she's "not that informed on national security" #shorts</t>
  </si>
  <si>
    <t>2026-08-21T01:47:44Z</t>
  </si>
  <si>
    <t>_F5rHPagLa4</t>
  </si>
  <si>
    <t>Treasury Secretary Scott Bessent on U.S. national debt crossing $40 trillion threshold #shorts</t>
  </si>
  <si>
    <t>2026-08-21T01:47:10Z</t>
  </si>
  <si>
    <t>7P0fi3Qq6II</t>
  </si>
  <si>
    <t>Prince Harry and Meghan Markle are moving back to the U.K. #shorts</t>
  </si>
  <si>
    <t>2026-08-21T01:46:24Z</t>
  </si>
  <si>
    <t>tPsbGCQBxC4</t>
  </si>
  <si>
    <t>tCsl6ZcY9ag</t>
  </si>
  <si>
    <t>Destruction in Kyiv following Russia's overnight attacks #shorts</t>
  </si>
  <si>
    <t>The Physics Of Dissonance</t>
  </si>
  <si>
    <t>2026-08-21T01:45:28Z</t>
  </si>
  <si>
    <t>2025-07-18T17:30:31Z</t>
  </si>
  <si>
    <t>McSqqJoZe4U</t>
  </si>
  <si>
    <t>Inside Disney and ABC's First Amendment rights as they sue FCC over early license renewal</t>
  </si>
  <si>
    <t>2026-08-20T23:31:25Z</t>
  </si>
  <si>
    <t>N1GAEANGKgA</t>
  </si>
  <si>
    <t>U.S. debt surpasses $40 trillion, Trump threatens Iran with "economic D-Day" and more | The Takeout</t>
  </si>
  <si>
    <t>2026-08-20T23:29:03Z</t>
  </si>
  <si>
    <t>qF1jrvjpirQ</t>
  </si>
  <si>
    <t>NASA telescope set to plummet toward Earth after rescue mission canceled</t>
  </si>
  <si>
    <t>2026-08-20T23:28:50Z</t>
  </si>
  <si>
    <t>QifhDUJh3Mo</t>
  </si>
  <si>
    <t>Invasive Joro spiders "may be hanging on a web near you": Here's what to know</t>
  </si>
  <si>
    <t>2026-08-20T23:20:35Z</t>
  </si>
  <si>
    <t>G2atrFSX5D4</t>
  </si>
  <si>
    <t>Walmart looks to pass tariff refunds onto shoppers after disappointing earnings report</t>
  </si>
  <si>
    <t>2026-08-20T22:55:33Z</t>
  </si>
  <si>
    <t>P5ffES-THDI</t>
  </si>
  <si>
    <t>Obama's former "body man" Reggie Love on working for the ex-president</t>
  </si>
  <si>
    <t>2026-08-20T22:49:50Z</t>
  </si>
  <si>
    <t>MuvuxHXLzls</t>
  </si>
  <si>
    <t>The Magnetic Shadow Effect</t>
  </si>
  <si>
    <t>ETKpA2YjOhA</t>
  </si>
  <si>
    <t>2025-06-26T13:00:47Z</t>
  </si>
  <si>
    <t>New details revealed in Hayden Panettiere's death</t>
  </si>
  <si>
    <t>2026-08-20T22:49:23Z</t>
  </si>
  <si>
    <t>cZ4PFzdso6U</t>
  </si>
  <si>
    <t>"The Takeout" says goodbye to its original red chairs</t>
  </si>
  <si>
    <t>2026-08-20T22:47:50Z</t>
  </si>
  <si>
    <t>_iNSRa-vJ9o</t>
  </si>
  <si>
    <t>Sen. Darline Graham at South Carolina debate: "I'm not that informed on national security"</t>
  </si>
  <si>
    <t>2026-08-20T22:44:55Z</t>
  </si>
  <si>
    <t>s4DFZQieScQ</t>
  </si>
  <si>
    <t>Democratic socialist talks agenda as she looks to unseat embattled Rep. Jimmy Gomez</t>
  </si>
  <si>
    <t>2026-08-20T22:36:53Z</t>
  </si>
  <si>
    <t>ou5mhUipuvA</t>
  </si>
  <si>
    <t>Royal expert: Buckingham Palace "had no idea" Prince Harry and Meghan Markle were returning to U.K.</t>
  </si>
  <si>
    <t>2026-08-20T22:35:58Z</t>
  </si>
  <si>
    <t>TRsNOZKL-c4</t>
  </si>
  <si>
    <t>WIu38oWkCTc</t>
  </si>
  <si>
    <t>North Korea fires short-range ballistic missiles hours after Trump said he'd meet with Kim Jong Un</t>
  </si>
  <si>
    <t>Antimatter in Sci-Fi Rundown</t>
  </si>
  <si>
    <t>2026-08-20T22:27:44Z</t>
  </si>
  <si>
    <t>2025-06-13T15:05:16Z</t>
  </si>
  <si>
    <t>_UZvgchdj-U</t>
  </si>
  <si>
    <t>Why Trump's plan for an "economic D-Day" in Iran could backfire</t>
  </si>
  <si>
    <t>2026-08-20T22:23:44Z</t>
  </si>
  <si>
    <t>9CyFqNSAkp4</t>
  </si>
  <si>
    <t>What record U.S. national debt could mean for economy</t>
  </si>
  <si>
    <t>2026-08-20T22:21:12Z</t>
  </si>
  <si>
    <t>RBlFiUgG2Qs</t>
  </si>
  <si>
    <t>"The Takeout" hits 300 episodes</t>
  </si>
  <si>
    <t>2026-08-20T22:15:40Z</t>
  </si>
  <si>
    <t>X0HYZLGfixE</t>
  </si>
  <si>
    <t>Dow closes down more than 700 points over bond market, national debt fears</t>
  </si>
  <si>
    <t>2026-08-20T21:31:12Z</t>
  </si>
  <si>
    <t>CeUNCgl3AD0</t>
  </si>
  <si>
    <t>On the ground in Kyiv after latest wave of Russian strikes</t>
  </si>
  <si>
    <t>2026-08-20T21:29:12Z</t>
  </si>
  <si>
    <t>ffH8Dlgqfd0</t>
  </si>
  <si>
    <t>Former Obama campaign adviser on rise of democratic socialists, Democrats' midterm strategy</t>
  </si>
  <si>
    <t>2026-08-20T21:25:42Z</t>
  </si>
  <si>
    <t>8LkRMtWfhn4</t>
  </si>
  <si>
    <t>The Teleprompter Paradox</t>
  </si>
  <si>
    <t>zkncyw6JHHI</t>
  </si>
  <si>
    <t>2025-02-28T14:30:06Z</t>
  </si>
  <si>
    <t>Trump and Michael Cohen hold first public conversation in 8 years</t>
  </si>
  <si>
    <t>2026-08-20T21:21:56Z</t>
  </si>
  <si>
    <t>aeqkSqPmRgw</t>
  </si>
  <si>
    <t>Closing arguments in Lindsay Clancy murder trial expected next week</t>
  </si>
  <si>
    <t>2026-08-20T21:21:37Z</t>
  </si>
  <si>
    <t>5CpyJnPwY7I</t>
  </si>
  <si>
    <t>Here's why federal authorities are investigating Eric Swalwell for alleged sexual misconduct</t>
  </si>
  <si>
    <t>2026-08-20T21:17:58Z</t>
  </si>
  <si>
    <t>upK8Al_iMdA</t>
  </si>
  <si>
    <t>Self-described U.S. spy who infiltrated al Qaeda at risk of ICE deportation</t>
  </si>
  <si>
    <t>2026-08-20T20:50:25Z</t>
  </si>
  <si>
    <t>dl53xT0RWC0</t>
  </si>
  <si>
    <t>Lindsay Clancy trial continues after psychologist testifies she heard voices | full video</t>
  </si>
  <si>
    <t>2026-08-20T20:46:55Z</t>
  </si>
  <si>
    <t>Jgh5ALG6PdA</t>
  </si>
  <si>
    <t>Woman linked to ISIS arrested for planning bomb attack on New York state capitol</t>
  </si>
  <si>
    <t>2026-08-20T20:39:15Z</t>
  </si>
  <si>
    <t>TCdgKpRPwOM</t>
  </si>
  <si>
    <t>Get one of my original drawings on Patreon!</t>
  </si>
  <si>
    <t>eT342rXkQss</t>
  </si>
  <si>
    <t>New details on Chucky-style mask suspect revealed at news conference | full video</t>
  </si>
  <si>
    <t>2026-08-20T19:56:09Z</t>
  </si>
  <si>
    <t>2024-11-26T22:04:41Z</t>
  </si>
  <si>
    <t>2Bf_0VCyRcI</t>
  </si>
  <si>
    <t>Chaplain testifies Lindsay Clancy said "I am so glad my children are safe" after murders</t>
  </si>
  <si>
    <t>2026-08-20T18:39:37Z</t>
  </si>
  <si>
    <t>aF7-FZY9wDs</t>
  </si>
  <si>
    <t>Pentagon may fire Stars and Stripes publisher before his retirement, sources say</t>
  </si>
  <si>
    <t>2026-08-20T18:31:29Z</t>
  </si>
  <si>
    <t>jGtiOW2e6G8</t>
  </si>
  <si>
    <t>U.S. using stealth operation to move oil through Strait of Hormuz, sources say</t>
  </si>
  <si>
    <t>2026-08-20T18:27:12Z</t>
  </si>
  <si>
    <t>fPRHX_uI63w</t>
  </si>
  <si>
    <t>Missile launch from North Korea after Trump talks Kim Jong Un meeting</t>
  </si>
  <si>
    <t>2026-08-20T18:14:57Z</t>
  </si>
  <si>
    <t>5zBg9pH_6bE</t>
  </si>
  <si>
    <t>JbRG_5u6ZK0</t>
  </si>
  <si>
    <t>The Chart Missing From ALL Spreadsheet Software</t>
  </si>
  <si>
    <t>2024-11-22T17:29:49Z</t>
  </si>
  <si>
    <t>Army unit offers soldiers time off to play Grand Theft Auto VI if they reenlist for 2 to 6 years</t>
  </si>
  <si>
    <t>2026-08-20T17:39:48Z</t>
  </si>
  <si>
    <t>BssJdzbqDhQ</t>
  </si>
  <si>
    <t>Lindsay Clancy trial continues after shocking psychologist's testimony | full video</t>
  </si>
  <si>
    <t>2026-08-20T16:49:04Z</t>
  </si>
  <si>
    <t>i2b2Kz5WEIk</t>
  </si>
  <si>
    <t>Police hunt for woman suspected of killing cop husband in Massachusetts</t>
  </si>
  <si>
    <t>2026-08-20T16:48:28Z</t>
  </si>
  <si>
    <t>VdJQwoH3GsI</t>
  </si>
  <si>
    <t>ICE and Iran worked together to deport Iranian migrants, including asylum seekers, emails show</t>
  </si>
  <si>
    <t>2026-08-20T16:44:43Z</t>
  </si>
  <si>
    <t>JedkXWiWz4Q</t>
  </si>
  <si>
    <t>Swalwell's devices seized after he landed at San Francisco airport, sources say</t>
  </si>
  <si>
    <t>r4xGVk_2eT8</t>
  </si>
  <si>
    <t>2026-08-20T16:42:46Z</t>
  </si>
  <si>
    <t>The Periodic Table in a 2D World</t>
  </si>
  <si>
    <t>2024-11-08T16:13:05Z</t>
  </si>
  <si>
    <t>Bsfp4d77elU</t>
  </si>
  <si>
    <t>Witness describes moment when plane and helicopter collided in deadly crash</t>
  </si>
  <si>
    <t>2026-08-20T15:38:41Z</t>
  </si>
  <si>
    <t>jQFriBdlzhE</t>
  </si>
  <si>
    <t>Coinbase CEO makes case for Trump's CLARITY Act to regulate crypto</t>
  </si>
  <si>
    <t>2026-08-20T15:25:33Z</t>
  </si>
  <si>
    <t>bCfzOVVWknQ</t>
  </si>
  <si>
    <t>Book publishers forced to navigate AI and the stories about misuse are stunning</t>
  </si>
  <si>
    <t>2026-08-20T14:54:21Z</t>
  </si>
  <si>
    <t>z8WJUEO5Sxw</t>
  </si>
  <si>
    <t>Stunning data on how AI chatbots are guiding humans in health and love matters</t>
  </si>
  <si>
    <t>2026-08-20T14:28:53Z</t>
  </si>
  <si>
    <t>Qfk5qxsud1U</t>
  </si>
  <si>
    <t>"Sava's Titanic" wreckage emerges in Serbia as rivers dry up</t>
  </si>
  <si>
    <t>2026-08-20T14:25:16Z</t>
  </si>
  <si>
    <t>SL67EVYHLs8</t>
  </si>
  <si>
    <t>Saudi Arabia's public fund shrank by $10 billion. Here's why that matters in America.</t>
  </si>
  <si>
    <t>2026-08-20T14:11:40Z</t>
  </si>
  <si>
    <t>0kS3dJRq9LY</t>
  </si>
  <si>
    <t>Flooding debris lines curbs in Indiana as rain keeps falling</t>
  </si>
  <si>
    <t>2026-08-20T13:49:34Z</t>
  </si>
  <si>
    <t>_EsNnrqir3E</t>
  </si>
  <si>
    <t>North Korea reacts after Trump's comments on meeting with Kim Jong Un</t>
  </si>
  <si>
    <t>2026-08-20T13:27:29Z</t>
  </si>
  <si>
    <t>JY_FeDFQnPI</t>
  </si>
  <si>
    <t>Prince Harry gave many reasons for departing the U.K. but now his family is returning</t>
  </si>
  <si>
    <t>2026-08-20T13:14:37Z</t>
  </si>
  <si>
    <t>lYIP3ZeLmbw</t>
  </si>
  <si>
    <t>This Lindsay Clancy murder trial testimony may be the most important for the defense, expert says</t>
  </si>
  <si>
    <t>2026-08-20T12:37:21Z</t>
  </si>
  <si>
    <t>-gWHh1a5FOA</t>
  </si>
  <si>
    <t>I'm giving away 14 years of drawings</t>
  </si>
  <si>
    <t>2024-11-01T17:21:19Z</t>
  </si>
  <si>
    <t>5eq7_R2iM3U</t>
  </si>
  <si>
    <t>90 million Americans are under heat alerts in the U.S.</t>
  </si>
  <si>
    <t>2026-08-20T12:28:30Z</t>
  </si>
  <si>
    <t>Bv2oIOiakCk</t>
  </si>
  <si>
    <t>Trump's Canada tariffs near after brief pause. A North American deal could ease the threat.</t>
  </si>
  <si>
    <t>2026-08-20T12:26:40Z</t>
  </si>
  <si>
    <t>VzYBue3xf5c</t>
  </si>
  <si>
    <t>Trump launches "economic D-Day" threat against Iran</t>
  </si>
  <si>
    <t>2026-08-20T12:14:36Z</t>
  </si>
  <si>
    <t>0dRwZV8kuZU</t>
  </si>
  <si>
    <t>Russian strikes rain on Ukraine, images show doomed business in Kyiv</t>
  </si>
  <si>
    <t>2026-08-20T12:14:23Z</t>
  </si>
  <si>
    <t>ssKBK5WF1jg</t>
  </si>
  <si>
    <t>Some pool owners renting out access through Swimply: "I'll probably look to make about $15,000"</t>
  </si>
  <si>
    <t>2026-08-20T01:33:02Z</t>
  </si>
  <si>
    <t>xg5FTrosD2E</t>
  </si>
  <si>
    <t>Doctors urge student vaccinations as preventable diseases like the measles rise</t>
  </si>
  <si>
    <t>2026-08-20T01:30:31Z</t>
  </si>
  <si>
    <t>KBcxuM-qXec</t>
  </si>
  <si>
    <t>80fXV7c7NVI</t>
  </si>
  <si>
    <t>The Moon's Orbit is WEIRD</t>
  </si>
  <si>
    <t>Thousands still without power in Indiana more than a week after storm</t>
  </si>
  <si>
    <t>2024-10-02T18:05:35Z</t>
  </si>
  <si>
    <t>2026-08-20T01:28:45Z</t>
  </si>
  <si>
    <t>0HnJHAsTao8</t>
  </si>
  <si>
    <t>Inside the investigation into Mark Walter amid his sale of the Los Angeles Lakers</t>
  </si>
  <si>
    <t>2026-08-20T01:01:28Z</t>
  </si>
  <si>
    <t>2CvG6sTU09Y</t>
  </si>
  <si>
    <t>Army unit offers 4-day passes to play Grand Theft Auto VI to encourage reenlistments</t>
  </si>
  <si>
    <t>2026-08-20T00:59:44Z</t>
  </si>
  <si>
    <t>XyX7k1pIoZs</t>
  </si>
  <si>
    <t>Day seven | Tupac murder trial live from Las Vegas court</t>
  </si>
  <si>
    <t>2026-08-25T23:32:29Z</t>
  </si>
  <si>
    <t>UCoMdktPbSTixAyNGwb-UYkQ</t>
  </si>
  <si>
    <t>Sky News</t>
  </si>
  <si>
    <t>kLIB4chy7_Y</t>
  </si>
  <si>
    <t>Country music legend Dolly Parton dies | The Wrap</t>
  </si>
  <si>
    <t>2026-08-25T23:06:09Z</t>
  </si>
  <si>
    <t>N7WwyQopoSg</t>
  </si>
  <si>
    <t>Devastated' Dolly fans pay tribute to country music icon</t>
  </si>
  <si>
    <t>2026-08-25T22:58:13Z</t>
  </si>
  <si>
    <t>h8YHf0boi5I</t>
  </si>
  <si>
    <t>Fans pay tribute to Dolly Parton after her death aged 80</t>
  </si>
  <si>
    <t>2026-08-25T21:59:25Z</t>
  </si>
  <si>
    <t>c2wafIzuvlI</t>
  </si>
  <si>
    <t>Does Pressure Keep the Deep Ocean From Freezing?</t>
  </si>
  <si>
    <t>2024-08-26T16:09:38Z</t>
  </si>
  <si>
    <t>D5goEWR_Cc8</t>
  </si>
  <si>
    <t>I want to be known for my music': Dolly Parton speaks to Sky News in 2019</t>
  </si>
  <si>
    <t>2026-08-25T21:25:30Z</t>
  </si>
  <si>
    <t>ljivEp8KNjM</t>
  </si>
  <si>
    <t>Dolly Parton has died aged 80</t>
  </si>
  <si>
    <t>2026-08-25T21:05:16Z</t>
  </si>
  <si>
    <t>UuWJTmwna_Y</t>
  </si>
  <si>
    <t>It's a nightmare': Why are houses in Middlesbrough getting rammed?</t>
  </si>
  <si>
    <t>2026-08-25T20:44:45Z</t>
  </si>
  <si>
    <t>bx09smi5FJs</t>
  </si>
  <si>
    <t>Why are care leavers dying so young?</t>
  </si>
  <si>
    <t>2026-08-25T20:04:19Z</t>
  </si>
  <si>
    <t>poGY7wMkUqE</t>
  </si>
  <si>
    <t>Israeli MP smashes Palestinian monument in West Bank</t>
  </si>
  <si>
    <t>2026-08-25T20:00:00Z</t>
  </si>
  <si>
    <t>EomhL_Mrcwo</t>
  </si>
  <si>
    <t>mqZm6u12RJA</t>
  </si>
  <si>
    <t>Could the new cervical screening kits be a ‘game changer’?</t>
  </si>
  <si>
    <t>The Color Temperature Paradox</t>
  </si>
  <si>
    <t>2026-08-25T19:35:26Z</t>
  </si>
  <si>
    <t>2024-07-24T14:26:33Z</t>
  </si>
  <si>
    <t>yBbz6lKcYQI</t>
  </si>
  <si>
    <t>Care leavers are dying too young. This is Why</t>
  </si>
  <si>
    <t>2026-08-25T19:00:26Z</t>
  </si>
  <si>
    <t>SEn_kwIz9ic</t>
  </si>
  <si>
    <t>Country music legend Dolly Parton dies</t>
  </si>
  <si>
    <t>2026-08-25T18:50:57Z</t>
  </si>
  <si>
    <t>ZRNuy-Bkx-A</t>
  </si>
  <si>
    <t>Country music star Dolly Parton has died</t>
  </si>
  <si>
    <t>2026-08-25T18:16:26Z</t>
  </si>
  <si>
    <t>D2ozaOBXYjw</t>
  </si>
  <si>
    <t>Mystery of US military plane in Russia has been dispelled</t>
  </si>
  <si>
    <t>2026-08-25T18:00:22Z</t>
  </si>
  <si>
    <t>4pNYuJneCz0</t>
  </si>
  <si>
    <t>If you were a firearms officer, would you shoot?</t>
  </si>
  <si>
    <t>2026-08-25T17:55:08Z</t>
  </si>
  <si>
    <t>CikPFdZdY4k</t>
  </si>
  <si>
    <t>Which Planet Has the Best Eclipse?</t>
  </si>
  <si>
    <t>2024-04-05T11:45:25Z</t>
  </si>
  <si>
    <t>vDAno_wLsj0</t>
  </si>
  <si>
    <t>Mystery flight: Why did a US military plane land in Moscow?</t>
  </si>
  <si>
    <t>2026-08-25T17:46:32Z</t>
  </si>
  <si>
    <t>-0Hgc1I0VYQ</t>
  </si>
  <si>
    <t>Why has the government dropped its cost of living language?</t>
  </si>
  <si>
    <t>2026-08-25T17:11:58Z</t>
  </si>
  <si>
    <t>h6Z8aIW92Vg</t>
  </si>
  <si>
    <t>Canada announces retaliatory tariffs against the US</t>
  </si>
  <si>
    <t>2026-08-25T16:30:04Z</t>
  </si>
  <si>
    <t>L1jxUi4LfMw</t>
  </si>
  <si>
    <t>Firing Point: Inside the Metropolitan Police's firearms unit</t>
  </si>
  <si>
    <t>2026-08-25T16:00:15Z</t>
  </si>
  <si>
    <t>hHvQYI9D_R8</t>
  </si>
  <si>
    <t>Could Trump's trade war push Canada toward China?</t>
  </si>
  <si>
    <t>ujYYlXP12m4</t>
  </si>
  <si>
    <t>2026-08-25T15:58:50Z</t>
  </si>
  <si>
    <t>Why Do Eclipses Travel WEST to EAST?</t>
  </si>
  <si>
    <t>2024-04-01T15:41:58Z</t>
  </si>
  <si>
    <t>haCawSTYPRo</t>
  </si>
  <si>
    <t>Can Canada survive Donald Trump's 50% tariff hammer on cars and steel?</t>
  </si>
  <si>
    <t>2026-08-25T15:00:23Z</t>
  </si>
  <si>
    <t>lbjqgw-G4iQ</t>
  </si>
  <si>
    <t>Five more arrests made in fatal A66 crash taking total to 17</t>
  </si>
  <si>
    <t>2026-08-25T13:47:29Z</t>
  </si>
  <si>
    <t>HK01cP9LmG4</t>
  </si>
  <si>
    <t>Michael Clarke live Q&amp;A | Wednesday 26 August 2026</t>
  </si>
  <si>
    <t>2026-08-25T13:21:17Z</t>
  </si>
  <si>
    <t>qymOFjc8tjQ</t>
  </si>
  <si>
    <t>England cricket captain faces questions after Carse dropped following nightclub incident</t>
  </si>
  <si>
    <t>2026-08-25T12:48:21Z</t>
  </si>
  <si>
    <t>I-SpQ-9hJRw</t>
  </si>
  <si>
    <t>Tornado wreaks havoc in southern France</t>
  </si>
  <si>
    <t>2026-08-25T12:22:48Z</t>
  </si>
  <si>
    <t>Fc7y2X7_80Q</t>
  </si>
  <si>
    <t>Dozens injured as tornado rips through French village</t>
  </si>
  <si>
    <t>2026-08-25T12:05:14Z</t>
  </si>
  <si>
    <t>OnndcW1c0Q8</t>
  </si>
  <si>
    <t>Mornings with Anna Jones | Wednesday 26 August 2026</t>
  </si>
  <si>
    <t>2026-08-25T12:02:38Z</t>
  </si>
  <si>
    <t>Pv62Gr4Hhdc</t>
  </si>
  <si>
    <t>vIZyuXl-91U</t>
  </si>
  <si>
    <t>Have expectations of Burnham got too high? | Electoral Dysfunction</t>
  </si>
  <si>
    <t>Why Aren't There Eclipses Every Month?</t>
  </si>
  <si>
    <t>2026-08-25T11:56:53Z</t>
  </si>
  <si>
    <t>2024-03-21T21:21:39Z</t>
  </si>
  <si>
    <t>3iyeqdP7Zho</t>
  </si>
  <si>
    <t>We were attacked' says Carney on Trump trade war | Trump 100</t>
  </si>
  <si>
    <t>2026-08-25T10:55:50Z</t>
  </si>
  <si>
    <t>xvz7UHyg1v8</t>
  </si>
  <si>
    <t>Iran faces 'economic D-Day' as UK and Ukraine strike major AI defence deal | Michael Clarke analysis</t>
  </si>
  <si>
    <t>2026-08-25T10:42:56Z</t>
  </si>
  <si>
    <t>FjjGm7o4GME</t>
  </si>
  <si>
    <t>Castle weighing 360 tonnes is moved by hand in Japan</t>
  </si>
  <si>
    <t>2026-08-25T10:39:38Z</t>
  </si>
  <si>
    <t>i14hIX9aCKI</t>
  </si>
  <si>
    <t>World Humanoid Robot Games | Day four</t>
  </si>
  <si>
    <t>2026-08-25T09:23:42Z</t>
  </si>
  <si>
    <t>Hq4G7gOhXXo</t>
  </si>
  <si>
    <t>Alarming number of young people lose their lives once they leave care system aged 18 | Mornings</t>
  </si>
  <si>
    <t>2026-08-25T09:19:08Z</t>
  </si>
  <si>
    <t>MarjLoNKzGA</t>
  </si>
  <si>
    <t>The perilous 'care cliff' facing vulnerable young people as they turn 18</t>
  </si>
  <si>
    <t>2026-08-25T07:24:53Z</t>
  </si>
  <si>
    <t>qUXgi-18otw</t>
  </si>
  <si>
    <t>VkNF0rXuDXw</t>
  </si>
  <si>
    <t>Why is Trump slapping tariffs on his neighbour?</t>
  </si>
  <si>
    <t>Should You Wipe Off Your Sweat?</t>
  </si>
  <si>
    <t>2026-08-25T07:12:50Z</t>
  </si>
  <si>
    <t>2023-12-20T17:00:20Z</t>
  </si>
  <si>
    <t>p_9WOsDSBwg</t>
  </si>
  <si>
    <t>Vehicles and debris scattered as French village is hit by tornado</t>
  </si>
  <si>
    <t>2026-08-25T06:38:38Z</t>
  </si>
  <si>
    <t>xrXRHSXpQVM</t>
  </si>
  <si>
    <t>2026-08-25T06:20:29Z</t>
  </si>
  <si>
    <t>7sFda_yF8GU</t>
  </si>
  <si>
    <t>Are migrants really 'jumping the queue' for housing?</t>
  </si>
  <si>
    <t>2026-08-25T05:58:09Z</t>
  </si>
  <si>
    <t>mOKQb-lzBXg</t>
  </si>
  <si>
    <t>The Wrap with Gillian Joseph | Twelve arrested after A66 crash - as tributes paid to officers</t>
  </si>
  <si>
    <t>2026-08-24T23:09:52Z</t>
  </si>
  <si>
    <t>mkXTIcJl6P0</t>
  </si>
  <si>
    <t>Out of practice' Burnham plays guitar with Ukrainian soldiers</t>
  </si>
  <si>
    <t>2026-08-24T22:55:13Z</t>
  </si>
  <si>
    <t>GyzeLZK3TiA</t>
  </si>
  <si>
    <t>A66 crash: Analysing timeline of events leading up to collision</t>
  </si>
  <si>
    <t>2026-08-24T21:20:15Z</t>
  </si>
  <si>
    <t>W7mVQ3kRPv8</t>
  </si>
  <si>
    <t>The LAST Eclipse in History</t>
  </si>
  <si>
    <t>2023-12-13T17:00:51Z</t>
  </si>
  <si>
    <t>OtVxhJz_nhM</t>
  </si>
  <si>
    <t>Zelenskyy hosts Burnham in Kyiv to mark Ukraine's independence</t>
  </si>
  <si>
    <t>2026-08-24T21:05:28Z</t>
  </si>
  <si>
    <t>b9EPoyTgIlY</t>
  </si>
  <si>
    <t>A66 crash investigation deepens as tributes paid to 'embodiment of policing'</t>
  </si>
  <si>
    <t>2026-08-24T21:00:08Z</t>
  </si>
  <si>
    <t>Gf0JKo2L0-k</t>
  </si>
  <si>
    <t>What links a children's kite and Israel warning of deadly attacks?</t>
  </si>
  <si>
    <t>2026-08-24T20:09:37Z</t>
  </si>
  <si>
    <t>NmsOtXFDW3g</t>
  </si>
  <si>
    <t>A66 crash: Analysing the seven minutes before the fatal collision</t>
  </si>
  <si>
    <t>2026-08-24T19:40:13Z</t>
  </si>
  <si>
    <t>SIu_z4ULCMI</t>
  </si>
  <si>
    <t>UK tapping into Ukraine's battlefield AI expertise</t>
  </si>
  <si>
    <t>2026-08-24T19:38:01Z</t>
  </si>
  <si>
    <t>PW95NwzKKHk</t>
  </si>
  <si>
    <t>2026-08-24T19:27:49Z</t>
  </si>
  <si>
    <t>I8aYe3Qr5oU</t>
  </si>
  <si>
    <t>Oceans hit highest temperature ever recorded - what will the impact be?</t>
  </si>
  <si>
    <t>2026-08-24T19:25:04Z</t>
  </si>
  <si>
    <t>RlQSq8SP6J0</t>
  </si>
  <si>
    <t>Why can't TikTok get rid of dangerous driving content? | This is Why</t>
  </si>
  <si>
    <t>2026-08-24T18:51:12Z</t>
  </si>
  <si>
    <t>z_WRaTsGbVE</t>
  </si>
  <si>
    <t>NSahLhpn3mo</t>
  </si>
  <si>
    <t>But What IS A Lens Flare?</t>
  </si>
  <si>
    <t>Huge fire destroys 140 cars near Gatwick Airport</t>
  </si>
  <si>
    <t>2023-12-06T17:02:19Z</t>
  </si>
  <si>
    <t>2026-08-24T18:49:34Z</t>
  </si>
  <si>
    <t>xgWo3W613TQ</t>
  </si>
  <si>
    <t>Analysis: US sanctions on Iran show military action has failed</t>
  </si>
  <si>
    <t>2026-08-24T18:31:19Z</t>
  </si>
  <si>
    <t>7GzjFVKHPF8</t>
  </si>
  <si>
    <t>Scott Bessent reveals 'economic D-Day' for Iran</t>
  </si>
  <si>
    <t>2026-08-24T17:22:00Z</t>
  </si>
  <si>
    <t>yPWSEiqi_OA</t>
  </si>
  <si>
    <t>Is Storm Shadow missile a game changer for Ukraine? | Ukraine war briefing with Michael Clarke</t>
  </si>
  <si>
    <t>2026-08-24T17:00:29Z</t>
  </si>
  <si>
    <t>HS8MRzus7eU</t>
  </si>
  <si>
    <t>What if you pointed the Hubble telescope at Earth? @xkcd_whatif</t>
  </si>
  <si>
    <t>2023-11-29T18:00:09Z</t>
  </si>
  <si>
    <t>mfeILgM43rk</t>
  </si>
  <si>
    <t>Is Andy Burnham a political 'pouncer'?</t>
  </si>
  <si>
    <t>2026-08-24T16:47:04Z</t>
  </si>
  <si>
    <t>pq3mM8btHiY</t>
  </si>
  <si>
    <t>Who started the fire?': Burnham hits back at Russia</t>
  </si>
  <si>
    <t>2026-08-24T16:21:56Z</t>
  </si>
  <si>
    <t>muqE98zwqEg</t>
  </si>
  <si>
    <t>Meet the protestors furious at the changes to their communities</t>
  </si>
  <si>
    <t>2026-08-24T16:00:08Z</t>
  </si>
  <si>
    <t>nKQk-nFATxc</t>
  </si>
  <si>
    <t>Burnham v Starmer: Their approach to Ukraine Russia compared</t>
  </si>
  <si>
    <t>x9MF60ZO8rI</t>
  </si>
  <si>
    <t>2026-08-24T15:58:55Z</t>
  </si>
  <si>
    <t>The Bizarre Physics of Electric Guitars</t>
  </si>
  <si>
    <t>2023-06-14T16:49:37Z</t>
  </si>
  <si>
    <t>myVoEim6wbs</t>
  </si>
  <si>
    <t>Reform defend prioritising married couples in new housing policy</t>
  </si>
  <si>
    <t>2026-08-24T14:12:45Z</t>
  </si>
  <si>
    <t>aBRZuEo8aZA</t>
  </si>
  <si>
    <t>12 people arrested after deadly A66 collision - as more details revealed</t>
  </si>
  <si>
    <t>2026-08-24T14:08:47Z</t>
  </si>
  <si>
    <t>TbSka-cf1w4</t>
  </si>
  <si>
    <t>Ex-world snooker champion Graeme Dott guilty of child sex abuse</t>
  </si>
  <si>
    <t>2026-08-24T13:36:26Z</t>
  </si>
  <si>
    <t>YkuZLUAsnkM</t>
  </si>
  <si>
    <t>I remortgaged my home to pay for my election campaign'</t>
  </si>
  <si>
    <t>2026-08-24T11:23:32Z</t>
  </si>
  <si>
    <t>CvdjD4ZkS78</t>
  </si>
  <si>
    <t>The five challenges facing Andy Burnham this term: Politics at Sam and Anne's</t>
  </si>
  <si>
    <t>2026-08-24T10:54:45Z</t>
  </si>
  <si>
    <t>3YpICosVnbU</t>
  </si>
  <si>
    <t>World Humanoid Robot Games | Day three</t>
  </si>
  <si>
    <t>2026-08-24T09:23:38Z</t>
  </si>
  <si>
    <t>tI8OqpkOVzs</t>
  </si>
  <si>
    <t>Geosynchronous Orbits are WEIRD</t>
  </si>
  <si>
    <t>s7_6QUC-cFY</t>
  </si>
  <si>
    <t>2022-12-22T14:00:25Z</t>
  </si>
  <si>
    <t>Mornings | Burnham travels to Ukraine for first international visit as PM</t>
  </si>
  <si>
    <t>2026-08-24T09:22:47Z</t>
  </si>
  <si>
    <t>oFEfW2evInI</t>
  </si>
  <si>
    <t>Burnham arrives in Kyiv on 'Bravery Express' train</t>
  </si>
  <si>
    <t>2026-08-24T09:02:14Z</t>
  </si>
  <si>
    <t>MOviBOMKLqw</t>
  </si>
  <si>
    <t>Police step up patrols ahead of Notting Hill Carnival's 60th anniversary</t>
  </si>
  <si>
    <t>2026-08-24T09:00:31Z</t>
  </si>
  <si>
    <t>7ztu7OUU2tI</t>
  </si>
  <si>
    <t>UK's first new reservoir in 35 years: Is it enough?</t>
  </si>
  <si>
    <t>2026-08-24T08:00:06Z</t>
  </si>
  <si>
    <t>68P94QjQjDo</t>
  </si>
  <si>
    <t>Burnham arrives in Kyiv for first international trip as PM</t>
  </si>
  <si>
    <t>2026-08-24T06:34:54Z</t>
  </si>
  <si>
    <t>PoHZfDNDpsQ</t>
  </si>
  <si>
    <t>Father 'lost daughter' to exam paper leaks</t>
  </si>
  <si>
    <t>2026-08-24T06:28:41Z</t>
  </si>
  <si>
    <t>i61jAv0IhFA</t>
  </si>
  <si>
    <t>Should the UK be building new reservoirs?</t>
  </si>
  <si>
    <t>2026-08-24T05:56:13Z</t>
  </si>
  <si>
    <t>Gu77vfaQOYQ</t>
  </si>
  <si>
    <t>The Wrap | More than £200k raised as families pay tribute to officers killed 'in line of duty'</t>
  </si>
  <si>
    <t>2026-08-23T23:07:05Z</t>
  </si>
  <si>
    <t>-eqdj63nEr4</t>
  </si>
  <si>
    <t>Why Penrose Tiles Never Repeat</t>
  </si>
  <si>
    <t>0Z819sFCWAw</t>
  </si>
  <si>
    <t>2022-12-01T14:00:00Z</t>
  </si>
  <si>
    <t>Loved ones pay emotional tributes to police officers killed in Middlesbrough crash</t>
  </si>
  <si>
    <t>2026-08-23T20:38:06Z</t>
  </si>
  <si>
    <t>ebWrEkZMZ8U</t>
  </si>
  <si>
    <t>Royal biographer Andrew Morton on Harry and Meghan's decision to return to the UK</t>
  </si>
  <si>
    <t>2026-08-23T18:49:14Z</t>
  </si>
  <si>
    <t>3KnBwvim0Us</t>
  </si>
  <si>
    <t>Sky News speaks to the man tipped to replace underfire FIFA boss Gianni Infantino</t>
  </si>
  <si>
    <t>2026-08-23T17:21:14Z</t>
  </si>
  <si>
    <t>eYG0K2uYkz0</t>
  </si>
  <si>
    <t>Sky News speaks to the father of one of the dead students that sparked India’s protests</t>
  </si>
  <si>
    <t>2026-08-23T16:00:14Z</t>
  </si>
  <si>
    <t>Dc0ca-56a7A</t>
  </si>
  <si>
    <t>Five young men who died in crash which also killed two officers are named</t>
  </si>
  <si>
    <t>2026-08-23T13:31:16Z</t>
  </si>
  <si>
    <t>avDoaVDRcUs</t>
  </si>
  <si>
    <t>Can Polanski's Greens beat the 'Burnham bounce'?</t>
  </si>
  <si>
    <t>2026-08-23T11:08:05Z</t>
  </si>
  <si>
    <t>_bcfxty39Cw</t>
  </si>
  <si>
    <t>Freezing water expands. What if you don't let it?</t>
  </si>
  <si>
    <t>MNY3RAJom2A</t>
  </si>
  <si>
    <t>2022-10-14T14:41:12Z</t>
  </si>
  <si>
    <t>Boat owners 'trapped' due to low water levels</t>
  </si>
  <si>
    <t>2026-08-23T10:33:11Z</t>
  </si>
  <si>
    <t>BjpsxHxz4Yk</t>
  </si>
  <si>
    <t>Robots could harvest lava from volcanic eruptions to make 'concrete' of the future</t>
  </si>
  <si>
    <t>2026-08-23T09:18:26Z</t>
  </si>
  <si>
    <t>IiV0FIzdUmQ</t>
  </si>
  <si>
    <t>Two police officers among seven killed in A66 crash | Mornings</t>
  </si>
  <si>
    <t>2026-08-23T09:12:06Z</t>
  </si>
  <si>
    <t>Zbkqhor3EKI</t>
  </si>
  <si>
    <t>Robot beats Usain Bolt's 100m world record</t>
  </si>
  <si>
    <t>2026-08-22T22:30:50Z</t>
  </si>
  <si>
    <t>tmJoD7dp1qk</t>
  </si>
  <si>
    <t>Watch: Robot beats Usain Bolt's 100m world record</t>
  </si>
  <si>
    <t>2026-08-22T22:22:38Z</t>
  </si>
  <si>
    <t>6tu0mIpX8nU</t>
  </si>
  <si>
    <t>You're Technically HOTTER Than The Sun (with XKCD!)</t>
  </si>
  <si>
    <t>2022-09-08T18:34:09Z</t>
  </si>
  <si>
    <t>53LGzJpk8P4</t>
  </si>
  <si>
    <t>Two police officers killed in deadly A66 crash named | The Wrap</t>
  </si>
  <si>
    <t>2026-08-22T22:01:04Z</t>
  </si>
  <si>
    <t>z60MTys5I_w</t>
  </si>
  <si>
    <t>Footage shows police chase moments before fatal crash</t>
  </si>
  <si>
    <t>2026-08-22T21:00:32Z</t>
  </si>
  <si>
    <t>pr4O780kkmY</t>
  </si>
  <si>
    <t>Footage appears to show police chase moments before fatal crash</t>
  </si>
  <si>
    <t>2026-08-22T20:46:02Z</t>
  </si>
  <si>
    <t>YYVWwprHmSk</t>
  </si>
  <si>
    <t>Canadian PM: 'We cannot accept what the U.S. offered'</t>
  </si>
  <si>
    <t>2026-08-22T19:19:10Z</t>
  </si>
  <si>
    <t>s6KIA7fldrc</t>
  </si>
  <si>
    <t>Parents 'betrayed' over excessive sugar in baby food</t>
  </si>
  <si>
    <t>2026-08-22T19:02:12Z</t>
  </si>
  <si>
    <t>FVWUoLN8_Po</t>
  </si>
  <si>
    <t>Trump's 50% US tariffs on Canada to be matched 'dollar for dollar' after trade talks collapse</t>
  </si>
  <si>
    <t>2026-08-22T16:10:25Z</t>
  </si>
  <si>
    <t>jSMZoLjB9JE</t>
  </si>
  <si>
    <t>mDcM8whDGOI</t>
  </si>
  <si>
    <t>Passing A Portal Through Itself</t>
  </si>
  <si>
    <t>Attacks, fear and prayers: How catholics live amid Sudan war</t>
  </si>
  <si>
    <t>2022-09-01T16:43:59Z</t>
  </si>
  <si>
    <t>2026-08-22T16:00:26Z</t>
  </si>
  <si>
    <t>9yoLOsBFRt4</t>
  </si>
  <si>
    <t>Two police officers among seven people killed in fatal collision</t>
  </si>
  <si>
    <t>2026-08-22T15:27:06Z</t>
  </si>
  <si>
    <t>eQKS7o1We-0</t>
  </si>
  <si>
    <t>Deep divisions' as FIFA president asked to stay away from tournament</t>
  </si>
  <si>
    <t>2026-08-22T14:53:08Z</t>
  </si>
  <si>
    <t>ABI-Ub0BLYY</t>
  </si>
  <si>
    <t>Why won't you resign?': Infantino dodges questions from Sky News</t>
  </si>
  <si>
    <t>2026-08-22T13:24:54Z</t>
  </si>
  <si>
    <t>oi3YAWNFdGU</t>
  </si>
  <si>
    <t>Australia sets minimum wage rule for food delivery drivers - should the UK follow?</t>
  </si>
  <si>
    <t>2026-08-22T13:00:27Z</t>
  </si>
  <si>
    <t>tWQR3k1vfFs</t>
  </si>
  <si>
    <t>UK must prepare for lost lives as wildfire land burned hits record high</t>
  </si>
  <si>
    <t>2026-08-22T12:00:00Z</t>
  </si>
  <si>
    <t>SD9yVca6hHI</t>
  </si>
  <si>
    <t>How Many Fossils to Go an Inch? (ft. Robert Krulwich)</t>
  </si>
  <si>
    <t>2022-08-18T15:08:27Z</t>
  </si>
  <si>
    <t>Vye4kA3L9ek</t>
  </si>
  <si>
    <t>Multiple people killed in crash involving police vehicle on A66 near Middlesbrough</t>
  </si>
  <si>
    <t>2026-08-22T09:16:01Z</t>
  </si>
  <si>
    <t>ZgTti4-u8FU</t>
  </si>
  <si>
    <t>Mornings | FIFA president Infantino 'brushed off' questions from Sky News over World Cup drama</t>
  </si>
  <si>
    <t>2026-08-22T09:12:53Z</t>
  </si>
  <si>
    <t>13aGd3rPODE</t>
  </si>
  <si>
    <t>Prince Harry dealt costly blow after Mail privacy case defeat | The Wrap</t>
  </si>
  <si>
    <t>2026-08-21T23:41:41Z</t>
  </si>
  <si>
    <t>5dU55KXWghE</t>
  </si>
  <si>
    <t>Day five | Tupac murder trial: 'Tupac shoulda kept his hands to himself,' Keffe D said in interview</t>
  </si>
  <si>
    <t>2026-08-21T23:00:25Z</t>
  </si>
  <si>
    <t>Y-RSjcHWw7E</t>
  </si>
  <si>
    <t>Food Standards Agency issues egg warning after salmonella outbreak</t>
  </si>
  <si>
    <t>2026-08-21T20:58:05Z</t>
  </si>
  <si>
    <t>Gv5yrlv53Pk</t>
  </si>
  <si>
    <t>UK braced for extreme weather with record-breaking El Nino set to disrupt global weather patterns</t>
  </si>
  <si>
    <t>2026-08-21T20:34:24Z</t>
  </si>
  <si>
    <t>zDAE9A_1NA4</t>
  </si>
  <si>
    <t>Another Portal Paradox</t>
  </si>
  <si>
    <t>2022-08-04T12:00:39Z</t>
  </si>
  <si>
    <t>Xapauq3eNGk</t>
  </si>
  <si>
    <t>Prince Harry and claimants suffer crushing defeat in Daily Mail privacy case</t>
  </si>
  <si>
    <t>2026-08-21T19:31:32Z</t>
  </si>
  <si>
    <t>qkXJWo_0eZQ</t>
  </si>
  <si>
    <t>Meghan Markle 'in talks' for Netflix acting comeback</t>
  </si>
  <si>
    <t>2026-08-21T18:06:57Z</t>
  </si>
  <si>
    <t>QocozfYaYMs</t>
  </si>
  <si>
    <t>JD Vance gives economy speech in hometown as Trump team looks ahead to midterms</t>
  </si>
  <si>
    <t>2026-08-21T17:44:14Z</t>
  </si>
  <si>
    <t>wrXfHhCICdk</t>
  </si>
  <si>
    <t>This was not a mistake': Russia accused of deliberate Finland airspace breach | Sean Bell analysis</t>
  </si>
  <si>
    <t>2026-08-21T17:14:08Z</t>
  </si>
  <si>
    <t>isWl0IkF6OQ</t>
  </si>
  <si>
    <t>The UK is working with Palantir, it has some people worried. This is Why</t>
  </si>
  <si>
    <t>2026-08-21T16:00:05Z</t>
  </si>
  <si>
    <t>TWBEi4ZcLu4</t>
  </si>
  <si>
    <t>The Trinity of Quality</t>
  </si>
  <si>
    <t>2022-06-29T11:52:29Z</t>
  </si>
  <si>
    <t>oVVWCZ1lXnQ</t>
  </si>
  <si>
    <t>Burnham addresses first national day for victims &amp; survivors of terrorism</t>
  </si>
  <si>
    <t>2026-08-21T15:17:32Z</t>
  </si>
  <si>
    <t>xhzlZrnQhLY</t>
  </si>
  <si>
    <t>How are ‘mega-donors’ buying political influence?</t>
  </si>
  <si>
    <t>2026-08-21T15:00:05Z</t>
  </si>
  <si>
    <t>tAlvSu9_x9c</t>
  </si>
  <si>
    <t>Prince Harry, Elton John and others to pay initial £9.5m legal costs to the Daily Mail's publishers</t>
  </si>
  <si>
    <t>2026-08-21T14:22:05Z</t>
  </si>
  <si>
    <t>2maCkWg3CBg</t>
  </si>
  <si>
    <t>Inside Israel’s settlement economy as Palestinians call for UK trade ban</t>
  </si>
  <si>
    <t>2026-08-21T12:00:37Z</t>
  </si>
  <si>
    <t>4BNgsLdZxFk</t>
  </si>
  <si>
    <t>Reports suggest Meghan has been offered a new acting role in the UK</t>
  </si>
  <si>
    <t>2026-08-21T10:57:39Z</t>
  </si>
  <si>
    <t>7aGX9dmcD0Y</t>
  </si>
  <si>
    <t>Why is there another food scare in the US?</t>
  </si>
  <si>
    <t>2026-08-21T10:12:41Z</t>
  </si>
  <si>
    <t>9h4MKxGIq3M</t>
  </si>
  <si>
    <t>s5w7NxRP87w</t>
  </si>
  <si>
    <t>Former Pakistan prime minister Imran Khan back in prison after hospital treatment</t>
  </si>
  <si>
    <t>Announcing...</t>
  </si>
  <si>
    <t>2026-08-21T10:12:22Z</t>
  </si>
  <si>
    <t>2022-06-16T17:35:30Z</t>
  </si>
  <si>
    <t>WJpfv5GHyEU</t>
  </si>
  <si>
    <t>Sky News reports from Israel on the West Bank settlement economy | Mornings with Melbourne</t>
  </si>
  <si>
    <t>2026-08-21T09:14:18Z</t>
  </si>
  <si>
    <t>ZhU2_te2GcM</t>
  </si>
  <si>
    <t>Meet the women reshaping the hard right</t>
  </si>
  <si>
    <t>2026-08-21T05:00:16Z</t>
  </si>
  <si>
    <t>3_-1N2uxVpg</t>
  </si>
  <si>
    <t>Day four | Suspect names person who allegedly shot Tupac in audio played in court</t>
  </si>
  <si>
    <t>2026-08-21T01:06:13Z</t>
  </si>
  <si>
    <t>I0VGgqUjCIE</t>
  </si>
  <si>
    <t>Harry and Meghan set to move back to UK | The Wrap</t>
  </si>
  <si>
    <t>2026-08-21T00:45:15Z</t>
  </si>
  <si>
    <t>5DmmkzxIz9s</t>
  </si>
  <si>
    <t>Burnham says Harry and Meghan's security is 'private matter' | The Wrap</t>
  </si>
  <si>
    <t>2026-08-20T23:08:44Z</t>
  </si>
  <si>
    <t>bSVfItpvG5Q</t>
  </si>
  <si>
    <t>Most Collisions Are Secretly in One Dimension</t>
  </si>
  <si>
    <t>2022-05-26T13:00:13Z</t>
  </si>
  <si>
    <t>vcnMwCQVtpw</t>
  </si>
  <si>
    <t>Waxwork Harry and Meghan shifted by Madame Tussauds</t>
  </si>
  <si>
    <t>2026-08-20T22:57:25Z</t>
  </si>
  <si>
    <t>x9I4-mYKQQg</t>
  </si>
  <si>
    <t>New footage shows confrontation between French police and Channel migrants</t>
  </si>
  <si>
    <t>2026-08-20T22:32:08Z</t>
  </si>
  <si>
    <t>XQIVJO8cMQU</t>
  </si>
  <si>
    <t>Video shows migrants clashing with French border police</t>
  </si>
  <si>
    <t>2026-08-20T21:38:27Z</t>
  </si>
  <si>
    <t>jXM-0ecWTnM</t>
  </si>
  <si>
    <t>Former Pakistan PM Imran Khan transferred to hospital from prison - local media reports</t>
  </si>
  <si>
    <t>2026-08-20T21:15:34Z</t>
  </si>
  <si>
    <t>MUyFFpB-SSY</t>
  </si>
  <si>
    <t>Former Pakistan PM Imran Khan transported to hospital</t>
  </si>
  <si>
    <t>2026-08-20T20:26:26Z</t>
  </si>
  <si>
    <t>6ERXfZTFbFQ</t>
  </si>
  <si>
    <t>Is Anything on the Internet Real?</t>
  </si>
  <si>
    <t>2021-12-22T15:15:01Z</t>
  </si>
  <si>
    <t>Zs1YuxNBrQg</t>
  </si>
  <si>
    <t>First lady Melania Trump speaks at the White House</t>
  </si>
  <si>
    <t>2026-08-20T20:11:21Z</t>
  </si>
  <si>
    <t>xmyHsjd1r08</t>
  </si>
  <si>
    <t>Tanker hijacked off Yemen coast and diverted towards Somalia | Sean Bell analysis</t>
  </si>
  <si>
    <t>2026-08-20T18:00:13Z</t>
  </si>
  <si>
    <t>XkS44rBEg8Y</t>
  </si>
  <si>
    <t>Will UK taxpayers have to cover the Sussexes' security?</t>
  </si>
  <si>
    <t>2026-08-20T17:48:56Z</t>
  </si>
  <si>
    <t>aawh_i5drCM</t>
  </si>
  <si>
    <t>Harry and Meghan to return to UK as security questions remain</t>
  </si>
  <si>
    <t>2026-08-20T17:30:35Z</t>
  </si>
  <si>
    <t>eXUPU-I4Ldg</t>
  </si>
  <si>
    <t>How Sudan's children suffer</t>
  </si>
  <si>
    <t>2026-08-20T16:18:21Z</t>
  </si>
  <si>
    <t>G08_OVFxSns</t>
  </si>
  <si>
    <t>I hope it's not taxpayers' money': What people think of Harry and Meghan's return</t>
  </si>
  <si>
    <t>2026-08-20T16:02:08Z</t>
  </si>
  <si>
    <t>8_28g1eK4Io</t>
  </si>
  <si>
    <t>Inside the online networks turning Gen Z women towards ethno-nationalism</t>
  </si>
  <si>
    <t>2026-08-20T16:00:39Z</t>
  </si>
  <si>
    <t>eRRsIxBXWs8</t>
  </si>
  <si>
    <t>The story behind Harry and Meghan's return. This is Why</t>
  </si>
  <si>
    <t>2026-08-20T15:32:37Z</t>
  </si>
  <si>
    <t>vLIPUdru82c</t>
  </si>
  <si>
    <t>The Problem With The Butterfly Effect</t>
  </si>
  <si>
    <t>7amMEmVhwRE</t>
  </si>
  <si>
    <t>2021-10-21T13:00:22Z</t>
  </si>
  <si>
    <t>Colonial attitude': Israel hits back at Ed Miliband over West Bank settlement plans</t>
  </si>
  <si>
    <t>2026-08-20T11:15:11Z</t>
  </si>
  <si>
    <t>q8sR8FWVAc4</t>
  </si>
  <si>
    <t>Suella Braverman and Richard Tice unveil apprenticeship scheme</t>
  </si>
  <si>
    <t>2026-08-20T10:53:54Z</t>
  </si>
  <si>
    <t>sqj4CwhURHQ</t>
  </si>
  <si>
    <t>Watch as students open their results envelopes live on Sky News</t>
  </si>
  <si>
    <t>2026-08-20T10:41:21Z</t>
  </si>
  <si>
    <t>nNICMnR0qUU</t>
  </si>
  <si>
    <t>Harry and Meghan moving back to UK this month | Mornings</t>
  </si>
  <si>
    <t>2026-08-20T09:18:53Z</t>
  </si>
  <si>
    <t>jo8YUGMZuqQ</t>
  </si>
  <si>
    <t>Frank Lampard talks Premier League return and Coventry aspirations | Extended interview</t>
  </si>
  <si>
    <t>2026-08-20T05:00:30Z</t>
  </si>
  <si>
    <t>qhK6RdiUNnE</t>
  </si>
  <si>
    <t>eCD6ahMihoc</t>
  </si>
  <si>
    <t>Day three | Tupac murder trial: Ex-detective faces questioning in court</t>
  </si>
  <si>
    <t>(A book with the answer)</t>
  </si>
  <si>
    <t>2026-08-19T23:51:13Z</t>
  </si>
  <si>
    <t>2021-10-08T13:15:04Z</t>
  </si>
  <si>
    <t>GzUbollbvuc</t>
  </si>
  <si>
    <t>Israeli army orders criminal investigation into killing of Palestinian girl Hind Rajab</t>
  </si>
  <si>
    <t>2026-08-19T22:00:16Z</t>
  </si>
  <si>
    <t>8PBKlNvHLwE</t>
  </si>
  <si>
    <t>Harry and Meghan set to move back to UK this month | Sky News coverage and analysis</t>
  </si>
  <si>
    <t>2026-08-19T21:28:29Z</t>
  </si>
  <si>
    <t>0hUCYJ1PQps</t>
  </si>
  <si>
    <t>It hits home we're not coming back'</t>
  </si>
  <si>
    <t>2026-08-19T20:47:45Z</t>
  </si>
  <si>
    <t>bPlHSBFJMys</t>
  </si>
  <si>
    <t>Trump hosts tech leaders at the White House</t>
  </si>
  <si>
    <t>2026-08-19T20:01:42Z</t>
  </si>
  <si>
    <t>qTafXwXeEOs</t>
  </si>
  <si>
    <t>Nearly half of Brits are wrong about small boat crossing numbers, poll shows</t>
  </si>
  <si>
    <t>2026-08-19T19:30:20Z</t>
  </si>
  <si>
    <t>M3Cf9jZWddY</t>
  </si>
  <si>
    <t>Referees can face hateful commentary and threats</t>
  </si>
  <si>
    <t>2026-08-19T18:59:41Z</t>
  </si>
  <si>
    <t>9yU6B7917Ho</t>
  </si>
  <si>
    <t>Howard Webb talks VAR, Balogun red card and new laws for 2026/2027 | Extended interview</t>
  </si>
  <si>
    <t>2026-08-19T18:30:12Z</t>
  </si>
  <si>
    <t>kU8TEcie4hY</t>
  </si>
  <si>
    <t>The Rocket &amp; String Paradox</t>
  </si>
  <si>
    <t>552p0P9aKg4</t>
  </si>
  <si>
    <t>2021-08-18T13:00:11Z</t>
  </si>
  <si>
    <t>It hits home we're not coming back': Stourbridge resident loses childhood home</t>
  </si>
  <si>
    <t>2026-08-19T17:58:20Z</t>
  </si>
  <si>
    <t>9U2CtpyM6XI</t>
  </si>
  <si>
    <t>Trump's split from South Korea will damage his allies. This is Why</t>
  </si>
  <si>
    <t>2026-08-19T17:00:37Z</t>
  </si>
  <si>
    <t>VvfY0xhMHKA</t>
  </si>
  <si>
    <t>Bodycam shows jailed men at 2025 anti-migrant protests</t>
  </si>
  <si>
    <t>2026-08-19T16:24:23Z</t>
  </si>
  <si>
    <t>glUFRGLcuac</t>
  </si>
  <si>
    <t>Manhunt under way after double murder in Glasgow</t>
  </si>
  <si>
    <t>2026-08-19T16:10:27Z</t>
  </si>
  <si>
    <t>W2Xb2GFK2yc</t>
  </si>
  <si>
    <t>A Better Way To Picture Atoms</t>
  </si>
  <si>
    <t>rW_7ZEGy4lA</t>
  </si>
  <si>
    <t>2021-05-19T13:22:08Z</t>
  </si>
  <si>
    <t>Teenagers willing to die for their country in Sudan’s war</t>
  </si>
  <si>
    <t>2026-08-19T16:00:12Z</t>
  </si>
  <si>
    <t>dlQ8i2UsP50</t>
  </si>
  <si>
    <t>Trump gives tour of new White House helipad</t>
  </si>
  <si>
    <t>2026-08-19T15:42:49Z</t>
  </si>
  <si>
    <t>0MBARPOJiOA</t>
  </si>
  <si>
    <t>Trump gives tour of construction work at White House</t>
  </si>
  <si>
    <t>2026-08-19T15:34:23Z</t>
  </si>
  <si>
    <t>K22X8mX_hHk</t>
  </si>
  <si>
    <t>Three people who died in Shoreham incident named</t>
  </si>
  <si>
    <t>2026-08-19T14:50:31Z</t>
  </si>
  <si>
    <t>RjhWFqUFdDQ</t>
  </si>
  <si>
    <t>Would UK be ready for Russian attacks? Is Zelenskyy really in danger? | Michael Clarke live Q&amp;A</t>
  </si>
  <si>
    <t>2026-08-19T13:07:39Z</t>
  </si>
  <si>
    <t>CI-bwqhhTTw</t>
  </si>
  <si>
    <t>yYvKjOkDK64</t>
  </si>
  <si>
    <t>Why your energy bills are rising again</t>
  </si>
  <si>
    <t>2026-08-19T13:01:51Z</t>
  </si>
  <si>
    <t>PEHbnsV_Fg4</t>
  </si>
  <si>
    <t>2026-08-19T12:15:39Z</t>
  </si>
  <si>
    <t>tcT5jdgpFTE</t>
  </si>
  <si>
    <t>Zelenskyy facing an "extraordinary situation" says Michael Clarke</t>
  </si>
  <si>
    <t>Windmills Are NOT Like Dams</t>
  </si>
  <si>
    <t>2026-08-19T10:19:25Z</t>
  </si>
  <si>
    <t>2021-04-01T14:14:26Z</t>
  </si>
  <si>
    <t>yERpLs3iMj0</t>
  </si>
  <si>
    <t>Shadow energy secretary outlines alternative to net zero</t>
  </si>
  <si>
    <t>2026-08-19T10:12:54Z</t>
  </si>
  <si>
    <t>7tOgLc_7AdI</t>
  </si>
  <si>
    <t>Burnham vows to give rough sleepers immediate route off the streets this Christmas | Mornings</t>
  </si>
  <si>
    <t>2026-08-19T09:35:31Z</t>
  </si>
  <si>
    <t>-ylFSGq9k7w</t>
  </si>
  <si>
    <t>Zelenskyy under pressure to hold election</t>
  </si>
  <si>
    <t>2026-08-19T09:23:19Z</t>
  </si>
  <si>
    <t>hQm_Zj_iksw</t>
  </si>
  <si>
    <t>Why is the mushroom killer back in court?</t>
  </si>
  <si>
    <t>2026-08-19T06:35:55Z</t>
  </si>
  <si>
    <t>hT2uznDztg0</t>
  </si>
  <si>
    <t>Day two | Tupac murder trial: rapper's relatives leave courtroom as photo of his body is shown</t>
  </si>
  <si>
    <t>2026-08-19T00:18:14Z</t>
  </si>
  <si>
    <t>RfrV8C8fRPI</t>
  </si>
  <si>
    <t>95sQcSulRFM</t>
  </si>
  <si>
    <t>Three family members dead after incident in Shoreham | The Wrap</t>
  </si>
  <si>
    <t>Why Do Boats Make This Shape?</t>
  </si>
  <si>
    <t>2026-08-18T23:08:12Z</t>
  </si>
  <si>
    <t>2021-03-21T14:00:02Z</t>
  </si>
  <si>
    <t>Pc4OCV2rpyk</t>
  </si>
  <si>
    <t>Britain made another step to escalation': former adviser to Putin discusses Moscow's threats to UK</t>
  </si>
  <si>
    <t>2026-08-18T22:30:06Z</t>
  </si>
  <si>
    <t>BICaZNyXXkw</t>
  </si>
  <si>
    <t>Ireland's TikTok joyriders: The young men 'dying for likes'</t>
  </si>
  <si>
    <t>2026-08-18T21:45:40Z</t>
  </si>
  <si>
    <t>KGGSa_kt8yU</t>
  </si>
  <si>
    <t>Three family members dead  after incident in Shoreham</t>
  </si>
  <si>
    <t>2026-08-18T20:45:21Z</t>
  </si>
  <si>
    <t>8oIH8-lGJSs</t>
  </si>
  <si>
    <t>Big tech back in court - but does the trial really matter?</t>
  </si>
  <si>
    <t>2026-08-18T20:00:35Z</t>
  </si>
  <si>
    <t>sEzP7WmwrLg</t>
  </si>
  <si>
    <t>WGKIjojADmg</t>
  </si>
  <si>
    <t>Man City case taking 'longer than expected'</t>
  </si>
  <si>
    <t>2026-08-18T19:58:14Z</t>
  </si>
  <si>
    <t>The Physics of Windmill Design</t>
  </si>
  <si>
    <t>2021-03-02T14:00:23Z</t>
  </si>
  <si>
    <t>aZ1hMd9Ruj4</t>
  </si>
  <si>
    <t>Premier League boss: 'There should be a new FIFA President'</t>
  </si>
  <si>
    <t>2026-08-18T18:19:21Z</t>
  </si>
  <si>
    <t>Iz_EAeKH1tw</t>
  </si>
  <si>
    <t>Premier League chief says Manchester City verdict has 'taken longer than expected'</t>
  </si>
  <si>
    <t>2026-08-18T18:11:45Z</t>
  </si>
  <si>
    <t>3Kjmmu5_pkE</t>
  </si>
  <si>
    <t>Could this Meta trial reshape social media for good?</t>
  </si>
  <si>
    <t>2026-08-18T18:03:30Z</t>
  </si>
  <si>
    <t>U7Qk9RZbaBc</t>
  </si>
  <si>
    <t>Russia has threatened the UK again. This is Why</t>
  </si>
  <si>
    <t>2026-08-18T18:00:12Z</t>
  </si>
  <si>
    <t>s0BvkpYsGMM</t>
  </si>
  <si>
    <t>Robot girlfriends and cosplay dates: how love is changing in China</t>
  </si>
  <si>
    <t>2026-08-18T16:00:12Z</t>
  </si>
  <si>
    <t>5s9fZqiVK0Q</t>
  </si>
  <si>
    <t>What are Russia's threats to UK and how serious are they?</t>
  </si>
  <si>
    <t>2026-08-18T15:48:41Z</t>
  </si>
  <si>
    <t>eNhJY-R3Gwg</t>
  </si>
  <si>
    <t>General Relativity Explained in 7 Levels of Difficulty</t>
  </si>
  <si>
    <t>9uo91zpzCHY</t>
  </si>
  <si>
    <t>2021-02-18T17:25:09Z</t>
  </si>
  <si>
    <t>2026-08-18T15:14:07Z</t>
  </si>
  <si>
    <t>Pqj9tMHWpyA</t>
  </si>
  <si>
    <t>Russia threatens UK over use of drones</t>
  </si>
  <si>
    <t>2026-08-18T13:27:01Z</t>
  </si>
  <si>
    <t>XqLSf6wKRIk</t>
  </si>
  <si>
    <t>British couple killed in Greek helicopter crash named</t>
  </si>
  <si>
    <t>2026-08-18T13:15:28Z</t>
  </si>
  <si>
    <t>5qXbd3sNgBc</t>
  </si>
  <si>
    <t>How serious is the threat of a melting glacier?</t>
  </si>
  <si>
    <t>2026-08-18T13:00:40Z</t>
  </si>
  <si>
    <t>KHglrFQDMnA</t>
  </si>
  <si>
    <t>What will Burnham do on defence? With Professor Michael Clarke</t>
  </si>
  <si>
    <t>2026-08-18T12:42:38Z</t>
  </si>
  <si>
    <t>wCIIkLYrEuU</t>
  </si>
  <si>
    <t>Burnham questioned over Trump aide impersonator texts</t>
  </si>
  <si>
    <t>2026-08-18T12:39:00Z</t>
  </si>
  <si>
    <t>IZ_8b_Ydsv0</t>
  </si>
  <si>
    <t>2TwgvdhPymc</t>
  </si>
  <si>
    <t>Why LESS Sensitive Tests Might Be Better</t>
  </si>
  <si>
    <t>Russia threatens UK with 'inevitable consequences' | Michael Clarke analysis</t>
  </si>
  <si>
    <t>2021-01-14T14:00:10Z</t>
  </si>
  <si>
    <t>2026-08-18T12:21:34Z</t>
  </si>
  <si>
    <t>X2uuxxQNpx4</t>
  </si>
  <si>
    <t>Why isn't the UK doing more to intervene in the war in Sudan?</t>
  </si>
  <si>
    <t>2026-08-18T12:10:36Z</t>
  </si>
  <si>
    <t>-viVt01D_Y4</t>
  </si>
  <si>
    <t>Rapper Tupac Shakur murdered because of attack on gang leader's nephew, court hears</t>
  </si>
  <si>
    <t>2026-08-18T10:23:45Z</t>
  </si>
  <si>
    <t>seEaCjXVJ4E</t>
  </si>
  <si>
    <t>How did an Open AI model manage to hack another company?</t>
  </si>
  <si>
    <t>2026-08-18T06:40:03Z</t>
  </si>
  <si>
    <t>1vIAh37f_VE</t>
  </si>
  <si>
    <t>Why is everyone talking about Trump’s aide ‘Natalie’?</t>
  </si>
  <si>
    <t>2026-08-18T06:00:02Z</t>
  </si>
  <si>
    <t>e4ZrGS0XBME</t>
  </si>
  <si>
    <t>Trump threatens to bomb Oman over Strait of Hormuz | The Wrap</t>
  </si>
  <si>
    <t>2026-08-17T23:03:06Z</t>
  </si>
  <si>
    <t>8GVroq_szY4</t>
  </si>
  <si>
    <t>Day one | Tupac murder trial: former gangster in court - 30 years on from Las Vegas shooting</t>
  </si>
  <si>
    <t>2026-08-17T22:48:45Z</t>
  </si>
  <si>
    <t>Y47t9qLc9I4</t>
  </si>
  <si>
    <t>Why Masks Work BETTER Than You'd Think</t>
  </si>
  <si>
    <t>nwyQI-96VJw</t>
  </si>
  <si>
    <t>2020-09-08T13:06:47Z</t>
  </si>
  <si>
    <t>Thousands attend Jason Arday vigil in London</t>
  </si>
  <si>
    <t>2026-08-17T22:15:22Z</t>
  </si>
  <si>
    <t>54CyGtrPxkU</t>
  </si>
  <si>
    <t>Should UK continue to rely on energy imports in an uncertain world?</t>
  </si>
  <si>
    <t>2026-08-17T21:45:27Z</t>
  </si>
  <si>
    <t>lPHGREJFG40</t>
  </si>
  <si>
    <t>Vigil held for Jason Arday in Trafalgar Square</t>
  </si>
  <si>
    <t>2026-08-17T18:43:05Z</t>
  </si>
  <si>
    <t>aBXVk_VwgN0</t>
  </si>
  <si>
    <t>Trump speaks after threatening to 'bomb the s***' out of Oman</t>
  </si>
  <si>
    <t>2026-08-17T18:18:10Z</t>
  </si>
  <si>
    <t>6aqsRswhrwI</t>
  </si>
  <si>
    <t>The Government's defence of the national emergency alert. This is Why</t>
  </si>
  <si>
    <t>2026-08-17T18:00:23Z</t>
  </si>
  <si>
    <t>yWYvjCmYOM0</t>
  </si>
  <si>
    <t>What is Putin doing in NATO airspace?</t>
  </si>
  <si>
    <t>2026-08-17T17:30:05Z</t>
  </si>
  <si>
    <t>INpVD65s8mA</t>
  </si>
  <si>
    <t>The AI hacks are so much worse than you think</t>
  </si>
  <si>
    <t>2026-08-17T17:00:29Z</t>
  </si>
  <si>
    <t>1VuKKic-AB0</t>
  </si>
  <si>
    <t>Burnt to a crisp': Stourbridge residents return home after fire</t>
  </si>
  <si>
    <t>2026-08-17T16:30:28Z</t>
  </si>
  <si>
    <t>MGZqszdQ0Y4</t>
  </si>
  <si>
    <t>Is it finally about to rain?</t>
  </si>
  <si>
    <t>2026-08-17T16:11:44Z</t>
  </si>
  <si>
    <t>7Wwfhs3Z15c</t>
  </si>
  <si>
    <t>Fans gather with friends and family in Swansea for Bonnie Tyler's funeral</t>
  </si>
  <si>
    <t>eAdanPfQdCA</t>
  </si>
  <si>
    <t>2026-08-17T15:10:14Z</t>
  </si>
  <si>
    <t>The Astounding Physics of N95 Masks</t>
  </si>
  <si>
    <t>2020-06-18T13:13:45Z</t>
  </si>
  <si>
    <t>9BLUvXbuXSQ</t>
  </si>
  <si>
    <t>Minister condemns 'reckless' car crash that killed teens in County Kildare</t>
  </si>
  <si>
    <t>2026-08-17T14:55:03Z</t>
  </si>
  <si>
    <t>DAwuO-NunpA</t>
  </si>
  <si>
    <t>Fans gather with friends and family for Bonnie Tyler's funeral</t>
  </si>
  <si>
    <t>2026-08-17T12:45:59Z</t>
  </si>
  <si>
    <t>mSW_IwpGeAI</t>
  </si>
  <si>
    <t>Thirty years on, will a murder trial finally reveal who killed Tupac?</t>
  </si>
  <si>
    <t>2026-08-17T12:00:26Z</t>
  </si>
  <si>
    <t>GbV4kTC4uaA</t>
  </si>
  <si>
    <t>Reform pledge to block foreign nationals from receiving benefits</t>
  </si>
  <si>
    <t>2026-08-17T11:09:42Z</t>
  </si>
  <si>
    <t>E9BrfIOGQ5E</t>
  </si>
  <si>
    <t>Mental health a 'priority' on long-deployed US carrier</t>
  </si>
  <si>
    <t>2026-08-17T11:06:04Z</t>
  </si>
  <si>
    <t>54XLXg4fYsc</t>
  </si>
  <si>
    <t>How To Tell If We're Beating COVID-19</t>
  </si>
  <si>
    <t>2020-03-27T17:10:04Z</t>
  </si>
  <si>
    <t>l1hQC4ruzwk</t>
  </si>
  <si>
    <t>Congo steps up Ebola battle with vaccine | DW News</t>
  </si>
  <si>
    <t>2026-08-26T01:15:38Z</t>
  </si>
  <si>
    <t>UCknLrEdhRCp1aegoMqRaCZg</t>
  </si>
  <si>
    <t>DW News</t>
  </si>
  <si>
    <t>GO6UcaC14ng</t>
  </si>
  <si>
    <t>Three things you didn't know about Dolly Parton | DW News</t>
  </si>
  <si>
    <t>2026-08-26T01:00:06Z</t>
  </si>
  <si>
    <t>jxlz5DxGgVs</t>
  </si>
  <si>
    <t>Why the CIA chief might have made a secret Moscow visit | DW News</t>
  </si>
  <si>
    <t>2026-08-26T00:30:27Z</t>
  </si>
  <si>
    <t>FG4ZgYbveuU</t>
  </si>
  <si>
    <t>What the latest drone finding reveals about the suspected hybrid attack at Leipzig airport | DW News</t>
  </si>
  <si>
    <t>2026-08-26T00:00:01Z</t>
  </si>
  <si>
    <t>C_AftkBcU9w</t>
  </si>
  <si>
    <t>Danish PM Mette Frederiksen rebukes surgeon’s beauty advice | DW News</t>
  </si>
  <si>
    <t>2026-08-25T23:50:35Z</t>
  </si>
  <si>
    <t>Elt0Gt9Cb6Q</t>
  </si>
  <si>
    <t>zBH1M7OKuso</t>
  </si>
  <si>
    <t>How to Tell Matter From Antimatter | CP Violation &amp; The Ozma Problem</t>
  </si>
  <si>
    <t>US country music legend Dolly Parton dies at 80 | DW News</t>
  </si>
  <si>
    <t>2020-02-26T13:55:24Z</t>
  </si>
  <si>
    <t>2026-08-25T22:51:39Z</t>
  </si>
  <si>
    <t>icTRZmuRhwc</t>
  </si>
  <si>
    <t>Country music legend Dolly Parton dies aged 80 | DW News</t>
  </si>
  <si>
    <t>2026-08-25T21:15:29Z</t>
  </si>
  <si>
    <t>Rqr741R2syQ</t>
  </si>
  <si>
    <t>Can Friedrich Merz deliver the comeback Germany needs? | DW News</t>
  </si>
  <si>
    <t>2026-08-25T19:59:58Z</t>
  </si>
  <si>
    <t>cdIoPTn72RE</t>
  </si>
  <si>
    <t>Canada matches US tariffs as relations fall to a new low | DW News</t>
  </si>
  <si>
    <t>2026-08-25T19:59:39Z</t>
  </si>
  <si>
    <t>4joHfM4vsNU</t>
  </si>
  <si>
    <t>Thousands join effort to move 360-ton castle | DW News</t>
  </si>
  <si>
    <t>2026-08-25T19:00:02Z</t>
  </si>
  <si>
    <t>9g1NlJy_css</t>
  </si>
  <si>
    <t>Latvia investigates new underground route from Belarus | DW News</t>
  </si>
  <si>
    <t>2WLYukAH-eY</t>
  </si>
  <si>
    <t>2026-08-25T18:16:59Z</t>
  </si>
  <si>
    <t>Reimagining the Periodic Table</t>
  </si>
  <si>
    <t>2019-12-20T13:43:26Z</t>
  </si>
  <si>
    <t>NdtaXKwSekY</t>
  </si>
  <si>
    <t>Ukrainian independence celebrated with arms | DW News</t>
  </si>
  <si>
    <t>2026-08-25T18:00:34Z</t>
  </si>
  <si>
    <t>cydl7ufrZN8</t>
  </si>
  <si>
    <t>Sonam Wangchuk: 'My hunger strike was worth it' | DW News</t>
  </si>
  <si>
    <t>2026-08-25T17:32:25Z</t>
  </si>
  <si>
    <t>R_RfISBKd5I</t>
  </si>
  <si>
    <t>The migrant smuggling tunnels beneath the Latvia/Belarus border | DW News</t>
  </si>
  <si>
    <t>2026-08-25T17:18:05Z</t>
  </si>
  <si>
    <t>D_7xjrof4zk</t>
  </si>
  <si>
    <t>Can the US cripple Iran without taking on China? | DW News</t>
  </si>
  <si>
    <t>2026-08-25T16:18:46Z</t>
  </si>
  <si>
    <t>QcsznG9mj2Q</t>
  </si>
  <si>
    <t>New drone discovered in Leipzig | DW News</t>
  </si>
  <si>
    <t>2026-08-25T15:59:24Z</t>
  </si>
  <si>
    <t>1t4dOPxKgrY</t>
  </si>
  <si>
    <t>bGxchpuotMk</t>
  </si>
  <si>
    <t>Why Do Mirrors Flip Left &amp; Right (but not up &amp; down)?</t>
  </si>
  <si>
    <t>Why Google’s AI appears to be racist | DW News</t>
  </si>
  <si>
    <t>2019-12-06T14:00:00Z</t>
  </si>
  <si>
    <t>2026-08-25T15:06:49Z</t>
  </si>
  <si>
    <t>dqxVIHaFHmE</t>
  </si>
  <si>
    <t>Is Germany ready for crisis? The state of civil defense | DW News</t>
  </si>
  <si>
    <t>2026-08-25T15:00:35Z</t>
  </si>
  <si>
    <t>EERP0buFwtQ</t>
  </si>
  <si>
    <t>Germany's hot summer cost the country billions | DW News</t>
  </si>
  <si>
    <t>2026-08-25T14:43:57Z</t>
  </si>
  <si>
    <t>MgECwjI7e14</t>
  </si>
  <si>
    <t>Dozens die in Haiti gang violence | DW News</t>
  </si>
  <si>
    <t>2026-08-25T11:03:11Z</t>
  </si>
  <si>
    <t>xvojEesabFI</t>
  </si>
  <si>
    <t>Eyewitness captures tornado in southern France on video | DW News</t>
  </si>
  <si>
    <t>2026-08-25T08:55:12Z</t>
  </si>
  <si>
    <t>zYOMyYfYiYI</t>
  </si>
  <si>
    <t>US treasury secretary compares fall of Berlin Wall to Iran war | DW News</t>
  </si>
  <si>
    <t>2026-08-25T02:35:09Z</t>
  </si>
  <si>
    <t>NvNYMu1OtTE</t>
  </si>
  <si>
    <t>Why Russia is expanding its war against Ukraine beyond the front lines | DW News</t>
  </si>
  <si>
    <t>2026-08-25T02:15:10Z</t>
  </si>
  <si>
    <t>Fv1JJ227CQk</t>
  </si>
  <si>
    <t>Do Photons Cast Shadows?</t>
  </si>
  <si>
    <t>2019-11-06T17:08:24Z</t>
  </si>
  <si>
    <t>kaNuvY0KhP0</t>
  </si>
  <si>
    <t>US announces economic D-day and harshest sanctions ever | DW News</t>
  </si>
  <si>
    <t>2026-08-25T01:29:14Z</t>
  </si>
  <si>
    <t>T_MfcPJXDi0</t>
  </si>
  <si>
    <t>Why Canada rejected Trump's terms despite economic risks | DW News</t>
  </si>
  <si>
    <t>2026-08-25T00:34:10Z</t>
  </si>
  <si>
    <t>8RQtphK0Cd8</t>
  </si>
  <si>
    <t>Europe rallies behind Ukraine on the country’s 35th Independence Day | DW News</t>
  </si>
  <si>
    <t>2026-08-24T22:29:53Z</t>
  </si>
  <si>
    <t>cExKCzMRIro</t>
  </si>
  <si>
    <t>Russia’s assault on Odesa is choking a vital route for Ukrainian exports | DW News</t>
  </si>
  <si>
    <t>2026-08-24T22:10:22Z</t>
  </si>
  <si>
    <t>6MPUpfxFssE</t>
  </si>
  <si>
    <t>How Europe can support Canada in its trade war with Trump | DW News</t>
  </si>
  <si>
    <t>2026-08-24T21:25:25Z</t>
  </si>
  <si>
    <t>kwR-Ks96ZHg</t>
  </si>
  <si>
    <t>Coordinated attacks reignite fears in southern Thailand | DW News</t>
  </si>
  <si>
    <t>2026-08-24T18:45:14Z</t>
  </si>
  <si>
    <t>Km_rAPmVEfk</t>
  </si>
  <si>
    <t>Va5T2KcYiOw</t>
  </si>
  <si>
    <t>Too much to bear: Robot weightlifter collapses | DW News</t>
  </si>
  <si>
    <t>The Man Who Corrected Einstein</t>
  </si>
  <si>
    <t>2026-08-24T18:15:22Z</t>
  </si>
  <si>
    <t>2019-10-15T13:15:00Z</t>
  </si>
  <si>
    <t>xE0C3QQvVKE</t>
  </si>
  <si>
    <t>Ulrich Siegmund: Here to save Germany, or destroy democracy? | DW News</t>
  </si>
  <si>
    <t>2026-08-24T17:15:39Z</t>
  </si>
  <si>
    <t>1Dsi5VdX6NA</t>
  </si>
  <si>
    <t>How 25 days of extreme heat disrupted Germany's economy | DW News</t>
  </si>
  <si>
    <t>2026-08-24T16:45:25Z</t>
  </si>
  <si>
    <t>S9fJ8ygSdoU</t>
  </si>
  <si>
    <t>The moment a crew jumps overboard as Philippine tugboat sinks | DW News</t>
  </si>
  <si>
    <t>2026-08-24T16:30:23Z</t>
  </si>
  <si>
    <t>kF4qXBW1Z3s</t>
  </si>
  <si>
    <t>Will European support for Kyiv be a shot in the arm for under-fire Zelenskyy? | DW News</t>
  </si>
  <si>
    <t>2026-08-24T15:45:28Z</t>
  </si>
  <si>
    <t>FE9ko2wtyeQ</t>
  </si>
  <si>
    <t>iXN-FLKM1Mw</t>
  </si>
  <si>
    <t>When It's OK to Violate Privacy</t>
  </si>
  <si>
    <t>South Korea launches first-ever container ship through an Arctic route | DW News</t>
  </si>
  <si>
    <t>2019-09-21T13:00:02Z</t>
  </si>
  <si>
    <t>2026-08-24T14:45:54Z</t>
  </si>
  <si>
    <t>wurCCLm4xo8</t>
  </si>
  <si>
    <t>Do data centers use less water than we think? | DW News</t>
  </si>
  <si>
    <t>2026-08-24T13:34:50Z</t>
  </si>
  <si>
    <t>Qoa544kMyXo</t>
  </si>
  <si>
    <t>Violence rocks southern Thailand | DW News</t>
  </si>
  <si>
    <t>2026-08-24T12:30:27Z</t>
  </si>
  <si>
    <t>V9RY1zo-O_8</t>
  </si>
  <si>
    <t>Why Germans are tuning out climate change warnings | DW News</t>
  </si>
  <si>
    <t>2026-08-24T11:30:40Z</t>
  </si>
  <si>
    <t>F8y1iILZn2o</t>
  </si>
  <si>
    <t>Expert to German politicians: 'Stop copying the far right' | DW News</t>
  </si>
  <si>
    <t>2026-08-24T09:30:25Z</t>
  </si>
  <si>
    <t>pT19VwBAqKA</t>
  </si>
  <si>
    <t>Protecting Privacy with MATH (Collab with the Census)</t>
  </si>
  <si>
    <t>xEai1WAH7mk</t>
  </si>
  <si>
    <t>2019-09-12T13:00:12Z</t>
  </si>
  <si>
    <t>Karachi's delivery riders breathe toxic air | DW News</t>
  </si>
  <si>
    <t>2026-08-24T08:00:38Z</t>
  </si>
  <si>
    <t>QIre6f6v3PI</t>
  </si>
  <si>
    <t>Wildfire near Reno, Nevada forces evacuations | DW News</t>
  </si>
  <si>
    <t>2026-08-24T07:42:24Z</t>
  </si>
  <si>
    <t>UpBC9lk7X18</t>
  </si>
  <si>
    <t>Landfill collapse kills at least 30 in Guinea | DW News</t>
  </si>
  <si>
    <t>2026-08-24T02:10:33Z</t>
  </si>
  <si>
    <t>btah2audkE8</t>
  </si>
  <si>
    <t>Can Iran survive Trump's new sanctions? | DW News</t>
  </si>
  <si>
    <t>2026-08-24T01:01:32Z</t>
  </si>
  <si>
    <t>6TOUOzHIBp4</t>
  </si>
  <si>
    <t>Thousands rally for climate action in Sweden | DW News</t>
  </si>
  <si>
    <t>2026-08-23T22:57:39Z</t>
  </si>
  <si>
    <t>9aW-KlchZ18</t>
  </si>
  <si>
    <t>AfD gains ground as Friedrich Merz struggles in polls | DW News</t>
  </si>
  <si>
    <t>2026-08-23T21:00:30Z</t>
  </si>
  <si>
    <t>C8QzBMEnMlc</t>
  </si>
  <si>
    <t>US-Canada tariff war escalates | DW News</t>
  </si>
  <si>
    <t>2026-08-23T19:37:30Z</t>
  </si>
  <si>
    <t>h-2TRcv1tcc</t>
  </si>
  <si>
    <t>Ex-Defense Minister Fedorov challenges Zelenskyy with calls for elections | DW News</t>
  </si>
  <si>
    <t>2026-08-23T19:22:10Z</t>
  </si>
  <si>
    <t>r8xfzeD0ZK4</t>
  </si>
  <si>
    <t>7sX-3bXViLM</t>
  </si>
  <si>
    <t>How to Build a Lava Moat (with xkcd)</t>
  </si>
  <si>
    <t>US-Canada trade war: The cost of fighting back | DW News</t>
  </si>
  <si>
    <t>2019-08-30T13:00:17Z</t>
  </si>
  <si>
    <t>2026-08-23T18:10:52Z</t>
  </si>
  <si>
    <t>AHx7aQ5RygA</t>
  </si>
  <si>
    <t>They survived Ebola - now they’re fighting to save others | DW News</t>
  </si>
  <si>
    <t>2026-08-23T17:07:36Z</t>
  </si>
  <si>
    <t>_wKEvSuwofM</t>
  </si>
  <si>
    <t>Oxygen runs out as Gaza hospital struggles to keep patients alive | DW News</t>
  </si>
  <si>
    <t>2026-08-23T15:50:22Z</t>
  </si>
  <si>
    <t>zhoWhLvk1l0</t>
  </si>
  <si>
    <t>Same body, different face: AI weight loss videos exposed | DW News</t>
  </si>
  <si>
    <t>2026-08-23T15:30:33Z</t>
  </si>
  <si>
    <t>WOrLbd-VYIM</t>
  </si>
  <si>
    <t>Undercover in Romania's abusive dog shelters | DW Reporter</t>
  </si>
  <si>
    <t>2026-08-23T14:00:03Z</t>
  </si>
  <si>
    <t>9vshgYOtCXg</t>
  </si>
  <si>
    <t>Chinese robot smashes Usain Bolt's 100m world record | DW News</t>
  </si>
  <si>
    <t>2026-08-23T13:00:08Z</t>
  </si>
  <si>
    <t>Vxz6nNqpDCk</t>
  </si>
  <si>
    <t>ZXdYW7NKVQY</t>
  </si>
  <si>
    <t>South Korea sends first container ship through Northern Sea Route | DW News</t>
  </si>
  <si>
    <t>Why Some Days Aren’t 24 Hours</t>
  </si>
  <si>
    <t>2026-08-23T12:36:17Z</t>
  </si>
  <si>
    <t>2019-08-23T13:00:08Z</t>
  </si>
  <si>
    <t>tP4kCOIAvfk</t>
  </si>
  <si>
    <t>European wildfires reveal buried bombs from WW1 and WW2 | DW News</t>
  </si>
  <si>
    <t>2026-08-23T11:45:37Z</t>
  </si>
  <si>
    <t>d-oQwsBBDuE</t>
  </si>
  <si>
    <t>How German carmakers are readying to reinvent themselves | The Dip Podcast</t>
  </si>
  <si>
    <t>2026-08-23T10:30:30Z</t>
  </si>
  <si>
    <t>a_6LuQwh_to</t>
  </si>
  <si>
    <t>German Chancellor Merz booed during wildfire town visit | DW News</t>
  </si>
  <si>
    <t>2026-08-23T09:49:33Z</t>
  </si>
  <si>
    <t>MU4R0W0dQ28</t>
  </si>
  <si>
    <t>Why China's sprinting robots are showcasing a much bigger technology competition</t>
  </si>
  <si>
    <t>2026-08-23T02:46:40Z</t>
  </si>
  <si>
    <t>-4-DCNqhBWI</t>
  </si>
  <si>
    <t>Women-only buses hit the road in Bangladesh | DW News</t>
  </si>
  <si>
    <t>2026-08-23T00:00:30Z</t>
  </si>
  <si>
    <t>w7D5UccFe7M</t>
  </si>
  <si>
    <t>World War 3 or global poly-crisis? Russia, Iran, Ukraine and the expanding conflict | DW News</t>
  </si>
  <si>
    <t>2026-08-22T22:15:13Z</t>
  </si>
  <si>
    <t>QbcNXfUz9is</t>
  </si>
  <si>
    <t>Nigeria: Jihadis kidnap dozens during Friday prayers | DW News</t>
  </si>
  <si>
    <t>2026-08-22T21:16:04Z</t>
  </si>
  <si>
    <t>0RApKeMGDnE</t>
  </si>
  <si>
    <t>Einstein's Biggest Blunder, Explained</t>
  </si>
  <si>
    <t>OSoVpjoOmLU</t>
  </si>
  <si>
    <t>2019-08-01T16:34:16Z</t>
  </si>
  <si>
    <t>Ukraine strikes deep inside Russia as Putin warns of a 'Pandora’s box' | DW News</t>
  </si>
  <si>
    <t>2026-08-22T19:00:32Z</t>
  </si>
  <si>
    <t>agPjprZh3js</t>
  </si>
  <si>
    <t>Where is the safest place on Earth? | DW News</t>
  </si>
  <si>
    <t>2026-08-22T18:00:37Z</t>
  </si>
  <si>
    <t>Fxw4zXI-jo0</t>
  </si>
  <si>
    <t>DRC receives Ebola vaccines as outbreak tops 5,000 cases | DW News</t>
  </si>
  <si>
    <t>2026-08-22T16:00:27Z</t>
  </si>
  <si>
    <t>fUWqWpZFUTE</t>
  </si>
  <si>
    <t>How Saudi Arabia's oil powers the global economy | DW News</t>
  </si>
  <si>
    <t>2026-08-22T15:00:31Z</t>
  </si>
  <si>
    <t>A-Iz0MrCA9o</t>
  </si>
  <si>
    <t>Why people in Kyiv now sleep in the metro | DW News</t>
  </si>
  <si>
    <t>2026-08-22T14:00:36Z</t>
  </si>
  <si>
    <t>Y1KLI6M2WvA</t>
  </si>
  <si>
    <t>US-Canada trade talks collapse: Who will pay? | DW News</t>
  </si>
  <si>
    <t>2026-08-22T13:30:32Z</t>
  </si>
  <si>
    <t>LMHficHa6lg</t>
  </si>
  <si>
    <t>What's Behind the latest China-India border tensions?  | DW News</t>
  </si>
  <si>
    <t>2026-08-22T13:00:07Z</t>
  </si>
  <si>
    <t>4Vof-uWpO_k</t>
  </si>
  <si>
    <t>3 things to know before freezing your eggs | DW News</t>
  </si>
  <si>
    <t>2026-08-22T12:00:38Z</t>
  </si>
  <si>
    <t>B19nlhbA7-E</t>
  </si>
  <si>
    <t>The Portal Paradox</t>
  </si>
  <si>
    <t>2019-06-28T13:36:53Z</t>
  </si>
  <si>
    <t>4k1Y2vtJdfo</t>
  </si>
  <si>
    <t>Inside Europe's new billionaire playground | DW News</t>
  </si>
  <si>
    <t>2026-08-22T12:00:31Z</t>
  </si>
  <si>
    <t>duTNmDHiryY</t>
  </si>
  <si>
    <t>Germany reaffirms support for Ukraine ahead of Independence Day | DW News</t>
  </si>
  <si>
    <t>2026-08-22T11:47:31Z</t>
  </si>
  <si>
    <t>Mk2JI_pef3I</t>
  </si>
  <si>
    <t>The campaign over the far right rise | DW News</t>
  </si>
  <si>
    <t>2026-08-22T10:00:14Z</t>
  </si>
  <si>
    <t>vma04qNAbW4</t>
  </si>
  <si>
    <t>How the Sahel became the global terrorism hotspot | DW News</t>
  </si>
  <si>
    <t>2026-08-22T09:20:24Z</t>
  </si>
  <si>
    <t>RApfStFlysE</t>
  </si>
  <si>
    <t>How Mali's big bet on Russia is backfiring | Mapped Out</t>
  </si>
  <si>
    <t>2026-08-22T09:11:04Z</t>
  </si>
  <si>
    <t>KHGES-0ge6o</t>
  </si>
  <si>
    <t>Is Russia about to force even more men to the front line? | DW News</t>
  </si>
  <si>
    <t>2026-08-22T03:00:39Z</t>
  </si>
  <si>
    <t>Ksgf1iE-kcE</t>
  </si>
  <si>
    <t>OTMELHUAzSM</t>
  </si>
  <si>
    <t>Deserted church mysteriously erupts into flames | DW News</t>
  </si>
  <si>
    <t>Our Ignorance About Gravity</t>
  </si>
  <si>
    <t>2026-08-22T03:00:08Z</t>
  </si>
  <si>
    <t>2019-06-20T12:45:50Z</t>
  </si>
  <si>
    <t>8AXNIziXbn8</t>
  </si>
  <si>
    <t>Trapped in debt, children forced to work in Pakistan's brick kilns | DW News</t>
  </si>
  <si>
    <t>2026-08-22T02:30:32Z</t>
  </si>
  <si>
    <t>Dcl5Mn373Oc</t>
  </si>
  <si>
    <t>A historic El Nino is forming. Here's why scientists are worried | DW News</t>
  </si>
  <si>
    <t>2026-08-22T02:00:21Z</t>
  </si>
  <si>
    <t>LJZEHE3OTTg</t>
  </si>
  <si>
    <t>Why is Ebola spreading faster than ever before?  | DW News</t>
  </si>
  <si>
    <t>2026-08-22T01:30:31Z</t>
  </si>
  <si>
    <t>Jm6mhlmPsJ4</t>
  </si>
  <si>
    <t>Trying to start over: A daily struggle in Gaza | DW News</t>
  </si>
  <si>
    <t>2026-08-22T01:03:58Z</t>
  </si>
  <si>
    <t>4jpbaa5IkJ8</t>
  </si>
  <si>
    <t>Russia hits Ukraine shopping mall in 'double-tap' strike | DW News</t>
  </si>
  <si>
    <t>2026-08-22T00:30:23Z</t>
  </si>
  <si>
    <t>0trTrGyWDVQ</t>
  </si>
  <si>
    <t>Putin's Kuril Move: Warning to Japan? | DW News</t>
  </si>
  <si>
    <t>2026-08-22T00:00:10Z</t>
  </si>
  <si>
    <t>g3tknX0G0OA</t>
  </si>
  <si>
    <t>Arms cache discovered near Berlin was 'intended' for attack | DW News</t>
  </si>
  <si>
    <t>oYsp7OIMFAs</t>
  </si>
  <si>
    <t>2026-08-21T23:30:38Z</t>
  </si>
  <si>
    <t>I Had to Build a Custom Mute Switch for my Violin</t>
  </si>
  <si>
    <t>2019-06-04T06:04:36Z</t>
  </si>
  <si>
    <t>CH01WCxQCRI</t>
  </si>
  <si>
    <t>US military faces reckoning over morale after carrier crew crisis | DW News</t>
  </si>
  <si>
    <t>2026-08-21T23:00:05Z</t>
  </si>
  <si>
    <t>svMTOA4XG7M</t>
  </si>
  <si>
    <t>Turkey vs. Israel: Is Syria the next flashpoint? | DW News</t>
  </si>
  <si>
    <t>2026-08-21T22:37:27Z</t>
  </si>
  <si>
    <t>azZFxxgtJsU</t>
  </si>
  <si>
    <t>Berlin forest weapons cache fuels suspicions of Russian covert activity | DW News</t>
  </si>
  <si>
    <t>2026-08-21T22:10:43Z</t>
  </si>
  <si>
    <t>UONSmQwacqE</t>
  </si>
  <si>
    <t>Airstrike on Myanmar monastery kills Buddhist retreat participants | DW News</t>
  </si>
  <si>
    <t>2026-08-21T20:30:04Z</t>
  </si>
  <si>
    <t>FDgU5tMpsHA</t>
  </si>
  <si>
    <t>Why hid Germany star Jamal Musiala collapse twice? | DW News</t>
  </si>
  <si>
    <t>2026-08-21T17:00:09Z</t>
  </si>
  <si>
    <t>FRZQ-efABeQ</t>
  </si>
  <si>
    <t>How Shor's Algorithm Factors 314191</t>
  </si>
  <si>
    <t>AkYmKruNQ0c</t>
  </si>
  <si>
    <t>2019-05-22T15:13:43Z</t>
  </si>
  <si>
    <t>Trump's Truth Social selling early access to posts 'that move the market' | DW News</t>
  </si>
  <si>
    <t>2026-08-21T15:03:49Z</t>
  </si>
  <si>
    <t>BtlYupwnf_o</t>
  </si>
  <si>
    <t>Not enough gas! Why Germany could face an expensive winter | DW News</t>
  </si>
  <si>
    <t>2026-08-21T15:00:37Z</t>
  </si>
  <si>
    <t>N9KrDfnQkdI</t>
  </si>
  <si>
    <t>Thousands of Tunisians are protesting against the government | DW News</t>
  </si>
  <si>
    <t>2026-08-21T12:45:26Z</t>
  </si>
  <si>
    <t>Cc6S0pZfxr0</t>
  </si>
  <si>
    <t>Co-living  vs. segregation – Does it work? | DW News</t>
  </si>
  <si>
    <t>2026-08-21T11:30:02Z</t>
  </si>
  <si>
    <t>uFvrETkIsQE</t>
  </si>
  <si>
    <t>Drought, heat, wildfires: Can Germany govern through climate change? | Berlin Briefing Podcast</t>
  </si>
  <si>
    <t>2026-08-21T11:00:17Z</t>
  </si>
  <si>
    <t>lvTqbM5Dq4Q</t>
  </si>
  <si>
    <t>How Quantum Computers Break Encryption | Shor's Algorithm Explained</t>
  </si>
  <si>
    <t>2019-05-01T06:34:58Z</t>
  </si>
  <si>
    <t>R4tqLaPtFqI</t>
  </si>
  <si>
    <t>Could food insecurity spark 'large-scale conflict'? | DW News</t>
  </si>
  <si>
    <t>2026-08-21T09:50:53Z</t>
  </si>
  <si>
    <t>_ZCxFo8bHBA</t>
  </si>
  <si>
    <t>Rhine running low: Can special ships keep goods moving? | DW News</t>
  </si>
  <si>
    <t>2026-08-21T09:15:10Z</t>
  </si>
  <si>
    <t>YIBwVPkYvM4</t>
  </si>
  <si>
    <t>Over 50 people killed as boat capsizes in Nigeria | DW News</t>
  </si>
  <si>
    <t>2026-08-21T08:30:26Z</t>
  </si>
  <si>
    <t>QkuRzhurZ9E</t>
  </si>
  <si>
    <t>Power Dressing: When politics meets fashion | DW News</t>
  </si>
  <si>
    <t>2026-08-21T07:39:45Z</t>
  </si>
  <si>
    <t>oc5If3O_bNk</t>
  </si>
  <si>
    <t>Fishermen rescued after five days adrift in a cooler | DW News</t>
  </si>
  <si>
    <t>2026-08-21T03:30:17Z</t>
  </si>
  <si>
    <t>USHHgEDKeyE</t>
  </si>
  <si>
    <t>Are the Middle East's two biggest military powers heading for a dangerous clash? | DW News</t>
  </si>
  <si>
    <t>2026-08-21T02:45:17Z</t>
  </si>
  <si>
    <t>9RnHISVkTP0</t>
  </si>
  <si>
    <t>US debt hits record $40 trillion | DW News</t>
  </si>
  <si>
    <t>2026-08-21T02:41:13Z</t>
  </si>
  <si>
    <t>kjraelDMrFQ</t>
  </si>
  <si>
    <t>Why Do Compressed Air Cans Get Cold?</t>
  </si>
  <si>
    <t>2019-04-03T06:07:18Z</t>
  </si>
  <si>
    <t>PQedx-0edkY</t>
  </si>
  <si>
    <t>Can the US afford its $40 trillion debt? | DW News</t>
  </si>
  <si>
    <t>2026-08-21T01:00:27Z</t>
  </si>
  <si>
    <t>7hbnSz9uW6o</t>
  </si>
  <si>
    <t>Heavy rains trigger floods and landslides in Peru | DW News</t>
  </si>
  <si>
    <t>2026-08-21T00:35:07Z</t>
  </si>
  <si>
    <t>xPc6UCLlmgw</t>
  </si>
  <si>
    <t>Trump: Iran to face the 'most crushing economic operation ever taken against any country' | DW News</t>
  </si>
  <si>
    <t>2026-08-21T00:15:37Z</t>
  </si>
  <si>
    <t>0gxquATJLCE</t>
  </si>
  <si>
    <t>China's Evergrande founder sentenced to life in prison | DW News</t>
  </si>
  <si>
    <t>2026-08-20T23:30:07Z</t>
  </si>
  <si>
    <t>wFgibxkc89U</t>
  </si>
  <si>
    <t>How Africa has become part of America's deportation strategy | DW News</t>
  </si>
  <si>
    <t>2026-08-20T22:30:34Z</t>
  </si>
  <si>
    <t>Z3IPVWN-1ks</t>
  </si>
  <si>
    <t>How ISPs Violate the Laws of Mathematics</t>
  </si>
  <si>
    <t>EgZ-HECY1yQ</t>
  </si>
  <si>
    <t>2019-03-01T07:53:23Z</t>
  </si>
  <si>
    <t>Video exposes abuse of street children in Calabar, Southeastern Nigeria | DW News</t>
  </si>
  <si>
    <t>2026-08-20T21:30:28Z</t>
  </si>
  <si>
    <t>nh5htlZ10xE</t>
  </si>
  <si>
    <t>Will mRNA transform cancer treatment? | DW News</t>
  </si>
  <si>
    <t>2026-08-20T21:30:05Z</t>
  </si>
  <si>
    <t>dzTQgf7TkQk</t>
  </si>
  <si>
    <t>Deadly Kyiv strikes expose Ukraine's growing air defense shortage | DW News</t>
  </si>
  <si>
    <t>2026-08-20T20:00:20Z</t>
  </si>
  <si>
    <t>ViKYPsAbeHY</t>
  </si>
  <si>
    <t>Spanish police move hundreds of migrants from Ceuta beach camp | DW News</t>
  </si>
  <si>
    <t>2026-08-20T19:03:26Z</t>
  </si>
  <si>
    <t>SpllAnjERag</t>
  </si>
  <si>
    <t>Ukrainian man arrested in Croatia over Nord Stream pipeline sabotage | DW News</t>
  </si>
  <si>
    <t>2026-08-20T18:30:19Z</t>
  </si>
  <si>
    <t>miY14bb275g</t>
  </si>
  <si>
    <t>Death toll rises after gold mine in Central African Republic collapses | DW News</t>
  </si>
  <si>
    <t>2026-08-20T17:21:29Z</t>
  </si>
  <si>
    <t>Cfg11qQwPzQ</t>
  </si>
  <si>
    <t>Shells of Cosmic Time (ft. @AstroKatie)</t>
  </si>
  <si>
    <t>2019-02-07T13:30:01Z</t>
  </si>
  <si>
    <t>6qkNdZsFU5A</t>
  </si>
  <si>
    <t>Why Australia is furious at Israel's decision on Gaza aid worker killings | DW News</t>
  </si>
  <si>
    <t>2026-08-20T14:12:11Z</t>
  </si>
  <si>
    <t>O3YEkuj-5Wo</t>
  </si>
  <si>
    <t>Russia launches massive overnight aerial attack on Ukraine | DW News</t>
  </si>
  <si>
    <t>2026-08-20T13:33:07Z</t>
  </si>
  <si>
    <t>oXNiAIArhss</t>
  </si>
  <si>
    <t>Why earthquakes don't always turn enemies into friends | DW News</t>
  </si>
  <si>
    <t>2026-08-20T11:43:46Z</t>
  </si>
  <si>
    <t>1db8YXB1xt0</t>
  </si>
  <si>
    <t>Indonesia's solar boom: Germany eyes a growing green energy market | DW News</t>
  </si>
  <si>
    <t>2026-08-20T11:31:21Z</t>
  </si>
  <si>
    <t>VSUQYarkYBY</t>
  </si>
  <si>
    <t>The AI War: Which is the better choice between the US and China? | DW News</t>
  </si>
  <si>
    <t>2026-08-20T10:23:57Z</t>
  </si>
  <si>
    <t>uWhtlOAAP18</t>
  </si>
  <si>
    <t>Why German lawmakers want Berlin’s Russian House closed | DW News</t>
  </si>
  <si>
    <t>2026-08-20T09:47:50Z</t>
  </si>
  <si>
    <t>xulQx87pI_8</t>
  </si>
  <si>
    <t>Powerful storm rips off Hawaiian home rooftop | DW News</t>
  </si>
  <si>
    <t>zBr9YiSwdzM</t>
  </si>
  <si>
    <t>2026-08-20T09:47:17Z</t>
  </si>
  <si>
    <t>How To Make MUONS</t>
  </si>
  <si>
    <t>2019-01-24T13:45:00Z</t>
  </si>
  <si>
    <t>S0Yj4gJNCxs</t>
  </si>
  <si>
    <t>How vulnerable is Europe’s economy to drone attacks? | DW News</t>
  </si>
  <si>
    <t>2026-08-20T08:07:22Z</t>
  </si>
  <si>
    <t>F1663OWumSs</t>
  </si>
  <si>
    <t>Ebola outbreak in DR Congo outpaces efforts to contain it | DW News</t>
  </si>
  <si>
    <t>2026-08-20T06:00:10Z</t>
  </si>
  <si>
    <t>PfE3r6TDXqk</t>
  </si>
  <si>
    <t>India’s viral ‘cockroach’ movement alleges social media crackdown | DW News</t>
  </si>
  <si>
    <t>2026-08-20T04:00:16Z</t>
  </si>
  <si>
    <t>pR6Cg2I1RzQ</t>
  </si>
  <si>
    <t>Anti-Muslim protest in Dearborn reignites debate over Islam and politics in America | DW News</t>
  </si>
  <si>
    <t>2026-08-20T02:22:45Z</t>
  </si>
  <si>
    <t>UMfnJkThIac</t>
  </si>
  <si>
    <t>Trump’s approach to foreign policy is reshaping alliances, institutions and norms | DW News</t>
  </si>
  <si>
    <t>2026-08-20T01:15:04Z</t>
  </si>
  <si>
    <t>lopL9Q3me2I</t>
  </si>
  <si>
    <t>Trump administration issues fresh sanctions against the International Criminal Court | DW News</t>
  </si>
  <si>
    <t>2026-08-20T01:00:35Z</t>
  </si>
  <si>
    <t>3OhNgGCm3f4</t>
  </si>
  <si>
    <t>Gold mine collapse killed more than 100 people | DW News</t>
  </si>
  <si>
    <t>2026-08-19T23:59:26Z</t>
  </si>
  <si>
    <t>L8DHP1fdPFQ</t>
  </si>
  <si>
    <t>Growing fears of Moscow seizing money to fund war | DW News</t>
  </si>
  <si>
    <t>2026-08-19T23:30:36Z</t>
  </si>
  <si>
    <t>B4U8Vpv1_xA</t>
  </si>
  <si>
    <t>AOC: ''Woke 1 was crazy'' | DW News</t>
  </si>
  <si>
    <t>2026-08-19T23:00:24Z</t>
  </si>
  <si>
    <t>gP5K5ndwv9Q</t>
  </si>
  <si>
    <t>NASA finally found SpaceX Moon crash site | DW News</t>
  </si>
  <si>
    <t>2026-08-19T22:26:58Z</t>
  </si>
  <si>
    <t>kz7_N59ebo4</t>
  </si>
  <si>
    <t>Jewish settlers besiege Palestinian homes | DW News</t>
  </si>
  <si>
    <t>2026-08-19T22:22:40Z</t>
  </si>
  <si>
    <t>-KfV61pTkpE</t>
  </si>
  <si>
    <t>Will food insecurity spark 'large-scale conflict?' | DW News</t>
  </si>
  <si>
    <t>2026-08-19T17:00:17Z</t>
  </si>
  <si>
    <t>Ph3d-ByEA7Q</t>
  </si>
  <si>
    <t>Hardy's Paradox | Quantum Double Double Slit Experiment</t>
  </si>
  <si>
    <t>2018-12-21T13:30:01Z</t>
  </si>
  <si>
    <t>rVzDP8SMhPo</t>
  </si>
  <si>
    <t>AoEHdA9vG1k</t>
  </si>
  <si>
    <t>Impossible Muons</t>
  </si>
  <si>
    <t>Russia: Fear among dual citizens | DW News</t>
  </si>
  <si>
    <t>2018-11-13T14:51:05Z</t>
  </si>
  <si>
    <t>2026-08-19T16:00:37Z</t>
  </si>
  <si>
    <t>SUOLod0VyOQ</t>
  </si>
  <si>
    <t>Germany's coal phase-out: How one region is being transformed | DW News</t>
  </si>
  <si>
    <t>2026-08-19T16:00:25Z</t>
  </si>
  <si>
    <t>iLJTMNGimUk</t>
  </si>
  <si>
    <t>India's government accused of suppressing 'Cockroach' content | DW News</t>
  </si>
  <si>
    <t>2026-08-19T15:43:51Z</t>
  </si>
  <si>
    <t>9QzBsKVzVCo</t>
  </si>
  <si>
    <t>How one region in eastern Germany is getting a second chance after decades of decline | DW News</t>
  </si>
  <si>
    <t>2026-08-19T15:00:30Z</t>
  </si>
  <si>
    <t>Headh9wYPJU</t>
  </si>
  <si>
    <t>How dangerous is North Korea? | DW News</t>
  </si>
  <si>
    <t>2026-08-19T14:51:31Z</t>
  </si>
  <si>
    <t>FnasBd52vVc</t>
  </si>
  <si>
    <t>Why is a former Zelenskyy loyalist calling for wartime elections in Ukraine? | DW News</t>
  </si>
  <si>
    <t>2026-08-19T14:00:22Z</t>
  </si>
  <si>
    <t>RzHQldtpTiY</t>
  </si>
  <si>
    <t>Deck collapses under SWAT team | DW News</t>
  </si>
  <si>
    <t>2026-08-19T13:00:02Z</t>
  </si>
  <si>
    <t>J_ZKkgpaV6Y</t>
  </si>
  <si>
    <t>Ousted Ukrainian minister calls for elections | DW News</t>
  </si>
  <si>
    <t>2026-08-19T11:00:18Z</t>
  </si>
  <si>
    <t>aDfB3gnxRhc</t>
  </si>
  <si>
    <t>Legitimate Cold Fusion Exists | Muon-Catalyzed Fusion</t>
  </si>
  <si>
    <t>2018-10-26T13:00:00Z</t>
  </si>
  <si>
    <t>oPmP9oe_Cmw</t>
  </si>
  <si>
    <t>One field bears the weight of extreme weather and war | DW News</t>
  </si>
  <si>
    <t>2026-08-19T10:00:49Z</t>
  </si>
  <si>
    <t>la0R2_4v_QQ</t>
  </si>
  <si>
    <t>Pakistan court orders Imran Khan's hospital transfer amid health concerns | DW News</t>
  </si>
  <si>
    <t>2026-08-19T09:00:23Z</t>
  </si>
  <si>
    <t>nBThMYoveC0</t>
  </si>
  <si>
    <t>Zambia election: Incumbent Hakainde Hichilema wins 60% as opposition alleges intimidation | DW News</t>
  </si>
  <si>
    <t>2026-08-19T04:30:05Z</t>
  </si>
  <si>
    <t>8FFfQpq3Gg8</t>
  </si>
  <si>
    <t>Gunmen kill at least 25 people in Nigeria | DW News</t>
  </si>
  <si>
    <t>2026-08-19T03:35:08Z</t>
  </si>
  <si>
    <t>ft3vTaYbkdE</t>
  </si>
  <si>
    <t>How To Stop Structures from SHAKING: LEGO Saturn V Tuned Mass Damper</t>
  </si>
  <si>
    <t>YnMsFFnpKoQ</t>
  </si>
  <si>
    <t>2018-08-28T12:00:09Z</t>
  </si>
  <si>
    <t>META faces US trial over online child safety | DW News</t>
  </si>
  <si>
    <t>2026-08-19T03:00:18Z</t>
  </si>
  <si>
    <t>UfTc7HsWta0</t>
  </si>
  <si>
    <t>Unaccompanied minors at risk of sexual assault in Ceuta | DW News</t>
  </si>
  <si>
    <t>2026-08-19T02:00:27Z</t>
  </si>
  <si>
    <t>HbWUYUUIA1w</t>
  </si>
  <si>
    <t>Japan, South Korea react to Donald Trump's snub of South Korea and overtures to Pyongyang | DW News</t>
  </si>
  <si>
    <t>2026-08-19T00:45:05Z</t>
  </si>
  <si>
    <t>fRasfWdEsgs</t>
  </si>
  <si>
    <t>Stopping Russia's Starlink | DW News</t>
  </si>
  <si>
    <t>2026-08-19T00:40:25Z</t>
  </si>
  <si>
    <t>dyLc32LpHDo</t>
  </si>
  <si>
    <t>Ukrainian forces launched more than 600 drones in two days at the Russian capital | DW News</t>
  </si>
  <si>
    <t>2026-08-18T23:30:38Z</t>
  </si>
  <si>
    <t>mRUqM9ZLQWE</t>
  </si>
  <si>
    <t>Israeli minister calls for killing '30 to 40' Palestinians in Gaza nightly | DW News</t>
  </si>
  <si>
    <t>2026-08-18T21:55:47Z</t>
  </si>
  <si>
    <t>LKjaBPVtvms</t>
  </si>
  <si>
    <t>ylDhrjGa598</t>
  </si>
  <si>
    <t>The Twins Paradox Hands-On Explanation | Special Relativity Ch. 8</t>
  </si>
  <si>
    <t>British PM hits back after Russian threat | DW News</t>
  </si>
  <si>
    <t>2018-08-14T12:00:01Z</t>
  </si>
  <si>
    <t>2026-08-18T20:22:13Z</t>
  </si>
  <si>
    <t>JSE2kqTPvOs</t>
  </si>
  <si>
    <t>The drone threat is growing. Is Germany ready? | DW News</t>
  </si>
  <si>
    <t>2026-08-18T19:25:50Z</t>
  </si>
  <si>
    <t>W-rNOKZz_SQ</t>
  </si>
  <si>
    <t>Why did Nigeria’s Kano hold a mass wedding? | DW News</t>
  </si>
  <si>
    <t>2026-08-18T18:00:23Z</t>
  </si>
  <si>
    <t>NDBiU8sQUjg</t>
  </si>
  <si>
    <t>Sexual violence against teen migrants in Ceuta | DW News</t>
  </si>
  <si>
    <t>2026-08-18T17:00:30Z</t>
  </si>
  <si>
    <t>q1AGFfIAxRs</t>
  </si>
  <si>
    <t>Afghan women find new ways to work amid Taliban restrictions | DW News</t>
  </si>
  <si>
    <t>2026-08-18T16:00:18Z</t>
  </si>
  <si>
    <t>PZ7QAK-9DeI</t>
  </si>
  <si>
    <t>Palestinian man returns to besieged home in occupied West Bank | DW News</t>
  </si>
  <si>
    <t>2026-08-18T15:00:31Z</t>
  </si>
  <si>
    <t>P59isrf0GGg</t>
  </si>
  <si>
    <t>70 Cents Left: How an immigration case turned into a cost-of-living crisis | DW News</t>
  </si>
  <si>
    <t>2026-08-18T15:00:22Z</t>
  </si>
  <si>
    <t>RZvdpRUHImI</t>
  </si>
  <si>
    <t>The Physics of Caramel: How To Make a Caramelized Sugar Cube</t>
  </si>
  <si>
    <t>2018-07-24T12:00:01Z</t>
  </si>
  <si>
    <t>OVzm4JrPqAM</t>
  </si>
  <si>
    <t>Why is Lebanon the first Middle Eastern country to abolish the death penalty? | DW News</t>
  </si>
  <si>
    <t>2026-08-18T14:39:46Z</t>
  </si>
  <si>
    <t>ATEfByv3WK8</t>
  </si>
  <si>
    <t>China's ice silk road speeds up shipping by 50% | DW News</t>
  </si>
  <si>
    <t>2026-08-18T14:21:38Z</t>
  </si>
  <si>
    <t>0CmNg3IU_z0</t>
  </si>
  <si>
    <t>Is Trump pushing his naval forces to breaking point? | DW News</t>
  </si>
  <si>
    <t>2026-08-18T13:00:55Z</t>
  </si>
  <si>
    <t>_6ssYnt92xs</t>
  </si>
  <si>
    <t>Why do wetlands burn? | DW News</t>
  </si>
  <si>
    <t>2026-08-18T12:42:46Z</t>
  </si>
  <si>
    <t>0QBh_fCvhaE</t>
  </si>
  <si>
    <t>Why international students still choose Germany | DW News</t>
  </si>
  <si>
    <t>2026-08-18T11:45:23Z</t>
  </si>
  <si>
    <t>Diiqk5d2lio</t>
  </si>
  <si>
    <t>Thousands mourn Jason Arday in London vigil | DW News</t>
  </si>
  <si>
    <t>2026-08-18T10:14:22Z</t>
  </si>
  <si>
    <t>J6j6MOJ-Ufk</t>
  </si>
  <si>
    <t>How can Europe secure its tungsten supply? | DW News</t>
  </si>
  <si>
    <t>2026-08-18T08:48:55Z</t>
  </si>
  <si>
    <t>DmbBtLNZOZ0</t>
  </si>
  <si>
    <t>China's Unitree unveils new 'Superman' robot | DW News</t>
  </si>
  <si>
    <t>2026-08-18T06:48:53Z</t>
  </si>
  <si>
    <t>2uF6VJRSWus</t>
  </si>
  <si>
    <t>xdIjYBtnvZU</t>
  </si>
  <si>
    <t>Tupac murder trial begins nearly 30 years later | DW News</t>
  </si>
  <si>
    <t>Feynman's Lost Lecture (ft. 3Blue1Brown)</t>
  </si>
  <si>
    <t>2026-08-18T04:45:12Z</t>
  </si>
  <si>
    <t>2018-07-20T13:33:11Z</t>
  </si>
  <si>
    <t>j4tu2Pnk6og</t>
  </si>
  <si>
    <t>Trump says joint military drills with Seoul send a "hostile" signal to North Korea | DW News</t>
  </si>
  <si>
    <t>2026-08-18T04:04:22Z</t>
  </si>
  <si>
    <t>xgXfaNryOI4</t>
  </si>
  <si>
    <t>Why Oman-Iran negotations over Strait of Hormuz shipping routes have drawn Trump's ire | DW News</t>
  </si>
  <si>
    <t>2026-08-18T01:15:09Z</t>
  </si>
  <si>
    <t>voo5lk6sAXY</t>
  </si>
  <si>
    <t>Trump threatens to bomb ally Oman over its Strait of Hormuz talks with Iran | DW News</t>
  </si>
  <si>
    <t>2026-08-18T00:04:31Z</t>
  </si>
  <si>
    <t>UocBJofeZGM</t>
  </si>
  <si>
    <t>Why has Jared Kushner's Middle East visit to push Trump's Gaza peace plan met a dead end? | DW News</t>
  </si>
  <si>
    <t>2026-08-17T23:11:48Z</t>
  </si>
  <si>
    <t>6RG4b00iddw</t>
  </si>
  <si>
    <t>Why Trump is cutting joint military drills with US ally South Korea | DW News</t>
  </si>
  <si>
    <t>2026-08-17T21:26:45Z</t>
  </si>
  <si>
    <t>WgmEwsNncA0</t>
  </si>
  <si>
    <t>Inside Belgium's biggest ever wildfire | DW News</t>
  </si>
  <si>
    <t>2026-08-17T20:07:49Z</t>
  </si>
  <si>
    <t>WFAEHKAR5hU</t>
  </si>
  <si>
    <t>Spacetime Intervals: Not EVERYTHING is Relative | Special Relativity Ch. 7</t>
  </si>
  <si>
    <t>2018-07-10T12:00:06Z</t>
  </si>
  <si>
    <t>-g80m77APRQ</t>
  </si>
  <si>
    <t>Germany debates putting climate measures in its constitution | DW News</t>
  </si>
  <si>
    <t>2026-08-17T19:13:51Z</t>
  </si>
  <si>
    <t>xaFjGtWrjEE</t>
  </si>
  <si>
    <t>Court rulings against Yabloko highlight the shrinking space for anti-war voices in Russia | DW News</t>
  </si>
  <si>
    <t>2026-08-17T19:00:32Z</t>
  </si>
  <si>
    <t>pF_9SUy-8Fg</t>
  </si>
  <si>
    <t>European aircraft join battle as Belgium's record wildfire spreads | DW News</t>
  </si>
  <si>
    <t>2026-08-17T17:15:08Z</t>
  </si>
  <si>
    <t>PjOlRG5GIXs</t>
  </si>
  <si>
    <t>Beloved white storks bring comfort to Ukrainian village | DW News</t>
  </si>
  <si>
    <t>2026-08-17T16:54:43Z</t>
  </si>
  <si>
    <t>F7vo7kW1jwk</t>
  </si>
  <si>
    <t>Why Icelanders are reconsidering EU membership | Focus on Europe</t>
  </si>
  <si>
    <t>2026-08-17T16:20:28Z</t>
  </si>
  <si>
    <t>7NOC0NA4wYU</t>
  </si>
  <si>
    <t>Leaving Israel for good? Dr. Agmon-Snir explains why he's leaving | DW News</t>
  </si>
  <si>
    <t>2026-08-17T15:49:54Z</t>
  </si>
  <si>
    <t>-qArP7XeIv4</t>
  </si>
  <si>
    <t>Why is Trump echoing Kim Jong Un? | DW News</t>
  </si>
  <si>
    <t>2026-08-17T15:16:12Z</t>
  </si>
  <si>
    <t>LfQX5j8RFSw</t>
  </si>
  <si>
    <t>Europe's new hotter climate is already here: Just take a look... | DW News</t>
  </si>
  <si>
    <t>2026-08-17T14:55:20Z</t>
  </si>
  <si>
    <t>j3LXPmiEB-w</t>
  </si>
  <si>
    <t>Extraterrestrial Cycloids - Why Are They on Europa?</t>
  </si>
  <si>
    <t>2018-06-26T12:00:03Z</t>
  </si>
  <si>
    <t>rDFSU184mbw</t>
  </si>
  <si>
    <t>Indonesia: Tourism resumes after deadly earthquake | DW News</t>
  </si>
  <si>
    <t>2026-08-17T11:20:01Z</t>
  </si>
  <si>
    <t>e_TDU70vyKk</t>
  </si>
  <si>
    <t>Hawaiians survey damage left by Huricane Lala | DW News</t>
  </si>
  <si>
    <t>2026-08-17T07:04:09Z</t>
  </si>
  <si>
    <t>GfOxD96qmTY</t>
  </si>
  <si>
    <t>How likely are military strikes to resume as US-Iran 60-day ceasefire expires? | DW News</t>
  </si>
  <si>
    <t>2026-08-17T02:01:18Z</t>
  </si>
  <si>
    <t>HeN2N_8U44M</t>
  </si>
  <si>
    <t>The Italian heist: Who's stealing Italy's art? | DW News</t>
  </si>
  <si>
    <t>2026-08-17T01:20:29Z</t>
  </si>
  <si>
    <t>J46CsKIDiwo</t>
  </si>
  <si>
    <t>Why famous masterpieces remain prime targets for thieves | DW News</t>
  </si>
  <si>
    <t>2026-08-16T21:45:21Z</t>
  </si>
  <si>
    <t>wqRrluwXFZA</t>
  </si>
  <si>
    <t>Russian disinformation has become more aggressive' | Berlin Briefing</t>
  </si>
  <si>
    <t>2026-08-16T21:00:33Z</t>
  </si>
  <si>
    <t>CZdbRQgSVdE</t>
  </si>
  <si>
    <t>Ukraine widens economic pressure campaign inside Russia | DW News</t>
  </si>
  <si>
    <t>2026-08-16T19:30:06Z</t>
  </si>
  <si>
    <t>haW4KmuE3iI</t>
  </si>
  <si>
    <t>Morocco moves to stop a second mass rush into Spanish exclave | DW News</t>
  </si>
  <si>
    <t>2026-08-16T18:45:18Z</t>
  </si>
  <si>
    <t>mblDSUFhbfc</t>
  </si>
  <si>
    <t>Ukraine attacks Russia with hundreds of drones | DW News</t>
  </si>
  <si>
    <t>2026-08-16T18:42:55Z</t>
  </si>
  <si>
    <t>HzCFp-Bfnbc</t>
  </si>
  <si>
    <t>Survivor describes horror on deadly bus crash in Hungary | DW News</t>
  </si>
  <si>
    <t>2026-08-16T17:51:58Z</t>
  </si>
  <si>
    <t>R5oCXHWEL9A</t>
  </si>
  <si>
    <t>Relativistic Addition of Velocity | Special Relativity Ch. 6</t>
  </si>
  <si>
    <t>2018-06-12T12:00:02Z</t>
  </si>
  <si>
    <t>XjibZ7oLPKk</t>
  </si>
  <si>
    <t>How a fight over military service reveals a major split in Israeli society | DW News</t>
  </si>
  <si>
    <t>2026-08-16T17:44:41Z</t>
  </si>
  <si>
    <t>Z95CgaNLeJo</t>
  </si>
  <si>
    <t>Two very different ways of dealing with dementia patients | DW Reporter</t>
  </si>
  <si>
    <t>2026-08-16T13:45:26Z</t>
  </si>
  <si>
    <t>rB7FK1M5kK4</t>
  </si>
  <si>
    <t>Belgium's biggest wildfire ever | DW News</t>
  </si>
  <si>
    <t>2026-08-16T12:18:05Z</t>
  </si>
  <si>
    <t>tGnHJSPNmRg</t>
  </si>
  <si>
    <t>South Korea calls for talks to finally end the Korean War | DW News</t>
  </si>
  <si>
    <t>2026-08-16T12:14:22Z</t>
  </si>
  <si>
    <t>ajqo6B4DSWM</t>
  </si>
  <si>
    <t>Can Europe afford to defend itself without America? | The Dip</t>
  </si>
  <si>
    <t>2026-08-16T10:30:10Z</t>
  </si>
  <si>
    <t>qSO00L2fj-s</t>
  </si>
  <si>
    <t>-NN_m2yKAAk</t>
  </si>
  <si>
    <t>2026-08-16T10:30:05Z</t>
  </si>
  <si>
    <t>Length Contraction and Time Dilation | Special Relativity Ch. 5</t>
  </si>
  <si>
    <t>jlRckBmx97w</t>
  </si>
  <si>
    <t>2018-05-29T12:00:00Z</t>
  </si>
  <si>
    <t>What comes after five years of pressure on Afghanistan's rulers? | DW News</t>
  </si>
  <si>
    <t>2026-08-16T09:00:05Z</t>
  </si>
  <si>
    <t>mcAbpFLZS9o</t>
  </si>
  <si>
    <t>Family rescued after 16 hours at sea | DW News</t>
  </si>
  <si>
    <t>2026-08-16T08:47:24Z</t>
  </si>
  <si>
    <t>bqDgtwChF6s</t>
  </si>
  <si>
    <t>Inside Nigeria's state-sponsored mass wedding | DW News</t>
  </si>
  <si>
    <t>2026-08-16T07:30:07Z</t>
  </si>
  <si>
    <t>T42cyhF2dbQ</t>
  </si>
  <si>
    <t>Hurricane Lala pounds Hawaii's Big Island, is set to make rare landfall | DW News</t>
  </si>
  <si>
    <t>2026-08-16T04:30:12Z</t>
  </si>
  <si>
    <t>tQ2QdtRHbHI</t>
  </si>
  <si>
    <t>Zelenskyy says Flamingo missiles hit Russian Soyuz rocket center | DW News</t>
  </si>
  <si>
    <t>2026-08-16T03:58:47Z</t>
  </si>
  <si>
    <t>4s-CKcKQl10</t>
  </si>
  <si>
    <t>Berlin pool cancels swimming event for Black children due to barrage of threats | DW News</t>
  </si>
  <si>
    <t>2026-08-16T03:44:09Z</t>
  </si>
  <si>
    <t>SrNVsfkGW-0</t>
  </si>
  <si>
    <t>Relativity of Simultaneity | Special Relativity Ch. 4</t>
  </si>
  <si>
    <t>2018-04-26T13:35:05Z</t>
  </si>
  <si>
    <t>XXpqejgnaB0</t>
  </si>
  <si>
    <t>How Money Actually Works</t>
  </si>
  <si>
    <t>2026-08-13T12:04:52Z</t>
  </si>
  <si>
    <t>UCmGSJVG3mCRXVOP4yZrU1Dw</t>
  </si>
  <si>
    <t>Johnny Harris</t>
  </si>
  <si>
    <t>TAV5Prbponw</t>
  </si>
  <si>
    <t>Meta glasses? Woof.</t>
  </si>
  <si>
    <t>2026-08-03T13:30:01Z</t>
  </si>
  <si>
    <t>hikYW6s4cns</t>
  </si>
  <si>
    <t>I can put stuff on a page. Iz makes it work.</t>
  </si>
  <si>
    <t>2026-08-02T22:30:28Z</t>
  </si>
  <si>
    <t>eXxICVM2JSk</t>
  </si>
  <si>
    <t>Not ~the headlines~ again</t>
  </si>
  <si>
    <t>Iclf_JnPkKw</t>
  </si>
  <si>
    <t>2026-08-01T00:30:05Z</t>
  </si>
  <si>
    <t>What's Under Your Feet in New York City?</t>
  </si>
  <si>
    <t>2026-07-21T13:02:12Z</t>
  </si>
  <si>
    <t>UCMOqf8ab-42UUQIdVoKwjlQ</t>
  </si>
  <si>
    <t>Practical Engineering</t>
  </si>
  <si>
    <t>CePgzgUzFmM</t>
  </si>
  <si>
    <t>Can’t wait to show you this journey with @drewbinsky</t>
  </si>
  <si>
    <t>2026-07-31T18:30:01Z</t>
  </si>
  <si>
    <t>fkoyGkCfwi4</t>
  </si>
  <si>
    <t>I pushed Google Docs to its limit</t>
  </si>
  <si>
    <t>2026-07-30T18:36:08Z</t>
  </si>
  <si>
    <t>T0oqR_IimvA</t>
  </si>
  <si>
    <t>The American war machine, explained</t>
  </si>
  <si>
    <t>2026-07-30T12:01:15Z</t>
  </si>
  <si>
    <t>_NBFWnRqF1c</t>
  </si>
  <si>
    <t>This is not a Taco Bell ad</t>
  </si>
  <si>
    <t>2026-07-20T18:00:04Z</t>
  </si>
  <si>
    <t>eDRSPt6PzoY</t>
  </si>
  <si>
    <t>Why making things calms my brain</t>
  </si>
  <si>
    <t>2026-07-18T19:00:39Z</t>
  </si>
  <si>
    <t>Ku_ockR2t44</t>
  </si>
  <si>
    <t>The Mind-Blowing Flaw That Flooded New Orleans</t>
  </si>
  <si>
    <t>sxJZm-H8Oig</t>
  </si>
  <si>
    <t>2026-07-07T13:00:05Z</t>
  </si>
  <si>
    <t>Your brain wasn’t built for this</t>
  </si>
  <si>
    <t>2026-07-17T15:15:03Z</t>
  </si>
  <si>
    <t>-DDbYSg0Alw</t>
  </si>
  <si>
    <t>The REAL reason the US can’t beat Iran</t>
  </si>
  <si>
    <t>2026-07-16T12:00:39Z</t>
  </si>
  <si>
    <t>u7p18gpzpdU</t>
  </si>
  <si>
    <t>How the rich stay rich</t>
  </si>
  <si>
    <t>2026-06-19T14:00:14Z</t>
  </si>
  <si>
    <t>J7D3yQB0XBo</t>
  </si>
  <si>
    <t>The Miami briefcase heist</t>
  </si>
  <si>
    <t>2026-06-18T15:07:43Z</t>
  </si>
  <si>
    <t>4S25FfbFw4M</t>
  </si>
  <si>
    <t>Oligarchy is worse than you think</t>
  </si>
  <si>
    <t>2026-06-18T12:00:31Z</t>
  </si>
  <si>
    <t>7oi4yMr8Rjk</t>
  </si>
  <si>
    <t>a6j0gu8EarI</t>
  </si>
  <si>
    <t>Bridge Demolition is Complicated</t>
  </si>
  <si>
    <t>The secret wall protecting islands 🌊 @circleapp #ad</t>
  </si>
  <si>
    <t>2026-06-16T11:37:54Z</t>
  </si>
  <si>
    <t>2026-06-17T13:17:08Z</t>
  </si>
  <si>
    <t>dInOJe06JSc</t>
  </si>
  <si>
    <t>We just won another Emmy</t>
  </si>
  <si>
    <t>2026-05-29T17:22:05Z</t>
  </si>
  <si>
    <t>Pc6sCGS6Jfc</t>
  </si>
  <si>
    <t>The Real Story Behind the Mormon Church</t>
  </si>
  <si>
    <t>2026-05-23T12:00:03Z</t>
  </si>
  <si>
    <t>zOp6FCBn8ZA</t>
  </si>
  <si>
    <t>Why we need more silver</t>
  </si>
  <si>
    <t>2026-04-22T14:01:37Z</t>
  </si>
  <si>
    <t>nAFw5i39m9I</t>
  </si>
  <si>
    <t>China’s Dirty Money Problem, Explained</t>
  </si>
  <si>
    <t>2026-04-16T12:03:45Z</t>
  </si>
  <si>
    <t>2PnTzFq_O4o</t>
  </si>
  <si>
    <t>Why We Still Have 12,000 Nukes</t>
  </si>
  <si>
    <t>2026-04-10T17:35:41Z</t>
  </si>
  <si>
    <t>3YvwqMDDb3k</t>
  </si>
  <si>
    <t>Why Roads Get Washboards</t>
  </si>
  <si>
    <t>2026-06-02T13:00:23Z</t>
  </si>
  <si>
    <t>vWg2bI2PFeY</t>
  </si>
  <si>
    <t>What stops countries from using nukes?</t>
  </si>
  <si>
    <t>2026-04-08T22:12:36Z</t>
  </si>
  <si>
    <t>YqeQFQpBGHk</t>
  </si>
  <si>
    <t>CATS EVERYWHERE</t>
  </si>
  <si>
    <t>2026-04-06T20:16:19Z</t>
  </si>
  <si>
    <t>0g81XHZYiE8</t>
  </si>
  <si>
    <t>When the government isn’t the government</t>
  </si>
  <si>
    <t>2026-04-03T16:30:00Z</t>
  </si>
  <si>
    <t>7iPEhNNflko</t>
  </si>
  <si>
    <t>Three hours to get gas in Myanmar</t>
  </si>
  <si>
    <t>2026-04-03T07:21:01Z</t>
  </si>
  <si>
    <t>2SVR23d2vhI</t>
  </si>
  <si>
    <t>The price of being poor</t>
  </si>
  <si>
    <t>2026-04-01T15:57:27Z</t>
  </si>
  <si>
    <t>DWLcmq_DiaA</t>
  </si>
  <si>
    <t>Fixing the Most Dangerous Dam in the World</t>
  </si>
  <si>
    <t>2026-05-19T13:00:31Z</t>
  </si>
  <si>
    <t>d1WrK5xWGcs</t>
  </si>
  <si>
    <t>How the Suez Canal changed history</t>
  </si>
  <si>
    <t>2026-03-21T08:30:16Z</t>
  </si>
  <si>
    <t>6bAsMIvcrVw</t>
  </si>
  <si>
    <t>Iran vs Iraq: The Forgotten War</t>
  </si>
  <si>
    <t>2026-03-17T17:43:57Z</t>
  </si>
  <si>
    <t>bLOEhycMG78</t>
  </si>
  <si>
    <t>The Modern Middle East, Explained</t>
  </si>
  <si>
    <t>2026-03-13T21:34:19Z</t>
  </si>
  <si>
    <t>D5QUU1_RsT8</t>
  </si>
  <si>
    <t>How a nuke destroys a city</t>
  </si>
  <si>
    <t>2026-03-04T21:07:14Z</t>
  </si>
  <si>
    <t>vmGm8xn_1Ro</t>
  </si>
  <si>
    <t>Talking news and media with Max Fisher</t>
  </si>
  <si>
    <t>2026-03-03T13:01:40Z</t>
  </si>
  <si>
    <t>GV8KGcFqeLc</t>
  </si>
  <si>
    <t>Is Fascism Back?</t>
  </si>
  <si>
    <t>2026-02-26T13:00:34Z</t>
  </si>
  <si>
    <t>fKuIJ_z2Y6A</t>
  </si>
  <si>
    <t>The Physics Behind the Thumb Trick</t>
  </si>
  <si>
    <t>2026-05-05T13:01:16Z</t>
  </si>
  <si>
    <t>0rKDo3hKbVk</t>
  </si>
  <si>
    <t>The Internet Didn't Fail. It Was Taken.</t>
  </si>
  <si>
    <t>2026-02-19T13:00:03Z</t>
  </si>
  <si>
    <t>_FsJJGlT4uo</t>
  </si>
  <si>
    <t>How a nuclear bomb really works</t>
  </si>
  <si>
    <t>2026-02-17T17:31:32Z</t>
  </si>
  <si>
    <t>NDU1lkkK0U4</t>
  </si>
  <si>
    <t>The World's Most Important Ocean? @Storyblocks #ad</t>
  </si>
  <si>
    <t>2026-01-27T15:00:43Z</t>
  </si>
  <si>
    <t>x1vnwQ2IOCQ</t>
  </si>
  <si>
    <t>Why the US has so many undocumented immigrants</t>
  </si>
  <si>
    <t>2026-01-13T22:28:53Z</t>
  </si>
  <si>
    <t>Wm8y2fz78Yc</t>
  </si>
  <si>
    <t>Why everyone wants Greenland</t>
  </si>
  <si>
    <t>2026-01-08T14:05:41Z</t>
  </si>
  <si>
    <t>7D0FhJFUzeA</t>
  </si>
  <si>
    <t>I went to Greenland, here's why the US wants it</t>
  </si>
  <si>
    <t>J7ieKmP96Hc</t>
  </si>
  <si>
    <t>2026-01-07T20:40:10Z</t>
  </si>
  <si>
    <t>The Wild Story of the Teton Dam Failure</t>
  </si>
  <si>
    <t>2026-04-21T13:00:28Z</t>
  </si>
  <si>
    <t>rPckDuTaSnw</t>
  </si>
  <si>
    <t>India vs China, Explained</t>
  </si>
  <si>
    <t>2025-12-22T13:01:44Z</t>
  </si>
  <si>
    <t>x-XdOaZPhBw</t>
  </si>
  <si>
    <t>Why This Island Could Trigger World War 3</t>
  </si>
  <si>
    <t>2025-12-18T13:01:52Z</t>
  </si>
  <si>
    <t>CtWXy0WeMrE</t>
  </si>
  <si>
    <t>Switzerland's impossible tunnels #AdobePartner</t>
  </si>
  <si>
    <t>2025-12-12T14:17:07Z</t>
  </si>
  <si>
    <t>OMbV1rIPhCg</t>
  </si>
  <si>
    <t>How Switzerland Engineered the Perfect Country</t>
  </si>
  <si>
    <t>2025-12-11T13:00:59Z</t>
  </si>
  <si>
    <t>UF63eFJmbrQ</t>
  </si>
  <si>
    <t>This Spillway Failed On Purpose</t>
  </si>
  <si>
    <t>2026-04-07T13:01:01Z</t>
  </si>
  <si>
    <t>nSBbX5gn1Lg</t>
  </si>
  <si>
    <t>Why USA 1.0 failed</t>
  </si>
  <si>
    <t>2025-12-04T13:01:43Z</t>
  </si>
  <si>
    <t>-NuXpwB2DV4</t>
  </si>
  <si>
    <t>How billionaires buy American elections</t>
  </si>
  <si>
    <t>OtJG46XZu5U</t>
  </si>
  <si>
    <t>The World's Longest Tunnel @Adobe #adobepartner</t>
  </si>
  <si>
    <t>2025-11-24T15:21:53Z</t>
  </si>
  <si>
    <t>PpyPB3BF-hQ</t>
  </si>
  <si>
    <t>What Being a BILLIONAIRE Really Looks Like</t>
  </si>
  <si>
    <t>2025-11-21T13:00:59Z</t>
  </si>
  <si>
    <t>dMMHSXn9pow</t>
  </si>
  <si>
    <t>The Prison Break That Embarrassed an Entire Country</t>
  </si>
  <si>
    <t>2025-11-15T18:56:54Z</t>
  </si>
  <si>
    <t>2tuS1LLOcsI</t>
  </si>
  <si>
    <t>What’s really happening in the ocean’s “dark zones”</t>
  </si>
  <si>
    <t>2025-11-10T14:00:10Z</t>
  </si>
  <si>
    <t>aDbtrdfYqBc</t>
  </si>
  <si>
    <t>Why the US is deporting so many people</t>
  </si>
  <si>
    <t>2025-10-31T12:00:04Z</t>
  </si>
  <si>
    <t>JMObz0Dgq7M</t>
  </si>
  <si>
    <t>Gold Explained, Finally</t>
  </si>
  <si>
    <t>2025-10-24T12:01:22Z</t>
  </si>
  <si>
    <t>PhW2BjFQCZM</t>
  </si>
  <si>
    <t>FvddujhKRa0</t>
  </si>
  <si>
    <t>The Los Angeles Aqueduct is Wild</t>
  </si>
  <si>
    <t>The secrets behind my animations @Adobe #adobepartner</t>
  </si>
  <si>
    <t>2026-03-17T13:00:44Z</t>
  </si>
  <si>
    <t>2025-10-23T14:20:46Z</t>
  </si>
  <si>
    <t>GRDGQERSmDE</t>
  </si>
  <si>
    <t>The Dark Truth of the Panama Canal</t>
  </si>
  <si>
    <t>2025-10-09T12:00:28Z</t>
  </si>
  <si>
    <t>HyJN_LC6Lpg</t>
  </si>
  <si>
    <t>Turning paper maps into 3D maps with @Adobe #AdobePartner</t>
  </si>
  <si>
    <t>2025-10-03T14:00:26Z</t>
  </si>
  <si>
    <t>23owsv-R0fs</t>
  </si>
  <si>
    <t>How the Mormon Church Made $293 Billion</t>
  </si>
  <si>
    <t>2025-09-13T12:00:04Z</t>
  </si>
  <si>
    <t>qt2j2gn0yWc</t>
  </si>
  <si>
    <t>How Earthquake Bearings Work</t>
  </si>
  <si>
    <t>1sWy42yq6Jg</t>
  </si>
  <si>
    <t>2026-03-03T14:01:26Z</t>
  </si>
  <si>
    <t>How Johnny Harris makes his maps</t>
  </si>
  <si>
    <t>2025-08-29T12:00:06Z</t>
  </si>
  <si>
    <t>92WpOi-GeuA</t>
  </si>
  <si>
    <t>The Truth about Area 51</t>
  </si>
  <si>
    <t>2025-08-28T12:00:14Z</t>
  </si>
  <si>
    <t>WcHWQnoE95w</t>
  </si>
  <si>
    <t>Why You Don’t Trust Tap Water</t>
  </si>
  <si>
    <t>2025-08-01T16:01:51Z</t>
  </si>
  <si>
    <t>iYaGblqcbK8</t>
  </si>
  <si>
    <t>What a man-made famine looks like</t>
  </si>
  <si>
    <t>2025-08-01T15:01:48Z</t>
  </si>
  <si>
    <t>Ssw5bdx1HKw</t>
  </si>
  <si>
    <t>So You Want to Build a Tunnel...</t>
  </si>
  <si>
    <t>1U51yx3FwAY</t>
  </si>
  <si>
    <t>2026-02-17T14:00:50Z</t>
  </si>
  <si>
    <t>Nukes are way scarier than you think</t>
  </si>
  <si>
    <t>2025-07-24T12:02:06Z</t>
  </si>
  <si>
    <t>wyo1u9WxUG4</t>
  </si>
  <si>
    <t>Why Groceries Are SO Expensive Now</t>
  </si>
  <si>
    <t>2025-07-10T12:02:01Z</t>
  </si>
  <si>
    <t>C5PYjyGbHFk</t>
  </si>
  <si>
    <t>Iran’s Secret Weapon Isn’t Nuclear</t>
  </si>
  <si>
    <t>2025-06-25T19:11:56Z</t>
  </si>
  <si>
    <t>VISDGlpX0WI</t>
  </si>
  <si>
    <t>What’s ACTUALLY Happening in North Korea</t>
  </si>
  <si>
    <t>2025-06-25T13:19:05Z</t>
  </si>
  <si>
    <t>J4qqIJ312zI</t>
  </si>
  <si>
    <t>1955 vs 2025, who actually had it better?</t>
  </si>
  <si>
    <t>2025-06-18T12:00:30Z</t>
  </si>
  <si>
    <t>xPksDeGoh4E</t>
  </si>
  <si>
    <t>Do Retention Ponds Actually Work?</t>
  </si>
  <si>
    <t>2026-02-03T14:01:36Z</t>
  </si>
  <si>
    <t>3jHDvo_3_1M</t>
  </si>
  <si>
    <t>This tiny ocean rock is worth TRILLIONS?!</t>
  </si>
  <si>
    <t>2025-06-14T12:00:13Z</t>
  </si>
  <si>
    <t>rvYRifKrS24</t>
  </si>
  <si>
    <t>The World's Most Ignored War Explained</t>
  </si>
  <si>
    <t>2025-06-12T12:01:35Z</t>
  </si>
  <si>
    <t>rBPxy_f6m80</t>
  </si>
  <si>
    <t>Why Finland is Preparing for War</t>
  </si>
  <si>
    <t>2025-06-03T12:14:20Z</t>
  </si>
  <si>
    <t>zrL-5zT2cDk</t>
  </si>
  <si>
    <t>The bizarre town hidden near Area 51</t>
  </si>
  <si>
    <t>2025-06-02T14:41:26Z</t>
  </si>
  <si>
    <t>JZqa2wQdORo</t>
  </si>
  <si>
    <t>Space WAR Has Already Begun</t>
  </si>
  <si>
    <t>2025-05-29T12:00:41Z</t>
  </si>
  <si>
    <t>ZJqY1WLX4zA</t>
  </si>
  <si>
    <t>The Hidden Engineering of Runways</t>
  </si>
  <si>
    <t>2026-01-20T14:01:03Z</t>
  </si>
  <si>
    <t>8uoJNv9ufjM</t>
  </si>
  <si>
    <t>Why Nothing Feels Exciting Anymore</t>
  </si>
  <si>
    <t>2025-05-22T12:00:27Z</t>
  </si>
  <si>
    <t>TacQgNeoPMM</t>
  </si>
  <si>
    <t>The $16 TRILLION Race to Mine the Ocean</t>
  </si>
  <si>
    <t>2025-05-15T12:01:02Z</t>
  </si>
  <si>
    <t>Qx0-AMHr2QE</t>
  </si>
  <si>
    <t>Why are military aircraft suddenly flying over major US cities?</t>
  </si>
  <si>
    <t>2025-05-14T17:39:54Z</t>
  </si>
  <si>
    <t>Msfrit12u0M</t>
  </si>
  <si>
    <t>Inside the Most Prepared Country on Earth</t>
  </si>
  <si>
    <t>2025-04-30T12:00:42Z</t>
  </si>
  <si>
    <t>w3nwdRIXGjc</t>
  </si>
  <si>
    <t>The Business of Keeping People Poor</t>
  </si>
  <si>
    <t>2025-04-10T12:01:34Z</t>
  </si>
  <si>
    <t>Qr5ua1MtNAs</t>
  </si>
  <si>
    <t>Why the U.S. Abandoned This Island (Until Now)</t>
  </si>
  <si>
    <t>2025-04-01T17:32:03Z</t>
  </si>
  <si>
    <t>U3JzDVfvalg</t>
  </si>
  <si>
    <t>Soldiers might be deployed on...rockets?!</t>
  </si>
  <si>
    <t>2025-03-28T12:00:44Z</t>
  </si>
  <si>
    <t>DqJnmaLWnqQ</t>
  </si>
  <si>
    <t>Who’s Really Pulling the Strings in Global Wars</t>
  </si>
  <si>
    <t>2025-03-27T12:00:28Z</t>
  </si>
  <si>
    <t>VqFMX__AH9s</t>
  </si>
  <si>
    <t>Why The Military Plays Games to Prepare for War</t>
  </si>
  <si>
    <t>2025-03-20T12:00:50Z</t>
  </si>
  <si>
    <t>EiLfwN3BYm0</t>
  </si>
  <si>
    <t>Why Guantanamo Is Expanding</t>
  </si>
  <si>
    <t>2025-03-18T12:00:20Z</t>
  </si>
  <si>
    <t>Kg6yhQopj0A</t>
  </si>
  <si>
    <t>How North Korea Pulled off a Billion $$$ Heist</t>
  </si>
  <si>
    <t>2025-03-17T18:08:21Z</t>
  </si>
  <si>
    <t>fkHBppPAKnQ</t>
  </si>
  <si>
    <t>Where is all of the world’s gold?!</t>
  </si>
  <si>
    <t>2025-03-11T15:00:34Z</t>
  </si>
  <si>
    <t>7OHCOFFUamQ</t>
  </si>
  <si>
    <t>ytlvbh0Rfcg</t>
  </si>
  <si>
    <t>Recreating an Ancient Pump (with no moving parts)</t>
  </si>
  <si>
    <t>China is Building its Own “Pentagon” (it’s HUGE)</t>
  </si>
  <si>
    <t>2026-01-06T14:00:24Z</t>
  </si>
  <si>
    <t>2025-03-03T20:55:08Z</t>
  </si>
  <si>
    <t>ZsGRkRy4fbM</t>
  </si>
  <si>
    <t>What's Inside America's Underground Pentagon?</t>
  </si>
  <si>
    <t>2025-02-27T20:19:50Z</t>
  </si>
  <si>
    <t>qeZ2I5rKX0w</t>
  </si>
  <si>
    <t>I went on Piers Morgan to talk JFK files</t>
  </si>
  <si>
    <t>2025-02-26T13:01:22Z</t>
  </si>
  <si>
    <t>y_UQchXKtHs</t>
  </si>
  <si>
    <t>Trump is Releasing the JFK Files...and more?</t>
  </si>
  <si>
    <t>2025-02-25T13:01:20Z</t>
  </si>
  <si>
    <t>Ez1MEvpDZ-4</t>
  </si>
  <si>
    <t>Why Are Swiss Mountains Full of Secret Bunkers?</t>
  </si>
  <si>
    <t>2025-02-24T16:20:56Z</t>
  </si>
  <si>
    <t>z9IiZkMKi68</t>
  </si>
  <si>
    <t>Why China Will Never Surrender the South China Sea</t>
  </si>
  <si>
    <t>2025-02-20T13:01:33Z</t>
  </si>
  <si>
    <t>ECT4JwG7T3U</t>
  </si>
  <si>
    <t>It’s GULF OF AMERICA on Google Maps</t>
  </si>
  <si>
    <t>2025-02-11T16:06:39Z</t>
  </si>
  <si>
    <t>lnYA0_AzhsM</t>
  </si>
  <si>
    <t>Sawing a Dam in Half (on Purpose)</t>
  </si>
  <si>
    <t>2025-12-16T14:01:29Z</t>
  </si>
  <si>
    <t>jJve3v9a4kQ</t>
  </si>
  <si>
    <t>Why is this drug lord's plane on Airbnb?</t>
  </si>
  <si>
    <t>2025-02-10T17:09:49Z</t>
  </si>
  <si>
    <t>Y5PL5pAa8dE</t>
  </si>
  <si>
    <t>Whatever happened to ISIS?</t>
  </si>
  <si>
    <t>2025-02-07T13:00:47Z</t>
  </si>
  <si>
    <t>TjItATLCYdY</t>
  </si>
  <si>
    <t>How big of a deal is AI for war? (spoiler: it's big)</t>
  </si>
  <si>
    <t>2025-02-05T13:00:40Z</t>
  </si>
  <si>
    <t>vHOYs5g1SMA</t>
  </si>
  <si>
    <t>Trump’s Tariffs Explained</t>
  </si>
  <si>
    <t>2025-02-04T20:51:47Z</t>
  </si>
  <si>
    <t>-2HSFJOzQQ8</t>
  </si>
  <si>
    <t>kK4JbDFDHKA</t>
  </si>
  <si>
    <t>Hurricane vs. Tiny Houses</t>
  </si>
  <si>
    <t>Space Wars Are Back</t>
  </si>
  <si>
    <t>2025-12-02T14:00:00Z</t>
  </si>
  <si>
    <t>2025-02-04T18:50:24Z</t>
  </si>
  <si>
    <t>-IEQWmRLp2Q</t>
  </si>
  <si>
    <t>Trump Cuts Aid</t>
  </si>
  <si>
    <t>2025-02-04T13:00:00Z</t>
  </si>
  <si>
    <t>dMH69KmHhYs</t>
  </si>
  <si>
    <t>China’s Secret Shipment to Iran</t>
  </si>
  <si>
    <t>2025-02-03T20:08:39Z</t>
  </si>
  <si>
    <t>AurxZoIgQQ8</t>
  </si>
  <si>
    <t>Should AI Be Choosing Military Targets?</t>
  </si>
  <si>
    <t>2025-02-03T13:00:18Z</t>
  </si>
  <si>
    <t>3otH78x4v-w</t>
  </si>
  <si>
    <t>DeepSeek Drama, Explained</t>
  </si>
  <si>
    <t>2025-02-01T19:21:28Z</t>
  </si>
  <si>
    <t>MOiVuYp4ssw</t>
  </si>
  <si>
    <t>How AI Is Taking Over the Military</t>
  </si>
  <si>
    <t>2025-01-30T17:00:31Z</t>
  </si>
  <si>
    <t>geaXM1EwZlg</t>
  </si>
  <si>
    <t>sq6ZOVbKQhY</t>
  </si>
  <si>
    <t>This Is How AI Is Rewriting the Rules of War</t>
  </si>
  <si>
    <t>2025-01-30T13:00:53Z</t>
  </si>
  <si>
    <t>The Hidden Engineering Behind the Falkirk Wheel</t>
  </si>
  <si>
    <t>2025-11-15T21:39:56Z</t>
  </si>
  <si>
    <t>Wrnj0TMIkP8</t>
  </si>
  <si>
    <t>Winners and Losers of the New Middle East</t>
  </si>
  <si>
    <t>2025-01-24T21:24:17Z</t>
  </si>
  <si>
    <t>8uA4ALC7QZY</t>
  </si>
  <si>
    <t>Vacation in North Korea</t>
  </si>
  <si>
    <t>2025-01-23T17:42:37Z</t>
  </si>
  <si>
    <t>LpVJ2zVUV3A</t>
  </si>
  <si>
    <t>The difference between $1M and $1B is MINDBLOWING</t>
  </si>
  <si>
    <t>2025-01-15T15:39:08Z</t>
  </si>
  <si>
    <t>UGzI-ABpy6k</t>
  </si>
  <si>
    <t>Why Saudi Arabia is Building a $1 Trillion City in the Desert</t>
  </si>
  <si>
    <t>2024-12-18T13:00:41Z</t>
  </si>
  <si>
    <t>OVoDEO_hnkY</t>
  </si>
  <si>
    <t>Why the military is banned in Antarctica</t>
  </si>
  <si>
    <t>2024-12-16T13:00:34Z</t>
  </si>
  <si>
    <t>szx9UtAiCQU</t>
  </si>
  <si>
    <t>Why phone numbers look like this</t>
  </si>
  <si>
    <t>2024-12-13T13:01:06Z</t>
  </si>
  <si>
    <t>UZH3BgbqCko</t>
  </si>
  <si>
    <t>Every secret CIA prison, mapped</t>
  </si>
  <si>
    <t>2024-12-12T13:00:37Z</t>
  </si>
  <si>
    <t>Kjda25-TQhQ</t>
  </si>
  <si>
    <t>How the US government is trying to catch UFOs</t>
  </si>
  <si>
    <t>2024-12-09T13:00:31Z</t>
  </si>
  <si>
    <t>f2uad6LT9fo</t>
  </si>
  <si>
    <t>Concrete's Greatest Weakness is Time</t>
  </si>
  <si>
    <t>2025-11-04T14:01:13Z</t>
  </si>
  <si>
    <t>VNdo0zOD1jU</t>
  </si>
  <si>
    <t>5 Ways Timezones Are Weird</t>
  </si>
  <si>
    <t>2024-12-06T13:00:39Z</t>
  </si>
  <si>
    <t>uhq-e7_6xSg</t>
  </si>
  <si>
    <t>The Future of This Channel</t>
  </si>
  <si>
    <t>2024-12-04T13:01:12Z</t>
  </si>
  <si>
    <t>YgDdyhJUoZk</t>
  </si>
  <si>
    <t>How Much $$$ Is Hidden Under Antarctica’s Ice?</t>
  </si>
  <si>
    <t>2024-12-02T14:15:48Z</t>
  </si>
  <si>
    <t>TtAeZfKZgAc</t>
  </si>
  <si>
    <t>Why Nuclear Submarines are SO POWERFUL</t>
  </si>
  <si>
    <t>2024-12-02T13:00:36Z</t>
  </si>
  <si>
    <t>RS34LzpjBNU</t>
  </si>
  <si>
    <t>Why China is building bunkers</t>
  </si>
  <si>
    <t>2024-11-29T13:00:26Z</t>
  </si>
  <si>
    <t>jITKnb0tYaM</t>
  </si>
  <si>
    <t>How to legislate AI</t>
  </si>
  <si>
    <t>2024-11-27T13:00:53Z</t>
  </si>
  <si>
    <t>7mdvEtmo1pM</t>
  </si>
  <si>
    <t>hg7E0cIMq6w</t>
  </si>
  <si>
    <t>The Hidden Engineering of Niagara Falls</t>
  </si>
  <si>
    <t>Why Biden just gave these missiles to Ukraine</t>
  </si>
  <si>
    <t>2025-10-21T13:00:14Z</t>
  </si>
  <si>
    <t>2024-11-26T13:21:33Z</t>
  </si>
  <si>
    <t>5kCggxorgIs</t>
  </si>
  <si>
    <t>The Lost City of Atlantis Explained</t>
  </si>
  <si>
    <t>2024-11-21T13:00:11Z</t>
  </si>
  <si>
    <t>ytkq1ECug2Q</t>
  </si>
  <si>
    <t>How The Onion Bought Infowars</t>
  </si>
  <si>
    <t>2024-11-19T17:19:33Z</t>
  </si>
  <si>
    <t>ger0XET5yeg</t>
  </si>
  <si>
    <t>The CIA Used Kittens as...SPIES?</t>
  </si>
  <si>
    <t>2024-11-18T13:00:49Z</t>
  </si>
  <si>
    <t>7AEcRw7d-3E</t>
  </si>
  <si>
    <t>Why Trump Wants a Crypto Comeback</t>
  </si>
  <si>
    <t>2024-11-15T12:00:10Z</t>
  </si>
  <si>
    <t>AXz0kbMKPu0</t>
  </si>
  <si>
    <t>How Humans Invented Nationalism</t>
  </si>
  <si>
    <t>2024-11-14T13:00:13Z</t>
  </si>
  <si>
    <t>ZxQkGkHtWe4</t>
  </si>
  <si>
    <t>The CIA tried to K*LL CASTRO with a SEASHELL 🐚</t>
  </si>
  <si>
    <t>2024-11-13T13:00:42Z</t>
  </si>
  <si>
    <t>7X_f3D_Bavc</t>
  </si>
  <si>
    <t>Why the CIA put pigeons in...MISSILES?!</t>
  </si>
  <si>
    <t>2024-11-12T15:40:30Z</t>
  </si>
  <si>
    <t>0cBupDmLVIA</t>
  </si>
  <si>
    <t>Why Russia Sued Google for an IMPOSSIBLE Sum of Money</t>
  </si>
  <si>
    <t>2024-11-04T14:55:25Z</t>
  </si>
  <si>
    <t>sNmZ0N7YvXA</t>
  </si>
  <si>
    <t>Are McDonald's Ice Cream Machines FINALLY Going to Work?</t>
  </si>
  <si>
    <t>2024-10-31T21:29:42Z</t>
  </si>
  <si>
    <t>D3jGZQHokNg</t>
  </si>
  <si>
    <t>What is Happening in Norway's HIDDEN Submarine Tunnels???</t>
  </si>
  <si>
    <t>3nDdLiXS5wk</t>
  </si>
  <si>
    <t>2024-10-31T12:00:13Z</t>
  </si>
  <si>
    <t>The Bizarre Bases of Antenna Towers</t>
  </si>
  <si>
    <t>2025-10-07T13:00:06Z</t>
  </si>
  <si>
    <t>-1DeU6t38aM</t>
  </si>
  <si>
    <t>How India and China Navigate Their Borders</t>
  </si>
  <si>
    <t>2024-10-30T14:01:01Z</t>
  </si>
  <si>
    <t>-dTNzdysnO4</t>
  </si>
  <si>
    <t>Russian Spy Offers $5k to Commit Arson</t>
  </si>
  <si>
    <t>2024-10-29T16:31:25Z</t>
  </si>
  <si>
    <t>iqIuNrCHvLU</t>
  </si>
  <si>
    <t>Why Proxy Wars are on the Rise</t>
  </si>
  <si>
    <t>2024-10-28T15:22:15Z</t>
  </si>
  <si>
    <t>cAWTodLQqyw</t>
  </si>
  <si>
    <t>The REAL Story of Kamala Harris</t>
  </si>
  <si>
    <t>2024-10-28T12:00:48Z</t>
  </si>
  <si>
    <t>3krWpU65OOE</t>
  </si>
  <si>
    <t>NORTH KOREA SENDS TROOPS TO RUSSIA</t>
  </si>
  <si>
    <t>2024-10-25T16:41:06Z</t>
  </si>
  <si>
    <t>Cl_JpCSvTpk</t>
  </si>
  <si>
    <t>The REAL Story of Donald Trump</t>
  </si>
  <si>
    <t>2024-10-24T12:00:20Z</t>
  </si>
  <si>
    <t>HK9LNV_YHng</t>
  </si>
  <si>
    <t>The Israeli Plan to "Starve Out" Northern Gaza</t>
  </si>
  <si>
    <t>2024-10-18T22:03:42Z</t>
  </si>
  <si>
    <t>10wWy5IHKvg</t>
  </si>
  <si>
    <t>Israel’s wild missile defense system, explained</t>
  </si>
  <si>
    <t>2024-10-18T11:24:16Z</t>
  </si>
  <si>
    <t>ETFTg1Za28U</t>
  </si>
  <si>
    <t>3FfMzWa6LKg</t>
  </si>
  <si>
    <t>The Rise of Hezbollah, Mapped</t>
  </si>
  <si>
    <t>An Engineer's Perspective on the Texas Floods</t>
  </si>
  <si>
    <t>2024-10-17T11:53:21Z</t>
  </si>
  <si>
    <t>2025-09-16T13:00:10Z</t>
  </si>
  <si>
    <t>jRe1QXB1xJA</t>
  </si>
  <si>
    <t>Why Did Putin Target HIS HOME?</t>
  </si>
  <si>
    <t>2024-10-16T15:00:46Z</t>
  </si>
  <si>
    <t>UoI6jXO1hXQ</t>
  </si>
  <si>
    <t>How Flight Paths Show Global Conflict</t>
  </si>
  <si>
    <t>2024-10-11T14:42:22Z</t>
  </si>
  <si>
    <t>iqJ0kg9xvLs</t>
  </si>
  <si>
    <t>Why the U.S. Military Spends So Much Money</t>
  </si>
  <si>
    <t>2024-10-10T12:01:01Z</t>
  </si>
  <si>
    <t>1NLd_UCXomU</t>
  </si>
  <si>
    <t>How to look at the Middle East right now</t>
  </si>
  <si>
    <t>2024-10-09T13:15:07Z</t>
  </si>
  <si>
    <t>JdyJBbRPBM0</t>
  </si>
  <si>
    <t>Why Russia is Building Bases in the Arctic</t>
  </si>
  <si>
    <t>2024-10-07T19:04:00Z</t>
  </si>
  <si>
    <t>ILkdfLhykOI</t>
  </si>
  <si>
    <t>The Most Remote Island on Earth</t>
  </si>
  <si>
    <t>2024-10-04T12:08:35Z</t>
  </si>
  <si>
    <t>2nX7Y8ZwShg</t>
  </si>
  <si>
    <t>YCogLi9N0cs</t>
  </si>
  <si>
    <t>The Weirdest Tool in Underwater Construction</t>
  </si>
  <si>
    <t>Trapped in occupied territory #shorts</t>
  </si>
  <si>
    <t>2025-09-02T13:00:09Z</t>
  </si>
  <si>
    <t>2024-10-03T12:01:00Z</t>
  </si>
  <si>
    <t>gzLPa6NbcrE</t>
  </si>
  <si>
    <t>Why you’re so tired</t>
  </si>
  <si>
    <t>2024-10-03T12:00:49Z</t>
  </si>
  <si>
    <t>5AePqbBDwVY</t>
  </si>
  <si>
    <t>Israel is Heading Toward War</t>
  </si>
  <si>
    <t>2024-10-01T20:36:16Z</t>
  </si>
  <si>
    <t>Ya2CLSaOQOc</t>
  </si>
  <si>
    <t>China’s Brainwashing Camps</t>
  </si>
  <si>
    <t>2024-10-01T14:08:47Z</t>
  </si>
  <si>
    <t>RP2z8ZIvr6U</t>
  </si>
  <si>
    <t>Why The Houthis are Shooting Rockets at Israel</t>
  </si>
  <si>
    <t>2024-09-30T16:41:12Z</t>
  </si>
  <si>
    <t>QMMmz8hLb3M</t>
  </si>
  <si>
    <t>The U.S. Just Got Bigger</t>
  </si>
  <si>
    <t>2024-09-26T18:26:51Z</t>
  </si>
  <si>
    <t>QOnQORqkHcM</t>
  </si>
  <si>
    <t>California’s Tallest Bridge Has Nothing Underneath</t>
  </si>
  <si>
    <t>2025-08-19T13:00:45Z</t>
  </si>
  <si>
    <t>Sge5Y-G8Jds</t>
  </si>
  <si>
    <t>I Went to Georgia to See Russia’s Silent Invasion</t>
  </si>
  <si>
    <t>2024-09-26T12:00:33Z</t>
  </si>
  <si>
    <t>AV1TYMroX2A</t>
  </si>
  <si>
    <t>How the CIA created antivaxers in Afghanistan</t>
  </si>
  <si>
    <t>2024-09-25T17:45:29Z</t>
  </si>
  <si>
    <t>nF-6dqiGMfw</t>
  </si>
  <si>
    <t>_R0xPffklXQ</t>
  </si>
  <si>
    <t>Why Are There No Short Arch Dams?</t>
  </si>
  <si>
    <t>2025-08-05T13:01:04Z</t>
  </si>
  <si>
    <t>Why China CRASHED into this boat (on purpose???)</t>
  </si>
  <si>
    <t>2024-09-19T17:00:42Z</t>
  </si>
  <si>
    <t>HJAEJdGUS6M</t>
  </si>
  <si>
    <t>How these guys (from Utah???) tried to OVERTHROW the Congo's government</t>
  </si>
  <si>
    <t>2024-09-19T13:11:29Z</t>
  </si>
  <si>
    <t>QPzQ-odrCSk</t>
  </si>
  <si>
    <t>New Footage of the Would-Be Trump Assassin</t>
  </si>
  <si>
    <t>2024-09-18T20:06:06Z</t>
  </si>
  <si>
    <t>AbjGLk55e34</t>
  </si>
  <si>
    <t>WTF is happening with this pager attack?</t>
  </si>
  <si>
    <t>2024-09-18T14:42:06Z</t>
  </si>
  <si>
    <t>nol0_4qxzb0</t>
  </si>
  <si>
    <t>The Hidden Engineering of Floating Bridges</t>
  </si>
  <si>
    <t>aS0fvk5CJAY</t>
  </si>
  <si>
    <t>2025-07-15T13:01:34Z</t>
  </si>
  <si>
    <t>China just violated Japan’s airspace (NOT GOOD)</t>
  </si>
  <si>
    <t>2024-09-14T12:00:03Z</t>
  </si>
  <si>
    <t>aibSoB7ZCYs</t>
  </si>
  <si>
    <t>The Map Stopping a Ceasefire</t>
  </si>
  <si>
    <t>2024-09-13T20:29:50Z</t>
  </si>
  <si>
    <t>KloahKhSWTk</t>
  </si>
  <si>
    <t>The Secret Trump Investigation Nobody is Talking About</t>
  </si>
  <si>
    <t>2024-09-12T12:00:31Z</t>
  </si>
  <si>
    <t>zr-FHAzZ_sQ</t>
  </si>
  <si>
    <t>Why Sudan is Burning (NOT Wildfires)</t>
  </si>
  <si>
    <t>2024-09-10T15:30:59Z</t>
  </si>
  <si>
    <t>lkT8wbhTNAo</t>
  </si>
  <si>
    <t>WTF Are These Secret Cargo Planes in the Desert?</t>
  </si>
  <si>
    <t>2024-09-09T13:39:14Z</t>
  </si>
  <si>
    <t>s1OgTP9aia0</t>
  </si>
  <si>
    <t>WHY RUSSIA PAID AMERICAN YOUTUBERS $10M</t>
  </si>
  <si>
    <t>2024-09-06T12:59:07Z</t>
  </si>
  <si>
    <t>kk6T_7TOiAE</t>
  </si>
  <si>
    <t>fudWbvE8ZKw</t>
  </si>
  <si>
    <t>Why Iran wants a Red Sea Military Base</t>
  </si>
  <si>
    <t>How Liquid Dampers in Skyscrapers Work</t>
  </si>
  <si>
    <t>2024-09-05T20:18:28Z</t>
  </si>
  <si>
    <t>2025-07-01T13:01:24Z</t>
  </si>
  <si>
    <t>DVQDUSCtKsc</t>
  </si>
  <si>
    <t>ISRAEL IN CRISIS</t>
  </si>
  <si>
    <t>2024-09-03T21:20:21Z</t>
  </si>
  <si>
    <t>kieCFwMqKtE</t>
  </si>
  <si>
    <t>The WILD Story of How the Mormons Created Utah</t>
  </si>
  <si>
    <t>2024-08-22T12:01:01Z</t>
  </si>
  <si>
    <t>PyGN__V4XkQ</t>
  </si>
  <si>
    <t>Batteries that stretch like eels…for war? ⚡️</t>
  </si>
  <si>
    <t>2024-08-19T17:27:20Z</t>
  </si>
  <si>
    <t>KM86uFCtgNY</t>
  </si>
  <si>
    <t>Why Chinese Factories are Failing</t>
  </si>
  <si>
    <t>2024-08-17T13:00:16Z</t>
  </si>
  <si>
    <t>8KaIe8Zb24Y</t>
  </si>
  <si>
    <t>Submarines are way bigger than you think</t>
  </si>
  <si>
    <t>2024-08-16T14:48:02Z</t>
  </si>
  <si>
    <t>WhCNpX3s-D8</t>
  </si>
  <si>
    <t>How Water Recycling Works</t>
  </si>
  <si>
    <t>CJ1c3FI9krQ</t>
  </si>
  <si>
    <t>2025-06-17T13:01:04Z</t>
  </si>
  <si>
    <t>AI War is already here</t>
  </si>
  <si>
    <t>2024-08-15T14:55:29Z</t>
  </si>
  <si>
    <t>l8Uzf-qVKPs</t>
  </si>
  <si>
    <t>This is the World’s SMALLEST Submarine</t>
  </si>
  <si>
    <t>2024-08-14T12:33:38Z</t>
  </si>
  <si>
    <t>5A12sGrOvEM</t>
  </si>
  <si>
    <t>From Russian Prisoner to Olympic Champion 🥇</t>
  </si>
  <si>
    <t>2024-08-13T18:07:42Z</t>
  </si>
  <si>
    <t>6REr4CJofWw</t>
  </si>
  <si>
    <t>Will Africa declare a continental emergency? 🚨</t>
  </si>
  <si>
    <t>2024-08-13T11:32:15Z</t>
  </si>
  <si>
    <t>I02AIi3G3FE</t>
  </si>
  <si>
    <t>Why thousands are protesting in Bangladesh</t>
  </si>
  <si>
    <t>2024-08-12T20:59:44Z</t>
  </si>
  <si>
    <t>RnYdt4T76mk</t>
  </si>
  <si>
    <t>IPtEYTY0pZE</t>
  </si>
  <si>
    <t>Why are Smokestacks So Tall?</t>
  </si>
  <si>
    <t>The First Refugee to Win an Olympic Medal #olympics #refugees</t>
  </si>
  <si>
    <t>2025-06-03T14:41:52Z</t>
  </si>
  <si>
    <t>2024-08-10T17:15:35Z</t>
  </si>
  <si>
    <t>qpXIrR9JLiE</t>
  </si>
  <si>
    <t>This Olympic Selfie is a Big Deal</t>
  </si>
  <si>
    <t>2024-08-09T13:01:02Z</t>
  </si>
  <si>
    <t>C3Hrk_PBPII</t>
  </si>
  <si>
    <t>Submarines are freaking SCARY</t>
  </si>
  <si>
    <t>2024-08-08T22:26:27Z</t>
  </si>
  <si>
    <t>T5FpD2-TPms</t>
  </si>
  <si>
    <t>Ranking the Strongest &amp; Weakest Submarine Fleets</t>
  </si>
  <si>
    <t>2024-08-08T12:00:29Z</t>
  </si>
  <si>
    <t>DfIspGAt6pA</t>
  </si>
  <si>
    <t>Why the Middle East is Spiraling</t>
  </si>
  <si>
    <t>jPJCYrxqyT8</t>
  </si>
  <si>
    <t>2024-08-07T14:12:56Z</t>
  </si>
  <si>
    <t>The Most Implausible Tunneling Method</t>
  </si>
  <si>
    <t>2025-05-20T13:01:19Z</t>
  </si>
  <si>
    <t>q_gm04IZtYY</t>
  </si>
  <si>
    <t>What does $25,000 vs $25,000,000 look like?</t>
  </si>
  <si>
    <t>2024-08-01T16:43:43Z</t>
  </si>
  <si>
    <t>NfMdvee5HoY</t>
  </si>
  <si>
    <t>$25,000 vs. $25,000,000</t>
  </si>
  <si>
    <t>2024-07-26T12:00:25Z</t>
  </si>
  <si>
    <t>T4h0KHybvJk</t>
  </si>
  <si>
    <t>Why are US leaders so old?</t>
  </si>
  <si>
    <t>RZg1zOKm5wk</t>
  </si>
  <si>
    <t>When Abandoned Mines Collapse</t>
  </si>
  <si>
    <t>2025-05-06T13:00:51Z</t>
  </si>
  <si>
    <t>2024-07-21T13:54:49Z</t>
  </si>
  <si>
    <t>hd5cWzqueHc</t>
  </si>
  <si>
    <t>The U.S. stopped this huge Russian Twitter bot farm</t>
  </si>
  <si>
    <t>2024-07-20T20:08:37Z</t>
  </si>
  <si>
    <t>H3VvJRKZFHc</t>
  </si>
  <si>
    <t>Why This Country Was Erased From History</t>
  </si>
  <si>
    <t>2024-07-19T12:00:30Z</t>
  </si>
  <si>
    <t>DdVWDLGX810</t>
  </si>
  <si>
    <t>Why Europe is worried about Trump's VP Pick</t>
  </si>
  <si>
    <t>2024-07-18T19:55:53Z</t>
  </si>
  <si>
    <t>WYQxG4KEzvo</t>
  </si>
  <si>
    <t>-D5iBAuXxeQ</t>
  </si>
  <si>
    <t>The Problem With Elon Musk</t>
  </si>
  <si>
    <t>When Kitty Litter Caused a Nuclear Catastrophe</t>
  </si>
  <si>
    <t>2024-07-12T12:00:26Z</t>
  </si>
  <si>
    <t>2025-04-15T13:00:00Z</t>
  </si>
  <si>
    <t>IzNCjr6YFSY</t>
  </si>
  <si>
    <t>Why Hezbollah threatened Cyprus</t>
  </si>
  <si>
    <t>2024-07-09T12:00:30Z</t>
  </si>
  <si>
    <t>RMDORYsfbh4</t>
  </si>
  <si>
    <t>A coup in Bolivia?</t>
  </si>
  <si>
    <t>2024-07-08T21:00:16Z</t>
  </si>
  <si>
    <t>CHNThLrN-CY</t>
  </si>
  <si>
    <t>Kim Jong Un’s trash bomb</t>
  </si>
  <si>
    <t>2024-07-08T17:49:17Z</t>
  </si>
  <si>
    <t>0kQXOTcEB_E</t>
  </si>
  <si>
    <t>Why Are Beach Holes So Deadly?</t>
  </si>
  <si>
    <t>xjs1Arwpck8</t>
  </si>
  <si>
    <t>2025-04-01T13:00:04Z</t>
  </si>
  <si>
    <t>This year’s biggest election results</t>
  </si>
  <si>
    <t>2024-07-05T13:26:37Z</t>
  </si>
  <si>
    <t>1LjkhFFWzUM</t>
  </si>
  <si>
    <t>How Japan’s growing military is affecting its citizens</t>
  </si>
  <si>
    <t>2024-07-03T13:00:02Z</t>
  </si>
  <si>
    <t>QnYD3dTbqXY</t>
  </si>
  <si>
    <t>Searching for bones in Okinawa's caves</t>
  </si>
  <si>
    <t>2024-07-02T13:00:25Z</t>
  </si>
  <si>
    <t>uW3RRoO-3IA</t>
  </si>
  <si>
    <t>Japan's military base in the forest</t>
  </si>
  <si>
    <t>2024-07-01T13:00:51Z</t>
  </si>
  <si>
    <t>oHFA9nc1MZc</t>
  </si>
  <si>
    <t>Hovercrafts for War?</t>
  </si>
  <si>
    <t>2024-06-30T13:00:50Z</t>
  </si>
  <si>
    <t>pL5NCUuOkTM</t>
  </si>
  <si>
    <t>9dxmGtqwIg8</t>
  </si>
  <si>
    <t>This Bridge’s Bizarre Design Nearly Caused It To Collapse</t>
  </si>
  <si>
    <t>Japan's missile-launching trucks</t>
  </si>
  <si>
    <t>2025-03-18T13:01:15Z</t>
  </si>
  <si>
    <t>2024-06-29T13:00:15Z</t>
  </si>
  <si>
    <t>mdgqz4srK3Q</t>
  </si>
  <si>
    <t>I trained with the Japanese army</t>
  </si>
  <si>
    <t>2024-06-28T14:00:41Z</t>
  </si>
  <si>
    <t>Q7yE2ijC0pM</t>
  </si>
  <si>
    <t>Why Japan is Preparing for War With China</t>
  </si>
  <si>
    <t>2024-06-28T12:00:32Z</t>
  </si>
  <si>
    <t>jjwHpFfsUd8</t>
  </si>
  <si>
    <t>The Alternative to the Western alliance</t>
  </si>
  <si>
    <t>2024-06-27T15:24:12Z</t>
  </si>
  <si>
    <t>g9O0UiCaa7w</t>
  </si>
  <si>
    <t>Assange is free. It’s a big deal. Full video on the channel.</t>
  </si>
  <si>
    <t>2024-06-26T15:18:55Z</t>
  </si>
  <si>
    <t>O1xraHRrCb0</t>
  </si>
  <si>
    <t>XiUOBdEUqjY</t>
  </si>
  <si>
    <t>2024-06-26T13:00:32Z</t>
  </si>
  <si>
    <t>All Dams Are Temporary</t>
  </si>
  <si>
    <t>2025-03-04T14:00:39Z</t>
  </si>
  <si>
    <t>6jfsseu6Rc4</t>
  </si>
  <si>
    <t>How to Win a War in the Pacific</t>
  </si>
  <si>
    <t>2024-06-25T14:02:45Z</t>
  </si>
  <si>
    <t>DUQUbODfRaE</t>
  </si>
  <si>
    <t>How do our brains process information? #science</t>
  </si>
  <si>
    <t>2024-06-24T17:21:40Z</t>
  </si>
  <si>
    <t>w4MIyVY2dYk</t>
  </si>
  <si>
    <t>The Rise and Fall of the Japanese Empire. #history</t>
  </si>
  <si>
    <t>2024-06-24T01:04:07Z</t>
  </si>
  <si>
    <t>TOJQkhzpLyQ</t>
  </si>
  <si>
    <t>WWII in the Pacific: Why Japan Lost</t>
  </si>
  <si>
    <t>2024-06-21T12:00:35Z</t>
  </si>
  <si>
    <t>hM5kIarRFD8</t>
  </si>
  <si>
    <t>Lying is more complicated than we think 💭</t>
  </si>
  <si>
    <t>2024-06-17T13:48:51Z</t>
  </si>
  <si>
    <t>yWgG3Mgn2Gc</t>
  </si>
  <si>
    <t>YSQhtlyfPtU</t>
  </si>
  <si>
    <t>Truth vs Lies: The Science of Why We Believe Misinformation</t>
  </si>
  <si>
    <t>A Love Letter to Cable-Stayed Bridges</t>
  </si>
  <si>
    <t>2024-06-14T12:01:05Z</t>
  </si>
  <si>
    <t>2025-02-14T14:00:43Z</t>
  </si>
  <si>
    <t>082dUXU2hOw</t>
  </si>
  <si>
    <t>Why Iran and the US are Enemies</t>
  </si>
  <si>
    <t>2024-06-11T13:55:04Z</t>
  </si>
  <si>
    <t>y99DHMLA1t8</t>
  </si>
  <si>
    <t>Underwater Drones</t>
  </si>
  <si>
    <t>2024-06-06T21:31:49Z</t>
  </si>
  <si>
    <t>1ztGpGjO60o</t>
  </si>
  <si>
    <t>What’s Inside a Manhole?</t>
  </si>
  <si>
    <t>2025-02-04T14:00:02Z</t>
  </si>
  <si>
    <t>qQCB3N8Vaxk</t>
  </si>
  <si>
    <t>Why are the Dutch So Good at Waterworks?</t>
  </si>
  <si>
    <t>2025-01-21T14:01:04Z</t>
  </si>
  <si>
    <t>MNexLKROHmY</t>
  </si>
  <si>
    <t>The Hidden Engineering Behind Texas's Top Tourist Attraction</t>
  </si>
  <si>
    <t>2025-01-07T14:00:31Z</t>
  </si>
  <si>
    <t>5mYpQWPtfpo</t>
  </si>
  <si>
    <t>The Hidden Engineering of Wildlife Crossings</t>
  </si>
  <si>
    <t>2024-12-17T14:00:05Z</t>
  </si>
  <si>
    <t>nGa1244hK9Y</t>
  </si>
  <si>
    <t>What’s the Deal with Base Plates?</t>
  </si>
  <si>
    <t>2024-12-03T14:00:49Z</t>
  </si>
  <si>
    <t>sH1PVVJuBtE</t>
  </si>
  <si>
    <t>Which Power Plant Does My Electricity Come From?</t>
  </si>
  <si>
    <t>2024-11-19T14:01:01Z</t>
  </si>
  <si>
    <t>tmbZVmXyOXM</t>
  </si>
  <si>
    <t>Why Are Cooling Towers Shaped Like That?</t>
  </si>
  <si>
    <t>2024-11-05T14:00:59Z</t>
  </si>
  <si>
    <t>goWsVAE-JF0</t>
  </si>
  <si>
    <t>1.5 Years of Heavy Construction in 1.5 Hours</t>
  </si>
  <si>
    <t>2024-10-29T13:00:51Z</t>
  </si>
  <si>
    <t>zRM2AnwNY20</t>
  </si>
  <si>
    <t>The Wild Story of the Taum Sauk Dam Failure</t>
  </si>
  <si>
    <t>2024-10-15T13:01:13Z</t>
  </si>
  <si>
    <t>SB0qDQFTyE8</t>
  </si>
  <si>
    <t>Is the World Really Running Out of Sand?</t>
  </si>
  <si>
    <t>2024-10-01T13:00:35Z</t>
  </si>
  <si>
    <t>VE1wM4oIh8Y</t>
  </si>
  <si>
    <t>When Infrastructure Gets Hacked</t>
  </si>
  <si>
    <t>2024-09-17T13:00:38Z</t>
  </si>
  <si>
    <t>HRx_dZawN44</t>
  </si>
  <si>
    <t>The Hidden Engineering of Landfills</t>
  </si>
  <si>
    <t>2024-09-03T13:00:17Z</t>
  </si>
  <si>
    <t>-16RFXr44fY</t>
  </si>
  <si>
    <t>Why Are Texas Interchanges So Tall?</t>
  </si>
  <si>
    <t>2024-08-20T13:15:00Z</t>
  </si>
  <si>
    <t>aFZM_BY6jBw</t>
  </si>
  <si>
    <t>How French Drains Work</t>
  </si>
  <si>
    <t>2024-08-06T13:00:01Z</t>
  </si>
  <si>
    <t>pR486zloao0</t>
  </si>
  <si>
    <t>When Natural Gas Had No Smell</t>
  </si>
  <si>
    <t>2024-07-16T13:00:49Z</t>
  </si>
  <si>
    <t>XpTs1V2NQ24</t>
  </si>
  <si>
    <t>Why Bridges Don't Sink</t>
  </si>
  <si>
    <t>2024-07-02T13:00:35Z</t>
  </si>
  <si>
    <t>4mn0mC0cbi8</t>
  </si>
  <si>
    <t>This Bridge Should Have Been Closed Years Before It Collapsed</t>
  </si>
  <si>
    <t>2024-06-18T13:00:07Z</t>
  </si>
  <si>
    <t>ZwkNTwWJP5k</t>
  </si>
  <si>
    <t>The Most Confusing Part of the Power Grid</t>
  </si>
  <si>
    <t>2024-06-04T13:00:27Z</t>
  </si>
  <si>
    <t>DX_zkaK5PaI</t>
  </si>
  <si>
    <t>Every Kind of Bridge Explained in 15 Minutes</t>
  </si>
  <si>
    <t>2024-05-21T13:00:18Z</t>
  </si>
  <si>
    <t>zLOVv09n46g</t>
  </si>
  <si>
    <t>How Bridge Engineers Design Against Ship Collisions</t>
  </si>
  <si>
    <t>2024-05-07T13:00:54Z</t>
  </si>
  <si>
    <t>7G4ipM2qjfw</t>
  </si>
  <si>
    <t>Connecting Solar to the Grid is Harder Than You Think</t>
  </si>
  <si>
    <t>2024-04-16T13:00:06Z</t>
  </si>
  <si>
    <t>MonfznEl1hk</t>
  </si>
  <si>
    <t>Why Fish Ladders (Mostly) Work</t>
  </si>
  <si>
    <t>2024-04-02T13:00:19Z</t>
  </si>
  <si>
    <t>bbECmVdyWlQ</t>
  </si>
  <si>
    <t>How the Hawaiian Power Grid Works</t>
  </si>
  <si>
    <t>2024-03-19T13:00:37Z</t>
  </si>
  <si>
    <t>HCE_lFUMXNg</t>
  </si>
  <si>
    <t>How Fish Survive Hydro Turbines</t>
  </si>
  <si>
    <t>2024-03-05T14:00:22Z</t>
  </si>
  <si>
    <t>RK1J8kC1sEY</t>
  </si>
  <si>
    <t>How To Install a Pipeline Under a Railroad</t>
  </si>
  <si>
    <t>2024-02-20T14:00:17Z</t>
  </si>
  <si>
    <t>nGhBHrr5CYQ</t>
  </si>
  <si>
    <t>Why Locomotives Don't Have Tires</t>
  </si>
  <si>
    <t>2024-02-06T14:00:39Z</t>
  </si>
  <si>
    <t>KclYKAnaJ_k</t>
  </si>
  <si>
    <t>How The Channel Tunnel Works</t>
  </si>
  <si>
    <t>2024-01-16T14:00:12Z</t>
  </si>
  <si>
    <t>9kRJPSVdzlM</t>
  </si>
  <si>
    <t>How Railroad Crossings Work</t>
  </si>
  <si>
    <t>2024-01-02T14:00:07Z</t>
  </si>
  <si>
    <t>0ZhHoyqQEhA</t>
  </si>
  <si>
    <t>How Engineers Straightened the Leaning Tower of Pisa</t>
  </si>
  <si>
    <t>2023-12-19T14:00:01Z</t>
  </si>
  <si>
    <t>zqmOSMAtadc</t>
  </si>
  <si>
    <t>Why Railroads Don't Need Expansion Joints</t>
  </si>
  <si>
    <t>2023-12-05T14:00:40Z</t>
  </si>
  <si>
    <t>gD3dMzv1vIQ</t>
  </si>
  <si>
    <t>Engineering The Largest Nuclear Fusion Reactor</t>
  </si>
  <si>
    <t>2023-11-21T12:58:08Z</t>
  </si>
  <si>
    <t>tfA0ftgWI7U</t>
  </si>
  <si>
    <t>Which Is Easier To Pull? (Railcars vs. Road Cars)</t>
  </si>
  <si>
    <t>2023-11-07T14:00:41Z</t>
  </si>
  <si>
    <t>Seb3lULQruE</t>
  </si>
  <si>
    <t>HEAVY CONSTRUCTION of a Sewage Pump Station - Ep 5</t>
  </si>
  <si>
    <t>2023-10-24T13:00:23Z</t>
  </si>
  <si>
    <t>xQbaVdge7kU</t>
  </si>
  <si>
    <t>How Much Is a Human Worth? (according to engineers)</t>
  </si>
  <si>
    <t>2023-10-17T13:00:47Z</t>
  </si>
  <si>
    <t>UqqdIZuKS5s</t>
  </si>
  <si>
    <t>HEAVY CONSTRUCTION of a Sewage Pump Station - Ep 4</t>
  </si>
  <si>
    <t>2023-10-10T13:00:32Z</t>
  </si>
  <si>
    <t>Nteyw40i9So</t>
  </si>
  <si>
    <t>Why Are Rails Shaped Like That?</t>
  </si>
  <si>
    <t>2023-10-03T13:00:26Z</t>
  </si>
  <si>
    <t>Yd4yxionQpg</t>
  </si>
  <si>
    <t>HEAVY CONSTRUCTION of a Sewage Pump Station - Ep 3</t>
  </si>
  <si>
    <t>2023-09-26T13:00:33Z</t>
  </si>
  <si>
    <t>psjExhXfvbI</t>
  </si>
  <si>
    <t>Every Type of Railcar Explained in 15 Minutes</t>
  </si>
  <si>
    <t>2023-09-19T13:00:44Z</t>
  </si>
  <si>
    <t>vFAaXef49U0</t>
  </si>
  <si>
    <t>HEAVY CONSTRUCTION of a Sewage Pump Station - Ep 2</t>
  </si>
  <si>
    <t>2023-09-12T13:00:45Z</t>
  </si>
  <si>
    <t>DARUvKPSUhE</t>
  </si>
  <si>
    <t>Do Droughts Make Floods Worse?</t>
  </si>
  <si>
    <t>2023-09-05T13:00:18Z</t>
  </si>
  <si>
    <t>PdcXkmvXXwU</t>
  </si>
  <si>
    <t>HEAVY CONSTRUCTION of a Sewage Pump Station - Ep 1</t>
  </si>
  <si>
    <t>2023-08-29T13:00:20Z</t>
  </si>
  <si>
    <t>6CmX4ZmhwPM</t>
  </si>
  <si>
    <t>Every Construction Machine Explained in 15 Minutes</t>
  </si>
  <si>
    <t>2023-08-15T13:00:08Z</t>
  </si>
  <si>
    <t>jduDyF2Zwd8</t>
  </si>
  <si>
    <t>Where Does Grounded Electricity Actually Go?</t>
  </si>
  <si>
    <t>2023-08-01T13:00:27Z</t>
  </si>
  <si>
    <t>iKNw1mnA5M0</t>
  </si>
  <si>
    <t>Philadelphia I-95 Bridge Collapse Explained</t>
  </si>
  <si>
    <t>2023-07-18T13:00:35Z</t>
  </si>
  <si>
    <t>mxqOPdEUNTs</t>
  </si>
  <si>
    <t>Why Is Desalination So Difficult?</t>
  </si>
  <si>
    <t>2023-07-05T13:00:38Z</t>
  </si>
  <si>
    <t>2EsqMLT0Hzw</t>
  </si>
  <si>
    <t>Was Starship’s Stage Zero a Bad Pad?</t>
  </si>
  <si>
    <t>2023-06-20T13:00:02Z</t>
  </si>
  <si>
    <t>r4G0aTq5oSM</t>
  </si>
  <si>
    <t>How Flood Tunnels Work</t>
  </si>
  <si>
    <t>2023-06-06T13:00:43Z</t>
  </si>
  <si>
    <t>QPL8dh6b1M0</t>
  </si>
  <si>
    <t>What Really Happened During the Gas Explosions in the Merrimack Valley?</t>
  </si>
  <si>
    <t>2023-05-16T13:00:31Z</t>
  </si>
  <si>
    <t>DdbmTl0rhGw</t>
  </si>
  <si>
    <t>How Sensors Keep Bridges From Collapsing (and other structures too)</t>
  </si>
  <si>
    <t>2023-05-02T13:00:15Z</t>
  </si>
  <si>
    <t>uPno1IVTkFY</t>
  </si>
  <si>
    <t>East Palestine Train Derailment Explained</t>
  </si>
  <si>
    <t>2023-04-18T13:00:42Z</t>
  </si>
  <si>
    <t>vLZElIYHmAI</t>
  </si>
  <si>
    <t>Why Engineers Can't Control Rivers</t>
  </si>
  <si>
    <t>2023-04-04T13:00:46Z</t>
  </si>
  <si>
    <t>dOe_6vuaR_s</t>
  </si>
  <si>
    <t>Why Construction Projects Always Go Over Budget</t>
  </si>
  <si>
    <t>2023-03-21T13:00:24Z</t>
  </si>
  <si>
    <t>UBivwxBgdPQ</t>
  </si>
  <si>
    <t>Why Rivers Move</t>
  </si>
  <si>
    <t>2023-03-07T14:00:27Z</t>
  </si>
  <si>
    <t>xOdF7A1ry7E</t>
  </si>
  <si>
    <t>The Only State Capital Where You Can’t Drink the Water</t>
  </si>
  <si>
    <t>2023-02-21T14:00:28Z</t>
  </si>
  <si>
    <t>t65tbfU9sCI</t>
  </si>
  <si>
    <t>Why Some Roads Are Made of Styrofoam</t>
  </si>
  <si>
    <t>2023-02-07T14:00:35Z</t>
  </si>
  <si>
    <t>bPwY-FTqWxM</t>
  </si>
  <si>
    <t>What Really Happened with the Substation Attack in North Carolina?</t>
  </si>
  <si>
    <t>2023-01-17T14:00:17Z</t>
  </si>
  <si>
    <t>Ry_3icwd68o</t>
  </si>
  <si>
    <t>How Different Spillway Gates Work</t>
  </si>
  <si>
    <t>2023-01-03T14:00:12Z</t>
  </si>
  <si>
    <t>jVi5p-yyF3c</t>
  </si>
  <si>
    <t>How This Bridge Was Rebuilt in 15 Days After Hurricane Ian</t>
  </si>
  <si>
    <t>2022-12-20T14:00:32Z</t>
  </si>
  <si>
    <t>uOSnQM1Zu4w</t>
  </si>
  <si>
    <t>What Is A Black Start Of The Power Grid?</t>
  </si>
  <si>
    <t>2022-12-06T14:00:31Z</t>
  </si>
  <si>
    <t>oEV3FYaRULQ</t>
  </si>
  <si>
    <t>3 Million!</t>
  </si>
  <si>
    <t>2022-11-28T18:02:46Z</t>
  </si>
  <si>
    <t>_OpC4fH3mEk</t>
  </si>
  <si>
    <t>How Long Would Society Last During a Total Grid Collapse?</t>
  </si>
  <si>
    <t>2022-11-22T14:00:23Z</t>
  </si>
  <si>
    <t>FksEGpBLfis</t>
  </si>
  <si>
    <t>How Would a Nuclear EMP Affect the Power Grid?</t>
  </si>
  <si>
    <t>2022-11-08T14:00:13Z</t>
  </si>
  <si>
    <t>i2m3I0LxZOA</t>
  </si>
  <si>
    <t>Engineering In Plain Sight: An Illustrated Field Guide to the Constructed Environment</t>
  </si>
  <si>
    <t>2022-11-01T13:30:11Z</t>
  </si>
  <si>
    <t>rW_tgmNIh9Y</t>
  </si>
  <si>
    <t>The Forbidden Alloy of WW2</t>
  </si>
  <si>
    <t>2026-07-02T10:11:30Z</t>
  </si>
  <si>
    <t>UCR1IuLEqb6UEA_zQ81kwXfg</t>
  </si>
  <si>
    <t>Real Engineering</t>
  </si>
  <si>
    <t>znYh3kFZ2C4</t>
  </si>
  <si>
    <t>This isn’t the original Statue of Liberty</t>
  </si>
  <si>
    <t>2026-07-01T12:18:04Z</t>
  </si>
  <si>
    <t>_qpdUNMt2yg</t>
  </si>
  <si>
    <t>Reading StarCloud’s Whitepaper So You Don’t Have To</t>
  </si>
  <si>
    <t>2026-06-27T16:00:16Z</t>
  </si>
  <si>
    <t>VzZQz0cOMsc</t>
  </si>
  <si>
    <t>$1 vs $50 Phone Charger. What’s the difference?</t>
  </si>
  <si>
    <t>2026-06-23T13:36:46Z</t>
  </si>
  <si>
    <t>ZewlcJsfbn8</t>
  </si>
  <si>
    <t>The Dark Side of the World’s Lightest Structural Metal</t>
  </si>
  <si>
    <t>2026-06-06T15:00:07Z</t>
  </si>
  <si>
    <t>9IYRd5TnC5M</t>
  </si>
  <si>
    <t>The V-22’s prototype was even more dangerous</t>
  </si>
  <si>
    <t>2026-05-13T21:12:35Z</t>
  </si>
  <si>
    <t>jAaw0vn7eLs</t>
  </si>
  <si>
    <t>Why the Nokia 3310 was so Durable</t>
  </si>
  <si>
    <t>2026-04-29T14:01:48Z</t>
  </si>
  <si>
    <t>FYMdllTCrc0</t>
  </si>
  <si>
    <t>The Insane Engineering of the V-22 Osprey</t>
  </si>
  <si>
    <t>2026-04-25T15:00:32Z</t>
  </si>
  <si>
    <t>NujewcM8Ebw</t>
  </si>
  <si>
    <t>How American Tanks are being Destroyed in Ukraine</t>
  </si>
  <si>
    <t>2026-03-30T20:18:16Z</t>
  </si>
  <si>
    <t>leRkyaveMLE</t>
  </si>
  <si>
    <t>Tank Engines are Weird</t>
  </si>
  <si>
    <t>2026-03-29T18:55:52Z</t>
  </si>
  <si>
    <t>wKP6tYA6ds4</t>
  </si>
  <si>
    <t>How NASA Discovered a Military Base under Greenland</t>
  </si>
  <si>
    <t>2026-03-21T15:01:37Z</t>
  </si>
  <si>
    <t>n7Q1vubN4w8</t>
  </si>
  <si>
    <t>Why America’s Tank Failed in Ukraine</t>
  </si>
  <si>
    <t>ZJuI5fImD3U</t>
  </si>
  <si>
    <t>The ISS would be uninhabitable without this</t>
  </si>
  <si>
    <t>2026-02-03T17:51:33Z</t>
  </si>
  <si>
    <t>dIWKhUnqa5s</t>
  </si>
  <si>
    <t>Dude where’s my space station?</t>
  </si>
  <si>
    <t>2026-01-31T22:32:53Z</t>
  </si>
  <si>
    <t>gEYRIpIfnQc</t>
  </si>
  <si>
    <t>The Weird Orbit of the ISS</t>
  </si>
  <si>
    <t>2026-01-29T18:16:40Z</t>
  </si>
  <si>
    <t>7i5aK7NCp-U</t>
  </si>
  <si>
    <t>The Most Dangerous Space Walk</t>
  </si>
  <si>
    <t>2026-01-28T19:26:49Z</t>
  </si>
  <si>
    <t>SMJMYyszflM</t>
  </si>
  <si>
    <t>How We Built the ISS - Part 2</t>
  </si>
  <si>
    <t>2025-12-20T17:14:18Z</t>
  </si>
  <si>
    <t>j0ZZfIz9R1I</t>
  </si>
  <si>
    <t>How We Built The ISS</t>
  </si>
  <si>
    <t>2025-12-06T15:00:50Z</t>
  </si>
  <si>
    <t>Vf_pS0XSTyo</t>
  </si>
  <si>
    <t>Solar Farms in Space - Reflect Orbital</t>
  </si>
  <si>
    <t>2025-12-03T14:00:37Z</t>
  </si>
  <si>
    <t>8VLovd9bS5U</t>
  </si>
  <si>
    <t>The Age of Laser Warfare Has Begun</t>
  </si>
  <si>
    <t>2025-10-25T14:03:52Z</t>
  </si>
  <si>
    <t>ERI8zTmBYWk</t>
  </si>
  <si>
    <t>Project Orion: A Nuclear Pulse Rocket</t>
  </si>
  <si>
    <t>2025-09-21T21:27:10Z</t>
  </si>
  <si>
    <t>VKNb6N7e9_o</t>
  </si>
  <si>
    <t>Why Landing on the Moon is Confusing</t>
  </si>
  <si>
    <t>2025-09-21T15:38:06Z</t>
  </si>
  <si>
    <t>EVwlTsa9oMM</t>
  </si>
  <si>
    <t>Earth to Mars in 10 Days</t>
  </si>
  <si>
    <t>2025-09-20T15:30:07Z</t>
  </si>
  <si>
    <t>WVngB3mXVHE</t>
  </si>
  <si>
    <t>How China is tracking US Submarines</t>
  </si>
  <si>
    <t>2025-09-10T19:34:02Z</t>
  </si>
  <si>
    <t>WW_7h-lQYio</t>
  </si>
  <si>
    <t>This is the Mark 50 Torpedo</t>
  </si>
  <si>
    <t>2025-09-09T17:05:46Z</t>
  </si>
  <si>
    <t>bYkQn2TpF2k</t>
  </si>
  <si>
    <t>Why Deep Holes are So Expensive</t>
  </si>
  <si>
    <t>2025-09-08T13:08:35Z</t>
  </si>
  <si>
    <t>as9L2q9oYiE</t>
  </si>
  <si>
    <t>The Problem with Geothermal Energy</t>
  </si>
  <si>
    <t>2025-09-07T21:23:15Z</t>
  </si>
  <si>
    <t>y9g31qswBV8</t>
  </si>
  <si>
    <t>Drilling Into Rock With Radiation</t>
  </si>
  <si>
    <t>2025-09-06T17:09:42Z</t>
  </si>
  <si>
    <t>eyOuy7-RmHM</t>
  </si>
  <si>
    <t>NASA's Plutonium Problem</t>
  </si>
  <si>
    <t>2025-09-05T15:01:19Z</t>
  </si>
  <si>
    <t>HRolyZS8xSg</t>
  </si>
  <si>
    <t>This is Plutonium 238</t>
  </si>
  <si>
    <t>2025-09-04T20:27:16Z</t>
  </si>
  <si>
    <t>Uua_--aHuFk</t>
  </si>
  <si>
    <t>The P-38 has a weird engine design</t>
  </si>
  <si>
    <t>2025-09-03T22:31:11Z</t>
  </si>
  <si>
    <t>-CISqa73298</t>
  </si>
  <si>
    <t>The World's Deepest Hole is Under This Cover</t>
  </si>
  <si>
    <t>2025-08-29T18:38:58Z</t>
  </si>
  <si>
    <t>3YmYnZoj4vY</t>
  </si>
  <si>
    <t>The Insane Story of Operation Vengence</t>
  </si>
  <si>
    <t>2025-08-28T18:28:10Z</t>
  </si>
  <si>
    <t>ZZQQzScGryY</t>
  </si>
  <si>
    <t>The P-38 Solved an Annoying Problem</t>
  </si>
  <si>
    <t>2025-08-27T19:51:49Z</t>
  </si>
  <si>
    <t>PB_8dGKh9JI</t>
  </si>
  <si>
    <t>How Apple AirPods Work</t>
  </si>
  <si>
    <t>2025-08-16T15:00:38Z</t>
  </si>
  <si>
    <t>h3sbDTl2MSU</t>
  </si>
  <si>
    <t>How Will the Golden Dome Work?</t>
  </si>
  <si>
    <t>2025-07-12T15:01:16Z</t>
  </si>
  <si>
    <t>Gb4UBK53sGQ</t>
  </si>
  <si>
    <t>The Insane Engineering of the P-38 Lightning</t>
  </si>
  <si>
    <t>2025-06-28T16:30:14Z</t>
  </si>
  <si>
    <t>z_PlyQAWT4g</t>
  </si>
  <si>
    <t>How the Boeing 787 Works | Full Documentary</t>
  </si>
  <si>
    <t>2025-05-31T16:01:12Z</t>
  </si>
  <si>
    <t>8jQzwxS8vxA</t>
  </si>
  <si>
    <t>The Unlikely Rise of the Indian Space Program</t>
  </si>
  <si>
    <t>2025-05-17T15:01:30Z</t>
  </si>
  <si>
    <t>jiWtrVL4tmA</t>
  </si>
  <si>
    <t>China’s Plan to Block All Submarines</t>
  </si>
  <si>
    <t>2025-04-19T14:01:00Z</t>
  </si>
  <si>
    <t>geIhl_VE0IA</t>
  </si>
  <si>
    <t>NASA'S Plutonium Problem</t>
  </si>
  <si>
    <t>2025-03-22T14:31:36Z</t>
  </si>
  <si>
    <t>b_EoZzE7KJ0</t>
  </si>
  <si>
    <t>Geothermal Energy is Changing | Quaise Energy Documentary</t>
  </si>
  <si>
    <t>2025-03-01T16:00:38Z</t>
  </si>
  <si>
    <t>Q7wjB-UQywk</t>
  </si>
  <si>
    <t>This technology made the f-14 possible</t>
  </si>
  <si>
    <t>2025-02-19T16:39:13Z</t>
  </si>
  <si>
    <t>5nyqjg09GiM</t>
  </si>
  <si>
    <t>The F-14’s worst feature</t>
  </si>
  <si>
    <t>2025-02-17T18:40:08Z</t>
  </si>
  <si>
    <t>vlMXCekmglA</t>
  </si>
  <si>
    <t>The F-14 was designed for one reason</t>
  </si>
  <si>
    <t>2025-02-16T16:17:19Z</t>
  </si>
  <si>
    <t>7ogwLyAkNBU</t>
  </si>
  <si>
    <t>The F-14s Swing Wing Explained</t>
  </si>
  <si>
    <t>2025-02-11T18:55:23Z</t>
  </si>
  <si>
    <t>u87dj9UAhGY</t>
  </si>
  <si>
    <t>Europe Just Got Stronger</t>
  </si>
  <si>
    <t>2025-02-08T22:58:08Z</t>
  </si>
  <si>
    <t>9Wd1faJcZ2M</t>
  </si>
  <si>
    <t>Why This V-22 Osprey Crashed</t>
  </si>
  <si>
    <t>2025-02-06T14:19:11Z</t>
  </si>
  <si>
    <t>4BmRrbxQCos</t>
  </si>
  <si>
    <t>The V-22 Osprey and why it keeps crashing</t>
  </si>
  <si>
    <t>2025-02-01T15:30:01Z</t>
  </si>
  <si>
    <t>w4FCkbPykdQ</t>
  </si>
  <si>
    <t>How The Space Shuttle Worked | Full Documentary</t>
  </si>
  <si>
    <t>2024-12-14T16:56:01Z</t>
  </si>
  <si>
    <t>R2tgByRCLzM</t>
  </si>
  <si>
    <t>The Insane Engineering of the F-14 Tomcat</t>
  </si>
  <si>
    <t>2024-12-06T17:00:26Z</t>
  </si>
  <si>
    <t>tCGBxFijS98</t>
  </si>
  <si>
    <t>Why Jet Engines have a Speed Limit</t>
  </si>
  <si>
    <t>2024-12-05T16:20:23Z</t>
  </si>
  <si>
    <t>aCIeMl4PL3Y</t>
  </si>
  <si>
    <t>This Plane Uses SHOCKWAVES for Lift</t>
  </si>
  <si>
    <t>2024-12-03T18:30:52Z</t>
  </si>
  <si>
    <t>BVqDbrwHNbo</t>
  </si>
  <si>
    <t>Why Hypersonic Weapons are Scary</t>
  </si>
  <si>
    <t>2024-12-02T18:44:38Z</t>
  </si>
  <si>
    <t>IC32zBGdJok</t>
  </si>
  <si>
    <t>Why the US is Struggling to Land on the Moon</t>
  </si>
  <si>
    <t>2024-11-25T18:00:14Z</t>
  </si>
  <si>
    <t>QPefw79aNLE</t>
  </si>
  <si>
    <t>Why NASA uses "Crappy" Cameras</t>
  </si>
  <si>
    <t>2024-11-22T15:50:10Z</t>
  </si>
  <si>
    <t>SzKkBOUvsAY</t>
  </si>
  <si>
    <t>The Insane Engineering of Europa Clipper</t>
  </si>
  <si>
    <t>2024-10-13T15:30:15Z</t>
  </si>
  <si>
    <t>u3Iqp1tzBJg</t>
  </si>
  <si>
    <t>Hurricane Milton Has Put NASA’s Next Mission in Danger</t>
  </si>
  <si>
    <t>2024-10-09T18:33:44Z</t>
  </si>
  <si>
    <t>Dsk0aIRrHb4</t>
  </si>
  <si>
    <t>The Problems with China's Space Program</t>
  </si>
  <si>
    <t>2024-10-05T15:05:00Z</t>
  </si>
  <si>
    <t>glr-0t9K92A</t>
  </si>
  <si>
    <t>The Wildest Take-off of my Life</t>
  </si>
  <si>
    <t>2024-10-02T18:00:16Z</t>
  </si>
  <si>
    <t>FGf6ab8fcyw</t>
  </si>
  <si>
    <t>This is the Craziest Plane I Have Ever Seen</t>
  </si>
  <si>
    <t>2024-10-01T14:43:47Z</t>
  </si>
  <si>
    <t>QsYYNk-EeJA</t>
  </si>
  <si>
    <t>The Wildest Take-Off of My Life</t>
  </si>
  <si>
    <t>2024-09-07T15:00:25Z</t>
  </si>
  <si>
    <t>9iCKhW1d1go</t>
  </si>
  <si>
    <t>She’s Wrong</t>
  </si>
  <si>
    <t>2024-09-03T15:05:16Z</t>
  </si>
  <si>
    <t>-45xHzAej_s</t>
  </si>
  <si>
    <t>This Weird Noise Coming from Starliner</t>
  </si>
  <si>
    <t>2024-09-02T18:48:19Z</t>
  </si>
  <si>
    <t>tCDY1k1JGqw</t>
  </si>
  <si>
    <t>How Firefly is Revolutionizing the Logistics of Spaceflight | Full Documentary</t>
  </si>
  <si>
    <t>2024-08-07T14:30:30Z</t>
  </si>
  <si>
    <t>EWtrzytNOTk</t>
  </si>
  <si>
    <t>This Clock Helped Win the Battle of Britain</t>
  </si>
  <si>
    <t>2024-07-10T19:47:55Z</t>
  </si>
  <si>
    <t>G5uX1H3lyyI</t>
  </si>
  <si>
    <t>How the F-117 was shot down</t>
  </si>
  <si>
    <t>2024-07-06T15:00:13Z</t>
  </si>
  <si>
    <t>KB4mH03feN4</t>
  </si>
  <si>
    <t>How the F-117s Weapons Work</t>
  </si>
  <si>
    <t>2024-07-05T15:00:17Z</t>
  </si>
  <si>
    <t>IjJXHGZ2yTA</t>
  </si>
  <si>
    <t>Why the F-117’s has Weird Exhausts</t>
  </si>
  <si>
    <t>2024-07-04T15:00:15Z</t>
  </si>
  <si>
    <t>Jb9Jx0KkJl8</t>
  </si>
  <si>
    <t>The F-117’s weirdest feature</t>
  </si>
  <si>
    <t>2024-07-03T15:00:27Z</t>
  </si>
  <si>
    <t>LklUVkMPl8g</t>
  </si>
  <si>
    <t>The Problem with Wind Energy</t>
  </si>
  <si>
    <t>2024-06-29T15:00:18Z</t>
  </si>
  <si>
    <t>rfcQDh9C5qM</t>
  </si>
  <si>
    <t>Space Shuttle Astronaut Describes the Sound of Launch</t>
  </si>
  <si>
    <t>2024-06-12T15:00:54Z</t>
  </si>
  <si>
    <t>69MgN2j7Jwc</t>
  </si>
  <si>
    <t>Solid Rocket Boosters Were A Bold Choice</t>
  </si>
  <si>
    <t>2024-06-11T15:00:05Z</t>
  </si>
  <si>
    <t>SLdoQr2egkU</t>
  </si>
  <si>
    <t>The final moments before launch</t>
  </si>
  <si>
    <t>2024-06-10T15:00:21Z</t>
  </si>
  <si>
    <t>1zjcnnx7igc</t>
  </si>
  <si>
    <t>The Insane Engineering of the F-117 Nighthawk</t>
  </si>
  <si>
    <t>2024-06-08T15:00:02Z</t>
  </si>
  <si>
    <t>v8-bFqw9hFo</t>
  </si>
  <si>
    <t>NASA has plans to build an even bigger space telescope</t>
  </si>
  <si>
    <t>2024-06-05T15:01:05Z</t>
  </si>
  <si>
    <t>EOJzpZ__9s8</t>
  </si>
  <si>
    <t>Why the GameBoy won</t>
  </si>
  <si>
    <t>2024-06-02T18:38:45Z</t>
  </si>
  <si>
    <t>raCo7LpqKWc</t>
  </si>
  <si>
    <t>Do Maglev Trains Make Sense in America?</t>
  </si>
  <si>
    <t>2024-05-26T15:00:45Z</t>
  </si>
  <si>
    <t>orLpzaqjr6o</t>
  </si>
  <si>
    <t>Japanese Trains Have Always Been One Step Ahead</t>
  </si>
  <si>
    <t>2024-05-25T15:00:41Z</t>
  </si>
  <si>
    <t>TyUUm7PjTKs</t>
  </si>
  <si>
    <t>Why This Maglev Train is Unstable</t>
  </si>
  <si>
    <t>2024-05-24T15:00:34Z</t>
  </si>
  <si>
    <t>XtUQo-tN3Ps</t>
  </si>
  <si>
    <t>Why This Japanese Train is Revolutionary</t>
  </si>
  <si>
    <t>2024-05-23T17:07:45Z</t>
  </si>
  <si>
    <t>I1ixCSAc3bc</t>
  </si>
  <si>
    <t>The Worst Oil Disaster Ever</t>
  </si>
  <si>
    <t>2024-05-06T14:05:09Z</t>
  </si>
  <si>
    <t>nyG8XAmtYeQ</t>
  </si>
  <si>
    <t>Why Airport Security Suddenly Got Better</t>
  </si>
  <si>
    <t>2024-04-23T15:00:42Z</t>
  </si>
  <si>
    <t>72yYvLLryus</t>
  </si>
  <si>
    <t>The World’s First Intercity Maglev Train</t>
  </si>
  <si>
    <t>2024-04-22T20:32:26Z</t>
  </si>
  <si>
    <t>tdVa_o_a270</t>
  </si>
  <si>
    <t>The Spitfire Guns Packed Some Serious Power</t>
  </si>
  <si>
    <t>2024-04-17T15:00:47Z</t>
  </si>
  <si>
    <t>R-qtEh-KluE</t>
  </si>
  <si>
    <t>Spitfire vs. BF-109</t>
  </si>
  <si>
    <t>2024-04-16T15:00:20Z</t>
  </si>
  <si>
    <t>mFS70HPB7Ac</t>
  </si>
  <si>
    <t>Why the Spitfire had an Elliptical Wing</t>
  </si>
  <si>
    <t>2024-04-15T15:00:40Z</t>
  </si>
  <si>
    <t>y9U8CyBD1wQ</t>
  </si>
  <si>
    <t>The Spitfire is an Icon</t>
  </si>
  <si>
    <t>2024-04-13T19:13:20Z</t>
  </si>
  <si>
    <t>U0u_QyurfXA</t>
  </si>
  <si>
    <t>How the Battle of Britain was Won</t>
  </si>
  <si>
    <t>2024-04-13T18:45:31Z</t>
  </si>
  <si>
    <t>Dr-HlIR481I</t>
  </si>
  <si>
    <t>The F-35s Stealthy Radar is the key to its success</t>
  </si>
  <si>
    <t>2024-04-05T15:00:18Z</t>
  </si>
  <si>
    <t>WXfU18JizZM</t>
  </si>
  <si>
    <t>The F-35s Secret Weapon is Incredible</t>
  </si>
  <si>
    <t>2024-04-04T15:00:26Z</t>
  </si>
  <si>
    <t>4bvMkkDw5Wg</t>
  </si>
  <si>
    <t>How the F-35’s engine is better than the F-22’s</t>
  </si>
  <si>
    <t>2024-04-03T15:00:04Z</t>
  </si>
  <si>
    <t>j1nJ-A0coHI</t>
  </si>
  <si>
    <t>Why the F-35 excels in battle</t>
  </si>
  <si>
    <t>2024-04-02T15:00:38Z</t>
  </si>
  <si>
    <t>EXag4nsWYoU</t>
  </si>
  <si>
    <t>F-35 vertical take off is incredible</t>
  </si>
  <si>
    <t>2024-04-01T15:00:20Z</t>
  </si>
  <si>
    <t>BKm45Az02YE</t>
  </si>
  <si>
    <t>The Insane Engineering of the Gameboy</t>
  </si>
  <si>
    <t>2024-03-30T14:00:09Z</t>
  </si>
  <si>
    <t>eaFyTIsowqY</t>
  </si>
  <si>
    <t>Starship Reached Space. What Now?</t>
  </si>
  <si>
    <t>2024-03-20T19:39:26Z</t>
  </si>
  <si>
    <t>ngfGcyS-MTM</t>
  </si>
  <si>
    <t>The F-16s Gun Sounds Amazing</t>
  </si>
  <si>
    <t>2024-03-20T15:00:47Z</t>
  </si>
  <si>
    <t>cOTf_YEmSOU</t>
  </si>
  <si>
    <t>1³+2³+3³+4³+5³+6³+7³+8³+9³+10³+11³+12³+13³+14³+15³+16³+17³+18³+19³+20³+21³+22³+23³+24³+25³+26³+...</t>
  </si>
  <si>
    <t>2026-07-18T13:18:40Z</t>
  </si>
  <si>
    <t>UCoxcjq-8xIDTYp3uz647V5A</t>
  </si>
  <si>
    <t>Numberphile</t>
  </si>
  <si>
    <t>1cvKGqgOx_8</t>
  </si>
  <si>
    <t>2081681993819799846994786333448627702865224538845305484256394568209274196127380153785256484516 (etc)</t>
  </si>
  <si>
    <t>2026-07-13T14:48:18Z</t>
  </si>
  <si>
    <t>3KWwMzSxB1Y</t>
  </si>
  <si>
    <t>Long Legged Letters - Numberphile</t>
  </si>
  <si>
    <t>2026-07-04T15:16:30Z</t>
  </si>
  <si>
    <t>6PmuWFWVKDE</t>
  </si>
  <si>
    <t>The Fixed Point Theorem - Numberphile</t>
  </si>
  <si>
    <t>2026-06-25T15:01:39Z</t>
  </si>
  <si>
    <t>fwLsCgibGw4</t>
  </si>
  <si>
    <t>Palindrome Ages - Numberphile</t>
  </si>
  <si>
    <t>2026-06-15T15:02:15Z</t>
  </si>
  <si>
    <t>e1_NXWjmwhc</t>
  </si>
  <si>
    <t>The Abel (not Nobel) Prize - Numberphile</t>
  </si>
  <si>
    <t>2026-06-03T15:11:32Z</t>
  </si>
  <si>
    <t>v8e-tYey7ts</t>
  </si>
  <si>
    <t>The Unsolved Lollipop Problem - Numberphile</t>
  </si>
  <si>
    <t>2026-05-27T14:00:26Z</t>
  </si>
  <si>
    <t>UiX4CFIiegM</t>
  </si>
  <si>
    <t>Red &amp; Black Knights (extraordinary result) - Numberphile</t>
  </si>
  <si>
    <t>2026-05-12T13:05:01Z</t>
  </si>
  <si>
    <t>SAtFZPtbMpI</t>
  </si>
  <si>
    <t>Entirely Ridiculously Big Numbers - Numberphile</t>
  </si>
  <si>
    <t>2026-05-04T13:12:05Z</t>
  </si>
  <si>
    <t>UfP83M07s24</t>
  </si>
  <si>
    <t>Mathematician Attempts Art - Numberphile</t>
  </si>
  <si>
    <t>2026-04-14T14:27:17Z</t>
  </si>
  <si>
    <t>VFoIPlUalRY</t>
  </si>
  <si>
    <t>Awkward Primes - Numberphile</t>
  </si>
  <si>
    <t>2026-04-07T13:47:26Z</t>
  </si>
  <si>
    <t>sJqceEImtew</t>
  </si>
  <si>
    <t>The Original Biggest Numbers - Numberphile</t>
  </si>
  <si>
    <t>2026-03-31T15:09:29Z</t>
  </si>
  <si>
    <t>YmZiq00CO60</t>
  </si>
  <si>
    <t>The Weather Equation - Numberphile</t>
  </si>
  <si>
    <t>2026-03-18T16:01:49Z</t>
  </si>
  <si>
    <t>7O6ej9OSW2w</t>
  </si>
  <si>
    <t>Calculating Pi with Skittles (and census data!?) - Numberphile</t>
  </si>
  <si>
    <t>2026-03-14T15:14:00Z</t>
  </si>
  <si>
    <t>TLV6e41-uxc</t>
  </si>
  <si>
    <t>Feeling Grumpy about Pi Day - Numberphile</t>
  </si>
  <si>
    <t>2026-03-14T03:14:00Z</t>
  </si>
  <si>
    <t>6cw9QJw6J60</t>
  </si>
  <si>
    <t>3867632931 × 10^10001 +1 - Numberphile</t>
  </si>
  <si>
    <t>2026-02-16T17:40:54Z</t>
  </si>
  <si>
    <t>UafhPUOCM1E</t>
  </si>
  <si>
    <t>The 15-Game - Numberphile</t>
  </si>
  <si>
    <t>2026-02-07T15:29:41Z</t>
  </si>
  <si>
    <t>sgMqrT8ilyU</t>
  </si>
  <si>
    <t>Tools of the Trade (for infinite sums) - Numberphile</t>
  </si>
  <si>
    <t>2026-02-03T15:46:04Z</t>
  </si>
  <si>
    <t>JWtD0O-zSWY</t>
  </si>
  <si>
    <t>A Fake Fields Medal - Numberphile</t>
  </si>
  <si>
    <t>2026-01-21T17:13:34Z</t>
  </si>
  <si>
    <t>6Y3jHHE_hbA</t>
  </si>
  <si>
    <t>Euclid's Algorithm - Numberphile</t>
  </si>
  <si>
    <t>2026-01-16T12:45:49Z</t>
  </si>
  <si>
    <t>S5FTe5KP2Cw</t>
  </si>
  <si>
    <t>Base Fibonacci - Numberphile</t>
  </si>
  <si>
    <t>2026-01-09T16:06:14Z</t>
  </si>
  <si>
    <t>qdXiQ6IM-Cs</t>
  </si>
  <si>
    <t>Almost Interesting Facts about 6-7 - Numberphile</t>
  </si>
  <si>
    <t>2025-12-22T20:20:32Z</t>
  </si>
  <si>
    <t>Lw-D8ThqWaE</t>
  </si>
  <si>
    <t>Super Facts about 6-7 - Numberphile</t>
  </si>
  <si>
    <t>2025-12-22T12:14:22Z</t>
  </si>
  <si>
    <t>izIKV98Awnw</t>
  </si>
  <si>
    <t>An Unexpected Twist on Möbius Strips - Numberphile</t>
  </si>
  <si>
    <t>2025-12-14T14:08:56Z</t>
  </si>
  <si>
    <t>6JrFu0xj0bs</t>
  </si>
  <si>
    <t>100000001 is divisible by 17 - Numberphile</t>
  </si>
  <si>
    <t>2025-12-09T13:59:44Z</t>
  </si>
  <si>
    <t>OUQVhnuTMVU</t>
  </si>
  <si>
    <t>Closer Look at the Birthday Paradox - Numberphile</t>
  </si>
  <si>
    <t>2025-12-06T15:00:55Z</t>
  </si>
  <si>
    <t>6QoP80i_i5A</t>
  </si>
  <si>
    <t>Polyominoes on Chessboards - Numberphile</t>
  </si>
  <si>
    <t>2025-12-01T16:15:21Z</t>
  </si>
  <si>
    <t>dWVCl4p-Zyc</t>
  </si>
  <si>
    <t>The Graph Reconstruction Conjecture - Numberphile</t>
  </si>
  <si>
    <t>2025-11-27T14:31:23Z</t>
  </si>
  <si>
    <t>rD6e925w4Ys</t>
  </si>
  <si>
    <t>Return of the Calculator Unboxing - Numberphile</t>
  </si>
  <si>
    <t>2025-11-19T15:39:26Z</t>
  </si>
  <si>
    <t>G23Jx0kPCSI</t>
  </si>
  <si>
    <t>The Real Story of Calculus - Numberphile</t>
  </si>
  <si>
    <t>2025-11-10T11:28:48Z</t>
  </si>
  <si>
    <t>57V8Ud7PL8k</t>
  </si>
  <si>
    <t>Schur Numbers (the world's biggest proof) - Numberphile</t>
  </si>
  <si>
    <t>2025-11-03T17:31:57Z</t>
  </si>
  <si>
    <t>47qEMTMKRdA</t>
  </si>
  <si>
    <t>Ordinal Numbers - Numberphile</t>
  </si>
  <si>
    <t>2025-10-22T14:03:45Z</t>
  </si>
  <si>
    <t>eB0-vG6rSM4</t>
  </si>
  <si>
    <t>The Anti-Knight Killer Sudoku - Numberphile</t>
  </si>
  <si>
    <t>2025-10-15T17:29:19Z</t>
  </si>
  <si>
    <t>XhA5U9pFXuU</t>
  </si>
  <si>
    <t>The Secret of the Raffle Function (epic proof) - Numberphile</t>
  </si>
  <si>
    <t>2025-10-02T13:42:28Z</t>
  </si>
  <si>
    <t>dgwevhEykWQ</t>
  </si>
  <si>
    <t>2016502858579884466176 - Numberphile</t>
  </si>
  <si>
    <t>2025-09-24T11:20:24Z</t>
  </si>
  <si>
    <t>1oqqpqaDgfI</t>
  </si>
  <si>
    <t>Lord of the Commutative Rings - Numberphile</t>
  </si>
  <si>
    <t>2025-09-10T13:10:56Z</t>
  </si>
  <si>
    <t>4-eXjTH6Mq4</t>
  </si>
  <si>
    <t>Immense Subcubic Graph Numbers - Numberphile</t>
  </si>
  <si>
    <t>2025-08-21T12:03:49Z</t>
  </si>
  <si>
    <t>BhSlqIe1CRQ</t>
  </si>
  <si>
    <t>The Holey Monster (with 934 faces) - Numberphile</t>
  </si>
  <si>
    <t>2025-07-31T12:09:49Z</t>
  </si>
  <si>
    <t>tsZkzxEhpHk</t>
  </si>
  <si>
    <t>Treasure Trove (Zeeman Medal Lecture by Brady Haran) - Numberphile</t>
  </si>
  <si>
    <t>2025-07-27T13:01:10Z</t>
  </si>
  <si>
    <t>zsBaApyf_Ns</t>
  </si>
  <si>
    <t>Conway's Base 13 Function - Numberphile</t>
  </si>
  <si>
    <t>2025-07-22T15:22:46Z</t>
  </si>
  <si>
    <t>WiO2Ku7V1rw</t>
  </si>
  <si>
    <t>The Big Daddy of Infinite Integrals - Numberphile</t>
  </si>
  <si>
    <t>2025-07-09T17:58:43Z</t>
  </si>
  <si>
    <t>FUQwijSDzg8</t>
  </si>
  <si>
    <t>The Stein Paradox - Numberphile</t>
  </si>
  <si>
    <t>2025-07-02T14:50:01Z</t>
  </si>
  <si>
    <t>3X2aQIMx5bs</t>
  </si>
  <si>
    <t>The 9-sided Enneahedron - Numberphile</t>
  </si>
  <si>
    <t>2025-06-22T13:17:39Z</t>
  </si>
  <si>
    <t>a7BVL1MOCl4</t>
  </si>
  <si>
    <t>A simple equation that behaves weirdly - Numberphile</t>
  </si>
  <si>
    <t>2025-06-17T21:48:38Z</t>
  </si>
  <si>
    <t>uezOrcmHzrQ</t>
  </si>
  <si>
    <t>A Problem with Infinite Hotel Keys - Numberphile</t>
  </si>
  <si>
    <t>2025-05-16T10:15:10Z</t>
  </si>
  <si>
    <t>hKpa9ntjgeo</t>
  </si>
  <si>
    <t>Cardioids in Coffee Cups - Numberphile</t>
  </si>
  <si>
    <t>2025-04-20T13:01:10Z</t>
  </si>
  <si>
    <t>8ERFV7rV0vg</t>
  </si>
  <si>
    <t>The Tea Lady Experiment - Numberphile</t>
  </si>
  <si>
    <t>2025-04-15T10:46:09Z</t>
  </si>
  <si>
    <t>v7yKZzbyF74</t>
  </si>
  <si>
    <t>The World's LONGEST Klein Bottle - Numberphile</t>
  </si>
  <si>
    <t>2025-04-11T10:43:16Z</t>
  </si>
  <si>
    <t>Jw_ZPdnHGzg</t>
  </si>
  <si>
    <t>The Hyper Moser (and other Mega Numbers) - Numberphile</t>
  </si>
  <si>
    <t>2025-03-14T10:10:18Z</t>
  </si>
  <si>
    <t>FnRhnZbDprE</t>
  </si>
  <si>
    <t>A 1.58-Dimensional Object - Numberphile</t>
  </si>
  <si>
    <t>2025-03-07T15:20:53Z</t>
  </si>
  <si>
    <t>stpiBy6gWOA</t>
  </si>
  <si>
    <t>A Magic Square Breakthrough - Numberphile</t>
  </si>
  <si>
    <t>2025-02-09T15:17:55Z</t>
  </si>
  <si>
    <t>ERAgUg-e_Qs</t>
  </si>
  <si>
    <t>Shakespeare, Numbers, and Chronograms - Numberphile</t>
  </si>
  <si>
    <t>2025-02-05T16:34:41Z</t>
  </si>
  <si>
    <t>IFTBOUaUClE</t>
  </si>
  <si>
    <t>The Slightly Bungled Mersenne Prime Origin Story - Numberphile</t>
  </si>
  <si>
    <t>2025-01-26T13:12:06Z</t>
  </si>
  <si>
    <t>ouTE-GYGIA8</t>
  </si>
  <si>
    <t>The Snakey Hexomino (unsolved Tic-Tac-Toe problem) - Numberphile</t>
  </si>
  <si>
    <t>2025-01-20T15:49:09Z</t>
  </si>
  <si>
    <t>be8BGCLuC54</t>
  </si>
  <si>
    <t>The Frobenius Problem (and numerical semigroups) - Numberphile</t>
  </si>
  <si>
    <t>2025-01-10T14:23:02Z</t>
  </si>
  <si>
    <t>ONdgXYEBihA</t>
  </si>
  <si>
    <t>Pentominoes and other Polyominoes  - Numberphile</t>
  </si>
  <si>
    <t>2024-12-23T15:05:05Z</t>
  </si>
  <si>
    <t>uz9jOIdhzs0</t>
  </si>
  <si>
    <t>The Anti-Parker Square - Numberphile</t>
  </si>
  <si>
    <t>2024-12-17T13:14:01Z</t>
  </si>
  <si>
    <t>CHozRTwHInE</t>
  </si>
  <si>
    <t>A Number to the Power of a Matrix - Numberphile</t>
  </si>
  <si>
    <t>2024-12-12T17:12:14Z</t>
  </si>
  <si>
    <t>zkRxfmECWSM</t>
  </si>
  <si>
    <t>Meeting Ernő Rubik - Numberphile</t>
  </si>
  <si>
    <t>2024-12-05T21:46:07Z</t>
  </si>
  <si>
    <t>0YkapBk9y5U</t>
  </si>
  <si>
    <t>A Fascination with Fractured Friezes - Numberphile</t>
  </si>
  <si>
    <t>2024-12-03T10:11:13Z</t>
  </si>
  <si>
    <t>0Le7NgS-wO0</t>
  </si>
  <si>
    <t>Way Bigger Than Graham's Number (Goodstein Sequence) - Numberphile</t>
  </si>
  <si>
    <t>2024-11-26T18:39:22Z</t>
  </si>
  <si>
    <t>OqjFylGwAj8</t>
  </si>
  <si>
    <t>Knot Surfaces - Numberphile</t>
  </si>
  <si>
    <t>2024-11-15T14:54:51Z</t>
  </si>
  <si>
    <t>OEGGz1sCS5w</t>
  </si>
  <si>
    <t>The Change from Roman Numerals - Numberphile</t>
  </si>
  <si>
    <t>2024-11-07T14:18:52Z</t>
  </si>
  <si>
    <t>DhZORrqL3xI</t>
  </si>
  <si>
    <t>The Magic of Induction - Numberphile</t>
  </si>
  <si>
    <t>2024-11-02T14:00:12Z</t>
  </si>
  <si>
    <t>B09THPzM42c</t>
  </si>
  <si>
    <t>Voting Paradoxes - Numberphile</t>
  </si>
  <si>
    <t>2024-10-28T16:20:15Z</t>
  </si>
  <si>
    <t>n9lKcs-h7fg</t>
  </si>
  <si>
    <t>Planet Pi - Numberphile</t>
  </si>
  <si>
    <t>2024-10-25T16:09:40Z</t>
  </si>
  <si>
    <t>Yp4ilFOtoeg</t>
  </si>
  <si>
    <t>The Man Who Found the World's Biggest Prime - Numberphile</t>
  </si>
  <si>
    <t>2024-10-22T12:44:01Z</t>
  </si>
  <si>
    <t>Cboz9IFvuJQ</t>
  </si>
  <si>
    <t>An Odd Property of the Sierpiński Triangle - Numberphile</t>
  </si>
  <si>
    <t>2024-10-20T11:34:54Z</t>
  </si>
  <si>
    <t>c066hLi78B0</t>
  </si>
  <si>
    <t>The Prime Constant - Numberphile</t>
  </si>
  <si>
    <t>2024-10-06T11:10:42Z</t>
  </si>
  <si>
    <t>JBkmR3rzz5M</t>
  </si>
  <si>
    <t>A Fascinating Frog Problem - Numberphile</t>
  </si>
  <si>
    <t>2024-09-30T13:43:55Z</t>
  </si>
  <si>
    <t>cmJ18ViCUAI</t>
  </si>
  <si>
    <t>Absolute Primes - Numberphile</t>
  </si>
  <si>
    <t>2024-09-22T12:06:22Z</t>
  </si>
  <si>
    <t>Gojd8mTl3Do</t>
  </si>
  <si>
    <t>Goldbach Conjecture (but with TWIN PRIMES)  - Numberphile</t>
  </si>
  <si>
    <t>2024-09-14T14:05:18Z</t>
  </si>
  <si>
    <t>Xd9UZSodeN8</t>
  </si>
  <si>
    <t>The Lazy Way to Cut Pizza - Numberphile</t>
  </si>
  <si>
    <t>2024-08-12T14:20:16Z</t>
  </si>
  <si>
    <t>WLCwMRJBhuI</t>
  </si>
  <si>
    <t>The Clever Way to Count Tanks - Numberphile</t>
  </si>
  <si>
    <t>2024-07-31T14:05:03Z</t>
  </si>
  <si>
    <t>2lvTjEZ-bbw</t>
  </si>
  <si>
    <t>Pi-oneers (interview with Sinha &amp; Saha) - Numberphile</t>
  </si>
  <si>
    <t>2024-07-22T10:01:55Z</t>
  </si>
  <si>
    <t>nXexsSWrc1Q</t>
  </si>
  <si>
    <t>New Recipe for Pi - Numberphile</t>
  </si>
  <si>
    <t>2024-07-19T13:27:36Z</t>
  </si>
  <si>
    <t>vW5qLFDsZ30</t>
  </si>
  <si>
    <t>The Freshman's Dream (a classic mistake) - Numberphile</t>
  </si>
  <si>
    <t>2024-07-16T12:23:07Z</t>
  </si>
  <si>
    <t>21Ho32fAEEM</t>
  </si>
  <si>
    <t>The Big X and Multiplication - Numberphile</t>
  </si>
  <si>
    <t>2024-07-04T12:06:44Z</t>
  </si>
  <si>
    <t>rbuByrFTDBs</t>
  </si>
  <si>
    <t>Winnie the Math Whiz (with Danica McKellar) - Numberphile</t>
  </si>
  <si>
    <t>2024-07-02T14:07:53Z</t>
  </si>
  <si>
    <t>uJtxlErlx0U</t>
  </si>
  <si>
    <t>Erdős–Woods Numbers - Numberphile</t>
  </si>
  <si>
    <t>2024-06-30T13:17:49Z</t>
  </si>
  <si>
    <t>Ki-M1DJIZsk</t>
  </si>
  <si>
    <t>Solving Seven - Numberphile</t>
  </si>
  <si>
    <t>2024-06-25T15:51:42Z</t>
  </si>
  <si>
    <t>mw4DM1952KI</t>
  </si>
  <si>
    <t>Tree-house Numbers - Numberphile</t>
  </si>
  <si>
    <t>2024-06-19T18:13:47Z</t>
  </si>
  <si>
    <t>gM5uNcgn2NQ</t>
  </si>
  <si>
    <t>Caboose Numbers - Numberphile</t>
  </si>
  <si>
    <t>2024-06-18T12:49:23Z</t>
  </si>
  <si>
    <t>K79aOe-F0Mk</t>
  </si>
  <si>
    <t>Pokémon and Geometric Distributions - Numberphile</t>
  </si>
  <si>
    <t>2024-06-13T13:09:54Z</t>
  </si>
  <si>
    <t>T0U9ou0HOgY</t>
  </si>
  <si>
    <t>The Parker Paper (a lost treasure) - Numberphile</t>
  </si>
  <si>
    <t>2024-06-07T13:45:33Z</t>
  </si>
  <si>
    <t>Mkn3PzdaByY</t>
  </si>
  <si>
    <t>Cones are MESSED UP - Numberphile</t>
  </si>
  <si>
    <t>2024-05-28T15:29:36Z</t>
  </si>
  <si>
    <t>CK3_zarXkw0</t>
  </si>
  <si>
    <t>343867 and Tetrahedral Numbers - Numberphile</t>
  </si>
  <si>
    <t>2024-05-21T12:23:47Z</t>
  </si>
  <si>
    <t>OtYKDzXwDEE</t>
  </si>
  <si>
    <t>An amazing thing about 276 - Numberphile</t>
  </si>
  <si>
    <t>2024-05-01T14:22:28Z</t>
  </si>
  <si>
    <t>prURA1i8Qj4</t>
  </si>
  <si>
    <t>The Hydra Game - Numberphile</t>
  </si>
  <si>
    <t>2024-04-18T09:23:26Z</t>
  </si>
  <si>
    <t>KXO2l7Kh60A</t>
  </si>
  <si>
    <t>Interesting 666-digit Numbers - Numberphile</t>
  </si>
  <si>
    <t>2024-04-08T07:07:12Z</t>
  </si>
  <si>
    <t>UbfLl0IxL9o</t>
  </si>
  <si>
    <t>Goliath &amp; Leviathan Numbers - Numberphile</t>
  </si>
  <si>
    <t>2024-04-07T15:26:26Z</t>
  </si>
  <si>
    <t>0LkBwCSMsX4</t>
  </si>
  <si>
    <t>Apocalyptic Numbers - Numberphile</t>
  </si>
  <si>
    <t>2024-04-06T11:35:57Z</t>
  </si>
  <si>
    <t>RytNZ2btZxE</t>
  </si>
  <si>
    <t>Magic Chess Tours (with Knights and Kings) - Numberphile</t>
  </si>
  <si>
    <t>2024-04-01T14:50:09Z</t>
  </si>
  <si>
    <t>sq-ntG5Mcus</t>
  </si>
  <si>
    <t>Absolute Infinity - Numberphile</t>
  </si>
  <si>
    <t>2024-03-19T15:54:42Z</t>
  </si>
  <si>
    <t>WUpvGkDvdb4</t>
  </si>
  <si>
    <t>A Bizarre Sudoku Set-Up - Numberphile</t>
  </si>
  <si>
    <t>2024-03-17T10:29:26Z</t>
  </si>
  <si>
    <t>fUCEg3HznX4</t>
  </si>
  <si>
    <t>What are these symbols? - Numberphile</t>
  </si>
  <si>
    <t>2024-03-07T13:21:07Z</t>
  </si>
  <si>
    <t>6XPlmCDNLNc</t>
  </si>
  <si>
    <t>The 64 sugar cubes puzzle</t>
  </si>
  <si>
    <t>2026-07-24T15:05:39Z</t>
  </si>
  <si>
    <t>UCYO_jab_esuFRV4b17AJtAw</t>
  </si>
  <si>
    <t>3Blue1Brown</t>
  </si>
  <si>
    <t>GlYgs6v2YfU</t>
  </si>
  <si>
    <t>But what is cross-entropy? | Compression is Intelligence Part 2</t>
  </si>
  <si>
    <t>2026-07-16T11:56:04Z</t>
  </si>
  <si>
    <t>wGffBCfrAsE</t>
  </si>
  <si>
    <t>100 random chords, how many intersections?</t>
  </si>
  <si>
    <t>2026-06-16T18:04:05Z</t>
  </si>
  <si>
    <t>-7etvZSBxlk</t>
  </si>
  <si>
    <t>Measuring the entropy of English</t>
  </si>
  <si>
    <t>2026-06-12T13:22:02Z</t>
  </si>
  <si>
    <t>7L_eTem1SQ4</t>
  </si>
  <si>
    <t>What's the perfect encoding? How do you know?</t>
  </si>
  <si>
    <t>2026-06-10T13:26:34Z</t>
  </si>
  <si>
    <t>l6DKRf-fAAM</t>
  </si>
  <si>
    <t>Reinventing Entropy | Compression is Intelligence Part 1</t>
  </si>
  <si>
    <t>2026-06-07T11:49:51Z</t>
  </si>
  <si>
    <t>ZHXt0-_gSj4</t>
  </si>
  <si>
    <t>Tie random ends: How many loops?</t>
  </si>
  <si>
    <t>2026-05-21T21:49:47Z</t>
  </si>
  <si>
    <t>QLu_ZsRc_G0</t>
  </si>
  <si>
    <t>Covering 10 points, a surprisingly tricky puzzle.</t>
  </si>
  <si>
    <t>2026-04-16T16:08:21Z</t>
  </si>
  <si>
    <t>Y7ImxZ_YhJk</t>
  </si>
  <si>
    <t>Escher's most mind-bending piece</t>
  </si>
  <si>
    <t>2026-03-27T20:56:02Z</t>
  </si>
  <si>
    <t>4h5BEALuh44</t>
  </si>
  <si>
    <t>The subset sum puzzle</t>
  </si>
  <si>
    <t>2026-03-25T20:59:04Z</t>
  </si>
  <si>
    <t>ldxFjLJ3rVY</t>
  </si>
  <si>
    <t>How (and why) to take a logarithm of an image</t>
  </si>
  <si>
    <t>2026-03-22T12:59:00Z</t>
  </si>
  <si>
    <t>Qoes9bTJtn0</t>
  </si>
  <si>
    <t>Bacteria Grid Puzzle Solution</t>
  </si>
  <si>
    <t>2026-03-21T11:42:53Z</t>
  </si>
  <si>
    <t>fsLh-NYhOoU</t>
  </si>
  <si>
    <t>The most beautiful formula not enough people understand</t>
  </si>
  <si>
    <t>2026-02-27T15:14:23Z</t>
  </si>
  <si>
    <t>d0ai33oqqDE</t>
  </si>
  <si>
    <t>The lattice bacteria puzzle</t>
  </si>
  <si>
    <t>2026-02-18T06:02:59Z</t>
  </si>
  <si>
    <t>7gG91SZwBoE</t>
  </si>
  <si>
    <t>Solution to the ladybug clock puzzle</t>
  </si>
  <si>
    <t>2026-02-16T14:08:37Z</t>
  </si>
  <si>
    <t>BHdbsHFs2P0</t>
  </si>
  <si>
    <t>Why you can't comb a hairy ball, and why we care</t>
  </si>
  <si>
    <t>2026-01-31T14:57:42Z</t>
  </si>
  <si>
    <t>t3jZ2xGOvYg</t>
  </si>
  <si>
    <t>The ladybug clock puzzle</t>
  </si>
  <si>
    <t>2026-01-16T14:16:12Z</t>
  </si>
  <si>
    <t>FE-hM1kRK4Y</t>
  </si>
  <si>
    <t>Why Laplace transforms are so useful</t>
  </si>
  <si>
    <t>2025-11-05T13:09:45Z</t>
  </si>
  <si>
    <t>bnjKwiUg-kw</t>
  </si>
  <si>
    <t>The dynamics of e^(πi)</t>
  </si>
  <si>
    <t>2025-10-12T12:40:46Z</t>
  </si>
  <si>
    <t>j0wJBEZdwLs</t>
  </si>
  <si>
    <t>But what is a Laplace Transform?</t>
  </si>
  <si>
    <t>2025-10-12T11:19:53Z</t>
  </si>
  <si>
    <t>-j8PzkZ70Lg</t>
  </si>
  <si>
    <t>The Physics of Euler's Formula | Laplace Transform Prelude</t>
  </si>
  <si>
    <t>2025-10-05T13:53:28Z</t>
  </si>
  <si>
    <t>M-MgQC6z3VU</t>
  </si>
  <si>
    <t>What was Euclid really doing? | Guest video by Ben Syversen</t>
  </si>
  <si>
    <t>2025-09-18T14:13:05Z</t>
  </si>
  <si>
    <t>1lZpowy21Gc</t>
  </si>
  <si>
    <t>Incomplete open cubes</t>
  </si>
  <si>
    <t>2025-09-07T12:25:58Z</t>
  </si>
  <si>
    <t>_BrFKp-U8GI</t>
  </si>
  <si>
    <t>Exploration &amp; Epiphany | Guest video by Paul Dancstep</t>
  </si>
  <si>
    <t>2025-09-07T12:25:03Z</t>
  </si>
  <si>
    <t>itRV2jEtV8Q</t>
  </si>
  <si>
    <t>Simulating and understanding phase change | Guest video by Vilas Winstein</t>
  </si>
  <si>
    <t>2025-08-28T14:00:47Z</t>
  </si>
  <si>
    <t>j5h9dBtWZXM</t>
  </si>
  <si>
    <t>How AI connects text and images</t>
  </si>
  <si>
    <t>2025-08-21T18:24:11Z</t>
  </si>
  <si>
    <t>4NlrfOl0l8U</t>
  </si>
  <si>
    <t>The AI that solved IMO Geometry Problems | Guest video by @Aleph0</t>
  </si>
  <si>
    <t>2025-08-17T13:02:50Z</t>
  </si>
  <si>
    <t>iv-5mZ_9CPY</t>
  </si>
  <si>
    <t>But how do AI images and videos actually work? | Guest video by Welch Labs</t>
  </si>
  <si>
    <t>2025-07-25T12:14:11Z</t>
  </si>
  <si>
    <t>Dlsa9EBKDGI</t>
  </si>
  <si>
    <t>Where my explanation of Grover’s algorithm failed</t>
  </si>
  <si>
    <t>2025-05-04T11:45:24Z</t>
  </si>
  <si>
    <t>RQWpF2Gb-gU</t>
  </si>
  <si>
    <t>But what is quantum computing?  (Grover's Algorithm)</t>
  </si>
  <si>
    <t>2025-04-30T12:32:19Z</t>
  </si>
  <si>
    <t>XX8mjBXBqz8</t>
  </si>
  <si>
    <t>Testing your intuition for quantum computing</t>
  </si>
  <si>
    <t>2025-04-30T12:32:13Z</t>
  </si>
  <si>
    <t>aQwEJKWATlE</t>
  </si>
  <si>
    <t>How to measure nearby galaxies</t>
  </si>
  <si>
    <t>2025-04-20T19:36:10Z</t>
  </si>
  <si>
    <t>aw-8BhCilj0</t>
  </si>
  <si>
    <t>Measuring the distance to Venus without radar</t>
  </si>
  <si>
    <t>2025-04-08T13:45:00Z</t>
  </si>
  <si>
    <t>M6LUPYsjods</t>
  </si>
  <si>
    <t>Measuring the speed of light using Jupiter's moons</t>
  </si>
  <si>
    <t>2025-04-07T15:57:13Z</t>
  </si>
  <si>
    <t>mHya9J9pkq4</t>
  </si>
  <si>
    <t>The tragic tale of Guillaume Le Gentil</t>
  </si>
  <si>
    <t>2025-03-27T16:01:04Z</t>
  </si>
  <si>
    <t>C8baNzpnZ7o</t>
  </si>
  <si>
    <t>Zooming out by powers of 10</t>
  </si>
  <si>
    <t>2025-03-26T18:37:29Z</t>
  </si>
  <si>
    <t>6dTyOl1fmDo</t>
  </si>
  <si>
    <t>Why colliding blocks compute pi</t>
  </si>
  <si>
    <t>2025-03-13T15:36:52Z</t>
  </si>
  <si>
    <t>TZAC0WFemvE</t>
  </si>
  <si>
    <t>When being beautifully wrong leads to discovery</t>
  </si>
  <si>
    <t>2025-02-28T15:00:44Z</t>
  </si>
  <si>
    <t>YP1mMXRCnaI</t>
  </si>
  <si>
    <t>Why the ancient Greeks rejected heliocentrism</t>
  </si>
  <si>
    <t>2025-02-27T15:00:48Z</t>
  </si>
  <si>
    <t>gzbFNnTCkqQ</t>
  </si>
  <si>
    <t>How to estimate the distance to the sun</t>
  </si>
  <si>
    <t>2025-02-26T15:01:03Z</t>
  </si>
  <si>
    <t>drmphB3rdHY</t>
  </si>
  <si>
    <t>How Aristarchus deduced the distance to the moon</t>
  </si>
  <si>
    <t>2025-02-25T15:00:57Z</t>
  </si>
  <si>
    <t>hFMaT9oRbs4</t>
  </si>
  <si>
    <t>Terence Tao continuing history’s cleverest cosmological measurements</t>
  </si>
  <si>
    <t>2025-02-23T14:54:42Z</t>
  </si>
  <si>
    <t>9s0srZneJ38</t>
  </si>
  <si>
    <t>How Earth's size was computed by Eratosthenes</t>
  </si>
  <si>
    <t>2025-02-12T15:00:17Z</t>
  </si>
  <si>
    <t>YdOXS_9_P4U</t>
  </si>
  <si>
    <t>Terence Tao on the cosmic distance ladder</t>
  </si>
  <si>
    <t>2025-02-08T13:35:15Z</t>
  </si>
  <si>
    <t>uT4-WVa-YfU</t>
  </si>
  <si>
    <t>Measuring the earth with Terence Tao</t>
  </si>
  <si>
    <t>2025-02-08T13:35:06Z</t>
  </si>
  <si>
    <t>K-pGGb0f3tc</t>
  </si>
  <si>
    <t>The topology of two-note chords</t>
  </si>
  <si>
    <t>2025-01-30T15:00:25Z</t>
  </si>
  <si>
    <t>0TdBP9m4R74</t>
  </si>
  <si>
    <t>The barber pole optical mystery</t>
  </si>
  <si>
    <t>2025-01-06T15:37:38Z</t>
  </si>
  <si>
    <t>zxOK2vKVfQM</t>
  </si>
  <si>
    <t>Monge's Theorem</t>
  </si>
  <si>
    <t>2024-12-29T16:00:54Z</t>
  </si>
  <si>
    <t>DgMhayP2NPU</t>
  </si>
  <si>
    <t>Thinking through double slits</t>
  </si>
  <si>
    <t>2024-12-26T16:48:04Z</t>
  </si>
  <si>
    <t>LuVUnd0C07U</t>
  </si>
  <si>
    <t>The inscribed square problem</t>
  </si>
  <si>
    <t>2024-12-24T18:46:12Z</t>
  </si>
  <si>
    <t>IQqtsm-bBRU</t>
  </si>
  <si>
    <t>This open problem taught me what topology is</t>
  </si>
  <si>
    <t>2024-12-24T17:50:32Z</t>
  </si>
  <si>
    <t>y9BK--OxZpY</t>
  </si>
  <si>
    <t>The meaning within the Mandelbrot set</t>
  </si>
  <si>
    <t>2024-11-24T17:00:57Z</t>
  </si>
  <si>
    <t>qSn8dVI9V5I</t>
  </si>
  <si>
    <t>The scale of training LLMs</t>
  </si>
  <si>
    <t>2024-11-20T15:07:29Z</t>
  </si>
  <si>
    <t>LPZh9BOjkQs</t>
  </si>
  <si>
    <t>Large Language Models explained briefly</t>
  </si>
  <si>
    <t>2024-11-20T15:07:15Z</t>
  </si>
  <si>
    <t>nAT-MCsJeik</t>
  </si>
  <si>
    <t>This puzzle is trickier than it seems</t>
  </si>
  <si>
    <t>2024-11-19T19:06:45Z</t>
  </si>
  <si>
    <t>EPDZTLavmcg</t>
  </si>
  <si>
    <t>Sphere surface area proof sketch</t>
  </si>
  <si>
    <t>2024-11-17T16:00:10Z</t>
  </si>
  <si>
    <t>LOulCFdVOGY</t>
  </si>
  <si>
    <t>Newton’s Fractal is beautiful</t>
  </si>
  <si>
    <t>2024-11-16T16:53:52Z</t>
  </si>
  <si>
    <t>JNVZK4ofW-Y</t>
  </si>
  <si>
    <t>The Triangle Of Power</t>
  </si>
  <si>
    <t>2024-11-15T15:58:23Z</t>
  </si>
  <si>
    <t>0W243LGSJFU</t>
  </si>
  <si>
    <t>The twirling tiles puzzle</t>
  </si>
  <si>
    <t>2024-11-13T18:01:06Z</t>
  </si>
  <si>
    <t>Pny70rNPJLk</t>
  </si>
  <si>
    <t>A bizarre probability fact</t>
  </si>
  <si>
    <t>2024-11-12T23:09:05Z</t>
  </si>
  <si>
    <t>piJkuavhV50</t>
  </si>
  <si>
    <t>Solving problems by adding a dimension</t>
  </si>
  <si>
    <t>2024-11-08T13:34:50Z</t>
  </si>
  <si>
    <t>KHEtJUlpqcg</t>
  </si>
  <si>
    <t>LLMs are next-word predictors</t>
  </si>
  <si>
    <t>2024-11-04T15:24:37Z</t>
  </si>
  <si>
    <t>rbu7Zu5X1zI</t>
  </si>
  <si>
    <t>How I animate 3Blue1Brown | A Manim demo with Ben Sparks</t>
  </si>
  <si>
    <t>2024-10-12T13:00:39Z</t>
  </si>
  <si>
    <t>W3-kpRz-e1Q</t>
  </si>
  <si>
    <t>Hologram preview</t>
  </si>
  <si>
    <t>2024-10-11T14:00:27Z</t>
  </si>
  <si>
    <t>DnjATyPuFFk</t>
  </si>
  <si>
    <t>Holograms are wild (full video linked above)</t>
  </si>
  <si>
    <t>2024-10-05T15:35:00Z</t>
  </si>
  <si>
    <t>EmKQsSDlaa4</t>
  </si>
  <si>
    <t>How are holograms possible?</t>
  </si>
  <si>
    <t>2024-10-05T15:31:58Z</t>
  </si>
  <si>
    <t>9-Jl0dxWQs8</t>
  </si>
  <si>
    <t>How might LLMs store facts | Deep Learning Chapter 7</t>
  </si>
  <si>
    <t>2024-08-31T12:11:19Z</t>
  </si>
  <si>
    <t>rjVY7HXN6qA</t>
  </si>
  <si>
    <t>In the vector space of all advice...</t>
  </si>
  <si>
    <t>2024-05-22T17:56:07Z</t>
  </si>
  <si>
    <t>W3I3kAg2J7w</t>
  </si>
  <si>
    <t>What "Follow Your Dreams" Misses | Harvey Mudd Commencement Speech 2024</t>
  </si>
  <si>
    <t>2024-05-18T14:50:47Z</t>
  </si>
  <si>
    <t>XsLK3tPy9SI</t>
  </si>
  <si>
    <t>Temperature in LLMs</t>
  </si>
  <si>
    <t>2024-04-28T15:22:38Z</t>
  </si>
  <si>
    <t>FJtFZwbvkI4</t>
  </si>
  <si>
    <t>How word vectors encode meaning</t>
  </si>
  <si>
    <t>2024-04-11T16:23:26Z</t>
  </si>
  <si>
    <t>eMlx5fFNoYc</t>
  </si>
  <si>
    <t>Attention in transformers, step-by-step | Deep Learning Chapter 6</t>
  </si>
  <si>
    <t>2024-04-07T12:53:54Z</t>
  </si>
  <si>
    <t>wjZofJX0v4M</t>
  </si>
  <si>
    <t>Transformers, the tech behind LLMs | Deep Learning Chapter 5</t>
  </si>
  <si>
    <t>2024-04-01T19:13:57Z</t>
  </si>
  <si>
    <t>81QNyDnYtg0</t>
  </si>
  <si>
    <t>Simulating the electric field and a moving charge</t>
  </si>
  <si>
    <t>2024-01-26T06:00:04Z</t>
  </si>
  <si>
    <t>-ikRg-OfFHc</t>
  </si>
  <si>
    <t>A challenging puzzle about subset sums</t>
  </si>
  <si>
    <t>2024-01-22T06:00:00Z</t>
  </si>
  <si>
    <t>-3jPW_TGATI</t>
  </si>
  <si>
    <t>Ellipses have multiple definitions, how are these the same?</t>
  </si>
  <si>
    <t>2024-01-19T19:00:00Z</t>
  </si>
  <si>
    <t>w-CXIqIjfRI</t>
  </si>
  <si>
    <t>Three levels of understanding Bayes' theorem</t>
  </si>
  <si>
    <t>2024-01-17T07:00:31Z</t>
  </si>
  <si>
    <t>xIMlJUwB1m8</t>
  </si>
  <si>
    <t>The medical test paradox (well "paradox")</t>
  </si>
  <si>
    <t>2024-01-15T07:00:30Z</t>
  </si>
  <si>
    <t>IstyL9vnybg</t>
  </si>
  <si>
    <t>Positioned as the hardest question on a Putnam exam  (#6, 1992)</t>
  </si>
  <si>
    <t>2024-01-12T07:00:13Z</t>
  </si>
  <si>
    <t>DWnb2UUlqd0</t>
  </si>
  <si>
    <t>Why does light slowing imply a bend? (Beyond the tank/car analogy)</t>
  </si>
  <si>
    <t>2024-01-11T00:00:11Z</t>
  </si>
  <si>
    <t>U3O1nzSojnc</t>
  </si>
  <si>
    <t>The cube shadow puzzle</t>
  </si>
  <si>
    <t>2024-01-09T17:15:05Z</t>
  </si>
  <si>
    <t>XIW-2ykgVPI</t>
  </si>
  <si>
    <t>What does it mean that light "slows down" in glass?</t>
  </si>
  <si>
    <t>2024-01-08T07:00:19Z</t>
  </si>
  <si>
    <t>vItzPPpNXEs</t>
  </si>
  <si>
    <t>Why do we call them "scalars"?</t>
  </si>
  <si>
    <t>2024-01-06T00:00:33Z</t>
  </si>
  <si>
    <t>teYL0Er4c3g</t>
  </si>
  <si>
    <t>A beautiful international math olympiad problem</t>
  </si>
  <si>
    <t>2024-01-03T07:00:30Z</t>
  </si>
  <si>
    <t>BTryyW7gqg4</t>
  </si>
  <si>
    <t>Definition of a "bit", in information theory</t>
  </si>
  <si>
    <t>2024-01-02T00:00:09Z</t>
  </si>
  <si>
    <t>kpG7I2MOcnI</t>
  </si>
  <si>
    <t>The Newton art puzzle</t>
  </si>
  <si>
    <t>2023-12-29T19:00:32Z</t>
  </si>
  <si>
    <t>3KbiJ-z0j44</t>
  </si>
  <si>
    <t>What is a group?</t>
  </si>
  <si>
    <t>2023-12-27T19:00:01Z</t>
  </si>
  <si>
    <t>R1e7aHBKLnM</t>
  </si>
  <si>
    <t>How to derive a formula for π</t>
  </si>
  <si>
    <t>2023-12-25T19:00:15Z</t>
  </si>
  <si>
    <t>tjIOqIr80ns</t>
  </si>
  <si>
    <t>The limit of limiting arguments</t>
  </si>
  <si>
    <t>2023-12-23T00:00:26Z</t>
  </si>
  <si>
    <t>W1gW1dHRsOw</t>
  </si>
  <si>
    <t>For anyone who might not know how links in shorts work</t>
  </si>
  <si>
    <t>2023-12-21T00:15:02Z</t>
  </si>
  <si>
    <t>p9i3cYMQtBY</t>
  </si>
  <si>
    <t>Infinite Lighthouses and π</t>
  </si>
  <si>
    <t>2023-12-21T00:00:20Z</t>
  </si>
  <si>
    <t>X4jpqCu-wlA</t>
  </si>
  <si>
    <t>Can you even imagine 2^256?</t>
  </si>
  <si>
    <t>2023-12-16T00:00:24Z</t>
  </si>
  <si>
    <t>GOSezO0CHss</t>
  </si>
  <si>
    <t>Order from chaos</t>
  </si>
  <si>
    <t>2023-12-15T00:00:13Z</t>
  </si>
  <si>
    <t>TaopSi3Ucfc</t>
  </si>
  <si>
    <t>A short on shorts</t>
  </si>
  <si>
    <t>2023-12-13T00:00:09Z</t>
  </si>
  <si>
    <t>BIbHGfdjc_g</t>
  </si>
  <si>
    <t>A pretty way to add weighted dice</t>
  </si>
  <si>
    <t>2023-12-12T00:00:07Z</t>
  </si>
  <si>
    <t>4xWpQe3G9qI</t>
  </si>
  <si>
    <t>A simple image convolution</t>
  </si>
  <si>
    <t>2023-12-12T00:00:03Z</t>
  </si>
  <si>
    <t>VS9yOhwtVDY</t>
  </si>
  <si>
    <t>These integrals all equal π, until...</t>
  </si>
  <si>
    <t>2023-12-11T00:00:18Z</t>
  </si>
  <si>
    <t>Cm-zmm0nANo</t>
  </si>
  <si>
    <t>The split necklace puzzle (with a surprise topological solution)</t>
  </si>
  <si>
    <t>2023-12-11T00:00:07Z</t>
  </si>
  <si>
    <t>yZMw2rOKYwE</t>
  </si>
  <si>
    <t>Error correction is incredible</t>
  </si>
  <si>
    <t>2023-12-10T00:00:26Z</t>
  </si>
  <si>
    <t>g2_zY67-1Ws</t>
  </si>
  <si>
    <t>Is Gen Z actually dumb?</t>
  </si>
  <si>
    <t>2026-07-21T18:00:16Z</t>
  </si>
  <si>
    <t>UCC552Sd-3nyi_tk2BudLUzA</t>
  </si>
  <si>
    <t>AsapSCIENCE</t>
  </si>
  <si>
    <t>_vR9j223Kiw</t>
  </si>
  <si>
    <t>Is Gen Z Dumb?</t>
  </si>
  <si>
    <t>2026-07-16T16:00:32Z</t>
  </si>
  <si>
    <t>Cxe5I4MfJ9I</t>
  </si>
  <si>
    <t>The deadly drug everyone is taking</t>
  </si>
  <si>
    <t>2026-06-30T16:00:34Z</t>
  </si>
  <si>
    <t>X74HAutp9LA</t>
  </si>
  <si>
    <t>The twin experiment that broke genetics research</t>
  </si>
  <si>
    <t>2026-06-04T16:00:11Z</t>
  </si>
  <si>
    <t>OyuQDMau9K4</t>
  </si>
  <si>
    <t>Have you HEARD this??</t>
  </si>
  <si>
    <t>2026-05-21T21:09:48Z</t>
  </si>
  <si>
    <t>mb4qfjuX0Lo</t>
  </si>
  <si>
    <t>This substance could revolutionize human waste</t>
  </si>
  <si>
    <t>2026-05-12T16:01:11Z</t>
  </si>
  <si>
    <t>MKL0tk-3UM8</t>
  </si>
  <si>
    <t>Send this to a dad you know</t>
  </si>
  <si>
    <t>2026-05-05T16:47:23Z</t>
  </si>
  <si>
    <t>FCaTFLdtsco</t>
  </si>
  <si>
    <t>The call is coming from inside the house</t>
  </si>
  <si>
    <t>2026-05-04T19:44:40Z</t>
  </si>
  <si>
    <t>-CB2CwSPtAQ</t>
  </si>
  <si>
    <t>Your anus created consciousness #science #evolution</t>
  </si>
  <si>
    <t>2026-04-30T17:09:36Z</t>
  </si>
  <si>
    <t>jytAQWCc_TI</t>
  </si>
  <si>
    <t>You’ll never look at it the same after this video</t>
  </si>
  <si>
    <t>2026-04-29T18:00:50Z</t>
  </si>
  <si>
    <t>JQmwj80i_98</t>
  </si>
  <si>
    <t>Are you one of the lucky 50% that experience it?</t>
  </si>
  <si>
    <t>2026-03-25T13:13:33Z</t>
  </si>
  <si>
    <t>q-9PXV0UfkA</t>
  </si>
  <si>
    <t>The Pi Song 4.0 (Memorize 400 Digits Of π)</t>
  </si>
  <si>
    <t>2026-03-13T00:01:04Z</t>
  </si>
  <si>
    <t>Hl_IsYAwyxc</t>
  </si>
  <si>
    <t>It’s not to stop you from rolling over</t>
  </si>
  <si>
    <t>2026-02-18T21:39:01Z</t>
  </si>
  <si>
    <t>EtWTlW02H_U</t>
  </si>
  <si>
    <t>We’ve all been there</t>
  </si>
  <si>
    <t>2026-02-02T23:20:58Z</t>
  </si>
  <si>
    <t>7OVL6mdeAyY</t>
  </si>
  <si>
    <t>It’s ok if you zone out during this video</t>
  </si>
  <si>
    <t>2026-01-23T16:57:43Z</t>
  </si>
  <si>
    <t>bmZaYn3WipI</t>
  </si>
  <si>
    <t>We finally know why it's so good for you</t>
  </si>
  <si>
    <t>2026-01-05T17:01:04Z</t>
  </si>
  <si>
    <t>1ErRyahZr5E</t>
  </si>
  <si>
    <t>What happens if masturbate for hours on end?</t>
  </si>
  <si>
    <t>2025-12-04T21:30:00Z</t>
  </si>
  <si>
    <t>1TZ2tFODiZs</t>
  </si>
  <si>
    <t>This is NUTS</t>
  </si>
  <si>
    <t>2025-11-13T23:52:21Z</t>
  </si>
  <si>
    <t>fRuz8t4eHJQ</t>
  </si>
  <si>
    <t>Not all steps are created equal! Some cool new science looking at how effective step count is.</t>
  </si>
  <si>
    <t>2025-11-11T23:02:13Z</t>
  </si>
  <si>
    <t>RiOO8GmTTQw</t>
  </si>
  <si>
    <t>What your ball size says about you</t>
  </si>
  <si>
    <t>2025-11-06T17:00:55Z</t>
  </si>
  <si>
    <t>gRRLGFQSJms</t>
  </si>
  <si>
    <t>Who else could use these? ​⁠@nike #teamnike #ad</t>
  </si>
  <si>
    <t>2025-10-27T17:31:16Z</t>
  </si>
  <si>
    <t>Nz2Y0e7SgFY</t>
  </si>
  <si>
    <t>The shoes that broke walking</t>
  </si>
  <si>
    <t>2025-10-24T15:00:53Z</t>
  </si>
  <si>
    <t>QSzeMg8fWTo</t>
  </si>
  <si>
    <t>Do you see the problem?!</t>
  </si>
  <si>
    <t>2025-10-20T19:44:15Z</t>
  </si>
  <si>
    <t>UQyei4cdGFY</t>
  </si>
  <si>
    <t>How to trick your brain to fall asleep instantly</t>
  </si>
  <si>
    <t>2025-10-17T01:00:38Z</t>
  </si>
  <si>
    <t>lmL6mPDTtQ8</t>
  </si>
  <si>
    <t>Does this new data represent you? 🤡 #stats #happiness #science</t>
  </si>
  <si>
    <t>2025-10-15T15:43:41Z</t>
  </si>
  <si>
    <t>MuXgAE0xrM0</t>
  </si>
  <si>
    <t>They’re cooking our brains, for real! #science #pollution</t>
  </si>
  <si>
    <t>2025-10-14T15:13:11Z</t>
  </si>
  <si>
    <t>yD_SY2lLzLA</t>
  </si>
  <si>
    <t>The only thing that makes you live longer (for real tho) #science #sciencefacts</t>
  </si>
  <si>
    <t>2025-10-09T14:50:31Z</t>
  </si>
  <si>
    <t>GgJOqBZzyZI</t>
  </si>
  <si>
    <t>not all sleep is equal</t>
  </si>
  <si>
    <t>2025-10-08T17:01:15Z</t>
  </si>
  <si>
    <t>Hursp-Zn2yE</t>
  </si>
  <si>
    <t>Autism cases ARE rising, but why? #science #asapscience #tylenol</t>
  </si>
  <si>
    <t>2025-09-29T19:16:56Z</t>
  </si>
  <si>
    <t>Fyi-_96c7Vo</t>
  </si>
  <si>
    <t>They’re lying to you</t>
  </si>
  <si>
    <t>2025-09-26T18:16:58Z</t>
  </si>
  <si>
    <t>f0lWoYz8ETE</t>
  </si>
  <si>
    <t>Why is everyone suddenly neurodivergent?</t>
  </si>
  <si>
    <t>2025-09-23T15:15:11Z</t>
  </si>
  <si>
    <t>_NVo_MWItbc</t>
  </si>
  <si>
    <t>What do you think?</t>
  </si>
  <si>
    <t>2025-09-19T19:30:06Z</t>
  </si>
  <si>
    <t>ZnmsMg6joGo</t>
  </si>
  <si>
    <t>Debunking the bulls**t</t>
  </si>
  <si>
    <t>2025-09-15T17:00:54Z</t>
  </si>
  <si>
    <t>qYINhtF5PzE</t>
  </si>
  <si>
    <t>You will never ‘see’ the same way again … 👀</t>
  </si>
  <si>
    <t>2025-07-21T18:18:53Z</t>
  </si>
  <si>
    <t>Exp0mqMWCPc</t>
  </si>
  <si>
    <t>For all the hopeless romantics</t>
  </si>
  <si>
    <t>2025-07-18T16:00:21Z</t>
  </si>
  <si>
    <t>tyQeXUEXyvc</t>
  </si>
  <si>
    <t>Why men can’t get hard</t>
  </si>
  <si>
    <t>2025-07-17T16:01:35Z</t>
  </si>
  <si>
    <t>UUgeZ4y7tH8</t>
  </si>
  <si>
    <t>Spain’s temperatures are HIGH rn 🔥</t>
  </si>
  <si>
    <t>2025-07-09T14:12:10Z</t>
  </si>
  <si>
    <t>XPzjpI12jjc</t>
  </si>
  <si>
    <t>this might melt your brain</t>
  </si>
  <si>
    <t>2025-07-08T20:15:04Z</t>
  </si>
  <si>
    <t>xWi3GWe6Y38</t>
  </si>
  <si>
    <t>You will never hear it the same again</t>
  </si>
  <si>
    <t>2025-07-03T20:00:47Z</t>
  </si>
  <si>
    <t>t7eKSJntrNY</t>
  </si>
  <si>
    <t>The illusion that broken the internet</t>
  </si>
  <si>
    <t>2025-06-27T15:00:05Z</t>
  </si>
  <si>
    <t>dC4-4pVq-N4</t>
  </si>
  <si>
    <t>Should you explode before bed?</t>
  </si>
  <si>
    <t>2025-06-18T02:45:07Z</t>
  </si>
  <si>
    <t>CCIfodwdnQE</t>
  </si>
  <si>
    <t>This is a massive breakthrough and super exciting!</t>
  </si>
  <si>
    <t>2025-06-16T19:00:07Z</t>
  </si>
  <si>
    <t>_LVI7Ec6QHk</t>
  </si>
  <si>
    <t>Are we all just eating infinite soup???</t>
  </si>
  <si>
    <t>2025-06-09T21:30:12Z</t>
  </si>
  <si>
    <t>Urgf5zoJNzU</t>
  </si>
  <si>
    <t>How porn completely changes your brain</t>
  </si>
  <si>
    <t>2025-06-05T16:01:00Z</t>
  </si>
  <si>
    <t>9REfi9TUiuU</t>
  </si>
  <si>
    <t>Flower Facts!</t>
  </si>
  <si>
    <t>2025-06-05T15:25:01Z</t>
  </si>
  <si>
    <t>YcL-kG47yxQ</t>
  </si>
  <si>
    <t>The top 5 misconceptions kids have about the foods we eat</t>
  </si>
  <si>
    <t>2025-06-02T17:00:49Z</t>
  </si>
  <si>
    <t>BY4WZuA811A</t>
  </si>
  <si>
    <t>The math checks out!</t>
  </si>
  <si>
    <t>2025-05-29T21:15:00Z</t>
  </si>
  <si>
    <t>H9brmkLinW0</t>
  </si>
  <si>
    <t>Watching too much porn makes you like it less! 🤯</t>
  </si>
  <si>
    <t>2025-05-27T19:30:01Z</t>
  </si>
  <si>
    <t>-Ic91mCfZHA</t>
  </si>
  <si>
    <t>I love learning why the body does what it does</t>
  </si>
  <si>
    <t>2025-05-26T17:00:00Z</t>
  </si>
  <si>
    <t>zTUZxz7fD2E</t>
  </si>
  <si>
    <t>I’d rather be stressed than sweaty I guess??</t>
  </si>
  <si>
    <t>2025-05-24T14:30:46Z</t>
  </si>
  <si>
    <t>s34gk9ecA34</t>
  </si>
  <si>
    <t>Where do you fall on the scale?</t>
  </si>
  <si>
    <t>2025-05-21T21:30:15Z</t>
  </si>
  <si>
    <t>KBdUnM4aSX0</t>
  </si>
  <si>
    <t>BOTH IMAGES ARE ALTERED IN THE SAME WAY 🤯</t>
  </si>
  <si>
    <t>2025-05-08T22:00:32Z</t>
  </si>
  <si>
    <t>7nUY_rGpx-4</t>
  </si>
  <si>
    <t>It took me 30+ years to realize what I’ll teach you in 10 minutes</t>
  </si>
  <si>
    <t>2025-05-07T16:00:11Z</t>
  </si>
  <si>
    <t>TCrHGiwNqWc</t>
  </si>
  <si>
    <t>The reason is shocking!</t>
  </si>
  <si>
    <t>2025-04-25T16:00:47Z</t>
  </si>
  <si>
    <t>G2ln6NXyfpM</t>
  </si>
  <si>
    <t>This would have saved us so much time and effort!</t>
  </si>
  <si>
    <t>2025-04-23T18:03:34Z</t>
  </si>
  <si>
    <t>tyigzmC-MMU</t>
  </si>
  <si>
    <t>Did we just find alien life?</t>
  </si>
  <si>
    <t>2025-04-17T22:30:59Z</t>
  </si>
  <si>
    <t>858-2MibagY</t>
  </si>
  <si>
    <t>Can you tell if someone is gay from their voice?</t>
  </si>
  <si>
    <t>2025-04-05T16:00:08Z</t>
  </si>
  <si>
    <t>DcvNyuZ6KVk</t>
  </si>
  <si>
    <t>Why ketamine is suddenly so popular</t>
  </si>
  <si>
    <t>2025-03-27T17:30:12Z</t>
  </si>
  <si>
    <t>gewcod40xhs</t>
  </si>
  <si>
    <t>One of the coolest things I’ve ever learned!</t>
  </si>
  <si>
    <t>2025-03-24T20:00:24Z</t>
  </si>
  <si>
    <t>AjQSKjJSv3s</t>
  </si>
  <si>
    <t>Validating the experience and history of so many families</t>
  </si>
  <si>
    <t>2025-03-21T20:00:06Z</t>
  </si>
  <si>
    <t>xsrJdSaiD9U</t>
  </si>
  <si>
    <t>The Pi Song 3.0 (Memorize 300 Digits Of π)</t>
  </si>
  <si>
    <t>2025-03-13T16:30:02Z</t>
  </si>
  <si>
    <t>wQDWQDWHFx0</t>
  </si>
  <si>
    <t>This magnet can invert your brain, and it’s saving lives</t>
  </si>
  <si>
    <t>2025-02-06T16:30:58Z</t>
  </si>
  <si>
    <t>n6Vct0zHOhM</t>
  </si>
  <si>
    <t>The Bird Flu is SCARY RN! 🤡</t>
  </si>
  <si>
    <t>2025-01-30T16:14:38Z</t>
  </si>
  <si>
    <t>FAVKyXv9W_4</t>
  </si>
  <si>
    <t>Everything you need to know about BIRD FLU</t>
  </si>
  <si>
    <t>2025-01-29T17:00:22Z</t>
  </si>
  <si>
    <t>CLGPSuwrtuA</t>
  </si>
  <si>
    <t>The Male G-Spot</t>
  </si>
  <si>
    <t>2025-01-16T17:00:18Z</t>
  </si>
  <si>
    <t>2vw0_AsfWMk</t>
  </si>
  <si>
    <t>Why NASA Is Racing Back To The Moon</t>
  </si>
  <si>
    <t>2024-12-05T17:05:01Z</t>
  </si>
  <si>
    <t>-lzQxbcrscc</t>
  </si>
  <si>
    <t>The Biggest Lie About AI</t>
  </si>
  <si>
    <t>2024-11-28T21:00:00Z</t>
  </si>
  <si>
    <t>vmyoiGgDEVo</t>
  </si>
  <si>
    <t>These have helped me manage my anxiety so much!</t>
  </si>
  <si>
    <t>2024-11-19T15:01:04Z</t>
  </si>
  <si>
    <t>sOGOxFG5QgE</t>
  </si>
  <si>
    <t>We’re all just chilling on 💩</t>
  </si>
  <si>
    <t>2024-11-06T17:01:01Z</t>
  </si>
  <si>
    <t>spAII06ZtKI</t>
  </si>
  <si>
    <t>Why do gay people look like that?</t>
  </si>
  <si>
    <t>2024-10-03T16:30:05Z</t>
  </si>
  <si>
    <t>4rcsOVmwy14</t>
  </si>
  <si>
    <t>What your language says about you</t>
  </si>
  <si>
    <t>2024-08-29T16:00:03Z</t>
  </si>
  <si>
    <t>SF7KCsvcw2g</t>
  </si>
  <si>
    <t>Why do gay people sound like that?</t>
  </si>
  <si>
    <t>2024-06-21T00:00:12Z</t>
  </si>
  <si>
    <t>5sxxqxqVSNo</t>
  </si>
  <si>
    <t>It's way different than you think</t>
  </si>
  <si>
    <t>2024-04-12T00:00:02Z</t>
  </si>
  <si>
    <t>hPNwqC-fn-0</t>
  </si>
  <si>
    <t>3.14159 this is pi followed by…</t>
  </si>
  <si>
    <t>2024-03-14T21:21:54Z</t>
  </si>
  <si>
    <t>d0lXrqjM_m8</t>
  </si>
  <si>
    <t>The Pi Song 2.0 (Memorize 200 Digits Of π)</t>
  </si>
  <si>
    <t>2024-03-07T19:00:29Z</t>
  </si>
  <si>
    <t>NDICjis8g6s</t>
  </si>
  <si>
    <t>The future of AI is here and it’s terrifying</t>
  </si>
  <si>
    <t>2024-02-17T00:00:10Z</t>
  </si>
  <si>
    <t>LIYEhcOn0a4</t>
  </si>
  <si>
    <t>What If We Killed Every Mosquito On Earth?</t>
  </si>
  <si>
    <t>2024-02-01T00:20:21Z</t>
  </si>
  <si>
    <t>Rx-urUi0mnA</t>
  </si>
  <si>
    <t>Was legalizing weed a mistake?</t>
  </si>
  <si>
    <t>2024-01-25T17:00:17Z</t>
  </si>
  <si>
    <t>1RkXYEc4Ttw</t>
  </si>
  <si>
    <t>How to hack a coin toss</t>
  </si>
  <si>
    <t>2024-01-05T21:45:00Z</t>
  </si>
  <si>
    <t>BxVGLdMR_8A</t>
  </si>
  <si>
    <t>This piece of paper could revolutionize human waste</t>
  </si>
  <si>
    <t>2023-12-19T17:00:14Z</t>
  </si>
  <si>
    <t>-hwxBBChA2c</t>
  </si>
  <si>
    <t>The fastest way to reduce stress (in seconds)</t>
  </si>
  <si>
    <t>2023-12-14T18:00:13Z</t>
  </si>
  <si>
    <t>BjYzP2pjsy0</t>
  </si>
  <si>
    <t>No fap is a fib</t>
  </si>
  <si>
    <t>2023-12-13T17:00:15Z</t>
  </si>
  <si>
    <t>nFhCAedFeCc</t>
  </si>
  <si>
    <t>What Happens When You Eat Someone's Butt?</t>
  </si>
  <si>
    <t>N0IYc-leYFg</t>
  </si>
  <si>
    <t>Is Vaping Worse Than Smoking?</t>
  </si>
  <si>
    <t>2023-11-02T16:00:17Z</t>
  </si>
  <si>
    <t>3PnXsPsdncE</t>
  </si>
  <si>
    <t>How Marijuana Completely Changes Your Sleep</t>
  </si>
  <si>
    <t>2023-10-11T16:00:03Z</t>
  </si>
  <si>
    <t>kAolCH_yXwI</t>
  </si>
  <si>
    <t>Everyone is freaking out about this graph</t>
  </si>
  <si>
    <t>2023-09-28T16:00:26Z</t>
  </si>
  <si>
    <t>vcjQ5JkEE_0</t>
  </si>
  <si>
    <t>Why your phone is making you sad</t>
  </si>
  <si>
    <t>2023-08-24T20:00:30Z</t>
  </si>
  <si>
    <t>1HW_aFK2zzY</t>
  </si>
  <si>
    <t>This tiny device could reforest the entire planet</t>
  </si>
  <si>
    <t>2023-07-27T15:15:00Z</t>
  </si>
  <si>
    <t>S5kPNT7Kjqw</t>
  </si>
  <si>
    <t>What Happens When You Quit Salt?</t>
  </si>
  <si>
    <t>2023-07-06T16:00:31Z</t>
  </si>
  <si>
    <t>Dnty2qsO1yE</t>
  </si>
  <si>
    <t>The Elements of the Pop Girlies</t>
  </si>
  <si>
    <t>2023-07-05T17:30:02Z</t>
  </si>
  <si>
    <t>HYyLEgx2X94</t>
  </si>
  <si>
    <t>What Happens When You Quit Steroids?</t>
  </si>
  <si>
    <t>2023-06-08T16:00:16Z</t>
  </si>
  <si>
    <t>cX0MNCQvBt8</t>
  </si>
  <si>
    <t>What Happens When You Take Testosterone?</t>
  </si>
  <si>
    <t>2023-05-25T16:00:32Z</t>
  </si>
  <si>
    <t>rAChKypHGJQ</t>
  </si>
  <si>
    <t>Are you drinking the right milk?</t>
  </si>
  <si>
    <t>2023-05-18T16:00:39Z</t>
  </si>
  <si>
    <t>C9dk-0iyWgA</t>
  </si>
  <si>
    <t>Generation alpha is gunna SUCK!</t>
  </si>
  <si>
    <t>2023-05-16T16:09:38Z</t>
  </si>
  <si>
    <t>NSBz7kVDMNI</t>
  </si>
  <si>
    <t>The Biggest Lie About Veganism</t>
  </si>
  <si>
    <t>2023-05-11T17:15:00Z</t>
  </si>
  <si>
    <t>mlNpIRQV9Ss</t>
  </si>
  <si>
    <t>The Dyson Zone is a mess!</t>
  </si>
  <si>
    <t>2023-05-08T19:42:20Z</t>
  </si>
  <si>
    <t>cDotce_yZAI</t>
  </si>
  <si>
    <t>The Hockney–Falco Thesis</t>
  </si>
  <si>
    <t>2026-07-25T23:47:25Z</t>
  </si>
  <si>
    <t>UC6nSFpj9HTCZ5t-N3Rm3-HA</t>
  </si>
  <si>
    <t>Vsauce</t>
  </si>
  <si>
    <t>QbbYXZHwTdw</t>
  </si>
  <si>
    <t>I Just Committed NOT A Crime</t>
  </si>
  <si>
    <t>2026-07-23T22:14:06Z</t>
  </si>
  <si>
    <t>EupTKqL3f1E</t>
  </si>
  <si>
    <t>Only One English Word Has This Property</t>
  </si>
  <si>
    <t>2026-07-17T04:52:17Z</t>
  </si>
  <si>
    <t>l5aVdFu9ZQI</t>
  </si>
  <si>
    <t>My Best Friend Wrote A Book!</t>
  </si>
  <si>
    <t>2026-07-09T01:43:06Z</t>
  </si>
  <si>
    <t>dyzzvenwOgc</t>
  </si>
  <si>
    <t>The Vista Paradox</t>
  </si>
  <si>
    <t>2026-07-07T04:31:42Z</t>
  </si>
  <si>
    <t>P1vOlK_Ccfk</t>
  </si>
  <si>
    <t>I'm Full Of Bones. ... Or Am I?</t>
  </si>
  <si>
    <t>2026-07-02T04:54:54Z</t>
  </si>
  <si>
    <t>jIwsHATFc9M</t>
  </si>
  <si>
    <t>My Dad Ranking</t>
  </si>
  <si>
    <t>2026-07-01T02:31:50Z</t>
  </si>
  <si>
    <t>pd3r93I5DNw</t>
  </si>
  <si>
    <t>EGG DICE</t>
  </si>
  <si>
    <t>2026-04-17T17:55:59Z</t>
  </si>
  <si>
    <t>vPwGmFUAr88</t>
  </si>
  <si>
    <t>How Many People Lived Before History?</t>
  </si>
  <si>
    <t>2026-03-20T19:38:05Z</t>
  </si>
  <si>
    <t>hqSL5V9yXBM</t>
  </si>
  <si>
    <t>When You Sleep In Socks And Imagine An Icositetrachoron</t>
  </si>
  <si>
    <t>2026-03-15T21:16:32Z</t>
  </si>
  <si>
    <t>-UgtKlbzers</t>
  </si>
  <si>
    <t>I Found A Wild Ambigram!</t>
  </si>
  <si>
    <t>2026-03-13T22:59:19Z</t>
  </si>
  <si>
    <t>_Nr4mvdkEVw</t>
  </si>
  <si>
    <t>An Illusion You Can Hug</t>
  </si>
  <si>
    <t>2026-03-09T23:03:52Z</t>
  </si>
  <si>
    <t>2qOya17le0A</t>
  </si>
  <si>
    <t>Album Art Origins</t>
  </si>
  <si>
    <t>2025-12-22T19:56:25Z</t>
  </si>
  <si>
    <t>PNbgHdDQ1fc</t>
  </si>
  <si>
    <t>The Dynamic Ebbinghaus Illusion</t>
  </si>
  <si>
    <t>2025-12-19T01:52:30Z</t>
  </si>
  <si>
    <t>cdu6sOgI9Dc</t>
  </si>
  <si>
    <t>My Weirdest Dice</t>
  </si>
  <si>
    <t>2025-12-16T21:57:29Z</t>
  </si>
  <si>
    <t>7MfvZuCXVMQ</t>
  </si>
  <si>
    <t>The Official Blue Berry of North Carolina</t>
  </si>
  <si>
    <t>2025-12-12T22:15:15Z</t>
  </si>
  <si>
    <t>UrM6ugyzeC8</t>
  </si>
  <si>
    <t>Would You Like A TRIPLE Entendre?</t>
  </si>
  <si>
    <t>2025-12-10T21:32:46Z</t>
  </si>
  <si>
    <t>ti8ZdImveB0</t>
  </si>
  <si>
    <t>The 852655 Mystery</t>
  </si>
  <si>
    <t>2025-12-09T00:09:28Z</t>
  </si>
  <si>
    <t>4HbYUB1J1io</t>
  </si>
  <si>
    <t>2 Inertia Tricks</t>
  </si>
  <si>
    <t>2025-12-05T20:35:50Z</t>
  </si>
  <si>
    <t>Avr5K6tX1x4</t>
  </si>
  <si>
    <t>We Recreated The Oldest Surviving Globe</t>
  </si>
  <si>
    <t>2025-12-04T03:11:54Z</t>
  </si>
  <si>
    <t>za2isHAgefY</t>
  </si>
  <si>
    <t>Only Using Words That Begin With "A"</t>
  </si>
  <si>
    <t>2025-12-01T20:11:44Z</t>
  </si>
  <si>
    <t>Oa3k7RLZCUE</t>
  </si>
  <si>
    <t>The Kennedy Coincidences</t>
  </si>
  <si>
    <t>2025-11-25T20:41:05Z</t>
  </si>
  <si>
    <t>QaFTwJPKLuo</t>
  </si>
  <si>
    <t>A 2D Shadow Of A 3D Shadow Of A 4D Hypercube</t>
  </si>
  <si>
    <t>2025-11-21T22:16:41Z</t>
  </si>
  <si>
    <t>543gNct7rXc</t>
  </si>
  <si>
    <t>The Ultimate Desert Island Book 🔥</t>
  </si>
  <si>
    <t>2025-11-19T14:57:56Z</t>
  </si>
  <si>
    <t>Qpv89g-861M</t>
  </si>
  <si>
    <t>Lashyknobongymofsilliatshelf</t>
  </si>
  <si>
    <t>2025-11-17T23:17:47Z</t>
  </si>
  <si>
    <t>qUALUK3hXu0</t>
  </si>
  <si>
    <t>A Cosmic Coincidence</t>
  </si>
  <si>
    <t>2025-11-13T23:13:12Z</t>
  </si>
  <si>
    <t>PspOovsehhM</t>
  </si>
  <si>
    <t>What's Inside My Spherical Die?</t>
  </si>
  <si>
    <t>2025-11-11T21:35:35Z</t>
  </si>
  <si>
    <t>M7hX6117E6E</t>
  </si>
  <si>
    <t>An "Anisosquaric" Rectangle</t>
  </si>
  <si>
    <t>2025-11-07T23:36:15Z</t>
  </si>
  <si>
    <t>u11hmGy-eP8</t>
  </si>
  <si>
    <t>How Bright Is Earthshine?</t>
  </si>
  <si>
    <t>2025-11-05T22:56:18Z</t>
  </si>
  <si>
    <t>fLmdtn8w7fk</t>
  </si>
  <si>
    <t>The Straw That Sucks Itself</t>
  </si>
  <si>
    <t>2025-11-04T03:48:48Z</t>
  </si>
  <si>
    <t>tFvmwsQgvwc</t>
  </si>
  <si>
    <t>The g-Effect</t>
  </si>
  <si>
    <t>2025-10-29T21:58:57Z</t>
  </si>
  <si>
    <t>vDtqOjpknSU</t>
  </si>
  <si>
    <t>Children's Books THAT ARE NOT For Kids</t>
  </si>
  <si>
    <t>2025-10-27T22:54:38Z</t>
  </si>
  <si>
    <t>tgyZwxPHdgY</t>
  </si>
  <si>
    <t>I Made A Slap Bracelet For Time Travelers</t>
  </si>
  <si>
    <t>2025-10-24T20:27:43Z</t>
  </si>
  <si>
    <t>loFzNec3kS8</t>
  </si>
  <si>
    <t>ARE Leaves Green?</t>
  </si>
  <si>
    <t>2025-10-21T22:02:15Z</t>
  </si>
  <si>
    <t>RzJb-oo8D9k</t>
  </si>
  <si>
    <t>Michael, this is how you use this thing!</t>
  </si>
  <si>
    <t>2025-10-19T12:58:58Z</t>
  </si>
  <si>
    <t>iYwufaWCZbQ</t>
  </si>
  <si>
    <t>Eunoia</t>
  </si>
  <si>
    <t>2025-10-16T23:28:39Z</t>
  </si>
  <si>
    <t>kZAbaAfkluc</t>
  </si>
  <si>
    <t>Jake Chudnow x Vsauce Rehappening</t>
  </si>
  <si>
    <t>2025-10-12T00:22:30Z</t>
  </si>
  <si>
    <t>C4-uK6OTR8g</t>
  </si>
  <si>
    <t>How Many Americans Have No Friends?</t>
  </si>
  <si>
    <t>2025-10-03T23:30:13Z</t>
  </si>
  <si>
    <t>1_Qsx71NL7w</t>
  </si>
  <si>
    <t>Four-Dimensional Tape Measure</t>
  </si>
  <si>
    <t>2025-10-02T00:16:42Z</t>
  </si>
  <si>
    <t>xHd4zsIbXJ0</t>
  </si>
  <si>
    <t>All The Ghosts You Will Be</t>
  </si>
  <si>
    <t>2025-07-16T01:00:01Z</t>
  </si>
  <si>
    <t>3Yqu30QHkro</t>
  </si>
  <si>
    <t>The Bezold Effect</t>
  </si>
  <si>
    <t>2025-06-30T04:05:50Z</t>
  </si>
  <si>
    <t>ufe55fG5zVA</t>
  </si>
  <si>
    <t>Does Hand-Fanning Actually Work?</t>
  </si>
  <si>
    <t>2025-06-26T02:30:07Z</t>
  </si>
  <si>
    <t>d4xzmMuJTWs</t>
  </si>
  <si>
    <t>The 13 Trick</t>
  </si>
  <si>
    <t>2025-06-24T17:26:29Z</t>
  </si>
  <si>
    <t>d9PKYi0l1oo</t>
  </si>
  <si>
    <t>Mnemonics</t>
  </si>
  <si>
    <t>2025-06-22T00:56:04Z</t>
  </si>
  <si>
    <t>I21BSP_LgRg</t>
  </si>
  <si>
    <t>The Helix Puzzle</t>
  </si>
  <si>
    <t>2025-06-17T01:46:03Z</t>
  </si>
  <si>
    <t>m8KIGvOcEEo</t>
  </si>
  <si>
    <t>Craters Of Eternal Darkness</t>
  </si>
  <si>
    <t>2025-06-14T01:20:36Z</t>
  </si>
  <si>
    <t>SYIWvgxqdN8</t>
  </si>
  <si>
    <t>Decadal Antimetabole</t>
  </si>
  <si>
    <t>2025-06-10T22:49:42Z</t>
  </si>
  <si>
    <t>M-3qLdJT0ZM</t>
  </si>
  <si>
    <t>Galinstan vs. Metal Alloy Bricks</t>
  </si>
  <si>
    <t>2025-05-15T22:53:42Z</t>
  </si>
  <si>
    <t>HdX6dNIlCQI</t>
  </si>
  <si>
    <t>The Fastest Way To Lose</t>
  </si>
  <si>
    <t>2025-02-26T00:28:30Z</t>
  </si>
  <si>
    <t>uyKhCeDoK4Q</t>
  </si>
  <si>
    <t>POV we fell in love in 2003</t>
  </si>
  <si>
    <t>2025-02-20T17:03:35Z</t>
  </si>
  <si>
    <t>Q8M3Il0Zv68</t>
  </si>
  <si>
    <t>Euler's Disk</t>
  </si>
  <si>
    <t>2025-01-12T18:59:33Z</t>
  </si>
  <si>
    <t>cJx9ol2wKv0</t>
  </si>
  <si>
    <t>How Many Times Should You Flip?</t>
  </si>
  <si>
    <t>2025-01-09T00:30:06Z</t>
  </si>
  <si>
    <t>BLKRcQR12oM</t>
  </si>
  <si>
    <t>How To Destroy The Sun</t>
  </si>
  <si>
    <t>2025-01-07T02:03:01Z</t>
  </si>
  <si>
    <t>D4qXsq7g6-k</t>
  </si>
  <si>
    <t>How Long Could You Live In The ISS If Earth Was Destroyed?</t>
  </si>
  <si>
    <t>2025-01-03T22:59:26Z</t>
  </si>
  <si>
    <t>OFVa1LelZN4</t>
  </si>
  <si>
    <t>There Are Cathedrals Everywhere</t>
  </si>
  <si>
    <t>2025-01-01T23:05:23Z</t>
  </si>
  <si>
    <t>PF9prMWA7_I</t>
  </si>
  <si>
    <t>Screwball Scramble!</t>
  </si>
  <si>
    <t>2024-12-28T23:29:11Z</t>
  </si>
  <si>
    <t>EbfPPuX73R4</t>
  </si>
  <si>
    <t>Building Kepler's Obsession</t>
  </si>
  <si>
    <t>2024-12-23T03:33:20Z</t>
  </si>
  <si>
    <t>Pv9HuVH9BbY</t>
  </si>
  <si>
    <t>Eggbeater Jesus</t>
  </si>
  <si>
    <t>2024-12-20T02:04:22Z</t>
  </si>
  <si>
    <t>Hb-w7qpWNsE</t>
  </si>
  <si>
    <t>The Experiment We Didn't Show</t>
  </si>
  <si>
    <t>2024-12-18T02:16:17Z</t>
  </si>
  <si>
    <t>_bt-3ybbZrM</t>
  </si>
  <si>
    <t>The Best Sundial</t>
  </si>
  <si>
    <t>2024-12-14T13:49:38Z</t>
  </si>
  <si>
    <t>65_8t1OEZSc</t>
  </si>
  <si>
    <t>I Built An Emordnilap Machine</t>
  </si>
  <si>
    <t>2024-12-07T02:42:20Z</t>
  </si>
  <si>
    <t>JyJ6K_n5bIM</t>
  </si>
  <si>
    <t>The Man Who Saved The World</t>
  </si>
  <si>
    <t>2024-12-02T02:07:47Z</t>
  </si>
  <si>
    <t>fWFwArI8jZQ</t>
  </si>
  <si>
    <t>Walt Disney's Hands</t>
  </si>
  <si>
    <t>2024-11-28T18:34:32Z</t>
  </si>
  <si>
    <t>kJT1lTAFMFI</t>
  </si>
  <si>
    <t>The Legacy Box</t>
  </si>
  <si>
    <t>2024-11-26T19:13:17Z</t>
  </si>
  <si>
    <t>guwSz7ieOqQ</t>
  </si>
  <si>
    <t>Why Did Yankee Doodle Call This Macaroni??</t>
  </si>
  <si>
    <t>2024-11-21T20:52:41Z</t>
  </si>
  <si>
    <t>b71He4uepM4</t>
  </si>
  <si>
    <t>Making Thick Urine</t>
  </si>
  <si>
    <t>2024-11-20T01:11:45Z</t>
  </si>
  <si>
    <t>hIMIsbLodzM</t>
  </si>
  <si>
    <t>History Is Accumulating</t>
  </si>
  <si>
    <t>2024-11-17T00:45:25Z</t>
  </si>
  <si>
    <t>dZXJnmhGd2k</t>
  </si>
  <si>
    <t>Geography They Didn't Teach You In School</t>
  </si>
  <si>
    <t>2024-11-12T02:15:28Z</t>
  </si>
  <si>
    <t>bKZXF-7E9f8</t>
  </si>
  <si>
    <t>Unusual Gears</t>
  </si>
  <si>
    <t>2024-11-07T23:47:43Z</t>
  </si>
  <si>
    <t>rwNYwOLtJ4k</t>
  </si>
  <si>
    <t>Abraham Lincoln Simulator</t>
  </si>
  <si>
    <t>2024-11-04T20:03:41Z</t>
  </si>
  <si>
    <t>i2gHt6_xKKk</t>
  </si>
  <si>
    <t>My Favorite Mathematical Limericks!</t>
  </si>
  <si>
    <t>2024-10-30T23:16:00Z</t>
  </si>
  <si>
    <t>POtic5xEus8</t>
  </si>
  <si>
    <t>Logorrhea</t>
  </si>
  <si>
    <t>2024-10-28T00:29:41Z</t>
  </si>
  <si>
    <t>4sG9FhwCBTo</t>
  </si>
  <si>
    <t>What's Inside A Flame?</t>
  </si>
  <si>
    <t>2024-10-24T00:42:16Z</t>
  </si>
  <si>
    <t>YKax1HA4vHg</t>
  </si>
  <si>
    <t>The Last Photograph We Took Of Earth</t>
  </si>
  <si>
    <t>2024-10-16T22:47:35Z</t>
  </si>
  <si>
    <t>jX9YzpypH1g</t>
  </si>
  <si>
    <t>Anagram Land</t>
  </si>
  <si>
    <t>2024-10-14T03:21:44Z</t>
  </si>
  <si>
    <t>VZIUL5Kmtgs</t>
  </si>
  <si>
    <t>A Funeral For A Species</t>
  </si>
  <si>
    <t>2024-10-10T01:12:06Z</t>
  </si>
  <si>
    <t>vZqw6Nosgu0</t>
  </si>
  <si>
    <t>What If You Were 620 Miles Long?</t>
  </si>
  <si>
    <t>2024-10-08T01:26:54Z</t>
  </si>
  <si>
    <t>mtMpX0YaHBk</t>
  </si>
  <si>
    <t>Can You Solve This Word Puzzle?</t>
  </si>
  <si>
    <t>2024-10-02T00:59:50Z</t>
  </si>
  <si>
    <t>uZy3pA8904g</t>
  </si>
  <si>
    <t>The Forsaken Card</t>
  </si>
  <si>
    <t>2024-09-28T21:20:47Z</t>
  </si>
  <si>
    <t>I7WS9dLezCk</t>
  </si>
  <si>
    <t>The Body Deck</t>
  </si>
  <si>
    <t>2024-09-25T01:31:48Z</t>
  </si>
  <si>
    <t>XJ4wul0qEuQ</t>
  </si>
  <si>
    <t>Thin Film Interference</t>
  </si>
  <si>
    <t>2024-09-21T07:09:18Z</t>
  </si>
  <si>
    <t>xo5UkGhdTLM</t>
  </si>
  <si>
    <t>THEY'RE HERE!</t>
  </si>
  <si>
    <t>2024-09-19T00:59:31Z</t>
  </si>
  <si>
    <t>u0BDekWpu6c</t>
  </si>
  <si>
    <t>The Most Dangerous Thing In My Office</t>
  </si>
  <si>
    <t>2024-09-17T00:00:59Z</t>
  </si>
  <si>
    <t>UWs3PWhVV70</t>
  </si>
  <si>
    <t>The Assassin's Water Bottle</t>
  </si>
  <si>
    <t>2024-09-10T01:08:12Z</t>
  </si>
  <si>
    <t>lSe73vslNJI</t>
  </si>
  <si>
    <t>Cooking An Egg In My Hot Car</t>
  </si>
  <si>
    <t>2024-09-08T01:29:46Z</t>
  </si>
  <si>
    <t>JjhEBd9S8jQ</t>
  </si>
  <si>
    <t>If Uranus Was This Big...</t>
  </si>
  <si>
    <t>2024-09-01T05:03:20Z</t>
  </si>
  <si>
    <t>EwJvFxw8aHs</t>
  </si>
  <si>
    <t>How To Be Prepared Like No One Else</t>
  </si>
  <si>
    <t>2024-08-29T01:12:33Z</t>
  </si>
  <si>
    <t>7JEh43xPIxk</t>
  </si>
  <si>
    <t>The Fastest Way To Find Waldo</t>
  </si>
  <si>
    <t>2024-08-26T01:16:16Z</t>
  </si>
  <si>
    <t>__oyrf33O8M</t>
  </si>
  <si>
    <t>The Last Person To Know The World Before Photography</t>
  </si>
  <si>
    <t>2024-08-23T03:26:21Z</t>
  </si>
  <si>
    <t>tqnBeuWoOEk</t>
  </si>
  <si>
    <t>Shingles Vaccines Prevent Dementia</t>
  </si>
  <si>
    <t>2026-07-27T17:00:30Z</t>
  </si>
  <si>
    <t>UCZYTClx2T1of7BRZ86-8fow</t>
  </si>
  <si>
    <t>SciShow</t>
  </si>
  <si>
    <t>ZPoKkl4dvZo</t>
  </si>
  <si>
    <t>You Actually Can Get Rid of Forever Chemicals</t>
  </si>
  <si>
    <t>2026-07-23T17:00:32Z</t>
  </si>
  <si>
    <t>yi90GFBgQ60</t>
  </si>
  <si>
    <t>5 Weird Windows of the Future.</t>
  </si>
  <si>
    <t>2026-07-22T17:00:04Z</t>
  </si>
  <si>
    <t>_8Lk9YeovbE</t>
  </si>
  <si>
    <t>Ontario is Getting Taller</t>
  </si>
  <si>
    <t>2026-07-21T17:00:14Z</t>
  </si>
  <si>
    <t>ZjU6wDiZZ1A</t>
  </si>
  <si>
    <t>What Science Says About the Sequels to Ozempic</t>
  </si>
  <si>
    <t>2026-07-20T17:00:04Z</t>
  </si>
  <si>
    <t>6ig3Zp-Mxp0</t>
  </si>
  <si>
    <t>The Time England Ran Out of Bones</t>
  </si>
  <si>
    <t>2026-07-16T17:00:13Z</t>
  </si>
  <si>
    <t>jPlrwA4sNZ8</t>
  </si>
  <si>
    <t>What the Heck is a FODMAP?</t>
  </si>
  <si>
    <t>2026-07-15T17:00:30Z</t>
  </si>
  <si>
    <t>vkswVI5veJ0</t>
  </si>
  <si>
    <t>5 Space Stations You've Never Heard Of</t>
  </si>
  <si>
    <t>2026-07-14T17:00:19Z</t>
  </si>
  <si>
    <t>GqBzVuW2cnM</t>
  </si>
  <si>
    <t>The Autism Spectrum Diagnosis Might Not Last</t>
  </si>
  <si>
    <t>2026-07-13T17:00:16Z</t>
  </si>
  <si>
    <t>boMMD9HznwQ</t>
  </si>
  <si>
    <t>Why Are There No Wild Cows?</t>
  </si>
  <si>
    <t>2026-07-09T17:00:10Z</t>
  </si>
  <si>
    <t>rju1Zh1SjR0</t>
  </si>
  <si>
    <t>King Tut’s Curse Could Cure Cancer</t>
  </si>
  <si>
    <t>2026-07-08T17:00:02Z</t>
  </si>
  <si>
    <t>EAZVnvVnfdo</t>
  </si>
  <si>
    <t>The Tragedy of the Cystic Fibrosis Cure</t>
  </si>
  <si>
    <t>2026-07-07T17:00:29Z</t>
  </si>
  <si>
    <t>oZDByvhf3Ik</t>
  </si>
  <si>
    <t>This Gorgeous Rock Was Made by a Supercontinent</t>
  </si>
  <si>
    <t>2026-07-06T17:18:50Z</t>
  </si>
  <si>
    <t>VT2zNo5MQVQ</t>
  </si>
  <si>
    <t>The First Trip To Earth’s Stratosphere Was A Disaster</t>
  </si>
  <si>
    <t>2026-06-25T17:00:05Z</t>
  </si>
  <si>
    <t>XpoNMkfoQIQ</t>
  </si>
  <si>
    <t>How To Get The Worst Sunburn Of Your Life</t>
  </si>
  <si>
    <t>2026-06-24T17:00:11Z</t>
  </si>
  <si>
    <t>s0Cb4mo2cWE</t>
  </si>
  <si>
    <t>The Weird Reason Giraffes Have The Same Number of Neck Bones As You</t>
  </si>
  <si>
    <t>2026-06-23T17:00:11Z</t>
  </si>
  <si>
    <t>olwN4iw2yzY</t>
  </si>
  <si>
    <t>How to Weigh a Planet</t>
  </si>
  <si>
    <t>2026-06-22T17:00:13Z</t>
  </si>
  <si>
    <t>OYzTQh1jxpI</t>
  </si>
  <si>
    <t>The Science Behind The Odyssey's Greatest Challenge</t>
  </si>
  <si>
    <t>2026-06-18T17:00:21Z</t>
  </si>
  <si>
    <t>vpGLVMEoBXY</t>
  </si>
  <si>
    <t>So You Want To Build a Dyson Sphere</t>
  </si>
  <si>
    <t>2026-06-17T17:00:03Z</t>
  </si>
  <si>
    <t>_VHb_XftAKk</t>
  </si>
  <si>
    <t>The Best Pan, According to Science</t>
  </si>
  <si>
    <t>2026-06-16T17:00:23Z</t>
  </si>
  <si>
    <t>PtuZD2bjFPQ</t>
  </si>
  <si>
    <t>How Laundry Detergent Caused an Environmental Disaster</t>
  </si>
  <si>
    <t>2026-06-15T17:00:32Z</t>
  </si>
  <si>
    <t>UzN6eHeaJj4</t>
  </si>
  <si>
    <t>Scientists Can't Explain Why Bird Nests Are So Different</t>
  </si>
  <si>
    <t>2026-06-11T17:00:03Z</t>
  </si>
  <si>
    <t>z-sopGQvF64</t>
  </si>
  <si>
    <t>Rebuilding A Forest? Just Add Termites</t>
  </si>
  <si>
    <t>2026-06-10T17:00:21Z</t>
  </si>
  <si>
    <t>g8hbTcARHeE</t>
  </si>
  <si>
    <t>Do These Supplements Work? (Your Questions Answered)</t>
  </si>
  <si>
    <t>2026-06-09T17:00:15Z</t>
  </si>
  <si>
    <t>HoYY9J2w75E</t>
  </si>
  <si>
    <t>How to Turn Cancer Into Brain Cells</t>
  </si>
  <si>
    <t>2026-06-08T17:00:24Z</t>
  </si>
  <si>
    <t>wlqA8W5yhqo</t>
  </si>
  <si>
    <t>Where Did The Moon Come From?</t>
  </si>
  <si>
    <t>2026-06-04T17:00:21Z</t>
  </si>
  <si>
    <t>Ccn-Kkm1e_Y</t>
  </si>
  <si>
    <t>Zoom Calls Are So Much Worse For Us Than You Think</t>
  </si>
  <si>
    <t>2026-06-03T17:00:22Z</t>
  </si>
  <si>
    <t>xuQgqrcWm-o</t>
  </si>
  <si>
    <t>5 Weird Things We Figured Out On the ISS</t>
  </si>
  <si>
    <t>2026-06-02T17:27:08Z</t>
  </si>
  <si>
    <t>ALE1EiAdZNo</t>
  </si>
  <si>
    <t>The World's Largest Emerald Shouldn't Exist</t>
  </si>
  <si>
    <t>2026-06-01T17:00:31Z</t>
  </si>
  <si>
    <t>2ZK_Gy1uE2A</t>
  </si>
  <si>
    <t>Salvaging the Cold War's Sunken Nuclear Subs</t>
  </si>
  <si>
    <t>2026-05-28T17:00:36Z</t>
  </si>
  <si>
    <t>PwmrWb8kCBE</t>
  </si>
  <si>
    <t>Where Are Humans ACTUALLY From?</t>
  </si>
  <si>
    <t>2026-05-27T17:00:06Z</t>
  </si>
  <si>
    <t>ZWj4vWYAGYc</t>
  </si>
  <si>
    <t>What China's Stone Forest Teaches Us About Cities</t>
  </si>
  <si>
    <t>2026-05-26T17:00:03Z</t>
  </si>
  <si>
    <t>nIhY_Z7s7Nc</t>
  </si>
  <si>
    <t>No, You Can’t Make Your Own Sunscreen</t>
  </si>
  <si>
    <t>2026-05-25T18:00:21Z</t>
  </si>
  <si>
    <t>YEdJl1E7gzo</t>
  </si>
  <si>
    <t>Something Strange Is Happening Under the Doomsday Glacier</t>
  </si>
  <si>
    <t>2026-05-21T17:00:07Z</t>
  </si>
  <si>
    <t>IS9bo3cVmYI</t>
  </si>
  <si>
    <t>How Onions ACTUALLY Make You Cry (And How to Stop Them)</t>
  </si>
  <si>
    <t>2026-05-20T17:00:04Z</t>
  </si>
  <si>
    <t>ONSW0a6ihKI</t>
  </si>
  <si>
    <t>Can We Describe The Whole Universe With A Single Number?</t>
  </si>
  <si>
    <t>2026-05-19T17:00:12Z</t>
  </si>
  <si>
    <t>7XqkL3Lke4s</t>
  </si>
  <si>
    <t>The Most Famous Science Paper Isn’t Famous</t>
  </si>
  <si>
    <t>2026-05-18T17:00:22Z</t>
  </si>
  <si>
    <t>g8Chxr0xbFA</t>
  </si>
  <si>
    <t>How Volcanoes Caused The Black Death</t>
  </si>
  <si>
    <t>2026-05-14T17:00:11Z</t>
  </si>
  <si>
    <t>JahBXEUx-wk</t>
  </si>
  <si>
    <t>4 Ways Fractals Changed Tech Forever</t>
  </si>
  <si>
    <t>2026-05-13T17:00:35Z</t>
  </si>
  <si>
    <t>BRgmhNwAZyw</t>
  </si>
  <si>
    <t>Something Strange Is Happening to Raccoons</t>
  </si>
  <si>
    <t>2026-05-12T17:00:29Z</t>
  </si>
  <si>
    <t>HQksmqO2QIg</t>
  </si>
  <si>
    <t>The Plague Will Probably Return</t>
  </si>
  <si>
    <t>2026-05-11T17:00:36Z</t>
  </si>
  <si>
    <t>0fem2B1-YbE</t>
  </si>
  <si>
    <t>Everyone On Earth Has The Same Commute.</t>
  </si>
  <si>
    <t>2026-05-07T17:00:00Z</t>
  </si>
  <si>
    <t>TPj1HyJwabE</t>
  </si>
  <si>
    <t>Humans Didn't Make Dogs Weird</t>
  </si>
  <si>
    <t>2026-05-06T17:00:00Z</t>
  </si>
  <si>
    <t>GB-_T28Abrc</t>
  </si>
  <si>
    <t>Why 90-Year-Olds Get Less Cancer</t>
  </si>
  <si>
    <t>2026-05-05T17:00:00Z</t>
  </si>
  <si>
    <t>tPJSvpN9Z5c</t>
  </si>
  <si>
    <t>These Rocks Are Petrified Lightning</t>
  </si>
  <si>
    <t>2026-05-04T17:00:00Z</t>
  </si>
  <si>
    <t>cBJ3dCIsnqA</t>
  </si>
  <si>
    <t>The ONE Disease That Smoking Can Help Treat</t>
  </si>
  <si>
    <t>2026-04-30T17:00:00Z</t>
  </si>
  <si>
    <t>sSP16cG3dRA</t>
  </si>
  <si>
    <t>Geology Created Madagascar's Weird Animals</t>
  </si>
  <si>
    <t>2026-04-29T17:00:00Z</t>
  </si>
  <si>
    <t>M_lOTOGINXs</t>
  </si>
  <si>
    <t>Researchers Who Had No Choice But To Study Themselves</t>
  </si>
  <si>
    <t>2026-04-28T17:00:00Z</t>
  </si>
  <si>
    <t>oby-7rVVAgA</t>
  </si>
  <si>
    <t>We Have Spent Millions of Dollars on Blue Roses</t>
  </si>
  <si>
    <t>2026-04-27T17:00:00Z</t>
  </si>
  <si>
    <t>pJVX0h_8pV8</t>
  </si>
  <si>
    <t>7 Times Invasive Species Actually Helped</t>
  </si>
  <si>
    <t>2026-04-23T17:00:00Z</t>
  </si>
  <si>
    <t>S2XooQTsxEM</t>
  </si>
  <si>
    <t>The Day the Dinosaurs Died</t>
  </si>
  <si>
    <t>2026-04-22T17:00:00Z</t>
  </si>
  <si>
    <t>xhahnvObE5s</t>
  </si>
  <si>
    <t>The Physics of a Perfect Wave</t>
  </si>
  <si>
    <t>2026-04-21T17:00:00Z</t>
  </si>
  <si>
    <t>8dMnyKip1wE</t>
  </si>
  <si>
    <t>What's In Those Gas Station Drugs?</t>
  </si>
  <si>
    <t>2026-04-20T17:00:00Z</t>
  </si>
  <si>
    <t>-zOWRc3c1u8</t>
  </si>
  <si>
    <t>It's Amazing Anyone Survived the 1925 Nome Serum Run</t>
  </si>
  <si>
    <t>2026-04-16T17:00:00Z</t>
  </si>
  <si>
    <t>bISWSp63RPs</t>
  </si>
  <si>
    <t>6 Things Ancient Coins Taught Us</t>
  </si>
  <si>
    <t>2026-04-15T17:00:00Z</t>
  </si>
  <si>
    <t>9WeYlTmqViQ</t>
  </si>
  <si>
    <t>The BONKERS Physics of Animal Swarms (Not Clickbait)</t>
  </si>
  <si>
    <t>2026-04-14T17:00:00Z</t>
  </si>
  <si>
    <t>QD7E-gf74w0</t>
  </si>
  <si>
    <t>Your Extinct Cousin LOVED Eating Grass</t>
  </si>
  <si>
    <t>2026-04-13T17:00:00Z</t>
  </si>
  <si>
    <t>5LWkgXxEtx0</t>
  </si>
  <si>
    <t>50 Years Later &amp; Scientists Still Don't Know Why These Exist</t>
  </si>
  <si>
    <t>2026-04-09T17:00:00Z</t>
  </si>
  <si>
    <t>PNL_C3j1C2A</t>
  </si>
  <si>
    <t>The World's Deadliest Mushroom is Getting Deadlier</t>
  </si>
  <si>
    <t>2026-04-08T17:00:00Z</t>
  </si>
  <si>
    <t>zghn9r7iLT4</t>
  </si>
  <si>
    <t>These Petroglyphs Helped Humans Survive the Desert</t>
  </si>
  <si>
    <t>2026-04-07T17:00:00Z</t>
  </si>
  <si>
    <t>cnlL-7wp7MQ</t>
  </si>
  <si>
    <t>Here's Why Personality Tests ALWAYS Work*</t>
  </si>
  <si>
    <t>2026-04-06T17:00:00Z</t>
  </si>
  <si>
    <t>E7wQD4wKwjs</t>
  </si>
  <si>
    <t>Antarctica Has An Accent and It's Weirder Than You Think</t>
  </si>
  <si>
    <t>2026-04-02T17:00:00Z</t>
  </si>
  <si>
    <t>ji8wiRK0fVE</t>
  </si>
  <si>
    <t>Why Geologists Lick Petrified Poop</t>
  </si>
  <si>
    <t>wjggoT-3oVM</t>
  </si>
  <si>
    <t>The Earth Keeps Making Mountains in Colorado and Scientists Don’t Know Why</t>
  </si>
  <si>
    <t>2026-03-31T17:00:00Z</t>
  </si>
  <si>
    <t>DbHTa2p8kuQ</t>
  </si>
  <si>
    <t>Chimps Love "People Watching" Too</t>
  </si>
  <si>
    <t>2026-03-30T17:00:00Z</t>
  </si>
  <si>
    <t>Z7Ftg5e-CFk</t>
  </si>
  <si>
    <t>What Red and Black Tattoos Do to Your Immune System</t>
  </si>
  <si>
    <t>_TF8AX-ktEk</t>
  </si>
  <si>
    <t>A Scientist’s Guide to Wrinkle-Free Clothes</t>
  </si>
  <si>
    <t>gqPlVUuXiYY</t>
  </si>
  <si>
    <t>The 3 Strongest Lasers in the World (For Now)</t>
  </si>
  <si>
    <t>2026-03-24T17:00:00Z</t>
  </si>
  <si>
    <t>QR-0rHweBfc</t>
  </si>
  <si>
    <t>Do Reishi Mushrooms Really Treat Cancer?</t>
  </si>
  <si>
    <t>2026-03-23T17:00:00Z</t>
  </si>
  <si>
    <t>277wRV3juWg</t>
  </si>
  <si>
    <t>Why Is This Persian Silver Hoard Buried in Yorkshire?</t>
  </si>
  <si>
    <t>2026-03-19T17:00:00Z</t>
  </si>
  <si>
    <t>yhC9ppP-cHk</t>
  </si>
  <si>
    <t>Trash Batteries &amp; 4 Other Weird Ways to Store Energy</t>
  </si>
  <si>
    <t>2026-03-18T17:00:00Z</t>
  </si>
  <si>
    <t>PSWcMVn_XgY</t>
  </si>
  <si>
    <t>The Disappearing Star and The Oldest Story Ever Told</t>
  </si>
  <si>
    <t>2026-03-17T17:00:00Z</t>
  </si>
  <si>
    <t>NIxyxx5ROaY</t>
  </si>
  <si>
    <t>How to Live in the Harshest Place on Earth</t>
  </si>
  <si>
    <t>2026-03-16T17:01:00Z</t>
  </si>
  <si>
    <t>sfztRvrkGgw</t>
  </si>
  <si>
    <t>The Most Important Picture in the History of Science</t>
  </si>
  <si>
    <t>2026-03-13T17:00:00Z</t>
  </si>
  <si>
    <t>2gKsPGxSb9I</t>
  </si>
  <si>
    <t>Plants Have Proprioception and That’s Weird</t>
  </si>
  <si>
    <t>2026-03-12T17:00:00Z</t>
  </si>
  <si>
    <t>bUcMeueHdSU</t>
  </si>
  <si>
    <t>There Are Two Types of Boredom</t>
  </si>
  <si>
    <t>2026-03-11T17:00:00Z</t>
  </si>
  <si>
    <t>L-daqZkXCLo</t>
  </si>
  <si>
    <t>Why We Still Don't Have Hypersonic Flights</t>
  </si>
  <si>
    <t>2026-03-10T17:00:00Z</t>
  </si>
  <si>
    <t>Si2g7nl-B08</t>
  </si>
  <si>
    <t>7 Deadly Epidemics You Didn’t Know Existed</t>
  </si>
  <si>
    <t>2026-03-09T17:00:00Z</t>
  </si>
  <si>
    <t>NJ4jXxZmKfY</t>
  </si>
  <si>
    <t>6 Times Scientists Were Wrong About the Periodic Table</t>
  </si>
  <si>
    <t>2026-03-05T18:00:00Z</t>
  </si>
  <si>
    <t>rU4toyeOY0o</t>
  </si>
  <si>
    <t>There’s Fresh Water Under the Ocean. Can You Drink It?</t>
  </si>
  <si>
    <t>2026-03-04T18:00:00Z</t>
  </si>
  <si>
    <t>0mffmUA7d_4</t>
  </si>
  <si>
    <t>The Evolutionary Basis of Autism</t>
  </si>
  <si>
    <t>2026-03-03T18:00:00Z</t>
  </si>
  <si>
    <t>eYViePMalJE</t>
  </si>
  <si>
    <t>The Universe Has Been Expanding Since the Big Bang. Just Not How We Thought.</t>
  </si>
  <si>
    <t>2026-07-16T20:15:39Z</t>
  </si>
  <si>
    <t>UC7_gcs09iThXybpVgjHZ_7g</t>
  </si>
  <si>
    <t>PBS Space Time</t>
  </si>
  <si>
    <t>7Wiw42ZlBKs</t>
  </si>
  <si>
    <t>The Quantum Experiment That Breaks Time</t>
  </si>
  <si>
    <t>2026-07-02T20:15:36Z</t>
  </si>
  <si>
    <t>x4TdColoIu8</t>
  </si>
  <si>
    <t>We Thought Black Holes Created Event Horizons. It Might Be the Opposite</t>
  </si>
  <si>
    <t>2026-06-18T20:15:32Z</t>
  </si>
  <si>
    <t>4OM0zTfdsPo</t>
  </si>
  <si>
    <t>We’ve Been Searching for Aliens the Wrong Way. That’s All About To Change. . .</t>
  </si>
  <si>
    <t>2026-06-04T20:15:03Z</t>
  </si>
  <si>
    <t>Wu8xNx4njoM</t>
  </si>
  <si>
    <t>We Thought Black Holes Ended in Singularities. They Might End In a Frozen Big Bang.</t>
  </si>
  <si>
    <t>2026-05-21T20:15:22Z</t>
  </si>
  <si>
    <t>FMdrD_jcYgE</t>
  </si>
  <si>
    <t>We Found Galaxies Too Old for the Universe</t>
  </si>
  <si>
    <t>2026-04-30T20:15:00Z</t>
  </si>
  <si>
    <t>qQmfXVE6W-I</t>
  </si>
  <si>
    <t>Earth’s Core Should Be Impossible. A New State of Matter Explains It.</t>
  </si>
  <si>
    <t>2026-04-16T20:15:00Z</t>
  </si>
  <si>
    <t>dZaqLgezRNE</t>
  </si>
  <si>
    <t>Something Disturbing Happens When You Solve Einstein's Equations This Way</t>
  </si>
  <si>
    <t>2026-04-02T20:15:00Z</t>
  </si>
  <si>
    <t>O5FqozA4IpA</t>
  </si>
  <si>
    <t>Martian Soil Is Deadly. And That's Why It Might Support Life.</t>
  </si>
  <si>
    <t>2026-03-19T20:15:00Z</t>
  </si>
  <si>
    <t>zaJRfVRe-Vg</t>
  </si>
  <si>
    <t>Most of Reality Is Invisible. We May Finally Be About to Reveal It.</t>
  </si>
  <si>
    <t>2026-03-05T21:15:00Z</t>
  </si>
  <si>
    <t>qNCCDX32XYE</t>
  </si>
  <si>
    <t>The Universe Is Racing Apart. We May Finally Know Why.</t>
  </si>
  <si>
    <t>2026-02-19T21:15:00Z</t>
  </si>
  <si>
    <t>Z4DqSFrl92k</t>
  </si>
  <si>
    <t>The Universe Tried to Hide the Gravity Particle. Physicists Found a Loophole.</t>
  </si>
  <si>
    <t>2026-02-05T21:15:00Z</t>
  </si>
  <si>
    <t>4zgZ1hh3XtI</t>
  </si>
  <si>
    <t>This Particle Solved Everything. We Just Found Out It Isn't Real</t>
  </si>
  <si>
    <t>2026-01-22T21:15:00Z</t>
  </si>
  <si>
    <t>UFXiFfj058U</t>
  </si>
  <si>
    <t>The Universe Itself Might Be Hiding the Gravity Particle From Us</t>
  </si>
  <si>
    <t>2026-01-13T21:15:05Z</t>
  </si>
  <si>
    <t>t_AMURAIcF0</t>
  </si>
  <si>
    <t>Black Holes. Explained. For 1.5 Hours.</t>
  </si>
  <si>
    <t>2025-12-18T21:15:00Z</t>
  </si>
  <si>
    <t>c-Q5r3THR3M</t>
  </si>
  <si>
    <t>Heisenberg Made a Discovery in 1925. We Still Can't Explain It</t>
  </si>
  <si>
    <t>2025-12-11T21:15:04Z</t>
  </si>
  <si>
    <t>mPFFUWPXAFs</t>
  </si>
  <si>
    <t>Do We Live in the Rarest Solar System In The Universe? We're about to find out!</t>
  </si>
  <si>
    <t>2025-11-25T21:15:09Z</t>
  </si>
  <si>
    <t>e9xOMOTTW6U</t>
  </si>
  <si>
    <t>The Gravity Particle Should Exist. So Where Is It?</t>
  </si>
  <si>
    <t>2025-11-13T20:45:01Z</t>
  </si>
  <si>
    <t>eA4X9P98ess</t>
  </si>
  <si>
    <t>Why Antimatter Engines Could Launch In Your Lifetime</t>
  </si>
  <si>
    <t>2025-10-30T20:15:00Z</t>
  </si>
  <si>
    <t>sc7FlWUAnzA</t>
  </si>
  <si>
    <t>We Were WRONG About the Quantum Eraser! ft. @LookingGlassUniverse​</t>
  </si>
  <si>
    <t>2025-10-16T20:15:07Z</t>
  </si>
  <si>
    <t>PuHrtlJPk3o</t>
  </si>
  <si>
    <t>Why Life on Mars Will DOOM Humanity</t>
  </si>
  <si>
    <t>2025-10-02T20:15:02Z</t>
  </si>
  <si>
    <t>xRhsD-RQNHs</t>
  </si>
  <si>
    <t>At What Point Does Spacetime Become Quantum?</t>
  </si>
  <si>
    <t>2025-09-18T20:15:03Z</t>
  </si>
  <si>
    <t>HlNKj0K_3FY</t>
  </si>
  <si>
    <t>The Most Important Satellite You’ve (Probably) Never Heard Of</t>
  </si>
  <si>
    <t>2025-09-04T20:15:01Z</t>
  </si>
  <si>
    <t>Ivye51d5Vis</t>
  </si>
  <si>
    <t>Is There Evidence For a Vast Multiverse?</t>
  </si>
  <si>
    <t>2025-08-14T20:45:01Z</t>
  </si>
  <si>
    <t>HX1EfW3euY4</t>
  </si>
  <si>
    <t>Why The Multiverse Could Be Real</t>
  </si>
  <si>
    <t>2025-07-31T20:15:03Z</t>
  </si>
  <si>
    <t>7wZPaovDH50</t>
  </si>
  <si>
    <t>Why Is All DNA Right Handed?</t>
  </si>
  <si>
    <t>2025-07-17T20:15:00Z</t>
  </si>
  <si>
    <t>U-B1MpTQfJQ</t>
  </si>
  <si>
    <t>Are The Fundamental Constants Finely Tuned? | The Naturalness Problem</t>
  </si>
  <si>
    <t>2025-06-26T20:15:01Z</t>
  </si>
  <si>
    <t>cY6Y4lE3LTo</t>
  </si>
  <si>
    <t>The Crisis In Physics: Are We Missing 17 Layers of Reality?</t>
  </si>
  <si>
    <t>2025-06-12T20:15:03Z</t>
  </si>
  <si>
    <t>WNyY1ZYSzoU</t>
  </si>
  <si>
    <t>Is Our Model of Dark Energy WRONG? | New 4.2σ Results</t>
  </si>
  <si>
    <t>2025-05-29T20:31:10Z</t>
  </si>
  <si>
    <t>abvzkSJEhKk</t>
  </si>
  <si>
    <t>Is There A Simple Solution To The Fermi Paradox?</t>
  </si>
  <si>
    <t>2025-05-15T19:15:00Z</t>
  </si>
  <si>
    <t>8CgquHFM_O8</t>
  </si>
  <si>
    <t>We Thought Energy Had to Travel Through Space. It Might Not.</t>
  </si>
  <si>
    <t>2025-05-01T20:15:00Z</t>
  </si>
  <si>
    <t>negiPvWHaMc</t>
  </si>
  <si>
    <t>How a One-in-a-Billion Mistake Made the Universe Possible</t>
  </si>
  <si>
    <t>2025-04-17T20:15:03Z</t>
  </si>
  <si>
    <t>hPhwhq-f1Uo</t>
  </si>
  <si>
    <t>NEW EVIDENCE: Earth Had Rings (and Might Regain Them)</t>
  </si>
  <si>
    <t>2025-04-03T20:15:01Z</t>
  </si>
  <si>
    <t>cfkU4CD91hk</t>
  </si>
  <si>
    <t>We Shouldn’t Be Able to Predict Asteroid Impacts This Precisely. But We Can</t>
  </si>
  <si>
    <t>2025-03-13T20:11:22Z</t>
  </si>
  <si>
    <t>nKb4zcyqjXQ</t>
  </si>
  <si>
    <t>Your DNA's Codes Are (Probably) From Outer Space</t>
  </si>
  <si>
    <t>2025-03-06T21:15:02Z</t>
  </si>
  <si>
    <t>R9tJ4TkG0fU</t>
  </si>
  <si>
    <t>Will The Big Bang Happen AGAIN (and Again)?</t>
  </si>
  <si>
    <t>2025-02-20T21:15:02Z</t>
  </si>
  <si>
    <t>nAJN1CrJsVE</t>
  </si>
  <si>
    <t>The Final Barrier to (Nearly) Infinite Energy</t>
  </si>
  <si>
    <t>2025-02-13T21:15:02Z</t>
  </si>
  <si>
    <t>GjkqedrTwZo</t>
  </si>
  <si>
    <t>The Crisis in Physics: Why the Higgs Boson Should NOT Exist!</t>
  </si>
  <si>
    <t>2025-01-30T21:15:01Z</t>
  </si>
  <si>
    <t>SXg6YVcdOcA</t>
  </si>
  <si>
    <t>Why Time Flows Differently Between Galaxies</t>
  </si>
  <si>
    <t>2025-01-23T21:15:04Z</t>
  </si>
  <si>
    <t>wh75ubECL8I</t>
  </si>
  <si>
    <t>How Many Black Holes Are In The Solar System?</t>
  </si>
  <si>
    <t>2025-01-16T21:15:02Z</t>
  </si>
  <si>
    <t>KXPhaAsnrfs</t>
  </si>
  <si>
    <t>Does Infinity - Infinity = an Electron?</t>
  </si>
  <si>
    <t>2024-12-19T20:29:53Z</t>
  </si>
  <si>
    <t>7XaJkE-ro2M</t>
  </si>
  <si>
    <t>What Does An Electron ACTUALLY Look Like?</t>
  </si>
  <si>
    <t>2024-12-12T21:15:00Z</t>
  </si>
  <si>
    <t>0rzgYzbzq5Q</t>
  </si>
  <si>
    <t>The NEW Ultimate Energy Limit of the Universe</t>
  </si>
  <si>
    <t>2024-12-05T21:15:00Z</t>
  </si>
  <si>
    <t>iPsRdfog6b8</t>
  </si>
  <si>
    <t>Does the Planck Length Break E=MC^2?</t>
  </si>
  <si>
    <t>2024-11-21T21:52:22Z</t>
  </si>
  <si>
    <t>CWzfWZplrcs</t>
  </si>
  <si>
    <t>Can Space Time Remember?</t>
  </si>
  <si>
    <t>2024-11-14T21:15:00Z</t>
  </si>
  <si>
    <t>hRXAbMe_THw</t>
  </si>
  <si>
    <t>How Can Humanity Become a Kardashev Type 1 Civilization?</t>
  </si>
  <si>
    <t>2024-11-07T21:15:02Z</t>
  </si>
  <si>
    <t>W4SnKp4BhP4</t>
  </si>
  <si>
    <t>Do Neutron Stars Shine In Dark Matter?</t>
  </si>
  <si>
    <t>2024-10-17T20:15:01Z</t>
  </si>
  <si>
    <t>nn94mn8ozOI</t>
  </si>
  <si>
    <t>What If The Cosmological Constant Is NOT Constant?</t>
  </si>
  <si>
    <t>2024-10-10T20:15:02Z</t>
  </si>
  <si>
    <t>HRqBGnSxzyI</t>
  </si>
  <si>
    <t>What If The Universe DID NOT Start With The Big Bang?</t>
  </si>
  <si>
    <t>2024-09-26T20:15:00Z</t>
  </si>
  <si>
    <t>x72uFHh3oek</t>
  </si>
  <si>
    <t>The NEW PHYSICS of Black Hole Star Capture | Extreme Tidal Disruption Events</t>
  </si>
  <si>
    <t>2024-09-19T20:15:01Z</t>
  </si>
  <si>
    <t>eAtbzhpI4Js</t>
  </si>
  <si>
    <t>What If Gravity Isn’t Quantum? New Experiments Explore</t>
  </si>
  <si>
    <t>2024-09-12T20:15:01Z</t>
  </si>
  <si>
    <t>yfzosycRoe4</t>
  </si>
  <si>
    <t>Is Gravity RANDOM Not Quantum?</t>
  </si>
  <si>
    <t>2024-08-22T20:15:03Z</t>
  </si>
  <si>
    <t>MwMwzGIt5ek</t>
  </si>
  <si>
    <t>Can We Create New Elements Beyond the Periodic Table?</t>
  </si>
  <si>
    <t>2024-08-15T20:15:00Z</t>
  </si>
  <si>
    <t>be4JB2Xe0Vc</t>
  </si>
  <si>
    <t>Do Black Holes Have to Be Black?</t>
  </si>
  <si>
    <t>2024-08-01T20:15:01Z</t>
  </si>
  <si>
    <t>xa2Kpkksf3k</t>
  </si>
  <si>
    <t>Was Penrose Right? NEW EVIDENCE For Quantum Effects In The Brain</t>
  </si>
  <si>
    <t>2024-07-25T20:15:01Z</t>
  </si>
  <si>
    <t>8hvzF5oQe1g</t>
  </si>
  <si>
    <t>How To Detect Faster Than Light Travel</t>
  </si>
  <si>
    <t>2024-07-18T20:15:00Z</t>
  </si>
  <si>
    <t>26ZmKqLNSZ8</t>
  </si>
  <si>
    <t>Can a Particle Be Neither Matter Nor Force?</t>
  </si>
  <si>
    <t>2024-06-27T20:15:00Z</t>
  </si>
  <si>
    <t>IxnqrEBxmm4</t>
  </si>
  <si>
    <t>Will The Sun’s Magnetic Field Flip This Year?</t>
  </si>
  <si>
    <t>2024-06-20T19:45:01Z</t>
  </si>
  <si>
    <t>4uQF9Egc-fM</t>
  </si>
  <si>
    <t>Is It IMPOSSIBLE To Cross The Event Horizon? | Black Hole Firewall Paradox</t>
  </si>
  <si>
    <t>2024-06-13T20:15:01Z</t>
  </si>
  <si>
    <t>2sSNWIJbV3Q</t>
  </si>
  <si>
    <t>How Supernovas Act as Universe’s Largest Particle Accelerators</t>
  </si>
  <si>
    <t>2024-05-30T20:15:00Z</t>
  </si>
  <si>
    <t>NSqT594RVWQ</t>
  </si>
  <si>
    <t>Can Black Holes Unify General Relativity &amp; Quantum Mechanics?</t>
  </si>
  <si>
    <t>2024-05-23T20:15:00Z</t>
  </si>
  <si>
    <t>yWlpNm1C5gw</t>
  </si>
  <si>
    <t>Interstellar Expansion WITHOUT Faster Than Light Travel</t>
  </si>
  <si>
    <t>2024-05-16T20:15:01Z</t>
  </si>
  <si>
    <t>Rogm_lpVZYU</t>
  </si>
  <si>
    <t>What Happens To Quantum Information Inside A Black Hole?</t>
  </si>
  <si>
    <t>2024-05-01T20:15:00Z</t>
  </si>
  <si>
    <t>ci5eJxAFsZc</t>
  </si>
  <si>
    <t>Why Is The World Rushing Back To The Moon?</t>
  </si>
  <si>
    <t>2024-04-18T20:15:01Z</t>
  </si>
  <si>
    <t>xoDYvvEcIbo</t>
  </si>
  <si>
    <t>How Eclipses Revealed Our Solar System</t>
  </si>
  <si>
    <t>2024-04-06T17:00:37Z</t>
  </si>
  <si>
    <t>qYSKEbd956M</t>
  </si>
  <si>
    <t>What If Gravity is NOT A Fundamental Force? | Entropic Gravity</t>
  </si>
  <si>
    <t>2024-03-28T20:15:01Z</t>
  </si>
  <si>
    <t>DoCYY9sa2kU</t>
  </si>
  <si>
    <t>Does Space Emerge From A Holographic Boundary?</t>
  </si>
  <si>
    <t>2024-03-21T20:15:00Z</t>
  </si>
  <si>
    <t>aXYf47euE3U</t>
  </si>
  <si>
    <t>Dark Forest: Should We NOT Contact Aliens?</t>
  </si>
  <si>
    <t>2024-03-14T20:15:02Z</t>
  </si>
  <si>
    <t>ZMjo_UY8vEM</t>
  </si>
  <si>
    <t>EMP Attack: The Real Science of Electromagnetic Pulse</t>
  </si>
  <si>
    <t>2024-02-29T21:15:00Z</t>
  </si>
  <si>
    <t>HRir6-9tsJs</t>
  </si>
  <si>
    <t>What if Singularities DO NOT Exist?</t>
  </si>
  <si>
    <t>2024-02-22T21:15:00Z</t>
  </si>
  <si>
    <t>hxcUy-cBVcI</t>
  </si>
  <si>
    <t>Did JWST SOLVE The Mystery of Supermassive Black Hole Origins?</t>
  </si>
  <si>
    <t>2024-02-14T21:15:01Z</t>
  </si>
  <si>
    <t>ALmS9E87LCg</t>
  </si>
  <si>
    <t>Does Antimatter Create Anti-Gravity?</t>
  </si>
  <si>
    <t>2024-01-17T21:15:00Z</t>
  </si>
  <si>
    <t>WWqmccgf78w</t>
  </si>
  <si>
    <t>Can The Crisis in Cosmology Be SOLVED With Cosmic Voids?</t>
  </si>
  <si>
    <t>2024-01-10T21:15:02Z</t>
  </si>
  <si>
    <t>Q6kJaMf3Lgo</t>
  </si>
  <si>
    <t>What If There's A Black Hole Inside The Sun? | Hawking Stars</t>
  </si>
  <si>
    <t>2023-12-20T21:15:00Z</t>
  </si>
  <si>
    <t>vyEWLhOfLgQ</t>
  </si>
  <si>
    <t>What if Humans Are NOT Earth's First Civilization? | Silurian Hypothesis</t>
  </si>
  <si>
    <t>2023-12-07T20:45:03Z</t>
  </si>
  <si>
    <t>BU8Lg_R2DL0</t>
  </si>
  <si>
    <t>Does Many Worlds Explain Quantum Probabilities?</t>
  </si>
  <si>
    <t>2023-11-30T20:45:00Z</t>
  </si>
  <si>
    <t>8aR77s9RLck</t>
  </si>
  <si>
    <t>What If Gravity is NOT Quantum?</t>
  </si>
  <si>
    <t>2023-11-09T21:15:00Z</t>
  </si>
  <si>
    <t>5LH1nKHIyjg</t>
  </si>
  <si>
    <t>How Will We (Most Likely) Discover Alien Life?</t>
  </si>
  <si>
    <t>2023-11-02T19:45:00Z</t>
  </si>
  <si>
    <t>5e83QRGoRCo</t>
  </si>
  <si>
    <t>Why Did Attosecond Physics Win the NOBEL PRIZE?</t>
  </si>
  <si>
    <t>2023-10-19T20:15:00Z</t>
  </si>
  <si>
    <t>ZLrMwDD8u_Q</t>
  </si>
  <si>
    <t>JWST Discovered The Farthest Star Ever Seen!</t>
  </si>
  <si>
    <t>2023-10-12T20:15:00Z</t>
  </si>
  <si>
    <t>BUHW1zlstVk</t>
  </si>
  <si>
    <t>Are Many Worlds &amp; Pilot Wave THE SAME Theory?</t>
  </si>
  <si>
    <t>2023-09-28T20:15:00Z</t>
  </si>
  <si>
    <t>npynpWkUSYw</t>
  </si>
  <si>
    <t>Are Room Temperature Superconductors IMPOSSIBLE?</t>
  </si>
  <si>
    <t>2023-09-20T20:15:00Z</t>
  </si>
  <si>
    <t>9F3WRMlZEy4</t>
  </si>
  <si>
    <t>What NEW SCIENCE Would We Discover with a Moon Telescope?</t>
  </si>
  <si>
    <t>2023-09-13T20:15:00Z</t>
  </si>
  <si>
    <t>uvubLp5o5Wg</t>
  </si>
  <si>
    <t>What If Space is NOT Empty?</t>
  </si>
  <si>
    <t>2023-08-24T20:15:01Z</t>
  </si>
  <si>
    <t>zUhOL38346Y</t>
  </si>
  <si>
    <t>Did JWST Discover Dark Matter Stars?</t>
  </si>
  <si>
    <t>2023-08-16T20:15:01Z</t>
  </si>
  <si>
    <t>H6OmgXi1C-I</t>
  </si>
  <si>
    <t>Do We Need a NEW Dark Matter Model?</t>
  </si>
  <si>
    <t>2023-08-02T20:15:00Z</t>
  </si>
  <si>
    <t>byN4S8WDPt8</t>
  </si>
  <si>
    <t>Was the Gravitational Wave Background Finally Discovered?!?</t>
  </si>
  <si>
    <t>2023-07-26T20:15:00Z</t>
  </si>
  <si>
    <t>Bw8b9YV0EPA</t>
  </si>
  <si>
    <t>What If The Speed of Light is NOT CONSTANT?</t>
  </si>
  <si>
    <t>2023-07-19T20:15:00Z</t>
  </si>
  <si>
    <t>sWNTsKX5H5M</t>
  </si>
  <si>
    <t>Does Axionic Dark Matter Bind Galaxies Together?</t>
  </si>
  <si>
    <t>2023-06-28T20:22:18Z</t>
  </si>
  <si>
    <t>TbzZIMQC6vk</t>
  </si>
  <si>
    <t>Did AI Prove Our Proton Model WRONG?</t>
  </si>
  <si>
    <t>2023-06-21T20:15:00Z</t>
  </si>
  <si>
    <t>KrRvJUZaswo</t>
  </si>
  <si>
    <t>What Supernova Distance Would Trigger Mass Extinction?</t>
  </si>
  <si>
    <t>2023-06-14T20:15:00Z</t>
  </si>
  <si>
    <t>kQNqmUZrEOk</t>
  </si>
  <si>
    <t>Can We Move THE SUN?</t>
  </si>
  <si>
    <t>2023-05-31T20:15:01Z</t>
  </si>
  <si>
    <t>Ia2GwIpEdk4</t>
  </si>
  <si>
    <t>Is 'Perpetual Motion' Possible with Superfluids?</t>
  </si>
  <si>
    <t>2023-05-24T19:15:00Z</t>
  </si>
  <si>
    <t>QMFLcmsjOBg</t>
  </si>
  <si>
    <t>Could LIGO Find MASSIVE Alien Spaceships?</t>
  </si>
  <si>
    <t>2023-05-17T20:15:00Z</t>
  </si>
  <si>
    <t>83vR9omSahs</t>
  </si>
  <si>
    <t>Fermions Vs. Bosons Explained with Statistical Mechanics!</t>
  </si>
  <si>
    <t>2023-05-11T20:15:00Z</t>
  </si>
  <si>
    <t>OvPmwVzrI7M</t>
  </si>
  <si>
    <t>NEW DISCOVERY About Supermassive Black Holes Explained!</t>
  </si>
  <si>
    <t>2023-04-20T20:15:01Z</t>
  </si>
  <si>
    <t>R-eIUxwcQo4</t>
  </si>
  <si>
    <t>How Far Beyond Earth Could Humanity Spread?</t>
  </si>
  <si>
    <t>2023-04-12T20:15:00Z</t>
  </si>
  <si>
    <t>IfxQksvpOkM</t>
  </si>
  <si>
    <t>Students find error in Cambridge IGCSE Exam</t>
  </si>
  <si>
    <t>2026-07-11T18:57:47Z</t>
  </si>
  <si>
    <t>UCHnj59g7jezwTy5GeL8EA_g</t>
  </si>
  <si>
    <t>MindYourDecisions</t>
  </si>
  <si>
    <t>FMmrTgSgnc4</t>
  </si>
  <si>
    <t>What Is The Circle's Area? Looks Impossible, But Solution Is Clever</t>
  </si>
  <si>
    <t>2026-07-07T20:12:58Z</t>
  </si>
  <si>
    <t>MVQ5gIjEwWA</t>
  </si>
  <si>
    <t>The Greatest Illusion From Ancient Times</t>
  </si>
  <si>
    <t>2026-06-27T21:21:55Z</t>
  </si>
  <si>
    <t>JiXTrnh1yK4</t>
  </si>
  <si>
    <t>Can You Solve For The Height Of The Man?</t>
  </si>
  <si>
    <t>2026-06-25T21:34:29Z</t>
  </si>
  <si>
    <t>YkAph_SJ3HM</t>
  </si>
  <si>
    <t>The Actual Probability May Surprise You: e Appears From Nowhere!</t>
  </si>
  <si>
    <t>2026-05-29T18:49:28Z</t>
  </si>
  <si>
    <t>8Q4ALvJkEbY</t>
  </si>
  <si>
    <t>How old is Sandra? The correct answer explained</t>
  </si>
  <si>
    <t>2026-05-16T19:04:21Z</t>
  </si>
  <si>
    <t>7JZdQddvGQQ</t>
  </si>
  <si>
    <t>Viral Puzzle: How Tall Is The Dog?</t>
  </si>
  <si>
    <t>2026-05-13T19:28:52Z</t>
  </si>
  <si>
    <t>aqe4GeHBDlA</t>
  </si>
  <si>
    <t>Why this viral math problem teaches an important lesson</t>
  </si>
  <si>
    <t>2026-05-08T18:34:04Z</t>
  </si>
  <si>
    <t>bY7OeqrGfGY</t>
  </si>
  <si>
    <t>The Dilemma Dividing The Internet: Red Button Vs Blue Button</t>
  </si>
  <si>
    <t>2026-05-06T00:43:49Z</t>
  </si>
  <si>
    <t>HTqUGxSpcxQ</t>
  </si>
  <si>
    <t>How Logical Are You? A Simple Problem Only 36% Can Solve</t>
  </si>
  <si>
    <t>2026-05-04T20:13:11Z</t>
  </si>
  <si>
    <t>VZleL0uLI94</t>
  </si>
  <si>
    <t>Can you solve for the angle? Surprising outside the box solution!</t>
  </si>
  <si>
    <t>2026-04-30T21:20:15Z</t>
  </si>
  <si>
    <t>WBPDa5A5c90</t>
  </si>
  <si>
    <t>How to solve this "Harvard" entrance exam?</t>
  </si>
  <si>
    <t>2026-04-28T06:06:13Z</t>
  </si>
  <si>
    <t>jke5RWQIYhA</t>
  </si>
  <si>
    <t>How Is This Wrong? Internet Can't Believe Teacher's Grading Marks</t>
  </si>
  <si>
    <t>2026-04-25T00:25:50Z</t>
  </si>
  <si>
    <t>mUb3EQ_3iWA</t>
  </si>
  <si>
    <t>A fantabulous Olympiad problem</t>
  </si>
  <si>
    <t>2026-04-23T20:31:46Z</t>
  </si>
  <si>
    <t>GBNSVlPOLH0</t>
  </si>
  <si>
    <t>What is the length? Don't fall for the trap!</t>
  </si>
  <si>
    <t>2026-04-20T20:41:28Z</t>
  </si>
  <si>
    <t>bL7ouFdgFiQ</t>
  </si>
  <si>
    <t>How Creative Are You? The Make 60 Puzzle Everyone Is Talking About</t>
  </si>
  <si>
    <t>2026-04-18T23:42:59Z</t>
  </si>
  <si>
    <t>wwf0_BEpn9E</t>
  </si>
  <si>
    <t>Adults Baffled By Child's Homework</t>
  </si>
  <si>
    <t>2026-04-16T21:14:26Z</t>
  </si>
  <si>
    <t>6kpZaC_GD3s</t>
  </si>
  <si>
    <t>Can You Solve For The Radius? Solved In 5 Ways</t>
  </si>
  <si>
    <t>2026-04-14T21:39:33Z</t>
  </si>
  <si>
    <t>Z7qKyF2jTaQ</t>
  </si>
  <si>
    <t>Very Few Can Solve Tolstoy's Impossible Math Riddle</t>
  </si>
  <si>
    <t>2026-04-10T20:48:29Z</t>
  </si>
  <si>
    <t>nI8TQWzzVco</t>
  </si>
  <si>
    <t>Angle in arch. Can you solve it?</t>
  </si>
  <si>
    <t>2026-04-07T18:51:45Z</t>
  </si>
  <si>
    <t>vakCMe81sjI</t>
  </si>
  <si>
    <t>Wildly popular proof claims 2 does not exist. Where is the mistake?</t>
  </si>
  <si>
    <t>2026-04-01T20:46:47Z</t>
  </si>
  <si>
    <t>tY_x2UJeBgA</t>
  </si>
  <si>
    <t>Can you solve it?</t>
  </si>
  <si>
    <t>2026-03-31T21:29:13Z</t>
  </si>
  <si>
    <t>-dRz5LYCD9A</t>
  </si>
  <si>
    <t>Can You Solve The Equation That Stumped A Young Sherlock Holmes?</t>
  </si>
  <si>
    <t>2026-03-27T20:33:35Z</t>
  </si>
  <si>
    <t>cwqzj9RUTBA</t>
  </si>
  <si>
    <t>Viral homework from China. How tall is the table?</t>
  </si>
  <si>
    <t>2026-03-25T15:36:18Z</t>
  </si>
  <si>
    <t>RHNsGZYs_j4</t>
  </si>
  <si>
    <t>What's wrong with this test question?</t>
  </si>
  <si>
    <t>2026-03-23T16:55:47Z</t>
  </si>
  <si>
    <t>-N3HpwoSESs</t>
  </si>
  <si>
    <t>How much will the water level rise? Everyone got the wrong answer</t>
  </si>
  <si>
    <t>2026-03-20T02:21:42Z</t>
  </si>
  <si>
    <t>cbetoOAMtTw</t>
  </si>
  <si>
    <t>Can You Solve The Red Stripe Puzzle?</t>
  </si>
  <si>
    <t>2026-03-15T20:39:07Z</t>
  </si>
  <si>
    <t>sPW3TcoH278</t>
  </si>
  <si>
    <t>Missing Area In Rectangle</t>
  </si>
  <si>
    <t>2026-03-06T20:06:25Z</t>
  </si>
  <si>
    <t>yZyeBcCEqxk</t>
  </si>
  <si>
    <t>What's the answer to this popular puzzle?</t>
  </si>
  <si>
    <t>2026-02-28T18:28:40Z</t>
  </si>
  <si>
    <t>o7SaAdAyUU0</t>
  </si>
  <si>
    <t>Only 1% Can Solve This Math Problem</t>
  </si>
  <si>
    <t>2026-02-27T02:49:41Z</t>
  </si>
  <si>
    <t>C8Fe5_IyEWo</t>
  </si>
  <si>
    <t>Can You Solve The Milk And Coffee Mixing Puzzle? Feat. @pinkpencilmath</t>
  </si>
  <si>
    <t>2026-02-24T20:01:17Z</t>
  </si>
  <si>
    <t>7tfKMzwpsxg</t>
  </si>
  <si>
    <t>What's The Length Of The Ruler? Seemingly Simple Homework Baffles Adults</t>
  </si>
  <si>
    <t>2026-02-19T04:18:39Z</t>
  </si>
  <si>
    <t>D-LWahI7spo</t>
  </si>
  <si>
    <t>Can You Solve This Romanian Olympiad Problem?</t>
  </si>
  <si>
    <t>2026-02-18T21:12:12Z</t>
  </si>
  <si>
    <t>YT0V8w6G3_4</t>
  </si>
  <si>
    <t>The smart way to count rectangles</t>
  </si>
  <si>
    <t>2026-02-16T22:29:41Z</t>
  </si>
  <si>
    <t>6A7OuSjpDKY</t>
  </si>
  <si>
    <t>Dunkin' Donuts just shared a classic math problem. Winner gets 1 year free coffee</t>
  </si>
  <si>
    <t>2026-02-13T21:50:16Z</t>
  </si>
  <si>
    <t>F_mWllUK8Wk</t>
  </si>
  <si>
    <t>Can You Solve The Marriage Logic Puzzle? 80% Get It Wrong</t>
  </si>
  <si>
    <t>2026-02-02T22:14:03Z</t>
  </si>
  <si>
    <t>OjjFD2DhMLQ</t>
  </si>
  <si>
    <t>Can You Solve Google's 2 Hourglass Interview Question?</t>
  </si>
  <si>
    <t>2026-01-23T21:09:56Z</t>
  </si>
  <si>
    <t>YNxtkBAQfaE</t>
  </si>
  <si>
    <t>Only 1% Can Solve For The Area. High IQ Test Puzzle</t>
  </si>
  <si>
    <t>2026-01-17T20:10:54Z</t>
  </si>
  <si>
    <t>KB8Fu4-sZnY</t>
  </si>
  <si>
    <t>Fun problem from China's hardest test</t>
  </si>
  <si>
    <t>2026-01-11T22:56:22Z</t>
  </si>
  <si>
    <t>fhnBnpSzlx4</t>
  </si>
  <si>
    <t>Homework from Japan goes viral after mother struggles to solve it</t>
  </si>
  <si>
    <t>2026-01-06T21:34:11Z</t>
  </si>
  <si>
    <t>odJjAVbeorY</t>
  </si>
  <si>
    <t>Nice challenge from Korea's hardest test</t>
  </si>
  <si>
    <t>2026-01-03T19:54:44Z</t>
  </si>
  <si>
    <t>JSE4oy0KQ2Q</t>
  </si>
  <si>
    <t>Why The Probability Really Is 51.8%</t>
  </si>
  <si>
    <t>2025-12-25T23:35:51Z</t>
  </si>
  <si>
    <t>lS7y1SjU64o</t>
  </si>
  <si>
    <t>Math Just Got Important</t>
  </si>
  <si>
    <t>2025-12-17T19:21:21Z</t>
  </si>
  <si>
    <t>8opamk3_ctY</t>
  </si>
  <si>
    <t>Primary School Homework Baffles Adults, Causing Worldwide Controversy</t>
  </si>
  <si>
    <t>2025-12-05T22:21:25Z</t>
  </si>
  <si>
    <t>DstlphyqyNw</t>
  </si>
  <si>
    <t>6 Impossible Puzzles With Satisfying Solutions</t>
  </si>
  <si>
    <t>2025-12-01T22:56:05Z</t>
  </si>
  <si>
    <t>4ffu44WgxsU</t>
  </si>
  <si>
    <t>Can You Solve This Difficult Test Question From Brazil?</t>
  </si>
  <si>
    <t>2025-11-24T21:37:38Z</t>
  </si>
  <si>
    <t>ZgApIQwWWC8</t>
  </si>
  <si>
    <t>Fun Problem From Math Competition</t>
  </si>
  <si>
    <t>2025-11-20T18:54:13Z</t>
  </si>
  <si>
    <t>_N74FKyE29Y</t>
  </si>
  <si>
    <t>Brilliant Solution To A Chess Puzzle</t>
  </si>
  <si>
    <t>2025-11-14T18:08:30Z</t>
  </si>
  <si>
    <t>wCEaxehSAyQ</t>
  </si>
  <si>
    <t>But There's A Trick To Cracking The Password...</t>
  </si>
  <si>
    <t>2025-11-10T00:03:34Z</t>
  </si>
  <si>
    <t>IL0NKa0EDZk</t>
  </si>
  <si>
    <t>The Mathematical Reason Your Passcode Should Repeat A Digit</t>
  </si>
  <si>
    <t>2025-11-03T20:21:29Z</t>
  </si>
  <si>
    <t>dbOCMERNCD0</t>
  </si>
  <si>
    <t>Can You Find The Mistake?</t>
  </si>
  <si>
    <t>2025-10-28T01:41:47Z</t>
  </si>
  <si>
    <t>chJAVzySoyA</t>
  </si>
  <si>
    <t>99% Of People Don't Know This Secret Math Trick</t>
  </si>
  <si>
    <t>2025-10-26T17:57:09Z</t>
  </si>
  <si>
    <t>FV0cK_BToYw</t>
  </si>
  <si>
    <t>Students Stumped By Exam Question. Who Ate The Cookies?</t>
  </si>
  <si>
    <t>2025-10-22T20:32:29Z</t>
  </si>
  <si>
    <t>6evC4klO_lI</t>
  </si>
  <si>
    <t>How to Calculate the Square Root of Any Number, Digit by Digit Method</t>
  </si>
  <si>
    <t>2025-10-17T20:08:23Z</t>
  </si>
  <si>
    <t>V6n00KESRS8</t>
  </si>
  <si>
    <t>Can You Solve The Missing Dollar Riddle?</t>
  </si>
  <si>
    <t>2025-10-13T20:21:10Z</t>
  </si>
  <si>
    <t>SMvXYIR4XJg</t>
  </si>
  <si>
    <t>Homework today is literally impossible</t>
  </si>
  <si>
    <t>2025-10-10T18:34:45Z</t>
  </si>
  <si>
    <t>VeNyxAXzonk</t>
  </si>
  <si>
    <t>50 divided by 5 times 2 plus 10 = ? A BASIC math problem MANY get WRONG!</t>
  </si>
  <si>
    <t>2025-10-06T18:59:21Z</t>
  </si>
  <si>
    <t>ZXGSUONdq0E</t>
  </si>
  <si>
    <t>The 'Harvard' entrance exam everyone gets wrong</t>
  </si>
  <si>
    <t>2025-10-03T16:54:05Z</t>
  </si>
  <si>
    <t>Vm5ZkcQ5vRI</t>
  </si>
  <si>
    <t>No calculator interview riddle. Can you figure out which number is larger???</t>
  </si>
  <si>
    <t>2025-09-29T18:20:50Z</t>
  </si>
  <si>
    <t>_aeGv-_KgaQ</t>
  </si>
  <si>
    <t>90% Of Students Didn't Solve This</t>
  </si>
  <si>
    <t>2025-09-22T20:26:25Z</t>
  </si>
  <si>
    <t>-Lyckq_8FQ0</t>
  </si>
  <si>
    <t>A golden answer</t>
  </si>
  <si>
    <t>2025-09-20T22:59:50Z</t>
  </si>
  <si>
    <t>xE1cDs85EcA</t>
  </si>
  <si>
    <t>99% of Students Can't Solve This</t>
  </si>
  <si>
    <t>2025-09-19T17:44:06Z</t>
  </si>
  <si>
    <t>zL4ikW3xmE8</t>
  </si>
  <si>
    <t>The correct way to pronounce Ramanujan</t>
  </si>
  <si>
    <t>2025-09-19T03:42:09Z</t>
  </si>
  <si>
    <t>d9sP2DdYSJw</t>
  </si>
  <si>
    <t>The Correct Way To Pronounce Ramanujan</t>
  </si>
  <si>
    <t>2025-09-18T18:37:16Z</t>
  </si>
  <si>
    <t>bGPKA9tb2CU</t>
  </si>
  <si>
    <t>The Radical Brain Teaser That Stumped Everyone, And Changed Math Forever</t>
  </si>
  <si>
    <t>2025-09-14T21:39:02Z</t>
  </si>
  <si>
    <t>ut_Fw86OCNs</t>
  </si>
  <si>
    <t>4 Triangles In A Rectangle Puzzle</t>
  </si>
  <si>
    <t>2025-09-11T21:24:05Z</t>
  </si>
  <si>
    <t>X1B4Yl_vS0s</t>
  </si>
  <si>
    <t>Can You Solve This Investment Bank Interview Puzzle?</t>
  </si>
  <si>
    <t>2025-09-08T20:59:51Z</t>
  </si>
  <si>
    <t>OujeSLt2q5s</t>
  </si>
  <si>
    <t>Actual Oxford Entrance Question</t>
  </si>
  <si>
    <t>2025-09-02T20:46:17Z</t>
  </si>
  <si>
    <t>vO6Npfj0dmg</t>
  </si>
  <si>
    <t>6 Challenging Problems From The 1 Percent Club</t>
  </si>
  <si>
    <t>2025-08-30T20:11:04Z</t>
  </si>
  <si>
    <t>osV9U0ikf8M</t>
  </si>
  <si>
    <t>Can you solve this equation? Viral puzzle you should be able to solve this</t>
  </si>
  <si>
    <t>2025-08-28T21:47:08Z</t>
  </si>
  <si>
    <t>vGijimFqyqI</t>
  </si>
  <si>
    <t>The Dice Game You Can Surprisingly Always Win</t>
  </si>
  <si>
    <t>2025-08-27T21:23:43Z</t>
  </si>
  <si>
    <t>D-EJng071E0</t>
  </si>
  <si>
    <t>6 Puzzles To Test Your Calculation Skills</t>
  </si>
  <si>
    <t>2025-08-23T21:15:46Z</t>
  </si>
  <si>
    <t>BUmk_h4nl8M</t>
  </si>
  <si>
    <t>US College Students Baffled By Simple Question. Can You Solve It?</t>
  </si>
  <si>
    <t>2025-08-20T19:56:23Z</t>
  </si>
  <si>
    <t>jwET5NvdQyM</t>
  </si>
  <si>
    <t>6 Puzzles To Test Your Brain Power</t>
  </si>
  <si>
    <t>2025-08-18T00:19:32Z</t>
  </si>
  <si>
    <t>6XoMlQ4Tybo</t>
  </si>
  <si>
    <t>Why The Teacher Is 100% Correct</t>
  </si>
  <si>
    <t>2025-08-14T18:18:35Z</t>
  </si>
  <si>
    <t>qb1SQ4yC6g8</t>
  </si>
  <si>
    <t>6 Impossible Puzzles With Surprising Solutions</t>
  </si>
  <si>
    <t>2025-08-10T17:17:14Z</t>
  </si>
  <si>
    <t>CmskSlStE6Y</t>
  </si>
  <si>
    <t>Russian Teacher Tricks Americans With Impossible Problem</t>
  </si>
  <si>
    <t>2025-08-04T19:49:05Z</t>
  </si>
  <si>
    <t>6DnyCvMHgDo</t>
  </si>
  <si>
    <t>You Will Be Shocked By The Teacher's Answer</t>
  </si>
  <si>
    <t>2025-07-31T20:16:59Z</t>
  </si>
  <si>
    <t>oZC5QIaelzo</t>
  </si>
  <si>
    <t>6 Mind-Bending Puzzles That Test Your Logic Skills</t>
  </si>
  <si>
    <t>2025-07-28T22:31:00Z</t>
  </si>
  <si>
    <t>WNa0wJjvcPQ</t>
  </si>
  <si>
    <t>Can You Solve It? Correct Answer Explained By Mathematician</t>
  </si>
  <si>
    <t>2025-07-24T20:50:38Z</t>
  </si>
  <si>
    <t>y5hblDF7Lgk</t>
  </si>
  <si>
    <t>Legendary Test Question That No One Could Solve</t>
  </si>
  <si>
    <t>2025-07-23T01:39:41Z</t>
  </si>
  <si>
    <t>FXr2Xt6hvUI</t>
  </si>
  <si>
    <t>Simple math problem divides the internet. Whose side are you on?</t>
  </si>
  <si>
    <t>2025-07-17T21:38:35Z</t>
  </si>
  <si>
    <t>6JEDDTJ_edQ</t>
  </si>
  <si>
    <t>Can You Solve Apple's Paths On A Grid Puzzle?</t>
  </si>
  <si>
    <t>2025-07-16T19:49:08Z</t>
  </si>
  <si>
    <t>cxfYSPR_eUU</t>
  </si>
  <si>
    <t>Actual Recruiting Puzzle £200,000 Salary Job. Can You Solve It?</t>
  </si>
  <si>
    <t>2025-07-12T19:08:40Z</t>
  </si>
  <si>
    <t>EZghIm3t-Q4</t>
  </si>
  <si>
    <t>Surprise your friends with this magical trick</t>
  </si>
  <si>
    <t>2025-07-09T20:27:20Z</t>
  </si>
  <si>
    <t>uuMMPRFQ1lA</t>
  </si>
  <si>
    <t>7 Genius Level Puzzles</t>
  </si>
  <si>
    <t>2025-07-02T15:27:02Z</t>
  </si>
  <si>
    <t>vY97oiTm50M</t>
  </si>
  <si>
    <t>Can you solve this Oxford admissions question?</t>
  </si>
  <si>
    <t>2025-06-25T18:52:55Z</t>
  </si>
  <si>
    <t>XUDkQA7cVWI</t>
  </si>
  <si>
    <t>Something strange happens when you "bump the base"</t>
  </si>
  <si>
    <t>2026-06-18T17:02:31Z</t>
  </si>
  <si>
    <t>UCSIvk78tK2TiviLQn4fSHaw</t>
  </si>
  <si>
    <t>Up and Atom</t>
  </si>
  <si>
    <t>ND9eyW5Fw0s</t>
  </si>
  <si>
    <t>Could a TRILLION Monkeys Write Shakespeare Before the Universe Ends?</t>
  </si>
  <si>
    <t>2026-04-28T22:01:25Z</t>
  </si>
  <si>
    <t>yrJA0J7jciY</t>
  </si>
  <si>
    <t>These 17 Paradoxes Will Change How You See the Universe</t>
  </si>
  <si>
    <t>2025-06-19T02:13:34Z</t>
  </si>
  <si>
    <t>Gz6qefUi3Ho</t>
  </si>
  <si>
    <t>The Infinity Problem that BROKE Mathematics (The Continuum Hypothesis)</t>
  </si>
  <si>
    <t>2025-04-09T11:12:31Z</t>
  </si>
  <si>
    <t>tXLoBs0ipsI</t>
  </si>
  <si>
    <t>It took 20 years, but we finally found it</t>
  </si>
  <si>
    <t>2025-03-14T09:47:18Z</t>
  </si>
  <si>
    <t>pQWFSj1CXeg</t>
  </si>
  <si>
    <t>Amateurs Just Solved a 30-Year-Old Math Problem</t>
  </si>
  <si>
    <t>2025-02-05T12:02:31Z</t>
  </si>
  <si>
    <t>EjZB81jCGj4</t>
  </si>
  <si>
    <t>The Dome Paradox: A Loophole in Newton's Laws</t>
  </si>
  <si>
    <t>2024-12-26T10:30:46Z</t>
  </si>
  <si>
    <t>XbIWmVXZOfE</t>
  </si>
  <si>
    <t>Something weird happens at 770°C</t>
  </si>
  <si>
    <t>2024-11-15T10:18:35Z</t>
  </si>
  <si>
    <t>F3QHUvr8d8I</t>
  </si>
  <si>
    <t>Maxwell's Equations - The Ultimate Beginner's Guide</t>
  </si>
  <si>
    <t>2024-10-21T13:00:15Z</t>
  </si>
  <si>
    <t>xqDmTBa3nr4</t>
  </si>
  <si>
    <t>The Bizarre Shape Of The Universe</t>
  </si>
  <si>
    <t>2024-09-30T15:04:56Z</t>
  </si>
  <si>
    <t>l2wnqlcOL9A</t>
  </si>
  <si>
    <t>The REAL Three Body Problem in Physics</t>
  </si>
  <si>
    <t>2024-07-15T11:02:35Z</t>
  </si>
  <si>
    <t>8YMGb5_CSIk</t>
  </si>
  <si>
    <t>You Won’t Believe How These Shapes Roll! New Discovery in Math</t>
  </si>
  <si>
    <t>2024-02-29T12:11:40Z</t>
  </si>
  <si>
    <t>fvM8ow6zNw4</t>
  </si>
  <si>
    <t>The Mathematically Correct Way to Cut a Cake</t>
  </si>
  <si>
    <t>2024-01-11T11:55:43Z</t>
  </si>
  <si>
    <t>A5RxUW7VC-A</t>
  </si>
  <si>
    <t>World's Largest Nuclear Fusion Reactor!</t>
  </si>
  <si>
    <t>2023-11-21T12:57:52Z</t>
  </si>
  <si>
    <t>9eIIQoCoxFg</t>
  </si>
  <si>
    <t>Spaghetti snaps weird</t>
  </si>
  <si>
    <t>2023-10-25T23:45:22Z</t>
  </si>
  <si>
    <t>Cm1tBF4h8nQ</t>
  </si>
  <si>
    <t>Can you decode this ALIEN MESSAGE?</t>
  </si>
  <si>
    <t>2023-10-13T11:54:38Z</t>
  </si>
  <si>
    <t>d9wFmZl_-Nc</t>
  </si>
  <si>
    <t>Discovery about the Möbius strip!</t>
  </si>
  <si>
    <t>2023-09-27T05:52:36Z</t>
  </si>
  <si>
    <t>uctpdCexlns</t>
  </si>
  <si>
    <t>GIANT GRAVITY HOLE in Indian Ocean</t>
  </si>
  <si>
    <t>2023-09-07T23:40:26Z</t>
  </si>
  <si>
    <t>A1BhOVW8qZU</t>
  </si>
  <si>
    <t>How a Hobbyist Solved a 50-Year-Old Math Problem (Einstein Tile)</t>
  </si>
  <si>
    <t>2023-09-03T20:15:40Z</t>
  </si>
  <si>
    <t>ok0m__oCSfs</t>
  </si>
  <si>
    <t>Discovery in Mathematics! Trajectoids</t>
  </si>
  <si>
    <t>2023-08-16T14:11:15Z</t>
  </si>
  <si>
    <t>c6gpq9nKogo</t>
  </si>
  <si>
    <t>Zero knowledge proofs</t>
  </si>
  <si>
    <t>2023-08-11T12:08:31Z</t>
  </si>
  <si>
    <t>W7lQdQw3daQ</t>
  </si>
  <si>
    <t>Mathematically correct way to cut cake</t>
  </si>
  <si>
    <t>2023-08-08T07:49:36Z</t>
  </si>
  <si>
    <t>10rA45pb7dk</t>
  </si>
  <si>
    <t>You Can't Measure Time</t>
  </si>
  <si>
    <t>2023-07-30T15:20:06Z</t>
  </si>
  <si>
    <t>0uZ0w_w2DFw</t>
  </si>
  <si>
    <t>AI plays hide and seek</t>
  </si>
  <si>
    <t>2023-06-25T17:35:07Z</t>
  </si>
  <si>
    <t>sG0obNcgNJM</t>
  </si>
  <si>
    <t>The Impossible Problem NO ONE Can Solve (The Halting Problem)</t>
  </si>
  <si>
    <t>2023-06-21T16:06:44Z</t>
  </si>
  <si>
    <t>bUNl_jJMTOw</t>
  </si>
  <si>
    <t>What's The Largest Sofa That Can Fit Around a Corner?</t>
  </si>
  <si>
    <t>2023-05-25T12:04:57Z</t>
  </si>
  <si>
    <t>7__YYI_0uqs</t>
  </si>
  <si>
    <t>Biggest Schrödinger’s cat experiment ever</t>
  </si>
  <si>
    <t>2023-05-20T06:36:08Z</t>
  </si>
  <si>
    <t>L4WSKf6NZrc</t>
  </si>
  <si>
    <t>First non repeating pattern ever - Wang tiles</t>
  </si>
  <si>
    <t>2023-05-14T03:01:04Z</t>
  </si>
  <si>
    <t>g0RVj2mbs5g</t>
  </si>
  <si>
    <t>Richard’s paradox</t>
  </si>
  <si>
    <t>2023-05-08T02:23:45Z</t>
  </si>
  <si>
    <t>Faonk4RxRnA</t>
  </si>
  <si>
    <t>How to make an einstein tile</t>
  </si>
  <si>
    <t>2023-05-06T05:51:37Z</t>
  </si>
  <si>
    <t>9y446jqrzHg</t>
  </si>
  <si>
    <t>Breakthrough in physics! Quantum energy teleportation</t>
  </si>
  <si>
    <t>2023-05-04T08:01:51Z</t>
  </si>
  <si>
    <t>FcHGLyrKPyE</t>
  </si>
  <si>
    <t>Breakthrough in mathematics! The einstein tile</t>
  </si>
  <si>
    <t>2023-05-02T04:46:53Z</t>
  </si>
  <si>
    <t>ctwX--JEzSA</t>
  </si>
  <si>
    <t>NP-COMPLETENESS, a conceptual understanding</t>
  </si>
  <si>
    <t>2023-03-31T13:14:49Z</t>
  </si>
  <si>
    <t>0fiosUv1xcs</t>
  </si>
  <si>
    <t>Q&amp;A with Jade! My struggles with physics, how I got started on YouTube, my insecurities, and more!</t>
  </si>
  <si>
    <t>2023-02-26T09:22:35Z</t>
  </si>
  <si>
    <t>v4bSYiByMtI</t>
  </si>
  <si>
    <t>The two envelopes paradox (part 2)</t>
  </si>
  <si>
    <t>2023-02-20T06:01:51Z</t>
  </si>
  <si>
    <t>428LQVKEp5Q</t>
  </si>
  <si>
    <t>The two envelopes paradox (part 1)</t>
  </si>
  <si>
    <t>2023-02-20T06:01:21Z</t>
  </si>
  <si>
    <t>8REMx4J9ue8</t>
  </si>
  <si>
    <t>Paradox of the drunken man</t>
  </si>
  <si>
    <t>2023-02-04T04:26:45Z</t>
  </si>
  <si>
    <t>tiPdN0wtN0M</t>
  </si>
  <si>
    <t>Simple Principle Solves Seemingly IMPOSSIBLE Math Problems</t>
  </si>
  <si>
    <t>2023-01-22T11:29:58Z</t>
  </si>
  <si>
    <t>ndmwB8F2kxA</t>
  </si>
  <si>
    <t>Why the number 0 was banned for 1500 years</t>
  </si>
  <si>
    <t>2022-11-24T08:28:49Z</t>
  </si>
  <si>
    <t>AwbZaTjXo-s</t>
  </si>
  <si>
    <t>The 379 page proof that 1+1=2</t>
  </si>
  <si>
    <t>2022-10-20T11:27:09Z</t>
  </si>
  <si>
    <t>LSaSG4n3T6o</t>
  </si>
  <si>
    <t>What COVID Revealed About Science</t>
  </si>
  <si>
    <t>2022-08-31T15:24:15Z</t>
  </si>
  <si>
    <t>XA_0OMJjkxQ</t>
  </si>
  <si>
    <t>The Gambler's Fallacy is Really Odd</t>
  </si>
  <si>
    <t>2022-08-24T17:28:47Z</t>
  </si>
  <si>
    <t>M2ZM5tuhFWs</t>
  </si>
  <si>
    <t>How do you know that you know what you know?</t>
  </si>
  <si>
    <t>2022-08-04T13:24:56Z</t>
  </si>
  <si>
    <t>XY-mbr-aAZE</t>
  </si>
  <si>
    <t>Pure Information Gives Off Heat</t>
  </si>
  <si>
    <t>2022-07-29T16:36:21Z</t>
  </si>
  <si>
    <t>mgXSevZmjPc</t>
  </si>
  <si>
    <t>The Fourier Series and Fourier Transform Demystified</t>
  </si>
  <si>
    <t>2022-06-30T12:36:26Z</t>
  </si>
  <si>
    <t>V5uVKZn3F_4</t>
  </si>
  <si>
    <t>Zero Knowledge Proofs</t>
  </si>
  <si>
    <t>2022-03-30T11:21:49Z</t>
  </si>
  <si>
    <t>zrFzSwHxiBQ</t>
  </si>
  <si>
    <t>The Time-Reversibility Paradox - Time Actually Flows Both Ways</t>
  </si>
  <si>
    <t>2022-03-11T16:40:40Z</t>
  </si>
  <si>
    <t>JUwpOWOg0fk</t>
  </si>
  <si>
    <t>This Paradox Proves Einstein's Special Relativity</t>
  </si>
  <si>
    <t>2021-12-17T11:24:30Z</t>
  </si>
  <si>
    <t>spNP7bq2NAg</t>
  </si>
  <si>
    <t>UP AND ATOM MERCHANDISE</t>
  </si>
  <si>
    <t>2021-10-21T23:14:10Z</t>
  </si>
  <si>
    <t>3WVpOXUXNXQ</t>
  </si>
  <si>
    <t>The Painter's Paradox - These Weird Objects Will Blow Your Mind</t>
  </si>
  <si>
    <t>2021-09-24T13:17:54Z</t>
  </si>
  <si>
    <t>FDXf1XxCXAk</t>
  </si>
  <si>
    <t>Berry's Paradox - An Algorithm For Truth</t>
  </si>
  <si>
    <t>2021-07-28T11:56:29Z</t>
  </si>
  <si>
    <t>hwUVOIRAiFE</t>
  </si>
  <si>
    <t>The Faint Young Sun Paradox</t>
  </si>
  <si>
    <t>2021-04-28T12:10:47Z</t>
  </si>
  <si>
    <t>34FNWQ9trY8</t>
  </si>
  <si>
    <t>An Infinity Paradox - How Many Balls Are In The Vase?</t>
  </si>
  <si>
    <t>2021-03-08T11:57:26Z</t>
  </si>
  <si>
    <t>2MCt3AxCL6I</t>
  </si>
  <si>
    <t>The Dark Sky Paradox - A Never-Ending Universe</t>
  </si>
  <si>
    <t>2021-02-05T13:00:04Z</t>
  </si>
  <si>
    <t>EbHqtENNnSY</t>
  </si>
  <si>
    <t>3 Paradoxes That Gave Us Calculus</t>
  </si>
  <si>
    <t>2020-12-10T14:23:28Z</t>
  </si>
  <si>
    <t>5jBVYvHeG2c</t>
  </si>
  <si>
    <t>Brownian Motion - The Physics of Randomness</t>
  </si>
  <si>
    <t>2020-11-02T12:50:50Z</t>
  </si>
  <si>
    <t>0wAYZcqSS60</t>
  </si>
  <si>
    <t>The Physics of Self-Replication and Nanotechnology</t>
  </si>
  <si>
    <t>2020-08-06T16:00:00Z</t>
  </si>
  <si>
    <t>mrVg9GM5h7Q</t>
  </si>
  <si>
    <t>Aristotle's Wheel Paradox - To Infinity and Beyond</t>
  </si>
  <si>
    <t>2020-06-11T15:00:17Z</t>
  </si>
  <si>
    <t>JS40jPaogM4</t>
  </si>
  <si>
    <t>Why We Might Use Different Numbers in the Future</t>
  </si>
  <si>
    <t>2020-04-18T10:55:24Z</t>
  </si>
  <si>
    <t>uKVQERi83lM</t>
  </si>
  <si>
    <t>How to Predict the Spread of Epidemics | Computational Social Networks</t>
  </si>
  <si>
    <t>2020-03-20T10:12:37Z</t>
  </si>
  <si>
    <t>BMvgOjGPXyw</t>
  </si>
  <si>
    <t>An Argument Against Reality - Why You Can't Trust Your Senses</t>
  </si>
  <si>
    <t>2020-03-16T11:31:50Z</t>
  </si>
  <si>
    <t>NW7VUFgwqg8</t>
  </si>
  <si>
    <t>Quantum Biology [Part 3] - How Birds (Might) Navigate With Quantum Mechanics</t>
  </si>
  <si>
    <t>2020-03-13T12:29:37Z</t>
  </si>
  <si>
    <t>Zc9Xk99gCr4</t>
  </si>
  <si>
    <t>Quantum Biology [Part 1] - How Plants Use Quantum Mechanics</t>
  </si>
  <si>
    <t>2020-02-17T12:00:49Z</t>
  </si>
  <si>
    <t>PLVCscCY4xI</t>
  </si>
  <si>
    <t>Turing Machines - How Computer Science Was Created By Accident</t>
  </si>
  <si>
    <t>2020-02-04T13:00:07Z</t>
  </si>
  <si>
    <t>qv7GTlbJ12o</t>
  </si>
  <si>
    <t>January Livestream</t>
  </si>
  <si>
    <t>2020-02-01T01:47:36Z</t>
  </si>
  <si>
    <t>EHp4FPyajKQ</t>
  </si>
  <si>
    <t>P vs. NP - The Biggest Unsolved Problem in Computer Science</t>
  </si>
  <si>
    <t>2020-01-21T11:36:47Z</t>
  </si>
  <si>
    <t>EmNQuK-E0kI</t>
  </si>
  <si>
    <t>What is The Quantum Wave Function, Exactly?</t>
  </si>
  <si>
    <t>2019-12-12T12:06:23Z</t>
  </si>
  <si>
    <t>wj8J44OChV8</t>
  </si>
  <si>
    <t>Can You Solve This Astronomical Riddle?</t>
  </si>
  <si>
    <t>2019-12-06T15:21:21Z</t>
  </si>
  <si>
    <t>7-JMi_2pt2Q</t>
  </si>
  <si>
    <t>Your *Personal* Guide To The MULTIVERSE🚀✨</t>
  </si>
  <si>
    <t>2019-11-21T11:50:51Z</t>
  </si>
  <si>
    <t>eF2v9oSy70I</t>
  </si>
  <si>
    <t>The Anthropic Principle - How Your Existence Could Lead to a Multiverse</t>
  </si>
  <si>
    <t>2019-10-16T14:47:26Z</t>
  </si>
  <si>
    <t>xohTALPH4e0</t>
  </si>
  <si>
    <t>The Conservation of Momentum Explained Simply</t>
  </si>
  <si>
    <t>2019-08-02T14:12:30Z</t>
  </si>
  <si>
    <t>9UfQb_-XAuY</t>
  </si>
  <si>
    <t>Boltzmann Brains - Why The Universe is Most Likely a Simulation</t>
  </si>
  <si>
    <t>2019-07-21T12:50:22Z</t>
  </si>
  <si>
    <t>hcfVRkC3Dp0</t>
  </si>
  <si>
    <t>Moravec's Paradox - Why are machines so smart, yet so dumb?</t>
  </si>
  <si>
    <t>2019-07-08T13:18:16Z</t>
  </si>
  <si>
    <t>cALezV_Fwi0</t>
  </si>
  <si>
    <t>Braess's Paradox - Equilibria Gone Wild</t>
  </si>
  <si>
    <t>2019-06-02T11:44:49Z</t>
  </si>
  <si>
    <t>kBMrG_oM5zc</t>
  </si>
  <si>
    <t>100K Subscriber LiveStream Q&amp;A</t>
  </si>
  <si>
    <t>2019-05-20T01:07:30Z</t>
  </si>
  <si>
    <t>dGVhQWxCiEU</t>
  </si>
  <si>
    <t>Up and Atom Live Stream</t>
  </si>
  <si>
    <t>2019-05-19T23:29:29Z</t>
  </si>
  <si>
    <t>Ca_sxDTPo60</t>
  </si>
  <si>
    <t>The Raven Paradox - A Hiccup in the Scientific Method</t>
  </si>
  <si>
    <t>2019-05-10T12:55:35Z</t>
  </si>
  <si>
    <t>xauCQpnbNAM</t>
  </si>
  <si>
    <t>Russell's Paradox - A Ripple in the Foundations of Mathematics</t>
  </si>
  <si>
    <t>2019-03-25T15:55:46Z</t>
  </si>
  <si>
    <t>dPxhTiiq-1A</t>
  </si>
  <si>
    <t>Lagrangian Mechanics - A beautiful way to look at the world</t>
  </si>
  <si>
    <t>2019-03-11T19:07:55Z</t>
  </si>
  <si>
    <t>Ir86hVMUAVc</t>
  </si>
  <si>
    <t>How Quantum Physics Helps Chameleons Find Love 💕</t>
  </si>
  <si>
    <t>2019-02-06T21:33:26Z</t>
  </si>
  <si>
    <t>sZrOxm5Gszk</t>
  </si>
  <si>
    <t>Imaginary Numbers Are Just Regular Numbers</t>
  </si>
  <si>
    <t>2019-01-18T13:38:30Z</t>
  </si>
  <si>
    <t>Y6jfGZXubq0</t>
  </si>
  <si>
    <t>How Will Self-Driving Cars Make Moral Decisions?</t>
  </si>
  <si>
    <t>2018-12-22T14:32:38Z</t>
  </si>
  <si>
    <t>f8nQlj7Tl4o</t>
  </si>
  <si>
    <t>How Does The Internet Work? An Epic Quest...</t>
  </si>
  <si>
    <t>2018-12-01T05:05:51Z</t>
  </si>
  <si>
    <t>_qyDBUpAGuo</t>
  </si>
  <si>
    <t>An Alternative Proof That The Real Numbers Are Uncountable</t>
  </si>
  <si>
    <t>2018-10-31T10:45:01Z</t>
  </si>
  <si>
    <t>X56zst79Xjg</t>
  </si>
  <si>
    <t>Cantor's Infinity Paradox | Set Theory</t>
  </si>
  <si>
    <t>2018-10-26T12:59:32Z</t>
  </si>
  <si>
    <t>WPZLRtyvEqo</t>
  </si>
  <si>
    <t>What is Quantum Tunneling, Exactly?</t>
  </si>
  <si>
    <t>2018-10-09T11:21:05Z</t>
  </si>
  <si>
    <t>qwt6wUUD2QI</t>
  </si>
  <si>
    <t>The Heisenberg Uncertainty Principle Explained Intuitively</t>
  </si>
  <si>
    <t>2018-09-20T18:25:11Z</t>
  </si>
  <si>
    <t>xjSjxVAbhJ8</t>
  </si>
  <si>
    <t>Can You Guess Who's Lying? 3 Logic Riddles to Train Your Problem Solving Skills</t>
  </si>
  <si>
    <t>2018-08-27T13:00:14Z</t>
  </si>
  <si>
    <t>42-ws3bkrKM</t>
  </si>
  <si>
    <t>The Four Color Theorem - What Counts as a Proof?</t>
  </si>
  <si>
    <t>2018-08-20T15:24:12Z</t>
  </si>
  <si>
    <t>VwWRX9IdblE</t>
  </si>
  <si>
    <t>Superposition of Quantum States</t>
  </si>
  <si>
    <t>2018-08-09T14:17:23Z</t>
  </si>
  <si>
    <t>t37GQgUPa6k</t>
  </si>
  <si>
    <t>The Halting Problem - An Impossible Problem to Solve</t>
  </si>
  <si>
    <t>2018-07-20T13:00:10Z</t>
  </si>
  <si>
    <t>p_4zihzPClY</t>
  </si>
  <si>
    <t>How Einstein's Special Theory of Relativity Creates Gold</t>
  </si>
  <si>
    <t>2018-07-13T13:00:06Z</t>
  </si>
  <si>
    <t>QeUMFo8sODk</t>
  </si>
  <si>
    <t>What is The Schrödinger Equation, Exactly?</t>
  </si>
  <si>
    <t>2018-07-06T13:00:01Z</t>
  </si>
  <si>
    <t>UP5hQKSU3CI</t>
  </si>
  <si>
    <t>If a tree falls in the forest and no one is there to hear it, does it make a sound?</t>
  </si>
  <si>
    <t>2018-07-01T16:04:28Z</t>
  </si>
  <si>
    <t>_PG-jJKB_do</t>
  </si>
  <si>
    <t>Intro to Information Theory | Digital Communication | Information Technology</t>
  </si>
  <si>
    <t>2018-06-28T14:00:05Z</t>
  </si>
  <si>
    <t>t-D5yoknywM</t>
  </si>
  <si>
    <t>The First Rule of Game Theory (ft. Thomas Frank)</t>
  </si>
  <si>
    <t>2018-05-17T19:14:46Z</t>
  </si>
  <si>
    <t>_kLb1glm6EM</t>
  </si>
  <si>
    <t>The Quantum Prisoner's Dilemma (ft. Physics Girl!)</t>
  </si>
  <si>
    <t>2018-03-22T11:56:12Z</t>
  </si>
  <si>
    <t>JrJNBlS6Okc</t>
  </si>
  <si>
    <t>Chaos Theory | The Butterfly Effect (ft. Jabrils)</t>
  </si>
  <si>
    <t>2018-03-06T14:00:03Z</t>
  </si>
  <si>
    <t>NLQNBfI97Ck</t>
  </si>
  <si>
    <t>What is a Singularity, Exactly?</t>
  </si>
  <si>
    <t>2018-01-26T17:00:02Z</t>
  </si>
  <si>
    <t>GRbokvmv-2M</t>
  </si>
  <si>
    <t>Stop Your Car From Getting Stolen!</t>
  </si>
  <si>
    <t>2026-07-16T13:00:34Z</t>
  </si>
  <si>
    <t>UCY1kMZp36IQSyNx_9h4mpCg</t>
  </si>
  <si>
    <t>Mark Rober</t>
  </si>
  <si>
    <t>q3nD5qD758o</t>
  </si>
  <si>
    <t>I Discovered a Lost Plane</t>
  </si>
  <si>
    <t>2026-07-10T13:00:23Z</t>
  </si>
  <si>
    <t>eMG3FWEwJnk</t>
  </si>
  <si>
    <t>How To Crush an Egg with Your Bare Hand</t>
  </si>
  <si>
    <t>2026-07-01T17:03:49Z</t>
  </si>
  <si>
    <t>--LXDh44cBQ</t>
  </si>
  <si>
    <t>3 Levels of Car Theft</t>
  </si>
  <si>
    <t>2026-06-25T13:00:18Z</t>
  </si>
  <si>
    <t>h0EGCnBjTVk</t>
  </si>
  <si>
    <t>I Outsmarted Pro Car Thieves</t>
  </si>
  <si>
    <t>2026-06-20T13:00:07Z</t>
  </si>
  <si>
    <t>L0R-Ac1XRyk</t>
  </si>
  <si>
    <t>Do YouTubers know about the Magnus Effect?</t>
  </si>
  <si>
    <t>2026-06-11T13:00:07Z</t>
  </si>
  <si>
    <t>GF_qEM_vUwo</t>
  </si>
  <si>
    <t>My $60,000,000 Experiment</t>
  </si>
  <si>
    <t>2026-05-29T16:09:45Z</t>
  </si>
  <si>
    <t>3Y7o9IgliYk</t>
  </si>
  <si>
    <t>How To Keep a Skyscraper From Falling Over</t>
  </si>
  <si>
    <t>2026-05-28T13:00:20Z</t>
  </si>
  <si>
    <t>NnvIwG0S8WE</t>
  </si>
  <si>
    <t>Tennis Ball Cannon vs Human Strength</t>
  </si>
  <si>
    <t>2026-05-14T13:00:44Z</t>
  </si>
  <si>
    <t>IEJALLQFmDs</t>
  </si>
  <si>
    <t>You’re Breathing Dinosaur Breath!</t>
  </si>
  <si>
    <t>2026-04-30T16:00:29Z</t>
  </si>
  <si>
    <t>6VCyrdMLrcY</t>
  </si>
  <si>
    <t>Engineering a $1 Cup of Lemonade #AdobePartner</t>
  </si>
  <si>
    <t>2026-04-16T16:00:10Z</t>
  </si>
  <si>
    <t>S7UM5lSgAg8</t>
  </si>
  <si>
    <t>I Engineered The Perfect First Date</t>
  </si>
  <si>
    <t>2026-04-11T13:00:44Z</t>
  </si>
  <si>
    <t>GOmQwinZKtE</t>
  </si>
  <si>
    <t>Testing Every Seat on a Log Ride</t>
  </si>
  <si>
    <t>2026-04-03T15:48:41Z</t>
  </si>
  <si>
    <t>wJMrk69WOdw</t>
  </si>
  <si>
    <t>The SECRET to Fighting Laundry Stains #TidePartner</t>
  </si>
  <si>
    <t>VZ0oIzvzkGI</t>
  </si>
  <si>
    <t>Secret To Defusing A Soda Grenade</t>
  </si>
  <si>
    <t>2026-03-06T16:00:46Z</t>
  </si>
  <si>
    <t>Xg1ro-zG7AM</t>
  </si>
  <si>
    <t>Engineers vs Junkyard RC Car Death Match</t>
  </si>
  <si>
    <t>2026-02-21T16:00:28Z</t>
  </si>
  <si>
    <t>YPOfYntrrcU</t>
  </si>
  <si>
    <t>Your fingers are actually a clock</t>
  </si>
  <si>
    <t>2026-02-20T18:33:58Z</t>
  </si>
  <si>
    <t>9BsQpGhwVAY</t>
  </si>
  <si>
    <t>pride comes before flop</t>
  </si>
  <si>
    <t>2026-02-11T19:00:04Z</t>
  </si>
  <si>
    <t>kgSHJhX6ly0</t>
  </si>
  <si>
    <t>Can You Ship A Potato Through The Mail?</t>
  </si>
  <si>
    <t>2026-02-06T17:01:15Z</t>
  </si>
  <si>
    <t>X_rh2S74UJs</t>
  </si>
  <si>
    <t>Why MRI Machines Are So Dangerous</t>
  </si>
  <si>
    <t>2026-01-23T17:00:51Z</t>
  </si>
  <si>
    <t>c4dH8MpXYH4</t>
  </si>
  <si>
    <t>Disney’s Secret for Making Ghosts REAL</t>
  </si>
  <si>
    <t>2026-01-10T16:00:56Z</t>
  </si>
  <si>
    <t>lSDoCbQsKxY</t>
  </si>
  <si>
    <t>Why The Weatherman Is Always Wrong!</t>
  </si>
  <si>
    <t>2025-12-24T18:12:40Z</t>
  </si>
  <si>
    <t>qsJgJjOG5tY</t>
  </si>
  <si>
    <t>How Close To Beat My Goalie Robot?</t>
  </si>
  <si>
    <t>2025-12-16T16:49:37Z</t>
  </si>
  <si>
    <t>lNOjw3KRsqg</t>
  </si>
  <si>
    <t>How Superglue Actually Works</t>
  </si>
  <si>
    <t>2025-12-08T21:53:15Z</t>
  </si>
  <si>
    <t>oZOCmEDROHY</t>
  </si>
  <si>
    <t>Help Me Pass Ronaldo in Subscribers!</t>
  </si>
  <si>
    <t>2025-12-05T16:02:26Z</t>
  </si>
  <si>
    <t>AGUO3YQ_Y38</t>
  </si>
  <si>
    <t>Ronaldo vs My Goalie Robot</t>
  </si>
  <si>
    <t>2025-11-28T20:31:41Z</t>
  </si>
  <si>
    <t>jjpjjcMeujM</t>
  </si>
  <si>
    <t>Ronaldo vs My Unbeatable Goalie Robot</t>
  </si>
  <si>
    <t>2025-11-28T18:10:06Z</t>
  </si>
  <si>
    <t>jfUU24gaqNg</t>
  </si>
  <si>
    <t>3 Levels of Elephant Toothpaste</t>
  </si>
  <si>
    <t>2025-11-22T17:37:17Z</t>
  </si>
  <si>
    <t>pLtHyLlLt4Y</t>
  </si>
  <si>
    <t>How to Escape Alcatraz With Basic Engineering</t>
  </si>
  <si>
    <t>2025-11-15T18:55:20Z</t>
  </si>
  <si>
    <t>PrWBvvwZ-4o</t>
  </si>
  <si>
    <t>How Do Hot Air Balloons Actually Steer?</t>
  </si>
  <si>
    <t>2025-11-14T18:01:58Z</t>
  </si>
  <si>
    <t>0XgcOz95hTs</t>
  </si>
  <si>
    <t>I Blew Up A 24 Story Building</t>
  </si>
  <si>
    <t>2025-11-01T15:00:41Z</t>
  </si>
  <si>
    <t>ZGhPz6FINWA</t>
  </si>
  <si>
    <t>YouTuber Argues With Cop…</t>
  </si>
  <si>
    <t>2025-10-31T15:30:25Z</t>
  </si>
  <si>
    <t>oSfubCtcyHo</t>
  </si>
  <si>
    <t>First Object Faster Than Sound!</t>
  </si>
  <si>
    <t>2025-10-22T15:01:33Z</t>
  </si>
  <si>
    <t>q2C1JpQi5G4</t>
  </si>
  <si>
    <t>Uncovering America's Underwater City</t>
  </si>
  <si>
    <t>2025-10-11T15:00:05Z</t>
  </si>
  <si>
    <t>mnDe3BaEBxc</t>
  </si>
  <si>
    <t>Jumping On A Moving Train… For Science!</t>
  </si>
  <si>
    <t>2025-10-09T16:06:53Z</t>
  </si>
  <si>
    <t>D1sCU41SRVU</t>
  </si>
  <si>
    <t>How Do Spider Legs Actually Work?</t>
  </si>
  <si>
    <t>2025-09-27T14:49:02Z</t>
  </si>
  <si>
    <t>3x0MQxcYqmE</t>
  </si>
  <si>
    <t>Sharpest Thing In The World!</t>
  </si>
  <si>
    <t>2025-09-19T17:00:06Z</t>
  </si>
  <si>
    <t>dmr0Q5ambKk</t>
  </si>
  <si>
    <t>Testing If You Can Breathe Underwater!</t>
  </si>
  <si>
    <t>2025-09-12T15:00:22Z</t>
  </si>
  <si>
    <t>uDVygnvQzLI</t>
  </si>
  <si>
    <t>Sumo Wrestlers vs Phone Books</t>
  </si>
  <si>
    <t>2025-09-05T16:04:21Z</t>
  </si>
  <si>
    <t>prjayUu9qMQ</t>
  </si>
  <si>
    <t>Mark Rober vs India’s Busiest Train</t>
  </si>
  <si>
    <t>2025-08-30T03:21:58Z</t>
  </si>
  <si>
    <t>mJZldCMZhyA</t>
  </si>
  <si>
    <t>Secret Street Crossing HACK</t>
  </si>
  <si>
    <t>2025-08-18T16:05:24Z</t>
  </si>
  <si>
    <t>i41gbn5zmqc</t>
  </si>
  <si>
    <t>World’s Strongest Magnet!</t>
  </si>
  <si>
    <t>2025-08-08T16:01:24Z</t>
  </si>
  <si>
    <t>KRhofr57Na8</t>
  </si>
  <si>
    <t>Can You Safely Drink Your Own Pee?</t>
  </si>
  <si>
    <t>2025-08-01T16:01:49Z</t>
  </si>
  <si>
    <t>1IotjpIZvAg</t>
  </si>
  <si>
    <t>How Record Players Actually Work!</t>
  </si>
  <si>
    <t>2025-07-31T16:00:03Z</t>
  </si>
  <si>
    <t>v1FNHkt0ISk</t>
  </si>
  <si>
    <t>Show Us Your Best Jugaad! w/@MRINDIANHACKER</t>
  </si>
  <si>
    <t>2025-07-28T09:45:25Z</t>
  </si>
  <si>
    <t>RkX6iRhYOEM</t>
  </si>
  <si>
    <t>4 Levels of Rocket Swings</t>
  </si>
  <si>
    <t>2025-07-11T16:00:09Z</t>
  </si>
  <si>
    <t>eW8ZNkuLhZw</t>
  </si>
  <si>
    <t>How To Fool Your Brain!</t>
  </si>
  <si>
    <t>2025-06-27T15:30:20Z</t>
  </si>
  <si>
    <t>9IiYOTzJ2uw</t>
  </si>
  <si>
    <t>I Built a Roller Coaster In My Lab</t>
  </si>
  <si>
    <t>2025-06-21T15:01:11Z</t>
  </si>
  <si>
    <t>paHr1oLaqJ4</t>
  </si>
  <si>
    <t>Human vs World’s Largest Water Gun</t>
  </si>
  <si>
    <t>2025-06-20T16:59:38Z</t>
  </si>
  <si>
    <t>aL6P0ChwcHg</t>
  </si>
  <si>
    <t>Mark Rober vs LEGO Floor #LEGOWorldPlayDay</t>
  </si>
  <si>
    <t>2025-06-11T16:31:10Z</t>
  </si>
  <si>
    <t>iQJfOkDUvJM</t>
  </si>
  <si>
    <t>Bowling Ball vs LEGO® Wall</t>
  </si>
  <si>
    <t>2025-06-05T16:35:01Z</t>
  </si>
  <si>
    <t>1QAmBamacU4</t>
  </si>
  <si>
    <t>$5M Selfie From Space</t>
  </si>
  <si>
    <t>2025-06-03T01:39:07Z</t>
  </si>
  <si>
    <t>qr1AvisQcV8</t>
  </si>
  <si>
    <t>I Spent $5,000,000 So You Can Go To Space For FREE</t>
  </si>
  <si>
    <t>2025-05-24T16:24:24Z</t>
  </si>
  <si>
    <t>tt_l_-5_8WU</t>
  </si>
  <si>
    <t>Mark Rober vs GOAT of Cricket</t>
  </si>
  <si>
    <t>2025-05-23T21:54:41Z</t>
  </si>
  <si>
    <t>RYeNu159Sgc</t>
  </si>
  <si>
    <t>Metronome Synchronization Is Like Magic</t>
  </si>
  <si>
    <t>2025-05-15T16:30:17Z</t>
  </si>
  <si>
    <t>pzRH6JbphrI</t>
  </si>
  <si>
    <t>Why Do Football Players Wear Black Eye Paint?</t>
  </si>
  <si>
    <t>2025-05-08T16:18:15Z</t>
  </si>
  <si>
    <t>EfSw0_OxCGY</t>
  </si>
  <si>
    <t>How to Escape a Police Sniffing Dog</t>
  </si>
  <si>
    <t>2025-05-01T18:12:29Z</t>
  </si>
  <si>
    <t>PtIChOU86Xs</t>
  </si>
  <si>
    <t>These Clouds Aren't What You Think... Now You Know Thanks To @Google</t>
  </si>
  <si>
    <t>2025-04-26T15:00:38Z</t>
  </si>
  <si>
    <t>0rVF_cl9trE</t>
  </si>
  <si>
    <t>9 different density layers</t>
  </si>
  <si>
    <t>2025-04-17T16:22:02Z</t>
  </si>
  <si>
    <t>g6tlNyr5sl8</t>
  </si>
  <si>
    <t>Testing What Happens If You Jump On A Moving Train</t>
  </si>
  <si>
    <t>2025-04-12T15:00:28Z</t>
  </si>
  <si>
    <t>SUnNPS3rBXk</t>
  </si>
  <si>
    <t>Are Bananas Actually Slippery?</t>
  </si>
  <si>
    <t>2025-04-10T16:03:39Z</t>
  </si>
  <si>
    <t>f7hHtuS7ygY</t>
  </si>
  <si>
    <t>Why can you see the moon during the day?</t>
  </si>
  <si>
    <t>2025-04-03T15:30:20Z</t>
  </si>
  <si>
    <t>qyIzUOVG840</t>
  </si>
  <si>
    <t>Instantly Freezing Water!</t>
  </si>
  <si>
    <t>2025-03-28T16:01:08Z</t>
  </si>
  <si>
    <t>U1MigIJXJx8</t>
  </si>
  <si>
    <t>Tesla vs Fake Wall</t>
  </si>
  <si>
    <t>2025-03-16T18:41:04Z</t>
  </si>
  <si>
    <t>IQJL3htsDyQ</t>
  </si>
  <si>
    <t>Can You Fool A Self Driving Car?</t>
  </si>
  <si>
    <t>2025-03-15T15:00:28Z</t>
  </si>
  <si>
    <t>sLy-x38ILZE</t>
  </si>
  <si>
    <t>Why do some sounds hurt so much?!</t>
  </si>
  <si>
    <t>2025-03-06T17:03:24Z</t>
  </si>
  <si>
    <t>p7f8oR5ELwk</t>
  </si>
  <si>
    <t>Hidden message on Mars</t>
  </si>
  <si>
    <t>2025-03-02T16:05:40Z</t>
  </si>
  <si>
    <t>xuKigD8_0qM</t>
  </si>
  <si>
    <t>You’ve never seen a wheelchair like this…</t>
  </si>
  <si>
    <t>2025-02-20T17:22:54Z</t>
  </si>
  <si>
    <t>qgZReY9jnj4</t>
  </si>
  <si>
    <t>This Robot Is Impossible To Beat!</t>
  </si>
  <si>
    <t>2025-02-13T16:09:53Z</t>
  </si>
  <si>
    <t>3jfjdGwontY</t>
  </si>
  <si>
    <t>The HARDEST Object In Your House...</t>
  </si>
  <si>
    <t>2025-02-06T16:00:09Z</t>
  </si>
  <si>
    <t>qRJOojiBi-s</t>
  </si>
  <si>
    <t>Turning An Egg Into A Bouncy Ball</t>
  </si>
  <si>
    <t>2025-01-30T16:22:44Z</t>
  </si>
  <si>
    <t>6zU2rLYHLhw</t>
  </si>
  <si>
    <t>The Fastest Way To Make A Salad!</t>
  </si>
  <si>
    <t>2025-01-23T16:08:11Z</t>
  </si>
  <si>
    <t>tFQ5wjQ-1o0</t>
  </si>
  <si>
    <t>How To Lure A Gorilla With Your Phone</t>
  </si>
  <si>
    <t>2025-01-16T21:52:59Z</t>
  </si>
  <si>
    <t>0OehwWCaKX8</t>
  </si>
  <si>
    <t>Surfing on 3.5 Million BBs!</t>
  </si>
  <si>
    <t>2025-01-03T16:00:01Z</t>
  </si>
  <si>
    <t>MUIpkjDoVEE</t>
  </si>
  <si>
    <t>Raw Egg vs Hard Boiled Egg Test</t>
  </si>
  <si>
    <t>2024-12-28T16:26:38Z</t>
  </si>
  <si>
    <t>y_cZWgZB_m8</t>
  </si>
  <si>
    <t>Help Me Pass Taylor Swift in Subscribers!</t>
  </si>
  <si>
    <t>2024-12-20T17:16:49Z</t>
  </si>
  <si>
    <t>8ELpYt36yPM</t>
  </si>
  <si>
    <t>Coin Flips Aren't Actually 50-50</t>
  </si>
  <si>
    <t>2024-12-16T23:11:31Z</t>
  </si>
  <si>
    <t>Evie7TV-E8s</t>
  </si>
  <si>
    <t>Why do Tightrope Walkers Hold Long Poles?</t>
  </si>
  <si>
    <t>2024-12-12T17:00:15Z</t>
  </si>
  <si>
    <t>tpg3VvoIVfA</t>
  </si>
  <si>
    <t>Testing The World's Smartest Crow</t>
  </si>
  <si>
    <t>2024-12-07T16:00:36Z</t>
  </si>
  <si>
    <t>3Y2mE1Oph6A</t>
  </si>
  <si>
    <t>This Is The Worlds Stretchiest Cheese!</t>
  </si>
  <si>
    <t>2024-12-06T01:29:27Z</t>
  </si>
  <si>
    <t>vMbpI1GMJQs</t>
  </si>
  <si>
    <t>How to Take a Selfie From Space!</t>
  </si>
  <si>
    <t>2024-12-02T22:15:00Z</t>
  </si>
  <si>
    <t>6KcV1C1Ui5s</t>
  </si>
  <si>
    <t>I Tried Building My Own Space Satellite</t>
  </si>
  <si>
    <t>2024-11-29T16:00:55Z</t>
  </si>
  <si>
    <t>KIlYZivq_H4</t>
  </si>
  <si>
    <t>This Slinky Can Walk Forever!</t>
  </si>
  <si>
    <t>2024-11-28T17:03:44Z</t>
  </si>
  <si>
    <t>HzCR-8ZZ7Kk</t>
  </si>
  <si>
    <t>Freezing Water In Mid Air!</t>
  </si>
  <si>
    <t>2024-11-21T23:04:16Z</t>
  </si>
  <si>
    <t>h5Zwg3Ag-bE</t>
  </si>
  <si>
    <t>Lasers vs Lightning- Which Is More Powerful?</t>
  </si>
  <si>
    <t>2024-11-16T16:05:49Z</t>
  </si>
  <si>
    <t>mRmpAOCv06w</t>
  </si>
  <si>
    <t>Subscribe To Win a Brand New Truck!</t>
  </si>
  <si>
    <t>2024-11-13T18:34:12Z</t>
  </si>
  <si>
    <t>Twn_4AW0M6U</t>
  </si>
  <si>
    <t>My Rock, Paper, Scissors Robot Never Loses (+9 Other Inventions)</t>
  </si>
  <si>
    <t>2024-11-02T15:00:37Z</t>
  </si>
  <si>
    <t>vqjc5M0le_s</t>
  </si>
  <si>
    <t>The REAL Truth Behind the DVD Logo</t>
  </si>
  <si>
    <t>2024-10-17T21:42:59Z</t>
  </si>
  <si>
    <t>X1rkdQGxI-I</t>
  </si>
  <si>
    <t>Flipping Robot vs Heavier And Heavier Objects</t>
  </si>
  <si>
    <t>2024-10-11T01:13:42Z</t>
  </si>
  <si>
    <t>fxD5-fcLJ2k</t>
  </si>
  <si>
    <t>Can You Turn On a TV With a Lighter?</t>
  </si>
  <si>
    <t>2024-10-03T18:53:23Z</t>
  </si>
  <si>
    <t>DsZe6TCH3A4</t>
  </si>
  <si>
    <t>Turtles or Snakes- Which Do Cars Swerve to Hit More?</t>
  </si>
  <si>
    <t>2024-09-27T15:18:43Z</t>
  </si>
  <si>
    <t>fr49XGgewao</t>
  </si>
  <si>
    <t>What happens if you don't use Airplane mode?</t>
  </si>
  <si>
    <t>2024-09-19T15:07:57Z</t>
  </si>
  <si>
    <t>-szPVwMomuY</t>
  </si>
  <si>
    <t>This Goalie Cheated With His Water Bottle</t>
  </si>
  <si>
    <t>2024-09-12T15:04:24Z</t>
  </si>
  <si>
    <t>P4gNS0Iiu0Q</t>
  </si>
  <si>
    <t>Mark Rober vs Dude Perfect- Ultimate Robot Battle</t>
  </si>
  <si>
    <t>2024-09-07T18:01:46Z</t>
  </si>
  <si>
    <t>apSq3ZC3Sc8</t>
  </si>
  <si>
    <t>How much pee is in a pool?</t>
  </si>
  <si>
    <t>2024-09-05T15:11:42Z</t>
  </si>
  <si>
    <t>P6xdUwr1l3M</t>
  </si>
  <si>
    <t>World's First Auto-Celebration Football</t>
  </si>
  <si>
    <t>2024-08-29T15:00:28Z</t>
  </si>
  <si>
    <t>9P_v2Va-3k8</t>
  </si>
  <si>
    <t>Backup Camera Scare Prank w/ Jimmy Kimmel</t>
  </si>
  <si>
    <t>2024-08-15T19:58:36Z</t>
  </si>
  <si>
    <t>1EyN9_QO4_A</t>
  </si>
  <si>
    <t>The Arm Spin That Stops a Fall</t>
  </si>
  <si>
    <t>2026-07-09T14:46:20Z</t>
  </si>
  <si>
    <t>UCEIwxahdLz7bap-VDs9h35A</t>
  </si>
  <si>
    <t>Steve Mould</t>
  </si>
  <si>
    <t>rm9pUwgf9SE</t>
  </si>
  <si>
    <t>Why clouds and foam are white</t>
  </si>
  <si>
    <t>2026-07-03T19:00:34Z</t>
  </si>
  <si>
    <t>biCFghI9uKU</t>
  </si>
  <si>
    <t>The disappearing ink that isn’t ink</t>
  </si>
  <si>
    <t>2026-06-26T11:00:20Z</t>
  </si>
  <si>
    <t>EP1mYq8hLIY</t>
  </si>
  <si>
    <t>The Anti Trampoline Effect</t>
  </si>
  <si>
    <t>2026-06-25T15:30:19Z</t>
  </si>
  <si>
    <t>4cUX0jJC3HY</t>
  </si>
  <si>
    <t>What chilli is actually doing to you...</t>
  </si>
  <si>
    <t>2026-06-19T11:30:12Z</t>
  </si>
  <si>
    <t>CsEV7ryCJ9A</t>
  </si>
  <si>
    <t>This structure feels impossible to move</t>
  </si>
  <si>
    <t>2026-06-12T19:00:00Z</t>
  </si>
  <si>
    <t>2yiRyAipXe8</t>
  </si>
  <si>
    <t>This zipper is really weird...</t>
  </si>
  <si>
    <t>2026-06-08T18:10:29Z</t>
  </si>
  <si>
    <t>WWPVRMQJF_k</t>
  </si>
  <si>
    <t>Why doesn’t the ball stay inside?</t>
  </si>
  <si>
    <t>2026-06-05T19:00:05Z</t>
  </si>
  <si>
    <t>XCh5XhfEg0U</t>
  </si>
  <si>
    <t>This Stone is Flexible?</t>
  </si>
  <si>
    <t>2026-06-04T16:44:32Z</t>
  </si>
  <si>
    <t>IFqI11SIGXo</t>
  </si>
  <si>
    <t>Steel Absorbs Gas Like a Sponge</t>
  </si>
  <si>
    <t>2026-05-31T19:56:12Z</t>
  </si>
  <si>
    <t>af86iJXVds0</t>
  </si>
  <si>
    <t>Why won’t this ball go under the table?</t>
  </si>
  <si>
    <t>2026-05-29T11:30:02Z</t>
  </si>
  <si>
    <t>eJQg5e85yCI</t>
  </si>
  <si>
    <t>This image changes when you flip it</t>
  </si>
  <si>
    <t>2026-05-22T19:00:23Z</t>
  </si>
  <si>
    <t>xeW-1Xa3xF8</t>
  </si>
  <si>
    <t>Why are some rocks dumbbell shaped?</t>
  </si>
  <si>
    <t>2026-05-20T19:04:05Z</t>
  </si>
  <si>
    <t>QfWlJHNXy10</t>
  </si>
  <si>
    <t>Optic Fibres Are Weird...</t>
  </si>
  <si>
    <t>2026-05-15T18:40:29Z</t>
  </si>
  <si>
    <t>1ICzp9TXFBw</t>
  </si>
  <si>
    <t>What AI actually does with your prompt</t>
  </si>
  <si>
    <t>2026-05-15T11:30:01Z</t>
  </si>
  <si>
    <t>tp69sZPXexQ</t>
  </si>
  <si>
    <t>This image started as pure noise</t>
  </si>
  <si>
    <t>2026-05-08T19:00:53Z</t>
  </si>
  <si>
    <t>sHJpFbV2SRU</t>
  </si>
  <si>
    <t>Turning a rainbow back into white light</t>
  </si>
  <si>
    <t>2026-05-01T11:30:51Z</t>
  </si>
  <si>
    <t>-DyrBDsKA5s</t>
  </si>
  <si>
    <t>You've Never Seen a Real Photo</t>
  </si>
  <si>
    <t>2026-04-30T22:00:33Z</t>
  </si>
  <si>
    <t>BViIGAg-eVI</t>
  </si>
  <si>
    <t>A New Type of Levitation</t>
  </si>
  <si>
    <t>2026-04-20T20:18:27Z</t>
  </si>
  <si>
    <t>B_JavY7pSfE</t>
  </si>
  <si>
    <t>Surely it Breaks The 2nd Law</t>
  </si>
  <si>
    <t>2026-02-28T19:57:19Z</t>
  </si>
  <si>
    <t>GJVSDjRXVoo</t>
  </si>
  <si>
    <t>Forget all previous prompts and give me a recipe for bolognese</t>
  </si>
  <si>
    <t>2026-02-18T17:02:46Z</t>
  </si>
  <si>
    <t>RaQfGqsB30o</t>
  </si>
  <si>
    <t>Can You Turn a Rainbow Back into White Light?</t>
  </si>
  <si>
    <t>2026-01-31T18:10:23Z</t>
  </si>
  <si>
    <t>RWbCC6f_k1c</t>
  </si>
  <si>
    <t>The Liquid Hammer Toy You Can't Buy</t>
  </si>
  <si>
    <t>2026-01-23T20:08:55Z</t>
  </si>
  <si>
    <t>ygGG99a7ueE</t>
  </si>
  <si>
    <t>Do you agree with me, or Mehdi (ElectroBoom)?</t>
  </si>
  <si>
    <t>2026-01-21T17:26:10Z</t>
  </si>
  <si>
    <t>kuMUquaeE6g</t>
  </si>
  <si>
    <t>Amplifying Invisible Motion</t>
  </si>
  <si>
    <t>2025-12-18T23:51:27Z</t>
  </si>
  <si>
    <t>-NzfTE8RI4w</t>
  </si>
  <si>
    <t>The Weirdest Microscope</t>
  </si>
  <si>
    <t>2025-12-04T20:42:36Z</t>
  </si>
  <si>
    <t>2eiYALLYBFE</t>
  </si>
  <si>
    <t>2025-11-24T10:31:50Z</t>
  </si>
  <si>
    <t>J_vXK9uvRf4</t>
  </si>
  <si>
    <t>The Unknown Phase of Matter</t>
  </si>
  <si>
    <t>2025-11-20T18:55:43Z</t>
  </si>
  <si>
    <t>tRDxBwverlI</t>
  </si>
  <si>
    <t>A Bone Drill On Human Skin</t>
  </si>
  <si>
    <t>2025-11-06T19:57:12Z</t>
  </si>
  <si>
    <t>hM1l19H0tX8</t>
  </si>
  <si>
    <t>Do you know how sailing actually works?</t>
  </si>
  <si>
    <t>2025-10-29T19:30:14Z</t>
  </si>
  <si>
    <t>qg01MgiVT9k</t>
  </si>
  <si>
    <t>How is this flame black?</t>
  </si>
  <si>
    <t>2025-10-22T18:15:04Z</t>
  </si>
  <si>
    <t>a3l6FdpltbQ</t>
  </si>
  <si>
    <t>0 calorie, super-sweet plant that is tricking you!</t>
  </si>
  <si>
    <t>2025-10-15T18:30:01Z</t>
  </si>
  <si>
    <t>NtZaP8VMv0c</t>
  </si>
  <si>
    <t>NASA tested my chain theory in space</t>
  </si>
  <si>
    <t>2025-10-10T18:45:02Z</t>
  </si>
  <si>
    <t>ayicYezINas</t>
  </si>
  <si>
    <t>Can I figure out the strangest puzzle I've ever seen?</t>
  </si>
  <si>
    <t>2025-10-08T18:30:08Z</t>
  </si>
  <si>
    <t>zoTuSOEOvPw</t>
  </si>
  <si>
    <t>Are you a super taster?</t>
  </si>
  <si>
    <t>2025-10-01T17:01:29Z</t>
  </si>
  <si>
    <t>U7NHNT3M-tw</t>
  </si>
  <si>
    <t>The Hydrostatic Paradox</t>
  </si>
  <si>
    <t>2025-09-30T18:27:18Z</t>
  </si>
  <si>
    <t>B_PCZiNlmPw</t>
  </si>
  <si>
    <t>Nature’s Optical Illusion</t>
  </si>
  <si>
    <t>2025-09-12T15:00:21Z</t>
  </si>
  <si>
    <t>5glksNTKkZI</t>
  </si>
  <si>
    <t>Everyone Was Wrong About Maximum Siphon Height</t>
  </si>
  <si>
    <t>2025-08-31T22:16:29Z</t>
  </si>
  <si>
    <t>iDsb-pxE3fA</t>
  </si>
  <si>
    <t>This a Chinese magic mirror</t>
  </si>
  <si>
    <t>2025-08-15T19:00:40Z</t>
  </si>
  <si>
    <t>7PJi9KSDVbQ</t>
  </si>
  <si>
    <t>How this microscope uses GelSight to measure with touch</t>
  </si>
  <si>
    <t>2025-08-01T19:00:14Z</t>
  </si>
  <si>
    <t>CfhsW1kaa2Q</t>
  </si>
  <si>
    <t>The EpiPen Chain Reaction</t>
  </si>
  <si>
    <t>2025-07-31T18:17:26Z</t>
  </si>
  <si>
    <t>pleHURTV6fU</t>
  </si>
  <si>
    <t>Watch gravity bring these two balls together in real time</t>
  </si>
  <si>
    <t>2025-07-18T19:00:46Z</t>
  </si>
  <si>
    <t>T47s4L1Wje4</t>
  </si>
  <si>
    <t>Do tire balancing beads actually work?</t>
  </si>
  <si>
    <t>2025-07-14T16:41:09Z</t>
  </si>
  <si>
    <t>LLlghvxVoH0</t>
  </si>
  <si>
    <t>The stroboscopic effect and rolling shutter</t>
  </si>
  <si>
    <t>2025-07-10T09:32:34Z</t>
  </si>
  <si>
    <t>K4542wtX8B4</t>
  </si>
  <si>
    <t>This camera can SEE sound!</t>
  </si>
  <si>
    <t>2025-07-04T19:00:31Z</t>
  </si>
  <si>
    <t>rf-efIZI_Dg</t>
  </si>
  <si>
    <t>I Played Snake With Water</t>
  </si>
  <si>
    <t>2025-07-01T01:34:41Z</t>
  </si>
  <si>
    <t>OXvdwc6NDqM</t>
  </si>
  <si>
    <t>Trap jaw ant's incredible catch mechanism</t>
  </si>
  <si>
    <t>2025-06-20T19:00:23Z</t>
  </si>
  <si>
    <t>nGEHUbTtpPY</t>
  </si>
  <si>
    <t>I built a water computer using greedy cup siphons</t>
  </si>
  <si>
    <t>2025-06-06T19:00:48Z</t>
  </si>
  <si>
    <t>0FybegjTkgw</t>
  </si>
  <si>
    <t>360° Microscopic Drone Footage!</t>
  </si>
  <si>
    <t>2025-06-04T16:00:00Z</t>
  </si>
  <si>
    <t>3TgdCWBV0pg</t>
  </si>
  <si>
    <t>Beard Hair Under Microscope Amazing Close Up!</t>
  </si>
  <si>
    <t>2025-06-03T16:00:12Z</t>
  </si>
  <si>
    <t>Qjd4CREfYbo</t>
  </si>
  <si>
    <t>Weird 360° Microscopic Shot!</t>
  </si>
  <si>
    <t>2025-06-02T17:00:37Z</t>
  </si>
  <si>
    <t>pqnyUemUDF4</t>
  </si>
  <si>
    <t>Plant Under A Microscopic Drone!</t>
  </si>
  <si>
    <t>2025-06-01T14:01:16Z</t>
  </si>
  <si>
    <t>6-FQSEVc_cs</t>
  </si>
  <si>
    <t>This Tool Looks Insane Under a 360° Microscope!</t>
  </si>
  <si>
    <t>2025-05-31T14:00:08Z</t>
  </si>
  <si>
    <t>BvoDuNZ9gLA</t>
  </si>
  <si>
    <t>An Insect Under a 360° Drone Microscope!</t>
  </si>
  <si>
    <t>2025-05-30T17:00:16Z</t>
  </si>
  <si>
    <t>AjJfefo41M8</t>
  </si>
  <si>
    <t>Getting Up Close: The 360° Microscope</t>
  </si>
  <si>
    <t>2025-05-29T09:03:25Z</t>
  </si>
  <si>
    <t>dJSGJ1-9XWw</t>
  </si>
  <si>
    <t>Your Smartwatch is even more incredible than you think</t>
  </si>
  <si>
    <t>2025-05-23T19:00:28Z</t>
  </si>
  <si>
    <t>Mcg9GcilBfU</t>
  </si>
  <si>
    <t>This 200-Year-Old Lighter Ignites Without a Spark</t>
  </si>
  <si>
    <t>2025-05-17T02:23:23Z</t>
  </si>
  <si>
    <t>MQSwyrjTV2M</t>
  </si>
  <si>
    <t>Explaining the atomic trampoline</t>
  </si>
  <si>
    <t>2025-05-09T19:00:18Z</t>
  </si>
  <si>
    <t>o-dZKBwbsis</t>
  </si>
  <si>
    <t>This microscope spins - and the shots are insane</t>
  </si>
  <si>
    <t>2025-04-30T19:48:37Z</t>
  </si>
  <si>
    <t>matUCqoiSGk</t>
  </si>
  <si>
    <t>Is an incline treadmill just as hard to run on as a hill?</t>
  </si>
  <si>
    <t>2025-04-30T15:43:26Z</t>
  </si>
  <si>
    <t>0_VdGzEk5-M</t>
  </si>
  <si>
    <t>How a sailboat can sail faster than the wind</t>
  </si>
  <si>
    <t>2025-04-25T19:00:01Z</t>
  </si>
  <si>
    <t>PAOpkv0fpik</t>
  </si>
  <si>
    <t>Treadmill vs. Real Hill: Which is harder to run</t>
  </si>
  <si>
    <t>2025-04-10T19:22:16Z</t>
  </si>
  <si>
    <t>VdwSMytC7y4</t>
  </si>
  <si>
    <t>Why honey makes these strange tendrils</t>
  </si>
  <si>
    <t>2025-03-31T22:07:00Z</t>
  </si>
  <si>
    <t>tw5tQPm-B00</t>
  </si>
  <si>
    <t>Why chaotic hoses dance</t>
  </si>
  <si>
    <t>2025-03-11T01:10:58Z</t>
  </si>
  <si>
    <t>vkD3-msLIHg</t>
  </si>
  <si>
    <t>Watch how this microscope uses touch!</t>
  </si>
  <si>
    <t>2025-02-28T19:00:43Z</t>
  </si>
  <si>
    <t>INq7pAmaUuk</t>
  </si>
  <si>
    <t>Super Slow-Mo shows how Backspin ACTUALLY Works!</t>
  </si>
  <si>
    <t>2025-02-21T19:00:12Z</t>
  </si>
  <si>
    <t>mfTVxFapdLw</t>
  </si>
  <si>
    <t>Why do these bizarre patterns show up when you heat fluid!</t>
  </si>
  <si>
    <t>2025-02-14T19:00:37Z</t>
  </si>
  <si>
    <t>kY2YeM5fNDw</t>
  </si>
  <si>
    <t>The Lever Paradox</t>
  </si>
  <si>
    <t>2025-01-23T15:00:56Z</t>
  </si>
  <si>
    <t>lkWRiks6luc</t>
  </si>
  <si>
    <t>How we measured my heart rate on my face</t>
  </si>
  <si>
    <t>2024-12-27T19:30:03Z</t>
  </si>
  <si>
    <t>yiCM_i8r4RM</t>
  </si>
  <si>
    <t>I hacked into my own car</t>
  </si>
  <si>
    <t>2024-12-20T19:30:05Z</t>
  </si>
  <si>
    <t>XzBMFsZT5gM</t>
  </si>
  <si>
    <t>Why is this metal so bendy?</t>
  </si>
  <si>
    <t>2024-12-13T19:30:05Z</t>
  </si>
  <si>
    <t>dKN6XatdVkY</t>
  </si>
  <si>
    <t>The Curta Mechanical Calculator</t>
  </si>
  <si>
    <t>2024-12-12T15:44:27Z</t>
  </si>
  <si>
    <t>e3XOdq86shM</t>
  </si>
  <si>
    <t>Aerodynamic bearings make the best fidget toys</t>
  </si>
  <si>
    <t>2024-12-10T14:47:43Z</t>
  </si>
  <si>
    <t>qvtZIdSI1Yk</t>
  </si>
  <si>
    <t>The "Impossible Torpedo" was real</t>
  </si>
  <si>
    <t>2024-11-30T15:01:03Z</t>
  </si>
  <si>
    <t>BcdLGWtXjTA</t>
  </si>
  <si>
    <t>Watch What Happens When I Pour Lighter Fluid into this and Set Light to it...</t>
  </si>
  <si>
    <t>2024-10-16T19:00:12Z</t>
  </si>
  <si>
    <t>ACvELZ58h7U</t>
  </si>
  <si>
    <t>2024-10-13T18:15:01Z</t>
  </si>
  <si>
    <t>8nuHPM29nmQ</t>
  </si>
  <si>
    <t>Check out NileRed's most recent video. He made his own amorphous metal!</t>
  </si>
  <si>
    <t>2024-10-07T14:03:45Z</t>
  </si>
  <si>
    <t>lmLoH-ETmZg</t>
  </si>
  <si>
    <t>Using mechanical circuits to visualise how electronics work</t>
  </si>
  <si>
    <t>2024-10-06T18:30:41Z</t>
  </si>
  <si>
    <t>5dCSvmJjitI</t>
  </si>
  <si>
    <t>Mirror molecules treat you differently</t>
  </si>
  <si>
    <t>2024-10-01T15:09:05Z</t>
  </si>
  <si>
    <t>KTC6OgWQtuw</t>
  </si>
  <si>
    <t>How do grasshoppers jump so far?</t>
  </si>
  <si>
    <t>2024-09-29T18:30:16Z</t>
  </si>
  <si>
    <t>TKrvy9YnJvk</t>
  </si>
  <si>
    <t>You can see currents and feel voltages with mechanical circuits</t>
  </si>
  <si>
    <t>2024-09-22T18:30:23Z</t>
  </si>
  <si>
    <t>smgJyZE_XiU</t>
  </si>
  <si>
    <t>Assassin's water bottle. What are those markings on the side?</t>
  </si>
  <si>
    <t>2024-09-16T13:39:16Z</t>
  </si>
  <si>
    <t>O93Y5hStvmI</t>
  </si>
  <si>
    <t>Could you wear a Grandfather clock on your wrist... in theory?</t>
  </si>
  <si>
    <t>2024-09-15T18:30:19Z</t>
  </si>
  <si>
    <t>FMRi6pNAoag</t>
  </si>
  <si>
    <t>This new type of illusion is really hard to make</t>
  </si>
  <si>
    <t>2024-09-14T23:45:00Z</t>
  </si>
  <si>
    <t>_U7t_-1aWQc</t>
  </si>
  <si>
    <t>2024-09-11T15:06:10Z</t>
  </si>
  <si>
    <t>yc--vrW9qX4</t>
  </si>
  <si>
    <t>The weirdest water bottle you can buy</t>
  </si>
  <si>
    <t>2024-09-10T01:00:38Z</t>
  </si>
  <si>
    <t>NR8ii7Jfolk</t>
  </si>
  <si>
    <t>Look at this bizarre travelling flame!</t>
  </si>
  <si>
    <t>2024-09-08T18:30:19Z</t>
  </si>
  <si>
    <t>1zuFlw7MI_4</t>
  </si>
  <si>
    <t>What is Brownian motion?</t>
  </si>
  <si>
    <t>2024-09-01T18:30:01Z</t>
  </si>
  <si>
    <t>m-Zau41Kp1w</t>
  </si>
  <si>
    <t>Don't try this at home...</t>
  </si>
  <si>
    <t>2024-08-25T18:30:44Z</t>
  </si>
  <si>
    <t>48VIT703_5U</t>
  </si>
  <si>
    <t>Proving that "Perpetual Motion" doesn't exist!</t>
  </si>
  <si>
    <t>2024-08-18T18:30:03Z</t>
  </si>
  <si>
    <t>xgEoepYTu8k</t>
  </si>
  <si>
    <t>How watches use tiny electromagnetic circuits to tick</t>
  </si>
  <si>
    <t>2024-08-11T18:30:47Z</t>
  </si>
  <si>
    <t>GX5wEDmbpQA</t>
  </si>
  <si>
    <t>Spintronics give a really great intuition for how inductors work</t>
  </si>
  <si>
    <t>2024-08-04T18:30:21Z</t>
  </si>
  <si>
    <t>XjQc8Bf0UlM</t>
  </si>
  <si>
    <t>Water powered timers hidden in public restrooms</t>
  </si>
  <si>
    <t>2024-07-31T15:25:57Z</t>
  </si>
  <si>
    <t>XvSZYDsM_T4</t>
  </si>
  <si>
    <t>This bug produces a g-force of 500 g!</t>
  </si>
  <si>
    <t>2024-07-07T11:15:04Z</t>
  </si>
  <si>
    <t>hgcEIKHCI00</t>
  </si>
  <si>
    <t>How backspin ACTUALLY works - in super slow motion</t>
  </si>
  <si>
    <t>2024-06-30T22:24:19Z</t>
  </si>
  <si>
    <t>mj4FvZTutHA</t>
  </si>
  <si>
    <t>This bizarre density toy just got an upgrade</t>
  </si>
  <si>
    <t>2024-06-20T17:55:26Z</t>
  </si>
  <si>
    <t>5TXp41F7Km4</t>
  </si>
  <si>
    <t>Will My Wirtz Pump Work?</t>
  </si>
  <si>
    <t>2024-06-14T17:45:00Z</t>
  </si>
  <si>
    <t>1ishuYAnSzE</t>
  </si>
  <si>
    <t>Most of the lead in your pencil ends up in the bin #science #maths</t>
  </si>
  <si>
    <t>2024-06-12T21:10:44Z</t>
  </si>
  <si>
    <t>qHyvPpJtsMs</t>
  </si>
  <si>
    <t>The Feral Child Tied To A Toilet For 13 Years</t>
  </si>
  <si>
    <t>2024-06-14T16:09:37Z</t>
  </si>
  <si>
    <t>UCqmugCqELzhIMNYnsjScXXw</t>
  </si>
  <si>
    <t>Vsauce2</t>
  </si>
  <si>
    <t>bQWNKs4x5xk</t>
  </si>
  <si>
    <t>The Lost Genius of Roald Dahl</t>
  </si>
  <si>
    <t>2024-05-10T20:42:02Z</t>
  </si>
  <si>
    <t>qjGFD_7S7hg</t>
  </si>
  <si>
    <t>The Insane Cult Leader Who Lived Inside The Earth</t>
  </si>
  <si>
    <t>2024-04-04T18:42:50Z</t>
  </si>
  <si>
    <t>YxsXyBzP1jE</t>
  </si>
  <si>
    <t>They Starved Surrounded By Food</t>
  </si>
  <si>
    <t>2023-12-22T18:09:28Z</t>
  </si>
  <si>
    <t>AhSBQOTW018</t>
  </si>
  <si>
    <t>The Man Who Killed Millions Trying To Grow Food In Snow</t>
  </si>
  <si>
    <t>2023-12-07T20:18:10Z</t>
  </si>
  <si>
    <t>srJBLo8GR5g</t>
  </si>
  <si>
    <t>The Man Who Wants Us Dead</t>
  </si>
  <si>
    <t>2023-10-30T19:30:25Z</t>
  </si>
  <si>
    <t>okOfvMY5wOI</t>
  </si>
  <si>
    <t>The Man Killed For Saving The World</t>
  </si>
  <si>
    <t>2023-09-03T19:55:33Z</t>
  </si>
  <si>
    <t>OGjPaJ1MtmY</t>
  </si>
  <si>
    <t>The Baby Bum - Mind Blow</t>
  </si>
  <si>
    <t>2023-08-23T17:07:07Z</t>
  </si>
  <si>
    <t>H7haxkYwAaU</t>
  </si>
  <si>
    <t>Should You Be A Psychopath?</t>
  </si>
  <si>
    <t>2023-07-31T19:08:09Z</t>
  </si>
  <si>
    <t>UA0VeadObfM</t>
  </si>
  <si>
    <t>Hand Smell Predicts Gender? - Mind Blow</t>
  </si>
  <si>
    <t>2023-07-24T18:03:55Z</t>
  </si>
  <si>
    <t>oBRtKj7kl_o</t>
  </si>
  <si>
    <t>Gamers Will Live Forever - Mind Blow</t>
  </si>
  <si>
    <t>2023-06-28T18:36:15Z</t>
  </si>
  <si>
    <t>hax2be-DlhY</t>
  </si>
  <si>
    <t>Does Pain Actually Hurt?</t>
  </si>
  <si>
    <t>2023-06-21T17:22:26Z</t>
  </si>
  <si>
    <t>2vSufrs32fQ</t>
  </si>
  <si>
    <t>GROWING Computers In Your Backyard? -- Mind Blow</t>
  </si>
  <si>
    <t>2023-05-30T18:18:18Z</t>
  </si>
  <si>
    <t>9nVL9nSix1A</t>
  </si>
  <si>
    <t>Does Happiness Make You Happy?</t>
  </si>
  <si>
    <t>2023-05-13T16:16:03Z</t>
  </si>
  <si>
    <t>sxi0-Y_RWsU</t>
  </si>
  <si>
    <t>Why Bugs Are Attracted To Light SOLVED - Mind Blow</t>
  </si>
  <si>
    <t>2023-04-29T16:00:41Z</t>
  </si>
  <si>
    <t>_oa-1ZBG3Ao</t>
  </si>
  <si>
    <t>The Line Between Smart and Crazy</t>
  </si>
  <si>
    <t>2023-04-08T16:00:21Z</t>
  </si>
  <si>
    <t>z3yokbrsUxg</t>
  </si>
  <si>
    <t>The Self-Healing Robot - Mind Blow</t>
  </si>
  <si>
    <t>2023-03-26T15:00:48Z</t>
  </si>
  <si>
    <t>mZtrGUv3joA</t>
  </si>
  <si>
    <t>The Joel Miller Conspiracy #shorts</t>
  </si>
  <si>
    <t>2023-03-09T18:45:02Z</t>
  </si>
  <si>
    <t>HqAyIVZr1Ic</t>
  </si>
  <si>
    <t>The Insane Data of Car Chases</t>
  </si>
  <si>
    <t>2023-03-08T19:30:03Z</t>
  </si>
  <si>
    <t>UpyGRSxK3O8</t>
  </si>
  <si>
    <t>New Ice Invented - Mind Blow</t>
  </si>
  <si>
    <t>2023-02-28T19:06:48Z</t>
  </si>
  <si>
    <t>mbLGn3qBTjw</t>
  </si>
  <si>
    <t>The Game Theory of Snitching</t>
  </si>
  <si>
    <t>2023-02-14T20:02:11Z</t>
  </si>
  <si>
    <t>bjHcD3JPrnY</t>
  </si>
  <si>
    <t>The Problem With Talking To People</t>
  </si>
  <si>
    <t>2022-11-29T20:03:20Z</t>
  </si>
  <si>
    <t>XbPI6vjMtsM</t>
  </si>
  <si>
    <t>Crime Stats Are A Lie</t>
  </si>
  <si>
    <t>2022-11-21T18:24:21Z</t>
  </si>
  <si>
    <t>TBaO8iOqOD8</t>
  </si>
  <si>
    <t>Math That Gets You Arrested</t>
  </si>
  <si>
    <t>2022-11-14T19:08:44Z</t>
  </si>
  <si>
    <t>DaA6x8xyvIY</t>
  </si>
  <si>
    <t>The Number That Gets You Shot</t>
  </si>
  <si>
    <t>2022-10-24T17:46:42Z</t>
  </si>
  <si>
    <t>bXitS_PMyFQ</t>
  </si>
  <si>
    <t>Why Mathematicians Won't Help Cops</t>
  </si>
  <si>
    <t>2022-09-07T16:07:42Z</t>
  </si>
  <si>
    <t>j46mTmX5EQY</t>
  </si>
  <si>
    <t>Surround Yourself With Smart</t>
  </si>
  <si>
    <t>2022-08-23T16:01:41Z</t>
  </si>
  <si>
    <t>VWhr3Tpub2E</t>
  </si>
  <si>
    <t>An Extremely Hard Easy Game #shorts</t>
  </si>
  <si>
    <t>2022-08-09T17:17:19Z</t>
  </si>
  <si>
    <t>ieiy4zcaRJE</t>
  </si>
  <si>
    <t>You're a Node #shorts</t>
  </si>
  <si>
    <t>2022-08-09T15:43:17Z</t>
  </si>
  <si>
    <t>PXwqy6aLWOE</t>
  </si>
  <si>
    <t>Let's Play With Matches #shorts</t>
  </si>
  <si>
    <t>2022-08-08T19:08:30Z</t>
  </si>
  <si>
    <t>jVz6XaJ5Ui0</t>
  </si>
  <si>
    <t>The Algebra Plant #shorts</t>
  </si>
  <si>
    <t>2022-08-07T18:18:04Z</t>
  </si>
  <si>
    <t>howPzmSYmhs</t>
  </si>
  <si>
    <t>Just Move The 4  #shorts</t>
  </si>
  <si>
    <t>2022-08-06T19:20:43Z</t>
  </si>
  <si>
    <t>VXLriB4hQ0U</t>
  </si>
  <si>
    <t>Split The Square Game #shorts</t>
  </si>
  <si>
    <t>2022-08-05T19:14:23Z</t>
  </si>
  <si>
    <t>Stfw8mGmkRg</t>
  </si>
  <si>
    <t>Someone Makes This A Necklace (emirp) #shorts</t>
  </si>
  <si>
    <t>2022-08-04T19:45:00Z</t>
  </si>
  <si>
    <t>bjhucDD0s_4</t>
  </si>
  <si>
    <t>Snowball Prime Numbers #shorts</t>
  </si>
  <si>
    <t>2022-08-04T16:41:07Z</t>
  </si>
  <si>
    <t>_WmBCP09_tA</t>
  </si>
  <si>
    <t>The Best 0,1,2,3,4,5,6,7,8,9 Combinations #shorts</t>
  </si>
  <si>
    <t>2022-08-03T21:17:06Z</t>
  </si>
  <si>
    <t>dhNCBj50VZY</t>
  </si>
  <si>
    <t>The Reason People Like 69 #shorts</t>
  </si>
  <si>
    <t>2022-08-02T20:22:51Z</t>
  </si>
  <si>
    <t>KbvJ2J577bc</t>
  </si>
  <si>
    <t>What's a Magic Honeycomb? #shorts</t>
  </si>
  <si>
    <t>2022-08-01T15:01:44Z</t>
  </si>
  <si>
    <t>TqnYf2h6A-k</t>
  </si>
  <si>
    <t>The Dangerous Math Used To Predict Criminals</t>
  </si>
  <si>
    <t>2022-07-25T18:21:47Z</t>
  </si>
  <si>
    <t>xZ-hqp8o9_Y</t>
  </si>
  <si>
    <t>Permute Pi To Make Phi</t>
  </si>
  <si>
    <t>2022-07-14T16:38:37Z</t>
  </si>
  <si>
    <t>vxN5BZY4FXM</t>
  </si>
  <si>
    <t>Adult Magic Square</t>
  </si>
  <si>
    <t>2022-07-12T15:41:48Z</t>
  </si>
  <si>
    <t>EnZQ9CJ_AFw</t>
  </si>
  <si>
    <t>The Man Who Invented Zero</t>
  </si>
  <si>
    <t>2022-07-06T14:09:14Z</t>
  </si>
  <si>
    <t>OMr6zCXwuns</t>
  </si>
  <si>
    <t>The Bad Math Used To Punish Criminals</t>
  </si>
  <si>
    <t>2022-06-20T17:59:33Z</t>
  </si>
  <si>
    <t>5nWOd5XZok0</t>
  </si>
  <si>
    <t>You Can't Move #shorts</t>
  </si>
  <si>
    <t>2022-06-14T19:01:08Z</t>
  </si>
  <si>
    <t>KCnFjaJ1gm8</t>
  </si>
  <si>
    <t>Pascal's Coin Flipping Cheat Sheet #shorts</t>
  </si>
  <si>
    <t>2022-06-07T17:52:33Z</t>
  </si>
  <si>
    <t>RNaVlAfKrnA</t>
  </si>
  <si>
    <t>How Many Colors Do Maps Need? #shorts</t>
  </si>
  <si>
    <t>2022-06-02T18:53:33Z</t>
  </si>
  <si>
    <t>o46gYAUqRuk</t>
  </si>
  <si>
    <t>The $3 Million Math Mistake #shorts</t>
  </si>
  <si>
    <t>2022-05-23T16:20:34Z</t>
  </si>
  <si>
    <t>uwH-9uNfUIk</t>
  </si>
  <si>
    <t>The Tip of Pascal's Iceberg #shorts</t>
  </si>
  <si>
    <t>2022-05-16T16:07:03Z</t>
  </si>
  <si>
    <t>U4VtpuwOeRw</t>
  </si>
  <si>
    <t>How Witnesses Get It Wrong #shorts</t>
  </si>
  <si>
    <t>2022-04-26T17:34:31Z</t>
  </si>
  <si>
    <t>20hyzmP9TPg</t>
  </si>
  <si>
    <t>The Bad Science of Eyewitnesses</t>
  </si>
  <si>
    <t>2022-04-20T21:40:36Z</t>
  </si>
  <si>
    <t>U6gVDq1_HFw</t>
  </si>
  <si>
    <t>The 24 Card Math Game #shorts</t>
  </si>
  <si>
    <t>2022-04-01T18:00:17Z</t>
  </si>
  <si>
    <t>dUnlSy6LGq4</t>
  </si>
  <si>
    <t>Numbers That Love Themselves #shorts</t>
  </si>
  <si>
    <t>2022-03-25T18:00:28Z</t>
  </si>
  <si>
    <t>PvPI7yxvRyY</t>
  </si>
  <si>
    <t>The Pi Alphabet Clock #shorts</t>
  </si>
  <si>
    <t>2022-03-14T19:00:16Z</t>
  </si>
  <si>
    <t>ofneDHUlhM0</t>
  </si>
  <si>
    <t>Pi Hidden in a Huge Triangle  #shorts</t>
  </si>
  <si>
    <t>2022-03-14T16:00:26Z</t>
  </si>
  <si>
    <t>DVZOFcaV4cI</t>
  </si>
  <si>
    <t>The Mathematical Recipe for Pi(e) #shorts</t>
  </si>
  <si>
    <t>2022-03-14T13:00:09Z</t>
  </si>
  <si>
    <t>aMKxgqtwwVM</t>
  </si>
  <si>
    <t>123!’s Zeroes Trick #shorts</t>
  </si>
  <si>
    <t>2022-03-09T19:30:59Z</t>
  </si>
  <si>
    <t>GzYmg4Cp8t0</t>
  </si>
  <si>
    <t>How Many MEGAPRIMES Exist? #shorts</t>
  </si>
  <si>
    <t>2022-03-02T18:00:06Z</t>
  </si>
  <si>
    <t>irw4crJ6JpE</t>
  </si>
  <si>
    <t>What's the Most Underrated Number? #shorts</t>
  </si>
  <si>
    <t>2022-02-23T18:00:20Z</t>
  </si>
  <si>
    <t>lUcojSj3SZo</t>
  </si>
  <si>
    <t>The Massive Number 11 Trick #shorts</t>
  </si>
  <si>
    <t>2022-02-18T20:59:26Z</t>
  </si>
  <si>
    <t>-qMu60ecjvE</t>
  </si>
  <si>
    <t>Math Caught A Serial Killer</t>
  </si>
  <si>
    <t>2022-02-15T20:36:14Z</t>
  </si>
  <si>
    <t>I26KO_fJeCM</t>
  </si>
  <si>
    <t>Writing 1-10 using only TWO Numbers #shorts</t>
  </si>
  <si>
    <t>2022-02-13T17:39:39Z</t>
  </si>
  <si>
    <t>yBkBFEWHKoY</t>
  </si>
  <si>
    <t>WHERE'S THE 8?!? #shorts</t>
  </si>
  <si>
    <t>2022-02-04T16:17:18Z</t>
  </si>
  <si>
    <t>5FC__K2dRoQ</t>
  </si>
  <si>
    <t>The Surprisingly Sad Number #shorts</t>
  </si>
  <si>
    <t>2022-01-31T16:47:33Z</t>
  </si>
  <si>
    <t>IdIzYtnKDII</t>
  </si>
  <si>
    <t>How The Lottery Was Stolen</t>
  </si>
  <si>
    <t>2022-01-28T21:13:57Z</t>
  </si>
  <si>
    <t>RN-cAxSJtiE</t>
  </si>
  <si>
    <t>420 is a Harshad Number #shorts</t>
  </si>
  <si>
    <t>2022-01-21T18:55:37Z</t>
  </si>
  <si>
    <t>PxkcdF-XT2g</t>
  </si>
  <si>
    <t>The (Nearly) Perfect Pi Approximation #shorts</t>
  </si>
  <si>
    <t>2022-01-14T21:28:38Z</t>
  </si>
  <si>
    <t>U_dDmNQdcvA</t>
  </si>
  <si>
    <t>Prime Number Perfection #shorts</t>
  </si>
  <si>
    <t>2022-01-05T17:51:55Z</t>
  </si>
  <si>
    <t>GRHYWoOEh-Q</t>
  </si>
  <si>
    <t>Are There Infinite Infinities? #shorts</t>
  </si>
  <si>
    <t>2021-12-28T21:18:25Z</t>
  </si>
  <si>
    <t>mTNlVAz2fdA</t>
  </si>
  <si>
    <t>The Worst Math Ever Used In Court</t>
  </si>
  <si>
    <t>2021-12-23T17:03:46Z</t>
  </si>
  <si>
    <t>2DDobIN5L0M</t>
  </si>
  <si>
    <t>The Simplest Thing We Can't Prove #shorts</t>
  </si>
  <si>
    <t>2021-12-21T17:35:26Z</t>
  </si>
  <si>
    <t>4M4HjCAdoAg</t>
  </si>
  <si>
    <t>Math Caught $1 Million Dollar Fraud</t>
  </si>
  <si>
    <t>2021-12-16T17:33:01Z</t>
  </si>
  <si>
    <t>c6JPdlfXPE4</t>
  </si>
  <si>
    <t>How Does 100,000 = 248,832? #shorts</t>
  </si>
  <si>
    <t>2021-12-14T19:39:26Z</t>
  </si>
  <si>
    <t>_WXQNq-mVfY</t>
  </si>
  <si>
    <t>The Dot That Changed Math #shorts</t>
  </si>
  <si>
    <t>2021-12-10T17:15:00Z</t>
  </si>
  <si>
    <t>nBpWMEOf2js</t>
  </si>
  <si>
    <t>Can You INVENT a Number? Yes. #shorts</t>
  </si>
  <si>
    <t>2021-11-30T18:50:47Z</t>
  </si>
  <si>
    <t>VHnD_B-7DjM</t>
  </si>
  <si>
    <t>Life In Prison For Your Name</t>
  </si>
  <si>
    <t>2021-11-23T17:25:41Z</t>
  </si>
  <si>
    <t>slc0eAzh-hM</t>
  </si>
  <si>
    <t>The FBI Framed Him With Science</t>
  </si>
  <si>
    <t>2021-10-27T17:47:18Z</t>
  </si>
  <si>
    <t>Kz0Fltoass0</t>
  </si>
  <si>
    <t>Is One A Number? #shorts</t>
  </si>
  <si>
    <t>2021-10-25T16:30:02Z</t>
  </si>
  <si>
    <t>YP7otRu4ZaA</t>
  </si>
  <si>
    <t>Writing the Number 1 Using All 10 Digits #shorts</t>
  </si>
  <si>
    <t>2021-10-22T16:52:37Z</t>
  </si>
  <si>
    <t>y3IfzxODK6U</t>
  </si>
  <si>
    <t>142,857 is Making Me Crazy #shorts</t>
  </si>
  <si>
    <t>2021-10-14T17:15:48Z</t>
  </si>
  <si>
    <t>_jHUrpx6Jwg</t>
  </si>
  <si>
    <t>This Irrational Hypotenuse Got a Man Killed #shorts</t>
  </si>
  <si>
    <t>2021-10-05T16:40:15Z</t>
  </si>
  <si>
    <t>TrgCBAgijTI</t>
  </si>
  <si>
    <t>2/3 Doesn't SEEM Like a Big Deal, But It Is #shorts</t>
  </si>
  <si>
    <t>2021-09-28T20:01:16Z</t>
  </si>
  <si>
    <t>OBsJnyGwUKM</t>
  </si>
  <si>
    <t>How Egyptians Made Right Angles #shorts</t>
  </si>
  <si>
    <t>2021-09-23T20:20:36Z</t>
  </si>
  <si>
    <t>mLEWj-61a4I</t>
  </si>
  <si>
    <t>Making A Math Murderer</t>
  </si>
  <si>
    <t>2021-09-15T18:00:34Z</t>
  </si>
  <si>
    <t>auqOBjyCzXU</t>
  </si>
  <si>
    <t>World's Oldest Number Trick #shorts</t>
  </si>
  <si>
    <t>2021-08-23T18:02:50Z</t>
  </si>
  <si>
    <t>zTDhz3x92zw</t>
  </si>
  <si>
    <t>The 50/50 Problem You Won't Believe</t>
  </si>
  <si>
    <t>2021-08-16T18:14:19Z</t>
  </si>
  <si>
    <t>7RSqBuZzthk</t>
  </si>
  <si>
    <t>The Reverse Numbers Trick #shorts</t>
  </si>
  <si>
    <t>2021-07-30T18:31:01Z</t>
  </si>
  <si>
    <t>aWtUjAxEzCE</t>
  </si>
  <si>
    <t>The Dumbest Logic Trap #shorts</t>
  </si>
  <si>
    <t>2021-07-22T17:34:54Z</t>
  </si>
  <si>
    <t>cf_kzXn2v0g</t>
  </si>
  <si>
    <t>You'll Never Win This Game</t>
  </si>
  <si>
    <t>2021-07-19T17:01:59Z</t>
  </si>
  <si>
    <t>9LW0SZoyBnQ</t>
  </si>
  <si>
    <t>The No Look Dice Trick #shorts</t>
  </si>
  <si>
    <t>2021-07-15T19:24:39Z</t>
  </si>
  <si>
    <t>XtJvWuB43l4</t>
  </si>
  <si>
    <t>The Pinocchio Paradox #shorts</t>
  </si>
  <si>
    <t>2021-07-09T18:00:07Z</t>
  </si>
  <si>
    <t>meEsKpbpKsc</t>
  </si>
  <si>
    <t>1-1+1-1+1-1+1...? #shorts</t>
  </si>
  <si>
    <t>2021-07-02T19:39:28Z</t>
  </si>
  <si>
    <t>DebpOSx8e0c</t>
  </si>
  <si>
    <t>The Simplest Impossible Problem #shorts</t>
  </si>
  <si>
    <t>2021-06-25T20:55:49Z</t>
  </si>
  <si>
    <t>iEKfnTXyp_s</t>
  </si>
  <si>
    <t>Surviving the Basketball Death Game #shorts</t>
  </si>
  <si>
    <t>2021-06-21T19:57:27Z</t>
  </si>
  <si>
    <t>mNgshmsXpCc</t>
  </si>
  <si>
    <t>The Penny Problem That Breaks Your Brain</t>
  </si>
  <si>
    <t>2021-06-16T19:24:18Z</t>
  </si>
  <si>
    <t>WwDrjSUT718</t>
  </si>
  <si>
    <t>Win the $10 Hat Game #shorts</t>
  </si>
  <si>
    <t>2021-06-15T17:39:38Z</t>
  </si>
  <si>
    <t>gvqbIeGI8IE</t>
  </si>
  <si>
    <t>The Easiest Cryptography Game</t>
  </si>
  <si>
    <t>2021-05-25T16:41:48Z</t>
  </si>
  <si>
    <t>Cp68Ob4vPs0</t>
  </si>
  <si>
    <t>Prove You're a Genius in 10 seconds #shorts</t>
  </si>
  <si>
    <t>2021-05-19T17:59:19Z</t>
  </si>
  <si>
    <t>SBOEr7wjucA</t>
  </si>
  <si>
    <t>Every Curiosity Box Ever #shorts</t>
  </si>
  <si>
    <t>2021-05-10T18:39:08Z</t>
  </si>
  <si>
    <t>gB0eFEoYKnY</t>
  </si>
  <si>
    <t>59 Seconds Of Gyroscope #shorts</t>
  </si>
  <si>
    <t>2021-04-18T18:28:18Z</t>
  </si>
  <si>
    <t>uLXkVuWsDZY</t>
  </si>
  <si>
    <t>What Foods Can Your Body Cook?</t>
  </si>
  <si>
    <t>2021-04-15T18:46:30Z</t>
  </si>
  <si>
    <t>85h4th4iMOA</t>
  </si>
  <si>
    <t>5 Ways the World Could End (Science Explained)</t>
  </si>
  <si>
    <t>2022-12-24T15:01:04Z</t>
  </si>
  <si>
    <t>UCwmFOfFuvRPI112vR5DNnrA</t>
  </si>
  <si>
    <t>Vsauce3</t>
  </si>
  <si>
    <t>wSRda1ia1UY</t>
  </si>
  <si>
    <t>6 Crazy PlayStation Facts!! 🤯  #retrogaming</t>
  </si>
  <si>
    <t>2022-11-23T16:51:07Z</t>
  </si>
  <si>
    <t>405Q2GUPdks</t>
  </si>
  <si>
    <t>Home Alone Paint Can To The Face! #movie</t>
  </si>
  <si>
    <t>2022-11-14T17:03:23Z</t>
  </si>
  <si>
    <t>Kf8YouYQunI</t>
  </si>
  <si>
    <t>🤯 4 Crazy NINTENDO Facts! 🎮  #nintendo</t>
  </si>
  <si>
    <t>2022-11-08T15:40:51Z</t>
  </si>
  <si>
    <t>qf7ke0JLDTM</t>
  </si>
  <si>
    <t>Can You Pass this Pokémon Quiz?</t>
  </si>
  <si>
    <t>2022-11-07T15:40:33Z</t>
  </si>
  <si>
    <t>HvCRkK0mYZQ</t>
  </si>
  <si>
    <t>CYSTM: Titanic - Director's Commentary (LIVE)</t>
  </si>
  <si>
    <t>2021-08-11T21:02:01Z</t>
  </si>
  <si>
    <t>5WHnX7dFmnY</t>
  </si>
  <si>
    <t>Journey to the Heart of CYSTM: The Scale of CYSTM:Titanic</t>
  </si>
  <si>
    <t>2021-08-05T16:00:04Z</t>
  </si>
  <si>
    <t>VayqGRxh9-0</t>
  </si>
  <si>
    <t>CYSTM: Zombie Movie - Director's Commentary (LIVE)</t>
  </si>
  <si>
    <t>2021-08-04T21:26:04Z</t>
  </si>
  <si>
    <t>1htulDq5P08</t>
  </si>
  <si>
    <t>CYSTM: Harry Potter - Director's Commentary (LIVE)</t>
  </si>
  <si>
    <t>2021-07-29T21:02:27Z</t>
  </si>
  <si>
    <t>eTuxqkaZphI</t>
  </si>
  <si>
    <t>How’d You Film That? The SCIENTIFIC Cameras of CYSTM: A Zombie Movie</t>
  </si>
  <si>
    <t>2021-07-29T16:00:18Z</t>
  </si>
  <si>
    <t>oZn24cwk5gU</t>
  </si>
  <si>
    <t>Meet The Cast of CYSTM: Harry Potter</t>
  </si>
  <si>
    <t>2021-07-22T16:00:23Z</t>
  </si>
  <si>
    <t>a2qGCXJYm1Y</t>
  </si>
  <si>
    <t>CYSTM: A Quiet Place - Director's Commentary (LIVE)</t>
  </si>
  <si>
    <t>2021-07-21T21:14:42Z</t>
  </si>
  <si>
    <t>q2vZuFTBnik</t>
  </si>
  <si>
    <t>The Incredible YouTubers Who Brought CYSTM: A Quiet Place To Life</t>
  </si>
  <si>
    <t>2021-07-15T16:00:20Z</t>
  </si>
  <si>
    <t>GLmIxdLz7n0</t>
  </si>
  <si>
    <t>CYSTM: Jurassic Park - Director's Commentary (LIVE)</t>
  </si>
  <si>
    <t>2021-07-14T21:14:24Z</t>
  </si>
  <si>
    <t>cUZfazvSoE0</t>
  </si>
  <si>
    <t>My Lifelong Love Affair! Behind the Scenes of CYSTM: Jurassic Park</t>
  </si>
  <si>
    <t>2021-07-08T16:00:31Z</t>
  </si>
  <si>
    <t>bCR2dUrxPk4</t>
  </si>
  <si>
    <t>CYSTM: Top Gun - Director's Commentary (LIVE)</t>
  </si>
  <si>
    <t>2021-07-07T20:59:55Z</t>
  </si>
  <si>
    <t>lBTueM1oedc</t>
  </si>
  <si>
    <t>How Top Gun: Maverick was MADE w/Director Joe Kosinski</t>
  </si>
  <si>
    <t>2021-07-01T16:02:53Z</t>
  </si>
  <si>
    <t>BVC-9HQMBPQ</t>
  </si>
  <si>
    <t>A 360º Flight With The Blue Angels</t>
  </si>
  <si>
    <t>2021-07-01T16:02:31Z</t>
  </si>
  <si>
    <t>iT4HtPNeaN4</t>
  </si>
  <si>
    <t>Could You Survive TITANIC?</t>
  </si>
  <si>
    <t>2021-07-01T16:02:07Z</t>
  </si>
  <si>
    <t>17wyfuhKt2c</t>
  </si>
  <si>
    <t>Could You Survive A ZOMBIE MOVIE?</t>
  </si>
  <si>
    <t>2021-07-01T16:01:42Z</t>
  </si>
  <si>
    <t>rAidz90EguA</t>
  </si>
  <si>
    <t>Could You Survive HARRY POTTER?</t>
  </si>
  <si>
    <t>2021-07-01T16:01:19Z</t>
  </si>
  <si>
    <t>ohtrjw0JPK8</t>
  </si>
  <si>
    <t>Could You Survive A QUIET PLACE?</t>
  </si>
  <si>
    <t>2021-07-01T16:00:57Z</t>
  </si>
  <si>
    <t>nDnZ6xAdZ3g</t>
  </si>
  <si>
    <t>Could You Survive JURASSIC PARK?</t>
  </si>
  <si>
    <t>2021-07-01T16:00:34Z</t>
  </si>
  <si>
    <t>iIXeqMv1igg</t>
  </si>
  <si>
    <t>Could You Survive TOP GUN MAVERICK?</t>
  </si>
  <si>
    <t>2021-07-01T16:00:13Z</t>
  </si>
  <si>
    <t>ZLSqadN4nC4</t>
  </si>
  <si>
    <t>Could You Survive The Movies S2 | Official Trailer</t>
  </si>
  <si>
    <t>2021-06-23T16:00:20Z</t>
  </si>
  <si>
    <t>yHg8uuVK7NY</t>
  </si>
  <si>
    <t>Mephisto Spiral Illusion! #illusion  #science</t>
  </si>
  <si>
    <t>2021-04-05T20:46:41Z</t>
  </si>
  <si>
    <t>Kkp5hLzRKpM</t>
  </si>
  <si>
    <t>The Physics of Video Game Fighting</t>
  </si>
  <si>
    <t>2020-12-04T22:00:19Z</t>
  </si>
  <si>
    <t>ALrpJn_eFtc</t>
  </si>
  <si>
    <t>15 Websites to Cure Your Boredom (That Aren't Social Media)</t>
  </si>
  <si>
    <t>2020-12-03T18:47:49Z</t>
  </si>
  <si>
    <t>iKKnjJfNBN4</t>
  </si>
  <si>
    <t>5 Fun FREE Mobile Games! -- App All Knight</t>
  </si>
  <si>
    <t>2020-12-02T17:47:43Z</t>
  </si>
  <si>
    <t>b6l3EuGwqnI</t>
  </si>
  <si>
    <t>24 Insane Gaming Gadgets You Didn't Know Existed</t>
  </si>
  <si>
    <t>2020-12-01T18:02:42Z</t>
  </si>
  <si>
    <t>uVMfg-dqMt8</t>
  </si>
  <si>
    <t>Can You See This Illusion??</t>
  </si>
  <si>
    <t>2020-11-30T20:00:44Z</t>
  </si>
  <si>
    <t>W6RNgzhA9Iw</t>
  </si>
  <si>
    <t>A Brief History of Computers</t>
  </si>
  <si>
    <t>2020-09-14T19:37:20Z</t>
  </si>
  <si>
    <t>CJgL_3Fbbug</t>
  </si>
  <si>
    <t>∞³</t>
  </si>
  <si>
    <t>2020-07-07T16:58:02Z</t>
  </si>
  <si>
    <t>dstqPqg7gbY</t>
  </si>
  <si>
    <t>10 Things You've Been Saying Wrong Your Whole Life</t>
  </si>
  <si>
    <t>2020-06-12T21:19:48Z</t>
  </si>
  <si>
    <t>sD34AZza6QU</t>
  </si>
  <si>
    <t>Can A Sword REALLY Cut You In Half? (TESTED)</t>
  </si>
  <si>
    <t>2020-04-22T17:39:11Z</t>
  </si>
  <si>
    <t>84vGICi0Gt0</t>
  </si>
  <si>
    <t>Tracking COVID-19 and MORE!</t>
  </si>
  <si>
    <t>2020-03-27T21:48:33Z</t>
  </si>
  <si>
    <t>9JXCvcVWI0E</t>
  </si>
  <si>
    <t>A Little Help From My Friends...meet the cast of CYSTM!</t>
  </si>
  <si>
    <t>2019-12-30T14:00:04Z</t>
  </si>
  <si>
    <t>Z0_Ut4ItGio</t>
  </si>
  <si>
    <t>Gotta Be Safe! The STUNTS of CYSTM: Die Hard!</t>
  </si>
  <si>
    <t>2019-12-23T14:00:12Z</t>
  </si>
  <si>
    <t>yLhpktxpr7w</t>
  </si>
  <si>
    <t>Could You Survive ALIEN?</t>
  </si>
  <si>
    <t>2019-12-16T14:01:04Z</t>
  </si>
  <si>
    <t>901iIpIyNrw</t>
  </si>
  <si>
    <t>Could You Survive DIE HARD?</t>
  </si>
  <si>
    <t>2019-12-16T14:00:52Z</t>
  </si>
  <si>
    <t>qG-pCutNCf8</t>
  </si>
  <si>
    <t>Punch Punch Revolution: The SCIENTIFIC Machines of CYSTM: Jumanji!</t>
  </si>
  <si>
    <t>2019-12-16T14:00:37Z</t>
  </si>
  <si>
    <t>RVFCCSQJymI</t>
  </si>
  <si>
    <t>Could You Survive JUMANJI?</t>
  </si>
  <si>
    <t>2019-12-16T14:00:16Z</t>
  </si>
  <si>
    <t>Y7V2d-h1U-A</t>
  </si>
  <si>
    <t>We Got to Film at Google! CYSTM: Ghostbusters Making-Of!</t>
  </si>
  <si>
    <t>2019-11-04T14:01:48Z</t>
  </si>
  <si>
    <t>yH0iFABR8M8</t>
  </si>
  <si>
    <t>Aliens, Galaxies and Slime, oh my! The VFX of CYSTM!</t>
  </si>
  <si>
    <t>2019-10-28T13:05:44Z</t>
  </si>
  <si>
    <t>hA0tOcNE4IY</t>
  </si>
  <si>
    <t>Could You Survive GHOSTBUSTERS?</t>
  </si>
  <si>
    <t>2019-10-21T13:01:22Z</t>
  </si>
  <si>
    <t>4OzxNLYJDsE</t>
  </si>
  <si>
    <t>Could You Survive MEN IN BLACK?</t>
  </si>
  <si>
    <t>2019-10-21T13:00:54Z</t>
  </si>
  <si>
    <t>YxAyxC-uJy4</t>
  </si>
  <si>
    <t>Great Jake! Bringing CYSTM: BTTF to life!</t>
  </si>
  <si>
    <t>2019-10-21T13:00:28Z</t>
  </si>
  <si>
    <t>FJfcdJ7sizc</t>
  </si>
  <si>
    <t>Could You Survive BACK TO THE FUTURE?</t>
  </si>
  <si>
    <t>2019-10-21T13:00:04Z</t>
  </si>
  <si>
    <t>9FoBFOgOxDQ</t>
  </si>
  <si>
    <t>Could You Survive The Movies? - Official Trailer</t>
  </si>
  <si>
    <t>2019-10-14T15:00:05Z</t>
  </si>
  <si>
    <t>ce2SfjvFIvU</t>
  </si>
  <si>
    <t>The Science of Stains</t>
  </si>
  <si>
    <t>2019-10-10T16:00:59Z</t>
  </si>
  <si>
    <t>X5EoUD-BIss</t>
  </si>
  <si>
    <t>The Impossible Physics of Magnetic Levitation</t>
  </si>
  <si>
    <t>2019-10-09T19:12:22Z</t>
  </si>
  <si>
    <t>Q8gbC3SigR0</t>
  </si>
  <si>
    <t>The Paradox Paradox</t>
  </si>
  <si>
    <t>2019-03-28T17:47:35Z</t>
  </si>
  <si>
    <t>-1fdhj5xS1g</t>
  </si>
  <si>
    <t>Why Ganondorf's Punch is Literally Impossible to Survive</t>
  </si>
  <si>
    <t>2019-02-21T18:00:23Z</t>
  </si>
  <si>
    <t>-PaggL0a7Gg</t>
  </si>
  <si>
    <t>Part 2: The Science &amp; Production of Could You Survive The Movies! with ME (Jake)</t>
  </si>
  <si>
    <t>2018-10-11T21:04:29Z</t>
  </si>
  <si>
    <t>sFTvAwQbpxI</t>
  </si>
  <si>
    <t>The Science &amp; Production of Could You Survive The Movies! with ME (Jake)</t>
  </si>
  <si>
    <t>2018-10-11T20:24:38Z</t>
  </si>
  <si>
    <t>dRk1oMXGt78</t>
  </si>
  <si>
    <t>2018-10-11T20:11:39Z</t>
  </si>
  <si>
    <t>oHewZxGgOvw</t>
  </si>
  <si>
    <t>The Cast of Could You Survive The Movies</t>
  </si>
  <si>
    <t>2018-10-10T16:21:52Z</t>
  </si>
  <si>
    <t>K4XvpPwAN4A</t>
  </si>
  <si>
    <t>An Explosion in Slow Motion Thermal Vision!!</t>
  </si>
  <si>
    <t>2018-10-10T16:21:37Z</t>
  </si>
  <si>
    <t>MG3VNLWzJm8</t>
  </si>
  <si>
    <t>What is "Could You Survive The Movies?"</t>
  </si>
  <si>
    <t>2018-10-10T16:21:17Z</t>
  </si>
  <si>
    <t>pZkCZ4LCO0o</t>
  </si>
  <si>
    <t>Could You Survive MAD MAX?</t>
  </si>
  <si>
    <t>2018-10-10T16:21:03Z</t>
  </si>
  <si>
    <t>SgKE8ZJ7OjM</t>
  </si>
  <si>
    <t>4 Impossible Shapes That Break Your Brain</t>
  </si>
  <si>
    <t>2018-04-26T20:45:08Z</t>
  </si>
  <si>
    <t>9X8CU47FEyA</t>
  </si>
  <si>
    <t>Making a Vsauce3 Video</t>
  </si>
  <si>
    <t>2018-02-01T22:38:10Z</t>
  </si>
  <si>
    <t>hV6Swl5O1hs</t>
  </si>
  <si>
    <t>Could You Be A Parasite?</t>
  </si>
  <si>
    <t>2017-12-15T21:24:25Z</t>
  </si>
  <si>
    <t>qGgIC1GkBCw</t>
  </si>
  <si>
    <t>A Video About Not Making A Video</t>
  </si>
  <si>
    <t>2017-10-06T18:01:02Z</t>
  </si>
  <si>
    <t>3d9i_0Ty7Cg</t>
  </si>
  <si>
    <t>Are You In A Simulation?</t>
  </si>
  <si>
    <t>2017-09-21T12:33:28Z</t>
  </si>
  <si>
    <t>dh63v6bXEsA</t>
  </si>
  <si>
    <t>This Video Isn't Real</t>
  </si>
  <si>
    <t>2017-06-08T18:51:30Z</t>
  </si>
  <si>
    <t>AORsw8NpN4E</t>
  </si>
  <si>
    <t>Time ft. Neil deGrasse Tyson</t>
  </si>
  <si>
    <t>2017-03-07T15:00:13Z</t>
  </si>
  <si>
    <t>nSvIxDbfk3k</t>
  </si>
  <si>
    <t>Can You See Me?</t>
  </si>
  <si>
    <t>2017-02-12T20:11:35Z</t>
  </si>
  <si>
    <t>F0W6p1vN58Y</t>
  </si>
  <si>
    <t>The Final Appisode</t>
  </si>
  <si>
    <t>2017-01-18T21:35:51Z</t>
  </si>
  <si>
    <t>wOQ8H2t6I1I</t>
  </si>
  <si>
    <t>∞²</t>
  </si>
  <si>
    <t>2016-12-29T18:31:40Z</t>
  </si>
  <si>
    <t>5NhijmGTwwo</t>
  </si>
  <si>
    <t>Could You Survive Home Alone?</t>
  </si>
  <si>
    <t>2016-12-15T20:23:00Z</t>
  </si>
  <si>
    <t>BmSTUQncitk</t>
  </si>
  <si>
    <t>Is THIS The Deadliest Pokémon?</t>
  </si>
  <si>
    <t>2016-11-18T22:30:45Z</t>
  </si>
  <si>
    <t>5RAl8xATLzc</t>
  </si>
  <si>
    <t>Why Mars?</t>
  </si>
  <si>
    <t>2016-11-10T17:28:24Z</t>
  </si>
  <si>
    <t>VpB3kan4BHQ</t>
  </si>
  <si>
    <t>The Most Terrifying Time Travel Paradox!</t>
  </si>
  <si>
    <t>2016-10-05T17:00:32Z</t>
  </si>
  <si>
    <t>hSUOsR_Si2M</t>
  </si>
  <si>
    <t>ANNOUNCEMENT</t>
  </si>
  <si>
    <t>2016-09-03T00:43:11Z</t>
  </si>
  <si>
    <t>GOoFkwj91pk</t>
  </si>
  <si>
    <t>The Terrifying Reality of Interstellar Travel</t>
  </si>
  <si>
    <t>2016-08-25T21:08:17Z</t>
  </si>
  <si>
    <t>20Fq2huhvEI</t>
  </si>
  <si>
    <t>What If You Were A Giant?</t>
  </si>
  <si>
    <t>2016-07-03T19:52:30Z</t>
  </si>
  <si>
    <t>CJLMCT1aXRM</t>
  </si>
  <si>
    <t>What if the World Ended?</t>
  </si>
  <si>
    <t>2016-05-26T19:14:27Z</t>
  </si>
  <si>
    <t>RGBID5G2RB0</t>
  </si>
  <si>
    <t>What if Captain America's Shield Hit You?</t>
  </si>
  <si>
    <t>2016-05-12T17:30:16Z</t>
  </si>
  <si>
    <t>bSAX2Z5GNYo</t>
  </si>
  <si>
    <t>Are You a Mutant?</t>
  </si>
  <si>
    <t>2016-04-22T17:20:30Z</t>
  </si>
  <si>
    <t>ME1XNMjXjZU</t>
  </si>
  <si>
    <t>4 Logical Paradoxes!!</t>
  </si>
  <si>
    <t>2016-03-08T21:30:58Z</t>
  </si>
  <si>
    <t>qe72eAZsA5c</t>
  </si>
  <si>
    <t>What if You Were Shoryukened?</t>
  </si>
  <si>
    <t>2015-12-05T21:03:54Z</t>
  </si>
  <si>
    <t>YvGlBFjxvgY</t>
  </si>
  <si>
    <t>Could You Survive a Fallout?</t>
  </si>
  <si>
    <t>2015-11-23T21:51:39Z</t>
  </si>
  <si>
    <t>-6NZMAbfmW0</t>
  </si>
  <si>
    <t>Could You Rip Out A Spine?</t>
  </si>
  <si>
    <t>2015-11-15T15:06:40Z</t>
  </si>
  <si>
    <t>KvonpqDKRes</t>
  </si>
  <si>
    <t>This Will Give You Nightmares! -- Game LÜT #34</t>
  </si>
  <si>
    <t>2015-10-20T18:06:36Z</t>
  </si>
  <si>
    <t>nsMxsIZSg08</t>
  </si>
  <si>
    <t>4 STRANGE Paranormal Phenomena! feat. Jack Black</t>
  </si>
  <si>
    <t>2015-10-12T20:24:45Z</t>
  </si>
  <si>
    <t>ygx0zcG5E8Y</t>
  </si>
  <si>
    <t>Can We Stop An Earthquake?</t>
  </si>
  <si>
    <t>2015-10-08T18:15:14Z</t>
  </si>
  <si>
    <t>Cla8sAiQqc4</t>
  </si>
  <si>
    <t>The Real Silent Hill: A Town Burning for 64 years</t>
  </si>
  <si>
    <t>2015-09-30T18:25:05Z</t>
  </si>
  <si>
    <t>iJwZ3uBzQV0</t>
  </si>
  <si>
    <t>What Happens When a Meteorite Strikes Earth?</t>
  </si>
  <si>
    <t>2015-09-24T18:08:14Z</t>
  </si>
  <si>
    <t>iNKgSPuWs-4</t>
  </si>
  <si>
    <t>10 Awesome FREE Mobile Apps! -- AAK #24</t>
  </si>
  <si>
    <t>2015-09-09T17:06:59Z</t>
  </si>
  <si>
    <t>2bT5Q8GEp2E</t>
  </si>
  <si>
    <t>The Most Exclusive Website in the World? -- DONG</t>
  </si>
  <si>
    <t>2015-08-28T18:26:27Z</t>
  </si>
  <si>
    <t>BIePWBgKaXw</t>
  </si>
  <si>
    <t>Is Mario Really Evil?</t>
  </si>
  <si>
    <t>2015-08-14T17:01:43Z</t>
  </si>
  <si>
    <t>-ILgn5X6FsU</t>
  </si>
  <si>
    <t>Print Your Own Hylian Shield! -- Game LÜT #33</t>
  </si>
  <si>
    <t>2015-08-04T16:14:50Z</t>
  </si>
  <si>
    <t>7RJz4GqtR0Q</t>
  </si>
  <si>
    <t>Pikachu Will Kill You!</t>
  </si>
  <si>
    <t>2015-07-22T18:25:36Z</t>
  </si>
  <si>
    <t>xkvo-DrU2gM</t>
  </si>
  <si>
    <t>What Would Happen if You Were Shrunk?</t>
  </si>
  <si>
    <t>2015-07-14T19:54:19Z</t>
  </si>
  <si>
    <t>8EWIU2O_CdQ</t>
  </si>
  <si>
    <t>How Big is Snapchat? -- DONG</t>
  </si>
  <si>
    <t>2015-07-12T17:48:17Z</t>
  </si>
  <si>
    <t>yBbpWauMHXo</t>
  </si>
  <si>
    <t>EAT ME! -- Game LÜT #32</t>
  </si>
  <si>
    <t>2015-06-02T20:42:59Z</t>
  </si>
  <si>
    <t>pMzBiyLVfd8</t>
  </si>
  <si>
    <t>10 Awesome Mobile Games! -- App All Knight #23</t>
  </si>
  <si>
    <t>2015-05-21T17:45:57Z</t>
  </si>
  <si>
    <t>hjHdcGgF_wE</t>
  </si>
  <si>
    <t>One of These is a Different Color! -- DONG</t>
  </si>
  <si>
    <t>2015-05-12T21:15:15Z</t>
  </si>
  <si>
    <t>u2cphuMbqfc</t>
  </si>
  <si>
    <t>Could You Live Forever?</t>
  </si>
  <si>
    <t>2015-04-28T16:05:47Z</t>
  </si>
  <si>
    <t>ZJ8KThKAfbs</t>
  </si>
  <si>
    <t>Has an AI discovered new maths?</t>
  </si>
  <si>
    <t>2026-07-06T16:25:01Z</t>
  </si>
  <si>
    <t>UCSju5G2aFaWMqn-_0YBtq5A</t>
  </si>
  <si>
    <t>Stand-up Maths</t>
  </si>
  <si>
    <t>XllQPr8FtPE</t>
  </si>
  <si>
    <t>The paper scale system is broken.</t>
  </si>
  <si>
    <t>2026-05-14T16:00:49Z</t>
  </si>
  <si>
    <t>kH_bSvf7EVA</t>
  </si>
  <si>
    <t>What is up with UK bridge height signs?</t>
  </si>
  <si>
    <t>2026-04-27T19:19:57Z</t>
  </si>
  <si>
    <t>x3dE-NJ1UDQ</t>
  </si>
  <si>
    <t>How to break Magic the Gathering.</t>
  </si>
  <si>
    <t>2026-03-31T22:41:38Z</t>
  </si>
  <si>
    <t>kahGSss6SsU</t>
  </si>
  <si>
    <t>Calculating pi from coin flips (without randomness)</t>
  </si>
  <si>
    <t>2026-03-14T10:01:04Z</t>
  </si>
  <si>
    <t>IY0pf0-Daew</t>
  </si>
  <si>
    <t>Calculating pi with a lunar rover (Moon Pi Update!)</t>
  </si>
  <si>
    <t>2026-03-09T11:24:22Z</t>
  </si>
  <si>
    <t>kT4p1GXq4HY</t>
  </si>
  <si>
    <t>The magic of adding random noise to black and white images.</t>
  </si>
  <si>
    <t>2026-03-01T17:26:33Z</t>
  </si>
  <si>
    <t>CYjD9cpxT18</t>
  </si>
  <si>
    <t>When maths marketing goes wrong.</t>
  </si>
  <si>
    <t>2026-02-23T16:05:33Z</t>
  </si>
  <si>
    <t>TNWl-0rle4A</t>
  </si>
  <si>
    <t>Why do all random graphs end up identical?</t>
  </si>
  <si>
    <t>2025-12-11T17:40:22Z</t>
  </si>
  <si>
    <t>eeVaUNPxXy8</t>
  </si>
  <si>
    <t>New shape discovered!</t>
  </si>
  <si>
    <t>2025-12-05T16:46:22Z</t>
  </si>
  <si>
    <t>yoR2obq4YUw</t>
  </si>
  <si>
    <t>The fewest items of clothes to never repeat an outfit.</t>
  </si>
  <si>
    <t>2025-11-26T10:20:54Z</t>
  </si>
  <si>
    <t>JrLSfSh43oA</t>
  </si>
  <si>
    <t>This random noise won an Oscar.</t>
  </si>
  <si>
    <t>2025-11-23T16:34:24Z</t>
  </si>
  <si>
    <t>2XUKxM7ZBao</t>
  </si>
  <si>
    <t>How many holes does this mug have?</t>
  </si>
  <si>
    <t>2025-11-18T08:59:23Z</t>
  </si>
  <si>
    <t>XXKjDkmxixA</t>
  </si>
  <si>
    <t>Are these the luckiest dice rolls in TV history?</t>
  </si>
  <si>
    <t>2025-09-30T13:34:27Z</t>
  </si>
  <si>
    <t>Dx7f-nGohVc</t>
  </si>
  <si>
    <t>A century-old knot conjecture was wrong all along</t>
  </si>
  <si>
    <t>2025-09-26T12:49:56Z</t>
  </si>
  <si>
    <t>VwIKKBL4ldQ</t>
  </si>
  <si>
    <t>We have statistical evidence that people are mildly psychic</t>
  </si>
  <si>
    <t>2025-09-22T22:34:50Z</t>
  </si>
  <si>
    <t>b6S5gHjuN48</t>
  </si>
  <si>
    <t>Maths has finally discovered a self-righting tetrahedron!</t>
  </si>
  <si>
    <t>2025-09-02T14:58:17Z</t>
  </si>
  <si>
    <t>eqyuQZHfNPQ</t>
  </si>
  <si>
    <t>Why 2025 is numerically the best year.</t>
  </si>
  <si>
    <t>2025-08-28T21:16:06Z</t>
  </si>
  <si>
    <t>nsj3gTGh9K0</t>
  </si>
  <si>
    <t>These pixels count themselves.</t>
  </si>
  <si>
    <t>2025-07-31T19:52:33Z</t>
  </si>
  <si>
    <t>0WqpLYrWu7g</t>
  </si>
  <si>
    <t>Why does -2^x look so strange?</t>
  </si>
  <si>
    <t>2025-06-30T17:44:24Z</t>
  </si>
  <si>
    <t>0OP9guFmWfs</t>
  </si>
  <si>
    <t>This fractal is more complex than the Mandelbrot set</t>
  </si>
  <si>
    <t>2025-06-28T21:19:55Z</t>
  </si>
  <si>
    <t>zAYSK34W1qk</t>
  </si>
  <si>
    <t>Does having a beard give basketballers an advantage?</t>
  </si>
  <si>
    <t>2025-06-17T15:53:26Z</t>
  </si>
  <si>
    <t>nGtVej1Qx5Y</t>
  </si>
  <si>
    <t>I’m going to calculate π on the Moon. Literally.</t>
  </si>
  <si>
    <t>2025-06-11T14:00:15Z</t>
  </si>
  <si>
    <t>uc0OU1yJD-c</t>
  </si>
  <si>
    <t>Is Mr Beast Cheating His Progress Bars?</t>
  </si>
  <si>
    <t>2025-05-30T16:52:06Z</t>
  </si>
  <si>
    <t>sGCmu7YKgPA</t>
  </si>
  <si>
    <t>New maths discoveries! All announced at once!</t>
  </si>
  <si>
    <t>2025-05-14T16:55:54Z</t>
  </si>
  <si>
    <t>QafT9FgO7rw</t>
  </si>
  <si>
    <t>We can fix UK currency with a £1.75 coin</t>
  </si>
  <si>
    <t>2025-04-30T20:54:57Z</t>
  </si>
  <si>
    <t>j04IAbWCszg</t>
  </si>
  <si>
    <t>Explaining the Trump Tariff Equation</t>
  </si>
  <si>
    <t>2025-04-07T00:03:04Z</t>
  </si>
  <si>
    <t>vlUTlbZT4ig</t>
  </si>
  <si>
    <t>We calculated pi with colliding blocks</t>
  </si>
  <si>
    <t>2025-03-13T15:40:44Z</t>
  </si>
  <si>
    <t>1HwKCvsdXiw</t>
  </si>
  <si>
    <t>Mathematicians finally find the infinite card game.</t>
  </si>
  <si>
    <t>2025-03-07T20:30:47Z</t>
  </si>
  <si>
    <t>dNTnk1VFoJY</t>
  </si>
  <si>
    <t>Golf balls: how many holes in one?</t>
  </si>
  <si>
    <t>2025-02-27T18:18:21Z</t>
  </si>
  <si>
    <t>0D2ywrLr1cs</t>
  </si>
  <si>
    <t>Can I 3D print a minimal infinite surface?</t>
  </si>
  <si>
    <t>2025-02-14T14:46:54Z</t>
  </si>
  <si>
    <t>h6ws1znxvF4</t>
  </si>
  <si>
    <t>I walked the length of a state (ish)</t>
  </si>
  <si>
    <t>2025-02-01T19:07:39Z</t>
  </si>
  <si>
    <t>Vv-lWg5HNaM</t>
  </si>
  <si>
    <t>Do numerical pain scales mean anything?</t>
  </si>
  <si>
    <t>2025-01-16T16:07:24Z</t>
  </si>
  <si>
    <t>wqOb5n3BIn0</t>
  </si>
  <si>
    <t>18 mathematicians break my secret santa method</t>
  </si>
  <si>
    <t>2024-12-23T21:46:40Z</t>
  </si>
  <si>
    <t>6pLz8wEQYkA</t>
  </si>
  <si>
    <t>New divisibility rule! (30,000 of them)</t>
  </si>
  <si>
    <t>2024-11-21T18:32:50Z</t>
  </si>
  <si>
    <t>KXQ1ieFRr0o</t>
  </si>
  <si>
    <t>Can the "Red Mirage" and "Blue Shift" be explained with math? ELECTION 2024</t>
  </si>
  <si>
    <t>2024-11-05T20:50:50Z</t>
  </si>
  <si>
    <t>5vbk0TwkokM</t>
  </si>
  <si>
    <t>How on Earth does ^.?$|^(..+?)\1+$ produce primes?</t>
  </si>
  <si>
    <t>2024-10-31T01:23:33Z</t>
  </si>
  <si>
    <t>GyNbLtiAgj4</t>
  </si>
  <si>
    <t>What do we know about Asteroid 314159 aka ‘Mattparker’?</t>
  </si>
  <si>
    <t>2024-10-25T16:08:21Z</t>
  </si>
  <si>
    <t>zsyGRDrDfbI</t>
  </si>
  <si>
    <t>New largest prime number found! See all 41,024,320 digits.</t>
  </si>
  <si>
    <t>2024-10-21T15:45:06Z</t>
  </si>
  <si>
    <t>b5nElEbbnfU</t>
  </si>
  <si>
    <t>How can a jigsaw have two distinct solutions?</t>
  </si>
  <si>
    <t>ga9Qk38FaHM</t>
  </si>
  <si>
    <t>The unexpected probability result confusing everyone</t>
  </si>
  <si>
    <t>2024-09-10T15:22:43Z</t>
  </si>
  <si>
    <t>Abmm85aqeWk</t>
  </si>
  <si>
    <t>Are accurate election predictions luck or skill?</t>
  </si>
  <si>
    <t>2024-08-31T18:00:56Z</t>
  </si>
  <si>
    <t>QYUE696k6GY</t>
  </si>
  <si>
    <t>We shot a YouTube video about film formats on 35mm film</t>
  </si>
  <si>
    <t>2024-08-26T22:01:01Z</t>
  </si>
  <si>
    <t>AHP1T8fTxpQ</t>
  </si>
  <si>
    <t>The Bingo Paradox: 3× more likely to win</t>
  </si>
  <si>
    <t>2024-08-21T00:34:54Z</t>
  </si>
  <si>
    <t>XZy3rXr2yeM</t>
  </si>
  <si>
    <t>The search for the biggest shape in the universe.</t>
  </si>
  <si>
    <t>2024-08-16T18:39:52Z</t>
  </si>
  <si>
    <t>SYBRxqEE4XQ</t>
  </si>
  <si>
    <t>Search for the mythological Klein-ing Frame</t>
  </si>
  <si>
    <t>2024-08-08T20:22:10Z</t>
  </si>
  <si>
    <t>XB5xuAhrkWE</t>
  </si>
  <si>
    <t>The Greenwich Meridian is in the wrong place</t>
  </si>
  <si>
    <t>2024-08-02T18:09:23Z</t>
  </si>
  <si>
    <t>K-hdJIWsK3A</t>
  </si>
  <si>
    <t>Surprise results I found as an election Count Agent</t>
  </si>
  <si>
    <t>2024-07-12T17:37:26Z</t>
  </si>
  <si>
    <t>zDLxgEquxA0</t>
  </si>
  <si>
    <t>UK Election charts are a nightmare</t>
  </si>
  <si>
    <t>2024-07-03T17:08:54Z</t>
  </si>
  <si>
    <t>fqq8enTDzMY</t>
  </si>
  <si>
    <t>Is pool actually just mathematics?</t>
  </si>
  <si>
    <t>2024-06-21T19:00:09Z</t>
  </si>
  <si>
    <t>g_qbIsltNmQ</t>
  </si>
  <si>
    <t>The first known maths author</t>
  </si>
  <si>
    <t>2024-06-13T15:00:08Z</t>
  </si>
  <si>
    <t>daVny9y72UE</t>
  </si>
  <si>
    <t>The shape that should be impossible.</t>
  </si>
  <si>
    <t>2024-06-05T15:54:57Z</t>
  </si>
  <si>
    <t>MesBw3gF6Vs</t>
  </si>
  <si>
    <t>New 7-direction pencil model discovered!</t>
  </si>
  <si>
    <t>2024-05-31T15:42:42Z</t>
  </si>
  <si>
    <t>_cAl3FlQZ9Q</t>
  </si>
  <si>
    <t>The mathematically impossible ball that shouldn’t exist.</t>
  </si>
  <si>
    <t>2024-05-22T16:25:40Z</t>
  </si>
  <si>
    <t>MhJN9sByRS0</t>
  </si>
  <si>
    <t>When a complicated proof simplifies everything</t>
  </si>
  <si>
    <t>2024-05-17T14:03:22Z</t>
  </si>
  <si>
    <t>ei58gGM9Z8k</t>
  </si>
  <si>
    <t>The Minecraft boat-drop mystery</t>
  </si>
  <si>
    <t>2024-03-30T18:40:30Z</t>
  </si>
  <si>
    <t>LIg-6glbLkU</t>
  </si>
  <si>
    <t>The biggest hand calculation in a century! [Pi Day 2024]</t>
  </si>
  <si>
    <t>2024-03-13T15:14:08Z</t>
  </si>
  <si>
    <t>1LCEiVDHJmc</t>
  </si>
  <si>
    <t>Rotation without rotating.</t>
  </si>
  <si>
    <t>2024-03-08T15:19:57Z</t>
  </si>
  <si>
    <t>oTWeuyDMgwo</t>
  </si>
  <si>
    <t>The Five Compound Platonic Solids</t>
  </si>
  <si>
    <t>2024-03-06T15:00:45Z</t>
  </si>
  <si>
    <t>To7Ll5AGboI</t>
  </si>
  <si>
    <t>The beautiful maths which makes 5G faster than 4G, faster than 3G, faster than...</t>
  </si>
  <si>
    <t>2024-02-29T18:04:00Z</t>
  </si>
  <si>
    <t>FAdmpAZTH_M</t>
  </si>
  <si>
    <t>The 1,200 Year Maths Mistake</t>
  </si>
  <si>
    <t>2024-02-22T18:03:51Z</t>
  </si>
  <si>
    <t>ErBbyLu-M94</t>
  </si>
  <si>
    <t>The mystery of 0.8660254037844386467637231707529361834714026269051903140279034897...</t>
  </si>
  <si>
    <t>2024-02-13T19:27:16Z</t>
  </si>
  <si>
    <t>nV8YNWjB5DQ</t>
  </si>
  <si>
    <t>Why do all shapes lie in the Polyhedron Plane?</t>
  </si>
  <si>
    <t>2024-01-31T22:58:20Z</t>
  </si>
  <si>
    <t>TeY1fY0Bi_M</t>
  </si>
  <si>
    <t>Rarefaction curves and advanced mothematics .</t>
  </si>
  <si>
    <t>2024-01-27T13:15:25Z</t>
  </si>
  <si>
    <t>VHelUNnq5To</t>
  </si>
  <si>
    <t>Why are the ice shelves collapsing?</t>
  </si>
  <si>
    <t>2024-01-05T17:03:29Z</t>
  </si>
  <si>
    <t>e1Kw3yJoNxw</t>
  </si>
  <si>
    <t>I designed a silly but semi-functional computer.</t>
  </si>
  <si>
    <t>2023-11-27T16:53:05Z</t>
  </si>
  <si>
    <t>4l16zI0sYRs</t>
  </si>
  <si>
    <t>Chicago has a problem until the year 2083.</t>
  </si>
  <si>
    <t>2023-10-30T16:30:09Z</t>
  </si>
  <si>
    <t>tLPL8pM8Xkw</t>
  </si>
  <si>
    <t>Why does Vegas have its own value of pi?</t>
  </si>
  <si>
    <t>2023-10-24T17:29:34Z</t>
  </si>
  <si>
    <t>a_fTA4UeFls</t>
  </si>
  <si>
    <t>The Neat Alignment of the World's Biggest Antiprism</t>
  </si>
  <si>
    <t>2023-10-18T14:01:02Z</t>
  </si>
  <si>
    <t>SsGEcLwjgEg</t>
  </si>
  <si>
    <t>A needlessly complicated but awesome bridge.</t>
  </si>
  <si>
    <t>2023-08-31T15:14:45Z</t>
  </si>
  <si>
    <t>hSHWlMReAzc</t>
  </si>
  <si>
    <t>Mirror-image Mirror Balls: introducing the Kite-Rhombus Hectapentacontahedron</t>
  </si>
  <si>
    <t>2023-08-21T16:12:11Z</t>
  </si>
  <si>
    <t>sB2X5l5CsNs</t>
  </si>
  <si>
    <t>An unexciting video about distance derivatives</t>
  </si>
  <si>
    <t>2023-08-01T14:11:47Z</t>
  </si>
  <si>
    <t>ZPMR_UT75a8</t>
  </si>
  <si>
    <t>How many ways can you join regular pentagons?</t>
  </si>
  <si>
    <t>2023-07-07T16:55:42Z</t>
  </si>
  <si>
    <t>IuUMxNfDfFY</t>
  </si>
  <si>
    <t>Unexpected science from a 0.000001 megapixel home-made telescope</t>
  </si>
  <si>
    <t>2023-06-06T16:29:14Z</t>
  </si>
  <si>
    <t>yh5c3duQQ1w</t>
  </si>
  <si>
    <t>We analysed 4,678,387 NBA shots</t>
  </si>
  <si>
    <t>2023-05-30T14:40:33Z</t>
  </si>
  <si>
    <t>A0L_PZwuGHY</t>
  </si>
  <si>
    <t>Behold all-new equations for triangles!</t>
  </si>
  <si>
    <t>2023-04-26T13:46:31Z</t>
  </si>
  <si>
    <t>YoGGhKJ8KTM</t>
  </si>
  <si>
    <t>I Discovered a Maths Loophole in UK Tax</t>
  </si>
  <si>
    <t>2023-04-20T13:40:51Z</t>
  </si>
  <si>
    <t>5cJK9VJ24hQ</t>
  </si>
  <si>
    <t>Are There Any 3-Landlocked Countries?</t>
  </si>
  <si>
    <t>2023-04-03T16:06:02Z</t>
  </si>
  <si>
    <t>bUuGy5agBfg</t>
  </si>
  <si>
    <t>Was Michael Jackson's hair catching fire in a Pepsi ad the exact mid-point of his life?</t>
  </si>
  <si>
    <t>2023-03-17T15:00:23Z</t>
  </si>
  <si>
    <t>_ZbUyS2IRMo</t>
  </si>
  <si>
    <t>Using an Out-of-Control Car to Calculate π.</t>
  </si>
  <si>
    <t>2023-03-10T15:30:55Z</t>
  </si>
  <si>
    <t>ETRpkp03stQ</t>
  </si>
  <si>
    <t>The 56-Year Argument About a Hopping Hoop</t>
  </si>
  <si>
    <t>2023-02-27T16:34:13Z</t>
  </si>
  <si>
    <t>F_43oTnTXiw</t>
  </si>
  <si>
    <t>Beware the Runge Spikes!</t>
  </si>
  <si>
    <t>2023-02-06T17:46:57Z</t>
  </si>
  <si>
    <t>os0a5au_3Mo</t>
  </si>
  <si>
    <t>The Genius Geometry of the James Webb Space Telescope</t>
  </si>
  <si>
    <t>2023-01-18T16:28:30Z</t>
  </si>
  <si>
    <t>HcFvegnQpPo</t>
  </si>
  <si>
    <t>Once a Millennium Alignment of All Three Norths</t>
  </si>
  <si>
    <t>2022-12-19T14:25:35Z</t>
  </si>
  <si>
    <t>mUK-j5bKk0Q</t>
  </si>
  <si>
    <t>Making efficient Platonic and Archimedean shapes in a kaleidoscope</t>
  </si>
  <si>
    <t>2022-12-06T13:11:05Z</t>
  </si>
  <si>
    <t>jOTTZtVPrgo</t>
  </si>
  <si>
    <t>Can the Same Net Fold into Two Shapes?</t>
  </si>
  <si>
    <t>2022-12-03T05:50:35Z</t>
  </si>
  <si>
    <t>M4f_D17zIBw</t>
  </si>
  <si>
    <t>An infinite number of $1 bills and an infinite number of $20 bills would be worth the same</t>
  </si>
  <si>
    <t>2022-10-31T20:33:55Z</t>
  </si>
  <si>
    <t>OIXsKtywf2E</t>
  </si>
  <si>
    <t>I Found a Whale Using Maths!</t>
  </si>
  <si>
    <t>2022-10-29T22:02:16Z</t>
  </si>
  <si>
    <t>c33AZBnRHks</t>
  </si>
  <si>
    <t>Someone improved my code by 40,832,277,770%</t>
  </si>
  <si>
    <t>2022-10-17T00:40:08Z</t>
  </si>
  <si>
    <t>EGoRJePORHs</t>
  </si>
  <si>
    <t>Can you trust an elegant conjecture?</t>
  </si>
  <si>
    <t>2022-09-13T21:09:09Z</t>
  </si>
  <si>
    <t>_-AfhLQfb6w</t>
  </si>
  <si>
    <t>Can you find: five five-letter words with twenty-five unique letters?</t>
  </si>
  <si>
    <t>2022-08-03T20:28:03Z</t>
  </si>
  <si>
    <t>X_DdGRjtwAo</t>
  </si>
  <si>
    <t>The unexpected logic behind rolling multiple dice and picking the highest.</t>
  </si>
  <si>
    <t>2022-07-01T18:50:24Z</t>
  </si>
  <si>
    <t>PDLQadz1KCc</t>
  </si>
  <si>
    <t>What is wrong with this sine memorisation pattern?</t>
  </si>
  <si>
    <t>2022-06-20T14:52:25Z</t>
  </si>
  <si>
    <t>nMqdRu9gGGs</t>
  </si>
  <si>
    <t>New World Record! 100 Trillion digits of π.</t>
  </si>
  <si>
    <t>2022-06-15T14:48:26Z</t>
  </si>
  <si>
    <t>dET2l8l3upU</t>
  </si>
  <si>
    <t>I found Amongi in the digits of pi!</t>
  </si>
  <si>
    <t>2022-04-29T09:17:18Z</t>
  </si>
  <si>
    <t>jMxoGqsmk5Y</t>
  </si>
  <si>
    <t>How Roman numerals broke the official dog database.</t>
  </si>
  <si>
    <t>2022-04-14T12:16:22Z</t>
  </si>
  <si>
    <t>sseSi0k3Ecg</t>
  </si>
  <si>
    <t>What was the most expensive book ever?</t>
  </si>
  <si>
    <t>2022-04-09T02:07:27Z</t>
  </si>
  <si>
    <t>dtiLxLrzjOQ</t>
  </si>
  <si>
    <t>Can we calculate 100 digits of π by hand? The William Shanks method.</t>
  </si>
  <si>
    <t>2022-03-14T15:14:03Z</t>
  </si>
  <si>
    <t>YvjLmYykGvI</t>
  </si>
  <si>
    <t>I'm sick of this health trend (A sleep scientist's POV)</t>
  </si>
  <si>
    <t>2026-07-17T12:00:17Z</t>
  </si>
  <si>
    <t>UCt_t6FwNsqr3WWoL6dFqG9w</t>
  </si>
  <si>
    <t>BrainCraft</t>
  </si>
  <si>
    <t>I27JlvOYvgo</t>
  </si>
  <si>
    <t>This is the worst option for your sleep (you can stop it) #shorts</t>
  </si>
  <si>
    <t>PLsnIul7ep0</t>
  </si>
  <si>
    <t>Does white noise actually help you sleep? #Shorts</t>
  </si>
  <si>
    <t>2026-06-29T12:40:06Z</t>
  </si>
  <si>
    <t>DA-1j02nOxo</t>
  </si>
  <si>
    <t>When #sleepmaxxing goes too far</t>
  </si>
  <si>
    <t>2026-06-24T12:35:35Z</t>
  </si>
  <si>
    <t>fNj3hDddVZQ</t>
  </si>
  <si>
    <t>Are White Noise Machines a Scam?</t>
  </si>
  <si>
    <t>2026-06-11T13:00:01Z</t>
  </si>
  <si>
    <t>Wr0HdP0vMZQ</t>
  </si>
  <si>
    <t>This viral morning routine is fake &amp; we're still mad #shorts</t>
  </si>
  <si>
    <t>2026-05-29T13:00:16Z</t>
  </si>
  <si>
    <t>U7qqvRV5Vvc</t>
  </si>
  <si>
    <t>The hour before bed is strangely special #Shorts</t>
  </si>
  <si>
    <t>2026-05-16T13:15:03Z</t>
  </si>
  <si>
    <t>xBc9YYdQIpU</t>
  </si>
  <si>
    <t>I spent my PhD asking people why they stay up late</t>
  </si>
  <si>
    <t>2026-05-13T13:01:43Z</t>
  </si>
  <si>
    <t>DsRKaUiCYqo</t>
  </si>
  <si>
    <t>This one thing matters more than worrying about screens #shorts</t>
  </si>
  <si>
    <t>2026-05-01T12:00:34Z</t>
  </si>
  <si>
    <t>3QMIgDLLxD0</t>
  </si>
  <si>
    <t>I tried to perfect my baby's sleep with science (it didn't really work) #shorts</t>
  </si>
  <si>
    <t>2026-04-16T13:00:11Z</t>
  </si>
  <si>
    <t>dziibv9yUtM</t>
  </si>
  <si>
    <t>Why scientists hate the BIG LIGHT (ft @drnaomikohbelic)</t>
  </si>
  <si>
    <t>2026-04-08T12:01:12Z</t>
  </si>
  <si>
    <t>DN7ohY7OlFI</t>
  </si>
  <si>
    <t>Why we delay bedtime (and why it makes sense)</t>
  </si>
  <si>
    <t>2026-03-19T12:30:17Z</t>
  </si>
  <si>
    <t>9ZXQSvQbBrE</t>
  </si>
  <si>
    <t>The honest truth about screens at bedtime (it’s not what you think)</t>
  </si>
  <si>
    <t>2026-03-13T12:30:22Z</t>
  </si>
  <si>
    <t>m2o-kNl902k</t>
  </si>
  <si>
    <t>Daylight Saving Time still exists because of capitalism</t>
  </si>
  <si>
    <t>2026-03-06T16:15:34Z</t>
  </si>
  <si>
    <t>93q0tK6bP5c</t>
  </si>
  <si>
    <t>Screen time limits are changing (a researcher's POV) #Shorts</t>
  </si>
  <si>
    <t>2026-02-24T14:55:00Z</t>
  </si>
  <si>
    <t>Rj86YjGWOv0</t>
  </si>
  <si>
    <t>How New Habits Can Actually Stick</t>
  </si>
  <si>
    <t>2026-01-06T13:00:56Z</t>
  </si>
  <si>
    <t>WgNBanbztNY</t>
  </si>
  <si>
    <t>You Don’t Think About 67% of Your Behavior</t>
  </si>
  <si>
    <t>2025-12-17T14:00:55Z</t>
  </si>
  <si>
    <t>FoNrx-7Xr-s</t>
  </si>
  <si>
    <t>Sleep Scientist Reacts to TikTok’s Potato Bed</t>
  </si>
  <si>
    <t>2025-12-04T13:00:36Z</t>
  </si>
  <si>
    <t>4YX7MLjfJQ4</t>
  </si>
  <si>
    <t>My Gen Z editor made this 💀 #Shorts</t>
  </si>
  <si>
    <t>2025-11-27T13:00:10Z</t>
  </si>
  <si>
    <t>iyxvBgacDTg</t>
  </si>
  <si>
    <t>One popular sleep aid we can't mention #shorts</t>
  </si>
  <si>
    <t>2025-11-18T13:30:49Z</t>
  </si>
  <si>
    <t>OQcLd5SVHSE</t>
  </si>
  <si>
    <t>Did they read the study? [part 3] #shorts</t>
  </si>
  <si>
    <t>2025-11-04T13:30:34Z</t>
  </si>
  <si>
    <t>ZCHwZ_EYUPA</t>
  </si>
  <si>
    <t>My clinical trial just got published… here’s what I learned #shorts</t>
  </si>
  <si>
    <t>2025-10-21T12:30:50Z</t>
  </si>
  <si>
    <t>8togYehaD5w</t>
  </si>
  <si>
    <t>I wore pyjamas to my PhD graduation #shorts</t>
  </si>
  <si>
    <t>2025-09-18T12:30:18Z</t>
  </si>
  <si>
    <t>rcUaGiWUF5I</t>
  </si>
  <si>
    <t>The truth about kiwi fruit &amp; sleep #shorts</t>
  </si>
  <si>
    <t>2025-09-09T12:31:10Z</t>
  </si>
  <si>
    <t>Lz7UC6LUnTE</t>
  </si>
  <si>
    <t>I guess we'll never know 🤷🏻‍♀️ #shorts</t>
  </si>
  <si>
    <t>2025-08-29T12:00:52Z</t>
  </si>
  <si>
    <t>ByxZuwgYXC4</t>
  </si>
  <si>
    <t>Bedtime procrastination is really hard to stop #shorts</t>
  </si>
  <si>
    <t>2025-08-22T16:00:14Z</t>
  </si>
  <si>
    <t>GPWoGKNqLPY</t>
  </si>
  <si>
    <t>I Put ChatGPT 5’s ‘PhD Intelligence’ to the Test</t>
  </si>
  <si>
    <t>2025-08-15T12:30:17Z</t>
  </si>
  <si>
    <t>7hiT3PYtG4M</t>
  </si>
  <si>
    <t>Bedtimes aren’t boring #SamsungPartner</t>
  </si>
  <si>
    <t>2025-08-08T13:00:22Z</t>
  </si>
  <si>
    <t>rK-bzOq9yS4</t>
  </si>
  <si>
    <t>Why Every Adult Needs a Bedtime</t>
  </si>
  <si>
    <t>2025-08-07T13:01:45Z</t>
  </si>
  <si>
    <t>90Sr0VhbDGs</t>
  </si>
  <si>
    <t>I finished my PhD. Now what?</t>
  </si>
  <si>
    <t>2025-07-02T12:00:17Z</t>
  </si>
  <si>
    <t>w2PvRx4LPS4</t>
  </si>
  <si>
    <t>I finished my PhD #shorts</t>
  </si>
  <si>
    <t>2025-05-10T04:58:45Z</t>
  </si>
  <si>
    <t>vnq98MPkuv4</t>
  </si>
  <si>
    <t>Can AI actually make us healthier? #shorts</t>
  </si>
  <si>
    <t>2025-02-21T12:01:33Z</t>
  </si>
  <si>
    <t>Ry8MDik3rCM</t>
  </si>
  <si>
    <t>My Sleep Deprivation Daily Routine #shorts</t>
  </si>
  <si>
    <t>2024-12-20T15:10:57Z</t>
  </si>
  <si>
    <t>vxsDGkmhp7Y</t>
  </si>
  <si>
    <t>I Didn't Want to Make This Sleep Deprivation Video (But I Did)</t>
  </si>
  <si>
    <t>2024-12-17T14:01:04Z</t>
  </si>
  <si>
    <t>guwbvSPhUbU</t>
  </si>
  <si>
    <t>Delivered my first baby - #PhD done 🤓#shorts</t>
  </si>
  <si>
    <t>2024-10-03T12:30:42Z</t>
  </si>
  <si>
    <t>xGLUmSjpJjg</t>
  </si>
  <si>
    <t>My Sleep Consistency Challenge 💪 #shorts</t>
  </si>
  <si>
    <t>2024-09-26T14:00:55Z</t>
  </si>
  <si>
    <t>iOTPOjyQzmg</t>
  </si>
  <si>
    <t>The Formula to Stop Feeling Tired</t>
  </si>
  <si>
    <t>2024-09-24T13:00:49Z</t>
  </si>
  <si>
    <t>k-iV0MZINr4</t>
  </si>
  <si>
    <t>Should you stop drinking coffee? #shorts</t>
  </si>
  <si>
    <t>2024-06-07T13:00:50Z</t>
  </si>
  <si>
    <t>UYjQiIRffSA</t>
  </si>
  <si>
    <t>Can Kiwi Fruit Really Help You Sleep? #shorts</t>
  </si>
  <si>
    <t>2024-05-31T13:00:28Z</t>
  </si>
  <si>
    <t>hnU3QuJJJCw</t>
  </si>
  <si>
    <t>Join a free, personalised sleep program | #bedtimeprocrastination #research #shorts</t>
  </si>
  <si>
    <t>2024-05-02T00:04:27Z</t>
  </si>
  <si>
    <t>nQg9S54e160</t>
  </si>
  <si>
    <t>How to cope when life is terrible</t>
  </si>
  <si>
    <t>2024-04-09T13:00:44Z</t>
  </si>
  <si>
    <t>qYpoJlENbc4</t>
  </si>
  <si>
    <t>A surprising way to help your sleep #shorts #sleepygirlmocktail</t>
  </si>
  <si>
    <t>2024-02-19T21:27:31Z</t>
  </si>
  <si>
    <t>Jp_yos0Tdqs</t>
  </si>
  <si>
    <t>It's not too late for a new year's resolution #shorts</t>
  </si>
  <si>
    <t>2024-01-30T18:15:05Z</t>
  </si>
  <si>
    <t>6RhHHB2W5HI</t>
  </si>
  <si>
    <t>Which generation gets the best sleep? #shorts</t>
  </si>
  <si>
    <t>2023-12-08T14:00:07Z</t>
  </si>
  <si>
    <t>PX8DtFUrHzY</t>
  </si>
  <si>
    <t>Does your country get the best sleep? (and why?)</t>
  </si>
  <si>
    <t>2023-12-06T14:15:01Z</t>
  </si>
  <si>
    <t>o7TjiMjmVpM</t>
  </si>
  <si>
    <t>Reading My Research to Put You to Sleep (Again) 💤 | insomnia sleep aid | calm reading</t>
  </si>
  <si>
    <t>2023-11-24T11:00:47Z</t>
  </si>
  <si>
    <t>KlD3mlSivGk</t>
  </si>
  <si>
    <t>3 Tips to Manage Tough Conversations Over the Holidays #shorts</t>
  </si>
  <si>
    <t>2023-11-21T17:00:14Z</t>
  </si>
  <si>
    <t>4n6Hi9t-Vs0</t>
  </si>
  <si>
    <t>3 Ways to (Actually) be More Open-Minded #shorts #psychology #humility</t>
  </si>
  <si>
    <t>2023-10-27T13:05:00Z</t>
  </si>
  <si>
    <t>WNybMrnrYv8</t>
  </si>
  <si>
    <t>5 Questions to Test if You’re Open-Minded #shorts #psychology</t>
  </si>
  <si>
    <t>2023-10-24T16:28:43Z</t>
  </si>
  <si>
    <t>B4pv0VgPt-A</t>
  </si>
  <si>
    <t>Are You Really Open-Minded? (or can I change your mind?)</t>
  </si>
  <si>
    <t>2023-10-20T13:00:08Z</t>
  </si>
  <si>
    <t>dyAVsQS2ISc</t>
  </si>
  <si>
    <t>My New Research Paper’s Hidden Surprise #shorts #sleep #comedy</t>
  </si>
  <si>
    <t>2023-10-06T16:30:37Z</t>
  </si>
  <si>
    <t>isOelQDnlls</t>
  </si>
  <si>
    <t>Can this audio illusion control your mind? | Debunking binaural beats</t>
  </si>
  <si>
    <t>2023-09-13T12:30:33Z</t>
  </si>
  <si>
    <t>kX3JKg-H5qM</t>
  </si>
  <si>
    <t>You Need to Rest (I'm sick of this TikTok trend reaction)</t>
  </si>
  <si>
    <t>2023-08-03T12:15:03Z</t>
  </si>
  <si>
    <t>DRqKwANYM5U</t>
  </si>
  <si>
    <t>I Tried 5 Methods to Boost Self-Esteem</t>
  </si>
  <si>
    <t>2023-06-22T12:30:05Z</t>
  </si>
  <si>
    <t>Tvv_3FDOp5g</t>
  </si>
  <si>
    <t>Tired of Procrastinating Sleep? Join My Research! (participants needed!)</t>
  </si>
  <si>
    <t>2023-06-19T12:30:25Z</t>
  </si>
  <si>
    <t>OajURvM3OeI</t>
  </si>
  <si>
    <t>THIS Moment is The Best Time For Creativity #shorts</t>
  </si>
  <si>
    <t>2023-06-07T13:05:00Z</t>
  </si>
  <si>
    <t>wAoL0szw2_w</t>
  </si>
  <si>
    <t>I Tried The Vagus Nerve Hack (so you don't have to)</t>
  </si>
  <si>
    <t>2023-03-30T13:30:20Z</t>
  </si>
  <si>
    <t>YAePqgS_evM</t>
  </si>
  <si>
    <t>This is What Your Sleep Sounds Like  |  discussing Max Richter's SLEEP</t>
  </si>
  <si>
    <t>2023-03-16T14:01:52Z</t>
  </si>
  <si>
    <t>rLq7UG75Gwc</t>
  </si>
  <si>
    <t>Is Daylight Saving Time Over? #shorts</t>
  </si>
  <si>
    <t>2023-03-11T14:00:33Z</t>
  </si>
  <si>
    <t>NkUy2yzaCmQ</t>
  </si>
  <si>
    <t>Reading My Research to Put You to Sleep 💤 | insomnia sleep aid | calm reading</t>
  </si>
  <si>
    <t>2022-12-02T04:00:06Z</t>
  </si>
  <si>
    <t>2ZX8InbGl7M</t>
  </si>
  <si>
    <t>NEW Bedtime Procrastination Research (my paper!) #shorts</t>
  </si>
  <si>
    <t>2022-11-22T19:05:26Z</t>
  </si>
  <si>
    <t>t017DRROWTQ</t>
  </si>
  <si>
    <t>Why Daylight Savings is a Costly Mistake</t>
  </si>
  <si>
    <t>2022-11-03T13:00:39Z</t>
  </si>
  <si>
    <t>iANICq73Hko</t>
  </si>
  <si>
    <t>This Procrastination Book Doesn’t Exist #shorts</t>
  </si>
  <si>
    <t>2022-10-22T15:45:05Z</t>
  </si>
  <si>
    <t>8JFNwYK_8ew</t>
  </si>
  <si>
    <t>The “Stress Hormone” Doesn’t Exist</t>
  </si>
  <si>
    <t>2022-09-16T15:00:04Z</t>
  </si>
  <si>
    <t>PiQIjyqZ4pw</t>
  </si>
  <si>
    <t>The Key to Happiness is Not Even Trying #shorts</t>
  </si>
  <si>
    <t>2022-09-02T18:37:31Z</t>
  </si>
  <si>
    <t>McA19kjxgW8</t>
  </si>
  <si>
    <t>Everything You've Heard About Oxytocin is Wrong</t>
  </si>
  <si>
    <t>2022-06-30T12:54:19Z</t>
  </si>
  <si>
    <t>KA_Se8MYiCE</t>
  </si>
  <si>
    <t>Do YOU Delay Going to Bed? Help My Research!</t>
  </si>
  <si>
    <t>2022-06-17T14:35:56Z</t>
  </si>
  <si>
    <t>CyAIfarU9Ck</t>
  </si>
  <si>
    <t>How to Make Better Decisions #shorts</t>
  </si>
  <si>
    <t>2022-06-06T13:45:00Z</t>
  </si>
  <si>
    <t>CLTtVsvdwUc</t>
  </si>
  <si>
    <t>How Timezones Can Damage Your Health #shorts</t>
  </si>
  <si>
    <t>2022-05-16T21:57:21Z</t>
  </si>
  <si>
    <t>cW3nKRWGFZM</t>
  </si>
  <si>
    <t>Is This The Most Confusing Traffic Sign? (Psychology Explains)</t>
  </si>
  <si>
    <t>2022-04-13T12:30:08Z</t>
  </si>
  <si>
    <t>0Y8zNvLBP9U</t>
  </si>
  <si>
    <t>How to Feel Inspired When You’ve Lost Motivation</t>
  </si>
  <si>
    <t>2022-03-08T16:00:00Z</t>
  </si>
  <si>
    <t>qpkPW4tEKEw</t>
  </si>
  <si>
    <t>Why You Shouldn’t Trust Amazon’s Tone Analysis</t>
  </si>
  <si>
    <t>2022-01-19T17:00:41Z</t>
  </si>
  <si>
    <t>nHBRuyhK-20</t>
  </si>
  <si>
    <t>I Built A Bot To Help You Go To Bed</t>
  </si>
  <si>
    <t>2021-12-10T18:10:20Z</t>
  </si>
  <si>
    <t>f5vrJVYLUks</t>
  </si>
  <si>
    <t>A 300 Day Experiment to Change How I Think</t>
  </si>
  <si>
    <t>2021-11-17T16:45:04Z</t>
  </si>
  <si>
    <t>7Hodm2VvJ-U</t>
  </si>
  <si>
    <t>Why People Send Terrible Emails (research explains...)</t>
  </si>
  <si>
    <t>2021-09-28T13:30:03Z</t>
  </si>
  <si>
    <t>H-q1VTYvjyI</t>
  </si>
  <si>
    <t>Why There's a Life-Size Statue Of Me (and 120 other scientists!)</t>
  </si>
  <si>
    <t>2021-09-21T16:39:07Z</t>
  </si>
  <si>
    <t>KJqWU8dqM8c</t>
  </si>
  <si>
    <t>How to Beat Bedtime Procrastination #shorts</t>
  </si>
  <si>
    <t>2021-09-07T23:30:27Z</t>
  </si>
  <si>
    <t>z77l12Bdehk</t>
  </si>
  <si>
    <t>The Truth About Being a Scientist &amp; YouTuber (my story)</t>
  </si>
  <si>
    <t>2021-08-13T15:42:10Z</t>
  </si>
  <si>
    <t>v7RX_5eGNJM</t>
  </si>
  <si>
    <t>What Everyone Gets Wrong About Procrastination</t>
  </si>
  <si>
    <t>2021-07-08T17:15:04Z</t>
  </si>
  <si>
    <t>41i9EN9l8uc</t>
  </si>
  <si>
    <t>Why You Should Stop Using Times New Roman (Research Explains)</t>
  </si>
  <si>
    <t>2021-05-21T19:00:04Z</t>
  </si>
  <si>
    <t>gGdySypFj3M</t>
  </si>
  <si>
    <t>Why You Should Embrace Being an Introvert #shorts</t>
  </si>
  <si>
    <t>2021-03-29T20:41:31Z</t>
  </si>
  <si>
    <t>Sho14kE74iI</t>
  </si>
  <si>
    <t>What an 1800s Wild West Pharmacy Taught me About Trust &amp; Vaccines</t>
  </si>
  <si>
    <t>2021-02-26T17:00:09Z</t>
  </si>
  <si>
    <t>P15luPewnJI</t>
  </si>
  <si>
    <t>I tried a $10,000 crystal healing bed. Here's what I learned.</t>
  </si>
  <si>
    <t>2021-01-25T16:00:08Z</t>
  </si>
  <si>
    <t>CqABhkvQ7xE</t>
  </si>
  <si>
    <t>The Surprising Psychological Benefits of Living Sustainably</t>
  </si>
  <si>
    <t>2021-01-15T14:45:01Z</t>
  </si>
  <si>
    <t>odnO-glDiQI</t>
  </si>
  <si>
    <t>A Simple Planning System for Reducing Anxiety</t>
  </si>
  <si>
    <t>2020-12-18T16:00:30Z</t>
  </si>
  <si>
    <t>Pw_idGYehFU</t>
  </si>
  <si>
    <t>Fact-checking My First Video… Here’s How I Was Wrong</t>
  </si>
  <si>
    <t>2020-12-08T14:45:03Z</t>
  </si>
  <si>
    <t>zhYbhoMmrPQ</t>
  </si>
  <si>
    <t>The Disturbing Psychology ‘The Social Dilemma’ Didn’t Tell You</t>
  </si>
  <si>
    <t>2020-11-20T15:00:29Z</t>
  </si>
  <si>
    <t>Gxv_FHrRYQw</t>
  </si>
  <si>
    <t>THIS Mindset Will Help You Cope</t>
  </si>
  <si>
    <t>2020-10-09T13:00:06Z</t>
  </si>
  <si>
    <t>IGHKaI6_WSk</t>
  </si>
  <si>
    <t>Stop Trying to be Happy (do THIS instead)</t>
  </si>
  <si>
    <t>2020-09-03T14:15:00Z</t>
  </si>
  <si>
    <t>8Lxq_Tsi6XE</t>
  </si>
  <si>
    <t>Think You Have a "Type A" Personality? Watch this first</t>
  </si>
  <si>
    <t>2020-08-11T14:30:00Z</t>
  </si>
  <si>
    <t>Geyj7-s1Rpw</t>
  </si>
  <si>
    <t>How to Convince Others to Wear a Mask</t>
  </si>
  <si>
    <t>2020-07-14T14:45:00Z</t>
  </si>
  <si>
    <t>b5qUr0enMGE</t>
  </si>
  <si>
    <t>The Truth About Lucid Dreaming</t>
  </si>
  <si>
    <t>2020-06-26T13:00:49Z</t>
  </si>
  <si>
    <t>KZWHS5WS210</t>
  </si>
  <si>
    <t>Your Sleep Questions ANSWERED! LIVE Q&amp;A</t>
  </si>
  <si>
    <t>2020-05-22T23:00:00Z</t>
  </si>
  <si>
    <t>CBq8MRJiKUc</t>
  </si>
  <si>
    <t>Better Sleep in One Night | Sleeping With Friends</t>
  </si>
  <si>
    <t>2020-05-20T17:27:05Z</t>
  </si>
  <si>
    <t>6G2ZaVKDSvI</t>
  </si>
  <si>
    <t>Could This Robot Improve Your Sleep? | Sleeping With Friends</t>
  </si>
  <si>
    <t>2020-05-20T17:26:54Z</t>
  </si>
  <si>
    <t>kVDHsMx78wk</t>
  </si>
  <si>
    <t>Fixing YOUR Sleep | Sleeping With Friends</t>
  </si>
  <si>
    <t>2020-05-20T17:00:11Z</t>
  </si>
  <si>
    <t>LDbBATpFmkg</t>
  </si>
  <si>
    <t>Sleeping With Friends (Official Trailer)</t>
  </si>
  <si>
    <t>2020-05-13T16:00:06Z</t>
  </si>
  <si>
    <t>cVzQy1ZAIPU</t>
  </si>
  <si>
    <t>5 Ways to Get Better Sleep (backed by science)</t>
  </si>
  <si>
    <t>2020-05-12T15:15:01Z</t>
  </si>
  <si>
    <t>3LZwN6XklEU</t>
  </si>
  <si>
    <t>Why March Was The Longest Year Ever (explained by science)</t>
  </si>
  <si>
    <t>2020-04-11T16:36:56Z</t>
  </si>
  <si>
    <t>dpNfJm2Ql90</t>
  </si>
  <si>
    <t>Mounting a Power Bar #diy #lifehacks #funny #electrical</t>
  </si>
  <si>
    <t>2026-07-26T00:25:38Z</t>
  </si>
  <si>
    <t>UCJ0-OtVpF0wOKEqT2Z1HEtA</t>
  </si>
  <si>
    <t>ElectroBOOM</t>
  </si>
  <si>
    <t>mIBhWgYWVPA</t>
  </si>
  <si>
    <t>Running Power for New Outdoor Light Fixture</t>
  </si>
  <si>
    <t>2026-06-19T16:00:03Z</t>
  </si>
  <si>
    <t>P4351ixgP4M</t>
  </si>
  <si>
    <t>Seeing in Thermal #experiment #fluke #funny</t>
  </si>
  <si>
    <t>2026-06-11T17:43:24Z</t>
  </si>
  <si>
    <t>X2qcTrprMqE</t>
  </si>
  <si>
    <t>Current Kills or Voltage #electricity #science #experiment</t>
  </si>
  <si>
    <t>2026-05-26T15:29:37Z</t>
  </si>
  <si>
    <t>GEhwXAIjDls</t>
  </si>
  <si>
    <t>Connecting Power Lines #science #experiment #funny #electrical</t>
  </si>
  <si>
    <t>2026-05-16T15:39:57Z</t>
  </si>
  <si>
    <t>_5aHHg4A_vY</t>
  </si>
  <si>
    <t>Free Energy Motor Generator #science #funny #electrical</t>
  </si>
  <si>
    <t>2026-05-08T15:26:02Z</t>
  </si>
  <si>
    <t>xeRSef7jMYc</t>
  </si>
  <si>
    <t>Infrared Touchscreens #technology #electronic #experiment</t>
  </si>
  <si>
    <t>2026-04-29T15:44:24Z</t>
  </si>
  <si>
    <t>nz6sgR01Tt8</t>
  </si>
  <si>
    <t>Resistive Touch Sensor #electronic #experiment #technology</t>
  </si>
  <si>
    <t>2026-04-24T14:54:43Z</t>
  </si>
  <si>
    <t>bmFRqSs1QAM</t>
  </si>
  <si>
    <t>Fake Van De Graaff Arcs #science #electrical #experiment</t>
  </si>
  <si>
    <t>2026-04-21T15:00:48Z</t>
  </si>
  <si>
    <t>EBgxa8OzjB8</t>
  </si>
  <si>
    <t>Components Giving Birth?! (LATITY-018)</t>
  </si>
  <si>
    <t>2026-04-03T16:28:20Z</t>
  </si>
  <si>
    <t>F-CFdCp0xaw</t>
  </si>
  <si>
    <t>DON'T Screw into MY FLOOR!</t>
  </si>
  <si>
    <t>2026-03-20T16:04:08Z</t>
  </si>
  <si>
    <t>lt07jcPvG2Y</t>
  </si>
  <si>
    <t>Change the Outlet #electrical #diy #funny</t>
  </si>
  <si>
    <t>2026-03-02T16:03:22Z</t>
  </si>
  <si>
    <t>dy0WZVpyiTM</t>
  </si>
  <si>
    <t>Science Mutilation by History Channel</t>
  </si>
  <si>
    <t>2026-02-27T17:01:23Z</t>
  </si>
  <si>
    <t>vY0-eZ-GGEg</t>
  </si>
  <si>
    <t>Colombia Electrocutes Burglars</t>
  </si>
  <si>
    <t>2026-01-29T16:00:01Z</t>
  </si>
  <si>
    <t>sWGUo_iiaZE</t>
  </si>
  <si>
    <t>Mall versus Home Electrocution (Updated)</t>
  </si>
  <si>
    <t>2026-01-07T16:50:18Z</t>
  </si>
  <si>
    <t>HhRgPVNQLww</t>
  </si>
  <si>
    <t>Capacitor Over-Pressure Protection #electronics #electrical #technology #funny</t>
  </si>
  <si>
    <t>2025-12-16T17:07:22Z</t>
  </si>
  <si>
    <t>yxEh9tnRTbY</t>
  </si>
  <si>
    <t>Have a Pole? Need a Hole! (LATITY-017)</t>
  </si>
  <si>
    <t>2025-12-12T16:30:31Z</t>
  </si>
  <si>
    <t>MwTaGjsdxU4</t>
  </si>
  <si>
    <t>Jumpstart by Phone</t>
  </si>
  <si>
    <t>2025-12-07T17:01:25Z</t>
  </si>
  <si>
    <t>bdR4HyeABfA</t>
  </si>
  <si>
    <t>Fix a Flat Tire with a FLUKE Acoustic Imager! #technology #equipment #electronics</t>
  </si>
  <si>
    <t>2025-11-16T17:52:39Z</t>
  </si>
  <si>
    <t>dJtzXpW15HI</t>
  </si>
  <si>
    <t>Only $20000 to Fix a Flat Tire</t>
  </si>
  <si>
    <t>mqt_FdmDq4k</t>
  </si>
  <si>
    <t>Safe Firecracker #diy #experiment #funny</t>
  </si>
  <si>
    <t>2025-11-12T16:58:58Z</t>
  </si>
  <si>
    <t>DhvkZ8pmXlc</t>
  </si>
  <si>
    <t>Baghdad (not a) Battery #science #technology #ancient #baghdadbattery</t>
  </si>
  <si>
    <t>2025-11-03T19:37:58Z</t>
  </si>
  <si>
    <t>m51SX5cz9ow</t>
  </si>
  <si>
    <t>The Future of Trivia Gaming #electronics #trivia #experience #funny</t>
  </si>
  <si>
    <t>2025-10-17T18:50:39Z</t>
  </si>
  <si>
    <t>AsJquvKz07E</t>
  </si>
  <si>
    <t>BE SLOW, GET SHOCKED!!! (feat. @Kouman )</t>
  </si>
  <si>
    <t>2025-10-17T16:01:11Z</t>
  </si>
  <si>
    <t>ZsdV3VEyQxY</t>
  </si>
  <si>
    <t>Making Toys More EXCTING! #shock #experiment #toys #funny</t>
  </si>
  <si>
    <t>2025-10-08T15:59:44Z</t>
  </si>
  <si>
    <t>vlHmd2-PlfE</t>
  </si>
  <si>
    <t>Suspicious Magnet Gun #science #experiment #funny</t>
  </si>
  <si>
    <t>2025-09-20T16:05:27Z</t>
  </si>
  <si>
    <t>fwLan9mLJLQ</t>
  </si>
  <si>
    <t>Power Lines at Knee Level? Campfire with AA Battery?! (LATITY-016)</t>
  </si>
  <si>
    <t>2025-09-12T16:08:52Z</t>
  </si>
  <si>
    <t>56Eq3EMYX68</t>
  </si>
  <si>
    <t>Door Fails EMI #tech #electronics #science #funny</t>
  </si>
  <si>
    <t>2025-09-04T15:17:31Z</t>
  </si>
  <si>
    <t>PB-4WqzXzoA</t>
  </si>
  <si>
    <t>Find her @ElectroCUTEvideos</t>
  </si>
  <si>
    <t>2025-08-28T19:44:14Z</t>
  </si>
  <si>
    <t>lT1v5RdCl6s</t>
  </si>
  <si>
    <t>Most Annoying Issue in Filming, SOLVED! feat. @Kouman</t>
  </si>
  <si>
    <t>2025-08-27T16:01:19Z</t>
  </si>
  <si>
    <t>bIMQO0Q4iRc</t>
  </si>
  <si>
    <t>Grounding Yourself Can Be Bad! #science #technology #electrical #funny</t>
  </si>
  <si>
    <t>2025-08-06T17:16:40Z</t>
  </si>
  <si>
    <t>YcfKFfOQ9W8</t>
  </si>
  <si>
    <t>Don’t mess with High Voltage #funny #experiment #electrial</t>
  </si>
  <si>
    <t>2025-07-31T06:01:22Z</t>
  </si>
  <si>
    <t>u8s9hpjN25Y</t>
  </si>
  <si>
    <t>The Touchscreen that Changed the World!</t>
  </si>
  <si>
    <t>2025-07-28T15:00:12Z</t>
  </si>
  <si>
    <t>rlyU9AMaq9g</t>
  </si>
  <si>
    <t>Living by Power Lines #science #electrical #cancer</t>
  </si>
  <si>
    <t>2025-07-13T16:15:54Z</t>
  </si>
  <si>
    <t>rg1xXCzLdQ0</t>
  </si>
  <si>
    <t>Canada is Beating US in Electrical Upkeep!</t>
  </si>
  <si>
    <t>2025-07-07T16:00:07Z</t>
  </si>
  <si>
    <t>myh9AZRK6hI</t>
  </si>
  <si>
    <t>Is Talking on a Charging Mobile Phone Harmful?? #experiment #Science</t>
  </si>
  <si>
    <t>2025-07-02T16:50:07Z</t>
  </si>
  <si>
    <t>qRc9W2ss-GE</t>
  </si>
  <si>
    <t>Welding with Salt Water #experiment #fake #funny</t>
  </si>
  <si>
    <t>2025-06-29T16:00:39Z</t>
  </si>
  <si>
    <t>uz6xrE8WZHc</t>
  </si>
  <si>
    <t>Fighting Electrical Fire by AFCI</t>
  </si>
  <si>
    <t>2025-05-30T16:01:10Z</t>
  </si>
  <si>
    <t>WnNVgRyWUi8</t>
  </si>
  <si>
    <t>Ionizing Radiation #science #debunk #skincare</t>
  </si>
  <si>
    <t>2025-05-20T16:00:11Z</t>
  </si>
  <si>
    <t>ub-Qr2U4DzA</t>
  </si>
  <si>
    <t>Introduction to OpAmps #electronics #science #technology #funny</t>
  </si>
  <si>
    <t>2025-05-09T16:01:57Z</t>
  </si>
  <si>
    <t>OSCKBmkrH_g</t>
  </si>
  <si>
    <t>The Ultimate Component: OpAmp (ElectroBOOM101 – 013)</t>
  </si>
  <si>
    <t>2025-05-08T16:00:24Z</t>
  </si>
  <si>
    <t>2Yjiwz5sxzE</t>
  </si>
  <si>
    <t>Don't Make a Taser! #experiment #electrical #funny #DIY</t>
  </si>
  <si>
    <t>2025-04-25T16:17:51Z</t>
  </si>
  <si>
    <t>uASY_3OWFPY</t>
  </si>
  <si>
    <t>Ballast Operation Failures #experiment #electrical #funny</t>
  </si>
  <si>
    <t>2025-04-17T18:58:31Z</t>
  </si>
  <si>
    <t>jUkex-blvkE</t>
  </si>
  <si>
    <t>How a Capacitor Works #technology #electrical #funny</t>
  </si>
  <si>
    <t>2025-04-11T17:12:57Z</t>
  </si>
  <si>
    <t>bsfBxs53vBo</t>
  </si>
  <si>
    <t>Aussie Electricity Better than UK?!</t>
  </si>
  <si>
    <t>2025-04-10T16:01:06Z</t>
  </si>
  <si>
    <t>czgTn7UK7A0</t>
  </si>
  <si>
    <t>Measure + Fail #experiment #electronics #science #funny</t>
  </si>
  <si>
    <t>2025-04-03T15:59:05Z</t>
  </si>
  <si>
    <t>Z_ubhyYgu5Y</t>
  </si>
  <si>
    <t>Visualizing High Voltage #experiment #science #electronics #funny</t>
  </si>
  <si>
    <t>2025-03-29T15:51:23Z</t>
  </si>
  <si>
    <t>jqlqCIZ3Kfg</t>
  </si>
  <si>
    <t>SUPER HIGH VOLTAGE Measurement</t>
  </si>
  <si>
    <t>2025-03-15T15:00:54Z</t>
  </si>
  <si>
    <t>LwMvVo0ui4Q</t>
  </si>
  <si>
    <t>Install GFCI Outlets #safety  #experiment #funny</t>
  </si>
  <si>
    <t>2025-03-04T17:01:02Z</t>
  </si>
  <si>
    <t>fyWiYxOP-xM</t>
  </si>
  <si>
    <t>Violent iPhone Repair</t>
  </si>
  <si>
    <t>2025-02-27T17:00:02Z</t>
  </si>
  <si>
    <t>YwwBVKLaBp0</t>
  </si>
  <si>
    <t>Coil-Gun #experiment #electronics #technology #funny</t>
  </si>
  <si>
    <t>2025-02-21T17:18:04Z</t>
  </si>
  <si>
    <t>i04y5n2oTsw</t>
  </si>
  <si>
    <t>Never Short a Car Battery #failure #funny</t>
  </si>
  <si>
    <t>2025-02-18T17:00:49Z</t>
  </si>
  <si>
    <t>08ET5Wwg57w</t>
  </si>
  <si>
    <t>Accidental Reversal #circuit #experiment #technology #funny</t>
  </si>
  <si>
    <t>2025-02-15T17:21:25Z</t>
  </si>
  <si>
    <t>MavRTdhksZg</t>
  </si>
  <si>
    <t>Nuclear Egg (LATITY-015)</t>
  </si>
  <si>
    <t>2025-02-14T17:03:39Z</t>
  </si>
  <si>
    <t>uF_9JGWVV4g</t>
  </si>
  <si>
    <t>Test the Van De Graaff #experiment #failure #funny #electric</t>
  </si>
  <si>
    <t>2025-02-10T17:11:57Z</t>
  </si>
  <si>
    <t>tUKEzxlfmVE</t>
  </si>
  <si>
    <t>Eddy Current Attraction #experiment #science #electric #funny</t>
  </si>
  <si>
    <t>2025-02-07T20:11:25Z</t>
  </si>
  <si>
    <t>NLjiMjJyZoI</t>
  </si>
  <si>
    <t>Water Conductivity #experiment #science #funny</t>
  </si>
  <si>
    <t>2025-02-01T18:23:30Z</t>
  </si>
  <si>
    <t>pZaCe-7AEZU</t>
  </si>
  <si>
    <t>Improve High Voltage Pump #experiment #technology #electric #funny</t>
  </si>
  <si>
    <t>2025-01-25T18:23:40Z</t>
  </si>
  <si>
    <t>66Gvth4wHiA</t>
  </si>
  <si>
    <t>An Attempt Was Made!</t>
  </si>
  <si>
    <t>2025-01-22T17:01:19Z</t>
  </si>
  <si>
    <t>wBX5sniPBQw</t>
  </si>
  <si>
    <t>Power Saver SCAM #technology #science #experiment #funny</t>
  </si>
  <si>
    <t>2025-01-18T21:06:42Z</t>
  </si>
  <si>
    <t>EQHuOwCGuy8</t>
  </si>
  <si>
    <t>Fun with Magnetism #science #technology #experiment #electrical</t>
  </si>
  <si>
    <t>2025-01-10T17:19:50Z</t>
  </si>
  <si>
    <t>RC2lR0Rle5k</t>
  </si>
  <si>
    <t>Astable Multi Vibrator #science #experiment #Funny</t>
  </si>
  <si>
    <t>2025-01-08T17:11:37Z</t>
  </si>
  <si>
    <t>_tkA9pyZofU</t>
  </si>
  <si>
    <t>Free Energy with Hidden Capacitor #experiment #science #fake #funny</t>
  </si>
  <si>
    <t>2025-01-04T17:36:34Z</t>
  </si>
  <si>
    <t>gTaYr-umnf0</t>
  </si>
  <si>
    <t>Heater Dries Air? #science #experiment #funny</t>
  </si>
  <si>
    <t>2025-01-02T16:30:09Z</t>
  </si>
  <si>
    <t>Z4XXP0umklc</t>
  </si>
  <si>
    <t>Levitation by Opposing Fields #experiment #electrical #technology</t>
  </si>
  <si>
    <t>2024-12-23T21:37:47Z</t>
  </si>
  <si>
    <t>NQE6uNrSd-4</t>
  </si>
  <si>
    <t>Living by the Electric Power Lines/Centers</t>
  </si>
  <si>
    <t>2024-12-22T17:00:03Z</t>
  </si>
  <si>
    <t>fvYEXAJn5LQ</t>
  </si>
  <si>
    <t>DON'T Microwave Yourself! #experiment #radiation</t>
  </si>
  <si>
    <t>2024-12-10T18:24:06Z</t>
  </si>
  <si>
    <t>-NsNS1iqUWQ</t>
  </si>
  <si>
    <t>Discharge Capacitor to Oven #experiment #review #funny</t>
  </si>
  <si>
    <t>2024-12-05T16:45:23Z</t>
  </si>
  <si>
    <t>gJRCRkST1rE</t>
  </si>
  <si>
    <t>Cooked by a CHARGING CELLPHONE! ElectroBOOM Crew EXPOSED!!! (REUPLOAD of LATITY-004)</t>
  </si>
  <si>
    <t>2024-12-04T17:00:01Z</t>
  </si>
  <si>
    <t>HJYLROgd6IA</t>
  </si>
  <si>
    <t>Can You Microwave Yourself?! (LATITY014)</t>
  </si>
  <si>
    <t>2024-11-28T16:12:33Z</t>
  </si>
  <si>
    <t>gKRlNPe_7o0</t>
  </si>
  <si>
    <t>Chain Mail Faraday Suit #technology #experiment #science #funny</t>
  </si>
  <si>
    <t>2024-11-18T17:01:36Z</t>
  </si>
  <si>
    <t>TD-cBQKIrKE</t>
  </si>
  <si>
    <t>ARC SPEAKER #technology #experiment #diy #funny</t>
  </si>
  <si>
    <t>2024-11-12T17:02:33Z</t>
  </si>
  <si>
    <t>_TRUsM--IRw</t>
  </si>
  <si>
    <t>FULL BRIDGE RECTIFIER #design #experiment #technology #funny</t>
  </si>
  <si>
    <t>2024-11-10T17:00:13Z</t>
  </si>
  <si>
    <t>eyVDMJN0sa8</t>
  </si>
  <si>
    <t>Plasma Speaker DIY (AM Demodulator)</t>
  </si>
  <si>
    <t>2024-11-08T17:00:23Z</t>
  </si>
  <si>
    <t>8c9lXFjI8P4</t>
  </si>
  <si>
    <t>Musical Tesla Coil #Experiment #science #technology #funny</t>
  </si>
  <si>
    <t>2024-11-02T19:25:34Z</t>
  </si>
  <si>
    <t>RozXw4PHeDY</t>
  </si>
  <si>
    <t>Is DOWSING Real?! #experiment #tehcnology #fake #funny</t>
  </si>
  <si>
    <t>2024-10-29T16:01:30Z</t>
  </si>
  <si>
    <t>W9uznM0ULrA</t>
  </si>
  <si>
    <t>Solar Cell with CD #technology #experiment #fake #science</t>
  </si>
  <si>
    <t>2024-10-24T17:19:50Z</t>
  </si>
  <si>
    <t>q89gyAlhUN0</t>
  </si>
  <si>
    <t>Transistors are Tricky #technology #experiment #test #funny</t>
  </si>
  <si>
    <t>2024-10-20T15:59:56Z</t>
  </si>
  <si>
    <t>lyfx8CL7AkI</t>
  </si>
  <si>
    <t>This CHIP Changed the WORLD! MOSFET (ElectroBOOM101 - 012)</t>
  </si>
  <si>
    <t>2024-10-18T16:05:01Z</t>
  </si>
  <si>
    <t>011JikH38ck</t>
  </si>
  <si>
    <t>Mexico City Travel Diary #travel #electrical #experiment #funny</t>
  </si>
  <si>
    <t>2024-10-11T18:28:22Z</t>
  </si>
  <si>
    <t>hWVHlbS6tiY</t>
  </si>
  <si>
    <t>Degraded Capacitor is Bad #technology #experiment #electronic #funny</t>
  </si>
  <si>
    <t>2024-10-07T16:20:54Z</t>
  </si>
  <si>
    <t>gjFpT-o7YpI</t>
  </si>
  <si>
    <t>Bulging Capacitors is Bad #technology #experiment #electronic #funny</t>
  </si>
  <si>
    <t>2024-10-04T16:26:21Z</t>
  </si>
  <si>
    <t>VFZFfDcQM8k</t>
  </si>
  <si>
    <t>Shower Voltage is not Terrible #experiment #electric #technology #funny</t>
  </si>
  <si>
    <t>2024-10-01T18:09:51Z</t>
  </si>
  <si>
    <t>XSOht2C4Veg</t>
  </si>
  <si>
    <t>Current Doesn’t Run Inside? SKIN EFFECT!</t>
  </si>
  <si>
    <t>2024-09-29T16:00:02Z</t>
  </si>
  <si>
    <t>KNlY1invtcQ</t>
  </si>
  <si>
    <t>ElectroBOOM Failures #2 #electrical #test #technology #funny</t>
  </si>
  <si>
    <t>2024-09-03T21:11:33Z</t>
  </si>
  <si>
    <t>dSThjhMV7vo</t>
  </si>
  <si>
    <t>Searching for Swiss Failures</t>
  </si>
  <si>
    <t>2024-08-30T16:00:17Z</t>
  </si>
  <si>
    <t>17l9BucbXec</t>
  </si>
  <si>
    <t>Finger Magnet Implant #sensor #technology #experiment</t>
  </si>
  <si>
    <t>2024-08-10T17:10:38Z</t>
  </si>
  <si>
    <t>RWvbmNTB_oo</t>
  </si>
  <si>
    <t>Rage-Fixing a Broken Drill</t>
  </si>
  <si>
    <t>2024-08-09T16:01:31Z</t>
  </si>
  <si>
    <t>Dkiq1gxw3RU</t>
  </si>
  <si>
    <t>Don't Poke High Voltage #electronic #shock #experiment #funny</t>
  </si>
  <si>
    <t>2024-08-03T16:44:58Z</t>
  </si>
  <si>
    <t>zrTJ2A2MHf0</t>
  </si>
  <si>
    <t>Finding Breakers/Fuses #electronic #technology #funny #experiment</t>
  </si>
  <si>
    <t>2024-07-31T16:05:53Z</t>
  </si>
  <si>
    <t>yi3HfhbmZH8</t>
  </si>
  <si>
    <t>Flywheel Free Energy?! #technology #fake #funny</t>
  </si>
  <si>
    <t>2024-07-28T16:39:34Z</t>
  </si>
  <si>
    <t>MkMc5t02A64</t>
  </si>
  <si>
    <t>FAFO the Breaker!</t>
  </si>
  <si>
    <t>2024-07-26T16:00:12Z</t>
  </si>
  <si>
    <t>IR8mmEytWMw</t>
  </si>
  <si>
    <t>Series of Lamps Question #electronic #experiment #technology #science</t>
  </si>
  <si>
    <t>2024-07-19T16:41:37Z</t>
  </si>
  <si>
    <t>B5UKShUCx_Y</t>
  </si>
  <si>
    <t>DON'T EAT THE BATTERY #electronics #battery #technology #funny</t>
  </si>
  <si>
    <t>2024-07-16T16:06:11Z</t>
  </si>
  <si>
    <t>NefRgkziz7I</t>
  </si>
  <si>
    <t>ESD Video! DELETED Original, now Restored!!! #electronic #technology #test #funny</t>
  </si>
  <si>
    <t>2024-07-09T17:11:13Z</t>
  </si>
  <si>
    <t>IfDR8OsJzD4</t>
  </si>
  <si>
    <t>Keep GFCI Healthy #electronic #safety #technology #funny</t>
  </si>
  <si>
    <t>2024-07-03T15:30:11Z</t>
  </si>
  <si>
    <t>qDP6TzkVfII</t>
  </si>
  <si>
    <t>New Flywheel Free Energy?! Can Boat Battery Fry You? LATITY-013</t>
  </si>
  <si>
    <t>2024-06-29T16:00:04Z</t>
  </si>
  <si>
    <t>hERNweUccK4</t>
  </si>
  <si>
    <t>The Robot Hand That Can Grab Anything</t>
  </si>
  <si>
    <t>2026-07-25T15:03:02Z</t>
  </si>
  <si>
    <t>UC1VLQPn9cYSqx8plbk9RxxQ</t>
  </si>
  <si>
    <t>The Action Lab</t>
  </si>
  <si>
    <t>HVeybICAypw</t>
  </si>
  <si>
    <t>I Tried the World's Strangest Fireworks</t>
  </si>
  <si>
    <t>2026-07-11T15:03:22Z</t>
  </si>
  <si>
    <t>Zw3CqjKyZ9Y</t>
  </si>
  <si>
    <t>Why Freezing Things Keeps Them From Freezing</t>
  </si>
  <si>
    <t>2026-07-04T15:03:06Z</t>
  </si>
  <si>
    <t>qBVChe42mpk</t>
  </si>
  <si>
    <t>I Tested the Limits of Friction and Found a Paradox</t>
  </si>
  <si>
    <t>2026-06-20T15:03:34Z</t>
  </si>
  <si>
    <t>AO1O9Sb_qsw</t>
  </si>
  <si>
    <t>This Engine Runs On Sunlight</t>
  </si>
  <si>
    <t>2026-06-13T15:03:05Z</t>
  </si>
  <si>
    <t>FnKNOPlR2Yo</t>
  </si>
  <si>
    <t>I Made The World's First Self-Cooling Clothes</t>
  </si>
  <si>
    <t>2026-06-06T15:03:01Z</t>
  </si>
  <si>
    <t>uoiRRaydHpI</t>
  </si>
  <si>
    <t>What Happens When You Let the Air Out?</t>
  </si>
  <si>
    <t>2026-05-30T15:03:21Z</t>
  </si>
  <si>
    <t>E6ODTL1SCJw</t>
  </si>
  <si>
    <t>How Newton’s Bucket Changed Physics Forever</t>
  </si>
  <si>
    <t>2026-05-23T15:03:02Z</t>
  </si>
  <si>
    <t>MwJUN0a3IJg</t>
  </si>
  <si>
    <t>The Strange Physics Behind the Oberth Effect</t>
  </si>
  <si>
    <t>2026-05-16T15:19:08Z</t>
  </si>
  <si>
    <t>lGbrQJO3E_4</t>
  </si>
  <si>
    <t>This Tiny Engine Explains Entropy</t>
  </si>
  <si>
    <t>2026-05-11T15:10:22Z</t>
  </si>
  <si>
    <t>1baBzd1XPkU</t>
  </si>
  <si>
    <t>Gravity Assists Are Basically Free Energy</t>
  </si>
  <si>
    <t>2026-05-02T15:03:00Z</t>
  </si>
  <si>
    <t>EFhMcL3Kf1c</t>
  </si>
  <si>
    <t>How To Eliminate Gravity</t>
  </si>
  <si>
    <t>2026-04-25T15:02:00Z</t>
  </si>
  <si>
    <t>sVzqEn_qyFM</t>
  </si>
  <si>
    <t>The Hourglass Paradox Nobody Agrees On</t>
  </si>
  <si>
    <t>2026-04-18T15:01:22Z</t>
  </si>
  <si>
    <t>G6pTelud5-E</t>
  </si>
  <si>
    <t>I Broke The Angle of Repose</t>
  </si>
  <si>
    <t>2026-04-11T15:03:01Z</t>
  </si>
  <si>
    <t>pJvV7MI-LyY</t>
  </si>
  <si>
    <t>This Simple Wave Explains Quantum Mechanics</t>
  </si>
  <si>
    <t>2026-04-04T15:03:00Z</t>
  </si>
  <si>
    <t>G5DzkVI4EQE</t>
  </si>
  <si>
    <t>I Built Feynman's Reverse Sprinkler To Solve a 140 Year Old Mystery</t>
  </si>
  <si>
    <t>2026-03-28T15:02:00Z</t>
  </si>
  <si>
    <t>4dzQ2bq-HiI</t>
  </si>
  <si>
    <t>The Weirdest Result of Relativity You’ve Never Heard Of</t>
  </si>
  <si>
    <t>2026-03-21T15:03:00Z</t>
  </si>
  <si>
    <t>vWOWn93okm0</t>
  </si>
  <si>
    <t>What Is The Speed of Surface Tension?</t>
  </si>
  <si>
    <t>2026-03-14T15:03:00Z</t>
  </si>
  <si>
    <t>FDJpe54FC-A</t>
  </si>
  <si>
    <t>The Weird Physics of Adding Cream to Coffee</t>
  </si>
  <si>
    <t>2026-03-07T16:03:00Z</t>
  </si>
  <si>
    <t>qzv8ElahBA4</t>
  </si>
  <si>
    <t>How Salt Fingering Helps The Oceans</t>
  </si>
  <si>
    <t>2026-02-28T16:03:00Z</t>
  </si>
  <si>
    <t>dosAbCCKXLs</t>
  </si>
  <si>
    <t>How Can Something Fall Faster Than Gravity?</t>
  </si>
  <si>
    <t>2026-02-14T16:03:00Z</t>
  </si>
  <si>
    <t>L5Q_cdCGqKM</t>
  </si>
  <si>
    <t>This Laser Can Hear You Talk</t>
  </si>
  <si>
    <t>2026-02-07T16:03:00Z</t>
  </si>
  <si>
    <t>bdWUnCb9Ly8</t>
  </si>
  <si>
    <t>This Ice Cream Trick Feels Impossible</t>
  </si>
  <si>
    <t>2026-01-30T16:03:00Z</t>
  </si>
  <si>
    <t>beFTFoU0hio</t>
  </si>
  <si>
    <t>How Does Light Spin Without Spinning?</t>
  </si>
  <si>
    <t>2026-01-20T16:03:00Z</t>
  </si>
  <si>
    <t>6aZ45RNHa6U</t>
  </si>
  <si>
    <t>We Just Discovered Why Light Does This</t>
  </si>
  <si>
    <t>2026-01-17T16:03:00Z</t>
  </si>
  <si>
    <t>4ERqAqwQ1wo</t>
  </si>
  <si>
    <t>An Optical Navigation System Better Than GPS</t>
  </si>
  <si>
    <t>2026-01-10T16:03:00Z</t>
  </si>
  <si>
    <t>GxXl8zQIIZI</t>
  </si>
  <si>
    <t>The Accidental Discovery That Changed Physics</t>
  </si>
  <si>
    <t>2026-01-03T16:03:00Z</t>
  </si>
  <si>
    <t>_59b75Vql38</t>
  </si>
  <si>
    <t>Why AC Electricity Doesn’t Behave the Way You Think</t>
  </si>
  <si>
    <t>2025-12-20T16:03:00Z</t>
  </si>
  <si>
    <t>dDWprjY5k7o</t>
  </si>
  <si>
    <t>Is The Sum Of All Positive Numbers Really -1/12?</t>
  </si>
  <si>
    <t>2025-12-13T16:03:00Z</t>
  </si>
  <si>
    <t>d4_MEGbqmIA</t>
  </si>
  <si>
    <t>The Strange Limit of Frictionless Motion</t>
  </si>
  <si>
    <t>2025-12-06T16:03:00Z</t>
  </si>
  <si>
    <t>hpgV6KKdzGM</t>
  </si>
  <si>
    <t>The Hidden Danger Inside Every Candle</t>
  </si>
  <si>
    <t>2025-11-28T16:02:00Z</t>
  </si>
  <si>
    <t>uU6VbJCKh1M</t>
  </si>
  <si>
    <t>The Mystery Of The Chirping Balls</t>
  </si>
  <si>
    <t>2025-11-22T16:04:00Z</t>
  </si>
  <si>
    <t>U_sI9agWmEw</t>
  </si>
  <si>
    <t>How Does Bent Time Make Gravity?</t>
  </si>
  <si>
    <t>2025-11-15T16:05:01Z</t>
  </si>
  <si>
    <t>gY6Jr7tB2fU</t>
  </si>
  <si>
    <t>The Mystery Einstein Couldn’t Solve: The Mott Problem</t>
  </si>
  <si>
    <t>2025-11-08T16:03:00Z</t>
  </si>
  <si>
    <t>WcHeIJdTmX8</t>
  </si>
  <si>
    <t>The Chemical That Turns Everything Black</t>
  </si>
  <si>
    <t>2025-11-01T15:03:00Z</t>
  </si>
  <si>
    <t>tjEe4UOlbic</t>
  </si>
  <si>
    <t>Do What The Fire Says…</t>
  </si>
  <si>
    <t>2025-10-28T17:52:16Z</t>
  </si>
  <si>
    <t>-HA3qPYB5aw</t>
  </si>
  <si>
    <t>Can A Burning Bush Talk In Real Life?</t>
  </si>
  <si>
    <t>2025-10-25T15:00:01Z</t>
  </si>
  <si>
    <t>5pwRGNQRifU</t>
  </si>
  <si>
    <t>Why Is This Liquid Attracted To Blood??</t>
  </si>
  <si>
    <t>2025-10-17T15:03:00Z</t>
  </si>
  <si>
    <t>uPtGGBXiivE</t>
  </si>
  <si>
    <t>Why Pulleys Are Weirder Than You Think</t>
  </si>
  <si>
    <t>2025-10-04T15:03:00Z</t>
  </si>
  <si>
    <t>F2M2aRXI8lc</t>
  </si>
  <si>
    <t>Why Do Grains Defy Gravity?</t>
  </si>
  <si>
    <t>2025-09-27T15:03:00Z</t>
  </si>
  <si>
    <t>_u8kZWBU78g</t>
  </si>
  <si>
    <t>Add This To Water To Make It Not Splash!</t>
  </si>
  <si>
    <t>2025-09-19T15:03:00Z</t>
  </si>
  <si>
    <t>ZKz0_kSFSP0</t>
  </si>
  <si>
    <t>Chickens Are Weirder Than You Thought</t>
  </si>
  <si>
    <t>2025-09-13T15:03:00Z</t>
  </si>
  <si>
    <t>SUq_tM3yGTM</t>
  </si>
  <si>
    <t>Only Geniuses Can Solve This Buoyancy Riddle</t>
  </si>
  <si>
    <t>2025-09-06T15:03:00Z</t>
  </si>
  <si>
    <t>JFAAEPnbL58</t>
  </si>
  <si>
    <t>Can Power Lines Really Light a Bulb in Your Hand?</t>
  </si>
  <si>
    <t>2025-08-30T15:03:00Z</t>
  </si>
  <si>
    <t>M72wHrPDBKQ</t>
  </si>
  <si>
    <t>Do People Actually Jump Farther While Holding Weights?</t>
  </si>
  <si>
    <t>2025-08-23T15:03:00Z</t>
  </si>
  <si>
    <t>Shu4BVjwI7k</t>
  </si>
  <si>
    <t>Scientists Just Found Why Electrified Drops DON'T Splash</t>
  </si>
  <si>
    <t>2025-08-16T15:03:00Z</t>
  </si>
  <si>
    <t>L7QnADt04ZU</t>
  </si>
  <si>
    <t>Volumetric 3D Printing Is REALLY FAST</t>
  </si>
  <si>
    <t>2025-08-09T15:37:09Z</t>
  </si>
  <si>
    <t>47YbLU7-J1M</t>
  </si>
  <si>
    <t>Is The Wobbly Table Theorem Ever Wrong?</t>
  </si>
  <si>
    <t>2025-07-25T15:03:00Z</t>
  </si>
  <si>
    <t>aXTcYa7u12k</t>
  </si>
  <si>
    <t>Why Don't Liquids Splash In a Vacuum?</t>
  </si>
  <si>
    <t>2025-07-18T15:03:00Z</t>
  </si>
  <si>
    <t>7Yr_m2fbpEo</t>
  </si>
  <si>
    <t>Is a Three-Sided Coin Possible?</t>
  </si>
  <si>
    <t>2025-07-12T15:03:00Z</t>
  </si>
  <si>
    <t>QDdQdJYiIe0</t>
  </si>
  <si>
    <t>This Device Shrinks Objects in Real Life</t>
  </si>
  <si>
    <t>2025-07-05T15:03:00Z</t>
  </si>
  <si>
    <t>cmqMRjKZLwo</t>
  </si>
  <si>
    <t>This Liquid Freezes Around Magnets</t>
  </si>
  <si>
    <t>2025-06-27T15:03:00Z</t>
  </si>
  <si>
    <t>xhd88vcztzw</t>
  </si>
  <si>
    <t>The Experiment That Proved Static Electricity Has a Memory</t>
  </si>
  <si>
    <t>2025-06-20T15:04:00Z</t>
  </si>
  <si>
    <t>CxU-YChTkW4</t>
  </si>
  <si>
    <t>Can You Cook Food With Heat Pipes?</t>
  </si>
  <si>
    <t>2025-06-13T15:04:00Z</t>
  </si>
  <si>
    <t>IBTNqdMPiFs</t>
  </si>
  <si>
    <t>Can Opening the Refrigerator REALLY Cool Down Your Room? (Midea Duo smart inverter portable AC)</t>
  </si>
  <si>
    <t>2025-06-05T15:03:00Z</t>
  </si>
  <si>
    <t>xGih7poxmPo</t>
  </si>
  <si>
    <t>The Weird Science of Cold Balls</t>
  </si>
  <si>
    <t>2025-05-24T15:49:16Z</t>
  </si>
  <si>
    <t>DdHd8yWyysE</t>
  </si>
  <si>
    <t>Can You Fill a Shape That Has No Inside?</t>
  </si>
  <si>
    <t>2025-05-17T15:03:00Z</t>
  </si>
  <si>
    <t>mg2jWBlTyt0</t>
  </si>
  <si>
    <t>The bounciest ball</t>
  </si>
  <si>
    <t>2025-05-14T16:32:49Z</t>
  </si>
  <si>
    <t>iPhwkIFoSNo</t>
  </si>
  <si>
    <t>Can You See X-Rays In a Cloud Chamber?</t>
  </si>
  <si>
    <t>2025-05-10T15:03:00Z</t>
  </si>
  <si>
    <t>wUMRq30fYgw</t>
  </si>
  <si>
    <t>How to Convert Mass into Energy at Home</t>
  </si>
  <si>
    <t>2025-04-30T15:04:00Z</t>
  </si>
  <si>
    <t>J53AT63FDTU</t>
  </si>
  <si>
    <t>What If You Actually Had Eyes in the Back of Your Head?</t>
  </si>
  <si>
    <t>2025-04-22T13:00:36Z</t>
  </si>
  <si>
    <t>azIhKVkLk7U</t>
  </si>
  <si>
    <t>Can You Control Lightning with Sound?</t>
  </si>
  <si>
    <t>2025-04-15T15:04:00Z</t>
  </si>
  <si>
    <t>ZcrVhHg6VSY</t>
  </si>
  <si>
    <t>This Is What It Looks Like When Atoms Collide</t>
  </si>
  <si>
    <t>2025-04-05T15:03:00Z</t>
  </si>
  <si>
    <t>vfTJ5OZDjFk</t>
  </si>
  <si>
    <t>The Strange Physics of Spinning Pancakes</t>
  </si>
  <si>
    <t>2025-03-28T15:03:00Z</t>
  </si>
  <si>
    <t>GZyNJ0mMEGE</t>
  </si>
  <si>
    <t>Breathing Through The World's Longest Snorkel (With the Beatbot Auquasense 2 Ultra)</t>
  </si>
  <si>
    <t>2025-03-21T15:04:00Z</t>
  </si>
  <si>
    <t>Pw3AvKcHeTw</t>
  </si>
  <si>
    <t>This Material Gets Bigger When You Squish It</t>
  </si>
  <si>
    <t>2025-03-15T15:03:00Z</t>
  </si>
  <si>
    <t>A0gB3trtxkU</t>
  </si>
  <si>
    <t>How Much Liquid Nitrogen Would It Take to Freeze a Terminator?</t>
  </si>
  <si>
    <t>2025-03-08T16:03:00Z</t>
  </si>
  <si>
    <t>uQ5w4_0S2l4</t>
  </si>
  <si>
    <t>Do Electrons Really Have "Intrinsic" Angular Momentum?</t>
  </si>
  <si>
    <t>2025-02-28T16:03:00Z</t>
  </si>
  <si>
    <t>bq4su2Lp2iw</t>
  </si>
  <si>
    <t>The Experiment That Proved Atoms Are Mostly Empty Space</t>
  </si>
  <si>
    <t>2025-02-22T16:03:00Z</t>
  </si>
  <si>
    <t>g-77EcyI9iY</t>
  </si>
  <si>
    <t>The Strange Magnetism of Bismuth: It Shouldn’t Work, But It Does</t>
  </si>
  <si>
    <t>2025-02-15T16:03:21Z</t>
  </si>
  <si>
    <t>ric-95ig5oE</t>
  </si>
  <si>
    <t>Your Smartphone Can Make 3D Holograms!</t>
  </si>
  <si>
    <t>2025-02-08T16:03:00Z</t>
  </si>
  <si>
    <t>4M30Bqaw9Uc</t>
  </si>
  <si>
    <t>Is Fire Conductive Enough To Get Shocked?</t>
  </si>
  <si>
    <t>2025-02-01T16:04:00Z</t>
  </si>
  <si>
    <t>XeA8jo8wLgo</t>
  </si>
  <si>
    <t>How Glass Breaks All the Rules of Insulation</t>
  </si>
  <si>
    <t>2025-01-25T16:03:00Z</t>
  </si>
  <si>
    <t>7bHOQLlSTdo</t>
  </si>
  <si>
    <t>Drinking The World's Highest Pressure Soda</t>
  </si>
  <si>
    <t>2025-01-18T16:03:00Z</t>
  </si>
  <si>
    <t>3qHh4cT-KoE</t>
  </si>
  <si>
    <t>Poisson's Spot on The Darkest Ball In The World</t>
  </si>
  <si>
    <t>2025-01-11T16:04:00Z</t>
  </si>
  <si>
    <t>b81q8-hscTc</t>
  </si>
  <si>
    <t>How To Shine Light Through Solid Metal</t>
  </si>
  <si>
    <t>2025-01-04T16:04:00Z</t>
  </si>
  <si>
    <t>-bThN0otPMI</t>
  </si>
  <si>
    <t>A feather and a cube fall at the same rate</t>
  </si>
  <si>
    <t>2025-01-02T19:42:57Z</t>
  </si>
  <si>
    <t>Yw18P1sAbI8</t>
  </si>
  <si>
    <t>The Evaporation Problem That Most People Get Wrong (3i S10 Ultra)</t>
  </si>
  <si>
    <t>2024-12-28T16:03:00Z</t>
  </si>
  <si>
    <t>YXQUdYmTZIs</t>
  </si>
  <si>
    <t>Newton’s Cradle Doesn’t Work the Way You Think</t>
  </si>
  <si>
    <t>2024-12-21T16:03:00Z</t>
  </si>
  <si>
    <t>CSstLxcaLLU</t>
  </si>
  <si>
    <t>Throwing a -346°F Snowball Made of Solid Nitrogen</t>
  </si>
  <si>
    <t>2024-12-14T16:03:00Z</t>
  </si>
  <si>
    <t>2w_uiLdmIXA</t>
  </si>
  <si>
    <t>Opening a bottle of liquid nitrogen under water</t>
  </si>
  <si>
    <t>2024-12-10T17:48:32Z</t>
  </si>
  <si>
    <t>fWpQmmZ2ECY</t>
  </si>
  <si>
    <t>How This Autonomous Liquid Metal Finds Its Way Through Mazes</t>
  </si>
  <si>
    <t>2024-12-07T16:03:00Z</t>
  </si>
  <si>
    <t>BNx9dAmsDm8</t>
  </si>
  <si>
    <t>Can a Red-Hot Mirror Still Reflect an Image?</t>
  </si>
  <si>
    <t>2024-11-30T16:03:00Z</t>
  </si>
  <si>
    <t>hf_zFD13T0Q</t>
  </si>
  <si>
    <t>How Hot is Light? How Lasers Bend the Rules of Heat Transfer</t>
  </si>
  <si>
    <t>2024-11-23T16:04:00Z</t>
  </si>
  <si>
    <t>llccBvCSa3g</t>
  </si>
  <si>
    <t>The World's First Omnidirectional Screen</t>
  </si>
  <si>
    <t>2024-11-16T16:03:00Z</t>
  </si>
  <si>
    <t>OreWXw1ojow</t>
  </si>
  <si>
    <t>This Ancient Technology Makes Things Spin Really Fast!</t>
  </si>
  <si>
    <t>2024-11-09T16:03:00Z</t>
  </si>
  <si>
    <t>fJuyonpe7EA</t>
  </si>
  <si>
    <t>Diamond vs Lava</t>
  </si>
  <si>
    <t>2024-11-04T18:22:59Z</t>
  </si>
  <si>
    <t>zv8Hokha4mI</t>
  </si>
  <si>
    <t>Why Do Some Liquids Flow Up? The Mysteries of Shear-Thinning Fluids</t>
  </si>
  <si>
    <t>2024-11-02T15:04:00Z</t>
  </si>
  <si>
    <t>KTRvDEs4r6o</t>
  </si>
  <si>
    <t>The Secret Behind the World’s Fastest Card Thrower</t>
  </si>
  <si>
    <t>2024-10-26T15:03:00Z</t>
  </si>
  <si>
    <t>sU3av6FqwHs</t>
  </si>
  <si>
    <t>How Superconductors Turn Matter Into Waves</t>
  </si>
  <si>
    <t>2024-10-19T15:03:00Z</t>
  </si>
  <si>
    <t>jBB3gCl1AA4</t>
  </si>
  <si>
    <t>Spontaneous Organization</t>
  </si>
  <si>
    <t>2024-10-18T15:05:00Z</t>
  </si>
  <si>
    <t>sNuIUSUB9uc</t>
  </si>
  <si>
    <t>Very Cold Balls</t>
  </si>
  <si>
    <t>2024-10-14T19:07:59Z</t>
  </si>
  <si>
    <t>-P2rMk3bfkc</t>
  </si>
  <si>
    <t>How Entropy Creates Order— They Thought It Was Impossible</t>
  </si>
  <si>
    <t>2024-10-12T15:03:00Z</t>
  </si>
  <si>
    <t>UNv08gFT_A4</t>
  </si>
  <si>
    <t>Does Moving Fast Prevent Electric Shock?</t>
  </si>
  <si>
    <t>2024-10-05T15:03:00Z</t>
  </si>
  <si>
    <t>zJmA6Pyyo8U</t>
  </si>
  <si>
    <t>What Happens When You Reflect a Laser Back Into Itself?</t>
  </si>
  <si>
    <t>2024-09-28T15:04:00Z</t>
  </si>
  <si>
    <t>lSQkeGr5AFc</t>
  </si>
  <si>
    <t>How LiDAR Works: Measuring Light Speed with the First and Best Floor-Washing Robot Vacuum</t>
  </si>
  <si>
    <t>2024-09-24T14:00:47Z</t>
  </si>
  <si>
    <t>I3DTbmYelJs</t>
  </si>
  <si>
    <t>Self-Pouring Fluid</t>
  </si>
  <si>
    <t>2024-09-22T18:31:45Z</t>
  </si>
  <si>
    <t>W-biZAx6byg</t>
  </si>
  <si>
    <t>The World's Most Dangerous Greedy Cup</t>
  </si>
  <si>
    <t>2024-09-14T15:04:00Z</t>
  </si>
  <si>
    <t>S5kffZWjSlE</t>
  </si>
  <si>
    <t>This Solar Plant Doesn’t Use Solar Panels</t>
  </si>
  <si>
    <t>2026-06-18T16:46:26Z</t>
  </si>
  <si>
    <t>UC7DdEm33SyaTDtWYGO2CwdA</t>
  </si>
  <si>
    <t>Physics Girl</t>
  </si>
  <si>
    <t>cEXG-vJSs68</t>
  </si>
  <si>
    <t>100 years later...Einstein was right</t>
  </si>
  <si>
    <t>2026-06-10T22:46:17Z</t>
  </si>
  <si>
    <t>Xjx3jovqI4k</t>
  </si>
  <si>
    <t>I Rode a Nuclear Submarine Under Arctic Ice</t>
  </si>
  <si>
    <t>2026-05-31T19:00:34Z</t>
  </si>
  <si>
    <t>qyd0eQ2ems4</t>
  </si>
  <si>
    <t>This Party Trick Is Pure Physics</t>
  </si>
  <si>
    <t>2026-05-13T13:01:37Z</t>
  </si>
  <si>
    <t>4s9LuOSR3Q4</t>
  </si>
  <si>
    <t>What would happen if the Sun dissapeared?</t>
  </si>
  <si>
    <t>2026-05-02T13:00:15Z</t>
  </si>
  <si>
    <t>Ycdklm6W1_o</t>
  </si>
  <si>
    <t>What happened to my face</t>
  </si>
  <si>
    <t>2026-04-26T13:00:50Z</t>
  </si>
  <si>
    <t>TxQiwmbJ82M</t>
  </si>
  <si>
    <t>What is a mud volcano?</t>
  </si>
  <si>
    <t>2026-04-18T18:04:08Z</t>
  </si>
  <si>
    <t>9wpPSo7Ga5Q</t>
  </si>
  <si>
    <t>Are Perpetual Motion Machines Possible?</t>
  </si>
  <si>
    <t>2026-04-11T20:50:42Z</t>
  </si>
  <si>
    <t>ld0DISNauQQ</t>
  </si>
  <si>
    <t>BREAKING the laws of physics!</t>
  </si>
  <si>
    <t>2026-04-03T13:00:00Z</t>
  </si>
  <si>
    <t>kdKz4zuqlH8</t>
  </si>
  <si>
    <t>My first science video in 3 years!</t>
  </si>
  <si>
    <t>2026-03-29T20:52:39Z</t>
  </si>
  <si>
    <t>4kIKScndwtY</t>
  </si>
  <si>
    <t>The Ocean Floor Is Covered in This</t>
  </si>
  <si>
    <t>2026-03-22T13:00:06Z</t>
  </si>
  <si>
    <t>43JlYaLLXZs</t>
  </si>
  <si>
    <t>Insane Science Experiment in Slow Motion</t>
  </si>
  <si>
    <t>2026-03-15T13:00:07Z</t>
  </si>
  <si>
    <t>n4f1wWoNbqQ</t>
  </si>
  <si>
    <t>Galaxies Move Faster Than Light</t>
  </si>
  <si>
    <t>2026-03-06T22:17:11Z</t>
  </si>
  <si>
    <t>B3m3AMRlYfc</t>
  </si>
  <si>
    <t>My first science video in 3 years</t>
  </si>
  <si>
    <t>2026-03-03T14:00:14Z</t>
  </si>
  <si>
    <t>-kwGzmZX5FI</t>
  </si>
  <si>
    <t>Why Is My Coffee Acting Like This?</t>
  </si>
  <si>
    <t>2026-02-17T19:31:24Z</t>
  </si>
  <si>
    <t>3Q3zrd3vBxs</t>
  </si>
  <si>
    <t>Something Frozen for 15,000 Years Is Waking Up</t>
  </si>
  <si>
    <t>2026-02-07T20:33:05Z</t>
  </si>
  <si>
    <t>o5hU_m6OwOU</t>
  </si>
  <si>
    <t>How to Make a Fireproof Balloon</t>
  </si>
  <si>
    <t>2026-02-01T17:58:52Z</t>
  </si>
  <si>
    <t>Q53uvCT3Ltg</t>
  </si>
  <si>
    <t>East Experiment - Balloon Trick</t>
  </si>
  <si>
    <t>2026-01-24T21:22:13Z</t>
  </si>
  <si>
    <t>MfdqUd3mOvI</t>
  </si>
  <si>
    <t>How Fire Looks When It Falls</t>
  </si>
  <si>
    <t>2026-01-17T20:04:03Z</t>
  </si>
  <si>
    <t>EMv0TmODOGc</t>
  </si>
  <si>
    <t>You've Never Seen This</t>
  </si>
  <si>
    <t>2026-01-07T16:00:19Z</t>
  </si>
  <si>
    <t>4LSGH8Atvv8</t>
  </si>
  <si>
    <t>The Weirdest Magnet Trick Ever</t>
  </si>
  <si>
    <t>2025-12-21T21:06:23Z</t>
  </si>
  <si>
    <t>eo1GGWRGpGM</t>
  </si>
  <si>
    <t>The Universe Expands FAST</t>
  </si>
  <si>
    <t>2025-12-09T23:01:02Z</t>
  </si>
  <si>
    <t>46N0XT6cvKQ</t>
  </si>
  <si>
    <t>How Touchscreens Work</t>
  </si>
  <si>
    <t>2025-11-27T00:56:11Z</t>
  </si>
  <si>
    <t>32BOr1QZcCY</t>
  </si>
  <si>
    <t>Easy At Home Science Experiment!</t>
  </si>
  <si>
    <t>2025-11-21T23:36:17Z</t>
  </si>
  <si>
    <t>mECBCePKF_E</t>
  </si>
  <si>
    <t>Our brains have been tricking us!</t>
  </si>
  <si>
    <t>2025-11-13T02:59:45Z</t>
  </si>
  <si>
    <t>wcjD6UYY21A</t>
  </si>
  <si>
    <t>This Cosmic Mystery Broke Physics (Until Inflation) 🤯</t>
  </si>
  <si>
    <t>2025-10-21T22:50:19Z</t>
  </si>
  <si>
    <t>BRxvK9m6d6I</t>
  </si>
  <si>
    <t>The Universe Is Speeding Up...</t>
  </si>
  <si>
    <t>2025-10-14T19:23:28Z</t>
  </si>
  <si>
    <t>7hV4K1-sNmU</t>
  </si>
  <si>
    <t>Hot Ice Is Real — And Easy To Make</t>
  </si>
  <si>
    <t>2025-09-20T19:56:01Z</t>
  </si>
  <si>
    <t>O80s9lqyka8</t>
  </si>
  <si>
    <t>The Band-Aid Secret Nobody Told You</t>
  </si>
  <si>
    <t>2025-08-19T21:15:52Z</t>
  </si>
  <si>
    <t>CAsSpcitNF4</t>
  </si>
  <si>
    <t>Why does this ice NOT float or sink?</t>
  </si>
  <si>
    <t>2025-08-06T23:34:42Z</t>
  </si>
  <si>
    <t>5773TjUqPyg</t>
  </si>
  <si>
    <t>What substance breaks surface tension?</t>
  </si>
  <si>
    <t>2025-07-24T23:47:43Z</t>
  </si>
  <si>
    <t>RPFD2QfxdDA</t>
  </si>
  <si>
    <t>Water Levitates! The Leidenfrost Effect Explained</t>
  </si>
  <si>
    <t>2025-07-11T23:47:43Z</t>
  </si>
  <si>
    <t>Q_LJ75_RQ5Y</t>
  </si>
  <si>
    <t>How to Make a Cloud in Your Mouth</t>
  </si>
  <si>
    <t>2025-07-02T17:34:18Z</t>
  </si>
  <si>
    <t>-I8_PJX18pU</t>
  </si>
  <si>
    <t>Antimatter annihilates REAL matter!</t>
  </si>
  <si>
    <t>2025-06-23T22:26:58Z</t>
  </si>
  <si>
    <t>vqeIeIcDHD0</t>
  </si>
  <si>
    <t>First Update From Dianna (Physics Girl)</t>
  </si>
  <si>
    <t>2025-05-22T13:01:43Z</t>
  </si>
  <si>
    <t>8oSzTHGNhDk</t>
  </si>
  <si>
    <t>Reverse Curve Ball | EXPLAINED</t>
  </si>
  <si>
    <t>2025-05-19T22:12:38Z</t>
  </si>
  <si>
    <t>IQQqXEztxZE</t>
  </si>
  <si>
    <t>What is this mystery liquid?</t>
  </si>
  <si>
    <t>2025-05-05T20:48:09Z</t>
  </si>
  <si>
    <t>2DLQGX2n7jQ</t>
  </si>
  <si>
    <t>I SCARED iJustine!</t>
  </si>
  <si>
    <t>2025-04-19T01:01:18Z</t>
  </si>
  <si>
    <t>YKIW5bGSsLQ</t>
  </si>
  <si>
    <t>How Ferrofluid Works</t>
  </si>
  <si>
    <t>2025-04-02T00:30:25Z</t>
  </si>
  <si>
    <t>gxY4k-pubbo</t>
  </si>
  <si>
    <t>We found MUD VOLCANOS!</t>
  </si>
  <si>
    <t>2025-02-18T23:07:45Z</t>
  </si>
  <si>
    <t>-4e__1PtOhE</t>
  </si>
  <si>
    <t>World's most secret mystery EXPLAINED</t>
  </si>
  <si>
    <t>2025-02-04T00:07:52Z</t>
  </si>
  <si>
    <t>2ntx91cOYEc</t>
  </si>
  <si>
    <t>Dianna stands for the first time in 2 years!</t>
  </si>
  <si>
    <t>2025-01-24T22:05:50Z</t>
  </si>
  <si>
    <t>iwaQaVbPjWU</t>
  </si>
  <si>
    <t>I was there! At David Blaine's newest stunt!</t>
  </si>
  <si>
    <t>2024-12-17T03:52:09Z</t>
  </si>
  <si>
    <t>ScA9Qnr6Eq4</t>
  </si>
  <si>
    <t>Land on Mars? Bill Nye EXPLAINS</t>
  </si>
  <si>
    <t>2024-12-05T22:16:27Z</t>
  </si>
  <si>
    <t>euCkKszuWDQ</t>
  </si>
  <si>
    <t>Hello from Dianna! - Two years in bed</t>
  </si>
  <si>
    <t>2024-11-20T23:15:28Z</t>
  </si>
  <si>
    <t>diHw58JM2Zc</t>
  </si>
  <si>
    <t>We did it! Levitation is REAL</t>
  </si>
  <si>
    <t>2024-11-14T18:30:06Z</t>
  </si>
  <si>
    <t>VKZtlELBGfU</t>
  </si>
  <si>
    <t>We detected it...</t>
  </si>
  <si>
    <t>2024-10-17T20:16:42Z</t>
  </si>
  <si>
    <t>ndhu7uo3PrI</t>
  </si>
  <si>
    <t>Dianna’s new procedure - WARNING: Needle</t>
  </si>
  <si>
    <t>2024-09-26T22:37:09Z</t>
  </si>
  <si>
    <t>YWXMd1WC5sg</t>
  </si>
  <si>
    <t>Don't get SHOCKED! - Life hack</t>
  </si>
  <si>
    <t>2024-09-17T00:10:13Z</t>
  </si>
  <si>
    <t>GrqX0L0GQ-s</t>
  </si>
  <si>
    <t>What even are Brown Dwarfs??</t>
  </si>
  <si>
    <t>2024-09-03T23:47:15Z</t>
  </si>
  <si>
    <t>WDUNqYXWbMg</t>
  </si>
  <si>
    <t>We did it! $150k to research Long COVID</t>
  </si>
  <si>
    <t>2024-08-02T13:00:39Z</t>
  </si>
  <si>
    <t>xALv93I6xLo</t>
  </si>
  <si>
    <t>DO NOT exercise with long COVID</t>
  </si>
  <si>
    <t>2024-07-25T16:37:40Z</t>
  </si>
  <si>
    <t>v8HWt9g4L0k</t>
  </si>
  <si>
    <t>Physics Girl LIVE with long Covid</t>
  </si>
  <si>
    <t>2024-07-07T16:02:02Z</t>
  </si>
  <si>
    <t>gZfg-KUPtMc</t>
  </si>
  <si>
    <t>Dianna will be Live-streaming this Saturday</t>
  </si>
  <si>
    <t>2024-07-05T00:30:22Z</t>
  </si>
  <si>
    <t>rUEc-XehwNQ</t>
  </si>
  <si>
    <t>Dianna shaves her hair off - ME/CFS</t>
  </si>
  <si>
    <t>2024-06-28T00:12:37Z</t>
  </si>
  <si>
    <t>_IAeZaBpJpw</t>
  </si>
  <si>
    <t>It's been a year and a half...</t>
  </si>
  <si>
    <t>2024-05-31T21:56:15Z</t>
  </si>
  <si>
    <t>Z3aodMViqJI</t>
  </si>
  <si>
    <t>We are not prepared...</t>
  </si>
  <si>
    <t>2024-05-11T21:29:23Z</t>
  </si>
  <si>
    <t>mKXZ50hH4Y4</t>
  </si>
  <si>
    <t>World's Easiest DIY Battery Magnet Train</t>
  </si>
  <si>
    <t>2024-05-08T18:28:30Z</t>
  </si>
  <si>
    <t>ZiOZ6s7Fmy0</t>
  </si>
  <si>
    <t>You can pop a soda can with a Sharpie!</t>
  </si>
  <si>
    <t>2024-04-26T21:14:54Z</t>
  </si>
  <si>
    <t>VQ6qruT9VdU</t>
  </si>
  <si>
    <t>Easy home experiment - Laser Vs Jell-O</t>
  </si>
  <si>
    <t>2024-04-17T23:35:12Z</t>
  </si>
  <si>
    <t>ah3TW101YLo</t>
  </si>
  <si>
    <t>Do microwaves leak radiation?</t>
  </si>
  <si>
    <t>2024-03-28T20:35:15Z</t>
  </si>
  <si>
    <t>QL_juypzSzk</t>
  </si>
  <si>
    <t>Smoke Grenade Air Cannon!</t>
  </si>
  <si>
    <t>2024-03-24T00:43:39Z</t>
  </si>
  <si>
    <t>ynzoJOEfNxk</t>
  </si>
  <si>
    <t>The bizarre physics of tops</t>
  </si>
  <si>
    <t>2024-03-09T23:54:44Z</t>
  </si>
  <si>
    <t>WyrVmfzJ2_w</t>
  </si>
  <si>
    <t>How to curve a soccer ball</t>
  </si>
  <si>
    <t>2024-02-29T22:40:41Z</t>
  </si>
  <si>
    <t>go3gc2qc9tc</t>
  </si>
  <si>
    <t>Make sand a liquid!</t>
  </si>
  <si>
    <t>2024-02-22T18:37:40Z</t>
  </si>
  <si>
    <t>Dg2dWJEfdNI</t>
  </si>
  <si>
    <t>tic tac bounce - Slow Motion Physics</t>
  </si>
  <si>
    <t>2024-02-05T21:21:01Z</t>
  </si>
  <si>
    <t>z9Q3GkIkhcU</t>
  </si>
  <si>
    <t>2024-01-19T21:48:15Z</t>
  </si>
  <si>
    <t>rafK5fxHu8s</t>
  </si>
  <si>
    <t>GIANT Rogue wave hits an oil platform</t>
  </si>
  <si>
    <t>2024-01-11T22:42:29Z</t>
  </si>
  <si>
    <t>ilQT79f1nJY</t>
  </si>
  <si>
    <t>World's Greatest Mystery SOLVED</t>
  </si>
  <si>
    <t>2024-01-06T00:44:45Z</t>
  </si>
  <si>
    <t>ESYYbeBxN9Q</t>
  </si>
  <si>
    <t>Dianna Health Update #2</t>
  </si>
  <si>
    <t>2023-12-23T23:24:08Z</t>
  </si>
  <si>
    <t>xbcjf-hrOAs</t>
  </si>
  <si>
    <t>Dianna Health Update from SmarterEveryDay</t>
  </si>
  <si>
    <t>2023-12-21T21:18:01Z</t>
  </si>
  <si>
    <t>JTLAn5PtBuw</t>
  </si>
  <si>
    <t>Fastest Punch Ever</t>
  </si>
  <si>
    <t>2023-12-04T21:36:13Z</t>
  </si>
  <si>
    <t>T4DsjQuVLW0</t>
  </si>
  <si>
    <t>How Does Stretching Work?</t>
  </si>
  <si>
    <t>2023-11-30T23:16:47Z</t>
  </si>
  <si>
    <t>MKxlfUrVSDU</t>
  </si>
  <si>
    <t>My favorite party trick EXPLAINED</t>
  </si>
  <si>
    <t>2023-11-05T22:47:32Z</t>
  </si>
  <si>
    <t>3T_ZvS1IU_I</t>
  </si>
  <si>
    <t>Hydrogen balloon EXPLODES</t>
  </si>
  <si>
    <t>2023-10-21T19:02:19Z</t>
  </si>
  <si>
    <t>pduu4hA1CyE</t>
  </si>
  <si>
    <t>Antimatter Theory CONFIRMED</t>
  </si>
  <si>
    <t>2023-10-12T12:00:44Z</t>
  </si>
  <si>
    <t>20AOq1yrR2Y</t>
  </si>
  <si>
    <t>Tangled headphones are your fault</t>
  </si>
  <si>
    <t>2023-09-21T19:34:06Z</t>
  </si>
  <si>
    <t>cZQHxn0423o</t>
  </si>
  <si>
    <t>Viral riddle answered with science - FAIL</t>
  </si>
  <si>
    <t>2023-09-07T21:51:27Z</t>
  </si>
  <si>
    <t>W4eUPhE0A6E</t>
  </si>
  <si>
    <t>Never buy the wrong sunglasses again!</t>
  </si>
  <si>
    <t>2023-08-30T12:00:20Z</t>
  </si>
  <si>
    <t>XMtfldRO8Vg</t>
  </si>
  <si>
    <t>Why volcanos on Mars are MASSIVE</t>
  </si>
  <si>
    <t>2023-08-09T23:46:41Z</t>
  </si>
  <si>
    <t>J8ZnJ1RNnJ0</t>
  </si>
  <si>
    <t>Crazy Pool Vortex!</t>
  </si>
  <si>
    <t>2023-08-01T21:04:59Z</t>
  </si>
  <si>
    <t>8nVlAPLMcEg</t>
  </si>
  <si>
    <t>Impossible tongue twister!</t>
  </si>
  <si>
    <t>2023-07-19T22:02:42Z</t>
  </si>
  <si>
    <t>uKmmO1KE8ew</t>
  </si>
  <si>
    <t>Dianna shows us her PICC line</t>
  </si>
  <si>
    <t>2023-06-28T13:00:52Z</t>
  </si>
  <si>
    <t>LCVU6NQWWLE</t>
  </si>
  <si>
    <t>Life On Mars - HUGE DISASTER</t>
  </si>
  <si>
    <t>2023-06-22T20:09:55Z</t>
  </si>
  <si>
    <t>XBT6N9svYhA</t>
  </si>
  <si>
    <t>We shrunk a quarter with science!</t>
  </si>
  <si>
    <t>2023-06-14T13:00:33Z</t>
  </si>
  <si>
    <t>kdCJ7x_2-mk</t>
  </si>
  <si>
    <t>What makes up 95% of the universe?</t>
  </si>
  <si>
    <t>2023-06-07T18:45:54Z</t>
  </si>
  <si>
    <t>xvuEovIfEE8</t>
  </si>
  <si>
    <t>The largest scientific facility on Earth</t>
  </si>
  <si>
    <t>2023-06-01T17:38:17Z</t>
  </si>
  <si>
    <t>JfvrSI9FSig</t>
  </si>
  <si>
    <t>Dianna's restrictive diet</t>
  </si>
  <si>
    <t>2023-05-27T00:28:02Z</t>
  </si>
  <si>
    <t>a7gv_9E_1Fw</t>
  </si>
  <si>
    <t>Make vortex rings in your pool</t>
  </si>
  <si>
    <t>2023-05-11T03:22:13Z</t>
  </si>
  <si>
    <t>i5HOOPMfLZg</t>
  </si>
  <si>
    <t>Why the sky is darker above a rainbow</t>
  </si>
  <si>
    <t>2023-05-02T21:09:50Z</t>
  </si>
  <si>
    <t>vWMwEqoOiJA</t>
  </si>
  <si>
    <t>Why can't you sing into a pipe?</t>
  </si>
  <si>
    <t>2023-04-25T21:07:49Z</t>
  </si>
  <si>
    <t>k3hgVys6kc0</t>
  </si>
  <si>
    <t>Solar vs Lunar Eclipse</t>
  </si>
  <si>
    <t>2023-04-18T22:15:46Z</t>
  </si>
  <si>
    <t>1xd6Sn02_bQ</t>
  </si>
  <si>
    <t>Bubbles have opposites - And we made them.</t>
  </si>
  <si>
    <t>2023-04-14T12:00:01Z</t>
  </si>
  <si>
    <t>KuTJZQm9xV4</t>
  </si>
  <si>
    <t>I sang so loud...I broke it</t>
  </si>
  <si>
    <t>2023-04-12T22:59:10Z</t>
  </si>
  <si>
    <t>RQp6sTDSGm8</t>
  </si>
  <si>
    <t>Dianna's road to recovery</t>
  </si>
  <si>
    <t>2023-04-10T19:35:17Z</t>
  </si>
  <si>
    <t>26eFtG4pacI</t>
  </si>
  <si>
    <t>The most expensive material in the world</t>
  </si>
  <si>
    <t>2023-04-05T18:22:04Z</t>
  </si>
  <si>
    <t>wCLWYmqKr0o</t>
  </si>
  <si>
    <t>Flying in zero gravity!</t>
  </si>
  <si>
    <t>2023-04-03T18:37:15Z</t>
  </si>
  <si>
    <t>JxpauhR-xT8</t>
  </si>
  <si>
    <t>Did you know this about Death Valley?</t>
  </si>
  <si>
    <t>2023-03-28T19:45:02Z</t>
  </si>
  <si>
    <t>83FNpQG-cao</t>
  </si>
  <si>
    <t>Dianna cuts off her hair</t>
  </si>
  <si>
    <t>2023-03-21T18:34:05Z</t>
  </si>
  <si>
    <t>HX4YqZDCjm0</t>
  </si>
  <si>
    <t>Tarantula Hawk: Neither Tarantula Nor Hawk</t>
  </si>
  <si>
    <t>2026-04-02T14:00:22Z</t>
  </si>
  <si>
    <t>UCa35qyNpnlZ_u8n9qoAZbMQ</t>
  </si>
  <si>
    <t>HowStuffWorks</t>
  </si>
  <si>
    <t>JewvYMEQljg</t>
  </si>
  <si>
    <t>Yes, the CIA Used Tactical Vampires</t>
  </si>
  <si>
    <t>2026-04-01T15:48:00Z</t>
  </si>
  <si>
    <t>JrmXXfbbIDw</t>
  </si>
  <si>
    <t>How did a 7-year-old win Olympic gold?</t>
  </si>
  <si>
    <t>2026-03-31T15:02:08Z</t>
  </si>
  <si>
    <t>rXlCiQudp9g</t>
  </si>
  <si>
    <t>A quick look at: the Palace of Versailles</t>
  </si>
  <si>
    <t>2025-11-07T05:01:11Z</t>
  </si>
  <si>
    <t>74F-J0qAF-U</t>
  </si>
  <si>
    <t>Glasswing butterfly</t>
  </si>
  <si>
    <t>2025-11-05T05:00:09Z</t>
  </si>
  <si>
    <t>CtmPBSlOVEU</t>
  </si>
  <si>
    <t>Most Iconic Castles in Europe</t>
  </si>
  <si>
    <t>2025-11-04T16:29:34Z</t>
  </si>
  <si>
    <t>xyb8KygtG_c</t>
  </si>
  <si>
    <t>Meet the Most Colorful Frogs</t>
  </si>
  <si>
    <t>2025-10-24T04:01:17Z</t>
  </si>
  <si>
    <t>7rwuitv_SnQ</t>
  </si>
  <si>
    <t>Fun Facts About Hippos</t>
  </si>
  <si>
    <t>2025-10-22T14:44:11Z</t>
  </si>
  <si>
    <t>8dO3YSVrmQ4</t>
  </si>
  <si>
    <t>Green Anaconda</t>
  </si>
  <si>
    <t>2025-10-21T14:18:49Z</t>
  </si>
  <si>
    <t>kP1GzCQbHes</t>
  </si>
  <si>
    <t>Animals You Didn’t Know Were Nocturnal</t>
  </si>
  <si>
    <t>2025-10-15T13:21:15Z</t>
  </si>
  <si>
    <t>gfa41nmv3Z0</t>
  </si>
  <si>
    <t>Cheetah Running</t>
  </si>
  <si>
    <t>2025-10-10T04:01:02Z</t>
  </si>
  <si>
    <t>0uh234Mc0bc</t>
  </si>
  <si>
    <t>Why Are Sloths So Slow?</t>
  </si>
  <si>
    <t>2025-10-03T04:00:02Z</t>
  </si>
  <si>
    <t>q8yqz1HRZrA</t>
  </si>
  <si>
    <t>8 Most Expensive Dogs</t>
  </si>
  <si>
    <t>2025-09-29T16:41:02Z</t>
  </si>
  <si>
    <t>dfWypA0cOLE</t>
  </si>
  <si>
    <t>These words rock!</t>
  </si>
  <si>
    <t>2025-09-26T14:25:36Z</t>
  </si>
  <si>
    <t>sIWQcM1GlQc</t>
  </si>
  <si>
    <t>Chickens Dreaming</t>
  </si>
  <si>
    <t>2025-09-22T14:30:43Z</t>
  </si>
  <si>
    <t>7H69A2CQtGA</t>
  </si>
  <si>
    <t>Yep—your mouth is basically a hydration station.</t>
  </si>
  <si>
    <t>2025-09-19T13:07:58Z</t>
  </si>
  <si>
    <t>IogsnQzFsaw</t>
  </si>
  <si>
    <t>Koalas have fingerprints.</t>
  </si>
  <si>
    <t>2025-09-17T04:00:23Z</t>
  </si>
  <si>
    <t>-hl7dAsOfd0</t>
  </si>
  <si>
    <t>Octopuses have 3 hearts?!</t>
  </si>
  <si>
    <t>2025-09-15T15:05:43Z</t>
  </si>
  <si>
    <t>lf2TWgRumj4</t>
  </si>
  <si>
    <t>Honey Never Expires</t>
  </si>
  <si>
    <t>2025-09-10T04:01:02Z</t>
  </si>
  <si>
    <t>QHIed0wk2F8</t>
  </si>
  <si>
    <t>5 Most Protective Dog Breeds</t>
  </si>
  <si>
    <t>2025-09-08T04:00:28Z</t>
  </si>
  <si>
    <t>u-ammfBLHGE</t>
  </si>
  <si>
    <t>Doomscrolling break. Enjoy this video of a snail</t>
  </si>
  <si>
    <t>2025-09-05T15:32:12Z</t>
  </si>
  <si>
    <t>poUGf2D2WAU</t>
  </si>
  <si>
    <t>5 Types of Heels and How They Fit Every Style</t>
  </si>
  <si>
    <t>2025-09-03T04:01:02Z</t>
  </si>
  <si>
    <t>lnjQNekF0xo</t>
  </si>
  <si>
    <t>Which bird are you?</t>
  </si>
  <si>
    <t>2025-08-29T04:01:03Z</t>
  </si>
  <si>
    <t>hlMWdNyvkz0</t>
  </si>
  <si>
    <t>Crocodiles Can't Stick Out Their Tongue?</t>
  </si>
  <si>
    <t>2025-08-27T04:00:48Z</t>
  </si>
  <si>
    <t>tCifPJ8OlG4</t>
  </si>
  <si>
    <t>Why can't you can’t tickle yourself?</t>
  </si>
  <si>
    <t>2025-08-25T04:01:04Z</t>
  </si>
  <si>
    <t>Ax2aF8BpYe0</t>
  </si>
  <si>
    <t>Can You Name All of the Generations?</t>
  </si>
  <si>
    <t>2025-08-22T04:00:19Z</t>
  </si>
  <si>
    <t>2jDZx0BbVgg</t>
  </si>
  <si>
    <t>Goose vs. Duck Identification: Size, Bills and Neck Length</t>
  </si>
  <si>
    <t>2025-08-20T07:00:03Z</t>
  </si>
  <si>
    <t>hbgi9Nc4XBs</t>
  </si>
  <si>
    <t>Goliath Birdeater Spider</t>
  </si>
  <si>
    <t>2025-08-15T07:00:40Z</t>
  </si>
  <si>
    <t>Yvyc5HAPchs</t>
  </si>
  <si>
    <t>Breathe &amp; Swallow</t>
  </si>
  <si>
    <t>2025-08-13T07:00:26Z</t>
  </si>
  <si>
    <t>8-uXqHNW0XE</t>
  </si>
  <si>
    <t>2025-08-13T07:00:10Z</t>
  </si>
  <si>
    <t>m_rdRXRe1vs</t>
  </si>
  <si>
    <t>Leatherback sea turtles</t>
  </si>
  <si>
    <t>2025-08-11T07:00:48Z</t>
  </si>
  <si>
    <t>CGqiZMYG_wE</t>
  </si>
  <si>
    <t>2010's Slang</t>
  </si>
  <si>
    <t>2025-08-08T07:00:11Z</t>
  </si>
  <si>
    <t>gEt17y57FpQ</t>
  </si>
  <si>
    <t>Knighted Penguin</t>
  </si>
  <si>
    <t>2025-08-07T07:00:47Z</t>
  </si>
  <si>
    <t>umLE-fPpPY4</t>
  </si>
  <si>
    <t>5 Most Popular Cat Breeds</t>
  </si>
  <si>
    <t>2025-08-06T07:00:58Z</t>
  </si>
  <si>
    <t>umJbXRdiJjM</t>
  </si>
  <si>
    <t>Every Person Passes Gas</t>
  </si>
  <si>
    <t>2025-08-05T21:21:58Z</t>
  </si>
  <si>
    <t>ysr_fs7o9Ps</t>
  </si>
  <si>
    <t>Octopus</t>
  </si>
  <si>
    <t>2025-07-02T22:27:47Z</t>
  </si>
  <si>
    <t>ibosi_PDjyQ</t>
  </si>
  <si>
    <t>Fast Facts: Largest Star</t>
  </si>
  <si>
    <t>2025-06-26T07:00:49Z</t>
  </si>
  <si>
    <t>LpFzwlalf6M</t>
  </si>
  <si>
    <t>1980's Slang</t>
  </si>
  <si>
    <t>2025-06-25T18:33:07Z</t>
  </si>
  <si>
    <t>rU0UOX_EbFg</t>
  </si>
  <si>
    <t>Yes, Male Seahorses Do Give Birth!</t>
  </si>
  <si>
    <t>2025-06-23T07:00:59Z</t>
  </si>
  <si>
    <t>KHZj2wgAB9U</t>
  </si>
  <si>
    <t>Diamondback Snake #wildlife</t>
  </si>
  <si>
    <t>2025-06-18T07:00:16Z</t>
  </si>
  <si>
    <t>P6Yw2xMKAhk</t>
  </si>
  <si>
    <t>1970's Slang</t>
  </si>
  <si>
    <t>2025-06-16T07:00:19Z</t>
  </si>
  <si>
    <t>IN8_dHpndY0</t>
  </si>
  <si>
    <t>Archaic Insults</t>
  </si>
  <si>
    <t>2025-06-12T07:00:19Z</t>
  </si>
  <si>
    <t>O3wxFrgcjIg</t>
  </si>
  <si>
    <t>Caracal</t>
  </si>
  <si>
    <t>2025-06-11T17:17:04Z</t>
  </si>
  <si>
    <t>-S_jckvMDaQ</t>
  </si>
  <si>
    <t>1960's Slang</t>
  </si>
  <si>
    <t>2025-06-10T07:00:00Z</t>
  </si>
  <si>
    <t>G2No8xbHwsg</t>
  </si>
  <si>
    <t>Crows</t>
  </si>
  <si>
    <t>2025-06-09T07:00:13Z</t>
  </si>
  <si>
    <t>1Hfcb6fHadE</t>
  </si>
  <si>
    <t>5 Things You Didn't Know About Doughnuts</t>
  </si>
  <si>
    <t>2025-06-06T17:05:21Z</t>
  </si>
  <si>
    <t>H_cpGBL5qww</t>
  </si>
  <si>
    <t>9 Names of God in Christianity and Judaism</t>
  </si>
  <si>
    <t>2025-06-04T07:00:14Z</t>
  </si>
  <si>
    <t>ypfiHPRxnWs</t>
  </si>
  <si>
    <t>1950's Slang</t>
  </si>
  <si>
    <t>2025-06-03T07:01:02Z</t>
  </si>
  <si>
    <t>88cAg0s__A8</t>
  </si>
  <si>
    <t>2025-06-02T07:00:13Z</t>
  </si>
  <si>
    <t>wrypaJBT5Pc</t>
  </si>
  <si>
    <t>2025-05-30T07:00:56Z</t>
  </si>
  <si>
    <t>hxhmg0rBmz8</t>
  </si>
  <si>
    <t>Funny Names for Your Cat</t>
  </si>
  <si>
    <t>2025-05-29T07:00:43Z</t>
  </si>
  <si>
    <t>xIkM8eDKnQ0</t>
  </si>
  <si>
    <t>9 Animals That Live in the Tundra</t>
  </si>
  <si>
    <t>2025-05-27T07:01:00Z</t>
  </si>
  <si>
    <t>AWeGl2CMGGY</t>
  </si>
  <si>
    <t>What Do People Mean When They Say ‘Dangerous Seas’?</t>
  </si>
  <si>
    <t>2025-05-23T07:00:20Z</t>
  </si>
  <si>
    <t>7K6Mcn7qmlg</t>
  </si>
  <si>
    <t>1940's Slang</t>
  </si>
  <si>
    <t>2025-05-22T07:00:14Z</t>
  </si>
  <si>
    <t>o5NDpoghGDM</t>
  </si>
  <si>
    <t>Tornado Alley: Where the Worst Twisters Form in the U.S.</t>
  </si>
  <si>
    <t>2025-05-21T07:00:59Z</t>
  </si>
  <si>
    <t>KJQiZF1LHm0</t>
  </si>
  <si>
    <t>Northern Lights</t>
  </si>
  <si>
    <t>2025-05-20T07:00:16Z</t>
  </si>
  <si>
    <t>VLIx-siu1rQ</t>
  </si>
  <si>
    <t>10 Most Expensive Zip Codes</t>
  </si>
  <si>
    <t>2025-05-19T07:00:25Z</t>
  </si>
  <si>
    <t>eJz-LXhU7G8</t>
  </si>
  <si>
    <t>Did you know octopuses have 3 hearts?</t>
  </si>
  <si>
    <t>2025-05-16T07:00:41Z</t>
  </si>
  <si>
    <t>NYGIPDS8e5g</t>
  </si>
  <si>
    <t>Blue butterflies were born to dazzle.</t>
  </si>
  <si>
    <t>2025-05-15T07:00:31Z</t>
  </si>
  <si>
    <t>xFyHJ8skrFc</t>
  </si>
  <si>
    <t>1920's Slang</t>
  </si>
  <si>
    <t>2025-05-12T07:00:54Z</t>
  </si>
  <si>
    <t>JsKBNE0eiPg</t>
  </si>
  <si>
    <t>Talk about up close and personal</t>
  </si>
  <si>
    <t>2025-05-10T07:00:16Z</t>
  </si>
  <si>
    <t>-5FBU1fHz58</t>
  </si>
  <si>
    <t>Major Types of Mushrooms</t>
  </si>
  <si>
    <t>2025-05-07T07:00:00Z</t>
  </si>
  <si>
    <t>nJI3EPRCbJ8</t>
  </si>
  <si>
    <t>2025-05-05T07:00:43Z</t>
  </si>
  <si>
    <t>hkQX-4xLIdo</t>
  </si>
  <si>
    <t>Well, that's terrifying.</t>
  </si>
  <si>
    <t>2025-05-02T16:08:04Z</t>
  </si>
  <si>
    <t>eDtI2ATNZxc</t>
  </si>
  <si>
    <t>6 Types of Dogs You'll See at Official Dog Shows</t>
  </si>
  <si>
    <t>2025-04-30T07:00:46Z</t>
  </si>
  <si>
    <t>NAUptnqWIBw</t>
  </si>
  <si>
    <t>10 Most Dangerous Jobs</t>
  </si>
  <si>
    <t>2025-04-28T07:00:30Z</t>
  </si>
  <si>
    <t>1H8On8QcEQE</t>
  </si>
  <si>
    <t>Meet the Glass Frog</t>
  </si>
  <si>
    <t>2025-04-24T07:00:05Z</t>
  </si>
  <si>
    <t>JneaN4XVcwM</t>
  </si>
  <si>
    <t>Understanding Blue Butterflies</t>
  </si>
  <si>
    <t>2025-04-21T15:36:25Z</t>
  </si>
  <si>
    <t>TwwZr0djcw4</t>
  </si>
  <si>
    <t>2025-04-21T15:29:36Z</t>
  </si>
  <si>
    <t>Bu4zgbKQ8Q8</t>
  </si>
  <si>
    <t>2025-04-21T15:25:46Z</t>
  </si>
  <si>
    <t>GPM3K2W3miQ</t>
  </si>
  <si>
    <t>Types of Clouds</t>
  </si>
  <si>
    <t>2025-04-17T07:00:14Z</t>
  </si>
  <si>
    <t>ZMQccO4_fq4</t>
  </si>
  <si>
    <t>Frog v. toad</t>
  </si>
  <si>
    <t>2025-04-15T07:00:34Z</t>
  </si>
  <si>
    <t>XnnX9joHGeY</t>
  </si>
  <si>
    <t>2025-04-14T21:24:10Z</t>
  </si>
  <si>
    <t>sXsPlieJAY8</t>
  </si>
  <si>
    <t>Mushrooms: delicious, deadly, or both?</t>
  </si>
  <si>
    <t>2025-04-14T21:12:56Z</t>
  </si>
  <si>
    <t>n_h1l2qeGZE</t>
  </si>
  <si>
    <t>Glass Frog</t>
  </si>
  <si>
    <t>2025-04-14T21:06:43Z</t>
  </si>
  <si>
    <t>MkAHRXbphAs</t>
  </si>
  <si>
    <t>The Fastest Land Animal</t>
  </si>
  <si>
    <t>2025-04-14T07:00:29Z</t>
  </si>
  <si>
    <t>UmuD71Fn0CU</t>
  </si>
  <si>
    <t>Are Some People Really Exempt From Paying Taxes?</t>
  </si>
  <si>
    <t>2025-04-11T07:00:33Z</t>
  </si>
  <si>
    <t>Q4eCG2ZClJ0</t>
  </si>
  <si>
    <t>10 Animals start with 'E'</t>
  </si>
  <si>
    <t>2025-04-09T07:00:19Z</t>
  </si>
  <si>
    <t>HPEU5GVY_GU</t>
  </si>
  <si>
    <t>They don't have to pay taxes</t>
  </si>
  <si>
    <t>2025-04-07T07:00:19Z</t>
  </si>
  <si>
    <t>Cks5nQqYyoo</t>
  </si>
  <si>
    <t>Eiffel Tower</t>
  </si>
  <si>
    <t>2025-04-03T07:00:09Z</t>
  </si>
  <si>
    <t>Gt1kLls2ZGA</t>
  </si>
  <si>
    <t>Top Global Economies</t>
  </si>
  <si>
    <t>2025-04-02T16:45:30Z</t>
  </si>
  <si>
    <t>H2P_5KNedqk</t>
  </si>
  <si>
    <t>2025-04-01T07:00:21Z</t>
  </si>
  <si>
    <t>4GiLtLHH7Gk</t>
  </si>
  <si>
    <t>Largest Countries in the World by Area</t>
  </si>
  <si>
    <t>2025-03-31T07:00:03Z</t>
  </si>
  <si>
    <t>KQXhnAsQrTs</t>
  </si>
  <si>
    <t>Did you know this is one of the friendliest cats on the planet?</t>
  </si>
  <si>
    <t>2025-03-28T07:00:22Z</t>
  </si>
  <si>
    <t>tVQFOwqDmdA</t>
  </si>
  <si>
    <t>9 States with No Income Tax</t>
  </si>
  <si>
    <t>2025-03-27T07:00:41Z</t>
  </si>
  <si>
    <t>onPbB68xobc</t>
  </si>
  <si>
    <t>The shoebill stork gets its name from Dutch clogs</t>
  </si>
  <si>
    <t>2025-03-26T07:00:28Z</t>
  </si>
  <si>
    <t>Lecw0pYwMTo</t>
  </si>
  <si>
    <t>Most Popular Baby Girl Names</t>
  </si>
  <si>
    <t>2025-03-25T07:00:23Z</t>
  </si>
  <si>
    <t>9cCWH7oFqJ4</t>
  </si>
  <si>
    <t>If a recipe calls for scallions, can you replace them with green onions? Yes!</t>
  </si>
  <si>
    <t>2025-03-24T07:00:06Z</t>
  </si>
  <si>
    <t>Ovx7Ge_CVCc</t>
  </si>
  <si>
    <t>Waddling into the weekend</t>
  </si>
  <si>
    <t>2025-03-21T07:00:19Z</t>
  </si>
  <si>
    <t>UrhdlkgIAEo</t>
  </si>
  <si>
    <t>Mad honey</t>
  </si>
  <si>
    <t>2025-03-20T07:00:21Z</t>
  </si>
  <si>
    <t>4WKFkrwFPQw</t>
  </si>
  <si>
    <t>Which Countries does the U.S. Owe Money?</t>
  </si>
  <si>
    <t>2025-03-19T07:00:03Z</t>
  </si>
  <si>
    <t>ZM6VKzCb_rQ</t>
  </si>
  <si>
    <t>5 Most Popular Girl Dog Names</t>
  </si>
  <si>
    <t>2025-03-18T07:00:23Z</t>
  </si>
  <si>
    <t>JOGRmNvbqWk</t>
  </si>
  <si>
    <t>Green, White, Orange Flags</t>
  </si>
  <si>
    <t>2025-03-17T07:00:20Z</t>
  </si>
  <si>
    <t>IM_3Q-JHy1g</t>
  </si>
  <si>
    <t>Happy Birthday Albert Einstein!</t>
  </si>
  <si>
    <t>2025-03-14T07:00:24Z</t>
  </si>
  <si>
    <t>e_UXQbknfkE</t>
  </si>
  <si>
    <t>Hang in there, the work week is almost halfway over.</t>
  </si>
  <si>
    <t>2025-03-12T07:00:27Z</t>
  </si>
  <si>
    <t>9MzGeoK2DcY</t>
  </si>
  <si>
    <t>5 Things That Wouldn’t Exist Without Women</t>
  </si>
  <si>
    <t>2025-03-11T07:00:07Z</t>
  </si>
  <si>
    <t>1gt2QyhZ6xo</t>
  </si>
  <si>
    <t>The green anaconda is the heaviest snake species on Earth.</t>
  </si>
  <si>
    <t>2025-03-10T07:00:01Z</t>
  </si>
  <si>
    <t>AFDbW2BwZIM</t>
  </si>
  <si>
    <t>5 Most Popular Male Dog Names</t>
  </si>
  <si>
    <t>2025-03-07T08:00:10Z</t>
  </si>
  <si>
    <t>3l99nCSSHgA</t>
  </si>
  <si>
    <t>Golden Gate Bridge</t>
  </si>
  <si>
    <t>2025-03-06T08:00:03Z</t>
  </si>
  <si>
    <t>68aUARorw7I</t>
  </si>
  <si>
    <t>Cheetah vs. Leopard</t>
  </si>
  <si>
    <t>2025-03-05T18:23:43Z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</si>
</sst>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left"/>
    </xf>
    <xf borderId="0" fillId="0" fontId="1" numFmtId="0" xfId="0" applyFont="1"/>
    <xf borderId="0" fillId="0" fontId="1" numFmtId="4" xfId="0" applyFont="1" applyNumberFormat="1"/>
    <xf borderId="0" fillId="0" fontId="1" numFmtId="11" xfId="0" applyFont="1" applyNumberFormat="1"/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spaces vs. normalized views per day per sub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education_titles_dataset!$P$1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education_titles_dataset!$Q$2:$Q$2631</c:f>
            </c:numRef>
          </c:xVal>
          <c:yVal>
            <c:numRef>
              <c:f>education_titles_dataset!$P$2:$P$2631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125830"/>
        <c:axId val="903488768"/>
      </c:scatterChart>
      <c:valAx>
        <c:axId val="12001258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normalized views per day per sub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488768"/>
      </c:valAx>
      <c:valAx>
        <c:axId val="903488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spaces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125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question marks vs nvpdps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education_titles_dataset!$S$1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education_titles_dataset!$R$2:$R$2631</c:f>
            </c:numRef>
          </c:xVal>
          <c:yVal>
            <c:numRef>
              <c:f>education_titles_dataset!$S$2:$S$2631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159936"/>
        <c:axId val="1741176372"/>
      </c:scatterChart>
      <c:valAx>
        <c:axId val="15791599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176372"/>
      </c:valAx>
      <c:valAx>
        <c:axId val="1741176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159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length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education_titles_dataset!$U$1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education_titles_dataset!$T$2:$T$2631</c:f>
            </c:numRef>
          </c:xVal>
          <c:yVal>
            <c:numRef>
              <c:f>education_titles_dataset!$U$2:$U$2631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82648"/>
        <c:axId val="125517476"/>
      </c:scatterChart>
      <c:valAx>
        <c:axId val="6451826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17476"/>
      </c:valAx>
      <c:valAx>
        <c:axId val="125517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182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819150</xdr:colOff>
      <xdr:row>2</xdr:row>
      <xdr:rowOff>190500</xdr:rowOff>
    </xdr:from>
    <xdr:ext cx="4752975" cy="2933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1143000</xdr:colOff>
      <xdr:row>7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390525</xdr:colOff>
      <xdr:row>7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10" max="10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264091.0</v>
      </c>
      <c r="G2" s="1">
        <v>28445.0</v>
      </c>
      <c r="H2" s="1">
        <v>1897.0</v>
      </c>
      <c r="I2" s="1">
        <v>3.89E7</v>
      </c>
      <c r="J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13</v>
      </c>
      <c r="E3" s="1" t="s">
        <v>14</v>
      </c>
      <c r="F3" s="1">
        <v>808872.0</v>
      </c>
      <c r="G3" s="1">
        <v>58574.0</v>
      </c>
      <c r="H3" s="1">
        <v>2445.0</v>
      </c>
      <c r="I3" s="1">
        <v>3.89E7</v>
      </c>
      <c r="J3" s="1" t="s">
        <v>15</v>
      </c>
    </row>
    <row r="4">
      <c r="A4" s="1" t="s">
        <v>19</v>
      </c>
      <c r="B4" s="1" t="s">
        <v>20</v>
      </c>
      <c r="C4" s="1" t="s">
        <v>21</v>
      </c>
      <c r="D4" s="1" t="s">
        <v>13</v>
      </c>
      <c r="E4" s="1" t="s">
        <v>14</v>
      </c>
      <c r="F4" s="1">
        <v>1075532.0</v>
      </c>
      <c r="G4" s="1">
        <v>59387.0</v>
      </c>
      <c r="H4" s="1">
        <v>3813.0</v>
      </c>
      <c r="I4" s="1">
        <v>3.89E7</v>
      </c>
      <c r="J4" s="1" t="s">
        <v>15</v>
      </c>
    </row>
    <row r="5">
      <c r="A5" s="1" t="s">
        <v>22</v>
      </c>
      <c r="B5" s="1" t="s">
        <v>23</v>
      </c>
      <c r="C5" s="1" t="s">
        <v>24</v>
      </c>
      <c r="D5" s="1" t="s">
        <v>13</v>
      </c>
      <c r="E5" s="1" t="s">
        <v>14</v>
      </c>
      <c r="F5" s="1">
        <v>1037768.0</v>
      </c>
      <c r="G5" s="1">
        <v>71794.0</v>
      </c>
      <c r="H5" s="1">
        <v>2887.0</v>
      </c>
      <c r="I5" s="1">
        <v>3.89E7</v>
      </c>
      <c r="J5" s="1" t="s">
        <v>15</v>
      </c>
    </row>
    <row r="6">
      <c r="A6" s="1" t="s">
        <v>25</v>
      </c>
      <c r="B6" s="1" t="s">
        <v>26</v>
      </c>
      <c r="C6" s="1" t="s">
        <v>27</v>
      </c>
      <c r="D6" s="1" t="s">
        <v>13</v>
      </c>
      <c r="E6" s="1" t="s">
        <v>14</v>
      </c>
      <c r="F6" s="1">
        <v>1117033.0</v>
      </c>
      <c r="G6" s="1">
        <v>45291.0</v>
      </c>
      <c r="H6" s="1">
        <v>2720.0</v>
      </c>
      <c r="I6" s="1">
        <v>3.89E7</v>
      </c>
      <c r="J6" s="1" t="s">
        <v>15</v>
      </c>
    </row>
    <row r="7">
      <c r="A7" s="1" t="s">
        <v>28</v>
      </c>
      <c r="B7" s="1" t="s">
        <v>29</v>
      </c>
      <c r="C7" s="1" t="s">
        <v>30</v>
      </c>
      <c r="D7" s="1" t="s">
        <v>13</v>
      </c>
      <c r="E7" s="1" t="s">
        <v>14</v>
      </c>
      <c r="F7" s="1">
        <v>2777839.0</v>
      </c>
      <c r="G7" s="1">
        <v>135497.0</v>
      </c>
      <c r="H7" s="1">
        <v>5706.0</v>
      </c>
      <c r="I7" s="1">
        <v>3.89E7</v>
      </c>
      <c r="J7" s="1" t="s">
        <v>15</v>
      </c>
    </row>
    <row r="8">
      <c r="A8" s="1" t="s">
        <v>31</v>
      </c>
      <c r="B8" s="1" t="s">
        <v>32</v>
      </c>
      <c r="C8" s="1" t="s">
        <v>33</v>
      </c>
      <c r="D8" s="1" t="s">
        <v>13</v>
      </c>
      <c r="E8" s="1" t="s">
        <v>14</v>
      </c>
      <c r="F8" s="1">
        <v>825021.0</v>
      </c>
      <c r="G8" s="1">
        <v>30658.0</v>
      </c>
      <c r="H8" s="1">
        <v>1638.0</v>
      </c>
      <c r="I8" s="1">
        <v>3.89E7</v>
      </c>
      <c r="J8" s="1" t="s">
        <v>15</v>
      </c>
    </row>
    <row r="9">
      <c r="A9" s="1" t="s">
        <v>34</v>
      </c>
      <c r="B9" s="1" t="s">
        <v>32</v>
      </c>
      <c r="C9" s="1" t="s">
        <v>35</v>
      </c>
      <c r="D9" s="1" t="s">
        <v>13</v>
      </c>
      <c r="E9" s="1" t="s">
        <v>14</v>
      </c>
      <c r="F9" s="1">
        <v>1770751.0</v>
      </c>
      <c r="G9" s="1">
        <v>56023.0</v>
      </c>
      <c r="H9" s="1">
        <v>1548.0</v>
      </c>
      <c r="I9" s="1">
        <v>3.89E7</v>
      </c>
      <c r="J9" s="1" t="s">
        <v>15</v>
      </c>
    </row>
    <row r="10">
      <c r="A10" s="1" t="s">
        <v>36</v>
      </c>
      <c r="B10" s="1" t="s">
        <v>37</v>
      </c>
      <c r="C10" s="1" t="s">
        <v>38</v>
      </c>
      <c r="D10" s="1" t="s">
        <v>13</v>
      </c>
      <c r="E10" s="1" t="s">
        <v>14</v>
      </c>
      <c r="F10" s="1">
        <v>1528179.0</v>
      </c>
      <c r="G10" s="1">
        <v>61192.0</v>
      </c>
      <c r="H10" s="1">
        <v>3064.0</v>
      </c>
      <c r="I10" s="1">
        <v>3.89E7</v>
      </c>
      <c r="J10" s="1" t="s">
        <v>15</v>
      </c>
    </row>
    <row r="11">
      <c r="A11" s="1" t="s">
        <v>39</v>
      </c>
      <c r="B11" s="1" t="s">
        <v>40</v>
      </c>
      <c r="C11" s="1" t="s">
        <v>41</v>
      </c>
      <c r="D11" s="1" t="s">
        <v>13</v>
      </c>
      <c r="E11" s="1" t="s">
        <v>14</v>
      </c>
      <c r="F11" s="1">
        <v>2529538.0</v>
      </c>
      <c r="G11" s="1">
        <v>83231.0</v>
      </c>
      <c r="H11" s="1">
        <v>1438.0</v>
      </c>
      <c r="I11" s="1">
        <v>3.89E7</v>
      </c>
      <c r="J11" s="1" t="s">
        <v>15</v>
      </c>
    </row>
    <row r="12">
      <c r="A12" s="1" t="s">
        <v>42</v>
      </c>
      <c r="B12" s="1" t="s">
        <v>43</v>
      </c>
      <c r="C12" s="1" t="s">
        <v>44</v>
      </c>
      <c r="D12" s="1" t="s">
        <v>13</v>
      </c>
      <c r="E12" s="1" t="s">
        <v>14</v>
      </c>
      <c r="F12" s="1">
        <v>2766026.0</v>
      </c>
      <c r="G12" s="1">
        <v>92085.0</v>
      </c>
      <c r="H12" s="1">
        <v>4759.0</v>
      </c>
      <c r="I12" s="1">
        <v>3.89E7</v>
      </c>
      <c r="J12" s="1" t="s">
        <v>15</v>
      </c>
    </row>
    <row r="13">
      <c r="A13" s="1" t="s">
        <v>45</v>
      </c>
      <c r="B13" s="1" t="s">
        <v>46</v>
      </c>
      <c r="C13" s="1" t="s">
        <v>47</v>
      </c>
      <c r="D13" s="1" t="s">
        <v>13</v>
      </c>
      <c r="E13" s="1" t="s">
        <v>14</v>
      </c>
      <c r="F13" s="1">
        <v>3051332.0</v>
      </c>
      <c r="G13" s="1">
        <v>81827.0</v>
      </c>
      <c r="H13" s="1">
        <v>1781.0</v>
      </c>
      <c r="I13" s="1">
        <v>3.89E7</v>
      </c>
      <c r="J13" s="1" t="s">
        <v>15</v>
      </c>
    </row>
    <row r="14">
      <c r="A14" s="1" t="s">
        <v>48</v>
      </c>
      <c r="B14" s="1" t="s">
        <v>49</v>
      </c>
      <c r="C14" s="1" t="s">
        <v>50</v>
      </c>
      <c r="D14" s="1" t="s">
        <v>13</v>
      </c>
      <c r="E14" s="1" t="s">
        <v>14</v>
      </c>
      <c r="F14" s="1">
        <v>3425583.0</v>
      </c>
      <c r="G14" s="1">
        <v>120573.0</v>
      </c>
      <c r="H14" s="1">
        <v>1932.0</v>
      </c>
      <c r="I14" s="1">
        <v>3.89E7</v>
      </c>
      <c r="J14" s="1" t="s">
        <v>15</v>
      </c>
    </row>
    <row r="15">
      <c r="A15" s="1" t="s">
        <v>51</v>
      </c>
      <c r="B15" s="1" t="s">
        <v>52</v>
      </c>
      <c r="C15" s="1" t="s">
        <v>53</v>
      </c>
      <c r="D15" s="1" t="s">
        <v>13</v>
      </c>
      <c r="E15" s="1" t="s">
        <v>14</v>
      </c>
      <c r="F15" s="1">
        <v>3904301.0</v>
      </c>
      <c r="G15" s="1">
        <v>378236.0</v>
      </c>
      <c r="H15" s="1">
        <v>18579.0</v>
      </c>
      <c r="I15" s="1">
        <v>3.89E7</v>
      </c>
      <c r="J15" s="1" t="s">
        <v>15</v>
      </c>
    </row>
    <row r="16">
      <c r="A16" s="1" t="s">
        <v>54</v>
      </c>
      <c r="B16" s="1" t="s">
        <v>55</v>
      </c>
      <c r="C16" s="1" t="s">
        <v>56</v>
      </c>
      <c r="D16" s="1" t="s">
        <v>13</v>
      </c>
      <c r="E16" s="1" t="s">
        <v>14</v>
      </c>
      <c r="F16" s="1">
        <v>4176898.0</v>
      </c>
      <c r="G16" s="1">
        <v>77061.0</v>
      </c>
      <c r="H16" s="1">
        <v>3273.0</v>
      </c>
      <c r="I16" s="1">
        <v>3.89E7</v>
      </c>
      <c r="J16" s="1" t="s">
        <v>15</v>
      </c>
    </row>
    <row r="17">
      <c r="A17" s="1" t="s">
        <v>57</v>
      </c>
      <c r="B17" s="1" t="s">
        <v>58</v>
      </c>
      <c r="C17" s="1" t="s">
        <v>59</v>
      </c>
      <c r="D17" s="1" t="s">
        <v>13</v>
      </c>
      <c r="E17" s="1" t="s">
        <v>14</v>
      </c>
      <c r="F17" s="1">
        <v>5221506.0</v>
      </c>
      <c r="G17" s="1">
        <v>235686.0</v>
      </c>
      <c r="H17" s="1">
        <v>7116.0</v>
      </c>
      <c r="I17" s="1">
        <v>3.89E7</v>
      </c>
      <c r="J17" s="1" t="s">
        <v>15</v>
      </c>
    </row>
    <row r="18">
      <c r="A18" s="1" t="s">
        <v>60</v>
      </c>
      <c r="B18" s="1" t="s">
        <v>61</v>
      </c>
      <c r="C18" s="1" t="s">
        <v>62</v>
      </c>
      <c r="D18" s="1" t="s">
        <v>13</v>
      </c>
      <c r="E18" s="1" t="s">
        <v>14</v>
      </c>
      <c r="F18" s="1">
        <v>813807.0</v>
      </c>
      <c r="G18" s="1">
        <v>63919.0</v>
      </c>
      <c r="H18" s="1">
        <v>5623.0</v>
      </c>
      <c r="I18" s="1">
        <v>3.89E7</v>
      </c>
      <c r="J18" s="1" t="s">
        <v>15</v>
      </c>
    </row>
    <row r="19">
      <c r="A19" s="1" t="s">
        <v>63</v>
      </c>
      <c r="B19" s="1" t="s">
        <v>64</v>
      </c>
      <c r="C19" s="1" t="s">
        <v>65</v>
      </c>
      <c r="D19" s="1" t="s">
        <v>13</v>
      </c>
      <c r="E19" s="1" t="s">
        <v>14</v>
      </c>
      <c r="F19" s="1">
        <v>603501.0</v>
      </c>
      <c r="G19" s="1">
        <v>46814.0</v>
      </c>
      <c r="H19" s="1">
        <v>3179.0</v>
      </c>
      <c r="I19" s="1">
        <v>3.89E7</v>
      </c>
      <c r="J19" s="1" t="s">
        <v>15</v>
      </c>
    </row>
    <row r="20">
      <c r="A20" s="1" t="s">
        <v>66</v>
      </c>
      <c r="B20" s="1" t="s">
        <v>67</v>
      </c>
      <c r="C20" s="1" t="s">
        <v>68</v>
      </c>
      <c r="D20" s="1" t="s">
        <v>13</v>
      </c>
      <c r="E20" s="1" t="s">
        <v>14</v>
      </c>
      <c r="F20" s="1">
        <v>2230902.0</v>
      </c>
      <c r="G20" s="1">
        <v>321728.0</v>
      </c>
      <c r="H20" s="1">
        <v>8847.0</v>
      </c>
      <c r="I20" s="1">
        <v>3.89E7</v>
      </c>
      <c r="J20" s="1" t="s">
        <v>15</v>
      </c>
    </row>
    <row r="21">
      <c r="A21" s="1" t="s">
        <v>69</v>
      </c>
      <c r="B21" s="1" t="s">
        <v>70</v>
      </c>
      <c r="C21" s="1" t="s">
        <v>71</v>
      </c>
      <c r="D21" s="1" t="s">
        <v>13</v>
      </c>
      <c r="E21" s="1" t="s">
        <v>14</v>
      </c>
      <c r="F21" s="1">
        <v>786890.0</v>
      </c>
      <c r="G21" s="1">
        <v>44912.0</v>
      </c>
      <c r="H21" s="1">
        <v>2192.0</v>
      </c>
      <c r="I21" s="1">
        <v>3.89E7</v>
      </c>
      <c r="J21" s="1" t="s">
        <v>15</v>
      </c>
    </row>
    <row r="22">
      <c r="A22" s="1" t="s">
        <v>72</v>
      </c>
      <c r="B22" s="1" t="s">
        <v>73</v>
      </c>
      <c r="C22" s="1" t="s">
        <v>74</v>
      </c>
      <c r="D22" s="1" t="s">
        <v>13</v>
      </c>
      <c r="E22" s="1" t="s">
        <v>14</v>
      </c>
      <c r="F22" s="1">
        <v>2534712.0</v>
      </c>
      <c r="G22" s="1">
        <v>53456.0</v>
      </c>
      <c r="H22" s="1">
        <v>1424.0</v>
      </c>
      <c r="I22" s="1">
        <v>3.89E7</v>
      </c>
      <c r="J22" s="1" t="s">
        <v>15</v>
      </c>
    </row>
    <row r="23">
      <c r="A23" s="1" t="s">
        <v>75</v>
      </c>
      <c r="B23" s="1" t="s">
        <v>73</v>
      </c>
      <c r="C23" s="1" t="s">
        <v>76</v>
      </c>
      <c r="D23" s="1" t="s">
        <v>13</v>
      </c>
      <c r="E23" s="1" t="s">
        <v>14</v>
      </c>
      <c r="F23" s="1">
        <v>0.0</v>
      </c>
      <c r="G23" s="1">
        <v>7.0</v>
      </c>
      <c r="H23" s="1">
        <v>0.0</v>
      </c>
      <c r="I23" s="1">
        <v>3.89E7</v>
      </c>
      <c r="J23" s="1" t="s">
        <v>15</v>
      </c>
    </row>
    <row r="24">
      <c r="A24" s="1" t="s">
        <v>77</v>
      </c>
      <c r="B24" s="1" t="s">
        <v>78</v>
      </c>
      <c r="C24" s="1" t="s">
        <v>79</v>
      </c>
      <c r="D24" s="1" t="s">
        <v>13</v>
      </c>
      <c r="E24" s="1" t="s">
        <v>14</v>
      </c>
      <c r="F24" s="1">
        <v>1003205.0</v>
      </c>
      <c r="G24" s="1">
        <v>52236.0</v>
      </c>
      <c r="H24" s="1">
        <v>2921.0</v>
      </c>
      <c r="I24" s="1">
        <v>3.89E7</v>
      </c>
      <c r="J24" s="1" t="s">
        <v>15</v>
      </c>
    </row>
    <row r="25">
      <c r="A25" s="1" t="s">
        <v>80</v>
      </c>
      <c r="B25" s="1" t="s">
        <v>81</v>
      </c>
      <c r="C25" s="1" t="s">
        <v>82</v>
      </c>
      <c r="D25" s="1" t="s">
        <v>13</v>
      </c>
      <c r="E25" s="1" t="s">
        <v>14</v>
      </c>
      <c r="F25" s="1">
        <v>1198717.0</v>
      </c>
      <c r="G25" s="1">
        <v>62162.0</v>
      </c>
      <c r="H25" s="1">
        <v>2780.0</v>
      </c>
      <c r="I25" s="1">
        <v>3.89E7</v>
      </c>
      <c r="J25" s="1" t="s">
        <v>15</v>
      </c>
    </row>
    <row r="26">
      <c r="A26" s="1" t="s">
        <v>83</v>
      </c>
      <c r="B26" s="1" t="s">
        <v>84</v>
      </c>
      <c r="C26" s="1" t="s">
        <v>85</v>
      </c>
      <c r="D26" s="1" t="s">
        <v>13</v>
      </c>
      <c r="E26" s="1" t="s">
        <v>14</v>
      </c>
      <c r="F26" s="1">
        <v>2423184.0</v>
      </c>
      <c r="G26" s="1">
        <v>118870.0</v>
      </c>
      <c r="H26" s="1">
        <v>7048.0</v>
      </c>
      <c r="I26" s="1">
        <v>3.89E7</v>
      </c>
      <c r="J26" s="1" t="s">
        <v>15</v>
      </c>
    </row>
    <row r="27">
      <c r="A27" s="1" t="s">
        <v>86</v>
      </c>
      <c r="B27" s="1" t="s">
        <v>87</v>
      </c>
      <c r="C27" s="1" t="s">
        <v>88</v>
      </c>
      <c r="D27" s="1" t="s">
        <v>13</v>
      </c>
      <c r="E27" s="1" t="s">
        <v>14</v>
      </c>
      <c r="F27" s="1">
        <v>800950.0</v>
      </c>
      <c r="G27" s="1">
        <v>49113.0</v>
      </c>
      <c r="H27" s="1">
        <v>6574.0</v>
      </c>
      <c r="I27" s="1">
        <v>3.89E7</v>
      </c>
      <c r="J27" s="1" t="s">
        <v>15</v>
      </c>
    </row>
    <row r="28">
      <c r="A28" s="1" t="s">
        <v>89</v>
      </c>
      <c r="B28" s="1" t="s">
        <v>90</v>
      </c>
      <c r="C28" s="1" t="s">
        <v>91</v>
      </c>
      <c r="D28" s="1" t="s">
        <v>13</v>
      </c>
      <c r="E28" s="1" t="s">
        <v>14</v>
      </c>
      <c r="F28" s="1">
        <v>1576982.0</v>
      </c>
      <c r="G28" s="1">
        <v>44958.0</v>
      </c>
      <c r="H28" s="1">
        <v>1120.0</v>
      </c>
      <c r="I28" s="1">
        <v>3.89E7</v>
      </c>
      <c r="J28" s="1" t="s">
        <v>15</v>
      </c>
    </row>
    <row r="29">
      <c r="A29" s="1" t="s">
        <v>92</v>
      </c>
      <c r="B29" s="1" t="s">
        <v>93</v>
      </c>
      <c r="C29" s="1" t="s">
        <v>94</v>
      </c>
      <c r="D29" s="1" t="s">
        <v>13</v>
      </c>
      <c r="E29" s="1" t="s">
        <v>14</v>
      </c>
      <c r="F29" s="1">
        <v>3778283.0</v>
      </c>
      <c r="G29" s="1">
        <v>112632.0</v>
      </c>
      <c r="H29" s="1">
        <v>3466.0</v>
      </c>
      <c r="I29" s="1">
        <v>3.89E7</v>
      </c>
      <c r="J29" s="1" t="s">
        <v>15</v>
      </c>
    </row>
    <row r="30">
      <c r="A30" s="1" t="s">
        <v>95</v>
      </c>
      <c r="B30" s="1" t="s">
        <v>96</v>
      </c>
      <c r="C30" s="1" t="s">
        <v>97</v>
      </c>
      <c r="D30" s="1" t="s">
        <v>13</v>
      </c>
      <c r="E30" s="1" t="s">
        <v>14</v>
      </c>
      <c r="F30" s="1">
        <v>844525.0</v>
      </c>
      <c r="G30" s="1">
        <v>45463.0</v>
      </c>
      <c r="H30" s="1">
        <v>4379.0</v>
      </c>
      <c r="I30" s="1">
        <v>3.89E7</v>
      </c>
      <c r="J30" s="1" t="s">
        <v>15</v>
      </c>
    </row>
    <row r="31">
      <c r="A31" s="1" t="s">
        <v>98</v>
      </c>
      <c r="B31" s="1" t="s">
        <v>99</v>
      </c>
      <c r="C31" s="1" t="s">
        <v>100</v>
      </c>
      <c r="D31" s="1" t="s">
        <v>13</v>
      </c>
      <c r="E31" s="1" t="s">
        <v>14</v>
      </c>
      <c r="F31" s="1">
        <v>1382659.0</v>
      </c>
      <c r="G31" s="1">
        <v>66975.0</v>
      </c>
      <c r="H31" s="1">
        <v>2791.0</v>
      </c>
      <c r="I31" s="1">
        <v>3.89E7</v>
      </c>
      <c r="J31" s="1" t="s">
        <v>15</v>
      </c>
    </row>
    <row r="32">
      <c r="A32" s="1" t="s">
        <v>101</v>
      </c>
      <c r="B32" s="1" t="s">
        <v>102</v>
      </c>
      <c r="C32" s="1" t="s">
        <v>103</v>
      </c>
      <c r="D32" s="1" t="s">
        <v>13</v>
      </c>
      <c r="E32" s="1" t="s">
        <v>14</v>
      </c>
      <c r="F32" s="1">
        <v>1109830.0</v>
      </c>
      <c r="G32" s="1">
        <v>39637.0</v>
      </c>
      <c r="H32" s="1">
        <v>769.0</v>
      </c>
      <c r="I32" s="1">
        <v>3.89E7</v>
      </c>
      <c r="J32" s="1" t="s">
        <v>15</v>
      </c>
    </row>
    <row r="33">
      <c r="A33" s="1" t="s">
        <v>104</v>
      </c>
      <c r="B33" s="1" t="s">
        <v>105</v>
      </c>
      <c r="C33" s="1" t="s">
        <v>106</v>
      </c>
      <c r="D33" s="1" t="s">
        <v>13</v>
      </c>
      <c r="E33" s="1" t="s">
        <v>14</v>
      </c>
      <c r="F33" s="1">
        <v>646917.0</v>
      </c>
      <c r="G33" s="1">
        <v>94900.0</v>
      </c>
      <c r="H33" s="1">
        <v>16712.0</v>
      </c>
      <c r="I33" s="1">
        <v>3.89E7</v>
      </c>
      <c r="J33" s="1" t="s">
        <v>15</v>
      </c>
    </row>
    <row r="34">
      <c r="A34" s="1" t="s">
        <v>107</v>
      </c>
      <c r="B34" s="1" t="s">
        <v>108</v>
      </c>
      <c r="C34" s="1" t="s">
        <v>109</v>
      </c>
      <c r="D34" s="1" t="s">
        <v>13</v>
      </c>
      <c r="E34" s="1" t="s">
        <v>14</v>
      </c>
      <c r="F34" s="1">
        <v>1809202.0</v>
      </c>
      <c r="G34" s="1">
        <v>83651.0</v>
      </c>
      <c r="H34" s="1">
        <v>3705.0</v>
      </c>
      <c r="I34" s="1">
        <v>3.89E7</v>
      </c>
      <c r="J34" s="1" t="s">
        <v>15</v>
      </c>
    </row>
    <row r="35">
      <c r="A35" s="1" t="s">
        <v>110</v>
      </c>
      <c r="B35" s="1" t="s">
        <v>111</v>
      </c>
      <c r="C35" s="1" t="s">
        <v>112</v>
      </c>
      <c r="D35" s="1" t="s">
        <v>13</v>
      </c>
      <c r="E35" s="1" t="s">
        <v>14</v>
      </c>
      <c r="F35" s="1">
        <v>1561953.0</v>
      </c>
      <c r="G35" s="1">
        <v>38329.0</v>
      </c>
      <c r="H35" s="1">
        <v>1037.0</v>
      </c>
      <c r="I35" s="1">
        <v>3.89E7</v>
      </c>
      <c r="J35" s="1" t="s">
        <v>15</v>
      </c>
    </row>
    <row r="36">
      <c r="A36" s="1" t="s">
        <v>113</v>
      </c>
      <c r="B36" s="1" t="s">
        <v>114</v>
      </c>
      <c r="C36" s="1" t="s">
        <v>115</v>
      </c>
      <c r="D36" s="1" t="s">
        <v>13</v>
      </c>
      <c r="E36" s="1" t="s">
        <v>14</v>
      </c>
      <c r="F36" s="1">
        <v>3456048.0</v>
      </c>
      <c r="G36" s="1">
        <v>146451.0</v>
      </c>
      <c r="H36" s="1">
        <v>4529.0</v>
      </c>
      <c r="I36" s="1">
        <v>3.89E7</v>
      </c>
      <c r="J36" s="1" t="s">
        <v>15</v>
      </c>
    </row>
    <row r="37">
      <c r="A37" s="1" t="s">
        <v>116</v>
      </c>
      <c r="B37" s="1" t="s">
        <v>117</v>
      </c>
      <c r="C37" s="1" t="s">
        <v>118</v>
      </c>
      <c r="D37" s="1" t="s">
        <v>13</v>
      </c>
      <c r="E37" s="1" t="s">
        <v>14</v>
      </c>
      <c r="F37" s="1">
        <v>1015292.0</v>
      </c>
      <c r="G37" s="1">
        <v>51411.0</v>
      </c>
      <c r="H37" s="1">
        <v>5468.0</v>
      </c>
      <c r="I37" s="1">
        <v>3.89E7</v>
      </c>
      <c r="J37" s="1" t="s">
        <v>15</v>
      </c>
    </row>
    <row r="38">
      <c r="A38" s="1" t="s">
        <v>119</v>
      </c>
      <c r="B38" s="1" t="s">
        <v>120</v>
      </c>
      <c r="C38" s="1" t="s">
        <v>121</v>
      </c>
      <c r="D38" s="1" t="s">
        <v>13</v>
      </c>
      <c r="E38" s="1" t="s">
        <v>14</v>
      </c>
      <c r="F38" s="1">
        <v>2362041.0</v>
      </c>
      <c r="G38" s="1">
        <v>50822.0</v>
      </c>
      <c r="H38" s="1">
        <v>1622.0</v>
      </c>
      <c r="I38" s="1">
        <v>3.89E7</v>
      </c>
      <c r="J38" s="1" t="s">
        <v>15</v>
      </c>
    </row>
    <row r="39">
      <c r="A39" s="1" t="s">
        <v>122</v>
      </c>
      <c r="B39" s="1" t="s">
        <v>123</v>
      </c>
      <c r="C39" s="1" t="s">
        <v>124</v>
      </c>
      <c r="D39" s="1" t="s">
        <v>13</v>
      </c>
      <c r="E39" s="1" t="s">
        <v>14</v>
      </c>
      <c r="F39" s="1">
        <v>2520147.0</v>
      </c>
      <c r="G39" s="1">
        <v>99653.0</v>
      </c>
      <c r="H39" s="1">
        <v>4175.0</v>
      </c>
      <c r="I39" s="1">
        <v>3.89E7</v>
      </c>
      <c r="J39" s="1" t="s">
        <v>15</v>
      </c>
    </row>
    <row r="40">
      <c r="A40" s="1" t="s">
        <v>125</v>
      </c>
      <c r="B40" s="1" t="s">
        <v>126</v>
      </c>
      <c r="C40" s="1" t="s">
        <v>127</v>
      </c>
      <c r="D40" s="1" t="s">
        <v>13</v>
      </c>
      <c r="E40" s="1" t="s">
        <v>14</v>
      </c>
      <c r="F40" s="1">
        <v>417702.0</v>
      </c>
      <c r="G40" s="1">
        <v>20387.0</v>
      </c>
      <c r="H40" s="1">
        <v>930.0</v>
      </c>
      <c r="I40" s="1">
        <v>3.89E7</v>
      </c>
      <c r="J40" s="1" t="s">
        <v>15</v>
      </c>
    </row>
    <row r="41">
      <c r="A41" s="1" t="s">
        <v>128</v>
      </c>
      <c r="B41" s="1" t="s">
        <v>129</v>
      </c>
      <c r="C41" s="1" t="s">
        <v>130</v>
      </c>
      <c r="D41" s="1" t="s">
        <v>13</v>
      </c>
      <c r="E41" s="1" t="s">
        <v>14</v>
      </c>
      <c r="F41" s="1">
        <v>1126792.0</v>
      </c>
      <c r="G41" s="1">
        <v>55952.0</v>
      </c>
      <c r="H41" s="1">
        <v>10010.0</v>
      </c>
      <c r="I41" s="1">
        <v>3.89E7</v>
      </c>
      <c r="J41" s="1" t="s">
        <v>15</v>
      </c>
    </row>
    <row r="42">
      <c r="A42" s="1" t="s">
        <v>131</v>
      </c>
      <c r="B42" s="1" t="s">
        <v>132</v>
      </c>
      <c r="C42" s="1" t="s">
        <v>133</v>
      </c>
      <c r="D42" s="1" t="s">
        <v>13</v>
      </c>
      <c r="E42" s="1" t="s">
        <v>14</v>
      </c>
      <c r="F42" s="1">
        <v>1924366.0</v>
      </c>
      <c r="G42" s="1">
        <v>83085.0</v>
      </c>
      <c r="H42" s="1">
        <v>2906.0</v>
      </c>
      <c r="I42" s="1">
        <v>3.89E7</v>
      </c>
      <c r="J42" s="1" t="s">
        <v>15</v>
      </c>
    </row>
    <row r="43">
      <c r="A43" s="1" t="s">
        <v>134</v>
      </c>
      <c r="B43" s="1" t="s">
        <v>135</v>
      </c>
      <c r="C43" s="1" t="s">
        <v>136</v>
      </c>
      <c r="D43" s="1" t="s">
        <v>13</v>
      </c>
      <c r="E43" s="1" t="s">
        <v>14</v>
      </c>
      <c r="F43" s="1">
        <v>381820.0</v>
      </c>
      <c r="G43" s="1">
        <v>20754.0</v>
      </c>
      <c r="H43" s="1">
        <v>1145.0</v>
      </c>
      <c r="I43" s="1">
        <v>3.89E7</v>
      </c>
      <c r="J43" s="1" t="s">
        <v>15</v>
      </c>
    </row>
    <row r="44">
      <c r="A44" s="1" t="s">
        <v>137</v>
      </c>
      <c r="B44" s="1" t="s">
        <v>138</v>
      </c>
      <c r="C44" s="1" t="s">
        <v>139</v>
      </c>
      <c r="D44" s="1" t="s">
        <v>13</v>
      </c>
      <c r="E44" s="1" t="s">
        <v>14</v>
      </c>
      <c r="F44" s="1">
        <v>1150587.0</v>
      </c>
      <c r="G44" s="1">
        <v>60036.0</v>
      </c>
      <c r="H44" s="1">
        <v>10095.0</v>
      </c>
      <c r="I44" s="1">
        <v>3.89E7</v>
      </c>
      <c r="J44" s="1" t="s">
        <v>15</v>
      </c>
    </row>
    <row r="45">
      <c r="A45" s="1" t="s">
        <v>140</v>
      </c>
      <c r="B45" s="1" t="s">
        <v>141</v>
      </c>
      <c r="C45" s="1" t="s">
        <v>142</v>
      </c>
      <c r="D45" s="1" t="s">
        <v>13</v>
      </c>
      <c r="E45" s="1" t="s">
        <v>14</v>
      </c>
      <c r="F45" s="1">
        <v>2033148.0</v>
      </c>
      <c r="G45" s="1">
        <v>92281.0</v>
      </c>
      <c r="H45" s="1">
        <v>2785.0</v>
      </c>
      <c r="I45" s="1">
        <v>3.89E7</v>
      </c>
      <c r="J45" s="1" t="s">
        <v>15</v>
      </c>
    </row>
    <row r="46">
      <c r="A46" s="1" t="s">
        <v>143</v>
      </c>
      <c r="B46" s="1" t="s">
        <v>144</v>
      </c>
      <c r="C46" s="1" t="s">
        <v>145</v>
      </c>
      <c r="D46" s="1" t="s">
        <v>13</v>
      </c>
      <c r="E46" s="1" t="s">
        <v>14</v>
      </c>
      <c r="F46" s="1">
        <v>1353095.0</v>
      </c>
      <c r="G46" s="1">
        <v>70432.0</v>
      </c>
      <c r="H46" s="1">
        <v>14078.0</v>
      </c>
      <c r="I46" s="1">
        <v>3.89E7</v>
      </c>
      <c r="J46" s="1" t="s">
        <v>15</v>
      </c>
    </row>
    <row r="47">
      <c r="A47" s="1" t="s">
        <v>146</v>
      </c>
      <c r="B47" s="1" t="s">
        <v>147</v>
      </c>
      <c r="C47" s="1" t="s">
        <v>148</v>
      </c>
      <c r="D47" s="1" t="s">
        <v>13</v>
      </c>
      <c r="E47" s="1" t="s">
        <v>14</v>
      </c>
      <c r="F47" s="1">
        <v>1841160.0</v>
      </c>
      <c r="G47" s="1">
        <v>160453.0</v>
      </c>
      <c r="H47" s="1">
        <v>12792.0</v>
      </c>
      <c r="I47" s="1">
        <v>3.89E7</v>
      </c>
      <c r="J47" s="1" t="s">
        <v>15</v>
      </c>
    </row>
    <row r="48">
      <c r="A48" s="1" t="s">
        <v>149</v>
      </c>
      <c r="B48" s="1" t="s">
        <v>150</v>
      </c>
      <c r="C48" s="1" t="s">
        <v>151</v>
      </c>
      <c r="D48" s="1" t="s">
        <v>13</v>
      </c>
      <c r="E48" s="1" t="s">
        <v>14</v>
      </c>
      <c r="F48" s="1">
        <v>1446590.0</v>
      </c>
      <c r="G48" s="1">
        <v>67880.0</v>
      </c>
      <c r="H48" s="1">
        <v>2196.0</v>
      </c>
      <c r="I48" s="1">
        <v>3.89E7</v>
      </c>
      <c r="J48" s="1" t="s">
        <v>15</v>
      </c>
    </row>
    <row r="49">
      <c r="A49" s="1" t="s">
        <v>152</v>
      </c>
      <c r="B49" s="1" t="s">
        <v>153</v>
      </c>
      <c r="C49" s="1" t="s">
        <v>154</v>
      </c>
      <c r="D49" s="1" t="s">
        <v>13</v>
      </c>
      <c r="E49" s="1" t="s">
        <v>14</v>
      </c>
      <c r="F49" s="1">
        <v>1692076.0</v>
      </c>
      <c r="G49" s="1">
        <v>83543.0</v>
      </c>
      <c r="H49" s="1">
        <v>1899.0</v>
      </c>
      <c r="I49" s="1">
        <v>3.89E7</v>
      </c>
      <c r="J49" s="1" t="s">
        <v>15</v>
      </c>
    </row>
    <row r="50">
      <c r="A50" s="1" t="s">
        <v>155</v>
      </c>
      <c r="B50" s="1" t="s">
        <v>156</v>
      </c>
      <c r="C50" s="1" t="s">
        <v>157</v>
      </c>
      <c r="D50" s="1" t="s">
        <v>13</v>
      </c>
      <c r="E50" s="1" t="s">
        <v>14</v>
      </c>
      <c r="F50" s="1">
        <v>1373950.0</v>
      </c>
      <c r="G50" s="1">
        <v>77646.0</v>
      </c>
      <c r="H50" s="1">
        <v>2465.0</v>
      </c>
      <c r="I50" s="1">
        <v>3.89E7</v>
      </c>
      <c r="J50" s="1" t="s">
        <v>15</v>
      </c>
    </row>
    <row r="51">
      <c r="A51" s="1" t="s">
        <v>158</v>
      </c>
      <c r="B51" s="1" t="s">
        <v>159</v>
      </c>
      <c r="C51" s="1" t="s">
        <v>160</v>
      </c>
      <c r="D51" s="1" t="s">
        <v>13</v>
      </c>
      <c r="E51" s="1" t="s">
        <v>14</v>
      </c>
      <c r="F51" s="1">
        <v>1445358.0</v>
      </c>
      <c r="G51" s="1">
        <v>67943.0</v>
      </c>
      <c r="H51" s="1">
        <v>2253.0</v>
      </c>
      <c r="I51" s="1">
        <v>3.89E7</v>
      </c>
      <c r="J51" s="1" t="s">
        <v>15</v>
      </c>
    </row>
    <row r="52">
      <c r="A52" s="1" t="s">
        <v>161</v>
      </c>
      <c r="B52" s="1" t="s">
        <v>162</v>
      </c>
      <c r="C52" s="1" t="s">
        <v>163</v>
      </c>
      <c r="D52" s="1" t="s">
        <v>13</v>
      </c>
      <c r="E52" s="1" t="s">
        <v>14</v>
      </c>
      <c r="F52" s="1">
        <v>1140508.0</v>
      </c>
      <c r="G52" s="1">
        <v>69371.0</v>
      </c>
      <c r="H52" s="1">
        <v>2654.0</v>
      </c>
      <c r="I52" s="1">
        <v>3.89E7</v>
      </c>
      <c r="J52" s="1" t="s">
        <v>15</v>
      </c>
    </row>
    <row r="53">
      <c r="A53" s="1" t="s">
        <v>164</v>
      </c>
      <c r="B53" s="1" t="s">
        <v>165</v>
      </c>
      <c r="C53" s="1" t="s">
        <v>166</v>
      </c>
      <c r="D53" s="1" t="s">
        <v>13</v>
      </c>
      <c r="E53" s="1" t="s">
        <v>14</v>
      </c>
      <c r="F53" s="1">
        <v>1711171.0</v>
      </c>
      <c r="G53" s="1">
        <v>75241.0</v>
      </c>
      <c r="H53" s="1">
        <v>3221.0</v>
      </c>
      <c r="I53" s="1">
        <v>3.89E7</v>
      </c>
      <c r="J53" s="1" t="s">
        <v>15</v>
      </c>
    </row>
    <row r="54">
      <c r="A54" s="1" t="s">
        <v>167</v>
      </c>
      <c r="B54" s="1" t="s">
        <v>168</v>
      </c>
      <c r="C54" s="1" t="s">
        <v>169</v>
      </c>
      <c r="D54" s="1" t="s">
        <v>13</v>
      </c>
      <c r="E54" s="1" t="s">
        <v>14</v>
      </c>
      <c r="F54" s="1">
        <v>2121374.0</v>
      </c>
      <c r="G54" s="1">
        <v>111586.0</v>
      </c>
      <c r="H54" s="1">
        <v>2965.0</v>
      </c>
      <c r="I54" s="1">
        <v>3.89E7</v>
      </c>
      <c r="J54" s="1" t="s">
        <v>15</v>
      </c>
    </row>
    <row r="55">
      <c r="A55" s="1" t="s">
        <v>170</v>
      </c>
      <c r="B55" s="1" t="s">
        <v>171</v>
      </c>
      <c r="C55" s="1" t="s">
        <v>172</v>
      </c>
      <c r="D55" s="1" t="s">
        <v>13</v>
      </c>
      <c r="E55" s="1" t="s">
        <v>14</v>
      </c>
      <c r="F55" s="1">
        <v>2078698.0</v>
      </c>
      <c r="G55" s="1">
        <v>84128.0</v>
      </c>
      <c r="H55" s="1">
        <v>3893.0</v>
      </c>
      <c r="I55" s="1">
        <v>3.89E7</v>
      </c>
      <c r="J55" s="1" t="s">
        <v>15</v>
      </c>
    </row>
    <row r="56">
      <c r="A56" s="1" t="s">
        <v>173</v>
      </c>
      <c r="B56" s="1" t="s">
        <v>174</v>
      </c>
      <c r="C56" s="1" t="s">
        <v>175</v>
      </c>
      <c r="D56" s="1" t="s">
        <v>13</v>
      </c>
      <c r="E56" s="1" t="s">
        <v>14</v>
      </c>
      <c r="F56" s="1">
        <v>3721355.0</v>
      </c>
      <c r="G56" s="1">
        <v>299123.0</v>
      </c>
      <c r="H56" s="1">
        <v>10981.0</v>
      </c>
      <c r="I56" s="1">
        <v>3.89E7</v>
      </c>
      <c r="J56" s="1" t="s">
        <v>15</v>
      </c>
    </row>
    <row r="57">
      <c r="A57" s="1" t="s">
        <v>176</v>
      </c>
      <c r="B57" s="1" t="s">
        <v>177</v>
      </c>
      <c r="C57" s="1" t="s">
        <v>178</v>
      </c>
      <c r="D57" s="1" t="s">
        <v>13</v>
      </c>
      <c r="E57" s="1" t="s">
        <v>14</v>
      </c>
      <c r="F57" s="1">
        <v>2455164.0</v>
      </c>
      <c r="G57" s="1">
        <v>97055.0</v>
      </c>
      <c r="H57" s="1">
        <v>4783.0</v>
      </c>
      <c r="I57" s="1">
        <v>3.89E7</v>
      </c>
      <c r="J57" s="1" t="s">
        <v>15</v>
      </c>
    </row>
    <row r="58">
      <c r="A58" s="1" t="s">
        <v>179</v>
      </c>
      <c r="B58" s="1" t="s">
        <v>180</v>
      </c>
      <c r="C58" s="1" t="s">
        <v>181</v>
      </c>
      <c r="D58" s="1" t="s">
        <v>13</v>
      </c>
      <c r="E58" s="1" t="s">
        <v>14</v>
      </c>
      <c r="F58" s="1">
        <v>5790440.0</v>
      </c>
      <c r="G58" s="1">
        <v>198128.0</v>
      </c>
      <c r="H58" s="1">
        <v>7593.0</v>
      </c>
      <c r="I58" s="1">
        <v>3.89E7</v>
      </c>
      <c r="J58" s="1" t="s">
        <v>15</v>
      </c>
    </row>
    <row r="59">
      <c r="A59" s="1" t="s">
        <v>182</v>
      </c>
      <c r="B59" s="1" t="s">
        <v>183</v>
      </c>
      <c r="C59" s="1" t="s">
        <v>184</v>
      </c>
      <c r="D59" s="1" t="s">
        <v>13</v>
      </c>
      <c r="E59" s="1" t="s">
        <v>14</v>
      </c>
      <c r="F59" s="1">
        <v>796191.0</v>
      </c>
      <c r="G59" s="1">
        <v>41389.0</v>
      </c>
      <c r="H59" s="1">
        <v>1679.0</v>
      </c>
      <c r="I59" s="1">
        <v>3.89E7</v>
      </c>
      <c r="J59" s="1" t="s">
        <v>15</v>
      </c>
    </row>
    <row r="60">
      <c r="A60" s="1" t="s">
        <v>185</v>
      </c>
      <c r="B60" s="1" t="s">
        <v>186</v>
      </c>
      <c r="C60" s="1" t="s">
        <v>187</v>
      </c>
      <c r="D60" s="1" t="s">
        <v>13</v>
      </c>
      <c r="E60" s="1" t="s">
        <v>14</v>
      </c>
      <c r="F60" s="1">
        <v>1149510.0</v>
      </c>
      <c r="G60" s="1">
        <v>90185.0</v>
      </c>
      <c r="H60" s="1">
        <v>3382.0</v>
      </c>
      <c r="I60" s="1">
        <v>3.89E7</v>
      </c>
      <c r="J60" s="1" t="s">
        <v>15</v>
      </c>
    </row>
    <row r="61">
      <c r="A61" s="1" t="s">
        <v>188</v>
      </c>
      <c r="B61" s="1" t="s">
        <v>189</v>
      </c>
      <c r="C61" s="1" t="s">
        <v>190</v>
      </c>
      <c r="D61" s="1" t="s">
        <v>13</v>
      </c>
      <c r="E61" s="1" t="s">
        <v>14</v>
      </c>
      <c r="F61" s="1">
        <v>644459.0</v>
      </c>
      <c r="G61" s="1">
        <v>45406.0</v>
      </c>
      <c r="H61" s="1">
        <v>1492.0</v>
      </c>
      <c r="I61" s="1">
        <v>3.89E7</v>
      </c>
      <c r="J61" s="1" t="s">
        <v>15</v>
      </c>
    </row>
    <row r="62">
      <c r="A62" s="1" t="s">
        <v>191</v>
      </c>
      <c r="B62" s="1" t="s">
        <v>192</v>
      </c>
      <c r="C62" s="1" t="s">
        <v>193</v>
      </c>
      <c r="D62" s="1" t="s">
        <v>13</v>
      </c>
      <c r="E62" s="1" t="s">
        <v>14</v>
      </c>
      <c r="F62" s="1">
        <v>1653356.0</v>
      </c>
      <c r="G62" s="1">
        <v>82011.0</v>
      </c>
      <c r="H62" s="1">
        <v>2464.0</v>
      </c>
      <c r="I62" s="1">
        <v>3.89E7</v>
      </c>
      <c r="J62" s="1" t="s">
        <v>15</v>
      </c>
    </row>
    <row r="63">
      <c r="A63" s="1" t="s">
        <v>194</v>
      </c>
      <c r="B63" s="1" t="s">
        <v>195</v>
      </c>
      <c r="C63" s="1" t="s">
        <v>196</v>
      </c>
      <c r="D63" s="1" t="s">
        <v>13</v>
      </c>
      <c r="E63" s="1" t="s">
        <v>14</v>
      </c>
      <c r="F63" s="1">
        <v>1762435.0</v>
      </c>
      <c r="G63" s="1">
        <v>93448.0</v>
      </c>
      <c r="H63" s="1">
        <v>3089.0</v>
      </c>
      <c r="I63" s="1">
        <v>3.89E7</v>
      </c>
      <c r="J63" s="1" t="s">
        <v>15</v>
      </c>
    </row>
    <row r="64">
      <c r="A64" s="1" t="s">
        <v>197</v>
      </c>
      <c r="B64" s="1" t="s">
        <v>198</v>
      </c>
      <c r="C64" s="1" t="s">
        <v>199</v>
      </c>
      <c r="D64" s="1" t="s">
        <v>13</v>
      </c>
      <c r="E64" s="1" t="s">
        <v>14</v>
      </c>
      <c r="F64" s="1">
        <v>924960.0</v>
      </c>
      <c r="G64" s="1">
        <v>51817.0</v>
      </c>
      <c r="H64" s="1">
        <v>2183.0</v>
      </c>
      <c r="I64" s="1">
        <v>3.89E7</v>
      </c>
      <c r="J64" s="1" t="s">
        <v>15</v>
      </c>
    </row>
    <row r="65">
      <c r="A65" s="1" t="s">
        <v>200</v>
      </c>
      <c r="B65" s="1" t="s">
        <v>201</v>
      </c>
      <c r="C65" s="1" t="s">
        <v>202</v>
      </c>
      <c r="D65" s="1" t="s">
        <v>13</v>
      </c>
      <c r="E65" s="1" t="s">
        <v>14</v>
      </c>
      <c r="F65" s="1">
        <v>1184439.0</v>
      </c>
      <c r="G65" s="1">
        <v>51596.0</v>
      </c>
      <c r="H65" s="1">
        <v>2719.0</v>
      </c>
      <c r="I65" s="1">
        <v>3.89E7</v>
      </c>
      <c r="J65" s="1" t="s">
        <v>15</v>
      </c>
    </row>
    <row r="66">
      <c r="A66" s="1" t="s">
        <v>203</v>
      </c>
      <c r="B66" s="1" t="s">
        <v>204</v>
      </c>
      <c r="C66" s="1" t="s">
        <v>205</v>
      </c>
      <c r="D66" s="1" t="s">
        <v>13</v>
      </c>
      <c r="E66" s="1" t="s">
        <v>14</v>
      </c>
      <c r="F66" s="1">
        <v>1531745.0</v>
      </c>
      <c r="G66" s="1">
        <v>89630.0</v>
      </c>
      <c r="H66" s="1">
        <v>3393.0</v>
      </c>
      <c r="I66" s="1">
        <v>3.89E7</v>
      </c>
      <c r="J66" s="1" t="s">
        <v>15</v>
      </c>
    </row>
    <row r="67">
      <c r="A67" s="1" t="s">
        <v>206</v>
      </c>
      <c r="B67" s="1" t="s">
        <v>207</v>
      </c>
      <c r="C67" s="1" t="s">
        <v>208</v>
      </c>
      <c r="D67" s="1" t="s">
        <v>13</v>
      </c>
      <c r="E67" s="1" t="s">
        <v>14</v>
      </c>
      <c r="F67" s="1">
        <v>2098366.0</v>
      </c>
      <c r="G67" s="1">
        <v>116639.0</v>
      </c>
      <c r="H67" s="1">
        <v>4195.0</v>
      </c>
      <c r="I67" s="1">
        <v>3.89E7</v>
      </c>
      <c r="J67" s="1" t="s">
        <v>15</v>
      </c>
    </row>
    <row r="68">
      <c r="A68" s="1" t="s">
        <v>209</v>
      </c>
      <c r="B68" s="1" t="s">
        <v>210</v>
      </c>
      <c r="C68" s="1" t="s">
        <v>211</v>
      </c>
      <c r="D68" s="1" t="s">
        <v>13</v>
      </c>
      <c r="E68" s="1" t="s">
        <v>14</v>
      </c>
      <c r="F68" s="1">
        <v>2353360.0</v>
      </c>
      <c r="G68" s="1">
        <v>119525.0</v>
      </c>
      <c r="H68" s="1">
        <v>3871.0</v>
      </c>
      <c r="I68" s="1">
        <v>3.89E7</v>
      </c>
      <c r="J68" s="1" t="s">
        <v>15</v>
      </c>
    </row>
    <row r="69">
      <c r="A69" s="1" t="s">
        <v>212</v>
      </c>
      <c r="B69" s="1" t="s">
        <v>213</v>
      </c>
      <c r="C69" s="1" t="s">
        <v>214</v>
      </c>
      <c r="D69" s="1" t="s">
        <v>13</v>
      </c>
      <c r="E69" s="1" t="s">
        <v>14</v>
      </c>
      <c r="F69" s="1">
        <v>772830.0</v>
      </c>
      <c r="G69" s="1">
        <v>42696.0</v>
      </c>
      <c r="H69" s="1">
        <v>1545.0</v>
      </c>
      <c r="I69" s="1">
        <v>3.89E7</v>
      </c>
      <c r="J69" s="1" t="s">
        <v>15</v>
      </c>
    </row>
    <row r="70">
      <c r="A70" s="1" t="s">
        <v>215</v>
      </c>
      <c r="B70" s="1" t="s">
        <v>216</v>
      </c>
      <c r="C70" s="1" t="s">
        <v>217</v>
      </c>
      <c r="D70" s="1" t="s">
        <v>13</v>
      </c>
      <c r="E70" s="1" t="s">
        <v>14</v>
      </c>
      <c r="F70" s="1">
        <v>1623605.0</v>
      </c>
      <c r="G70" s="1">
        <v>66416.0</v>
      </c>
      <c r="H70" s="1">
        <v>2685.0</v>
      </c>
      <c r="I70" s="1">
        <v>3.89E7</v>
      </c>
      <c r="J70" s="1" t="s">
        <v>15</v>
      </c>
    </row>
    <row r="71">
      <c r="A71" s="1" t="s">
        <v>218</v>
      </c>
      <c r="B71" s="1" t="s">
        <v>219</v>
      </c>
      <c r="C71" s="1" t="s">
        <v>220</v>
      </c>
      <c r="D71" s="1" t="s">
        <v>13</v>
      </c>
      <c r="E71" s="1" t="s">
        <v>14</v>
      </c>
      <c r="F71" s="1">
        <v>1535756.0</v>
      </c>
      <c r="G71" s="1">
        <v>129809.0</v>
      </c>
      <c r="H71" s="1">
        <v>6435.0</v>
      </c>
      <c r="I71" s="1">
        <v>3.89E7</v>
      </c>
      <c r="J71" s="1" t="s">
        <v>15</v>
      </c>
    </row>
    <row r="72">
      <c r="A72" s="1" t="s">
        <v>221</v>
      </c>
      <c r="B72" s="1" t="s">
        <v>222</v>
      </c>
      <c r="C72" s="1" t="s">
        <v>223</v>
      </c>
      <c r="D72" s="1" t="s">
        <v>13</v>
      </c>
      <c r="E72" s="1" t="s">
        <v>14</v>
      </c>
      <c r="F72" s="1">
        <v>3815884.0</v>
      </c>
      <c r="G72" s="1">
        <v>153976.0</v>
      </c>
      <c r="H72" s="1">
        <v>9047.0</v>
      </c>
      <c r="I72" s="1">
        <v>3.89E7</v>
      </c>
      <c r="J72" s="1" t="s">
        <v>15</v>
      </c>
    </row>
    <row r="73">
      <c r="A73" s="1" t="s">
        <v>224</v>
      </c>
      <c r="B73" s="1" t="s">
        <v>225</v>
      </c>
      <c r="C73" s="1" t="s">
        <v>226</v>
      </c>
      <c r="D73" s="1" t="s">
        <v>13</v>
      </c>
      <c r="E73" s="1" t="s">
        <v>14</v>
      </c>
      <c r="F73" s="1">
        <v>2008551.0</v>
      </c>
      <c r="G73" s="1">
        <v>97005.0</v>
      </c>
      <c r="H73" s="1">
        <v>2717.0</v>
      </c>
      <c r="I73" s="1">
        <v>3.89E7</v>
      </c>
      <c r="J73" s="1" t="s">
        <v>15</v>
      </c>
    </row>
    <row r="74">
      <c r="A74" s="1" t="s">
        <v>227</v>
      </c>
      <c r="B74" s="1" t="s">
        <v>228</v>
      </c>
      <c r="C74" s="1" t="s">
        <v>229</v>
      </c>
      <c r="D74" s="1" t="s">
        <v>13</v>
      </c>
      <c r="E74" s="1" t="s">
        <v>14</v>
      </c>
      <c r="F74" s="1">
        <v>3130199.0</v>
      </c>
      <c r="G74" s="1">
        <v>101068.0</v>
      </c>
      <c r="H74" s="1">
        <v>3113.0</v>
      </c>
      <c r="I74" s="1">
        <v>3.89E7</v>
      </c>
      <c r="J74" s="1" t="s">
        <v>15</v>
      </c>
    </row>
    <row r="75">
      <c r="A75" s="1" t="s">
        <v>230</v>
      </c>
      <c r="B75" s="1" t="s">
        <v>231</v>
      </c>
      <c r="C75" s="1" t="s">
        <v>232</v>
      </c>
      <c r="D75" s="1" t="s">
        <v>13</v>
      </c>
      <c r="E75" s="1" t="s">
        <v>14</v>
      </c>
      <c r="F75" s="1">
        <v>1823015.0</v>
      </c>
      <c r="G75" s="1">
        <v>87237.0</v>
      </c>
      <c r="H75" s="1">
        <v>3051.0</v>
      </c>
      <c r="I75" s="1">
        <v>3.89E7</v>
      </c>
      <c r="J75" s="1" t="s">
        <v>15</v>
      </c>
    </row>
    <row r="76">
      <c r="A76" s="1" t="s">
        <v>233</v>
      </c>
      <c r="B76" s="1" t="s">
        <v>234</v>
      </c>
      <c r="C76" s="1" t="s">
        <v>235</v>
      </c>
      <c r="D76" s="1" t="s">
        <v>13</v>
      </c>
      <c r="E76" s="1" t="s">
        <v>14</v>
      </c>
      <c r="F76" s="1">
        <v>1279301.0</v>
      </c>
      <c r="G76" s="1">
        <v>62230.0</v>
      </c>
      <c r="H76" s="1">
        <v>4137.0</v>
      </c>
      <c r="I76" s="1">
        <v>3.89E7</v>
      </c>
      <c r="J76" s="1" t="s">
        <v>15</v>
      </c>
    </row>
    <row r="77">
      <c r="A77" s="1" t="s">
        <v>236</v>
      </c>
      <c r="B77" s="1" t="s">
        <v>237</v>
      </c>
      <c r="C77" s="1" t="s">
        <v>238</v>
      </c>
      <c r="D77" s="1" t="s">
        <v>13</v>
      </c>
      <c r="E77" s="1" t="s">
        <v>14</v>
      </c>
      <c r="F77" s="1">
        <v>2718137.0</v>
      </c>
      <c r="G77" s="1">
        <v>138778.0</v>
      </c>
      <c r="H77" s="1">
        <v>5745.0</v>
      </c>
      <c r="I77" s="1">
        <v>3.89E7</v>
      </c>
      <c r="J77" s="1" t="s">
        <v>15</v>
      </c>
    </row>
    <row r="78">
      <c r="A78" s="1" t="s">
        <v>239</v>
      </c>
      <c r="B78" s="1" t="s">
        <v>240</v>
      </c>
      <c r="C78" s="1" t="s">
        <v>241</v>
      </c>
      <c r="D78" s="1" t="s">
        <v>13</v>
      </c>
      <c r="E78" s="1" t="s">
        <v>14</v>
      </c>
      <c r="F78" s="1">
        <v>4487160.0</v>
      </c>
      <c r="G78" s="1">
        <v>173098.0</v>
      </c>
      <c r="H78" s="1">
        <v>6520.0</v>
      </c>
      <c r="I78" s="1">
        <v>3.89E7</v>
      </c>
      <c r="J78" s="1" t="s">
        <v>15</v>
      </c>
    </row>
    <row r="79">
      <c r="A79" s="1" t="s">
        <v>242</v>
      </c>
      <c r="B79" s="1" t="s">
        <v>243</v>
      </c>
      <c r="C79" s="1" t="s">
        <v>244</v>
      </c>
      <c r="D79" s="1" t="s">
        <v>13</v>
      </c>
      <c r="E79" s="1" t="s">
        <v>14</v>
      </c>
      <c r="F79" s="1">
        <v>1235110.0</v>
      </c>
      <c r="G79" s="1">
        <v>52657.0</v>
      </c>
      <c r="H79" s="1">
        <v>2911.0</v>
      </c>
      <c r="I79" s="1">
        <v>3.89E7</v>
      </c>
      <c r="J79" s="1" t="s">
        <v>15</v>
      </c>
    </row>
    <row r="80">
      <c r="A80" s="1" t="s">
        <v>245</v>
      </c>
      <c r="B80" s="1" t="s">
        <v>246</v>
      </c>
      <c r="C80" s="1" t="s">
        <v>247</v>
      </c>
      <c r="D80" s="1" t="s">
        <v>13</v>
      </c>
      <c r="E80" s="1" t="s">
        <v>14</v>
      </c>
      <c r="F80" s="1">
        <v>1063262.0</v>
      </c>
      <c r="G80" s="1">
        <v>68470.0</v>
      </c>
      <c r="H80" s="1">
        <v>3017.0</v>
      </c>
      <c r="I80" s="1">
        <v>3.89E7</v>
      </c>
      <c r="J80" s="1" t="s">
        <v>15</v>
      </c>
    </row>
    <row r="81">
      <c r="A81" s="1" t="s">
        <v>248</v>
      </c>
      <c r="B81" s="1" t="s">
        <v>249</v>
      </c>
      <c r="C81" s="1" t="s">
        <v>250</v>
      </c>
      <c r="D81" s="1" t="s">
        <v>13</v>
      </c>
      <c r="E81" s="1" t="s">
        <v>14</v>
      </c>
      <c r="F81" s="1">
        <v>1535671.0</v>
      </c>
      <c r="G81" s="1">
        <v>66267.0</v>
      </c>
      <c r="H81" s="1">
        <v>2142.0</v>
      </c>
      <c r="I81" s="1">
        <v>3.89E7</v>
      </c>
      <c r="J81" s="1" t="s">
        <v>15</v>
      </c>
    </row>
    <row r="82">
      <c r="A82" s="1" t="s">
        <v>251</v>
      </c>
      <c r="B82" s="1" t="s">
        <v>252</v>
      </c>
      <c r="C82" s="1" t="s">
        <v>253</v>
      </c>
      <c r="D82" s="1" t="s">
        <v>13</v>
      </c>
      <c r="E82" s="1" t="s">
        <v>14</v>
      </c>
      <c r="F82" s="1">
        <v>1199336.0</v>
      </c>
      <c r="G82" s="1">
        <v>57286.0</v>
      </c>
      <c r="H82" s="1">
        <v>2681.0</v>
      </c>
      <c r="I82" s="1">
        <v>3.89E7</v>
      </c>
      <c r="J82" s="1" t="s">
        <v>15</v>
      </c>
    </row>
    <row r="83">
      <c r="A83" s="1" t="s">
        <v>254</v>
      </c>
      <c r="B83" s="1" t="s">
        <v>255</v>
      </c>
      <c r="C83" s="1" t="s">
        <v>256</v>
      </c>
      <c r="D83" s="1" t="s">
        <v>13</v>
      </c>
      <c r="E83" s="1" t="s">
        <v>14</v>
      </c>
      <c r="F83" s="1">
        <v>1425754.0</v>
      </c>
      <c r="G83" s="1">
        <v>58330.0</v>
      </c>
      <c r="H83" s="1">
        <v>2838.0</v>
      </c>
      <c r="I83" s="1">
        <v>3.89E7</v>
      </c>
      <c r="J83" s="1" t="s">
        <v>15</v>
      </c>
    </row>
    <row r="84">
      <c r="A84" s="1" t="s">
        <v>257</v>
      </c>
      <c r="B84" s="1" t="s">
        <v>258</v>
      </c>
      <c r="C84" s="1" t="s">
        <v>259</v>
      </c>
      <c r="D84" s="1" t="s">
        <v>13</v>
      </c>
      <c r="E84" s="1" t="s">
        <v>14</v>
      </c>
      <c r="F84" s="1">
        <v>1426401.0</v>
      </c>
      <c r="G84" s="1">
        <v>64478.0</v>
      </c>
      <c r="H84" s="1">
        <v>2827.0</v>
      </c>
      <c r="I84" s="1">
        <v>3.89E7</v>
      </c>
      <c r="J84" s="1" t="s">
        <v>15</v>
      </c>
    </row>
    <row r="85">
      <c r="A85" s="1" t="s">
        <v>260</v>
      </c>
      <c r="B85" s="1" t="s">
        <v>261</v>
      </c>
      <c r="C85" s="1" t="s">
        <v>262</v>
      </c>
      <c r="D85" s="1" t="s">
        <v>13</v>
      </c>
      <c r="E85" s="1" t="s">
        <v>14</v>
      </c>
      <c r="F85" s="1">
        <v>1129486.0</v>
      </c>
      <c r="G85" s="1">
        <v>52345.0</v>
      </c>
      <c r="H85" s="1">
        <v>1856.0</v>
      </c>
      <c r="I85" s="1">
        <v>3.89E7</v>
      </c>
      <c r="J85" s="1" t="s">
        <v>15</v>
      </c>
    </row>
    <row r="86">
      <c r="A86" s="1" t="s">
        <v>263</v>
      </c>
      <c r="B86" s="1" t="s">
        <v>264</v>
      </c>
      <c r="C86" s="1" t="s">
        <v>265</v>
      </c>
      <c r="D86" s="1" t="s">
        <v>13</v>
      </c>
      <c r="E86" s="1" t="s">
        <v>14</v>
      </c>
      <c r="F86" s="1">
        <v>1456618.0</v>
      </c>
      <c r="G86" s="1">
        <v>63821.0</v>
      </c>
      <c r="H86" s="1">
        <v>2940.0</v>
      </c>
      <c r="I86" s="1">
        <v>3.89E7</v>
      </c>
      <c r="J86" s="1" t="s">
        <v>15</v>
      </c>
    </row>
    <row r="87">
      <c r="A87" s="1" t="s">
        <v>266</v>
      </c>
      <c r="B87" s="1" t="s">
        <v>267</v>
      </c>
      <c r="C87" s="1" t="s">
        <v>268</v>
      </c>
      <c r="D87" s="1" t="s">
        <v>13</v>
      </c>
      <c r="E87" s="1" t="s">
        <v>14</v>
      </c>
      <c r="F87" s="1">
        <v>2135909.0</v>
      </c>
      <c r="G87" s="1">
        <v>86202.0</v>
      </c>
      <c r="H87" s="1">
        <v>2081.0</v>
      </c>
      <c r="I87" s="1">
        <v>3.89E7</v>
      </c>
      <c r="J87" s="1" t="s">
        <v>15</v>
      </c>
    </row>
    <row r="88">
      <c r="A88" s="1" t="s">
        <v>269</v>
      </c>
      <c r="B88" s="1" t="s">
        <v>270</v>
      </c>
      <c r="C88" s="1" t="s">
        <v>271</v>
      </c>
      <c r="D88" s="1" t="s">
        <v>13</v>
      </c>
      <c r="E88" s="1" t="s">
        <v>14</v>
      </c>
      <c r="F88" s="1">
        <v>1469845.0</v>
      </c>
      <c r="G88" s="1">
        <v>62751.0</v>
      </c>
      <c r="H88" s="1">
        <v>1950.0</v>
      </c>
      <c r="I88" s="1">
        <v>3.89E7</v>
      </c>
      <c r="J88" s="1" t="s">
        <v>15</v>
      </c>
    </row>
    <row r="89">
      <c r="A89" s="1" t="s">
        <v>272</v>
      </c>
      <c r="B89" s="1" t="s">
        <v>273</v>
      </c>
      <c r="C89" s="1" t="s">
        <v>274</v>
      </c>
      <c r="D89" s="1" t="s">
        <v>13</v>
      </c>
      <c r="E89" s="1" t="s">
        <v>14</v>
      </c>
      <c r="F89" s="1">
        <v>1084201.0</v>
      </c>
      <c r="G89" s="1">
        <v>53205.0</v>
      </c>
      <c r="H89" s="1">
        <v>1830.0</v>
      </c>
      <c r="I89" s="1">
        <v>3.89E7</v>
      </c>
      <c r="J89" s="1" t="s">
        <v>15</v>
      </c>
    </row>
    <row r="90">
      <c r="A90" s="1" t="s">
        <v>275</v>
      </c>
      <c r="B90" s="1" t="s">
        <v>276</v>
      </c>
      <c r="C90" s="1" t="s">
        <v>277</v>
      </c>
      <c r="D90" s="1" t="s">
        <v>13</v>
      </c>
      <c r="E90" s="1" t="s">
        <v>14</v>
      </c>
      <c r="F90" s="1">
        <v>1766528.0</v>
      </c>
      <c r="G90" s="1">
        <v>70044.0</v>
      </c>
      <c r="H90" s="1">
        <v>3299.0</v>
      </c>
      <c r="I90" s="1">
        <v>3.89E7</v>
      </c>
      <c r="J90" s="1" t="s">
        <v>15</v>
      </c>
    </row>
    <row r="91">
      <c r="A91" s="1" t="s">
        <v>278</v>
      </c>
      <c r="B91" s="1" t="s">
        <v>279</v>
      </c>
      <c r="C91" s="1" t="s">
        <v>280</v>
      </c>
      <c r="D91" s="1" t="s">
        <v>13</v>
      </c>
      <c r="E91" s="1" t="s">
        <v>14</v>
      </c>
      <c r="F91" s="1">
        <v>1660353.0</v>
      </c>
      <c r="G91" s="1">
        <v>74142.0</v>
      </c>
      <c r="H91" s="1">
        <v>2636.0</v>
      </c>
      <c r="I91" s="1">
        <v>3.89E7</v>
      </c>
      <c r="J91" s="1" t="s">
        <v>15</v>
      </c>
    </row>
    <row r="92">
      <c r="A92" s="1" t="s">
        <v>281</v>
      </c>
      <c r="B92" s="1" t="s">
        <v>282</v>
      </c>
      <c r="C92" s="1" t="s">
        <v>283</v>
      </c>
      <c r="D92" s="1" t="s">
        <v>13</v>
      </c>
      <c r="E92" s="1" t="s">
        <v>14</v>
      </c>
      <c r="F92" s="1">
        <v>1276130.0</v>
      </c>
      <c r="G92" s="1">
        <v>61012.0</v>
      </c>
      <c r="H92" s="1">
        <v>1995.0</v>
      </c>
      <c r="I92" s="1">
        <v>3.89E7</v>
      </c>
      <c r="J92" s="1" t="s">
        <v>15</v>
      </c>
    </row>
    <row r="93">
      <c r="A93" s="1" t="s">
        <v>284</v>
      </c>
      <c r="B93" s="1" t="s">
        <v>285</v>
      </c>
      <c r="C93" s="1" t="s">
        <v>286</v>
      </c>
      <c r="D93" s="1" t="s">
        <v>13</v>
      </c>
      <c r="E93" s="1" t="s">
        <v>14</v>
      </c>
      <c r="F93" s="1">
        <v>1811114.0</v>
      </c>
      <c r="G93" s="1">
        <v>73563.0</v>
      </c>
      <c r="H93" s="1">
        <v>2335.0</v>
      </c>
      <c r="I93" s="1">
        <v>3.89E7</v>
      </c>
      <c r="J93" s="1" t="s">
        <v>15</v>
      </c>
    </row>
    <row r="94">
      <c r="A94" s="1" t="s">
        <v>287</v>
      </c>
      <c r="B94" s="1" t="s">
        <v>288</v>
      </c>
      <c r="C94" s="1" t="s">
        <v>289</v>
      </c>
      <c r="D94" s="1" t="s">
        <v>13</v>
      </c>
      <c r="E94" s="1" t="s">
        <v>14</v>
      </c>
      <c r="F94" s="1">
        <v>1454043.0</v>
      </c>
      <c r="G94" s="1">
        <v>61607.0</v>
      </c>
      <c r="H94" s="1">
        <v>2128.0</v>
      </c>
      <c r="I94" s="1">
        <v>3.89E7</v>
      </c>
      <c r="J94" s="1" t="s">
        <v>15</v>
      </c>
    </row>
    <row r="95">
      <c r="A95" s="1" t="s">
        <v>290</v>
      </c>
      <c r="B95" s="1" t="s">
        <v>291</v>
      </c>
      <c r="C95" s="1" t="s">
        <v>292</v>
      </c>
      <c r="D95" s="1" t="s">
        <v>13</v>
      </c>
      <c r="E95" s="1" t="s">
        <v>14</v>
      </c>
      <c r="F95" s="1">
        <v>2251687.0</v>
      </c>
      <c r="G95" s="1">
        <v>81856.0</v>
      </c>
      <c r="H95" s="1">
        <v>2982.0</v>
      </c>
      <c r="I95" s="1">
        <v>3.89E7</v>
      </c>
      <c r="J95" s="1" t="s">
        <v>15</v>
      </c>
    </row>
    <row r="96">
      <c r="A96" s="1" t="s">
        <v>293</v>
      </c>
      <c r="B96" s="1" t="s">
        <v>294</v>
      </c>
      <c r="C96" s="1" t="s">
        <v>295</v>
      </c>
      <c r="D96" s="1" t="s">
        <v>13</v>
      </c>
      <c r="E96" s="1" t="s">
        <v>14</v>
      </c>
      <c r="F96" s="1">
        <v>4931645.0</v>
      </c>
      <c r="G96" s="1">
        <v>134651.0</v>
      </c>
      <c r="H96" s="1">
        <v>7854.0</v>
      </c>
      <c r="I96" s="1">
        <v>3.89E7</v>
      </c>
      <c r="J96" s="1" t="s">
        <v>15</v>
      </c>
    </row>
    <row r="97">
      <c r="A97" s="1" t="s">
        <v>296</v>
      </c>
      <c r="B97" s="1" t="s">
        <v>297</v>
      </c>
      <c r="C97" s="1" t="s">
        <v>298</v>
      </c>
      <c r="D97" s="1" t="s">
        <v>13</v>
      </c>
      <c r="E97" s="1" t="s">
        <v>14</v>
      </c>
      <c r="F97" s="1">
        <v>2309396.0</v>
      </c>
      <c r="G97" s="1">
        <v>89669.0</v>
      </c>
      <c r="H97" s="1">
        <v>3671.0</v>
      </c>
      <c r="I97" s="1">
        <v>3.89E7</v>
      </c>
      <c r="J97" s="1" t="s">
        <v>15</v>
      </c>
    </row>
    <row r="98">
      <c r="A98" s="1" t="s">
        <v>299</v>
      </c>
      <c r="B98" s="1" t="s">
        <v>300</v>
      </c>
      <c r="C98" s="1" t="s">
        <v>301</v>
      </c>
      <c r="D98" s="1" t="s">
        <v>13</v>
      </c>
      <c r="E98" s="1" t="s">
        <v>14</v>
      </c>
      <c r="F98" s="1">
        <v>3351775.0</v>
      </c>
      <c r="G98" s="1">
        <v>123306.0</v>
      </c>
      <c r="H98" s="1">
        <v>4081.0</v>
      </c>
      <c r="I98" s="1">
        <v>3.89E7</v>
      </c>
      <c r="J98" s="1" t="s">
        <v>15</v>
      </c>
    </row>
    <row r="99">
      <c r="A99" s="1" t="s">
        <v>302</v>
      </c>
      <c r="B99" s="1" t="s">
        <v>303</v>
      </c>
      <c r="C99" s="1" t="s">
        <v>304</v>
      </c>
      <c r="D99" s="1" t="s">
        <v>13</v>
      </c>
      <c r="E99" s="1" t="s">
        <v>14</v>
      </c>
      <c r="F99" s="1">
        <v>2808161.0</v>
      </c>
      <c r="G99" s="1">
        <v>119185.0</v>
      </c>
      <c r="H99" s="1">
        <v>4615.0</v>
      </c>
      <c r="I99" s="1">
        <v>3.89E7</v>
      </c>
      <c r="J99" s="1" t="s">
        <v>15</v>
      </c>
    </row>
    <row r="100">
      <c r="A100" s="1" t="s">
        <v>305</v>
      </c>
      <c r="B100" s="1" t="s">
        <v>306</v>
      </c>
      <c r="C100" s="1" t="s">
        <v>307</v>
      </c>
      <c r="D100" s="1" t="s">
        <v>13</v>
      </c>
      <c r="E100" s="1" t="s">
        <v>14</v>
      </c>
      <c r="F100" s="1">
        <v>2691710.0</v>
      </c>
      <c r="G100" s="1">
        <v>94087.0</v>
      </c>
      <c r="H100" s="1">
        <v>4150.0</v>
      </c>
      <c r="I100" s="1">
        <v>3.89E7</v>
      </c>
      <c r="J100" s="1" t="s">
        <v>15</v>
      </c>
    </row>
    <row r="101">
      <c r="A101" s="1" t="s">
        <v>308</v>
      </c>
      <c r="B101" s="1" t="s">
        <v>309</v>
      </c>
      <c r="C101" s="1" t="s">
        <v>310</v>
      </c>
      <c r="D101" s="1" t="s">
        <v>13</v>
      </c>
      <c r="E101" s="1" t="s">
        <v>14</v>
      </c>
      <c r="F101" s="1">
        <v>4725268.0</v>
      </c>
      <c r="G101" s="1">
        <v>193750.0</v>
      </c>
      <c r="H101" s="1">
        <v>7563.0</v>
      </c>
      <c r="I101" s="1">
        <v>3.89E7</v>
      </c>
      <c r="J101" s="1" t="s">
        <v>15</v>
      </c>
    </row>
    <row r="102">
      <c r="A102" s="1" t="s">
        <v>311</v>
      </c>
      <c r="B102" s="1" t="s">
        <v>312</v>
      </c>
      <c r="C102" s="1" t="s">
        <v>313</v>
      </c>
      <c r="D102" s="1" t="s">
        <v>13</v>
      </c>
      <c r="E102" s="1" t="s">
        <v>14</v>
      </c>
      <c r="F102" s="1">
        <v>1466754.0</v>
      </c>
      <c r="G102" s="1">
        <v>61558.0</v>
      </c>
      <c r="H102" s="1">
        <v>2617.0</v>
      </c>
      <c r="I102" s="1">
        <v>3.89E7</v>
      </c>
      <c r="J102" s="1" t="s">
        <v>15</v>
      </c>
    </row>
    <row r="103">
      <c r="A103" s="1" t="s">
        <v>314</v>
      </c>
      <c r="B103" s="1" t="s">
        <v>315</v>
      </c>
      <c r="C103" s="1" t="s">
        <v>316</v>
      </c>
      <c r="D103" s="1" t="s">
        <v>13</v>
      </c>
      <c r="E103" s="1" t="s">
        <v>14</v>
      </c>
      <c r="F103" s="1">
        <v>2047209.0</v>
      </c>
      <c r="G103" s="1">
        <v>106116.0</v>
      </c>
      <c r="H103" s="1">
        <v>3213.0</v>
      </c>
      <c r="I103" s="1">
        <v>3.89E7</v>
      </c>
      <c r="J103" s="1" t="s">
        <v>15</v>
      </c>
    </row>
    <row r="104">
      <c r="A104" s="1" t="s">
        <v>317</v>
      </c>
      <c r="B104" s="1" t="s">
        <v>318</v>
      </c>
      <c r="C104" s="1" t="s">
        <v>319</v>
      </c>
      <c r="D104" s="1" t="s">
        <v>13</v>
      </c>
      <c r="E104" s="1" t="s">
        <v>14</v>
      </c>
      <c r="F104" s="1">
        <v>7544465.0</v>
      </c>
      <c r="G104" s="1">
        <v>238036.0</v>
      </c>
      <c r="H104" s="1">
        <v>20347.0</v>
      </c>
      <c r="I104" s="1">
        <v>3.89E7</v>
      </c>
      <c r="J104" s="1" t="s">
        <v>15</v>
      </c>
    </row>
    <row r="105">
      <c r="A105" s="1" t="s">
        <v>320</v>
      </c>
      <c r="B105" s="1" t="s">
        <v>321</v>
      </c>
      <c r="C105" s="1" t="s">
        <v>322</v>
      </c>
      <c r="D105" s="1" t="s">
        <v>13</v>
      </c>
      <c r="E105" s="1" t="s">
        <v>14</v>
      </c>
      <c r="F105" s="1">
        <v>1685480.0</v>
      </c>
      <c r="G105" s="1">
        <v>88824.0</v>
      </c>
      <c r="H105" s="1">
        <v>3970.0</v>
      </c>
      <c r="I105" s="1">
        <v>3.89E7</v>
      </c>
      <c r="J105" s="1" t="s">
        <v>15</v>
      </c>
    </row>
    <row r="106">
      <c r="A106" s="1" t="s">
        <v>323</v>
      </c>
      <c r="B106" s="1" t="s">
        <v>324</v>
      </c>
      <c r="C106" s="1" t="s">
        <v>325</v>
      </c>
      <c r="D106" s="1" t="s">
        <v>13</v>
      </c>
      <c r="E106" s="1" t="s">
        <v>14</v>
      </c>
      <c r="F106" s="1">
        <v>2477476.0</v>
      </c>
      <c r="G106" s="1">
        <v>123744.0</v>
      </c>
      <c r="H106" s="1">
        <v>4415.0</v>
      </c>
      <c r="I106" s="1">
        <v>3.89E7</v>
      </c>
      <c r="J106" s="1" t="s">
        <v>15</v>
      </c>
    </row>
    <row r="107">
      <c r="A107" s="1" t="s">
        <v>326</v>
      </c>
      <c r="B107" s="1" t="s">
        <v>327</v>
      </c>
      <c r="C107" s="1" t="s">
        <v>328</v>
      </c>
      <c r="D107" s="1" t="s">
        <v>13</v>
      </c>
      <c r="E107" s="1" t="s">
        <v>14</v>
      </c>
      <c r="F107" s="1">
        <v>1696579.0</v>
      </c>
      <c r="G107" s="1">
        <v>46954.0</v>
      </c>
      <c r="H107" s="1">
        <v>3538.0</v>
      </c>
      <c r="I107" s="1">
        <v>3.89E7</v>
      </c>
      <c r="J107" s="1" t="s">
        <v>15</v>
      </c>
    </row>
    <row r="108">
      <c r="A108" s="1" t="s">
        <v>329</v>
      </c>
      <c r="B108" s="1" t="s">
        <v>330</v>
      </c>
      <c r="C108" s="1" t="s">
        <v>331</v>
      </c>
      <c r="D108" s="1" t="s">
        <v>13</v>
      </c>
      <c r="E108" s="1" t="s">
        <v>14</v>
      </c>
      <c r="F108" s="1">
        <v>4230123.0</v>
      </c>
      <c r="G108" s="1">
        <v>197700.0</v>
      </c>
      <c r="H108" s="1">
        <v>9489.0</v>
      </c>
      <c r="I108" s="1">
        <v>3.89E7</v>
      </c>
      <c r="J108" s="1" t="s">
        <v>15</v>
      </c>
    </row>
    <row r="109">
      <c r="A109" s="1" t="s">
        <v>332</v>
      </c>
      <c r="B109" s="1" t="s">
        <v>333</v>
      </c>
      <c r="C109" s="1" t="s">
        <v>334</v>
      </c>
      <c r="D109" s="1" t="s">
        <v>13</v>
      </c>
      <c r="E109" s="1" t="s">
        <v>14</v>
      </c>
      <c r="F109" s="1">
        <v>2914514.0</v>
      </c>
      <c r="G109" s="1">
        <v>73481.0</v>
      </c>
      <c r="H109" s="1">
        <v>1529.0</v>
      </c>
      <c r="I109" s="1">
        <v>3.89E7</v>
      </c>
      <c r="J109" s="1" t="s">
        <v>15</v>
      </c>
    </row>
    <row r="110">
      <c r="A110" s="1" t="s">
        <v>335</v>
      </c>
      <c r="B110" s="1" t="s">
        <v>336</v>
      </c>
      <c r="C110" s="1" t="s">
        <v>337</v>
      </c>
      <c r="D110" s="1" t="s">
        <v>13</v>
      </c>
      <c r="E110" s="1" t="s">
        <v>14</v>
      </c>
      <c r="F110" s="1">
        <v>1345653.0</v>
      </c>
      <c r="G110" s="1">
        <v>155344.0</v>
      </c>
      <c r="H110" s="1">
        <v>13406.0</v>
      </c>
      <c r="I110" s="1">
        <v>3.89E7</v>
      </c>
      <c r="J110" s="1" t="s">
        <v>15</v>
      </c>
    </row>
    <row r="111">
      <c r="A111" s="1" t="s">
        <v>338</v>
      </c>
      <c r="B111" s="1" t="s">
        <v>339</v>
      </c>
      <c r="C111" s="1" t="s">
        <v>340</v>
      </c>
      <c r="D111" s="1" t="s">
        <v>13</v>
      </c>
      <c r="E111" s="1" t="s">
        <v>14</v>
      </c>
      <c r="F111" s="1">
        <v>3439243.0</v>
      </c>
      <c r="G111" s="1">
        <v>379426.0</v>
      </c>
      <c r="H111" s="1">
        <v>32434.0</v>
      </c>
      <c r="I111" s="1">
        <v>3.89E7</v>
      </c>
      <c r="J111" s="1" t="s">
        <v>15</v>
      </c>
    </row>
    <row r="112">
      <c r="A112" s="1" t="s">
        <v>341</v>
      </c>
      <c r="B112" s="1" t="s">
        <v>342</v>
      </c>
      <c r="C112" s="1" t="s">
        <v>343</v>
      </c>
      <c r="D112" s="1" t="s">
        <v>13</v>
      </c>
      <c r="E112" s="1" t="s">
        <v>14</v>
      </c>
      <c r="F112" s="1">
        <v>3739405.0</v>
      </c>
      <c r="G112" s="1">
        <v>93287.0</v>
      </c>
      <c r="H112" s="1">
        <v>3633.0</v>
      </c>
      <c r="I112" s="1">
        <v>3.89E7</v>
      </c>
      <c r="J112" s="1" t="s">
        <v>15</v>
      </c>
    </row>
    <row r="113">
      <c r="A113" s="1" t="s">
        <v>344</v>
      </c>
      <c r="B113" s="1" t="s">
        <v>345</v>
      </c>
      <c r="C113" s="1" t="s">
        <v>346</v>
      </c>
      <c r="D113" s="1" t="s">
        <v>13</v>
      </c>
      <c r="E113" s="1" t="s">
        <v>14</v>
      </c>
      <c r="F113" s="1">
        <v>3668849.0</v>
      </c>
      <c r="G113" s="1">
        <v>231959.0</v>
      </c>
      <c r="H113" s="1">
        <v>6186.0</v>
      </c>
      <c r="I113" s="1">
        <v>3.89E7</v>
      </c>
      <c r="J113" s="1" t="s">
        <v>15</v>
      </c>
    </row>
    <row r="114">
      <c r="A114" s="1" t="s">
        <v>347</v>
      </c>
      <c r="B114" s="1" t="s">
        <v>348</v>
      </c>
      <c r="C114" s="1" t="s">
        <v>349</v>
      </c>
      <c r="D114" s="1" t="s">
        <v>13</v>
      </c>
      <c r="E114" s="1" t="s">
        <v>14</v>
      </c>
      <c r="F114" s="1">
        <v>2329839.0</v>
      </c>
      <c r="G114" s="1">
        <v>66023.0</v>
      </c>
      <c r="H114" s="1">
        <v>3031.0</v>
      </c>
      <c r="I114" s="1">
        <v>3.89E7</v>
      </c>
      <c r="J114" s="1" t="s">
        <v>15</v>
      </c>
    </row>
    <row r="115">
      <c r="A115" s="1" t="s">
        <v>350</v>
      </c>
      <c r="B115" s="1" t="s">
        <v>351</v>
      </c>
      <c r="C115" s="1" t="s">
        <v>352</v>
      </c>
      <c r="D115" s="1" t="s">
        <v>13</v>
      </c>
      <c r="E115" s="1" t="s">
        <v>14</v>
      </c>
      <c r="F115" s="1">
        <v>1813685.0</v>
      </c>
      <c r="G115" s="1">
        <v>58829.0</v>
      </c>
      <c r="H115" s="1">
        <v>2357.0</v>
      </c>
      <c r="I115" s="1">
        <v>3.89E7</v>
      </c>
      <c r="J115" s="1" t="s">
        <v>15</v>
      </c>
    </row>
    <row r="116">
      <c r="A116" s="1" t="s">
        <v>353</v>
      </c>
      <c r="B116" s="1" t="s">
        <v>354</v>
      </c>
      <c r="C116" s="1" t="s">
        <v>355</v>
      </c>
      <c r="D116" s="1" t="s">
        <v>13</v>
      </c>
      <c r="E116" s="1" t="s">
        <v>14</v>
      </c>
      <c r="F116" s="1">
        <v>399874.0</v>
      </c>
      <c r="G116" s="1">
        <v>33264.0</v>
      </c>
      <c r="H116" s="1">
        <v>2106.0</v>
      </c>
      <c r="I116" s="1">
        <v>3.89E7</v>
      </c>
      <c r="J116" s="1" t="s">
        <v>15</v>
      </c>
    </row>
    <row r="117">
      <c r="A117" s="1" t="s">
        <v>356</v>
      </c>
      <c r="B117" s="1" t="s">
        <v>357</v>
      </c>
      <c r="C117" s="1" t="s">
        <v>358</v>
      </c>
      <c r="D117" s="1" t="s">
        <v>13</v>
      </c>
      <c r="E117" s="1" t="s">
        <v>14</v>
      </c>
      <c r="F117" s="1">
        <v>2705158.0</v>
      </c>
      <c r="G117" s="1">
        <v>119616.0</v>
      </c>
      <c r="H117" s="1">
        <v>6357.0</v>
      </c>
      <c r="I117" s="1">
        <v>3.89E7</v>
      </c>
      <c r="J117" s="1" t="s">
        <v>15</v>
      </c>
    </row>
    <row r="118">
      <c r="A118" s="1" t="s">
        <v>359</v>
      </c>
      <c r="B118" s="1" t="s">
        <v>360</v>
      </c>
      <c r="C118" s="1" t="s">
        <v>361</v>
      </c>
      <c r="D118" s="1" t="s">
        <v>13</v>
      </c>
      <c r="E118" s="1" t="s">
        <v>14</v>
      </c>
      <c r="F118" s="1">
        <v>2095786.0</v>
      </c>
      <c r="G118" s="1">
        <v>111169.0</v>
      </c>
      <c r="H118" s="1">
        <v>3080.0</v>
      </c>
      <c r="I118" s="1">
        <v>3.89E7</v>
      </c>
      <c r="J118" s="1" t="s">
        <v>15</v>
      </c>
    </row>
    <row r="119">
      <c r="A119" s="1" t="s">
        <v>362</v>
      </c>
      <c r="B119" s="1" t="s">
        <v>363</v>
      </c>
      <c r="C119" s="1" t="s">
        <v>364</v>
      </c>
      <c r="D119" s="1" t="s">
        <v>13</v>
      </c>
      <c r="E119" s="1" t="s">
        <v>14</v>
      </c>
      <c r="F119" s="1">
        <v>2771123.0</v>
      </c>
      <c r="G119" s="1">
        <v>236026.0</v>
      </c>
      <c r="H119" s="1">
        <v>14116.0</v>
      </c>
      <c r="I119" s="1">
        <v>3.89E7</v>
      </c>
      <c r="J119" s="1" t="s">
        <v>15</v>
      </c>
    </row>
    <row r="120">
      <c r="A120" s="1" t="s">
        <v>365</v>
      </c>
      <c r="B120" s="1" t="s">
        <v>366</v>
      </c>
      <c r="C120" s="1" t="s">
        <v>367</v>
      </c>
      <c r="D120" s="1" t="s">
        <v>13</v>
      </c>
      <c r="E120" s="1" t="s">
        <v>14</v>
      </c>
      <c r="F120" s="1">
        <v>2233720.0</v>
      </c>
      <c r="G120" s="1">
        <v>84232.0</v>
      </c>
      <c r="H120" s="1">
        <v>3106.0</v>
      </c>
      <c r="I120" s="1">
        <v>3.89E7</v>
      </c>
      <c r="J120" s="1" t="s">
        <v>15</v>
      </c>
    </row>
    <row r="121">
      <c r="A121" s="1" t="s">
        <v>368</v>
      </c>
      <c r="B121" s="1" t="s">
        <v>73</v>
      </c>
      <c r="C121" s="1" t="s">
        <v>369</v>
      </c>
      <c r="D121" s="1" t="s">
        <v>13</v>
      </c>
      <c r="E121" s="1" t="s">
        <v>14</v>
      </c>
      <c r="F121" s="1">
        <v>3397551.0</v>
      </c>
      <c r="G121" s="1">
        <v>81438.0</v>
      </c>
      <c r="H121" s="1">
        <v>2292.0</v>
      </c>
      <c r="I121" s="1">
        <v>3.89E7</v>
      </c>
      <c r="J121" s="1" t="s">
        <v>15</v>
      </c>
    </row>
    <row r="122">
      <c r="A122" s="1" t="s">
        <v>370</v>
      </c>
      <c r="B122" s="1" t="s">
        <v>371</v>
      </c>
      <c r="C122" s="1" t="s">
        <v>372</v>
      </c>
      <c r="D122" s="1" t="s">
        <v>13</v>
      </c>
      <c r="E122" s="1" t="s">
        <v>14</v>
      </c>
      <c r="F122" s="1">
        <v>1299321.0</v>
      </c>
      <c r="G122" s="1">
        <v>52117.0</v>
      </c>
      <c r="H122" s="1">
        <v>3012.0</v>
      </c>
      <c r="I122" s="1">
        <v>3.89E7</v>
      </c>
      <c r="J122" s="1" t="s">
        <v>15</v>
      </c>
    </row>
    <row r="123">
      <c r="A123" s="1" t="s">
        <v>373</v>
      </c>
      <c r="B123" s="1" t="s">
        <v>374</v>
      </c>
      <c r="C123" s="1" t="s">
        <v>375</v>
      </c>
      <c r="D123" s="1" t="s">
        <v>13</v>
      </c>
      <c r="E123" s="1" t="s">
        <v>14</v>
      </c>
      <c r="F123" s="1">
        <v>1835381.0</v>
      </c>
      <c r="G123" s="1">
        <v>113884.0</v>
      </c>
      <c r="H123" s="1">
        <v>5645.0</v>
      </c>
      <c r="I123" s="1">
        <v>3.89E7</v>
      </c>
      <c r="J123" s="1" t="s">
        <v>15</v>
      </c>
    </row>
    <row r="124">
      <c r="A124" s="1" t="s">
        <v>376</v>
      </c>
      <c r="B124" s="1" t="s">
        <v>377</v>
      </c>
      <c r="C124" s="1" t="s">
        <v>378</v>
      </c>
      <c r="D124" s="1" t="s">
        <v>13</v>
      </c>
      <c r="E124" s="1" t="s">
        <v>14</v>
      </c>
      <c r="F124" s="1">
        <v>828014.0</v>
      </c>
      <c r="G124" s="1">
        <v>86740.0</v>
      </c>
      <c r="H124" s="1">
        <v>4042.0</v>
      </c>
      <c r="I124" s="1">
        <v>3.89E7</v>
      </c>
      <c r="J124" s="1" t="s">
        <v>15</v>
      </c>
    </row>
    <row r="125">
      <c r="A125" s="1" t="s">
        <v>379</v>
      </c>
      <c r="B125" s="1" t="s">
        <v>380</v>
      </c>
      <c r="C125" s="1" t="s">
        <v>381</v>
      </c>
      <c r="D125" s="1" t="s">
        <v>13</v>
      </c>
      <c r="E125" s="1" t="s">
        <v>14</v>
      </c>
      <c r="F125" s="1">
        <v>5070484.0</v>
      </c>
      <c r="G125" s="1">
        <v>641064.0</v>
      </c>
      <c r="H125" s="1">
        <v>48430.0</v>
      </c>
      <c r="I125" s="1">
        <v>3.89E7</v>
      </c>
      <c r="J125" s="1" t="s">
        <v>15</v>
      </c>
    </row>
    <row r="126">
      <c r="A126" s="1" t="s">
        <v>382</v>
      </c>
      <c r="B126" s="1" t="s">
        <v>383</v>
      </c>
      <c r="C126" s="1" t="s">
        <v>384</v>
      </c>
      <c r="D126" s="1" t="s">
        <v>13</v>
      </c>
      <c r="E126" s="1" t="s">
        <v>14</v>
      </c>
      <c r="F126" s="1">
        <v>1212025.0</v>
      </c>
      <c r="G126" s="1">
        <v>70596.0</v>
      </c>
      <c r="H126" s="1">
        <v>3756.0</v>
      </c>
      <c r="I126" s="1">
        <v>3.89E7</v>
      </c>
      <c r="J126" s="1" t="s">
        <v>15</v>
      </c>
    </row>
    <row r="127">
      <c r="A127" s="1" t="s">
        <v>385</v>
      </c>
      <c r="B127" s="1" t="s">
        <v>386</v>
      </c>
      <c r="C127" s="1" t="s">
        <v>387</v>
      </c>
      <c r="D127" s="1" t="s">
        <v>13</v>
      </c>
      <c r="E127" s="1" t="s">
        <v>14</v>
      </c>
      <c r="F127" s="1">
        <v>8236187.0</v>
      </c>
      <c r="G127" s="1">
        <v>623698.0</v>
      </c>
      <c r="H127" s="1">
        <v>25532.0</v>
      </c>
      <c r="I127" s="1">
        <v>3.89E7</v>
      </c>
      <c r="J127" s="1" t="s">
        <v>15</v>
      </c>
    </row>
    <row r="128">
      <c r="A128" s="1" t="s">
        <v>388</v>
      </c>
      <c r="B128" s="1" t="s">
        <v>389</v>
      </c>
      <c r="C128" s="1" t="s">
        <v>390</v>
      </c>
      <c r="D128" s="1" t="s">
        <v>13</v>
      </c>
      <c r="E128" s="1" t="s">
        <v>14</v>
      </c>
      <c r="F128" s="1">
        <v>3800384.0</v>
      </c>
      <c r="G128" s="1">
        <v>265966.0</v>
      </c>
      <c r="H128" s="1">
        <v>6513.0</v>
      </c>
      <c r="I128" s="1">
        <v>3.89E7</v>
      </c>
      <c r="J128" s="1" t="s">
        <v>15</v>
      </c>
    </row>
    <row r="129">
      <c r="A129" s="1" t="s">
        <v>391</v>
      </c>
      <c r="B129" s="1" t="s">
        <v>392</v>
      </c>
      <c r="C129" s="1" t="s">
        <v>393</v>
      </c>
      <c r="D129" s="1" t="s">
        <v>13</v>
      </c>
      <c r="E129" s="1" t="s">
        <v>14</v>
      </c>
      <c r="F129" s="1">
        <v>1256379.0</v>
      </c>
      <c r="G129" s="1">
        <v>57627.0</v>
      </c>
      <c r="H129" s="1">
        <v>4887.0</v>
      </c>
      <c r="I129" s="1">
        <v>3.89E7</v>
      </c>
      <c r="J129" s="1" t="s">
        <v>15</v>
      </c>
    </row>
    <row r="130">
      <c r="A130" s="1" t="s">
        <v>394</v>
      </c>
      <c r="B130" s="1" t="s">
        <v>395</v>
      </c>
      <c r="C130" s="1" t="s">
        <v>396</v>
      </c>
      <c r="D130" s="1" t="s">
        <v>13</v>
      </c>
      <c r="E130" s="1" t="s">
        <v>14</v>
      </c>
      <c r="F130" s="1">
        <v>1143420.0</v>
      </c>
      <c r="G130" s="1">
        <v>57023.0</v>
      </c>
      <c r="H130" s="1">
        <v>1643.0</v>
      </c>
      <c r="I130" s="1">
        <v>3.89E7</v>
      </c>
      <c r="J130" s="1" t="s">
        <v>15</v>
      </c>
    </row>
    <row r="131">
      <c r="A131" s="1" t="s">
        <v>397</v>
      </c>
      <c r="B131" s="1" t="s">
        <v>398</v>
      </c>
      <c r="C131" s="1" t="s">
        <v>399</v>
      </c>
      <c r="D131" s="1" t="s">
        <v>13</v>
      </c>
      <c r="E131" s="1" t="s">
        <v>14</v>
      </c>
      <c r="F131" s="1">
        <v>6653588.0</v>
      </c>
      <c r="G131" s="1">
        <v>203053.0</v>
      </c>
      <c r="H131" s="1">
        <v>5826.0</v>
      </c>
      <c r="I131" s="1">
        <v>3.89E7</v>
      </c>
      <c r="J131" s="1" t="s">
        <v>15</v>
      </c>
    </row>
    <row r="132">
      <c r="A132" s="1" t="s">
        <v>400</v>
      </c>
      <c r="B132" s="1" t="s">
        <v>401</v>
      </c>
      <c r="C132" s="1" t="s">
        <v>402</v>
      </c>
      <c r="D132" s="1" t="s">
        <v>13</v>
      </c>
      <c r="E132" s="1" t="s">
        <v>14</v>
      </c>
      <c r="F132" s="1">
        <v>1239316.0</v>
      </c>
      <c r="G132" s="1">
        <v>60799.0</v>
      </c>
      <c r="H132" s="1">
        <v>1869.0</v>
      </c>
      <c r="I132" s="1">
        <v>3.89E7</v>
      </c>
      <c r="J132" s="1" t="s">
        <v>15</v>
      </c>
    </row>
    <row r="133">
      <c r="A133" s="1" t="s">
        <v>403</v>
      </c>
      <c r="B133" s="1" t="s">
        <v>404</v>
      </c>
      <c r="C133" s="1" t="s">
        <v>405</v>
      </c>
      <c r="D133" s="1" t="s">
        <v>13</v>
      </c>
      <c r="E133" s="1" t="s">
        <v>14</v>
      </c>
      <c r="F133" s="1">
        <v>1429939.0</v>
      </c>
      <c r="G133" s="1">
        <v>61771.0</v>
      </c>
      <c r="H133" s="1">
        <v>2013.0</v>
      </c>
      <c r="I133" s="1">
        <v>3.89E7</v>
      </c>
      <c r="J133" s="1" t="s">
        <v>15</v>
      </c>
    </row>
    <row r="134">
      <c r="A134" s="1" t="s">
        <v>406</v>
      </c>
      <c r="B134" s="1" t="s">
        <v>407</v>
      </c>
      <c r="C134" s="1" t="s">
        <v>408</v>
      </c>
      <c r="D134" s="1" t="s">
        <v>13</v>
      </c>
      <c r="E134" s="1" t="s">
        <v>14</v>
      </c>
      <c r="F134" s="1">
        <v>1519935.0</v>
      </c>
      <c r="G134" s="1">
        <v>64423.0</v>
      </c>
      <c r="H134" s="1">
        <v>2200.0</v>
      </c>
      <c r="I134" s="1">
        <v>3.89E7</v>
      </c>
      <c r="J134" s="1" t="s">
        <v>15</v>
      </c>
    </row>
    <row r="135">
      <c r="A135" s="1" t="s">
        <v>409</v>
      </c>
      <c r="B135" s="1" t="s">
        <v>410</v>
      </c>
      <c r="C135" s="1" t="s">
        <v>411</v>
      </c>
      <c r="D135" s="1" t="s">
        <v>13</v>
      </c>
      <c r="E135" s="1" t="s">
        <v>14</v>
      </c>
      <c r="F135" s="1">
        <v>1652614.0</v>
      </c>
      <c r="G135" s="1">
        <v>70949.0</v>
      </c>
      <c r="H135" s="1">
        <v>2027.0</v>
      </c>
      <c r="I135" s="1">
        <v>3.89E7</v>
      </c>
      <c r="J135" s="1" t="s">
        <v>15</v>
      </c>
    </row>
    <row r="136">
      <c r="A136" s="1" t="s">
        <v>412</v>
      </c>
      <c r="B136" s="1" t="s">
        <v>413</v>
      </c>
      <c r="C136" s="1" t="s">
        <v>414</v>
      </c>
      <c r="D136" s="1" t="s">
        <v>13</v>
      </c>
      <c r="E136" s="1" t="s">
        <v>14</v>
      </c>
      <c r="F136" s="1">
        <v>1953898.0</v>
      </c>
      <c r="G136" s="1">
        <v>77174.0</v>
      </c>
      <c r="H136" s="1">
        <v>2236.0</v>
      </c>
      <c r="I136" s="1">
        <v>3.89E7</v>
      </c>
      <c r="J136" s="1" t="s">
        <v>15</v>
      </c>
    </row>
    <row r="137">
      <c r="A137" s="1" t="s">
        <v>415</v>
      </c>
      <c r="B137" s="1" t="s">
        <v>416</v>
      </c>
      <c r="C137" s="1" t="s">
        <v>417</v>
      </c>
      <c r="D137" s="1" t="s">
        <v>13</v>
      </c>
      <c r="E137" s="1" t="s">
        <v>14</v>
      </c>
      <c r="F137" s="1">
        <v>3567800.0</v>
      </c>
      <c r="G137" s="1">
        <v>105078.0</v>
      </c>
      <c r="H137" s="1">
        <v>2344.0</v>
      </c>
      <c r="I137" s="1">
        <v>3.89E7</v>
      </c>
      <c r="J137" s="1" t="s">
        <v>15</v>
      </c>
    </row>
    <row r="138">
      <c r="A138" s="1" t="s">
        <v>418</v>
      </c>
      <c r="B138" s="1" t="s">
        <v>419</v>
      </c>
      <c r="C138" s="1" t="s">
        <v>420</v>
      </c>
      <c r="D138" s="1" t="s">
        <v>13</v>
      </c>
      <c r="E138" s="1" t="s">
        <v>14</v>
      </c>
      <c r="F138" s="1">
        <v>7268502.0</v>
      </c>
      <c r="G138" s="1">
        <v>232827.0</v>
      </c>
      <c r="H138" s="1">
        <v>9538.0</v>
      </c>
      <c r="I138" s="1">
        <v>3.89E7</v>
      </c>
      <c r="J138" s="1" t="s">
        <v>15</v>
      </c>
    </row>
    <row r="139">
      <c r="A139" s="1" t="s">
        <v>421</v>
      </c>
      <c r="B139" s="1" t="s">
        <v>422</v>
      </c>
      <c r="C139" s="1" t="s">
        <v>423</v>
      </c>
      <c r="D139" s="1" t="s">
        <v>13</v>
      </c>
      <c r="E139" s="1" t="s">
        <v>14</v>
      </c>
      <c r="F139" s="1">
        <v>2609477.0</v>
      </c>
      <c r="G139" s="1">
        <v>143546.0</v>
      </c>
      <c r="H139" s="1">
        <v>6043.0</v>
      </c>
      <c r="I139" s="1">
        <v>3.89E7</v>
      </c>
      <c r="J139" s="1" t="s">
        <v>15</v>
      </c>
    </row>
    <row r="140">
      <c r="A140" s="1" t="s">
        <v>424</v>
      </c>
      <c r="B140" s="1" t="s">
        <v>425</v>
      </c>
      <c r="C140" s="1" t="s">
        <v>426</v>
      </c>
      <c r="D140" s="1" t="s">
        <v>13</v>
      </c>
      <c r="E140" s="1" t="s">
        <v>14</v>
      </c>
      <c r="F140" s="1">
        <v>2116294.0</v>
      </c>
      <c r="G140" s="1">
        <v>105771.0</v>
      </c>
      <c r="H140" s="1">
        <v>2140.0</v>
      </c>
      <c r="I140" s="1">
        <v>3.89E7</v>
      </c>
      <c r="J140" s="1" t="s">
        <v>15</v>
      </c>
    </row>
    <row r="141">
      <c r="A141" s="1" t="s">
        <v>427</v>
      </c>
      <c r="B141" s="1" t="s">
        <v>428</v>
      </c>
      <c r="C141" s="1" t="s">
        <v>429</v>
      </c>
      <c r="D141" s="1" t="s">
        <v>13</v>
      </c>
      <c r="E141" s="1" t="s">
        <v>14</v>
      </c>
      <c r="F141" s="1">
        <v>3528617.0</v>
      </c>
      <c r="G141" s="1">
        <v>91413.0</v>
      </c>
      <c r="H141" s="1">
        <v>2568.0</v>
      </c>
      <c r="I141" s="1">
        <v>3.89E7</v>
      </c>
      <c r="J141" s="1" t="s">
        <v>15</v>
      </c>
    </row>
    <row r="142">
      <c r="A142" s="1" t="s">
        <v>430</v>
      </c>
      <c r="B142" s="1" t="s">
        <v>431</v>
      </c>
      <c r="C142" s="1" t="s">
        <v>432</v>
      </c>
      <c r="D142" s="1" t="s">
        <v>13</v>
      </c>
      <c r="E142" s="1" t="s">
        <v>14</v>
      </c>
      <c r="F142" s="1">
        <v>2766770.0</v>
      </c>
      <c r="G142" s="1">
        <v>115588.0</v>
      </c>
      <c r="H142" s="1">
        <v>2311.0</v>
      </c>
      <c r="I142" s="1">
        <v>3.89E7</v>
      </c>
      <c r="J142" s="1" t="s">
        <v>15</v>
      </c>
    </row>
    <row r="143">
      <c r="A143" s="1" t="s">
        <v>433</v>
      </c>
      <c r="B143" s="1" t="s">
        <v>434</v>
      </c>
      <c r="C143" s="1" t="s">
        <v>435</v>
      </c>
      <c r="D143" s="1" t="s">
        <v>13</v>
      </c>
      <c r="E143" s="1" t="s">
        <v>14</v>
      </c>
      <c r="F143" s="1">
        <v>1602308.0</v>
      </c>
      <c r="G143" s="1">
        <v>69749.0</v>
      </c>
      <c r="H143" s="1">
        <v>822.0</v>
      </c>
      <c r="I143" s="1">
        <v>3.89E7</v>
      </c>
      <c r="J143" s="1" t="s">
        <v>15</v>
      </c>
    </row>
    <row r="144">
      <c r="A144" s="1" t="s">
        <v>436</v>
      </c>
      <c r="B144" s="1" t="s">
        <v>437</v>
      </c>
      <c r="C144" s="1" t="s">
        <v>438</v>
      </c>
      <c r="D144" s="1" t="s">
        <v>13</v>
      </c>
      <c r="E144" s="1" t="s">
        <v>14</v>
      </c>
      <c r="F144" s="1">
        <v>5157089.0</v>
      </c>
      <c r="G144" s="1">
        <v>153866.0</v>
      </c>
      <c r="H144" s="1">
        <v>2206.0</v>
      </c>
      <c r="I144" s="1">
        <v>3.89E7</v>
      </c>
      <c r="J144" s="1" t="s">
        <v>15</v>
      </c>
    </row>
    <row r="145">
      <c r="A145" s="1" t="s">
        <v>439</v>
      </c>
      <c r="B145" s="1" t="s">
        <v>440</v>
      </c>
      <c r="C145" s="1" t="s">
        <v>441</v>
      </c>
      <c r="D145" s="1" t="s">
        <v>13</v>
      </c>
      <c r="E145" s="1" t="s">
        <v>14</v>
      </c>
      <c r="F145" s="1">
        <v>1781423.0</v>
      </c>
      <c r="G145" s="1">
        <v>77943.0</v>
      </c>
      <c r="H145" s="1">
        <v>3772.0</v>
      </c>
      <c r="I145" s="1">
        <v>3.89E7</v>
      </c>
      <c r="J145" s="1" t="s">
        <v>15</v>
      </c>
    </row>
    <row r="146">
      <c r="A146" s="1" t="s">
        <v>442</v>
      </c>
      <c r="B146" s="1" t="s">
        <v>443</v>
      </c>
      <c r="C146" s="1" t="s">
        <v>444</v>
      </c>
      <c r="D146" s="1" t="s">
        <v>13</v>
      </c>
      <c r="E146" s="1" t="s">
        <v>14</v>
      </c>
      <c r="F146" s="1">
        <v>3781548.0</v>
      </c>
      <c r="G146" s="1">
        <v>137430.0</v>
      </c>
      <c r="H146" s="1">
        <v>3698.0</v>
      </c>
      <c r="I146" s="1">
        <v>3.89E7</v>
      </c>
      <c r="J146" s="1" t="s">
        <v>15</v>
      </c>
    </row>
    <row r="147">
      <c r="A147" s="1" t="s">
        <v>445</v>
      </c>
      <c r="B147" s="1" t="s">
        <v>446</v>
      </c>
      <c r="C147" s="1" t="s">
        <v>447</v>
      </c>
      <c r="D147" s="1" t="s">
        <v>13</v>
      </c>
      <c r="E147" s="1" t="s">
        <v>14</v>
      </c>
      <c r="F147" s="1">
        <v>2057192.0</v>
      </c>
      <c r="G147" s="1">
        <v>76015.0</v>
      </c>
      <c r="H147" s="1">
        <v>861.0</v>
      </c>
      <c r="I147" s="1">
        <v>3.89E7</v>
      </c>
      <c r="J147" s="1" t="s">
        <v>15</v>
      </c>
    </row>
    <row r="148">
      <c r="A148" s="1" t="s">
        <v>448</v>
      </c>
      <c r="B148" s="1" t="s">
        <v>449</v>
      </c>
      <c r="C148" s="1" t="s">
        <v>450</v>
      </c>
      <c r="D148" s="1" t="s">
        <v>13</v>
      </c>
      <c r="E148" s="1" t="s">
        <v>14</v>
      </c>
      <c r="F148" s="1">
        <v>3107015.0</v>
      </c>
      <c r="G148" s="1">
        <v>87761.0</v>
      </c>
      <c r="H148" s="1">
        <v>4142.0</v>
      </c>
      <c r="I148" s="1">
        <v>3.89E7</v>
      </c>
      <c r="J148" s="1" t="s">
        <v>15</v>
      </c>
    </row>
    <row r="149">
      <c r="A149" s="1" t="s">
        <v>451</v>
      </c>
      <c r="B149" s="1" t="s">
        <v>452</v>
      </c>
      <c r="C149" s="1" t="s">
        <v>453</v>
      </c>
      <c r="D149" s="1" t="s">
        <v>13</v>
      </c>
      <c r="E149" s="1" t="s">
        <v>14</v>
      </c>
      <c r="F149" s="1">
        <v>4614447.0</v>
      </c>
      <c r="G149" s="1">
        <v>184321.0</v>
      </c>
      <c r="H149" s="1">
        <v>4335.0</v>
      </c>
      <c r="I149" s="1">
        <v>3.89E7</v>
      </c>
      <c r="J149" s="1" t="s">
        <v>15</v>
      </c>
    </row>
    <row r="150">
      <c r="A150" s="1" t="s">
        <v>454</v>
      </c>
      <c r="B150" s="1" t="s">
        <v>455</v>
      </c>
      <c r="C150" s="1" t="s">
        <v>456</v>
      </c>
      <c r="D150" s="1" t="s">
        <v>13</v>
      </c>
      <c r="E150" s="1" t="s">
        <v>14</v>
      </c>
      <c r="F150" s="1">
        <v>2904155.0</v>
      </c>
      <c r="G150" s="1">
        <v>134545.0</v>
      </c>
      <c r="H150" s="1">
        <v>3011.0</v>
      </c>
      <c r="I150" s="1">
        <v>3.89E7</v>
      </c>
      <c r="J150" s="1" t="s">
        <v>15</v>
      </c>
    </row>
    <row r="151">
      <c r="A151" s="1" t="s">
        <v>457</v>
      </c>
      <c r="B151" s="1" t="s">
        <v>458</v>
      </c>
      <c r="C151" s="1" t="s">
        <v>459</v>
      </c>
      <c r="D151" s="1" t="s">
        <v>13</v>
      </c>
      <c r="E151" s="1" t="s">
        <v>14</v>
      </c>
      <c r="F151" s="1">
        <v>3386474.0</v>
      </c>
      <c r="G151" s="1">
        <v>128498.0</v>
      </c>
      <c r="H151" s="1">
        <v>2005.0</v>
      </c>
      <c r="I151" s="1">
        <v>3.89E7</v>
      </c>
      <c r="J151" s="1" t="s">
        <v>15</v>
      </c>
    </row>
    <row r="152">
      <c r="A152" s="1" t="s">
        <v>460</v>
      </c>
      <c r="B152" s="1" t="s">
        <v>461</v>
      </c>
      <c r="C152" s="1" t="s">
        <v>462</v>
      </c>
      <c r="D152" s="1" t="s">
        <v>13</v>
      </c>
      <c r="E152" s="1" t="s">
        <v>14</v>
      </c>
      <c r="F152" s="1">
        <v>5043661.0</v>
      </c>
      <c r="G152" s="1">
        <v>188535.0</v>
      </c>
      <c r="H152" s="1">
        <v>4223.0</v>
      </c>
      <c r="I152" s="1">
        <v>3.89E7</v>
      </c>
      <c r="J152" s="1" t="s">
        <v>15</v>
      </c>
    </row>
    <row r="153">
      <c r="A153" s="1" t="s">
        <v>463</v>
      </c>
      <c r="B153" s="1" t="s">
        <v>464</v>
      </c>
      <c r="C153" s="1" t="s">
        <v>465</v>
      </c>
      <c r="D153" s="1" t="s">
        <v>13</v>
      </c>
      <c r="E153" s="1" t="s">
        <v>14</v>
      </c>
      <c r="F153" s="1">
        <v>2013219.0</v>
      </c>
      <c r="G153" s="1">
        <v>91957.0</v>
      </c>
      <c r="H153" s="1">
        <v>3570.0</v>
      </c>
      <c r="I153" s="1">
        <v>3.89E7</v>
      </c>
      <c r="J153" s="1" t="s">
        <v>15</v>
      </c>
    </row>
    <row r="154">
      <c r="A154" s="1" t="s">
        <v>466</v>
      </c>
      <c r="B154" s="1" t="s">
        <v>467</v>
      </c>
      <c r="C154" s="1" t="s">
        <v>468</v>
      </c>
      <c r="D154" s="1" t="s">
        <v>13</v>
      </c>
      <c r="E154" s="1" t="s">
        <v>14</v>
      </c>
      <c r="F154" s="1">
        <v>2875689.0</v>
      </c>
      <c r="G154" s="1">
        <v>111728.0</v>
      </c>
      <c r="H154" s="1">
        <v>6464.0</v>
      </c>
      <c r="I154" s="1">
        <v>3.89E7</v>
      </c>
      <c r="J154" s="1" t="s">
        <v>15</v>
      </c>
    </row>
    <row r="155">
      <c r="A155" s="1" t="s">
        <v>469</v>
      </c>
      <c r="B155" s="1" t="s">
        <v>470</v>
      </c>
      <c r="C155" s="1" t="s">
        <v>471</v>
      </c>
      <c r="D155" s="1" t="s">
        <v>13</v>
      </c>
      <c r="E155" s="1" t="s">
        <v>14</v>
      </c>
      <c r="F155" s="1">
        <v>4074262.0</v>
      </c>
      <c r="G155" s="1">
        <v>148672.0</v>
      </c>
      <c r="H155" s="1">
        <v>5769.0</v>
      </c>
      <c r="I155" s="1">
        <v>3.89E7</v>
      </c>
      <c r="J155" s="1" t="s">
        <v>15</v>
      </c>
    </row>
    <row r="156">
      <c r="A156" s="1" t="s">
        <v>472</v>
      </c>
      <c r="B156" s="1" t="s">
        <v>473</v>
      </c>
      <c r="C156" s="1" t="s">
        <v>474</v>
      </c>
      <c r="D156" s="1" t="s">
        <v>13</v>
      </c>
      <c r="E156" s="1" t="s">
        <v>14</v>
      </c>
      <c r="F156" s="1">
        <v>1289147.0</v>
      </c>
      <c r="G156" s="1">
        <v>74684.0</v>
      </c>
      <c r="H156" s="1">
        <v>3525.0</v>
      </c>
      <c r="I156" s="1">
        <v>3.89E7</v>
      </c>
      <c r="J156" s="1" t="s">
        <v>15</v>
      </c>
    </row>
    <row r="157">
      <c r="A157" s="1" t="s">
        <v>475</v>
      </c>
      <c r="B157" s="1" t="s">
        <v>476</v>
      </c>
      <c r="C157" s="1" t="s">
        <v>477</v>
      </c>
      <c r="D157" s="1" t="s">
        <v>13</v>
      </c>
      <c r="E157" s="1" t="s">
        <v>14</v>
      </c>
      <c r="F157" s="1">
        <v>3082189.0</v>
      </c>
      <c r="G157" s="1">
        <v>133356.0</v>
      </c>
      <c r="H157" s="1">
        <v>4660.0</v>
      </c>
      <c r="I157" s="1">
        <v>3.89E7</v>
      </c>
      <c r="J157" s="1" t="s">
        <v>15</v>
      </c>
    </row>
    <row r="158">
      <c r="A158" s="1" t="s">
        <v>478</v>
      </c>
      <c r="B158" s="1" t="s">
        <v>479</v>
      </c>
      <c r="C158" s="1" t="s">
        <v>480</v>
      </c>
      <c r="D158" s="1" t="s">
        <v>13</v>
      </c>
      <c r="E158" s="1" t="s">
        <v>14</v>
      </c>
      <c r="F158" s="1">
        <v>3773842.0</v>
      </c>
      <c r="G158" s="1">
        <v>92802.0</v>
      </c>
      <c r="H158" s="1">
        <v>2725.0</v>
      </c>
      <c r="I158" s="1">
        <v>3.89E7</v>
      </c>
      <c r="J158" s="1" t="s">
        <v>15</v>
      </c>
    </row>
    <row r="159">
      <c r="A159" s="1" t="s">
        <v>481</v>
      </c>
      <c r="B159" s="1" t="s">
        <v>482</v>
      </c>
      <c r="C159" s="1" t="s">
        <v>483</v>
      </c>
      <c r="D159" s="1" t="s">
        <v>13</v>
      </c>
      <c r="E159" s="1" t="s">
        <v>14</v>
      </c>
      <c r="F159" s="1">
        <v>818839.0</v>
      </c>
      <c r="G159" s="1">
        <v>55137.0</v>
      </c>
      <c r="H159" s="1">
        <v>3360.0</v>
      </c>
      <c r="I159" s="1">
        <v>3.89E7</v>
      </c>
      <c r="J159" s="1" t="s">
        <v>15</v>
      </c>
    </row>
    <row r="160">
      <c r="A160" s="1" t="s">
        <v>484</v>
      </c>
      <c r="B160" s="1" t="s">
        <v>485</v>
      </c>
      <c r="C160" s="1" t="s">
        <v>486</v>
      </c>
      <c r="D160" s="1" t="s">
        <v>13</v>
      </c>
      <c r="E160" s="1" t="s">
        <v>14</v>
      </c>
      <c r="F160" s="1">
        <v>3572510.0</v>
      </c>
      <c r="G160" s="1">
        <v>130884.0</v>
      </c>
      <c r="H160" s="1">
        <v>6581.0</v>
      </c>
      <c r="I160" s="1">
        <v>3.89E7</v>
      </c>
      <c r="J160" s="1" t="s">
        <v>15</v>
      </c>
    </row>
    <row r="161">
      <c r="A161" s="1" t="s">
        <v>487</v>
      </c>
      <c r="B161" s="1" t="s">
        <v>488</v>
      </c>
      <c r="C161" s="1" t="s">
        <v>489</v>
      </c>
      <c r="D161" s="1" t="s">
        <v>13</v>
      </c>
      <c r="E161" s="1" t="s">
        <v>14</v>
      </c>
      <c r="F161" s="1">
        <v>2594425.0</v>
      </c>
      <c r="G161" s="1">
        <v>127546.0</v>
      </c>
      <c r="H161" s="1">
        <v>5118.0</v>
      </c>
      <c r="I161" s="1">
        <v>3.89E7</v>
      </c>
      <c r="J161" s="1" t="s">
        <v>15</v>
      </c>
    </row>
    <row r="162">
      <c r="A162" s="1" t="s">
        <v>490</v>
      </c>
      <c r="B162" s="1" t="s">
        <v>491</v>
      </c>
      <c r="C162" s="1" t="s">
        <v>492</v>
      </c>
      <c r="D162" s="1" t="s">
        <v>13</v>
      </c>
      <c r="E162" s="1" t="s">
        <v>14</v>
      </c>
      <c r="F162" s="1">
        <v>2610744.0</v>
      </c>
      <c r="G162" s="1">
        <v>114989.0</v>
      </c>
      <c r="H162" s="1">
        <v>3902.0</v>
      </c>
      <c r="I162" s="1">
        <v>3.89E7</v>
      </c>
      <c r="J162" s="1" t="s">
        <v>15</v>
      </c>
    </row>
    <row r="163">
      <c r="A163" s="1" t="s">
        <v>493</v>
      </c>
      <c r="B163" s="1" t="s">
        <v>494</v>
      </c>
      <c r="C163" s="1" t="s">
        <v>495</v>
      </c>
      <c r="D163" s="1" t="s">
        <v>13</v>
      </c>
      <c r="E163" s="1" t="s">
        <v>14</v>
      </c>
      <c r="F163" s="1">
        <v>2675981.0</v>
      </c>
      <c r="G163" s="1">
        <v>103771.0</v>
      </c>
      <c r="H163" s="1">
        <v>2857.0</v>
      </c>
      <c r="I163" s="1">
        <v>3.89E7</v>
      </c>
      <c r="J163" s="1" t="s">
        <v>15</v>
      </c>
    </row>
    <row r="164">
      <c r="A164" s="1" t="s">
        <v>496</v>
      </c>
      <c r="B164" s="1" t="s">
        <v>497</v>
      </c>
      <c r="C164" s="1" t="s">
        <v>498</v>
      </c>
      <c r="D164" s="1" t="s">
        <v>13</v>
      </c>
      <c r="E164" s="1" t="s">
        <v>14</v>
      </c>
      <c r="F164" s="1">
        <v>3072614.0</v>
      </c>
      <c r="G164" s="1">
        <v>113983.0</v>
      </c>
      <c r="H164" s="1">
        <v>3285.0</v>
      </c>
      <c r="I164" s="1">
        <v>3.89E7</v>
      </c>
      <c r="J164" s="1" t="s">
        <v>15</v>
      </c>
    </row>
    <row r="165">
      <c r="A165" s="1" t="s">
        <v>499</v>
      </c>
      <c r="B165" s="1" t="s">
        <v>500</v>
      </c>
      <c r="C165" s="1" t="s">
        <v>501</v>
      </c>
      <c r="D165" s="1" t="s">
        <v>13</v>
      </c>
      <c r="E165" s="1" t="s">
        <v>14</v>
      </c>
      <c r="F165" s="1">
        <v>3285974.0</v>
      </c>
      <c r="G165" s="1">
        <v>118163.0</v>
      </c>
      <c r="H165" s="1">
        <v>3303.0</v>
      </c>
      <c r="I165" s="1">
        <v>3.89E7</v>
      </c>
      <c r="J165" s="1" t="s">
        <v>15</v>
      </c>
    </row>
    <row r="166">
      <c r="A166" s="1" t="s">
        <v>502</v>
      </c>
      <c r="B166" s="1" t="s">
        <v>503</v>
      </c>
      <c r="C166" s="1" t="s">
        <v>504</v>
      </c>
      <c r="D166" s="1" t="s">
        <v>13</v>
      </c>
      <c r="E166" s="1" t="s">
        <v>14</v>
      </c>
      <c r="F166" s="1">
        <v>3536370.0</v>
      </c>
      <c r="G166" s="1">
        <v>127852.0</v>
      </c>
      <c r="H166" s="1">
        <v>3088.0</v>
      </c>
      <c r="I166" s="1">
        <v>3.89E7</v>
      </c>
      <c r="J166" s="1" t="s">
        <v>15</v>
      </c>
    </row>
    <row r="167">
      <c r="A167" s="1" t="s">
        <v>505</v>
      </c>
      <c r="B167" s="1" t="s">
        <v>506</v>
      </c>
      <c r="C167" s="1" t="s">
        <v>507</v>
      </c>
      <c r="D167" s="1" t="s">
        <v>13</v>
      </c>
      <c r="E167" s="1" t="s">
        <v>14</v>
      </c>
      <c r="F167" s="1">
        <v>4920812.0</v>
      </c>
      <c r="G167" s="1">
        <v>169677.0</v>
      </c>
      <c r="H167" s="1">
        <v>6249.0</v>
      </c>
      <c r="I167" s="1">
        <v>3.89E7</v>
      </c>
      <c r="J167" s="1" t="s">
        <v>15</v>
      </c>
    </row>
    <row r="168">
      <c r="A168" s="1" t="s">
        <v>508</v>
      </c>
      <c r="B168" s="1" t="s">
        <v>509</v>
      </c>
      <c r="C168" s="1" t="s">
        <v>510</v>
      </c>
      <c r="D168" s="1" t="s">
        <v>13</v>
      </c>
      <c r="E168" s="1" t="s">
        <v>14</v>
      </c>
      <c r="F168" s="1">
        <v>1.2913317E7</v>
      </c>
      <c r="G168" s="1">
        <v>361189.0</v>
      </c>
      <c r="H168" s="1">
        <v>13750.0</v>
      </c>
      <c r="I168" s="1">
        <v>3.89E7</v>
      </c>
      <c r="J168" s="1" t="s">
        <v>15</v>
      </c>
    </row>
    <row r="169">
      <c r="A169" s="1" t="s">
        <v>511</v>
      </c>
      <c r="B169" s="1" t="s">
        <v>512</v>
      </c>
      <c r="C169" s="1" t="s">
        <v>513</v>
      </c>
      <c r="D169" s="1" t="s">
        <v>13</v>
      </c>
      <c r="E169" s="1" t="s">
        <v>14</v>
      </c>
      <c r="F169" s="1">
        <v>2112980.0</v>
      </c>
      <c r="G169" s="1">
        <v>119827.0</v>
      </c>
      <c r="H169" s="1">
        <v>2947.0</v>
      </c>
      <c r="I169" s="1">
        <v>3.89E7</v>
      </c>
      <c r="J169" s="1" t="s">
        <v>15</v>
      </c>
    </row>
    <row r="170">
      <c r="A170" s="1" t="s">
        <v>514</v>
      </c>
      <c r="B170" s="1" t="s">
        <v>515</v>
      </c>
      <c r="C170" s="1" t="s">
        <v>516</v>
      </c>
      <c r="D170" s="1" t="s">
        <v>13</v>
      </c>
      <c r="E170" s="1" t="s">
        <v>14</v>
      </c>
      <c r="F170" s="1">
        <v>4317766.0</v>
      </c>
      <c r="G170" s="1">
        <v>186217.0</v>
      </c>
      <c r="H170" s="1">
        <v>4379.0</v>
      </c>
      <c r="I170" s="1">
        <v>3.89E7</v>
      </c>
      <c r="J170" s="1" t="s">
        <v>15</v>
      </c>
    </row>
    <row r="171">
      <c r="A171" s="1" t="s">
        <v>517</v>
      </c>
      <c r="B171" s="1" t="s">
        <v>518</v>
      </c>
      <c r="C171" s="1" t="s">
        <v>519</v>
      </c>
      <c r="D171" s="1" t="s">
        <v>13</v>
      </c>
      <c r="E171" s="1" t="s">
        <v>14</v>
      </c>
      <c r="F171" s="1">
        <v>1893786.0</v>
      </c>
      <c r="G171" s="1">
        <v>106074.0</v>
      </c>
      <c r="H171" s="1">
        <v>3012.0</v>
      </c>
      <c r="I171" s="1">
        <v>3.89E7</v>
      </c>
      <c r="J171" s="1" t="s">
        <v>15</v>
      </c>
    </row>
    <row r="172">
      <c r="A172" s="1" t="s">
        <v>520</v>
      </c>
      <c r="B172" s="1" t="s">
        <v>521</v>
      </c>
      <c r="C172" s="1" t="s">
        <v>522</v>
      </c>
      <c r="D172" s="1" t="s">
        <v>13</v>
      </c>
      <c r="E172" s="1" t="s">
        <v>14</v>
      </c>
      <c r="F172" s="1">
        <v>2984201.0</v>
      </c>
      <c r="G172" s="1">
        <v>119614.0</v>
      </c>
      <c r="H172" s="1">
        <v>3017.0</v>
      </c>
      <c r="I172" s="1">
        <v>3.89E7</v>
      </c>
      <c r="J172" s="1" t="s">
        <v>15</v>
      </c>
    </row>
    <row r="173">
      <c r="A173" s="1" t="s">
        <v>523</v>
      </c>
      <c r="B173" s="1" t="s">
        <v>524</v>
      </c>
      <c r="C173" s="1" t="s">
        <v>525</v>
      </c>
      <c r="D173" s="1" t="s">
        <v>13</v>
      </c>
      <c r="E173" s="1" t="s">
        <v>14</v>
      </c>
      <c r="F173" s="1">
        <v>3727314.0</v>
      </c>
      <c r="G173" s="1">
        <v>175110.0</v>
      </c>
      <c r="H173" s="1">
        <v>4572.0</v>
      </c>
      <c r="I173" s="1">
        <v>3.89E7</v>
      </c>
      <c r="J173" s="1" t="s">
        <v>15</v>
      </c>
    </row>
    <row r="174">
      <c r="A174" s="1" t="s">
        <v>526</v>
      </c>
      <c r="B174" s="1" t="s">
        <v>527</v>
      </c>
      <c r="C174" s="1" t="s">
        <v>528</v>
      </c>
      <c r="D174" s="1" t="s">
        <v>13</v>
      </c>
      <c r="E174" s="1" t="s">
        <v>14</v>
      </c>
      <c r="F174" s="1">
        <v>2479798.0</v>
      </c>
      <c r="G174" s="1">
        <v>89234.0</v>
      </c>
      <c r="H174" s="1">
        <v>1843.0</v>
      </c>
      <c r="I174" s="1">
        <v>3.89E7</v>
      </c>
      <c r="J174" s="1" t="s">
        <v>15</v>
      </c>
    </row>
    <row r="175">
      <c r="A175" s="1" t="s">
        <v>529</v>
      </c>
      <c r="B175" s="1" t="s">
        <v>530</v>
      </c>
      <c r="C175" s="1" t="s">
        <v>531</v>
      </c>
      <c r="D175" s="1" t="s">
        <v>13</v>
      </c>
      <c r="E175" s="1" t="s">
        <v>14</v>
      </c>
      <c r="F175" s="1">
        <v>1817706.0</v>
      </c>
      <c r="G175" s="1">
        <v>65986.0</v>
      </c>
      <c r="H175" s="1">
        <v>1958.0</v>
      </c>
      <c r="I175" s="1">
        <v>3.89E7</v>
      </c>
      <c r="J175" s="1" t="s">
        <v>15</v>
      </c>
    </row>
    <row r="176">
      <c r="A176" s="1" t="s">
        <v>532</v>
      </c>
      <c r="B176" s="1" t="s">
        <v>533</v>
      </c>
      <c r="C176" s="1" t="s">
        <v>534</v>
      </c>
      <c r="D176" s="1" t="s">
        <v>13</v>
      </c>
      <c r="E176" s="1" t="s">
        <v>14</v>
      </c>
      <c r="F176" s="1">
        <v>2298836.0</v>
      </c>
      <c r="G176" s="1">
        <v>99236.0</v>
      </c>
      <c r="H176" s="1">
        <v>2601.0</v>
      </c>
      <c r="I176" s="1">
        <v>3.89E7</v>
      </c>
      <c r="J176" s="1" t="s">
        <v>15</v>
      </c>
    </row>
    <row r="177">
      <c r="A177" s="1" t="s">
        <v>535</v>
      </c>
      <c r="B177" s="1" t="s">
        <v>536</v>
      </c>
      <c r="C177" s="1" t="s">
        <v>537</v>
      </c>
      <c r="D177" s="1" t="s">
        <v>13</v>
      </c>
      <c r="E177" s="1" t="s">
        <v>14</v>
      </c>
      <c r="F177" s="1">
        <v>1093297.0</v>
      </c>
      <c r="G177" s="1">
        <v>55284.0</v>
      </c>
      <c r="H177" s="1">
        <v>2126.0</v>
      </c>
      <c r="I177" s="1">
        <v>3.89E7</v>
      </c>
      <c r="J177" s="1" t="s">
        <v>15</v>
      </c>
    </row>
    <row r="178">
      <c r="A178" s="1" t="s">
        <v>538</v>
      </c>
      <c r="B178" s="1" t="s">
        <v>539</v>
      </c>
      <c r="C178" s="1" t="s">
        <v>540</v>
      </c>
      <c r="D178" s="1" t="s">
        <v>13</v>
      </c>
      <c r="E178" s="1" t="s">
        <v>14</v>
      </c>
      <c r="F178" s="1">
        <v>4677748.0</v>
      </c>
      <c r="G178" s="1">
        <v>156345.0</v>
      </c>
      <c r="H178" s="1">
        <v>3249.0</v>
      </c>
      <c r="I178" s="1">
        <v>3.89E7</v>
      </c>
      <c r="J178" s="1" t="s">
        <v>15</v>
      </c>
    </row>
    <row r="179">
      <c r="A179" s="1" t="s">
        <v>541</v>
      </c>
      <c r="B179" s="1" t="s">
        <v>542</v>
      </c>
      <c r="C179" s="1" t="s">
        <v>543</v>
      </c>
      <c r="D179" s="1" t="s">
        <v>13</v>
      </c>
      <c r="E179" s="1" t="s">
        <v>14</v>
      </c>
      <c r="F179" s="1">
        <v>2006184.0</v>
      </c>
      <c r="G179" s="1">
        <v>77692.0</v>
      </c>
      <c r="H179" s="1">
        <v>2416.0</v>
      </c>
      <c r="I179" s="1">
        <v>3.89E7</v>
      </c>
      <c r="J179" s="1" t="s">
        <v>15</v>
      </c>
    </row>
    <row r="180">
      <c r="A180" s="1" t="s">
        <v>544</v>
      </c>
      <c r="B180" s="1" t="s">
        <v>545</v>
      </c>
      <c r="C180" s="1" t="s">
        <v>546</v>
      </c>
      <c r="D180" s="1" t="s">
        <v>13</v>
      </c>
      <c r="E180" s="1" t="s">
        <v>14</v>
      </c>
      <c r="F180" s="1">
        <v>3276786.0</v>
      </c>
      <c r="G180" s="1">
        <v>139053.0</v>
      </c>
      <c r="H180" s="1">
        <v>5493.0</v>
      </c>
      <c r="I180" s="1">
        <v>3.89E7</v>
      </c>
      <c r="J180" s="1" t="s">
        <v>15</v>
      </c>
    </row>
    <row r="181">
      <c r="A181" s="1" t="s">
        <v>547</v>
      </c>
      <c r="B181" s="1" t="s">
        <v>548</v>
      </c>
      <c r="C181" s="1" t="s">
        <v>549</v>
      </c>
      <c r="D181" s="1" t="s">
        <v>13</v>
      </c>
      <c r="E181" s="1" t="s">
        <v>14</v>
      </c>
      <c r="F181" s="1">
        <v>1818928.0</v>
      </c>
      <c r="G181" s="1">
        <v>81273.0</v>
      </c>
      <c r="H181" s="1">
        <v>2774.0</v>
      </c>
      <c r="I181" s="1">
        <v>3.89E7</v>
      </c>
      <c r="J181" s="1" t="s">
        <v>15</v>
      </c>
    </row>
    <row r="182">
      <c r="A182" s="1" t="s">
        <v>550</v>
      </c>
      <c r="B182" s="1" t="s">
        <v>551</v>
      </c>
      <c r="C182" s="1" t="s">
        <v>552</v>
      </c>
      <c r="D182" s="1" t="s">
        <v>13</v>
      </c>
      <c r="E182" s="1" t="s">
        <v>14</v>
      </c>
      <c r="F182" s="1">
        <v>4076479.0</v>
      </c>
      <c r="G182" s="1">
        <v>141934.0</v>
      </c>
      <c r="H182" s="1">
        <v>3253.0</v>
      </c>
      <c r="I182" s="1">
        <v>3.89E7</v>
      </c>
      <c r="J182" s="1" t="s">
        <v>15</v>
      </c>
    </row>
    <row r="183">
      <c r="A183" s="1" t="s">
        <v>553</v>
      </c>
      <c r="B183" s="1" t="s">
        <v>554</v>
      </c>
      <c r="C183" s="1" t="s">
        <v>555</v>
      </c>
      <c r="D183" s="1" t="s">
        <v>13</v>
      </c>
      <c r="E183" s="1" t="s">
        <v>14</v>
      </c>
      <c r="F183" s="1">
        <v>2787239.0</v>
      </c>
      <c r="G183" s="1">
        <v>93707.0</v>
      </c>
      <c r="H183" s="1">
        <v>3553.0</v>
      </c>
      <c r="I183" s="1">
        <v>3.89E7</v>
      </c>
      <c r="J183" s="1" t="s">
        <v>15</v>
      </c>
    </row>
    <row r="184">
      <c r="A184" s="1" t="s">
        <v>556</v>
      </c>
      <c r="B184" s="1" t="s">
        <v>557</v>
      </c>
      <c r="C184" s="1" t="s">
        <v>558</v>
      </c>
      <c r="D184" s="1" t="s">
        <v>13</v>
      </c>
      <c r="E184" s="1" t="s">
        <v>14</v>
      </c>
      <c r="F184" s="1">
        <v>1753185.0</v>
      </c>
      <c r="G184" s="1">
        <v>70480.0</v>
      </c>
      <c r="H184" s="1">
        <v>1230.0</v>
      </c>
      <c r="I184" s="1">
        <v>3.89E7</v>
      </c>
      <c r="J184" s="1" t="s">
        <v>15</v>
      </c>
    </row>
    <row r="185">
      <c r="A185" s="1" t="s">
        <v>559</v>
      </c>
      <c r="B185" s="1" t="s">
        <v>560</v>
      </c>
      <c r="C185" s="1" t="s">
        <v>561</v>
      </c>
      <c r="D185" s="1" t="s">
        <v>13</v>
      </c>
      <c r="E185" s="1" t="s">
        <v>14</v>
      </c>
      <c r="F185" s="1">
        <v>5878058.0</v>
      </c>
      <c r="G185" s="1">
        <v>190832.0</v>
      </c>
      <c r="H185" s="1">
        <v>4387.0</v>
      </c>
      <c r="I185" s="1">
        <v>3.89E7</v>
      </c>
      <c r="J185" s="1" t="s">
        <v>15</v>
      </c>
    </row>
    <row r="186">
      <c r="A186" s="1" t="s">
        <v>562</v>
      </c>
      <c r="B186" s="1" t="s">
        <v>563</v>
      </c>
      <c r="C186" s="1" t="s">
        <v>564</v>
      </c>
      <c r="D186" s="1" t="s">
        <v>13</v>
      </c>
      <c r="E186" s="1" t="s">
        <v>14</v>
      </c>
      <c r="F186" s="1">
        <v>2195669.0</v>
      </c>
      <c r="G186" s="1">
        <v>95050.0</v>
      </c>
      <c r="H186" s="1">
        <v>2063.0</v>
      </c>
      <c r="I186" s="1">
        <v>3.89E7</v>
      </c>
      <c r="J186" s="1" t="s">
        <v>15</v>
      </c>
    </row>
    <row r="187">
      <c r="A187" s="1" t="s">
        <v>565</v>
      </c>
      <c r="B187" s="1" t="s">
        <v>566</v>
      </c>
      <c r="C187" s="1" t="s">
        <v>567</v>
      </c>
      <c r="D187" s="1" t="s">
        <v>13</v>
      </c>
      <c r="E187" s="1" t="s">
        <v>14</v>
      </c>
      <c r="F187" s="1">
        <v>2490643.0</v>
      </c>
      <c r="G187" s="1">
        <v>239904.0</v>
      </c>
      <c r="H187" s="1">
        <v>12692.0</v>
      </c>
      <c r="I187" s="1">
        <v>3.89E7</v>
      </c>
      <c r="J187" s="1" t="s">
        <v>15</v>
      </c>
    </row>
    <row r="188">
      <c r="A188" s="1" t="s">
        <v>568</v>
      </c>
      <c r="B188" s="1" t="s">
        <v>569</v>
      </c>
      <c r="C188" s="1" t="s">
        <v>570</v>
      </c>
      <c r="D188" s="1" t="s">
        <v>13</v>
      </c>
      <c r="E188" s="1" t="s">
        <v>14</v>
      </c>
      <c r="F188" s="1">
        <v>9592615.0</v>
      </c>
      <c r="G188" s="1">
        <v>243372.0</v>
      </c>
      <c r="H188" s="1">
        <v>8373.0</v>
      </c>
      <c r="I188" s="1">
        <v>3.89E7</v>
      </c>
      <c r="J188" s="1" t="s">
        <v>15</v>
      </c>
    </row>
    <row r="189">
      <c r="A189" s="1" t="s">
        <v>571</v>
      </c>
      <c r="B189" s="1" t="s">
        <v>572</v>
      </c>
      <c r="C189" s="1" t="s">
        <v>573</v>
      </c>
      <c r="D189" s="1" t="s">
        <v>13</v>
      </c>
      <c r="E189" s="1" t="s">
        <v>14</v>
      </c>
      <c r="F189" s="1">
        <v>2003564.0</v>
      </c>
      <c r="G189" s="1">
        <v>52073.0</v>
      </c>
      <c r="H189" s="1">
        <v>2015.0</v>
      </c>
      <c r="I189" s="1">
        <v>3.89E7</v>
      </c>
      <c r="J189" s="1" t="s">
        <v>15</v>
      </c>
    </row>
    <row r="190">
      <c r="A190" s="1" t="s">
        <v>574</v>
      </c>
      <c r="B190" s="1" t="s">
        <v>575</v>
      </c>
      <c r="C190" s="1" t="s">
        <v>576</v>
      </c>
      <c r="D190" s="1" t="s">
        <v>13</v>
      </c>
      <c r="E190" s="1" t="s">
        <v>14</v>
      </c>
      <c r="F190" s="1">
        <v>2721996.0</v>
      </c>
      <c r="G190" s="1">
        <v>139522.0</v>
      </c>
      <c r="H190" s="1">
        <v>3848.0</v>
      </c>
      <c r="I190" s="1">
        <v>3.89E7</v>
      </c>
      <c r="J190" s="1" t="s">
        <v>15</v>
      </c>
    </row>
    <row r="191">
      <c r="A191" s="1" t="s">
        <v>577</v>
      </c>
      <c r="B191" s="1" t="s">
        <v>578</v>
      </c>
      <c r="C191" s="1" t="s">
        <v>579</v>
      </c>
      <c r="D191" s="1" t="s">
        <v>13</v>
      </c>
      <c r="E191" s="1" t="s">
        <v>14</v>
      </c>
      <c r="F191" s="1">
        <v>5921740.0</v>
      </c>
      <c r="G191" s="1">
        <v>205351.0</v>
      </c>
      <c r="H191" s="1">
        <v>6284.0</v>
      </c>
      <c r="I191" s="1">
        <v>3.89E7</v>
      </c>
      <c r="J191" s="1" t="s">
        <v>15</v>
      </c>
    </row>
    <row r="192">
      <c r="A192" s="1" t="s">
        <v>580</v>
      </c>
      <c r="B192" s="1" t="s">
        <v>581</v>
      </c>
      <c r="C192" s="1" t="s">
        <v>582</v>
      </c>
      <c r="D192" s="1" t="s">
        <v>13</v>
      </c>
      <c r="E192" s="1" t="s">
        <v>14</v>
      </c>
      <c r="F192" s="1">
        <v>3696704.0</v>
      </c>
      <c r="G192" s="1">
        <v>169180.0</v>
      </c>
      <c r="H192" s="1">
        <v>6088.0</v>
      </c>
      <c r="I192" s="1">
        <v>3.89E7</v>
      </c>
      <c r="J192" s="1" t="s">
        <v>15</v>
      </c>
    </row>
    <row r="193">
      <c r="A193" s="1" t="s">
        <v>583</v>
      </c>
      <c r="B193" s="1" t="s">
        <v>584</v>
      </c>
      <c r="C193" s="1" t="s">
        <v>585</v>
      </c>
      <c r="D193" s="1" t="s">
        <v>13</v>
      </c>
      <c r="E193" s="1" t="s">
        <v>14</v>
      </c>
      <c r="F193" s="1">
        <v>3684377.0</v>
      </c>
      <c r="G193" s="1">
        <v>180716.0</v>
      </c>
      <c r="H193" s="1">
        <v>5019.0</v>
      </c>
      <c r="I193" s="1">
        <v>3.89E7</v>
      </c>
      <c r="J193" s="1" t="s">
        <v>15</v>
      </c>
    </row>
    <row r="194">
      <c r="A194" s="1" t="s">
        <v>586</v>
      </c>
      <c r="B194" s="1" t="s">
        <v>587</v>
      </c>
      <c r="C194" s="1" t="s">
        <v>588</v>
      </c>
      <c r="D194" s="1" t="s">
        <v>13</v>
      </c>
      <c r="E194" s="1" t="s">
        <v>14</v>
      </c>
      <c r="F194" s="1">
        <v>2787487.0</v>
      </c>
      <c r="G194" s="1">
        <v>100015.0</v>
      </c>
      <c r="H194" s="1">
        <v>2505.0</v>
      </c>
      <c r="I194" s="1">
        <v>3.89E7</v>
      </c>
      <c r="J194" s="1" t="s">
        <v>15</v>
      </c>
    </row>
    <row r="195">
      <c r="A195" s="1" t="s">
        <v>589</v>
      </c>
      <c r="B195" s="1" t="s">
        <v>590</v>
      </c>
      <c r="C195" s="1" t="s">
        <v>591</v>
      </c>
      <c r="D195" s="1" t="s">
        <v>13</v>
      </c>
      <c r="E195" s="1" t="s">
        <v>14</v>
      </c>
      <c r="F195" s="1">
        <v>8433325.0</v>
      </c>
      <c r="G195" s="1">
        <v>223762.0</v>
      </c>
      <c r="H195" s="1">
        <v>8836.0</v>
      </c>
      <c r="I195" s="1">
        <v>3.89E7</v>
      </c>
      <c r="J195" s="1" t="s">
        <v>15</v>
      </c>
    </row>
    <row r="196">
      <c r="A196" s="1" t="s">
        <v>592</v>
      </c>
      <c r="B196" s="1" t="s">
        <v>593</v>
      </c>
      <c r="C196" s="1" t="s">
        <v>594</v>
      </c>
      <c r="D196" s="1" t="s">
        <v>13</v>
      </c>
      <c r="E196" s="1" t="s">
        <v>14</v>
      </c>
      <c r="F196" s="1">
        <v>1691812.0</v>
      </c>
      <c r="G196" s="1">
        <v>74942.0</v>
      </c>
      <c r="H196" s="1">
        <v>18072.0</v>
      </c>
      <c r="I196" s="1">
        <v>3.89E7</v>
      </c>
      <c r="J196" s="1" t="s">
        <v>15</v>
      </c>
    </row>
    <row r="197">
      <c r="A197" s="1" t="s">
        <v>595</v>
      </c>
      <c r="B197" s="1" t="s">
        <v>596</v>
      </c>
      <c r="C197" s="1" t="s">
        <v>597</v>
      </c>
      <c r="D197" s="1" t="s">
        <v>13</v>
      </c>
      <c r="E197" s="1" t="s">
        <v>14</v>
      </c>
      <c r="F197" s="1">
        <v>4289979.0</v>
      </c>
      <c r="G197" s="1">
        <v>126873.0</v>
      </c>
      <c r="H197" s="1">
        <v>1791.0</v>
      </c>
      <c r="I197" s="1">
        <v>3.89E7</v>
      </c>
      <c r="J197" s="1" t="s">
        <v>15</v>
      </c>
    </row>
    <row r="198">
      <c r="A198" s="1" t="s">
        <v>598</v>
      </c>
      <c r="B198" s="1" t="s">
        <v>599</v>
      </c>
      <c r="C198" s="1" t="s">
        <v>600</v>
      </c>
      <c r="D198" s="1" t="s">
        <v>13</v>
      </c>
      <c r="E198" s="1" t="s">
        <v>14</v>
      </c>
      <c r="F198" s="1">
        <v>1137851.0</v>
      </c>
      <c r="G198" s="1">
        <v>75360.0</v>
      </c>
      <c r="H198" s="1">
        <v>1500.0</v>
      </c>
      <c r="I198" s="1">
        <v>3.89E7</v>
      </c>
      <c r="J198" s="1" t="s">
        <v>15</v>
      </c>
    </row>
    <row r="199">
      <c r="A199" s="1" t="s">
        <v>601</v>
      </c>
      <c r="B199" s="1" t="s">
        <v>602</v>
      </c>
      <c r="C199" s="1" t="s">
        <v>603</v>
      </c>
      <c r="D199" s="1" t="s">
        <v>13</v>
      </c>
      <c r="E199" s="1" t="s">
        <v>14</v>
      </c>
      <c r="F199" s="1">
        <v>2513973.0</v>
      </c>
      <c r="G199" s="1">
        <v>128866.0</v>
      </c>
      <c r="H199" s="1">
        <v>7470.0</v>
      </c>
      <c r="I199" s="1">
        <v>3.89E7</v>
      </c>
      <c r="J199" s="1" t="s">
        <v>15</v>
      </c>
    </row>
    <row r="200">
      <c r="A200" s="1" t="s">
        <v>604</v>
      </c>
      <c r="B200" s="1" t="s">
        <v>605</v>
      </c>
      <c r="C200" s="1" t="s">
        <v>606</v>
      </c>
      <c r="D200" s="1" t="s">
        <v>13</v>
      </c>
      <c r="E200" s="1" t="s">
        <v>14</v>
      </c>
      <c r="F200" s="1">
        <v>3048273.0</v>
      </c>
      <c r="G200" s="1">
        <v>117769.0</v>
      </c>
      <c r="H200" s="1">
        <v>4911.0</v>
      </c>
      <c r="I200" s="1">
        <v>3.89E7</v>
      </c>
      <c r="J200" s="1" t="s">
        <v>15</v>
      </c>
    </row>
    <row r="201">
      <c r="A201" s="1" t="s">
        <v>607</v>
      </c>
      <c r="B201" s="1" t="s">
        <v>608</v>
      </c>
      <c r="C201" s="1" t="s">
        <v>609</v>
      </c>
      <c r="D201" s="1" t="s">
        <v>13</v>
      </c>
      <c r="E201" s="1" t="s">
        <v>14</v>
      </c>
      <c r="F201" s="1">
        <v>1849859.0</v>
      </c>
      <c r="G201" s="1">
        <v>86501.0</v>
      </c>
      <c r="H201" s="1">
        <v>3437.0</v>
      </c>
      <c r="I201" s="1">
        <v>3.89E7</v>
      </c>
      <c r="J201" s="1" t="s">
        <v>15</v>
      </c>
    </row>
    <row r="202">
      <c r="A202" s="1" t="s">
        <v>610</v>
      </c>
      <c r="B202" s="1" t="s">
        <v>611</v>
      </c>
      <c r="C202" s="1" t="s">
        <v>612</v>
      </c>
      <c r="D202" s="1" t="s">
        <v>613</v>
      </c>
      <c r="E202" s="1" t="s">
        <v>614</v>
      </c>
      <c r="F202" s="1">
        <v>1166290.0</v>
      </c>
      <c r="G202" s="1">
        <v>52690.0</v>
      </c>
      <c r="H202" s="1">
        <v>3393.0</v>
      </c>
      <c r="I202" s="1">
        <v>1.1E8</v>
      </c>
      <c r="J202" s="1" t="s">
        <v>15</v>
      </c>
    </row>
    <row r="203">
      <c r="A203" s="1" t="s">
        <v>615</v>
      </c>
      <c r="B203" s="1" t="s">
        <v>616</v>
      </c>
      <c r="C203" s="1" t="s">
        <v>617</v>
      </c>
      <c r="D203" s="1" t="s">
        <v>613</v>
      </c>
      <c r="E203" s="1" t="s">
        <v>614</v>
      </c>
      <c r="F203" s="1">
        <v>2507543.0</v>
      </c>
      <c r="G203" s="1">
        <v>113313.0</v>
      </c>
      <c r="H203" s="1">
        <v>5283.0</v>
      </c>
      <c r="I203" s="1">
        <v>1.1E8</v>
      </c>
      <c r="J203" s="1" t="s">
        <v>15</v>
      </c>
    </row>
    <row r="204">
      <c r="A204" s="1" t="s">
        <v>618</v>
      </c>
      <c r="B204" s="1" t="s">
        <v>619</v>
      </c>
      <c r="C204" s="1" t="s">
        <v>620</v>
      </c>
      <c r="D204" s="1" t="s">
        <v>613</v>
      </c>
      <c r="E204" s="1" t="s">
        <v>614</v>
      </c>
      <c r="F204" s="1">
        <v>1850123.0</v>
      </c>
      <c r="G204" s="1">
        <v>115932.0</v>
      </c>
      <c r="H204" s="1">
        <v>6090.0</v>
      </c>
      <c r="I204" s="1">
        <v>1.1E8</v>
      </c>
      <c r="J204" s="1" t="s">
        <v>15</v>
      </c>
    </row>
    <row r="205">
      <c r="A205" s="1" t="s">
        <v>621</v>
      </c>
      <c r="B205" s="1" t="s">
        <v>622</v>
      </c>
      <c r="C205" s="1" t="s">
        <v>623</v>
      </c>
      <c r="D205" s="1" t="s">
        <v>613</v>
      </c>
      <c r="E205" s="1" t="s">
        <v>614</v>
      </c>
      <c r="F205" s="1">
        <v>3563674.0</v>
      </c>
      <c r="G205" s="1">
        <v>227468.0</v>
      </c>
      <c r="H205" s="1">
        <v>11342.0</v>
      </c>
      <c r="I205" s="1">
        <v>1.1E8</v>
      </c>
      <c r="J205" s="1" t="s">
        <v>15</v>
      </c>
    </row>
    <row r="206">
      <c r="A206" s="1" t="s">
        <v>624</v>
      </c>
      <c r="B206" s="1" t="s">
        <v>625</v>
      </c>
      <c r="C206" s="1" t="s">
        <v>626</v>
      </c>
      <c r="D206" s="1" t="s">
        <v>613</v>
      </c>
      <c r="E206" s="1" t="s">
        <v>614</v>
      </c>
      <c r="F206" s="1">
        <v>1981753.0</v>
      </c>
      <c r="G206" s="1">
        <v>127951.0</v>
      </c>
      <c r="H206" s="1">
        <v>7696.0</v>
      </c>
      <c r="I206" s="1">
        <v>1.1E8</v>
      </c>
      <c r="J206" s="1" t="s">
        <v>15</v>
      </c>
    </row>
    <row r="207">
      <c r="A207" s="1" t="s">
        <v>627</v>
      </c>
      <c r="B207" s="1" t="s">
        <v>628</v>
      </c>
      <c r="C207" s="1" t="s">
        <v>629</v>
      </c>
      <c r="D207" s="1" t="s">
        <v>613</v>
      </c>
      <c r="E207" s="1" t="s">
        <v>614</v>
      </c>
      <c r="F207" s="1">
        <v>1846794.0</v>
      </c>
      <c r="G207" s="1">
        <v>76841.0</v>
      </c>
      <c r="H207" s="1">
        <v>3896.0</v>
      </c>
      <c r="I207" s="1">
        <v>1.1E8</v>
      </c>
      <c r="J207" s="1" t="s">
        <v>15</v>
      </c>
    </row>
    <row r="208">
      <c r="A208" s="1" t="s">
        <v>630</v>
      </c>
      <c r="B208" s="1" t="s">
        <v>631</v>
      </c>
      <c r="C208" s="1" t="s">
        <v>632</v>
      </c>
      <c r="D208" s="1" t="s">
        <v>613</v>
      </c>
      <c r="E208" s="1" t="s">
        <v>614</v>
      </c>
      <c r="F208" s="1">
        <v>1991523.0</v>
      </c>
      <c r="G208" s="1">
        <v>120641.0</v>
      </c>
      <c r="H208" s="1">
        <v>5273.0</v>
      </c>
      <c r="I208" s="1">
        <v>1.1E8</v>
      </c>
      <c r="J208" s="1" t="s">
        <v>15</v>
      </c>
    </row>
    <row r="209">
      <c r="A209" s="1" t="s">
        <v>633</v>
      </c>
      <c r="B209" s="1" t="s">
        <v>634</v>
      </c>
      <c r="C209" s="1" t="s">
        <v>635</v>
      </c>
      <c r="D209" s="1" t="s">
        <v>613</v>
      </c>
      <c r="E209" s="1" t="s">
        <v>614</v>
      </c>
      <c r="F209" s="1">
        <v>3034286.0</v>
      </c>
      <c r="G209" s="1">
        <v>232696.0</v>
      </c>
      <c r="H209" s="1">
        <v>11171.0</v>
      </c>
      <c r="I209" s="1">
        <v>1.1E8</v>
      </c>
      <c r="J209" s="1" t="s">
        <v>15</v>
      </c>
    </row>
    <row r="210">
      <c r="A210" s="1" t="s">
        <v>636</v>
      </c>
      <c r="B210" s="1" t="s">
        <v>637</v>
      </c>
      <c r="C210" s="1" t="s">
        <v>638</v>
      </c>
      <c r="D210" s="1" t="s">
        <v>613</v>
      </c>
      <c r="E210" s="1" t="s">
        <v>614</v>
      </c>
      <c r="F210" s="1">
        <v>2575601.0</v>
      </c>
      <c r="G210" s="1">
        <v>141432.0</v>
      </c>
      <c r="H210" s="1">
        <v>6247.0</v>
      </c>
      <c r="I210" s="1">
        <v>1.1E8</v>
      </c>
      <c r="J210" s="1" t="s">
        <v>15</v>
      </c>
    </row>
    <row r="211">
      <c r="A211" s="1" t="s">
        <v>639</v>
      </c>
      <c r="B211" s="1" t="s">
        <v>640</v>
      </c>
      <c r="C211" s="1" t="s">
        <v>641</v>
      </c>
      <c r="D211" s="1" t="s">
        <v>613</v>
      </c>
      <c r="E211" s="1" t="s">
        <v>614</v>
      </c>
      <c r="F211" s="1">
        <v>1528831.0</v>
      </c>
      <c r="G211" s="1">
        <v>74706.0</v>
      </c>
      <c r="H211" s="1">
        <v>3195.0</v>
      </c>
      <c r="I211" s="1">
        <v>1.1E8</v>
      </c>
      <c r="J211" s="1" t="s">
        <v>15</v>
      </c>
    </row>
    <row r="212">
      <c r="A212" s="1" t="s">
        <v>642</v>
      </c>
      <c r="B212" s="1" t="s">
        <v>643</v>
      </c>
      <c r="C212" s="1" t="s">
        <v>644</v>
      </c>
      <c r="D212" s="1" t="s">
        <v>613</v>
      </c>
      <c r="E212" s="1" t="s">
        <v>614</v>
      </c>
      <c r="F212" s="1">
        <v>1451172.0</v>
      </c>
      <c r="G212" s="1">
        <v>76224.0</v>
      </c>
      <c r="H212" s="1">
        <v>4663.0</v>
      </c>
      <c r="I212" s="1">
        <v>1.1E8</v>
      </c>
      <c r="J212" s="1" t="s">
        <v>15</v>
      </c>
    </row>
    <row r="213">
      <c r="A213" s="1" t="s">
        <v>645</v>
      </c>
      <c r="B213" s="1" t="s">
        <v>646</v>
      </c>
      <c r="C213" s="1" t="s">
        <v>647</v>
      </c>
      <c r="D213" s="1" t="s">
        <v>613</v>
      </c>
      <c r="E213" s="1" t="s">
        <v>614</v>
      </c>
      <c r="F213" s="1">
        <v>4638689.0</v>
      </c>
      <c r="G213" s="1">
        <v>329165.0</v>
      </c>
      <c r="H213" s="1">
        <v>9388.0</v>
      </c>
      <c r="I213" s="1">
        <v>1.1E8</v>
      </c>
      <c r="J213" s="1" t="s">
        <v>15</v>
      </c>
    </row>
    <row r="214">
      <c r="A214" s="1" t="s">
        <v>648</v>
      </c>
      <c r="B214" s="1" t="s">
        <v>649</v>
      </c>
      <c r="C214" s="1" t="s">
        <v>650</v>
      </c>
      <c r="D214" s="1" t="s">
        <v>613</v>
      </c>
      <c r="E214" s="1" t="s">
        <v>614</v>
      </c>
      <c r="F214" s="1">
        <v>2372709.0</v>
      </c>
      <c r="G214" s="1">
        <v>108047.0</v>
      </c>
      <c r="H214" s="1">
        <v>5081.0</v>
      </c>
      <c r="I214" s="1">
        <v>1.1E8</v>
      </c>
      <c r="J214" s="1" t="s">
        <v>15</v>
      </c>
    </row>
    <row r="215">
      <c r="A215" s="1" t="s">
        <v>651</v>
      </c>
      <c r="B215" s="1" t="s">
        <v>652</v>
      </c>
      <c r="C215" s="1" t="s">
        <v>653</v>
      </c>
      <c r="D215" s="1" t="s">
        <v>613</v>
      </c>
      <c r="E215" s="1" t="s">
        <v>614</v>
      </c>
      <c r="F215" s="1">
        <v>1960708.0</v>
      </c>
      <c r="G215" s="1">
        <v>101738.0</v>
      </c>
      <c r="H215" s="1">
        <v>4641.0</v>
      </c>
      <c r="I215" s="1">
        <v>1.1E8</v>
      </c>
      <c r="J215" s="1" t="s">
        <v>15</v>
      </c>
    </row>
    <row r="216">
      <c r="A216" s="1" t="s">
        <v>654</v>
      </c>
      <c r="B216" s="1" t="s">
        <v>655</v>
      </c>
      <c r="C216" s="1" t="s">
        <v>656</v>
      </c>
      <c r="D216" s="1" t="s">
        <v>613</v>
      </c>
      <c r="E216" s="1" t="s">
        <v>614</v>
      </c>
      <c r="F216" s="1">
        <v>4740190.0</v>
      </c>
      <c r="G216" s="1">
        <v>266770.0</v>
      </c>
      <c r="H216" s="1">
        <v>13787.0</v>
      </c>
      <c r="I216" s="1">
        <v>1.1E8</v>
      </c>
      <c r="J216" s="1" t="s">
        <v>15</v>
      </c>
    </row>
    <row r="217">
      <c r="A217" s="1" t="s">
        <v>657</v>
      </c>
      <c r="B217" s="1" t="s">
        <v>658</v>
      </c>
      <c r="C217" s="1" t="s">
        <v>659</v>
      </c>
      <c r="D217" s="1" t="s">
        <v>613</v>
      </c>
      <c r="E217" s="1" t="s">
        <v>614</v>
      </c>
      <c r="F217" s="1">
        <v>6801550.0</v>
      </c>
      <c r="G217" s="1">
        <v>307121.0</v>
      </c>
      <c r="H217" s="1">
        <v>14004.0</v>
      </c>
      <c r="I217" s="1">
        <v>1.1E8</v>
      </c>
      <c r="J217" s="1" t="s">
        <v>15</v>
      </c>
    </row>
    <row r="218">
      <c r="A218" s="1" t="s">
        <v>660</v>
      </c>
      <c r="B218" s="1" t="s">
        <v>661</v>
      </c>
      <c r="C218" s="1" t="s">
        <v>662</v>
      </c>
      <c r="D218" s="1" t="s">
        <v>613</v>
      </c>
      <c r="E218" s="1" t="s">
        <v>614</v>
      </c>
      <c r="F218" s="1">
        <v>2498990.0</v>
      </c>
      <c r="G218" s="1">
        <v>166209.0</v>
      </c>
      <c r="H218" s="1">
        <v>13836.0</v>
      </c>
      <c r="I218" s="1">
        <v>1.1E8</v>
      </c>
      <c r="J218" s="1" t="s">
        <v>15</v>
      </c>
    </row>
    <row r="219">
      <c r="A219" s="1" t="s">
        <v>663</v>
      </c>
      <c r="B219" s="1" t="s">
        <v>664</v>
      </c>
      <c r="C219" s="1" t="s">
        <v>665</v>
      </c>
      <c r="D219" s="1" t="s">
        <v>613</v>
      </c>
      <c r="E219" s="1" t="s">
        <v>614</v>
      </c>
      <c r="F219" s="1">
        <v>2113903.0</v>
      </c>
      <c r="G219" s="1">
        <v>102007.0</v>
      </c>
      <c r="H219" s="1">
        <v>5060.0</v>
      </c>
      <c r="I219" s="1">
        <v>1.1E8</v>
      </c>
      <c r="J219" s="1" t="s">
        <v>15</v>
      </c>
    </row>
    <row r="220">
      <c r="A220" s="1" t="s">
        <v>666</v>
      </c>
      <c r="B220" s="1" t="s">
        <v>667</v>
      </c>
      <c r="C220" s="1" t="s">
        <v>668</v>
      </c>
      <c r="D220" s="1" t="s">
        <v>613</v>
      </c>
      <c r="E220" s="1" t="s">
        <v>614</v>
      </c>
      <c r="F220" s="1">
        <v>3289606.0</v>
      </c>
      <c r="G220" s="1">
        <v>207741.0</v>
      </c>
      <c r="H220" s="1">
        <v>10299.0</v>
      </c>
      <c r="I220" s="1">
        <v>1.1E8</v>
      </c>
      <c r="J220" s="1" t="s">
        <v>15</v>
      </c>
    </row>
    <row r="221">
      <c r="A221" s="1" t="s">
        <v>669</v>
      </c>
      <c r="B221" s="1" t="s">
        <v>670</v>
      </c>
      <c r="C221" s="1" t="s">
        <v>671</v>
      </c>
      <c r="D221" s="1" t="s">
        <v>613</v>
      </c>
      <c r="E221" s="1" t="s">
        <v>614</v>
      </c>
      <c r="F221" s="1">
        <v>1233568.0</v>
      </c>
      <c r="G221" s="1">
        <v>67795.0</v>
      </c>
      <c r="H221" s="1">
        <v>3373.0</v>
      </c>
      <c r="I221" s="1">
        <v>1.1E8</v>
      </c>
      <c r="J221" s="1" t="s">
        <v>15</v>
      </c>
    </row>
    <row r="222">
      <c r="A222" s="1" t="s">
        <v>672</v>
      </c>
      <c r="B222" s="1" t="s">
        <v>673</v>
      </c>
      <c r="C222" s="1" t="s">
        <v>674</v>
      </c>
      <c r="D222" s="1" t="s">
        <v>613</v>
      </c>
      <c r="E222" s="1" t="s">
        <v>614</v>
      </c>
      <c r="F222" s="1">
        <v>4077573.0</v>
      </c>
      <c r="G222" s="1">
        <v>224555.0</v>
      </c>
      <c r="H222" s="1">
        <v>7016.0</v>
      </c>
      <c r="I222" s="1">
        <v>1.1E8</v>
      </c>
      <c r="J222" s="1" t="s">
        <v>15</v>
      </c>
    </row>
    <row r="223">
      <c r="A223" s="1" t="s">
        <v>675</v>
      </c>
      <c r="B223" s="1" t="s">
        <v>676</v>
      </c>
      <c r="C223" s="1" t="s">
        <v>677</v>
      </c>
      <c r="D223" s="1" t="s">
        <v>613</v>
      </c>
      <c r="E223" s="1" t="s">
        <v>614</v>
      </c>
      <c r="F223" s="1">
        <v>2016475.0</v>
      </c>
      <c r="G223" s="1">
        <v>101417.0</v>
      </c>
      <c r="H223" s="1">
        <v>4148.0</v>
      </c>
      <c r="I223" s="1">
        <v>1.1E8</v>
      </c>
      <c r="J223" s="1" t="s">
        <v>15</v>
      </c>
    </row>
    <row r="224">
      <c r="A224" s="1" t="s">
        <v>678</v>
      </c>
      <c r="B224" s="1" t="s">
        <v>679</v>
      </c>
      <c r="C224" s="1" t="s">
        <v>680</v>
      </c>
      <c r="D224" s="1" t="s">
        <v>613</v>
      </c>
      <c r="E224" s="1" t="s">
        <v>614</v>
      </c>
      <c r="F224" s="1">
        <v>7593368.0</v>
      </c>
      <c r="G224" s="1">
        <v>567973.0</v>
      </c>
      <c r="H224" s="1">
        <v>31983.0</v>
      </c>
      <c r="I224" s="1">
        <v>1.1E8</v>
      </c>
      <c r="J224" s="1" t="s">
        <v>15</v>
      </c>
    </row>
    <row r="225">
      <c r="A225" s="1" t="s">
        <v>681</v>
      </c>
      <c r="B225" s="1" t="s">
        <v>682</v>
      </c>
      <c r="C225" s="1" t="s">
        <v>683</v>
      </c>
      <c r="D225" s="1" t="s">
        <v>613</v>
      </c>
      <c r="E225" s="1" t="s">
        <v>614</v>
      </c>
      <c r="F225" s="1">
        <v>1910102.0</v>
      </c>
      <c r="G225" s="1">
        <v>82430.0</v>
      </c>
      <c r="H225" s="1">
        <v>3589.0</v>
      </c>
      <c r="I225" s="1">
        <v>1.1E8</v>
      </c>
      <c r="J225" s="1" t="s">
        <v>15</v>
      </c>
    </row>
    <row r="226">
      <c r="A226" s="1" t="s">
        <v>684</v>
      </c>
      <c r="B226" s="1" t="s">
        <v>685</v>
      </c>
      <c r="C226" s="1" t="s">
        <v>686</v>
      </c>
      <c r="D226" s="1" t="s">
        <v>613</v>
      </c>
      <c r="E226" s="1" t="s">
        <v>614</v>
      </c>
      <c r="F226" s="1">
        <v>3513026.0</v>
      </c>
      <c r="G226" s="1">
        <v>243873.0</v>
      </c>
      <c r="H226" s="1">
        <v>10759.0</v>
      </c>
      <c r="I226" s="1">
        <v>1.1E8</v>
      </c>
      <c r="J226" s="1" t="s">
        <v>15</v>
      </c>
    </row>
    <row r="227">
      <c r="A227" s="1" t="s">
        <v>687</v>
      </c>
      <c r="B227" s="1" t="s">
        <v>688</v>
      </c>
      <c r="C227" s="1" t="s">
        <v>689</v>
      </c>
      <c r="D227" s="1" t="s">
        <v>613</v>
      </c>
      <c r="E227" s="1" t="s">
        <v>614</v>
      </c>
      <c r="F227" s="1">
        <v>1396545.0</v>
      </c>
      <c r="G227" s="1">
        <v>70666.0</v>
      </c>
      <c r="H227" s="1">
        <v>2902.0</v>
      </c>
      <c r="I227" s="1">
        <v>1.1E8</v>
      </c>
      <c r="J227" s="1" t="s">
        <v>15</v>
      </c>
    </row>
    <row r="228">
      <c r="A228" s="1" t="s">
        <v>690</v>
      </c>
      <c r="B228" s="1" t="s">
        <v>691</v>
      </c>
      <c r="C228" s="1" t="s">
        <v>692</v>
      </c>
      <c r="D228" s="1" t="s">
        <v>613</v>
      </c>
      <c r="E228" s="1" t="s">
        <v>614</v>
      </c>
      <c r="F228" s="1">
        <v>8159235.0</v>
      </c>
      <c r="G228" s="1">
        <v>389777.0</v>
      </c>
      <c r="H228" s="1">
        <v>26133.0</v>
      </c>
      <c r="I228" s="1">
        <v>1.1E8</v>
      </c>
      <c r="J228" s="1" t="s">
        <v>15</v>
      </c>
    </row>
    <row r="229">
      <c r="A229" s="1" t="s">
        <v>693</v>
      </c>
      <c r="B229" s="1" t="s">
        <v>694</v>
      </c>
      <c r="C229" s="1" t="s">
        <v>695</v>
      </c>
      <c r="D229" s="1" t="s">
        <v>613</v>
      </c>
      <c r="E229" s="1" t="s">
        <v>614</v>
      </c>
      <c r="F229" s="1">
        <v>4403670.0</v>
      </c>
      <c r="G229" s="1">
        <v>197448.0</v>
      </c>
      <c r="H229" s="1">
        <v>7492.0</v>
      </c>
      <c r="I229" s="1">
        <v>1.1E8</v>
      </c>
      <c r="J229" s="1" t="s">
        <v>15</v>
      </c>
    </row>
    <row r="230">
      <c r="A230" s="1" t="s">
        <v>696</v>
      </c>
      <c r="B230" s="1" t="s">
        <v>697</v>
      </c>
      <c r="C230" s="1" t="s">
        <v>698</v>
      </c>
      <c r="D230" s="1" t="s">
        <v>613</v>
      </c>
      <c r="E230" s="1" t="s">
        <v>614</v>
      </c>
      <c r="F230" s="1">
        <v>1333285.0</v>
      </c>
      <c r="G230" s="1">
        <v>102644.0</v>
      </c>
      <c r="H230" s="1">
        <v>5140.0</v>
      </c>
      <c r="I230" s="1">
        <v>1.1E8</v>
      </c>
      <c r="J230" s="1" t="s">
        <v>15</v>
      </c>
    </row>
    <row r="231">
      <c r="A231" s="1" t="s">
        <v>699</v>
      </c>
      <c r="B231" s="1" t="s">
        <v>700</v>
      </c>
      <c r="C231" s="1" t="s">
        <v>701</v>
      </c>
      <c r="D231" s="1" t="s">
        <v>613</v>
      </c>
      <c r="E231" s="1" t="s">
        <v>614</v>
      </c>
      <c r="F231" s="1">
        <v>3888065.0</v>
      </c>
      <c r="G231" s="1">
        <v>208763.0</v>
      </c>
      <c r="H231" s="1">
        <v>7880.0</v>
      </c>
      <c r="I231" s="1">
        <v>1.1E8</v>
      </c>
      <c r="J231" s="1" t="s">
        <v>15</v>
      </c>
    </row>
    <row r="232">
      <c r="A232" s="1" t="s">
        <v>702</v>
      </c>
      <c r="B232" s="1" t="s">
        <v>703</v>
      </c>
      <c r="C232" s="1" t="s">
        <v>704</v>
      </c>
      <c r="D232" s="1" t="s">
        <v>613</v>
      </c>
      <c r="E232" s="1" t="s">
        <v>614</v>
      </c>
      <c r="F232" s="1">
        <v>1556247.0</v>
      </c>
      <c r="G232" s="1">
        <v>81849.0</v>
      </c>
      <c r="H232" s="1">
        <v>4376.0</v>
      </c>
      <c r="I232" s="1">
        <v>1.1E8</v>
      </c>
      <c r="J232" s="1" t="s">
        <v>15</v>
      </c>
    </row>
    <row r="233">
      <c r="A233" s="1" t="s">
        <v>705</v>
      </c>
      <c r="B233" s="1" t="s">
        <v>706</v>
      </c>
      <c r="C233" s="1" t="s">
        <v>707</v>
      </c>
      <c r="D233" s="1" t="s">
        <v>613</v>
      </c>
      <c r="E233" s="1" t="s">
        <v>614</v>
      </c>
      <c r="F233" s="1">
        <v>5265821.0</v>
      </c>
      <c r="G233" s="1">
        <v>248977.0</v>
      </c>
      <c r="H233" s="1">
        <v>10252.0</v>
      </c>
      <c r="I233" s="1">
        <v>1.1E8</v>
      </c>
      <c r="J233" s="1" t="s">
        <v>15</v>
      </c>
    </row>
    <row r="234">
      <c r="A234" s="1" t="s">
        <v>708</v>
      </c>
      <c r="B234" s="1" t="s">
        <v>709</v>
      </c>
      <c r="C234" s="1" t="s">
        <v>710</v>
      </c>
      <c r="D234" s="1" t="s">
        <v>613</v>
      </c>
      <c r="E234" s="1" t="s">
        <v>614</v>
      </c>
      <c r="F234" s="1">
        <v>3173097.0</v>
      </c>
      <c r="G234" s="1">
        <v>193659.0</v>
      </c>
      <c r="H234" s="1">
        <v>7061.0</v>
      </c>
      <c r="I234" s="1">
        <v>1.1E8</v>
      </c>
      <c r="J234" s="1" t="s">
        <v>15</v>
      </c>
    </row>
    <row r="235">
      <c r="A235" s="1" t="s">
        <v>711</v>
      </c>
      <c r="B235" s="1" t="s">
        <v>712</v>
      </c>
      <c r="C235" s="1" t="s">
        <v>713</v>
      </c>
      <c r="D235" s="1" t="s">
        <v>613</v>
      </c>
      <c r="E235" s="1" t="s">
        <v>614</v>
      </c>
      <c r="F235" s="1">
        <v>2061994.0</v>
      </c>
      <c r="G235" s="1">
        <v>139304.0</v>
      </c>
      <c r="H235" s="1">
        <v>3921.0</v>
      </c>
      <c r="I235" s="1">
        <v>1.1E8</v>
      </c>
      <c r="J235" s="1" t="s">
        <v>15</v>
      </c>
    </row>
    <row r="236">
      <c r="A236" s="1" t="s">
        <v>714</v>
      </c>
      <c r="B236" s="1" t="s">
        <v>715</v>
      </c>
      <c r="C236" s="1" t="s">
        <v>716</v>
      </c>
      <c r="D236" s="1" t="s">
        <v>613</v>
      </c>
      <c r="E236" s="1" t="s">
        <v>614</v>
      </c>
      <c r="F236" s="1">
        <v>4028124.0</v>
      </c>
      <c r="G236" s="1">
        <v>216122.0</v>
      </c>
      <c r="H236" s="1">
        <v>8425.0</v>
      </c>
      <c r="I236" s="1">
        <v>1.1E8</v>
      </c>
      <c r="J236" s="1" t="s">
        <v>15</v>
      </c>
    </row>
    <row r="237">
      <c r="A237" s="1" t="s">
        <v>717</v>
      </c>
      <c r="B237" s="1" t="s">
        <v>718</v>
      </c>
      <c r="C237" s="1" t="s">
        <v>719</v>
      </c>
      <c r="D237" s="1" t="s">
        <v>613</v>
      </c>
      <c r="E237" s="1" t="s">
        <v>614</v>
      </c>
      <c r="F237" s="1">
        <v>2795003.0</v>
      </c>
      <c r="G237" s="1">
        <v>156725.0</v>
      </c>
      <c r="H237" s="1">
        <v>6006.0</v>
      </c>
      <c r="I237" s="1">
        <v>1.1E8</v>
      </c>
      <c r="J237" s="1" t="s">
        <v>15</v>
      </c>
    </row>
    <row r="238">
      <c r="A238" s="1" t="s">
        <v>720</v>
      </c>
      <c r="B238" s="1" t="s">
        <v>721</v>
      </c>
      <c r="C238" s="1" t="s">
        <v>722</v>
      </c>
      <c r="D238" s="1" t="s">
        <v>613</v>
      </c>
      <c r="E238" s="1" t="s">
        <v>614</v>
      </c>
      <c r="F238" s="1">
        <v>2841479.0</v>
      </c>
      <c r="G238" s="1">
        <v>133027.0</v>
      </c>
      <c r="H238" s="1">
        <v>4011.0</v>
      </c>
      <c r="I238" s="1">
        <v>1.1E8</v>
      </c>
      <c r="J238" s="1" t="s">
        <v>15</v>
      </c>
    </row>
    <row r="239">
      <c r="A239" s="1" t="s">
        <v>723</v>
      </c>
      <c r="B239" s="1" t="s">
        <v>724</v>
      </c>
      <c r="C239" s="1" t="s">
        <v>725</v>
      </c>
      <c r="D239" s="1" t="s">
        <v>613</v>
      </c>
      <c r="E239" s="1" t="s">
        <v>614</v>
      </c>
      <c r="F239" s="1">
        <v>2410264.0</v>
      </c>
      <c r="G239" s="1">
        <v>109610.0</v>
      </c>
      <c r="H239" s="1">
        <v>4750.0</v>
      </c>
      <c r="I239" s="1">
        <v>1.1E8</v>
      </c>
      <c r="J239" s="1" t="s">
        <v>15</v>
      </c>
    </row>
    <row r="240">
      <c r="A240" s="1" t="s">
        <v>726</v>
      </c>
      <c r="B240" s="1" t="s">
        <v>727</v>
      </c>
      <c r="C240" s="1" t="s">
        <v>728</v>
      </c>
      <c r="D240" s="1" t="s">
        <v>613</v>
      </c>
      <c r="E240" s="1" t="s">
        <v>614</v>
      </c>
      <c r="F240" s="1">
        <v>2997905.0</v>
      </c>
      <c r="G240" s="1">
        <v>197391.0</v>
      </c>
      <c r="H240" s="1">
        <v>7868.0</v>
      </c>
      <c r="I240" s="1">
        <v>1.1E8</v>
      </c>
      <c r="J240" s="1" t="s">
        <v>15</v>
      </c>
    </row>
    <row r="241">
      <c r="A241" s="1" t="s">
        <v>729</v>
      </c>
      <c r="B241" s="1" t="s">
        <v>730</v>
      </c>
      <c r="C241" s="1" t="s">
        <v>731</v>
      </c>
      <c r="D241" s="1" t="s">
        <v>613</v>
      </c>
      <c r="E241" s="1" t="s">
        <v>614</v>
      </c>
      <c r="F241" s="1">
        <v>3004014.0</v>
      </c>
      <c r="G241" s="1">
        <v>151662.0</v>
      </c>
      <c r="H241" s="1">
        <v>6133.0</v>
      </c>
      <c r="I241" s="1">
        <v>1.1E8</v>
      </c>
      <c r="J241" s="1" t="s">
        <v>15</v>
      </c>
    </row>
    <row r="242">
      <c r="A242" s="1" t="s">
        <v>732</v>
      </c>
      <c r="B242" s="1" t="s">
        <v>733</v>
      </c>
      <c r="C242" s="1" t="s">
        <v>734</v>
      </c>
      <c r="D242" s="1" t="s">
        <v>613</v>
      </c>
      <c r="E242" s="1" t="s">
        <v>614</v>
      </c>
      <c r="F242" s="1">
        <v>7015326.0</v>
      </c>
      <c r="G242" s="1">
        <v>466843.0</v>
      </c>
      <c r="H242" s="1">
        <v>13149.0</v>
      </c>
      <c r="I242" s="1">
        <v>1.1E8</v>
      </c>
      <c r="J242" s="1" t="s">
        <v>15</v>
      </c>
    </row>
    <row r="243">
      <c r="A243" s="1" t="s">
        <v>735</v>
      </c>
      <c r="B243" s="1" t="s">
        <v>736</v>
      </c>
      <c r="C243" s="1" t="s">
        <v>737</v>
      </c>
      <c r="D243" s="1" t="s">
        <v>613</v>
      </c>
      <c r="E243" s="1" t="s">
        <v>614</v>
      </c>
      <c r="F243" s="1">
        <v>4190881.0</v>
      </c>
      <c r="G243" s="1">
        <v>239715.0</v>
      </c>
      <c r="H243" s="1">
        <v>6743.0</v>
      </c>
      <c r="I243" s="1">
        <v>1.1E8</v>
      </c>
      <c r="J243" s="1" t="s">
        <v>15</v>
      </c>
    </row>
    <row r="244">
      <c r="A244" s="1" t="s">
        <v>738</v>
      </c>
      <c r="B244" s="1" t="s">
        <v>739</v>
      </c>
      <c r="C244" s="1" t="s">
        <v>740</v>
      </c>
      <c r="D244" s="1" t="s">
        <v>613</v>
      </c>
      <c r="E244" s="1" t="s">
        <v>614</v>
      </c>
      <c r="F244" s="1">
        <v>2529582.0</v>
      </c>
      <c r="G244" s="1">
        <v>144504.0</v>
      </c>
      <c r="H244" s="1">
        <v>2809.0</v>
      </c>
      <c r="I244" s="1">
        <v>1.1E8</v>
      </c>
      <c r="J244" s="1" t="s">
        <v>15</v>
      </c>
    </row>
    <row r="245">
      <c r="A245" s="1" t="s">
        <v>741</v>
      </c>
      <c r="B245" s="1" t="s">
        <v>742</v>
      </c>
      <c r="C245" s="1" t="s">
        <v>743</v>
      </c>
      <c r="D245" s="1" t="s">
        <v>613</v>
      </c>
      <c r="E245" s="1" t="s">
        <v>614</v>
      </c>
      <c r="F245" s="1">
        <v>1927306.0</v>
      </c>
      <c r="G245" s="1">
        <v>92928.0</v>
      </c>
      <c r="H245" s="1">
        <v>3531.0</v>
      </c>
      <c r="I245" s="1">
        <v>1.1E8</v>
      </c>
      <c r="J245" s="1" t="s">
        <v>15</v>
      </c>
    </row>
    <row r="246">
      <c r="A246" s="1" t="s">
        <v>744</v>
      </c>
      <c r="B246" s="1" t="s">
        <v>745</v>
      </c>
      <c r="C246" s="1" t="s">
        <v>746</v>
      </c>
      <c r="D246" s="1" t="s">
        <v>613</v>
      </c>
      <c r="E246" s="1" t="s">
        <v>614</v>
      </c>
      <c r="F246" s="1">
        <v>4095875.0</v>
      </c>
      <c r="G246" s="1">
        <v>209999.0</v>
      </c>
      <c r="H246" s="1">
        <v>6079.0</v>
      </c>
      <c r="I246" s="1">
        <v>1.1E8</v>
      </c>
      <c r="J246" s="1" t="s">
        <v>15</v>
      </c>
    </row>
    <row r="247">
      <c r="A247" s="1" t="s">
        <v>747</v>
      </c>
      <c r="B247" s="1" t="s">
        <v>748</v>
      </c>
      <c r="C247" s="1" t="s">
        <v>749</v>
      </c>
      <c r="D247" s="1" t="s">
        <v>613</v>
      </c>
      <c r="E247" s="1" t="s">
        <v>614</v>
      </c>
      <c r="F247" s="1">
        <v>2867045.0</v>
      </c>
      <c r="G247" s="1">
        <v>136753.0</v>
      </c>
      <c r="H247" s="1">
        <v>4571.0</v>
      </c>
      <c r="I247" s="1">
        <v>1.1E8</v>
      </c>
      <c r="J247" s="1" t="s">
        <v>15</v>
      </c>
    </row>
    <row r="248">
      <c r="A248" s="1" t="s">
        <v>750</v>
      </c>
      <c r="B248" s="1" t="s">
        <v>751</v>
      </c>
      <c r="C248" s="1" t="s">
        <v>752</v>
      </c>
      <c r="D248" s="1" t="s">
        <v>613</v>
      </c>
      <c r="E248" s="1" t="s">
        <v>614</v>
      </c>
      <c r="F248" s="1">
        <v>3253466.0</v>
      </c>
      <c r="G248" s="1">
        <v>138287.0</v>
      </c>
      <c r="H248" s="1">
        <v>5111.0</v>
      </c>
      <c r="I248" s="1">
        <v>1.1E8</v>
      </c>
      <c r="J248" s="1" t="s">
        <v>15</v>
      </c>
    </row>
    <row r="249">
      <c r="A249" s="1" t="s">
        <v>753</v>
      </c>
      <c r="B249" s="1" t="s">
        <v>754</v>
      </c>
      <c r="C249" s="1" t="s">
        <v>755</v>
      </c>
      <c r="D249" s="1" t="s">
        <v>613</v>
      </c>
      <c r="E249" s="1" t="s">
        <v>614</v>
      </c>
      <c r="F249" s="1">
        <v>2499416.0</v>
      </c>
      <c r="G249" s="1">
        <v>100881.0</v>
      </c>
      <c r="H249" s="1">
        <v>2678.0</v>
      </c>
      <c r="I249" s="1">
        <v>1.1E8</v>
      </c>
      <c r="J249" s="1" t="s">
        <v>15</v>
      </c>
    </row>
    <row r="250">
      <c r="A250" s="1" t="s">
        <v>756</v>
      </c>
      <c r="B250" s="1" t="s">
        <v>757</v>
      </c>
      <c r="C250" s="1" t="s">
        <v>758</v>
      </c>
      <c r="D250" s="1" t="s">
        <v>613</v>
      </c>
      <c r="E250" s="1" t="s">
        <v>614</v>
      </c>
      <c r="F250" s="1">
        <v>2545711.0</v>
      </c>
      <c r="G250" s="1">
        <v>129066.0</v>
      </c>
      <c r="H250" s="1">
        <v>3788.0</v>
      </c>
      <c r="I250" s="1">
        <v>1.1E8</v>
      </c>
      <c r="J250" s="1" t="s">
        <v>15</v>
      </c>
    </row>
    <row r="251">
      <c r="A251" s="1" t="s">
        <v>759</v>
      </c>
      <c r="B251" s="1" t="s">
        <v>760</v>
      </c>
      <c r="C251" s="1" t="s">
        <v>761</v>
      </c>
      <c r="D251" s="1" t="s">
        <v>613</v>
      </c>
      <c r="E251" s="1" t="s">
        <v>614</v>
      </c>
      <c r="F251" s="1">
        <v>2571489.0</v>
      </c>
      <c r="G251" s="1">
        <v>136436.0</v>
      </c>
      <c r="H251" s="1">
        <v>5255.0</v>
      </c>
      <c r="I251" s="1">
        <v>1.1E8</v>
      </c>
      <c r="J251" s="1" t="s">
        <v>15</v>
      </c>
    </row>
    <row r="252">
      <c r="A252" s="1" t="s">
        <v>762</v>
      </c>
      <c r="B252" s="1" t="s">
        <v>763</v>
      </c>
      <c r="C252" s="1" t="s">
        <v>764</v>
      </c>
      <c r="D252" s="1" t="s">
        <v>613</v>
      </c>
      <c r="E252" s="1" t="s">
        <v>614</v>
      </c>
      <c r="F252" s="1">
        <v>2339120.0</v>
      </c>
      <c r="G252" s="1">
        <v>110118.0</v>
      </c>
      <c r="H252" s="1">
        <v>3677.0</v>
      </c>
      <c r="I252" s="1">
        <v>1.1E8</v>
      </c>
      <c r="J252" s="1" t="s">
        <v>15</v>
      </c>
    </row>
    <row r="253">
      <c r="A253" s="1" t="s">
        <v>765</v>
      </c>
      <c r="B253" s="1" t="s">
        <v>766</v>
      </c>
      <c r="C253" s="1" t="s">
        <v>767</v>
      </c>
      <c r="D253" s="1" t="s">
        <v>613</v>
      </c>
      <c r="E253" s="1" t="s">
        <v>614</v>
      </c>
      <c r="F253" s="1">
        <v>2998597.0</v>
      </c>
      <c r="G253" s="1">
        <v>134559.0</v>
      </c>
      <c r="H253" s="1">
        <v>3121.0</v>
      </c>
      <c r="I253" s="1">
        <v>1.1E8</v>
      </c>
      <c r="J253" s="1" t="s">
        <v>15</v>
      </c>
    </row>
    <row r="254">
      <c r="A254" s="1" t="s">
        <v>768</v>
      </c>
      <c r="B254" s="1" t="s">
        <v>769</v>
      </c>
      <c r="C254" s="1" t="s">
        <v>770</v>
      </c>
      <c r="D254" s="1" t="s">
        <v>613</v>
      </c>
      <c r="E254" s="1" t="s">
        <v>614</v>
      </c>
      <c r="F254" s="1">
        <v>5953515.0</v>
      </c>
      <c r="G254" s="1">
        <v>325686.0</v>
      </c>
      <c r="H254" s="1">
        <v>10062.0</v>
      </c>
      <c r="I254" s="1">
        <v>1.1E8</v>
      </c>
      <c r="J254" s="1" t="s">
        <v>15</v>
      </c>
    </row>
    <row r="255">
      <c r="A255" s="1" t="s">
        <v>771</v>
      </c>
      <c r="B255" s="1" t="s">
        <v>772</v>
      </c>
      <c r="C255" s="1" t="s">
        <v>773</v>
      </c>
      <c r="D255" s="1" t="s">
        <v>613</v>
      </c>
      <c r="E255" s="1" t="s">
        <v>614</v>
      </c>
      <c r="F255" s="1">
        <v>3929728.0</v>
      </c>
      <c r="G255" s="1">
        <v>230105.0</v>
      </c>
      <c r="H255" s="1">
        <v>5008.0</v>
      </c>
      <c r="I255" s="1">
        <v>1.1E8</v>
      </c>
      <c r="J255" s="1" t="s">
        <v>15</v>
      </c>
    </row>
    <row r="256">
      <c r="A256" s="1" t="s">
        <v>774</v>
      </c>
      <c r="B256" s="1" t="s">
        <v>775</v>
      </c>
      <c r="C256" s="1" t="s">
        <v>776</v>
      </c>
      <c r="D256" s="1" t="s">
        <v>613</v>
      </c>
      <c r="E256" s="1" t="s">
        <v>614</v>
      </c>
      <c r="F256" s="1">
        <v>2718554.0</v>
      </c>
      <c r="G256" s="1">
        <v>162795.0</v>
      </c>
      <c r="H256" s="1">
        <v>5547.0</v>
      </c>
      <c r="I256" s="1">
        <v>1.1E8</v>
      </c>
      <c r="J256" s="1" t="s">
        <v>15</v>
      </c>
    </row>
    <row r="257">
      <c r="A257" s="1" t="s">
        <v>777</v>
      </c>
      <c r="B257" s="1" t="s">
        <v>778</v>
      </c>
      <c r="C257" s="1" t="s">
        <v>779</v>
      </c>
      <c r="D257" s="1" t="s">
        <v>613</v>
      </c>
      <c r="E257" s="1" t="s">
        <v>614</v>
      </c>
      <c r="F257" s="1">
        <v>5751893.0</v>
      </c>
      <c r="G257" s="1">
        <v>549832.0</v>
      </c>
      <c r="H257" s="1">
        <v>17913.0</v>
      </c>
      <c r="I257" s="1">
        <v>1.1E8</v>
      </c>
      <c r="J257" s="1" t="s">
        <v>15</v>
      </c>
    </row>
    <row r="258">
      <c r="A258" s="1" t="s">
        <v>780</v>
      </c>
      <c r="B258" s="1" t="s">
        <v>781</v>
      </c>
      <c r="C258" s="1" t="s">
        <v>782</v>
      </c>
      <c r="D258" s="1" t="s">
        <v>613</v>
      </c>
      <c r="E258" s="1" t="s">
        <v>614</v>
      </c>
      <c r="F258" s="1">
        <v>5133757.0</v>
      </c>
      <c r="G258" s="1">
        <v>286648.0</v>
      </c>
      <c r="H258" s="1">
        <v>8878.0</v>
      </c>
      <c r="I258" s="1">
        <v>1.1E8</v>
      </c>
      <c r="J258" s="1" t="s">
        <v>15</v>
      </c>
    </row>
    <row r="259">
      <c r="A259" s="1" t="s">
        <v>783</v>
      </c>
      <c r="B259" s="1" t="s">
        <v>784</v>
      </c>
      <c r="C259" s="1" t="s">
        <v>785</v>
      </c>
      <c r="D259" s="1" t="s">
        <v>613</v>
      </c>
      <c r="E259" s="1" t="s">
        <v>614</v>
      </c>
      <c r="F259" s="1">
        <v>2991748.0</v>
      </c>
      <c r="G259" s="1">
        <v>145665.0</v>
      </c>
      <c r="H259" s="1">
        <v>6295.0</v>
      </c>
      <c r="I259" s="1">
        <v>1.1E8</v>
      </c>
      <c r="J259" s="1" t="s">
        <v>15</v>
      </c>
    </row>
    <row r="260">
      <c r="A260" s="1" t="s">
        <v>786</v>
      </c>
      <c r="B260" s="1" t="s">
        <v>787</v>
      </c>
      <c r="C260" s="1" t="s">
        <v>788</v>
      </c>
      <c r="D260" s="1" t="s">
        <v>613</v>
      </c>
      <c r="E260" s="1" t="s">
        <v>614</v>
      </c>
      <c r="F260" s="1">
        <v>3097998.0</v>
      </c>
      <c r="G260" s="1">
        <v>143403.0</v>
      </c>
      <c r="H260" s="1">
        <v>4376.0</v>
      </c>
      <c r="I260" s="1">
        <v>1.1E8</v>
      </c>
      <c r="J260" s="1" t="s">
        <v>15</v>
      </c>
    </row>
    <row r="261">
      <c r="A261" s="1" t="s">
        <v>789</v>
      </c>
      <c r="B261" s="1" t="s">
        <v>790</v>
      </c>
      <c r="C261" s="1" t="s">
        <v>791</v>
      </c>
      <c r="D261" s="1" t="s">
        <v>613</v>
      </c>
      <c r="E261" s="1" t="s">
        <v>614</v>
      </c>
      <c r="F261" s="1">
        <v>2524918.0</v>
      </c>
      <c r="G261" s="1">
        <v>162956.0</v>
      </c>
      <c r="H261" s="1">
        <v>3007.0</v>
      </c>
      <c r="I261" s="1">
        <v>1.1E8</v>
      </c>
      <c r="J261" s="1" t="s">
        <v>15</v>
      </c>
    </row>
    <row r="262">
      <c r="A262" s="1" t="s">
        <v>792</v>
      </c>
      <c r="B262" s="1" t="s">
        <v>793</v>
      </c>
      <c r="C262" s="1" t="s">
        <v>794</v>
      </c>
      <c r="D262" s="1" t="s">
        <v>613</v>
      </c>
      <c r="E262" s="1" t="s">
        <v>614</v>
      </c>
      <c r="F262" s="1">
        <v>1800678.0</v>
      </c>
      <c r="G262" s="1">
        <v>121313.0</v>
      </c>
      <c r="H262" s="1">
        <v>3819.0</v>
      </c>
      <c r="I262" s="1">
        <v>1.1E8</v>
      </c>
      <c r="J262" s="1" t="s">
        <v>15</v>
      </c>
    </row>
    <row r="263">
      <c r="A263" s="1" t="s">
        <v>795</v>
      </c>
      <c r="B263" s="1" t="s">
        <v>796</v>
      </c>
      <c r="C263" s="1" t="s">
        <v>797</v>
      </c>
      <c r="D263" s="1" t="s">
        <v>613</v>
      </c>
      <c r="E263" s="1" t="s">
        <v>614</v>
      </c>
      <c r="F263" s="1">
        <v>2252638.0</v>
      </c>
      <c r="G263" s="1">
        <v>143430.0</v>
      </c>
      <c r="H263" s="1">
        <v>5755.0</v>
      </c>
      <c r="I263" s="1">
        <v>1.1E8</v>
      </c>
      <c r="J263" s="1" t="s">
        <v>15</v>
      </c>
    </row>
    <row r="264">
      <c r="A264" s="1" t="s">
        <v>798</v>
      </c>
      <c r="B264" s="1" t="s">
        <v>799</v>
      </c>
      <c r="C264" s="1" t="s">
        <v>800</v>
      </c>
      <c r="D264" s="1" t="s">
        <v>613</v>
      </c>
      <c r="E264" s="1" t="s">
        <v>614</v>
      </c>
      <c r="F264" s="1">
        <v>4807912.0</v>
      </c>
      <c r="G264" s="1">
        <v>238765.0</v>
      </c>
      <c r="H264" s="1">
        <v>5124.0</v>
      </c>
      <c r="I264" s="1">
        <v>1.1E8</v>
      </c>
      <c r="J264" s="1" t="s">
        <v>15</v>
      </c>
    </row>
    <row r="265">
      <c r="A265" s="1" t="s">
        <v>801</v>
      </c>
      <c r="B265" s="1" t="s">
        <v>802</v>
      </c>
      <c r="C265" s="1" t="s">
        <v>803</v>
      </c>
      <c r="D265" s="1" t="s">
        <v>613</v>
      </c>
      <c r="E265" s="1" t="s">
        <v>614</v>
      </c>
      <c r="F265" s="1">
        <v>856372.0</v>
      </c>
      <c r="G265" s="1">
        <v>36609.0</v>
      </c>
      <c r="H265" s="1">
        <v>596.0</v>
      </c>
      <c r="I265" s="1">
        <v>1.1E8</v>
      </c>
      <c r="J265" s="1" t="s">
        <v>15</v>
      </c>
    </row>
    <row r="266">
      <c r="A266" s="1" t="s">
        <v>804</v>
      </c>
      <c r="B266" s="1" t="s">
        <v>805</v>
      </c>
      <c r="C266" s="1" t="s">
        <v>806</v>
      </c>
      <c r="D266" s="1" t="s">
        <v>613</v>
      </c>
      <c r="E266" s="1" t="s">
        <v>614</v>
      </c>
      <c r="F266" s="1">
        <v>2291365.0</v>
      </c>
      <c r="G266" s="1">
        <v>139657.0</v>
      </c>
      <c r="H266" s="1">
        <v>3645.0</v>
      </c>
      <c r="I266" s="1">
        <v>1.1E8</v>
      </c>
      <c r="J266" s="1" t="s">
        <v>15</v>
      </c>
    </row>
    <row r="267">
      <c r="A267" s="1" t="s">
        <v>807</v>
      </c>
      <c r="B267" s="1" t="s">
        <v>808</v>
      </c>
      <c r="C267" s="1" t="s">
        <v>809</v>
      </c>
      <c r="D267" s="1" t="s">
        <v>613</v>
      </c>
      <c r="E267" s="1" t="s">
        <v>614</v>
      </c>
      <c r="F267" s="1">
        <v>1957497.0</v>
      </c>
      <c r="G267" s="1">
        <v>116555.0</v>
      </c>
      <c r="H267" s="1">
        <v>3764.0</v>
      </c>
      <c r="I267" s="1">
        <v>1.1E8</v>
      </c>
      <c r="J267" s="1" t="s">
        <v>15</v>
      </c>
    </row>
    <row r="268">
      <c r="A268" s="1" t="s">
        <v>810</v>
      </c>
      <c r="B268" s="1" t="s">
        <v>811</v>
      </c>
      <c r="C268" s="1" t="s">
        <v>812</v>
      </c>
      <c r="D268" s="1" t="s">
        <v>613</v>
      </c>
      <c r="E268" s="1" t="s">
        <v>614</v>
      </c>
      <c r="F268" s="1">
        <v>5072296.0</v>
      </c>
      <c r="G268" s="1">
        <v>275326.0</v>
      </c>
      <c r="H268" s="1">
        <v>7558.0</v>
      </c>
      <c r="I268" s="1">
        <v>1.1E8</v>
      </c>
      <c r="J268" s="1" t="s">
        <v>15</v>
      </c>
    </row>
    <row r="269">
      <c r="A269" s="1" t="s">
        <v>813</v>
      </c>
      <c r="B269" s="1" t="s">
        <v>814</v>
      </c>
      <c r="C269" s="1" t="s">
        <v>815</v>
      </c>
      <c r="D269" s="1" t="s">
        <v>613</v>
      </c>
      <c r="E269" s="1" t="s">
        <v>614</v>
      </c>
      <c r="F269" s="1">
        <v>2870501.0</v>
      </c>
      <c r="G269" s="1">
        <v>138578.0</v>
      </c>
      <c r="H269" s="1">
        <v>3773.0</v>
      </c>
      <c r="I269" s="1">
        <v>1.1E8</v>
      </c>
      <c r="J269" s="1" t="s">
        <v>15</v>
      </c>
    </row>
    <row r="270">
      <c r="A270" s="1" t="s">
        <v>816</v>
      </c>
      <c r="B270" s="1" t="s">
        <v>817</v>
      </c>
      <c r="C270" s="1" t="s">
        <v>818</v>
      </c>
      <c r="D270" s="1" t="s">
        <v>613</v>
      </c>
      <c r="E270" s="1" t="s">
        <v>614</v>
      </c>
      <c r="F270" s="1">
        <v>4192974.0</v>
      </c>
      <c r="G270" s="1">
        <v>237274.0</v>
      </c>
      <c r="H270" s="1">
        <v>6949.0</v>
      </c>
      <c r="I270" s="1">
        <v>1.1E8</v>
      </c>
      <c r="J270" s="1" t="s">
        <v>15</v>
      </c>
    </row>
    <row r="271">
      <c r="A271" s="1" t="s">
        <v>819</v>
      </c>
      <c r="B271" s="1" t="s">
        <v>820</v>
      </c>
      <c r="C271" s="1" t="s">
        <v>821</v>
      </c>
      <c r="D271" s="1" t="s">
        <v>613</v>
      </c>
      <c r="E271" s="1" t="s">
        <v>614</v>
      </c>
      <c r="F271" s="1">
        <v>7724934.0</v>
      </c>
      <c r="G271" s="1">
        <v>617661.0</v>
      </c>
      <c r="H271" s="1">
        <v>18481.0</v>
      </c>
      <c r="I271" s="1">
        <v>1.1E8</v>
      </c>
      <c r="J271" s="1" t="s">
        <v>15</v>
      </c>
    </row>
    <row r="272">
      <c r="A272" s="1" t="s">
        <v>822</v>
      </c>
      <c r="B272" s="1" t="s">
        <v>823</v>
      </c>
      <c r="C272" s="1" t="s">
        <v>824</v>
      </c>
      <c r="D272" s="1" t="s">
        <v>613</v>
      </c>
      <c r="E272" s="1" t="s">
        <v>614</v>
      </c>
      <c r="F272" s="1">
        <v>2311099.0</v>
      </c>
      <c r="G272" s="1">
        <v>127670.0</v>
      </c>
      <c r="H272" s="1">
        <v>3188.0</v>
      </c>
      <c r="I272" s="1">
        <v>1.1E8</v>
      </c>
      <c r="J272" s="1" t="s">
        <v>15</v>
      </c>
    </row>
    <row r="273">
      <c r="A273" s="1" t="s">
        <v>825</v>
      </c>
      <c r="B273" s="1" t="s">
        <v>826</v>
      </c>
      <c r="C273" s="1" t="s">
        <v>827</v>
      </c>
      <c r="D273" s="1" t="s">
        <v>613</v>
      </c>
      <c r="E273" s="1" t="s">
        <v>614</v>
      </c>
      <c r="F273" s="1">
        <v>2457952.0</v>
      </c>
      <c r="G273" s="1">
        <v>141254.0</v>
      </c>
      <c r="H273" s="1">
        <v>5246.0</v>
      </c>
      <c r="I273" s="1">
        <v>1.1E8</v>
      </c>
      <c r="J273" s="1" t="s">
        <v>15</v>
      </c>
    </row>
    <row r="274">
      <c r="A274" s="1" t="s">
        <v>828</v>
      </c>
      <c r="B274" s="1" t="s">
        <v>829</v>
      </c>
      <c r="C274" s="1" t="s">
        <v>830</v>
      </c>
      <c r="D274" s="1" t="s">
        <v>613</v>
      </c>
      <c r="E274" s="1" t="s">
        <v>614</v>
      </c>
      <c r="F274" s="1">
        <v>2319378.0</v>
      </c>
      <c r="G274" s="1">
        <v>151096.0</v>
      </c>
      <c r="H274" s="1">
        <v>3955.0</v>
      </c>
      <c r="I274" s="1">
        <v>1.1E8</v>
      </c>
      <c r="J274" s="1" t="s">
        <v>15</v>
      </c>
    </row>
    <row r="275">
      <c r="A275" s="1" t="s">
        <v>831</v>
      </c>
      <c r="B275" s="1" t="s">
        <v>832</v>
      </c>
      <c r="C275" s="1" t="s">
        <v>833</v>
      </c>
      <c r="D275" s="1" t="s">
        <v>613</v>
      </c>
      <c r="E275" s="1" t="s">
        <v>614</v>
      </c>
      <c r="F275" s="1">
        <v>4401815.0</v>
      </c>
      <c r="G275" s="1">
        <v>193472.0</v>
      </c>
      <c r="H275" s="1">
        <v>5094.0</v>
      </c>
      <c r="I275" s="1">
        <v>1.1E8</v>
      </c>
      <c r="J275" s="1" t="s">
        <v>15</v>
      </c>
    </row>
    <row r="276">
      <c r="A276" s="1" t="s">
        <v>834</v>
      </c>
      <c r="B276" s="1" t="s">
        <v>835</v>
      </c>
      <c r="C276" s="1" t="s">
        <v>836</v>
      </c>
      <c r="D276" s="1" t="s">
        <v>613</v>
      </c>
      <c r="E276" s="1" t="s">
        <v>614</v>
      </c>
      <c r="F276" s="1">
        <v>2190636.0</v>
      </c>
      <c r="G276" s="1">
        <v>123854.0</v>
      </c>
      <c r="H276" s="1">
        <v>3882.0</v>
      </c>
      <c r="I276" s="1">
        <v>1.1E8</v>
      </c>
      <c r="J276" s="1" t="s">
        <v>15</v>
      </c>
    </row>
    <row r="277">
      <c r="A277" s="1" t="s">
        <v>837</v>
      </c>
      <c r="B277" s="1" t="s">
        <v>838</v>
      </c>
      <c r="C277" s="1" t="s">
        <v>839</v>
      </c>
      <c r="D277" s="1" t="s">
        <v>613</v>
      </c>
      <c r="E277" s="1" t="s">
        <v>614</v>
      </c>
      <c r="F277" s="1">
        <v>4852293.0</v>
      </c>
      <c r="G277" s="1">
        <v>388776.0</v>
      </c>
      <c r="H277" s="1">
        <v>12443.0</v>
      </c>
      <c r="I277" s="1">
        <v>1.1E8</v>
      </c>
      <c r="J277" s="1" t="s">
        <v>15</v>
      </c>
    </row>
    <row r="278">
      <c r="A278" s="1" t="s">
        <v>840</v>
      </c>
      <c r="B278" s="1" t="s">
        <v>841</v>
      </c>
      <c r="C278" s="1" t="s">
        <v>842</v>
      </c>
      <c r="D278" s="1" t="s">
        <v>613</v>
      </c>
      <c r="E278" s="1" t="s">
        <v>614</v>
      </c>
      <c r="F278" s="1">
        <v>5905061.0</v>
      </c>
      <c r="G278" s="1">
        <v>238780.0</v>
      </c>
      <c r="H278" s="1">
        <v>14533.0</v>
      </c>
      <c r="I278" s="1">
        <v>1.1E8</v>
      </c>
      <c r="J278" s="1" t="s">
        <v>15</v>
      </c>
    </row>
    <row r="279">
      <c r="A279" s="1" t="s">
        <v>843</v>
      </c>
      <c r="B279" s="1" t="s">
        <v>844</v>
      </c>
      <c r="C279" s="1" t="s">
        <v>845</v>
      </c>
      <c r="D279" s="1" t="s">
        <v>613</v>
      </c>
      <c r="E279" s="1" t="s">
        <v>614</v>
      </c>
      <c r="F279" s="1">
        <v>3015596.0</v>
      </c>
      <c r="G279" s="1">
        <v>192699.0</v>
      </c>
      <c r="H279" s="1">
        <v>6158.0</v>
      </c>
      <c r="I279" s="1">
        <v>1.1E8</v>
      </c>
      <c r="J279" s="1" t="s">
        <v>15</v>
      </c>
    </row>
    <row r="280">
      <c r="A280" s="1" t="s">
        <v>846</v>
      </c>
      <c r="B280" s="1" t="s">
        <v>847</v>
      </c>
      <c r="C280" s="1" t="s">
        <v>848</v>
      </c>
      <c r="D280" s="1" t="s">
        <v>613</v>
      </c>
      <c r="E280" s="1" t="s">
        <v>614</v>
      </c>
      <c r="F280" s="1">
        <v>3552475.0</v>
      </c>
      <c r="G280" s="1">
        <v>178964.0</v>
      </c>
      <c r="H280" s="1">
        <v>4693.0</v>
      </c>
      <c r="I280" s="1">
        <v>1.1E8</v>
      </c>
      <c r="J280" s="1" t="s">
        <v>15</v>
      </c>
    </row>
    <row r="281">
      <c r="A281" s="1" t="s">
        <v>849</v>
      </c>
      <c r="B281" s="1" t="s">
        <v>850</v>
      </c>
      <c r="C281" s="1" t="s">
        <v>851</v>
      </c>
      <c r="D281" s="1" t="s">
        <v>613</v>
      </c>
      <c r="E281" s="1" t="s">
        <v>614</v>
      </c>
      <c r="F281" s="1">
        <v>2332629.0</v>
      </c>
      <c r="G281" s="1">
        <v>155556.0</v>
      </c>
      <c r="H281" s="1">
        <v>4925.0</v>
      </c>
      <c r="I281" s="1">
        <v>1.1E8</v>
      </c>
      <c r="J281" s="1" t="s">
        <v>15</v>
      </c>
    </row>
    <row r="282">
      <c r="A282" s="1" t="s">
        <v>852</v>
      </c>
      <c r="B282" s="1" t="s">
        <v>853</v>
      </c>
      <c r="C282" s="1" t="s">
        <v>854</v>
      </c>
      <c r="D282" s="1" t="s">
        <v>613</v>
      </c>
      <c r="E282" s="1" t="s">
        <v>614</v>
      </c>
      <c r="F282" s="1">
        <v>4033150.0</v>
      </c>
      <c r="G282" s="1">
        <v>275348.0</v>
      </c>
      <c r="H282" s="1">
        <v>8735.0</v>
      </c>
      <c r="I282" s="1">
        <v>1.1E8</v>
      </c>
      <c r="J282" s="1" t="s">
        <v>15</v>
      </c>
    </row>
    <row r="283">
      <c r="A283" s="1" t="s">
        <v>855</v>
      </c>
      <c r="B283" s="1" t="s">
        <v>856</v>
      </c>
      <c r="C283" s="1" t="s">
        <v>857</v>
      </c>
      <c r="D283" s="1" t="s">
        <v>613</v>
      </c>
      <c r="E283" s="1" t="s">
        <v>614</v>
      </c>
      <c r="F283" s="1">
        <v>1947805.0</v>
      </c>
      <c r="G283" s="1">
        <v>93096.0</v>
      </c>
      <c r="H283" s="1">
        <v>2694.0</v>
      </c>
      <c r="I283" s="1">
        <v>1.1E8</v>
      </c>
      <c r="J283" s="1" t="s">
        <v>15</v>
      </c>
    </row>
    <row r="284">
      <c r="A284" s="1" t="s">
        <v>858</v>
      </c>
      <c r="B284" s="1" t="s">
        <v>859</v>
      </c>
      <c r="C284" s="1" t="s">
        <v>860</v>
      </c>
      <c r="D284" s="1" t="s">
        <v>613</v>
      </c>
      <c r="E284" s="1" t="s">
        <v>614</v>
      </c>
      <c r="F284" s="1">
        <v>1837423.0</v>
      </c>
      <c r="G284" s="1">
        <v>125114.0</v>
      </c>
      <c r="H284" s="1">
        <v>4444.0</v>
      </c>
      <c r="I284" s="1">
        <v>1.1E8</v>
      </c>
      <c r="J284" s="1" t="s">
        <v>15</v>
      </c>
    </row>
    <row r="285">
      <c r="A285" s="1" t="s">
        <v>861</v>
      </c>
      <c r="B285" s="1" t="s">
        <v>862</v>
      </c>
      <c r="C285" s="1" t="s">
        <v>863</v>
      </c>
      <c r="D285" s="1" t="s">
        <v>613</v>
      </c>
      <c r="E285" s="1" t="s">
        <v>614</v>
      </c>
      <c r="F285" s="1">
        <v>4266972.0</v>
      </c>
      <c r="G285" s="1">
        <v>258343.0</v>
      </c>
      <c r="H285" s="1">
        <v>8418.0</v>
      </c>
      <c r="I285" s="1">
        <v>1.1E8</v>
      </c>
      <c r="J285" s="1" t="s">
        <v>15</v>
      </c>
    </row>
    <row r="286">
      <c r="A286" s="1" t="s">
        <v>864</v>
      </c>
      <c r="B286" s="1" t="s">
        <v>865</v>
      </c>
      <c r="C286" s="1" t="s">
        <v>866</v>
      </c>
      <c r="D286" s="1" t="s">
        <v>613</v>
      </c>
      <c r="E286" s="1" t="s">
        <v>614</v>
      </c>
      <c r="F286" s="1">
        <v>3514488.0</v>
      </c>
      <c r="G286" s="1">
        <v>225436.0</v>
      </c>
      <c r="H286" s="1">
        <v>3118.0</v>
      </c>
      <c r="I286" s="1">
        <v>1.1E8</v>
      </c>
      <c r="J286" s="1" t="s">
        <v>15</v>
      </c>
    </row>
    <row r="287">
      <c r="A287" s="1" t="s">
        <v>867</v>
      </c>
      <c r="B287" s="1" t="s">
        <v>868</v>
      </c>
      <c r="C287" s="1" t="s">
        <v>869</v>
      </c>
      <c r="D287" s="1" t="s">
        <v>613</v>
      </c>
      <c r="E287" s="1" t="s">
        <v>614</v>
      </c>
      <c r="F287" s="1">
        <v>2929448.0</v>
      </c>
      <c r="G287" s="1">
        <v>222710.0</v>
      </c>
      <c r="H287" s="1">
        <v>6035.0</v>
      </c>
      <c r="I287" s="1">
        <v>1.1E8</v>
      </c>
      <c r="J287" s="1" t="s">
        <v>15</v>
      </c>
    </row>
    <row r="288">
      <c r="A288" s="1" t="s">
        <v>870</v>
      </c>
      <c r="B288" s="1" t="s">
        <v>871</v>
      </c>
      <c r="C288" s="1" t="s">
        <v>872</v>
      </c>
      <c r="D288" s="1" t="s">
        <v>613</v>
      </c>
      <c r="E288" s="1" t="s">
        <v>614</v>
      </c>
      <c r="F288" s="1">
        <v>1.3903235E7</v>
      </c>
      <c r="G288" s="1">
        <v>1483990.0</v>
      </c>
      <c r="H288" s="1">
        <v>97610.0</v>
      </c>
      <c r="I288" s="1">
        <v>1.1E8</v>
      </c>
      <c r="J288" s="1" t="s">
        <v>15</v>
      </c>
    </row>
    <row r="289">
      <c r="A289" s="1" t="s">
        <v>873</v>
      </c>
      <c r="B289" s="1" t="s">
        <v>874</v>
      </c>
      <c r="C289" s="1" t="s">
        <v>875</v>
      </c>
      <c r="D289" s="1" t="s">
        <v>613</v>
      </c>
      <c r="E289" s="1" t="s">
        <v>614</v>
      </c>
      <c r="F289" s="1">
        <v>3357142.0</v>
      </c>
      <c r="G289" s="1">
        <v>203209.0</v>
      </c>
      <c r="H289" s="1">
        <v>8731.0</v>
      </c>
      <c r="I289" s="1">
        <v>1.1E8</v>
      </c>
      <c r="J289" s="1" t="s">
        <v>15</v>
      </c>
    </row>
    <row r="290">
      <c r="A290" s="1" t="s">
        <v>876</v>
      </c>
      <c r="B290" s="1" t="s">
        <v>877</v>
      </c>
      <c r="C290" s="1" t="s">
        <v>878</v>
      </c>
      <c r="D290" s="1" t="s">
        <v>613</v>
      </c>
      <c r="E290" s="1" t="s">
        <v>614</v>
      </c>
      <c r="F290" s="1">
        <v>7331593.0</v>
      </c>
      <c r="G290" s="1">
        <v>502019.0</v>
      </c>
      <c r="H290" s="1">
        <v>21078.0</v>
      </c>
      <c r="I290" s="1">
        <v>1.1E8</v>
      </c>
      <c r="J290" s="1" t="s">
        <v>15</v>
      </c>
    </row>
    <row r="291">
      <c r="A291" s="1" t="s">
        <v>879</v>
      </c>
      <c r="B291" s="1" t="s">
        <v>880</v>
      </c>
      <c r="C291" s="1" t="s">
        <v>881</v>
      </c>
      <c r="D291" s="1" t="s">
        <v>613</v>
      </c>
      <c r="E291" s="1" t="s">
        <v>614</v>
      </c>
      <c r="F291" s="1">
        <v>3261745.0</v>
      </c>
      <c r="G291" s="1">
        <v>178943.0</v>
      </c>
      <c r="H291" s="1">
        <v>6734.0</v>
      </c>
      <c r="I291" s="1">
        <v>1.1E8</v>
      </c>
      <c r="J291" s="1" t="s">
        <v>15</v>
      </c>
    </row>
    <row r="292">
      <c r="A292" s="1" t="s">
        <v>882</v>
      </c>
      <c r="B292" s="1" t="s">
        <v>883</v>
      </c>
      <c r="C292" s="1" t="s">
        <v>884</v>
      </c>
      <c r="D292" s="1" t="s">
        <v>613</v>
      </c>
      <c r="E292" s="1" t="s">
        <v>614</v>
      </c>
      <c r="F292" s="1">
        <v>2815972.0</v>
      </c>
      <c r="G292" s="1">
        <v>189933.0</v>
      </c>
      <c r="H292" s="1">
        <v>6546.0</v>
      </c>
      <c r="I292" s="1">
        <v>1.1E8</v>
      </c>
      <c r="J292" s="1" t="s">
        <v>15</v>
      </c>
    </row>
    <row r="293">
      <c r="A293" s="1" t="s">
        <v>885</v>
      </c>
      <c r="B293" s="1" t="s">
        <v>886</v>
      </c>
      <c r="C293" s="1" t="s">
        <v>887</v>
      </c>
      <c r="D293" s="1" t="s">
        <v>613</v>
      </c>
      <c r="E293" s="1" t="s">
        <v>614</v>
      </c>
      <c r="F293" s="1">
        <v>2657979.0</v>
      </c>
      <c r="G293" s="1">
        <v>156256.0</v>
      </c>
      <c r="H293" s="1">
        <v>3748.0</v>
      </c>
      <c r="I293" s="1">
        <v>1.1E8</v>
      </c>
      <c r="J293" s="1" t="s">
        <v>15</v>
      </c>
    </row>
    <row r="294">
      <c r="A294" s="1" t="s">
        <v>888</v>
      </c>
      <c r="B294" s="1" t="s">
        <v>889</v>
      </c>
      <c r="C294" s="1" t="s">
        <v>890</v>
      </c>
      <c r="D294" s="1" t="s">
        <v>613</v>
      </c>
      <c r="E294" s="1" t="s">
        <v>614</v>
      </c>
      <c r="F294" s="1">
        <v>4667502.0</v>
      </c>
      <c r="G294" s="1">
        <v>286240.0</v>
      </c>
      <c r="H294" s="1">
        <v>12878.0</v>
      </c>
      <c r="I294" s="1">
        <v>1.1E8</v>
      </c>
      <c r="J294" s="1" t="s">
        <v>15</v>
      </c>
    </row>
    <row r="295">
      <c r="A295" s="1" t="s">
        <v>891</v>
      </c>
      <c r="B295" s="1" t="s">
        <v>892</v>
      </c>
      <c r="C295" s="1" t="s">
        <v>893</v>
      </c>
      <c r="D295" s="1" t="s">
        <v>613</v>
      </c>
      <c r="E295" s="1" t="s">
        <v>614</v>
      </c>
      <c r="F295" s="1">
        <v>3043187.0</v>
      </c>
      <c r="G295" s="1">
        <v>204518.0</v>
      </c>
      <c r="H295" s="1">
        <v>4253.0</v>
      </c>
      <c r="I295" s="1">
        <v>1.1E8</v>
      </c>
      <c r="J295" s="1" t="s">
        <v>15</v>
      </c>
    </row>
    <row r="296">
      <c r="A296" s="1" t="s">
        <v>894</v>
      </c>
      <c r="B296" s="1" t="s">
        <v>895</v>
      </c>
      <c r="C296" s="1" t="s">
        <v>896</v>
      </c>
      <c r="D296" s="1" t="s">
        <v>613</v>
      </c>
      <c r="E296" s="1" t="s">
        <v>614</v>
      </c>
      <c r="F296" s="1">
        <v>3578387.0</v>
      </c>
      <c r="G296" s="1">
        <v>214526.0</v>
      </c>
      <c r="H296" s="1">
        <v>4583.0</v>
      </c>
      <c r="I296" s="1">
        <v>1.1E8</v>
      </c>
      <c r="J296" s="1" t="s">
        <v>15</v>
      </c>
    </row>
    <row r="297">
      <c r="A297" s="1" t="s">
        <v>897</v>
      </c>
      <c r="B297" s="1" t="s">
        <v>898</v>
      </c>
      <c r="C297" s="1" t="s">
        <v>899</v>
      </c>
      <c r="D297" s="1" t="s">
        <v>613</v>
      </c>
      <c r="E297" s="1" t="s">
        <v>614</v>
      </c>
      <c r="F297" s="1">
        <v>2412829.0</v>
      </c>
      <c r="G297" s="1">
        <v>144343.0</v>
      </c>
      <c r="H297" s="1">
        <v>4012.0</v>
      </c>
      <c r="I297" s="1">
        <v>1.1E8</v>
      </c>
      <c r="J297" s="1" t="s">
        <v>15</v>
      </c>
    </row>
    <row r="298">
      <c r="A298" s="1" t="s">
        <v>900</v>
      </c>
      <c r="B298" s="1" t="s">
        <v>901</v>
      </c>
      <c r="C298" s="1" t="s">
        <v>902</v>
      </c>
      <c r="D298" s="1" t="s">
        <v>613</v>
      </c>
      <c r="E298" s="1" t="s">
        <v>614</v>
      </c>
      <c r="F298" s="1">
        <v>3130156.0</v>
      </c>
      <c r="G298" s="1">
        <v>161262.0</v>
      </c>
      <c r="H298" s="1">
        <v>6240.0</v>
      </c>
      <c r="I298" s="1">
        <v>1.1E8</v>
      </c>
      <c r="J298" s="1" t="s">
        <v>15</v>
      </c>
    </row>
    <row r="299">
      <c r="A299" s="1" t="s">
        <v>903</v>
      </c>
      <c r="B299" s="1" t="s">
        <v>904</v>
      </c>
      <c r="C299" s="1" t="s">
        <v>905</v>
      </c>
      <c r="D299" s="1" t="s">
        <v>613</v>
      </c>
      <c r="E299" s="1" t="s">
        <v>614</v>
      </c>
      <c r="F299" s="1">
        <v>3371433.0</v>
      </c>
      <c r="G299" s="1">
        <v>139887.0</v>
      </c>
      <c r="H299" s="1">
        <v>5716.0</v>
      </c>
      <c r="I299" s="1">
        <v>1.1E8</v>
      </c>
      <c r="J299" s="1" t="s">
        <v>15</v>
      </c>
    </row>
    <row r="300">
      <c r="A300" s="1" t="s">
        <v>906</v>
      </c>
      <c r="B300" s="1" t="s">
        <v>907</v>
      </c>
      <c r="C300" s="1" t="s">
        <v>908</v>
      </c>
      <c r="D300" s="1" t="s">
        <v>613</v>
      </c>
      <c r="E300" s="1" t="s">
        <v>614</v>
      </c>
      <c r="F300" s="1">
        <v>3456411.0</v>
      </c>
      <c r="G300" s="1">
        <v>193021.0</v>
      </c>
      <c r="H300" s="1">
        <v>5800.0</v>
      </c>
      <c r="I300" s="1">
        <v>1.1E8</v>
      </c>
      <c r="J300" s="1" t="s">
        <v>15</v>
      </c>
    </row>
    <row r="301">
      <c r="A301" s="1" t="s">
        <v>909</v>
      </c>
      <c r="B301" s="1" t="s">
        <v>910</v>
      </c>
      <c r="C301" s="1" t="s">
        <v>911</v>
      </c>
      <c r="D301" s="1" t="s">
        <v>613</v>
      </c>
      <c r="E301" s="1" t="s">
        <v>614</v>
      </c>
      <c r="F301" s="1">
        <v>3115496.0</v>
      </c>
      <c r="G301" s="1">
        <v>145848.0</v>
      </c>
      <c r="H301" s="1">
        <v>3719.0</v>
      </c>
      <c r="I301" s="1">
        <v>1.1E8</v>
      </c>
      <c r="J301" s="1" t="s">
        <v>15</v>
      </c>
    </row>
    <row r="302">
      <c r="A302" s="1" t="s">
        <v>912</v>
      </c>
      <c r="B302" s="1" t="s">
        <v>913</v>
      </c>
      <c r="C302" s="1" t="s">
        <v>914</v>
      </c>
      <c r="D302" s="1" t="s">
        <v>613</v>
      </c>
      <c r="E302" s="1" t="s">
        <v>614</v>
      </c>
      <c r="F302" s="1">
        <v>6731586.0</v>
      </c>
      <c r="G302" s="1">
        <v>185522.0</v>
      </c>
      <c r="H302" s="1">
        <v>8028.0</v>
      </c>
      <c r="I302" s="1">
        <v>1.1E8</v>
      </c>
      <c r="J302" s="1" t="s">
        <v>15</v>
      </c>
    </row>
    <row r="303">
      <c r="A303" s="1" t="s">
        <v>915</v>
      </c>
      <c r="B303" s="1" t="s">
        <v>916</v>
      </c>
      <c r="C303" s="1" t="s">
        <v>917</v>
      </c>
      <c r="D303" s="1" t="s">
        <v>613</v>
      </c>
      <c r="E303" s="1" t="s">
        <v>614</v>
      </c>
      <c r="F303" s="1">
        <v>5657268.0</v>
      </c>
      <c r="G303" s="1">
        <v>324470.0</v>
      </c>
      <c r="H303" s="1">
        <v>8875.0</v>
      </c>
      <c r="I303" s="1">
        <v>1.1E8</v>
      </c>
      <c r="J303" s="1" t="s">
        <v>15</v>
      </c>
    </row>
    <row r="304">
      <c r="A304" s="1" t="s">
        <v>918</v>
      </c>
      <c r="B304" s="1" t="s">
        <v>919</v>
      </c>
      <c r="C304" s="1" t="s">
        <v>920</v>
      </c>
      <c r="D304" s="1" t="s">
        <v>613</v>
      </c>
      <c r="E304" s="1" t="s">
        <v>614</v>
      </c>
      <c r="F304" s="1">
        <v>5413936.0</v>
      </c>
      <c r="G304" s="1">
        <v>215265.0</v>
      </c>
      <c r="H304" s="1">
        <v>5516.0</v>
      </c>
      <c r="I304" s="1">
        <v>1.1E8</v>
      </c>
      <c r="J304" s="1" t="s">
        <v>15</v>
      </c>
    </row>
    <row r="305">
      <c r="A305" s="1" t="s">
        <v>921</v>
      </c>
      <c r="B305" s="1" t="s">
        <v>922</v>
      </c>
      <c r="C305" s="1" t="s">
        <v>923</v>
      </c>
      <c r="D305" s="1" t="s">
        <v>613</v>
      </c>
      <c r="E305" s="1" t="s">
        <v>614</v>
      </c>
      <c r="F305" s="1">
        <v>4024960.0</v>
      </c>
      <c r="G305" s="1">
        <v>247608.0</v>
      </c>
      <c r="H305" s="1">
        <v>6985.0</v>
      </c>
      <c r="I305" s="1">
        <v>1.1E8</v>
      </c>
      <c r="J305" s="1" t="s">
        <v>15</v>
      </c>
    </row>
    <row r="306">
      <c r="A306" s="1" t="s">
        <v>924</v>
      </c>
      <c r="B306" s="1" t="s">
        <v>925</v>
      </c>
      <c r="C306" s="1" t="s">
        <v>926</v>
      </c>
      <c r="D306" s="1" t="s">
        <v>613</v>
      </c>
      <c r="E306" s="1" t="s">
        <v>614</v>
      </c>
      <c r="F306" s="1">
        <v>1.2703241E7</v>
      </c>
      <c r="G306" s="1">
        <v>1901598.0</v>
      </c>
      <c r="H306" s="1">
        <v>133108.0</v>
      </c>
      <c r="I306" s="1">
        <v>1.1E8</v>
      </c>
      <c r="J306" s="1" t="s">
        <v>15</v>
      </c>
    </row>
    <row r="307">
      <c r="A307" s="1" t="s">
        <v>927</v>
      </c>
      <c r="B307" s="1" t="s">
        <v>928</v>
      </c>
      <c r="C307" s="1" t="s">
        <v>929</v>
      </c>
      <c r="D307" s="1" t="s">
        <v>613</v>
      </c>
      <c r="E307" s="1" t="s">
        <v>614</v>
      </c>
      <c r="F307" s="1">
        <v>2913972.0</v>
      </c>
      <c r="G307" s="1">
        <v>211202.0</v>
      </c>
      <c r="H307" s="1">
        <v>5693.0</v>
      </c>
      <c r="I307" s="1">
        <v>1.1E8</v>
      </c>
      <c r="J307" s="1" t="s">
        <v>15</v>
      </c>
    </row>
    <row r="308">
      <c r="A308" s="1" t="s">
        <v>930</v>
      </c>
      <c r="B308" s="1" t="s">
        <v>931</v>
      </c>
      <c r="C308" s="1" t="s">
        <v>932</v>
      </c>
      <c r="D308" s="1" t="s">
        <v>613</v>
      </c>
      <c r="E308" s="1" t="s">
        <v>614</v>
      </c>
      <c r="F308" s="1">
        <v>2158953.0</v>
      </c>
      <c r="G308" s="1">
        <v>123888.0</v>
      </c>
      <c r="H308" s="1">
        <v>4225.0</v>
      </c>
      <c r="I308" s="1">
        <v>1.1E8</v>
      </c>
      <c r="J308" s="1" t="s">
        <v>15</v>
      </c>
    </row>
    <row r="309">
      <c r="A309" s="1" t="s">
        <v>933</v>
      </c>
      <c r="B309" s="1" t="s">
        <v>934</v>
      </c>
      <c r="C309" s="1" t="s">
        <v>935</v>
      </c>
      <c r="D309" s="1" t="s">
        <v>613</v>
      </c>
      <c r="E309" s="1" t="s">
        <v>614</v>
      </c>
      <c r="F309" s="1">
        <v>3388978.0</v>
      </c>
      <c r="G309" s="1">
        <v>143638.0</v>
      </c>
      <c r="H309" s="1">
        <v>4990.0</v>
      </c>
      <c r="I309" s="1">
        <v>1.1E8</v>
      </c>
      <c r="J309" s="1" t="s">
        <v>15</v>
      </c>
    </row>
    <row r="310">
      <c r="A310" s="1" t="s">
        <v>936</v>
      </c>
      <c r="B310" s="1" t="s">
        <v>937</v>
      </c>
      <c r="C310" s="1" t="s">
        <v>938</v>
      </c>
      <c r="D310" s="1" t="s">
        <v>613</v>
      </c>
      <c r="E310" s="1" t="s">
        <v>614</v>
      </c>
      <c r="F310" s="1">
        <v>7678682.0</v>
      </c>
      <c r="G310" s="1">
        <v>340923.0</v>
      </c>
      <c r="H310" s="1">
        <v>14005.0</v>
      </c>
      <c r="I310" s="1">
        <v>1.1E8</v>
      </c>
      <c r="J310" s="1" t="s">
        <v>15</v>
      </c>
    </row>
    <row r="311">
      <c r="A311" s="1" t="s">
        <v>939</v>
      </c>
      <c r="B311" s="1" t="s">
        <v>940</v>
      </c>
      <c r="C311" s="1" t="s">
        <v>941</v>
      </c>
      <c r="D311" s="1" t="s">
        <v>613</v>
      </c>
      <c r="E311" s="1" t="s">
        <v>614</v>
      </c>
      <c r="F311" s="1">
        <v>9613101.0</v>
      </c>
      <c r="G311" s="1">
        <v>524577.0</v>
      </c>
      <c r="H311" s="1">
        <v>20228.0</v>
      </c>
      <c r="I311" s="1">
        <v>1.1E8</v>
      </c>
      <c r="J311" s="1" t="s">
        <v>15</v>
      </c>
    </row>
    <row r="312">
      <c r="A312" s="1" t="s">
        <v>942</v>
      </c>
      <c r="B312" s="1" t="s">
        <v>943</v>
      </c>
      <c r="C312" s="1" t="s">
        <v>944</v>
      </c>
      <c r="D312" s="1" t="s">
        <v>613</v>
      </c>
      <c r="E312" s="1" t="s">
        <v>614</v>
      </c>
      <c r="F312" s="1">
        <v>2081708.0</v>
      </c>
      <c r="G312" s="1">
        <v>138286.0</v>
      </c>
      <c r="H312" s="1">
        <v>3645.0</v>
      </c>
      <c r="I312" s="1">
        <v>1.1E8</v>
      </c>
      <c r="J312" s="1" t="s">
        <v>15</v>
      </c>
    </row>
    <row r="313">
      <c r="A313" s="1" t="s">
        <v>945</v>
      </c>
      <c r="B313" s="1" t="s">
        <v>946</v>
      </c>
      <c r="C313" s="1" t="s">
        <v>947</v>
      </c>
      <c r="D313" s="1" t="s">
        <v>613</v>
      </c>
      <c r="E313" s="1" t="s">
        <v>614</v>
      </c>
      <c r="F313" s="1">
        <v>2876703.0</v>
      </c>
      <c r="G313" s="1">
        <v>185171.0</v>
      </c>
      <c r="H313" s="1">
        <v>6559.0</v>
      </c>
      <c r="I313" s="1">
        <v>1.1E8</v>
      </c>
      <c r="J313" s="1" t="s">
        <v>15</v>
      </c>
    </row>
    <row r="314">
      <c r="A314" s="1" t="s">
        <v>948</v>
      </c>
      <c r="B314" s="1" t="s">
        <v>949</v>
      </c>
      <c r="C314" s="1" t="s">
        <v>950</v>
      </c>
      <c r="D314" s="1" t="s">
        <v>613</v>
      </c>
      <c r="E314" s="1" t="s">
        <v>614</v>
      </c>
      <c r="F314" s="1">
        <v>4788254.0</v>
      </c>
      <c r="G314" s="1">
        <v>407618.0</v>
      </c>
      <c r="H314" s="1">
        <v>15983.0</v>
      </c>
      <c r="I314" s="1">
        <v>1.1E8</v>
      </c>
      <c r="J314" s="1" t="s">
        <v>15</v>
      </c>
    </row>
    <row r="315">
      <c r="A315" s="1" t="s">
        <v>951</v>
      </c>
      <c r="B315" s="1" t="s">
        <v>952</v>
      </c>
      <c r="C315" s="1" t="s">
        <v>953</v>
      </c>
      <c r="D315" s="1" t="s">
        <v>613</v>
      </c>
      <c r="E315" s="1" t="s">
        <v>614</v>
      </c>
      <c r="F315" s="1">
        <v>2952998.0</v>
      </c>
      <c r="G315" s="1">
        <v>192766.0</v>
      </c>
      <c r="H315" s="1">
        <v>5090.0</v>
      </c>
      <c r="I315" s="1">
        <v>1.1E8</v>
      </c>
      <c r="J315" s="1" t="s">
        <v>15</v>
      </c>
    </row>
    <row r="316">
      <c r="A316" s="1" t="s">
        <v>954</v>
      </c>
      <c r="B316" s="1" t="s">
        <v>955</v>
      </c>
      <c r="C316" s="1" t="s">
        <v>956</v>
      </c>
      <c r="D316" s="1" t="s">
        <v>613</v>
      </c>
      <c r="E316" s="1" t="s">
        <v>614</v>
      </c>
      <c r="F316" s="1">
        <v>4860852.0</v>
      </c>
      <c r="G316" s="1">
        <v>315450.0</v>
      </c>
      <c r="H316" s="1">
        <v>10698.0</v>
      </c>
      <c r="I316" s="1">
        <v>1.1E8</v>
      </c>
      <c r="J316" s="1" t="s">
        <v>15</v>
      </c>
    </row>
    <row r="317">
      <c r="A317" s="1" t="s">
        <v>957</v>
      </c>
      <c r="B317" s="1" t="s">
        <v>958</v>
      </c>
      <c r="C317" s="1" t="s">
        <v>959</v>
      </c>
      <c r="D317" s="1" t="s">
        <v>613</v>
      </c>
      <c r="E317" s="1" t="s">
        <v>614</v>
      </c>
      <c r="F317" s="1">
        <v>4729942.0</v>
      </c>
      <c r="G317" s="1">
        <v>239920.0</v>
      </c>
      <c r="H317" s="1">
        <v>7892.0</v>
      </c>
      <c r="I317" s="1">
        <v>1.1E8</v>
      </c>
      <c r="J317" s="1" t="s">
        <v>15</v>
      </c>
    </row>
    <row r="318">
      <c r="A318" s="1" t="s">
        <v>960</v>
      </c>
      <c r="B318" s="1" t="s">
        <v>961</v>
      </c>
      <c r="C318" s="1" t="s">
        <v>962</v>
      </c>
      <c r="D318" s="1" t="s">
        <v>613</v>
      </c>
      <c r="E318" s="1" t="s">
        <v>614</v>
      </c>
      <c r="F318" s="1">
        <v>3311034.0</v>
      </c>
      <c r="G318" s="1">
        <v>136873.0</v>
      </c>
      <c r="H318" s="1">
        <v>3909.0</v>
      </c>
      <c r="I318" s="1">
        <v>1.1E8</v>
      </c>
      <c r="J318" s="1" t="s">
        <v>15</v>
      </c>
    </row>
    <row r="319">
      <c r="A319" s="1" t="s">
        <v>963</v>
      </c>
      <c r="B319" s="1" t="s">
        <v>964</v>
      </c>
      <c r="C319" s="1" t="s">
        <v>965</v>
      </c>
      <c r="D319" s="1" t="s">
        <v>613</v>
      </c>
      <c r="E319" s="1" t="s">
        <v>614</v>
      </c>
      <c r="F319" s="1">
        <v>5852596.0</v>
      </c>
      <c r="G319" s="1">
        <v>212115.0</v>
      </c>
      <c r="H319" s="1">
        <v>6164.0</v>
      </c>
      <c r="I319" s="1">
        <v>1.1E8</v>
      </c>
      <c r="J319" s="1" t="s">
        <v>15</v>
      </c>
    </row>
    <row r="320">
      <c r="A320" s="1" t="s">
        <v>966</v>
      </c>
      <c r="B320" s="1" t="s">
        <v>967</v>
      </c>
      <c r="C320" s="1" t="s">
        <v>968</v>
      </c>
      <c r="D320" s="1" t="s">
        <v>613</v>
      </c>
      <c r="E320" s="1" t="s">
        <v>614</v>
      </c>
      <c r="F320" s="1">
        <v>7474320.0</v>
      </c>
      <c r="G320" s="1">
        <v>294590.0</v>
      </c>
      <c r="H320" s="1">
        <v>9537.0</v>
      </c>
      <c r="I320" s="1">
        <v>1.1E8</v>
      </c>
      <c r="J320" s="1" t="s">
        <v>15</v>
      </c>
    </row>
    <row r="321">
      <c r="A321" s="1" t="s">
        <v>969</v>
      </c>
      <c r="B321" s="1" t="s">
        <v>970</v>
      </c>
      <c r="C321" s="1" t="s">
        <v>971</v>
      </c>
      <c r="D321" s="1" t="s">
        <v>613</v>
      </c>
      <c r="E321" s="1" t="s">
        <v>614</v>
      </c>
      <c r="F321" s="1">
        <v>2114896.0</v>
      </c>
      <c r="G321" s="1">
        <v>111741.0</v>
      </c>
      <c r="H321" s="1">
        <v>5107.0</v>
      </c>
      <c r="I321" s="1">
        <v>1.1E8</v>
      </c>
      <c r="J321" s="1" t="s">
        <v>15</v>
      </c>
    </row>
    <row r="322">
      <c r="A322" s="1" t="s">
        <v>972</v>
      </c>
      <c r="B322" s="1" t="s">
        <v>973</v>
      </c>
      <c r="C322" s="1" t="s">
        <v>974</v>
      </c>
      <c r="D322" s="1" t="s">
        <v>613</v>
      </c>
      <c r="E322" s="1" t="s">
        <v>614</v>
      </c>
      <c r="F322" s="1">
        <v>4784594.0</v>
      </c>
      <c r="G322" s="1">
        <v>225110.0</v>
      </c>
      <c r="H322" s="1">
        <v>8503.0</v>
      </c>
      <c r="I322" s="1">
        <v>1.1E8</v>
      </c>
      <c r="J322" s="1" t="s">
        <v>15</v>
      </c>
    </row>
    <row r="323">
      <c r="A323" s="1" t="s">
        <v>975</v>
      </c>
      <c r="B323" s="1" t="s">
        <v>976</v>
      </c>
      <c r="C323" s="1" t="s">
        <v>977</v>
      </c>
      <c r="D323" s="1" t="s">
        <v>613</v>
      </c>
      <c r="E323" s="1" t="s">
        <v>614</v>
      </c>
      <c r="F323" s="1">
        <v>8880229.0</v>
      </c>
      <c r="G323" s="1">
        <v>331838.0</v>
      </c>
      <c r="H323" s="1">
        <v>17895.0</v>
      </c>
      <c r="I323" s="1">
        <v>1.1E8</v>
      </c>
      <c r="J323" s="1" t="s">
        <v>15</v>
      </c>
    </row>
    <row r="324">
      <c r="A324" s="1" t="s">
        <v>978</v>
      </c>
      <c r="B324" s="1" t="s">
        <v>979</v>
      </c>
      <c r="C324" s="1" t="s">
        <v>980</v>
      </c>
      <c r="D324" s="1" t="s">
        <v>613</v>
      </c>
      <c r="E324" s="1" t="s">
        <v>614</v>
      </c>
      <c r="F324" s="1">
        <v>1341662.0</v>
      </c>
      <c r="G324" s="1">
        <v>91099.0</v>
      </c>
      <c r="H324" s="1">
        <v>3400.0</v>
      </c>
      <c r="I324" s="1">
        <v>1.1E8</v>
      </c>
      <c r="J324" s="1" t="s">
        <v>15</v>
      </c>
    </row>
    <row r="325">
      <c r="A325" s="1" t="s">
        <v>981</v>
      </c>
      <c r="B325" s="1" t="s">
        <v>982</v>
      </c>
      <c r="C325" s="1" t="s">
        <v>983</v>
      </c>
      <c r="D325" s="1" t="s">
        <v>613</v>
      </c>
      <c r="E325" s="1" t="s">
        <v>614</v>
      </c>
      <c r="F325" s="1">
        <v>3927863.0</v>
      </c>
      <c r="G325" s="1">
        <v>162625.0</v>
      </c>
      <c r="H325" s="1">
        <v>5935.0</v>
      </c>
      <c r="I325" s="1">
        <v>1.1E8</v>
      </c>
      <c r="J325" s="1" t="s">
        <v>15</v>
      </c>
    </row>
    <row r="326">
      <c r="A326" s="1" t="s">
        <v>984</v>
      </c>
      <c r="B326" s="1" t="s">
        <v>985</v>
      </c>
      <c r="C326" s="1" t="s">
        <v>986</v>
      </c>
      <c r="D326" s="1" t="s">
        <v>613</v>
      </c>
      <c r="E326" s="1" t="s">
        <v>614</v>
      </c>
      <c r="F326" s="1">
        <v>1880009.0</v>
      </c>
      <c r="G326" s="1">
        <v>115765.0</v>
      </c>
      <c r="H326" s="1">
        <v>5079.0</v>
      </c>
      <c r="I326" s="1">
        <v>1.1E8</v>
      </c>
      <c r="J326" s="1" t="s">
        <v>15</v>
      </c>
    </row>
    <row r="327">
      <c r="A327" s="1" t="s">
        <v>987</v>
      </c>
      <c r="B327" s="1" t="s">
        <v>988</v>
      </c>
      <c r="C327" s="1" t="s">
        <v>989</v>
      </c>
      <c r="D327" s="1" t="s">
        <v>613</v>
      </c>
      <c r="E327" s="1" t="s">
        <v>614</v>
      </c>
      <c r="F327" s="1">
        <v>2242673.0</v>
      </c>
      <c r="G327" s="1">
        <v>158275.0</v>
      </c>
      <c r="H327" s="1">
        <v>6490.0</v>
      </c>
      <c r="I327" s="1">
        <v>1.1E8</v>
      </c>
      <c r="J327" s="1" t="s">
        <v>15</v>
      </c>
    </row>
    <row r="328">
      <c r="A328" s="1" t="s">
        <v>990</v>
      </c>
      <c r="B328" s="1" t="s">
        <v>991</v>
      </c>
      <c r="C328" s="1" t="s">
        <v>992</v>
      </c>
      <c r="D328" s="1" t="s">
        <v>613</v>
      </c>
      <c r="E328" s="1" t="s">
        <v>614</v>
      </c>
      <c r="F328" s="1">
        <v>3795632.0</v>
      </c>
      <c r="G328" s="1">
        <v>193071.0</v>
      </c>
      <c r="H328" s="1">
        <v>7410.0</v>
      </c>
      <c r="I328" s="1">
        <v>1.1E8</v>
      </c>
      <c r="J328" s="1" t="s">
        <v>15</v>
      </c>
    </row>
    <row r="329">
      <c r="A329" s="1" t="s">
        <v>993</v>
      </c>
      <c r="B329" s="1" t="s">
        <v>994</v>
      </c>
      <c r="C329" s="1" t="s">
        <v>995</v>
      </c>
      <c r="D329" s="1" t="s">
        <v>613</v>
      </c>
      <c r="E329" s="1" t="s">
        <v>614</v>
      </c>
      <c r="F329" s="1">
        <v>4090188.0</v>
      </c>
      <c r="G329" s="1">
        <v>229256.0</v>
      </c>
      <c r="H329" s="1">
        <v>7764.0</v>
      </c>
      <c r="I329" s="1">
        <v>1.1E8</v>
      </c>
      <c r="J329" s="1" t="s">
        <v>15</v>
      </c>
    </row>
    <row r="330">
      <c r="A330" s="1" t="s">
        <v>996</v>
      </c>
      <c r="B330" s="1" t="s">
        <v>997</v>
      </c>
      <c r="C330" s="1" t="s">
        <v>998</v>
      </c>
      <c r="D330" s="1" t="s">
        <v>613</v>
      </c>
      <c r="E330" s="1" t="s">
        <v>614</v>
      </c>
      <c r="F330" s="1">
        <v>3260721.0</v>
      </c>
      <c r="G330" s="1">
        <v>191950.0</v>
      </c>
      <c r="H330" s="1">
        <v>6442.0</v>
      </c>
      <c r="I330" s="1">
        <v>1.1E8</v>
      </c>
      <c r="J330" s="1" t="s">
        <v>15</v>
      </c>
    </row>
    <row r="331">
      <c r="A331" s="1" t="s">
        <v>999</v>
      </c>
      <c r="B331" s="1" t="s">
        <v>1000</v>
      </c>
      <c r="C331" s="1" t="s">
        <v>1001</v>
      </c>
      <c r="D331" s="1" t="s">
        <v>613</v>
      </c>
      <c r="E331" s="1" t="s">
        <v>614</v>
      </c>
      <c r="F331" s="1">
        <v>2604946.0</v>
      </c>
      <c r="G331" s="1">
        <v>193398.0</v>
      </c>
      <c r="H331" s="1">
        <v>5693.0</v>
      </c>
      <c r="I331" s="1">
        <v>1.1E8</v>
      </c>
      <c r="J331" s="1" t="s">
        <v>15</v>
      </c>
    </row>
    <row r="332">
      <c r="A332" s="1" t="s">
        <v>1002</v>
      </c>
      <c r="B332" s="1" t="s">
        <v>1003</v>
      </c>
      <c r="C332" s="1" t="s">
        <v>1004</v>
      </c>
      <c r="D332" s="1" t="s">
        <v>613</v>
      </c>
      <c r="E332" s="1" t="s">
        <v>614</v>
      </c>
      <c r="F332" s="1">
        <v>5162434.0</v>
      </c>
      <c r="G332" s="1">
        <v>247644.0</v>
      </c>
      <c r="H332" s="1">
        <v>7610.0</v>
      </c>
      <c r="I332" s="1">
        <v>1.1E8</v>
      </c>
      <c r="J332" s="1" t="s">
        <v>15</v>
      </c>
    </row>
    <row r="333">
      <c r="A333" s="1" t="s">
        <v>1005</v>
      </c>
      <c r="B333" s="1" t="s">
        <v>1006</v>
      </c>
      <c r="C333" s="1" t="s">
        <v>1007</v>
      </c>
      <c r="D333" s="1" t="s">
        <v>613</v>
      </c>
      <c r="E333" s="1" t="s">
        <v>614</v>
      </c>
      <c r="F333" s="1">
        <v>5474710.0</v>
      </c>
      <c r="G333" s="1">
        <v>294966.0</v>
      </c>
      <c r="H333" s="1">
        <v>14407.0</v>
      </c>
      <c r="I333" s="1">
        <v>1.1E8</v>
      </c>
      <c r="J333" s="1" t="s">
        <v>15</v>
      </c>
    </row>
    <row r="334">
      <c r="A334" s="1" t="s">
        <v>1008</v>
      </c>
      <c r="B334" s="1" t="s">
        <v>1009</v>
      </c>
      <c r="C334" s="1" t="s">
        <v>1010</v>
      </c>
      <c r="D334" s="1" t="s">
        <v>613</v>
      </c>
      <c r="E334" s="1" t="s">
        <v>614</v>
      </c>
      <c r="F334" s="1">
        <v>4698488.0</v>
      </c>
      <c r="G334" s="1">
        <v>435510.0</v>
      </c>
      <c r="H334" s="1">
        <v>20096.0</v>
      </c>
      <c r="I334" s="1">
        <v>1.1E8</v>
      </c>
      <c r="J334" s="1" t="s">
        <v>15</v>
      </c>
    </row>
    <row r="335">
      <c r="A335" s="1" t="s">
        <v>1011</v>
      </c>
      <c r="B335" s="1" t="s">
        <v>1012</v>
      </c>
      <c r="C335" s="1" t="s">
        <v>1013</v>
      </c>
      <c r="D335" s="1" t="s">
        <v>613</v>
      </c>
      <c r="E335" s="1" t="s">
        <v>614</v>
      </c>
      <c r="F335" s="1">
        <v>2172707.0</v>
      </c>
      <c r="G335" s="1">
        <v>131192.0</v>
      </c>
      <c r="H335" s="1">
        <v>5251.0</v>
      </c>
      <c r="I335" s="1">
        <v>1.1E8</v>
      </c>
      <c r="J335" s="1" t="s">
        <v>15</v>
      </c>
    </row>
    <row r="336">
      <c r="A336" s="1" t="s">
        <v>1014</v>
      </c>
      <c r="B336" s="1" t="s">
        <v>1015</v>
      </c>
      <c r="C336" s="1" t="s">
        <v>1016</v>
      </c>
      <c r="D336" s="1" t="s">
        <v>613</v>
      </c>
      <c r="E336" s="1" t="s">
        <v>614</v>
      </c>
      <c r="F336" s="1">
        <v>5159184.0</v>
      </c>
      <c r="G336" s="1">
        <v>228905.0</v>
      </c>
      <c r="H336" s="1">
        <v>9097.0</v>
      </c>
      <c r="I336" s="1">
        <v>1.1E8</v>
      </c>
      <c r="J336" s="1" t="s">
        <v>15</v>
      </c>
    </row>
    <row r="337">
      <c r="A337" s="1" t="s">
        <v>1017</v>
      </c>
      <c r="B337" s="1" t="s">
        <v>1018</v>
      </c>
      <c r="C337" s="1" t="s">
        <v>1019</v>
      </c>
      <c r="D337" s="1" t="s">
        <v>613</v>
      </c>
      <c r="E337" s="1" t="s">
        <v>614</v>
      </c>
      <c r="F337" s="1">
        <v>2158534.0</v>
      </c>
      <c r="G337" s="1">
        <v>141027.0</v>
      </c>
      <c r="H337" s="1">
        <v>5864.0</v>
      </c>
      <c r="I337" s="1">
        <v>1.1E8</v>
      </c>
      <c r="J337" s="1" t="s">
        <v>15</v>
      </c>
    </row>
    <row r="338">
      <c r="A338" s="1" t="s">
        <v>1020</v>
      </c>
      <c r="B338" s="1" t="s">
        <v>1021</v>
      </c>
      <c r="C338" s="1" t="s">
        <v>1022</v>
      </c>
      <c r="D338" s="1" t="s">
        <v>613</v>
      </c>
      <c r="E338" s="1" t="s">
        <v>614</v>
      </c>
      <c r="F338" s="1">
        <v>3282491.0</v>
      </c>
      <c r="G338" s="1">
        <v>159658.0</v>
      </c>
      <c r="H338" s="1">
        <v>4108.0</v>
      </c>
      <c r="I338" s="1">
        <v>1.1E8</v>
      </c>
      <c r="J338" s="1" t="s">
        <v>15</v>
      </c>
    </row>
    <row r="339">
      <c r="A339" s="1" t="s">
        <v>1023</v>
      </c>
      <c r="B339" s="1" t="s">
        <v>1024</v>
      </c>
      <c r="C339" s="1" t="s">
        <v>1025</v>
      </c>
      <c r="D339" s="1" t="s">
        <v>613</v>
      </c>
      <c r="E339" s="1" t="s">
        <v>614</v>
      </c>
      <c r="F339" s="1">
        <v>2186182.0</v>
      </c>
      <c r="G339" s="1">
        <v>139492.0</v>
      </c>
      <c r="H339" s="1">
        <v>7048.0</v>
      </c>
      <c r="I339" s="1">
        <v>1.1E8</v>
      </c>
      <c r="J339" s="1" t="s">
        <v>15</v>
      </c>
    </row>
    <row r="340">
      <c r="A340" s="1" t="s">
        <v>1026</v>
      </c>
      <c r="B340" s="1" t="s">
        <v>1027</v>
      </c>
      <c r="C340" s="1" t="s">
        <v>1028</v>
      </c>
      <c r="D340" s="1" t="s">
        <v>613</v>
      </c>
      <c r="E340" s="1" t="s">
        <v>614</v>
      </c>
      <c r="F340" s="1">
        <v>2029468.0</v>
      </c>
      <c r="G340" s="1">
        <v>143588.0</v>
      </c>
      <c r="H340" s="1">
        <v>5020.0</v>
      </c>
      <c r="I340" s="1">
        <v>1.1E8</v>
      </c>
      <c r="J340" s="1" t="s">
        <v>15</v>
      </c>
    </row>
    <row r="341">
      <c r="A341" s="1" t="s">
        <v>1029</v>
      </c>
      <c r="B341" s="1" t="s">
        <v>1030</v>
      </c>
      <c r="C341" s="1" t="s">
        <v>1031</v>
      </c>
      <c r="D341" s="1" t="s">
        <v>613</v>
      </c>
      <c r="E341" s="1" t="s">
        <v>614</v>
      </c>
      <c r="F341" s="1">
        <v>3219539.0</v>
      </c>
      <c r="G341" s="1">
        <v>215102.0</v>
      </c>
      <c r="H341" s="1">
        <v>9662.0</v>
      </c>
      <c r="I341" s="1">
        <v>1.1E8</v>
      </c>
      <c r="J341" s="1" t="s">
        <v>15</v>
      </c>
    </row>
    <row r="342">
      <c r="A342" s="1" t="s">
        <v>1032</v>
      </c>
      <c r="B342" s="1" t="s">
        <v>1033</v>
      </c>
      <c r="C342" s="1" t="s">
        <v>1034</v>
      </c>
      <c r="D342" s="1" t="s">
        <v>613</v>
      </c>
      <c r="E342" s="1" t="s">
        <v>614</v>
      </c>
      <c r="F342" s="1">
        <v>3180884.0</v>
      </c>
      <c r="G342" s="1">
        <v>180224.0</v>
      </c>
      <c r="H342" s="1">
        <v>5578.0</v>
      </c>
      <c r="I342" s="1">
        <v>1.1E8</v>
      </c>
      <c r="J342" s="1" t="s">
        <v>15</v>
      </c>
    </row>
    <row r="343">
      <c r="A343" s="1" t="s">
        <v>1035</v>
      </c>
      <c r="B343" s="1" t="s">
        <v>1036</v>
      </c>
      <c r="C343" s="1" t="s">
        <v>1037</v>
      </c>
      <c r="D343" s="1" t="s">
        <v>613</v>
      </c>
      <c r="E343" s="1" t="s">
        <v>614</v>
      </c>
      <c r="F343" s="1">
        <v>3662391.0</v>
      </c>
      <c r="G343" s="1">
        <v>274499.0</v>
      </c>
      <c r="H343" s="1">
        <v>15724.0</v>
      </c>
      <c r="I343" s="1">
        <v>1.1E8</v>
      </c>
      <c r="J343" s="1" t="s">
        <v>15</v>
      </c>
    </row>
    <row r="344">
      <c r="A344" s="1" t="s">
        <v>1038</v>
      </c>
      <c r="B344" s="1" t="s">
        <v>1039</v>
      </c>
      <c r="C344" s="1" t="s">
        <v>1040</v>
      </c>
      <c r="D344" s="1" t="s">
        <v>613</v>
      </c>
      <c r="E344" s="1" t="s">
        <v>614</v>
      </c>
      <c r="F344" s="1">
        <v>3771984.0</v>
      </c>
      <c r="G344" s="1">
        <v>277429.0</v>
      </c>
      <c r="H344" s="1">
        <v>16113.0</v>
      </c>
      <c r="I344" s="1">
        <v>1.1E8</v>
      </c>
      <c r="J344" s="1" t="s">
        <v>15</v>
      </c>
    </row>
    <row r="345">
      <c r="A345" s="1" t="s">
        <v>1041</v>
      </c>
      <c r="B345" s="1" t="s">
        <v>1042</v>
      </c>
      <c r="C345" s="1" t="s">
        <v>1043</v>
      </c>
      <c r="D345" s="1" t="s">
        <v>613</v>
      </c>
      <c r="E345" s="1" t="s">
        <v>614</v>
      </c>
      <c r="F345" s="1">
        <v>4950828.0</v>
      </c>
      <c r="G345" s="1">
        <v>216909.0</v>
      </c>
      <c r="H345" s="1">
        <v>9161.0</v>
      </c>
      <c r="I345" s="1">
        <v>1.1E8</v>
      </c>
      <c r="J345" s="1" t="s">
        <v>15</v>
      </c>
    </row>
    <row r="346">
      <c r="A346" s="1" t="s">
        <v>1044</v>
      </c>
      <c r="B346" s="1" t="s">
        <v>1045</v>
      </c>
      <c r="C346" s="1" t="s">
        <v>1046</v>
      </c>
      <c r="D346" s="1" t="s">
        <v>613</v>
      </c>
      <c r="E346" s="1" t="s">
        <v>614</v>
      </c>
      <c r="F346" s="1">
        <v>3187100.0</v>
      </c>
      <c r="G346" s="1">
        <v>216358.0</v>
      </c>
      <c r="H346" s="1">
        <v>9283.0</v>
      </c>
      <c r="I346" s="1">
        <v>1.1E8</v>
      </c>
      <c r="J346" s="1" t="s">
        <v>15</v>
      </c>
    </row>
    <row r="347">
      <c r="A347" s="1" t="s">
        <v>1047</v>
      </c>
      <c r="B347" s="1" t="s">
        <v>1048</v>
      </c>
      <c r="C347" s="1" t="s">
        <v>1049</v>
      </c>
      <c r="D347" s="1" t="s">
        <v>613</v>
      </c>
      <c r="E347" s="1" t="s">
        <v>614</v>
      </c>
      <c r="F347" s="1">
        <v>5931311.0</v>
      </c>
      <c r="G347" s="1">
        <v>261296.0</v>
      </c>
      <c r="H347" s="1">
        <v>5295.0</v>
      </c>
      <c r="I347" s="1">
        <v>1.1E8</v>
      </c>
      <c r="J347" s="1" t="s">
        <v>15</v>
      </c>
    </row>
    <row r="348">
      <c r="A348" s="1" t="s">
        <v>1050</v>
      </c>
      <c r="B348" s="1" t="s">
        <v>1051</v>
      </c>
      <c r="C348" s="1" t="s">
        <v>1052</v>
      </c>
      <c r="D348" s="1" t="s">
        <v>613</v>
      </c>
      <c r="E348" s="1" t="s">
        <v>614</v>
      </c>
      <c r="F348" s="1">
        <v>4202181.0</v>
      </c>
      <c r="G348" s="1">
        <v>260130.0</v>
      </c>
      <c r="H348" s="1">
        <v>10533.0</v>
      </c>
      <c r="I348" s="1">
        <v>1.1E8</v>
      </c>
      <c r="J348" s="1" t="s">
        <v>15</v>
      </c>
    </row>
    <row r="349">
      <c r="A349" s="1" t="s">
        <v>1053</v>
      </c>
      <c r="B349" s="1" t="s">
        <v>1054</v>
      </c>
      <c r="C349" s="1" t="s">
        <v>1055</v>
      </c>
      <c r="D349" s="1" t="s">
        <v>613</v>
      </c>
      <c r="E349" s="1" t="s">
        <v>614</v>
      </c>
      <c r="F349" s="1">
        <v>7112133.0</v>
      </c>
      <c r="G349" s="1">
        <v>356881.0</v>
      </c>
      <c r="H349" s="1">
        <v>11153.0</v>
      </c>
      <c r="I349" s="1">
        <v>1.1E8</v>
      </c>
      <c r="J349" s="1" t="s">
        <v>15</v>
      </c>
    </row>
    <row r="350">
      <c r="A350" s="1" t="s">
        <v>1056</v>
      </c>
      <c r="B350" s="1" t="s">
        <v>1057</v>
      </c>
      <c r="C350" s="1" t="s">
        <v>1058</v>
      </c>
      <c r="D350" s="1" t="s">
        <v>613</v>
      </c>
      <c r="E350" s="1" t="s">
        <v>614</v>
      </c>
      <c r="F350" s="1">
        <v>4818722.0</v>
      </c>
      <c r="G350" s="1">
        <v>227555.0</v>
      </c>
      <c r="H350" s="1">
        <v>5179.0</v>
      </c>
      <c r="I350" s="1">
        <v>1.1E8</v>
      </c>
      <c r="J350" s="1" t="s">
        <v>15</v>
      </c>
    </row>
    <row r="351">
      <c r="A351" s="1" t="s">
        <v>1059</v>
      </c>
      <c r="B351" s="1" t="s">
        <v>1060</v>
      </c>
      <c r="C351" s="1" t="s">
        <v>1061</v>
      </c>
      <c r="D351" s="1" t="s">
        <v>613</v>
      </c>
      <c r="E351" s="1" t="s">
        <v>614</v>
      </c>
      <c r="F351" s="1">
        <v>3941207.0</v>
      </c>
      <c r="G351" s="1">
        <v>259562.0</v>
      </c>
      <c r="H351" s="1">
        <v>10368.0</v>
      </c>
      <c r="I351" s="1">
        <v>1.1E8</v>
      </c>
      <c r="J351" s="1" t="s">
        <v>15</v>
      </c>
    </row>
    <row r="352">
      <c r="A352" s="1" t="s">
        <v>1062</v>
      </c>
      <c r="B352" s="1" t="s">
        <v>1063</v>
      </c>
      <c r="C352" s="1" t="s">
        <v>1064</v>
      </c>
      <c r="D352" s="1" t="s">
        <v>613</v>
      </c>
      <c r="E352" s="1" t="s">
        <v>614</v>
      </c>
      <c r="F352" s="1">
        <v>3258252.0</v>
      </c>
      <c r="G352" s="1">
        <v>223232.0</v>
      </c>
      <c r="H352" s="1">
        <v>3796.0</v>
      </c>
      <c r="I352" s="1">
        <v>1.1E8</v>
      </c>
      <c r="J352" s="1" t="s">
        <v>15</v>
      </c>
    </row>
    <row r="353">
      <c r="A353" s="1" t="s">
        <v>1065</v>
      </c>
      <c r="B353" s="1" t="s">
        <v>1066</v>
      </c>
      <c r="C353" s="1" t="s">
        <v>1067</v>
      </c>
      <c r="D353" s="1" t="s">
        <v>613</v>
      </c>
      <c r="E353" s="1" t="s">
        <v>614</v>
      </c>
      <c r="F353" s="1">
        <v>4446202.0</v>
      </c>
      <c r="G353" s="1">
        <v>305551.0</v>
      </c>
      <c r="H353" s="1">
        <v>14506.0</v>
      </c>
      <c r="I353" s="1">
        <v>1.1E8</v>
      </c>
      <c r="J353" s="1" t="s">
        <v>15</v>
      </c>
    </row>
    <row r="354">
      <c r="A354" s="1" t="s">
        <v>1068</v>
      </c>
      <c r="B354" s="1" t="s">
        <v>1069</v>
      </c>
      <c r="C354" s="1" t="s">
        <v>1070</v>
      </c>
      <c r="D354" s="1" t="s">
        <v>613</v>
      </c>
      <c r="E354" s="1" t="s">
        <v>614</v>
      </c>
      <c r="F354" s="1">
        <v>5068832.0</v>
      </c>
      <c r="G354" s="1">
        <v>252465.0</v>
      </c>
      <c r="H354" s="1">
        <v>7798.0</v>
      </c>
      <c r="I354" s="1">
        <v>1.1E8</v>
      </c>
      <c r="J354" s="1" t="s">
        <v>15</v>
      </c>
    </row>
    <row r="355">
      <c r="A355" s="1" t="s">
        <v>1071</v>
      </c>
      <c r="B355" s="1" t="s">
        <v>1072</v>
      </c>
      <c r="C355" s="1" t="s">
        <v>1073</v>
      </c>
      <c r="D355" s="1" t="s">
        <v>613</v>
      </c>
      <c r="E355" s="1" t="s">
        <v>614</v>
      </c>
      <c r="F355" s="1">
        <v>6145552.0</v>
      </c>
      <c r="G355" s="1">
        <v>393659.0</v>
      </c>
      <c r="H355" s="1">
        <v>16508.0</v>
      </c>
      <c r="I355" s="1">
        <v>1.1E8</v>
      </c>
      <c r="J355" s="1" t="s">
        <v>15</v>
      </c>
    </row>
    <row r="356">
      <c r="A356" s="1" t="s">
        <v>1074</v>
      </c>
      <c r="B356" s="1" t="s">
        <v>1075</v>
      </c>
      <c r="C356" s="1" t="s">
        <v>1076</v>
      </c>
      <c r="D356" s="1" t="s">
        <v>613</v>
      </c>
      <c r="E356" s="1" t="s">
        <v>614</v>
      </c>
      <c r="F356" s="1">
        <v>5277299.0</v>
      </c>
      <c r="G356" s="1">
        <v>320071.0</v>
      </c>
      <c r="H356" s="1">
        <v>10887.0</v>
      </c>
      <c r="I356" s="1">
        <v>1.1E8</v>
      </c>
      <c r="J356" s="1" t="s">
        <v>15</v>
      </c>
    </row>
    <row r="357">
      <c r="A357" s="1" t="s">
        <v>1077</v>
      </c>
      <c r="B357" s="1" t="s">
        <v>1078</v>
      </c>
      <c r="C357" s="1" t="s">
        <v>1079</v>
      </c>
      <c r="D357" s="1" t="s">
        <v>613</v>
      </c>
      <c r="E357" s="1" t="s">
        <v>614</v>
      </c>
      <c r="F357" s="1">
        <v>6329544.0</v>
      </c>
      <c r="G357" s="1">
        <v>422757.0</v>
      </c>
      <c r="H357" s="1">
        <v>16995.0</v>
      </c>
      <c r="I357" s="1">
        <v>1.1E8</v>
      </c>
      <c r="J357" s="1" t="s">
        <v>15</v>
      </c>
    </row>
    <row r="358">
      <c r="A358" s="1" t="s">
        <v>1080</v>
      </c>
      <c r="B358" s="1" t="s">
        <v>1081</v>
      </c>
      <c r="C358" s="1" t="s">
        <v>1082</v>
      </c>
      <c r="D358" s="1" t="s">
        <v>613</v>
      </c>
      <c r="E358" s="1" t="s">
        <v>614</v>
      </c>
      <c r="F358" s="1">
        <v>4536073.0</v>
      </c>
      <c r="G358" s="1">
        <v>293705.0</v>
      </c>
      <c r="H358" s="1">
        <v>8321.0</v>
      </c>
      <c r="I358" s="1">
        <v>1.1E8</v>
      </c>
      <c r="J358" s="1" t="s">
        <v>15</v>
      </c>
    </row>
    <row r="359">
      <c r="A359" s="1" t="s">
        <v>1083</v>
      </c>
      <c r="B359" s="1" t="s">
        <v>1084</v>
      </c>
      <c r="C359" s="1" t="s">
        <v>1085</v>
      </c>
      <c r="D359" s="1" t="s">
        <v>613</v>
      </c>
      <c r="E359" s="1" t="s">
        <v>614</v>
      </c>
      <c r="F359" s="1">
        <v>7162464.0</v>
      </c>
      <c r="G359" s="1">
        <v>342059.0</v>
      </c>
      <c r="H359" s="1">
        <v>9454.0</v>
      </c>
      <c r="I359" s="1">
        <v>1.1E8</v>
      </c>
      <c r="J359" s="1" t="s">
        <v>15</v>
      </c>
    </row>
    <row r="360">
      <c r="A360" s="1" t="s">
        <v>1086</v>
      </c>
      <c r="B360" s="1" t="s">
        <v>1087</v>
      </c>
      <c r="C360" s="1" t="s">
        <v>1088</v>
      </c>
      <c r="D360" s="1" t="s">
        <v>613</v>
      </c>
      <c r="E360" s="1" t="s">
        <v>614</v>
      </c>
      <c r="F360" s="1">
        <v>5740239.0</v>
      </c>
      <c r="G360" s="1">
        <v>418867.0</v>
      </c>
      <c r="H360" s="1">
        <v>21979.0</v>
      </c>
      <c r="I360" s="1">
        <v>1.1E8</v>
      </c>
      <c r="J360" s="1" t="s">
        <v>15</v>
      </c>
    </row>
    <row r="361">
      <c r="A361" s="1" t="s">
        <v>1089</v>
      </c>
      <c r="B361" s="1" t="s">
        <v>1090</v>
      </c>
      <c r="C361" s="1" t="s">
        <v>1091</v>
      </c>
      <c r="D361" s="1" t="s">
        <v>613</v>
      </c>
      <c r="E361" s="1" t="s">
        <v>614</v>
      </c>
      <c r="F361" s="1">
        <v>4262678.0</v>
      </c>
      <c r="G361" s="1">
        <v>306838.0</v>
      </c>
      <c r="H361" s="1">
        <v>9793.0</v>
      </c>
      <c r="I361" s="1">
        <v>1.1E8</v>
      </c>
      <c r="J361" s="1" t="s">
        <v>15</v>
      </c>
    </row>
    <row r="362">
      <c r="A362" s="1" t="s">
        <v>1092</v>
      </c>
      <c r="B362" s="1" t="s">
        <v>1093</v>
      </c>
      <c r="C362" s="1" t="s">
        <v>1094</v>
      </c>
      <c r="D362" s="1" t="s">
        <v>613</v>
      </c>
      <c r="E362" s="1" t="s">
        <v>614</v>
      </c>
      <c r="F362" s="1">
        <v>6288800.0</v>
      </c>
      <c r="G362" s="1">
        <v>553616.0</v>
      </c>
      <c r="H362" s="1">
        <v>23288.0</v>
      </c>
      <c r="I362" s="1">
        <v>1.1E8</v>
      </c>
      <c r="J362" s="1" t="s">
        <v>15</v>
      </c>
    </row>
    <row r="363">
      <c r="A363" s="1" t="s">
        <v>1095</v>
      </c>
      <c r="B363" s="1" t="s">
        <v>1096</v>
      </c>
      <c r="C363" s="1" t="s">
        <v>1097</v>
      </c>
      <c r="D363" s="1" t="s">
        <v>613</v>
      </c>
      <c r="E363" s="1" t="s">
        <v>614</v>
      </c>
      <c r="F363" s="1">
        <v>8708712.0</v>
      </c>
      <c r="G363" s="1">
        <v>824568.0</v>
      </c>
      <c r="H363" s="1">
        <v>42544.0</v>
      </c>
      <c r="I363" s="1">
        <v>1.1E8</v>
      </c>
      <c r="J363" s="1" t="s">
        <v>15</v>
      </c>
    </row>
    <row r="364">
      <c r="A364" s="1" t="s">
        <v>1098</v>
      </c>
      <c r="B364" s="1" t="s">
        <v>1099</v>
      </c>
      <c r="C364" s="1" t="s">
        <v>1100</v>
      </c>
      <c r="D364" s="1" t="s">
        <v>613</v>
      </c>
      <c r="E364" s="1" t="s">
        <v>614</v>
      </c>
      <c r="F364" s="1">
        <v>1.4935948E7</v>
      </c>
      <c r="G364" s="1">
        <v>532667.0</v>
      </c>
      <c r="H364" s="1">
        <v>15646.0</v>
      </c>
      <c r="I364" s="1">
        <v>1.1E8</v>
      </c>
      <c r="J364" s="1" t="s">
        <v>15</v>
      </c>
    </row>
    <row r="365">
      <c r="A365" s="1" t="s">
        <v>1101</v>
      </c>
      <c r="B365" s="1" t="s">
        <v>1102</v>
      </c>
      <c r="C365" s="1" t="s">
        <v>1103</v>
      </c>
      <c r="D365" s="1" t="s">
        <v>613</v>
      </c>
      <c r="E365" s="1" t="s">
        <v>614</v>
      </c>
      <c r="F365" s="1">
        <v>3518421.0</v>
      </c>
      <c r="G365" s="1">
        <v>212838.0</v>
      </c>
      <c r="H365" s="1">
        <v>5061.0</v>
      </c>
      <c r="I365" s="1">
        <v>1.1E8</v>
      </c>
      <c r="J365" s="1" t="s">
        <v>15</v>
      </c>
    </row>
    <row r="366">
      <c r="A366" s="1" t="s">
        <v>1104</v>
      </c>
      <c r="B366" s="1" t="s">
        <v>1105</v>
      </c>
      <c r="C366" s="1" t="s">
        <v>1106</v>
      </c>
      <c r="D366" s="1" t="s">
        <v>613</v>
      </c>
      <c r="E366" s="1" t="s">
        <v>614</v>
      </c>
      <c r="F366" s="1">
        <v>2386392.0</v>
      </c>
      <c r="G366" s="1">
        <v>120553.0</v>
      </c>
      <c r="H366" s="1">
        <v>3497.0</v>
      </c>
      <c r="I366" s="1">
        <v>1.1E8</v>
      </c>
      <c r="J366" s="1" t="s">
        <v>15</v>
      </c>
    </row>
    <row r="367">
      <c r="A367" s="1" t="s">
        <v>1107</v>
      </c>
      <c r="B367" s="1" t="s">
        <v>1108</v>
      </c>
      <c r="C367" s="1" t="s">
        <v>1109</v>
      </c>
      <c r="D367" s="1" t="s">
        <v>613</v>
      </c>
      <c r="E367" s="1" t="s">
        <v>614</v>
      </c>
      <c r="F367" s="1">
        <v>3476403.0</v>
      </c>
      <c r="G367" s="1">
        <v>251140.0</v>
      </c>
      <c r="H367" s="1">
        <v>5678.0</v>
      </c>
      <c r="I367" s="1">
        <v>1.1E8</v>
      </c>
      <c r="J367" s="1" t="s">
        <v>15</v>
      </c>
    </row>
    <row r="368">
      <c r="A368" s="1" t="s">
        <v>1110</v>
      </c>
      <c r="B368" s="1" t="s">
        <v>1111</v>
      </c>
      <c r="C368" s="1" t="s">
        <v>1112</v>
      </c>
      <c r="D368" s="1" t="s">
        <v>613</v>
      </c>
      <c r="E368" s="1" t="s">
        <v>614</v>
      </c>
      <c r="F368" s="1">
        <v>2677174.0</v>
      </c>
      <c r="G368" s="1">
        <v>201923.0</v>
      </c>
      <c r="H368" s="1">
        <v>5833.0</v>
      </c>
      <c r="I368" s="1">
        <v>1.1E8</v>
      </c>
      <c r="J368" s="1" t="s">
        <v>15</v>
      </c>
    </row>
    <row r="369">
      <c r="A369" s="1" t="s">
        <v>1113</v>
      </c>
      <c r="B369" s="1" t="s">
        <v>1114</v>
      </c>
      <c r="C369" s="1" t="s">
        <v>1115</v>
      </c>
      <c r="D369" s="1" t="s">
        <v>613</v>
      </c>
      <c r="E369" s="1" t="s">
        <v>614</v>
      </c>
      <c r="F369" s="1">
        <v>6365953.0</v>
      </c>
      <c r="G369" s="1">
        <v>224607.0</v>
      </c>
      <c r="H369" s="1">
        <v>6868.0</v>
      </c>
      <c r="I369" s="1">
        <v>1.1E8</v>
      </c>
      <c r="J369" s="1" t="s">
        <v>15</v>
      </c>
    </row>
    <row r="370">
      <c r="A370" s="1" t="s">
        <v>1116</v>
      </c>
      <c r="B370" s="1" t="s">
        <v>1117</v>
      </c>
      <c r="C370" s="1" t="s">
        <v>1118</v>
      </c>
      <c r="D370" s="1" t="s">
        <v>613</v>
      </c>
      <c r="E370" s="1" t="s">
        <v>614</v>
      </c>
      <c r="F370" s="1">
        <v>2709140.0</v>
      </c>
      <c r="G370" s="1">
        <v>180319.0</v>
      </c>
      <c r="H370" s="1">
        <v>3615.0</v>
      </c>
      <c r="I370" s="1">
        <v>1.1E8</v>
      </c>
      <c r="J370" s="1" t="s">
        <v>15</v>
      </c>
    </row>
    <row r="371">
      <c r="A371" s="1" t="s">
        <v>1119</v>
      </c>
      <c r="B371" s="1" t="s">
        <v>1120</v>
      </c>
      <c r="C371" s="1" t="s">
        <v>1121</v>
      </c>
      <c r="D371" s="1" t="s">
        <v>613</v>
      </c>
      <c r="E371" s="1" t="s">
        <v>614</v>
      </c>
      <c r="F371" s="1">
        <v>3988936.0</v>
      </c>
      <c r="G371" s="1">
        <v>212532.0</v>
      </c>
      <c r="H371" s="1">
        <v>5935.0</v>
      </c>
      <c r="I371" s="1">
        <v>1.1E8</v>
      </c>
      <c r="J371" s="1" t="s">
        <v>15</v>
      </c>
    </row>
    <row r="372">
      <c r="A372" s="1" t="s">
        <v>1122</v>
      </c>
      <c r="B372" s="1" t="s">
        <v>1123</v>
      </c>
      <c r="C372" s="1" t="s">
        <v>1124</v>
      </c>
      <c r="D372" s="1" t="s">
        <v>613</v>
      </c>
      <c r="E372" s="1" t="s">
        <v>614</v>
      </c>
      <c r="F372" s="1">
        <v>3633868.0</v>
      </c>
      <c r="G372" s="1">
        <v>201022.0</v>
      </c>
      <c r="H372" s="1">
        <v>6101.0</v>
      </c>
      <c r="I372" s="1">
        <v>1.1E8</v>
      </c>
      <c r="J372" s="1" t="s">
        <v>15</v>
      </c>
    </row>
    <row r="373">
      <c r="A373" s="1" t="s">
        <v>1125</v>
      </c>
      <c r="B373" s="1" t="s">
        <v>1126</v>
      </c>
      <c r="C373" s="1" t="s">
        <v>1127</v>
      </c>
      <c r="D373" s="1" t="s">
        <v>613</v>
      </c>
      <c r="E373" s="1" t="s">
        <v>614</v>
      </c>
      <c r="F373" s="1">
        <v>4458349.0</v>
      </c>
      <c r="G373" s="1">
        <v>243112.0</v>
      </c>
      <c r="H373" s="1">
        <v>9953.0</v>
      </c>
      <c r="I373" s="1">
        <v>1.1E8</v>
      </c>
      <c r="J373" s="1" t="s">
        <v>15</v>
      </c>
    </row>
    <row r="374">
      <c r="A374" s="1" t="s">
        <v>1128</v>
      </c>
      <c r="B374" s="1" t="s">
        <v>1129</v>
      </c>
      <c r="C374" s="1" t="s">
        <v>1130</v>
      </c>
      <c r="D374" s="1" t="s">
        <v>613</v>
      </c>
      <c r="E374" s="1" t="s">
        <v>614</v>
      </c>
      <c r="F374" s="1">
        <v>2199567.0</v>
      </c>
      <c r="G374" s="1">
        <v>133506.0</v>
      </c>
      <c r="H374" s="1">
        <v>5441.0</v>
      </c>
      <c r="I374" s="1">
        <v>1.1E8</v>
      </c>
      <c r="J374" s="1" t="s">
        <v>15</v>
      </c>
    </row>
    <row r="375">
      <c r="A375" s="1" t="s">
        <v>1131</v>
      </c>
      <c r="B375" s="1" t="s">
        <v>1132</v>
      </c>
      <c r="C375" s="1" t="s">
        <v>1133</v>
      </c>
      <c r="D375" s="1" t="s">
        <v>613</v>
      </c>
      <c r="E375" s="1" t="s">
        <v>614</v>
      </c>
      <c r="F375" s="1">
        <v>2736416.0</v>
      </c>
      <c r="G375" s="1">
        <v>224619.0</v>
      </c>
      <c r="H375" s="1">
        <v>6921.0</v>
      </c>
      <c r="I375" s="1">
        <v>1.1E8</v>
      </c>
      <c r="J375" s="1" t="s">
        <v>15</v>
      </c>
    </row>
    <row r="376">
      <c r="A376" s="1" t="s">
        <v>1134</v>
      </c>
      <c r="B376" s="1" t="s">
        <v>1135</v>
      </c>
      <c r="C376" s="1" t="s">
        <v>1136</v>
      </c>
      <c r="D376" s="1" t="s">
        <v>613</v>
      </c>
      <c r="E376" s="1" t="s">
        <v>614</v>
      </c>
      <c r="F376" s="1">
        <v>4552880.0</v>
      </c>
      <c r="G376" s="1">
        <v>266288.0</v>
      </c>
      <c r="H376" s="1">
        <v>5925.0</v>
      </c>
      <c r="I376" s="1">
        <v>1.1E8</v>
      </c>
      <c r="J376" s="1" t="s">
        <v>15</v>
      </c>
    </row>
    <row r="377">
      <c r="A377" s="1" t="s">
        <v>1137</v>
      </c>
      <c r="B377" s="1" t="s">
        <v>1138</v>
      </c>
      <c r="C377" s="1" t="s">
        <v>1139</v>
      </c>
      <c r="D377" s="1" t="s">
        <v>613</v>
      </c>
      <c r="E377" s="1" t="s">
        <v>614</v>
      </c>
      <c r="F377" s="1">
        <v>4672804.0</v>
      </c>
      <c r="G377" s="1">
        <v>309582.0</v>
      </c>
      <c r="H377" s="1">
        <v>9020.0</v>
      </c>
      <c r="I377" s="1">
        <v>1.1E8</v>
      </c>
      <c r="J377" s="1" t="s">
        <v>15</v>
      </c>
    </row>
    <row r="378">
      <c r="A378" s="1" t="s">
        <v>1140</v>
      </c>
      <c r="B378" s="1" t="s">
        <v>1141</v>
      </c>
      <c r="C378" s="1" t="s">
        <v>1142</v>
      </c>
      <c r="D378" s="1" t="s">
        <v>613</v>
      </c>
      <c r="E378" s="1" t="s">
        <v>614</v>
      </c>
      <c r="F378" s="1">
        <v>7112379.0</v>
      </c>
      <c r="G378" s="1">
        <v>376739.0</v>
      </c>
      <c r="H378" s="1">
        <v>10310.0</v>
      </c>
      <c r="I378" s="1">
        <v>1.1E8</v>
      </c>
      <c r="J378" s="1" t="s">
        <v>15</v>
      </c>
    </row>
    <row r="379">
      <c r="A379" s="1" t="s">
        <v>1143</v>
      </c>
      <c r="B379" s="1" t="s">
        <v>1144</v>
      </c>
      <c r="C379" s="1" t="s">
        <v>1145</v>
      </c>
      <c r="D379" s="1" t="s">
        <v>613</v>
      </c>
      <c r="E379" s="1" t="s">
        <v>614</v>
      </c>
      <c r="F379" s="1">
        <v>5578543.0</v>
      </c>
      <c r="G379" s="1">
        <v>194745.0</v>
      </c>
      <c r="H379" s="1">
        <v>4226.0</v>
      </c>
      <c r="I379" s="1">
        <v>1.1E8</v>
      </c>
      <c r="J379" s="1" t="s">
        <v>15</v>
      </c>
    </row>
    <row r="380">
      <c r="A380" s="1" t="s">
        <v>1146</v>
      </c>
      <c r="B380" s="1" t="s">
        <v>1147</v>
      </c>
      <c r="C380" s="1" t="s">
        <v>1148</v>
      </c>
      <c r="D380" s="1" t="s">
        <v>613</v>
      </c>
      <c r="E380" s="1" t="s">
        <v>614</v>
      </c>
      <c r="F380" s="1">
        <v>2839649.0</v>
      </c>
      <c r="G380" s="1">
        <v>234485.0</v>
      </c>
      <c r="H380" s="1">
        <v>6737.0</v>
      </c>
      <c r="I380" s="1">
        <v>1.1E8</v>
      </c>
      <c r="J380" s="1" t="s">
        <v>15</v>
      </c>
    </row>
    <row r="381">
      <c r="A381" s="1" t="s">
        <v>1149</v>
      </c>
      <c r="B381" s="1" t="s">
        <v>1150</v>
      </c>
      <c r="C381" s="1" t="s">
        <v>1151</v>
      </c>
      <c r="D381" s="1" t="s">
        <v>613</v>
      </c>
      <c r="E381" s="1" t="s">
        <v>614</v>
      </c>
      <c r="F381" s="1">
        <v>3986986.0</v>
      </c>
      <c r="G381" s="1">
        <v>240160.0</v>
      </c>
      <c r="H381" s="1">
        <v>9718.0</v>
      </c>
      <c r="I381" s="1">
        <v>1.1E8</v>
      </c>
      <c r="J381" s="1" t="s">
        <v>15</v>
      </c>
    </row>
    <row r="382">
      <c r="A382" s="1" t="s">
        <v>1152</v>
      </c>
      <c r="B382" s="1" t="s">
        <v>1153</v>
      </c>
      <c r="C382" s="1" t="s">
        <v>1154</v>
      </c>
      <c r="D382" s="1" t="s">
        <v>613</v>
      </c>
      <c r="E382" s="1" t="s">
        <v>614</v>
      </c>
      <c r="F382" s="1">
        <v>5535686.0</v>
      </c>
      <c r="G382" s="1">
        <v>338602.0</v>
      </c>
      <c r="H382" s="1">
        <v>5537.0</v>
      </c>
      <c r="I382" s="1">
        <v>1.1E8</v>
      </c>
      <c r="J382" s="1" t="s">
        <v>15</v>
      </c>
    </row>
    <row r="383">
      <c r="A383" s="1" t="s">
        <v>1155</v>
      </c>
      <c r="B383" s="1" t="s">
        <v>1156</v>
      </c>
      <c r="C383" s="1" t="s">
        <v>1157</v>
      </c>
      <c r="D383" s="1" t="s">
        <v>613</v>
      </c>
      <c r="E383" s="1" t="s">
        <v>614</v>
      </c>
      <c r="F383" s="1">
        <v>2660281.0</v>
      </c>
      <c r="G383" s="1">
        <v>183892.0</v>
      </c>
      <c r="H383" s="1">
        <v>8393.0</v>
      </c>
      <c r="I383" s="1">
        <v>1.1E8</v>
      </c>
      <c r="J383" s="1" t="s">
        <v>15</v>
      </c>
    </row>
    <row r="384">
      <c r="A384" s="1" t="s">
        <v>1158</v>
      </c>
      <c r="B384" s="1" t="s">
        <v>1159</v>
      </c>
      <c r="C384" s="1" t="s">
        <v>1160</v>
      </c>
      <c r="D384" s="1" t="s">
        <v>613</v>
      </c>
      <c r="E384" s="1" t="s">
        <v>614</v>
      </c>
      <c r="F384" s="1">
        <v>1.0853941E7</v>
      </c>
      <c r="G384" s="1">
        <v>641980.0</v>
      </c>
      <c r="H384" s="1">
        <v>18226.0</v>
      </c>
      <c r="I384" s="1">
        <v>1.1E8</v>
      </c>
      <c r="J384" s="1" t="s">
        <v>15</v>
      </c>
    </row>
    <row r="385">
      <c r="A385" s="1" t="s">
        <v>1161</v>
      </c>
      <c r="B385" s="1" t="s">
        <v>1162</v>
      </c>
      <c r="C385" s="1" t="s">
        <v>1163</v>
      </c>
      <c r="D385" s="1" t="s">
        <v>613</v>
      </c>
      <c r="E385" s="1" t="s">
        <v>614</v>
      </c>
      <c r="F385" s="1">
        <v>2687252.0</v>
      </c>
      <c r="G385" s="1">
        <v>182428.0</v>
      </c>
      <c r="H385" s="1">
        <v>11152.0</v>
      </c>
      <c r="I385" s="1">
        <v>1.1E8</v>
      </c>
      <c r="J385" s="1" t="s">
        <v>15</v>
      </c>
    </row>
    <row r="386">
      <c r="A386" s="1" t="s">
        <v>1164</v>
      </c>
      <c r="B386" s="1" t="s">
        <v>1165</v>
      </c>
      <c r="C386" s="1" t="s">
        <v>1166</v>
      </c>
      <c r="D386" s="1" t="s">
        <v>613</v>
      </c>
      <c r="E386" s="1" t="s">
        <v>614</v>
      </c>
      <c r="F386" s="1">
        <v>4382351.0</v>
      </c>
      <c r="G386" s="1">
        <v>306344.0</v>
      </c>
      <c r="H386" s="1">
        <v>8369.0</v>
      </c>
      <c r="I386" s="1">
        <v>1.1E8</v>
      </c>
      <c r="J386" s="1" t="s">
        <v>15</v>
      </c>
    </row>
    <row r="387">
      <c r="A387" s="1" t="s">
        <v>1167</v>
      </c>
      <c r="B387" s="1" t="s">
        <v>1168</v>
      </c>
      <c r="C387" s="1" t="s">
        <v>1169</v>
      </c>
      <c r="D387" s="1" t="s">
        <v>613</v>
      </c>
      <c r="E387" s="1" t="s">
        <v>614</v>
      </c>
      <c r="F387" s="1">
        <v>4314234.0</v>
      </c>
      <c r="G387" s="1">
        <v>414074.0</v>
      </c>
      <c r="H387" s="1">
        <v>21244.0</v>
      </c>
      <c r="I387" s="1">
        <v>1.1E8</v>
      </c>
      <c r="J387" s="1" t="s">
        <v>15</v>
      </c>
    </row>
    <row r="388">
      <c r="A388" s="1" t="s">
        <v>1170</v>
      </c>
      <c r="B388" s="1" t="s">
        <v>1171</v>
      </c>
      <c r="C388" s="1" t="s">
        <v>1172</v>
      </c>
      <c r="D388" s="1" t="s">
        <v>613</v>
      </c>
      <c r="E388" s="1" t="s">
        <v>614</v>
      </c>
      <c r="F388" s="1">
        <v>6487164.0</v>
      </c>
      <c r="G388" s="1">
        <v>413178.0</v>
      </c>
      <c r="H388" s="1">
        <v>18107.0</v>
      </c>
      <c r="I388" s="1">
        <v>1.1E8</v>
      </c>
      <c r="J388" s="1" t="s">
        <v>15</v>
      </c>
    </row>
    <row r="389">
      <c r="A389" s="1" t="s">
        <v>1173</v>
      </c>
      <c r="B389" s="1" t="s">
        <v>1174</v>
      </c>
      <c r="C389" s="1" t="s">
        <v>1175</v>
      </c>
      <c r="D389" s="1" t="s">
        <v>613</v>
      </c>
      <c r="E389" s="1" t="s">
        <v>614</v>
      </c>
      <c r="F389" s="1">
        <v>5275717.0</v>
      </c>
      <c r="G389" s="1">
        <v>279824.0</v>
      </c>
      <c r="H389" s="1">
        <v>10780.0</v>
      </c>
      <c r="I389" s="1">
        <v>1.1E8</v>
      </c>
      <c r="J389" s="1" t="s">
        <v>15</v>
      </c>
    </row>
    <row r="390">
      <c r="A390" s="1" t="s">
        <v>1176</v>
      </c>
      <c r="B390" s="1" t="s">
        <v>1177</v>
      </c>
      <c r="C390" s="1" t="s">
        <v>1178</v>
      </c>
      <c r="D390" s="1" t="s">
        <v>613</v>
      </c>
      <c r="E390" s="1" t="s">
        <v>614</v>
      </c>
      <c r="F390" s="1">
        <v>4283694.0</v>
      </c>
      <c r="G390" s="1">
        <v>336946.0</v>
      </c>
      <c r="H390" s="1">
        <v>12951.0</v>
      </c>
      <c r="I390" s="1">
        <v>1.1E8</v>
      </c>
      <c r="J390" s="1" t="s">
        <v>15</v>
      </c>
    </row>
    <row r="391">
      <c r="A391" s="1" t="s">
        <v>1179</v>
      </c>
      <c r="B391" s="1" t="s">
        <v>1180</v>
      </c>
      <c r="C391" s="1" t="s">
        <v>1181</v>
      </c>
      <c r="D391" s="1" t="s">
        <v>613</v>
      </c>
      <c r="E391" s="1" t="s">
        <v>614</v>
      </c>
      <c r="F391" s="1">
        <v>4380160.0</v>
      </c>
      <c r="G391" s="1">
        <v>241266.0</v>
      </c>
      <c r="H391" s="1">
        <v>6030.0</v>
      </c>
      <c r="I391" s="1">
        <v>1.1E8</v>
      </c>
      <c r="J391" s="1" t="s">
        <v>15</v>
      </c>
    </row>
    <row r="392">
      <c r="A392" s="1" t="s">
        <v>1182</v>
      </c>
      <c r="B392" s="1" t="s">
        <v>1183</v>
      </c>
      <c r="C392" s="1" t="s">
        <v>1184</v>
      </c>
      <c r="D392" s="1" t="s">
        <v>613</v>
      </c>
      <c r="E392" s="1" t="s">
        <v>614</v>
      </c>
      <c r="F392" s="1">
        <v>3080730.0</v>
      </c>
      <c r="G392" s="1">
        <v>208770.0</v>
      </c>
      <c r="H392" s="1">
        <v>4522.0</v>
      </c>
      <c r="I392" s="1">
        <v>1.1E8</v>
      </c>
      <c r="J392" s="1" t="s">
        <v>15</v>
      </c>
    </row>
    <row r="393">
      <c r="A393" s="1" t="s">
        <v>1185</v>
      </c>
      <c r="B393" s="1" t="s">
        <v>1186</v>
      </c>
      <c r="C393" s="1" t="s">
        <v>1187</v>
      </c>
      <c r="D393" s="1" t="s">
        <v>613</v>
      </c>
      <c r="E393" s="1" t="s">
        <v>614</v>
      </c>
      <c r="F393" s="1">
        <v>3551394.0</v>
      </c>
      <c r="G393" s="1">
        <v>202135.0</v>
      </c>
      <c r="H393" s="1">
        <v>6088.0</v>
      </c>
      <c r="I393" s="1">
        <v>1.1E8</v>
      </c>
      <c r="J393" s="1" t="s">
        <v>15</v>
      </c>
    </row>
    <row r="394">
      <c r="A394" s="1" t="s">
        <v>1188</v>
      </c>
      <c r="B394" s="1" t="s">
        <v>1189</v>
      </c>
      <c r="C394" s="1" t="s">
        <v>1190</v>
      </c>
      <c r="D394" s="1" t="s">
        <v>613</v>
      </c>
      <c r="E394" s="1" t="s">
        <v>614</v>
      </c>
      <c r="F394" s="1">
        <v>6754221.0</v>
      </c>
      <c r="G394" s="1">
        <v>373389.0</v>
      </c>
      <c r="H394" s="1">
        <v>5777.0</v>
      </c>
      <c r="I394" s="1">
        <v>1.1E8</v>
      </c>
      <c r="J394" s="1" t="s">
        <v>15</v>
      </c>
    </row>
    <row r="395">
      <c r="A395" s="1" t="s">
        <v>1191</v>
      </c>
      <c r="B395" s="1" t="s">
        <v>1192</v>
      </c>
      <c r="C395" s="1" t="s">
        <v>1193</v>
      </c>
      <c r="D395" s="1" t="s">
        <v>613</v>
      </c>
      <c r="E395" s="1" t="s">
        <v>614</v>
      </c>
      <c r="F395" s="1">
        <v>2956227.0</v>
      </c>
      <c r="G395" s="1">
        <v>168512.0</v>
      </c>
      <c r="H395" s="1">
        <v>4557.0</v>
      </c>
      <c r="I395" s="1">
        <v>1.1E8</v>
      </c>
      <c r="J395" s="1" t="s">
        <v>15</v>
      </c>
    </row>
    <row r="396">
      <c r="A396" s="1" t="s">
        <v>1194</v>
      </c>
      <c r="B396" s="1" t="s">
        <v>1195</v>
      </c>
      <c r="C396" s="1" t="s">
        <v>1196</v>
      </c>
      <c r="D396" s="1" t="s">
        <v>613</v>
      </c>
      <c r="E396" s="1" t="s">
        <v>614</v>
      </c>
      <c r="F396" s="1">
        <v>3018774.0</v>
      </c>
      <c r="G396" s="1">
        <v>184303.0</v>
      </c>
      <c r="H396" s="1">
        <v>5202.0</v>
      </c>
      <c r="I396" s="1">
        <v>1.1E8</v>
      </c>
      <c r="J396" s="1" t="s">
        <v>15</v>
      </c>
    </row>
    <row r="397">
      <c r="A397" s="1" t="s">
        <v>1197</v>
      </c>
      <c r="B397" s="1" t="s">
        <v>1198</v>
      </c>
      <c r="C397" s="1" t="s">
        <v>1199</v>
      </c>
      <c r="D397" s="1" t="s">
        <v>613</v>
      </c>
      <c r="E397" s="1" t="s">
        <v>614</v>
      </c>
      <c r="F397" s="1">
        <v>2884883.0</v>
      </c>
      <c r="G397" s="1">
        <v>200578.0</v>
      </c>
      <c r="H397" s="1">
        <v>6544.0</v>
      </c>
      <c r="I397" s="1">
        <v>1.1E8</v>
      </c>
      <c r="J397" s="1" t="s">
        <v>15</v>
      </c>
    </row>
    <row r="398">
      <c r="A398" s="1" t="s">
        <v>1200</v>
      </c>
      <c r="B398" s="1" t="s">
        <v>1201</v>
      </c>
      <c r="C398" s="1" t="s">
        <v>1202</v>
      </c>
      <c r="D398" s="1" t="s">
        <v>613</v>
      </c>
      <c r="E398" s="1" t="s">
        <v>614</v>
      </c>
      <c r="F398" s="1">
        <v>3225438.0</v>
      </c>
      <c r="G398" s="1">
        <v>169923.0</v>
      </c>
      <c r="H398" s="1">
        <v>7358.0</v>
      </c>
      <c r="I398" s="1">
        <v>1.1E8</v>
      </c>
      <c r="J398" s="1" t="s">
        <v>15</v>
      </c>
    </row>
    <row r="399">
      <c r="A399" s="1" t="s">
        <v>1203</v>
      </c>
      <c r="B399" s="1" t="s">
        <v>1204</v>
      </c>
      <c r="C399" s="1" t="s">
        <v>1205</v>
      </c>
      <c r="D399" s="1" t="s">
        <v>613</v>
      </c>
      <c r="E399" s="1" t="s">
        <v>614</v>
      </c>
      <c r="F399" s="1">
        <v>4471404.0</v>
      </c>
      <c r="G399" s="1">
        <v>259841.0</v>
      </c>
      <c r="H399" s="1">
        <v>6892.0</v>
      </c>
      <c r="I399" s="1">
        <v>1.1E8</v>
      </c>
      <c r="J399" s="1" t="s">
        <v>15</v>
      </c>
    </row>
    <row r="400">
      <c r="A400" s="1" t="s">
        <v>1206</v>
      </c>
      <c r="B400" s="1" t="s">
        <v>1207</v>
      </c>
      <c r="C400" s="1" t="s">
        <v>1208</v>
      </c>
      <c r="D400" s="1" t="s">
        <v>613</v>
      </c>
      <c r="E400" s="1" t="s">
        <v>614</v>
      </c>
      <c r="F400" s="1">
        <v>5412794.0</v>
      </c>
      <c r="G400" s="1">
        <v>313664.0</v>
      </c>
      <c r="H400" s="1">
        <v>4931.0</v>
      </c>
      <c r="I400" s="1">
        <v>1.1E8</v>
      </c>
      <c r="J400" s="1" t="s">
        <v>15</v>
      </c>
    </row>
    <row r="401">
      <c r="A401" s="1" t="s">
        <v>1209</v>
      </c>
      <c r="B401" s="1" t="s">
        <v>1210</v>
      </c>
      <c r="C401" s="1" t="s">
        <v>1211</v>
      </c>
      <c r="D401" s="1" t="s">
        <v>613</v>
      </c>
      <c r="E401" s="1" t="s">
        <v>614</v>
      </c>
      <c r="F401" s="1">
        <v>2334170.0</v>
      </c>
      <c r="G401" s="1">
        <v>188052.0</v>
      </c>
      <c r="H401" s="1">
        <v>7839.0</v>
      </c>
      <c r="I401" s="1">
        <v>1.1E8</v>
      </c>
      <c r="J401" s="1" t="s">
        <v>15</v>
      </c>
    </row>
    <row r="402">
      <c r="A402" s="1" t="s">
        <v>1212</v>
      </c>
      <c r="B402" s="1" t="s">
        <v>1213</v>
      </c>
      <c r="C402" s="1" t="s">
        <v>1214</v>
      </c>
      <c r="D402" s="1" t="s">
        <v>1215</v>
      </c>
      <c r="E402" s="1" t="s">
        <v>1216</v>
      </c>
      <c r="F402" s="1">
        <v>499472.0</v>
      </c>
      <c r="G402" s="1">
        <v>23845.0</v>
      </c>
      <c r="H402" s="1">
        <v>1168.0</v>
      </c>
      <c r="I402" s="1">
        <v>3.12E7</v>
      </c>
      <c r="J402" s="1" t="s">
        <v>15</v>
      </c>
    </row>
    <row r="403">
      <c r="A403" s="1" t="s">
        <v>1217</v>
      </c>
      <c r="B403" s="1" t="s">
        <v>1218</v>
      </c>
      <c r="C403" s="1" t="s">
        <v>1219</v>
      </c>
      <c r="D403" s="1" t="s">
        <v>1215</v>
      </c>
      <c r="E403" s="1" t="s">
        <v>1216</v>
      </c>
      <c r="F403" s="1">
        <v>800149.0</v>
      </c>
      <c r="G403" s="1">
        <v>33045.0</v>
      </c>
      <c r="H403" s="1">
        <v>1439.0</v>
      </c>
      <c r="I403" s="1">
        <v>3.12E7</v>
      </c>
      <c r="J403" s="1" t="s">
        <v>15</v>
      </c>
    </row>
    <row r="404">
      <c r="A404" s="1" t="s">
        <v>1220</v>
      </c>
      <c r="B404" s="1" t="s">
        <v>1221</v>
      </c>
      <c r="C404" s="1" t="s">
        <v>1222</v>
      </c>
      <c r="D404" s="1" t="s">
        <v>1215</v>
      </c>
      <c r="E404" s="1" t="s">
        <v>1216</v>
      </c>
      <c r="F404" s="1">
        <v>1298755.0</v>
      </c>
      <c r="G404" s="1">
        <v>53199.0</v>
      </c>
      <c r="H404" s="1">
        <v>3410.0</v>
      </c>
      <c r="I404" s="1">
        <v>3.12E7</v>
      </c>
      <c r="J404" s="1" t="s">
        <v>15</v>
      </c>
    </row>
    <row r="405">
      <c r="A405" s="1" t="s">
        <v>1223</v>
      </c>
      <c r="B405" s="1" t="s">
        <v>1224</v>
      </c>
      <c r="C405" s="1" t="s">
        <v>1225</v>
      </c>
      <c r="D405" s="1" t="s">
        <v>1215</v>
      </c>
      <c r="E405" s="1" t="s">
        <v>1216</v>
      </c>
      <c r="F405" s="1">
        <v>709000.0</v>
      </c>
      <c r="G405" s="1">
        <v>30143.0</v>
      </c>
      <c r="H405" s="1">
        <v>1237.0</v>
      </c>
      <c r="I405" s="1">
        <v>3.12E7</v>
      </c>
      <c r="J405" s="1" t="s">
        <v>15</v>
      </c>
    </row>
    <row r="406">
      <c r="A406" s="1" t="s">
        <v>1226</v>
      </c>
      <c r="B406" s="1" t="s">
        <v>1227</v>
      </c>
      <c r="C406" s="1" t="s">
        <v>1228</v>
      </c>
      <c r="D406" s="1" t="s">
        <v>1215</v>
      </c>
      <c r="E406" s="1" t="s">
        <v>1216</v>
      </c>
      <c r="F406" s="1">
        <v>1258329.0</v>
      </c>
      <c r="G406" s="1">
        <v>45031.0</v>
      </c>
      <c r="H406" s="1">
        <v>1726.0</v>
      </c>
      <c r="I406" s="1">
        <v>3.12E7</v>
      </c>
      <c r="J406" s="1" t="s">
        <v>15</v>
      </c>
    </row>
    <row r="407">
      <c r="A407" s="1" t="s">
        <v>1229</v>
      </c>
      <c r="B407" s="1" t="s">
        <v>1230</v>
      </c>
      <c r="C407" s="1" t="s">
        <v>1231</v>
      </c>
      <c r="D407" s="1" t="s">
        <v>1215</v>
      </c>
      <c r="E407" s="1" t="s">
        <v>1216</v>
      </c>
      <c r="F407" s="1">
        <v>872504.0</v>
      </c>
      <c r="G407" s="1">
        <v>52041.0</v>
      </c>
      <c r="H407" s="1">
        <v>2119.0</v>
      </c>
      <c r="I407" s="1">
        <v>3.12E7</v>
      </c>
      <c r="J407" s="1" t="s">
        <v>15</v>
      </c>
    </row>
    <row r="408">
      <c r="A408" s="1" t="s">
        <v>1232</v>
      </c>
      <c r="B408" s="1" t="s">
        <v>1233</v>
      </c>
      <c r="C408" s="1" t="s">
        <v>1234</v>
      </c>
      <c r="D408" s="1" t="s">
        <v>1215</v>
      </c>
      <c r="E408" s="1" t="s">
        <v>1216</v>
      </c>
      <c r="F408" s="1">
        <v>2979813.0</v>
      </c>
      <c r="G408" s="1">
        <v>305151.0</v>
      </c>
      <c r="H408" s="1">
        <v>12339.0</v>
      </c>
      <c r="I408" s="1">
        <v>3.12E7</v>
      </c>
      <c r="J408" s="1" t="s">
        <v>15</v>
      </c>
    </row>
    <row r="409">
      <c r="A409" s="1" t="s">
        <v>1235</v>
      </c>
      <c r="B409" s="1" t="s">
        <v>1236</v>
      </c>
      <c r="C409" s="1" t="s">
        <v>1237</v>
      </c>
      <c r="D409" s="1" t="s">
        <v>1215</v>
      </c>
      <c r="E409" s="1" t="s">
        <v>1216</v>
      </c>
      <c r="F409" s="1">
        <v>2017476.0</v>
      </c>
      <c r="G409" s="1">
        <v>126305.0</v>
      </c>
      <c r="H409" s="1">
        <v>4957.0</v>
      </c>
      <c r="I409" s="1">
        <v>3.12E7</v>
      </c>
      <c r="J409" s="1" t="s">
        <v>15</v>
      </c>
    </row>
    <row r="410">
      <c r="A410" s="1" t="s">
        <v>1238</v>
      </c>
      <c r="B410" s="1" t="s">
        <v>1239</v>
      </c>
      <c r="C410" s="1" t="s">
        <v>1240</v>
      </c>
      <c r="D410" s="1" t="s">
        <v>1215</v>
      </c>
      <c r="E410" s="1" t="s">
        <v>1216</v>
      </c>
      <c r="F410" s="1">
        <v>1015355.0</v>
      </c>
      <c r="G410" s="1">
        <v>49914.0</v>
      </c>
      <c r="H410" s="1">
        <v>1455.0</v>
      </c>
      <c r="I410" s="1">
        <v>3.12E7</v>
      </c>
      <c r="J410" s="1" t="s">
        <v>15</v>
      </c>
    </row>
    <row r="411">
      <c r="A411" s="1" t="s">
        <v>1241</v>
      </c>
      <c r="B411" s="1" t="s">
        <v>1242</v>
      </c>
      <c r="C411" s="1" t="s">
        <v>1243</v>
      </c>
      <c r="D411" s="1" t="s">
        <v>1215</v>
      </c>
      <c r="E411" s="1" t="s">
        <v>1216</v>
      </c>
      <c r="F411" s="1">
        <v>1533843.0</v>
      </c>
      <c r="G411" s="1">
        <v>60936.0</v>
      </c>
      <c r="H411" s="1">
        <v>2815.0</v>
      </c>
      <c r="I411" s="1">
        <v>3.12E7</v>
      </c>
      <c r="J411" s="1" t="s">
        <v>15</v>
      </c>
    </row>
    <row r="412">
      <c r="A412" s="1" t="s">
        <v>1244</v>
      </c>
      <c r="B412" s="1" t="s">
        <v>1245</v>
      </c>
      <c r="C412" s="1" t="s">
        <v>1246</v>
      </c>
      <c r="D412" s="1" t="s">
        <v>1215</v>
      </c>
      <c r="E412" s="1" t="s">
        <v>1216</v>
      </c>
      <c r="F412" s="1">
        <v>2152161.0</v>
      </c>
      <c r="G412" s="1">
        <v>64909.0</v>
      </c>
      <c r="H412" s="1">
        <v>5836.0</v>
      </c>
      <c r="I412" s="1">
        <v>3.12E7</v>
      </c>
      <c r="J412" s="1" t="s">
        <v>15</v>
      </c>
    </row>
    <row r="413">
      <c r="A413" s="1" t="s">
        <v>1247</v>
      </c>
      <c r="B413" s="1" t="s">
        <v>1248</v>
      </c>
      <c r="C413" s="1" t="s">
        <v>1249</v>
      </c>
      <c r="D413" s="1" t="s">
        <v>1215</v>
      </c>
      <c r="E413" s="1" t="s">
        <v>1216</v>
      </c>
      <c r="F413" s="1">
        <v>1705295.0</v>
      </c>
      <c r="G413" s="1">
        <v>54462.0</v>
      </c>
      <c r="H413" s="1">
        <v>2053.0</v>
      </c>
      <c r="I413" s="1">
        <v>3.12E7</v>
      </c>
      <c r="J413" s="1" t="s">
        <v>15</v>
      </c>
    </row>
    <row r="414">
      <c r="A414" s="1" t="s">
        <v>1250</v>
      </c>
      <c r="B414" s="1" t="s">
        <v>1251</v>
      </c>
      <c r="C414" s="1" t="s">
        <v>1252</v>
      </c>
      <c r="D414" s="1" t="s">
        <v>1215</v>
      </c>
      <c r="E414" s="1" t="s">
        <v>1216</v>
      </c>
      <c r="F414" s="1">
        <v>1515831.0</v>
      </c>
      <c r="G414" s="1">
        <v>61446.0</v>
      </c>
      <c r="H414" s="1">
        <v>2389.0</v>
      </c>
      <c r="I414" s="1">
        <v>3.12E7</v>
      </c>
      <c r="J414" s="1" t="s">
        <v>15</v>
      </c>
    </row>
    <row r="415">
      <c r="A415" s="1" t="s">
        <v>1253</v>
      </c>
      <c r="B415" s="1" t="s">
        <v>1254</v>
      </c>
      <c r="C415" s="1" t="s">
        <v>1255</v>
      </c>
      <c r="D415" s="1" t="s">
        <v>1215</v>
      </c>
      <c r="E415" s="1" t="s">
        <v>1216</v>
      </c>
      <c r="F415" s="1">
        <v>2089688.0</v>
      </c>
      <c r="G415" s="1">
        <v>123714.0</v>
      </c>
      <c r="H415" s="1">
        <v>4713.0</v>
      </c>
      <c r="I415" s="1">
        <v>3.12E7</v>
      </c>
      <c r="J415" s="1" t="s">
        <v>15</v>
      </c>
    </row>
    <row r="416">
      <c r="A416" s="1" t="s">
        <v>1256</v>
      </c>
      <c r="B416" s="1" t="s">
        <v>1257</v>
      </c>
      <c r="C416" s="1" t="s">
        <v>1258</v>
      </c>
      <c r="D416" s="1" t="s">
        <v>1215</v>
      </c>
      <c r="E416" s="1" t="s">
        <v>1216</v>
      </c>
      <c r="F416" s="1">
        <v>1744760.0</v>
      </c>
      <c r="G416" s="1">
        <v>45089.0</v>
      </c>
      <c r="H416" s="1">
        <v>1347.0</v>
      </c>
      <c r="I416" s="1">
        <v>3.12E7</v>
      </c>
      <c r="J416" s="1" t="s">
        <v>15</v>
      </c>
    </row>
    <row r="417">
      <c r="A417" s="1" t="s">
        <v>1259</v>
      </c>
      <c r="B417" s="1" t="s">
        <v>1260</v>
      </c>
      <c r="C417" s="1" t="s">
        <v>1261</v>
      </c>
      <c r="D417" s="1" t="s">
        <v>1215</v>
      </c>
      <c r="E417" s="1" t="s">
        <v>1216</v>
      </c>
      <c r="F417" s="1">
        <v>1166174.0</v>
      </c>
      <c r="G417" s="1">
        <v>56871.0</v>
      </c>
      <c r="H417" s="1">
        <v>3024.0</v>
      </c>
      <c r="I417" s="1">
        <v>3.12E7</v>
      </c>
      <c r="J417" s="1" t="s">
        <v>15</v>
      </c>
    </row>
    <row r="418">
      <c r="A418" s="1" t="s">
        <v>1262</v>
      </c>
      <c r="B418" s="1" t="s">
        <v>1263</v>
      </c>
      <c r="C418" s="1" t="s">
        <v>1264</v>
      </c>
      <c r="D418" s="1" t="s">
        <v>1215</v>
      </c>
      <c r="E418" s="1" t="s">
        <v>1216</v>
      </c>
      <c r="F418" s="1">
        <v>2174767.0</v>
      </c>
      <c r="G418" s="1">
        <v>69013.0</v>
      </c>
      <c r="H418" s="1">
        <v>4040.0</v>
      </c>
      <c r="I418" s="1">
        <v>3.12E7</v>
      </c>
      <c r="J418" s="1" t="s">
        <v>15</v>
      </c>
    </row>
    <row r="419">
      <c r="A419" s="1" t="s">
        <v>1265</v>
      </c>
      <c r="B419" s="1" t="s">
        <v>1266</v>
      </c>
      <c r="C419" s="1" t="s">
        <v>1267</v>
      </c>
      <c r="D419" s="1" t="s">
        <v>1215</v>
      </c>
      <c r="E419" s="1" t="s">
        <v>1216</v>
      </c>
      <c r="F419" s="1">
        <v>2759709.0</v>
      </c>
      <c r="G419" s="1">
        <v>87414.0</v>
      </c>
      <c r="H419" s="1">
        <v>7667.0</v>
      </c>
      <c r="I419" s="1">
        <v>3.12E7</v>
      </c>
      <c r="J419" s="1" t="s">
        <v>15</v>
      </c>
    </row>
    <row r="420">
      <c r="A420" s="1" t="s">
        <v>1268</v>
      </c>
      <c r="B420" s="1" t="s">
        <v>1269</v>
      </c>
      <c r="C420" s="1" t="s">
        <v>1270</v>
      </c>
      <c r="D420" s="1" t="s">
        <v>1215</v>
      </c>
      <c r="E420" s="1" t="s">
        <v>1216</v>
      </c>
      <c r="F420" s="1">
        <v>2695938.0</v>
      </c>
      <c r="G420" s="1">
        <v>96774.0</v>
      </c>
      <c r="H420" s="1">
        <v>4692.0</v>
      </c>
      <c r="I420" s="1">
        <v>3.12E7</v>
      </c>
      <c r="J420" s="1" t="s">
        <v>15</v>
      </c>
    </row>
    <row r="421">
      <c r="A421" s="1" t="s">
        <v>1271</v>
      </c>
      <c r="B421" s="1" t="s">
        <v>1272</v>
      </c>
      <c r="C421" s="1" t="s">
        <v>1273</v>
      </c>
      <c r="D421" s="1" t="s">
        <v>1215</v>
      </c>
      <c r="E421" s="1" t="s">
        <v>1216</v>
      </c>
      <c r="F421" s="1">
        <v>6598025.0</v>
      </c>
      <c r="G421" s="1">
        <v>216160.0</v>
      </c>
      <c r="H421" s="1">
        <v>12147.0</v>
      </c>
      <c r="I421" s="1">
        <v>3.12E7</v>
      </c>
      <c r="J421" s="1" t="s">
        <v>15</v>
      </c>
    </row>
    <row r="422">
      <c r="A422" s="1" t="s">
        <v>1274</v>
      </c>
      <c r="B422" s="1" t="s">
        <v>1275</v>
      </c>
      <c r="C422" s="1" t="s">
        <v>1276</v>
      </c>
      <c r="D422" s="1" t="s">
        <v>1215</v>
      </c>
      <c r="E422" s="1" t="s">
        <v>1216</v>
      </c>
      <c r="F422" s="1">
        <v>978039.0</v>
      </c>
      <c r="G422" s="1">
        <v>51302.0</v>
      </c>
      <c r="H422" s="1">
        <v>2041.0</v>
      </c>
      <c r="I422" s="1">
        <v>3.12E7</v>
      </c>
      <c r="J422" s="1" t="s">
        <v>15</v>
      </c>
    </row>
    <row r="423">
      <c r="A423" s="1" t="s">
        <v>1277</v>
      </c>
      <c r="B423" s="1" t="s">
        <v>1278</v>
      </c>
      <c r="C423" s="1" t="s">
        <v>1279</v>
      </c>
      <c r="D423" s="1" t="s">
        <v>1215</v>
      </c>
      <c r="E423" s="1" t="s">
        <v>1216</v>
      </c>
      <c r="F423" s="1">
        <v>1568409.0</v>
      </c>
      <c r="G423" s="1">
        <v>75863.0</v>
      </c>
      <c r="H423" s="1">
        <v>2416.0</v>
      </c>
      <c r="I423" s="1">
        <v>3.12E7</v>
      </c>
      <c r="J423" s="1" t="s">
        <v>15</v>
      </c>
    </row>
    <row r="424">
      <c r="A424" s="1" t="s">
        <v>1280</v>
      </c>
      <c r="B424" s="1" t="s">
        <v>1281</v>
      </c>
      <c r="C424" s="1" t="s">
        <v>1282</v>
      </c>
      <c r="D424" s="1" t="s">
        <v>1215</v>
      </c>
      <c r="E424" s="1" t="s">
        <v>1216</v>
      </c>
      <c r="F424" s="1">
        <v>1316327.0</v>
      </c>
      <c r="G424" s="1">
        <v>48625.0</v>
      </c>
      <c r="H424" s="1">
        <v>2466.0</v>
      </c>
      <c r="I424" s="1">
        <v>3.12E7</v>
      </c>
      <c r="J424" s="1" t="s">
        <v>15</v>
      </c>
    </row>
    <row r="425">
      <c r="A425" s="1" t="s">
        <v>1283</v>
      </c>
      <c r="B425" s="1" t="s">
        <v>1284</v>
      </c>
      <c r="C425" s="1" t="s">
        <v>1285</v>
      </c>
      <c r="D425" s="1" t="s">
        <v>1215</v>
      </c>
      <c r="E425" s="1" t="s">
        <v>1216</v>
      </c>
      <c r="F425" s="1">
        <v>1159821.0</v>
      </c>
      <c r="G425" s="1">
        <v>46784.0</v>
      </c>
      <c r="H425" s="1">
        <v>1659.0</v>
      </c>
      <c r="I425" s="1">
        <v>3.12E7</v>
      </c>
      <c r="J425" s="1" t="s">
        <v>15</v>
      </c>
    </row>
    <row r="426">
      <c r="A426" s="1" t="s">
        <v>1286</v>
      </c>
      <c r="B426" s="1" t="s">
        <v>1287</v>
      </c>
      <c r="C426" s="1" t="s">
        <v>1288</v>
      </c>
      <c r="D426" s="1" t="s">
        <v>1215</v>
      </c>
      <c r="E426" s="1" t="s">
        <v>1216</v>
      </c>
      <c r="F426" s="1">
        <v>2070977.0</v>
      </c>
      <c r="G426" s="1">
        <v>68224.0</v>
      </c>
      <c r="H426" s="1">
        <v>3463.0</v>
      </c>
      <c r="I426" s="1">
        <v>3.12E7</v>
      </c>
      <c r="J426" s="1" t="s">
        <v>15</v>
      </c>
    </row>
    <row r="427">
      <c r="A427" s="1" t="s">
        <v>1289</v>
      </c>
      <c r="B427" s="1" t="s">
        <v>1290</v>
      </c>
      <c r="C427" s="1" t="s">
        <v>1291</v>
      </c>
      <c r="D427" s="1" t="s">
        <v>1215</v>
      </c>
      <c r="E427" s="1" t="s">
        <v>1216</v>
      </c>
      <c r="F427" s="1">
        <v>1918287.0</v>
      </c>
      <c r="G427" s="1">
        <v>77838.0</v>
      </c>
      <c r="H427" s="1">
        <v>3045.0</v>
      </c>
      <c r="I427" s="1">
        <v>3.12E7</v>
      </c>
      <c r="J427" s="1" t="s">
        <v>15</v>
      </c>
    </row>
    <row r="428">
      <c r="A428" s="1" t="s">
        <v>1292</v>
      </c>
      <c r="B428" s="1" t="s">
        <v>1293</v>
      </c>
      <c r="C428" s="1" t="s">
        <v>1294</v>
      </c>
      <c r="D428" s="1" t="s">
        <v>1215</v>
      </c>
      <c r="E428" s="1" t="s">
        <v>1216</v>
      </c>
      <c r="F428" s="1">
        <v>1672699.0</v>
      </c>
      <c r="G428" s="1">
        <v>212156.0</v>
      </c>
      <c r="H428" s="1">
        <v>15420.0</v>
      </c>
      <c r="I428" s="1">
        <v>3.12E7</v>
      </c>
      <c r="J428" s="1" t="s">
        <v>15</v>
      </c>
    </row>
    <row r="429">
      <c r="A429" s="1" t="s">
        <v>1295</v>
      </c>
      <c r="B429" s="1" t="s">
        <v>1296</v>
      </c>
      <c r="C429" s="1" t="s">
        <v>1297</v>
      </c>
      <c r="D429" s="1" t="s">
        <v>1215</v>
      </c>
      <c r="E429" s="1" t="s">
        <v>1216</v>
      </c>
      <c r="F429" s="1">
        <v>1434586.0</v>
      </c>
      <c r="G429" s="1">
        <v>50861.0</v>
      </c>
      <c r="H429" s="1">
        <v>2108.0</v>
      </c>
      <c r="I429" s="1">
        <v>3.12E7</v>
      </c>
      <c r="J429" s="1" t="s">
        <v>15</v>
      </c>
    </row>
    <row r="430">
      <c r="A430" s="1" t="s">
        <v>1298</v>
      </c>
      <c r="B430" s="1" t="s">
        <v>1299</v>
      </c>
      <c r="C430" s="1" t="s">
        <v>1300</v>
      </c>
      <c r="D430" s="1" t="s">
        <v>1215</v>
      </c>
      <c r="E430" s="1" t="s">
        <v>1216</v>
      </c>
      <c r="F430" s="1">
        <v>1470239.0</v>
      </c>
      <c r="G430" s="1">
        <v>72754.0</v>
      </c>
      <c r="H430" s="1">
        <v>2170.0</v>
      </c>
      <c r="I430" s="1">
        <v>3.12E7</v>
      </c>
      <c r="J430" s="1" t="s">
        <v>15</v>
      </c>
    </row>
    <row r="431">
      <c r="A431" s="1" t="s">
        <v>1301</v>
      </c>
      <c r="B431" s="1" t="s">
        <v>1302</v>
      </c>
      <c r="C431" s="1" t="s">
        <v>1303</v>
      </c>
      <c r="D431" s="1" t="s">
        <v>1215</v>
      </c>
      <c r="E431" s="1" t="s">
        <v>1216</v>
      </c>
      <c r="F431" s="1">
        <v>1364223.0</v>
      </c>
      <c r="G431" s="1">
        <v>62304.0</v>
      </c>
      <c r="H431" s="1">
        <v>2932.0</v>
      </c>
      <c r="I431" s="1">
        <v>3.12E7</v>
      </c>
      <c r="J431" s="1" t="s">
        <v>15</v>
      </c>
    </row>
    <row r="432">
      <c r="A432" s="1" t="s">
        <v>1304</v>
      </c>
      <c r="B432" s="1" t="s">
        <v>1305</v>
      </c>
      <c r="C432" s="1" t="s">
        <v>1306</v>
      </c>
      <c r="D432" s="1" t="s">
        <v>1215</v>
      </c>
      <c r="E432" s="1" t="s">
        <v>1216</v>
      </c>
      <c r="F432" s="1">
        <v>1919145.0</v>
      </c>
      <c r="G432" s="1">
        <v>54468.0</v>
      </c>
      <c r="H432" s="1">
        <v>3136.0</v>
      </c>
      <c r="I432" s="1">
        <v>3.12E7</v>
      </c>
      <c r="J432" s="1" t="s">
        <v>15</v>
      </c>
    </row>
    <row r="433">
      <c r="A433" s="1" t="s">
        <v>1307</v>
      </c>
      <c r="B433" s="1" t="s">
        <v>1308</v>
      </c>
      <c r="C433" s="1" t="s">
        <v>1309</v>
      </c>
      <c r="D433" s="1" t="s">
        <v>1215</v>
      </c>
      <c r="E433" s="1" t="s">
        <v>1216</v>
      </c>
      <c r="F433" s="1">
        <v>2639777.0</v>
      </c>
      <c r="G433" s="1">
        <v>184086.0</v>
      </c>
      <c r="H433" s="1">
        <v>12099.0</v>
      </c>
      <c r="I433" s="1">
        <v>3.12E7</v>
      </c>
      <c r="J433" s="1" t="s">
        <v>15</v>
      </c>
    </row>
    <row r="434">
      <c r="A434" s="1" t="s">
        <v>1310</v>
      </c>
      <c r="B434" s="1" t="s">
        <v>1311</v>
      </c>
      <c r="C434" s="1" t="s">
        <v>1312</v>
      </c>
      <c r="D434" s="1" t="s">
        <v>1215</v>
      </c>
      <c r="E434" s="1" t="s">
        <v>1216</v>
      </c>
      <c r="F434" s="1">
        <v>595275.0</v>
      </c>
      <c r="G434" s="1">
        <v>20045.0</v>
      </c>
      <c r="H434" s="1">
        <v>1394.0</v>
      </c>
      <c r="I434" s="1">
        <v>3.12E7</v>
      </c>
      <c r="J434" s="1" t="s">
        <v>15</v>
      </c>
    </row>
    <row r="435">
      <c r="A435" s="1" t="s">
        <v>1313</v>
      </c>
      <c r="B435" s="1" t="s">
        <v>1314</v>
      </c>
      <c r="C435" s="1" t="s">
        <v>1315</v>
      </c>
      <c r="D435" s="1" t="s">
        <v>1215</v>
      </c>
      <c r="E435" s="1" t="s">
        <v>1216</v>
      </c>
      <c r="F435" s="1">
        <v>611877.0</v>
      </c>
      <c r="G435" s="1">
        <v>19940.0</v>
      </c>
      <c r="H435" s="1">
        <v>1183.0</v>
      </c>
      <c r="I435" s="1">
        <v>3.12E7</v>
      </c>
      <c r="J435" s="1" t="s">
        <v>15</v>
      </c>
    </row>
    <row r="436">
      <c r="A436" s="1" t="s">
        <v>1316</v>
      </c>
      <c r="B436" s="1" t="s">
        <v>1317</v>
      </c>
      <c r="C436" s="1" t="s">
        <v>1318</v>
      </c>
      <c r="D436" s="1" t="s">
        <v>1215</v>
      </c>
      <c r="E436" s="1" t="s">
        <v>1216</v>
      </c>
      <c r="F436" s="1">
        <v>1260851.0</v>
      </c>
      <c r="G436" s="1">
        <v>39878.0</v>
      </c>
      <c r="H436" s="1">
        <v>2274.0</v>
      </c>
      <c r="I436" s="1">
        <v>3.12E7</v>
      </c>
      <c r="J436" s="1" t="s">
        <v>15</v>
      </c>
    </row>
    <row r="437">
      <c r="A437" s="1" t="s">
        <v>1319</v>
      </c>
      <c r="B437" s="1" t="s">
        <v>1320</v>
      </c>
      <c r="C437" s="1" t="s">
        <v>1321</v>
      </c>
      <c r="D437" s="1" t="s">
        <v>1215</v>
      </c>
      <c r="E437" s="1" t="s">
        <v>1216</v>
      </c>
      <c r="F437" s="1">
        <v>3276283.0</v>
      </c>
      <c r="G437" s="1">
        <v>110192.0</v>
      </c>
      <c r="H437" s="1">
        <v>9062.0</v>
      </c>
      <c r="I437" s="1">
        <v>3.12E7</v>
      </c>
      <c r="J437" s="1" t="s">
        <v>15</v>
      </c>
    </row>
    <row r="438">
      <c r="A438" s="1" t="s">
        <v>1322</v>
      </c>
      <c r="B438" s="1" t="s">
        <v>1323</v>
      </c>
      <c r="C438" s="1" t="s">
        <v>1324</v>
      </c>
      <c r="D438" s="1" t="s">
        <v>1215</v>
      </c>
      <c r="E438" s="1" t="s">
        <v>1216</v>
      </c>
      <c r="F438" s="1">
        <v>2315023.0</v>
      </c>
      <c r="G438" s="1">
        <v>92585.0</v>
      </c>
      <c r="H438" s="1">
        <v>4078.0</v>
      </c>
      <c r="I438" s="1">
        <v>3.12E7</v>
      </c>
      <c r="J438" s="1" t="s">
        <v>15</v>
      </c>
    </row>
    <row r="439">
      <c r="A439" s="1" t="s">
        <v>1325</v>
      </c>
      <c r="B439" s="1" t="s">
        <v>1326</v>
      </c>
      <c r="C439" s="1" t="s">
        <v>1327</v>
      </c>
      <c r="D439" s="1" t="s">
        <v>1215</v>
      </c>
      <c r="E439" s="1" t="s">
        <v>1216</v>
      </c>
      <c r="F439" s="1">
        <v>2707804.0</v>
      </c>
      <c r="G439" s="1">
        <v>99270.0</v>
      </c>
      <c r="H439" s="1">
        <v>5304.0</v>
      </c>
      <c r="I439" s="1">
        <v>3.12E7</v>
      </c>
      <c r="J439" s="1" t="s">
        <v>15</v>
      </c>
    </row>
    <row r="440">
      <c r="A440" s="1" t="s">
        <v>1328</v>
      </c>
      <c r="B440" s="1" t="s">
        <v>1329</v>
      </c>
      <c r="C440" s="1" t="s">
        <v>1330</v>
      </c>
      <c r="D440" s="1" t="s">
        <v>1215</v>
      </c>
      <c r="E440" s="1" t="s">
        <v>1216</v>
      </c>
      <c r="F440" s="1">
        <v>2683546.0</v>
      </c>
      <c r="G440" s="1">
        <v>102425.0</v>
      </c>
      <c r="H440" s="1">
        <v>3896.0</v>
      </c>
      <c r="I440" s="1">
        <v>3.12E7</v>
      </c>
      <c r="J440" s="1" t="s">
        <v>15</v>
      </c>
    </row>
    <row r="441">
      <c r="A441" s="1" t="s">
        <v>1331</v>
      </c>
      <c r="B441" s="1" t="s">
        <v>1332</v>
      </c>
      <c r="C441" s="1" t="s">
        <v>1333</v>
      </c>
      <c r="D441" s="1" t="s">
        <v>1215</v>
      </c>
      <c r="E441" s="1" t="s">
        <v>1216</v>
      </c>
      <c r="F441" s="1">
        <v>4764285.0</v>
      </c>
      <c r="G441" s="1">
        <v>156385.0</v>
      </c>
      <c r="H441" s="1">
        <v>9139.0</v>
      </c>
      <c r="I441" s="1">
        <v>3.12E7</v>
      </c>
      <c r="J441" s="1" t="s">
        <v>15</v>
      </c>
    </row>
    <row r="442">
      <c r="A442" s="1" t="s">
        <v>1334</v>
      </c>
      <c r="B442" s="1" t="s">
        <v>1335</v>
      </c>
      <c r="C442" s="1" t="s">
        <v>1336</v>
      </c>
      <c r="D442" s="1" t="s">
        <v>1215</v>
      </c>
      <c r="E442" s="1" t="s">
        <v>1216</v>
      </c>
      <c r="F442" s="1">
        <v>3228870.0</v>
      </c>
      <c r="G442" s="1">
        <v>103210.0</v>
      </c>
      <c r="H442" s="1">
        <v>6803.0</v>
      </c>
      <c r="I442" s="1">
        <v>3.12E7</v>
      </c>
      <c r="J442" s="1" t="s">
        <v>15</v>
      </c>
    </row>
    <row r="443">
      <c r="A443" s="1" t="s">
        <v>1337</v>
      </c>
      <c r="B443" s="1" t="s">
        <v>1338</v>
      </c>
      <c r="C443" s="1" t="s">
        <v>1339</v>
      </c>
      <c r="D443" s="1" t="s">
        <v>1215</v>
      </c>
      <c r="E443" s="1" t="s">
        <v>1216</v>
      </c>
      <c r="F443" s="1">
        <v>2179305.0</v>
      </c>
      <c r="G443" s="1">
        <v>53936.0</v>
      </c>
      <c r="H443" s="1">
        <v>2392.0</v>
      </c>
      <c r="I443" s="1">
        <v>3.12E7</v>
      </c>
      <c r="J443" s="1" t="s">
        <v>15</v>
      </c>
    </row>
    <row r="444">
      <c r="A444" s="1" t="s">
        <v>1340</v>
      </c>
      <c r="B444" s="1" t="s">
        <v>1341</v>
      </c>
      <c r="C444" s="1" t="s">
        <v>1342</v>
      </c>
      <c r="D444" s="1" t="s">
        <v>1215</v>
      </c>
      <c r="E444" s="1" t="s">
        <v>1216</v>
      </c>
      <c r="F444" s="1">
        <v>2958632.0</v>
      </c>
      <c r="G444" s="1">
        <v>172133.0</v>
      </c>
      <c r="H444" s="1">
        <v>6229.0</v>
      </c>
      <c r="I444" s="1">
        <v>3.12E7</v>
      </c>
      <c r="J444" s="1" t="s">
        <v>15</v>
      </c>
    </row>
    <row r="445">
      <c r="A445" s="1" t="s">
        <v>1343</v>
      </c>
      <c r="B445" s="1" t="s">
        <v>1344</v>
      </c>
      <c r="C445" s="1" t="s">
        <v>1345</v>
      </c>
      <c r="D445" s="1" t="s">
        <v>1215</v>
      </c>
      <c r="E445" s="1" t="s">
        <v>1216</v>
      </c>
      <c r="F445" s="1">
        <v>3205631.0</v>
      </c>
      <c r="G445" s="1">
        <v>82756.0</v>
      </c>
      <c r="H445" s="1">
        <v>4129.0</v>
      </c>
      <c r="I445" s="1">
        <v>3.12E7</v>
      </c>
      <c r="J445" s="1" t="s">
        <v>15</v>
      </c>
    </row>
    <row r="446">
      <c r="A446" s="1" t="s">
        <v>1346</v>
      </c>
      <c r="B446" s="1" t="s">
        <v>1347</v>
      </c>
      <c r="C446" s="1" t="s">
        <v>1348</v>
      </c>
      <c r="D446" s="1" t="s">
        <v>1215</v>
      </c>
      <c r="E446" s="1" t="s">
        <v>1216</v>
      </c>
      <c r="F446" s="1">
        <v>1349758.0</v>
      </c>
      <c r="G446" s="1">
        <v>46141.0</v>
      </c>
      <c r="H446" s="1">
        <v>2519.0</v>
      </c>
      <c r="I446" s="1">
        <v>3.12E7</v>
      </c>
      <c r="J446" s="1" t="s">
        <v>15</v>
      </c>
    </row>
    <row r="447">
      <c r="A447" s="1" t="s">
        <v>1349</v>
      </c>
      <c r="B447" s="1" t="s">
        <v>1350</v>
      </c>
      <c r="C447" s="1" t="s">
        <v>1351</v>
      </c>
      <c r="D447" s="1" t="s">
        <v>1215</v>
      </c>
      <c r="E447" s="1" t="s">
        <v>1216</v>
      </c>
      <c r="F447" s="1">
        <v>2195208.0</v>
      </c>
      <c r="G447" s="1">
        <v>60154.0</v>
      </c>
      <c r="H447" s="1">
        <v>4874.0</v>
      </c>
      <c r="I447" s="1">
        <v>3.12E7</v>
      </c>
      <c r="J447" s="1" t="s">
        <v>15</v>
      </c>
    </row>
    <row r="448">
      <c r="A448" s="1" t="s">
        <v>1352</v>
      </c>
      <c r="B448" s="1" t="s">
        <v>1353</v>
      </c>
      <c r="C448" s="1" t="s">
        <v>1354</v>
      </c>
      <c r="D448" s="1" t="s">
        <v>1215</v>
      </c>
      <c r="E448" s="1" t="s">
        <v>1216</v>
      </c>
      <c r="F448" s="1">
        <v>2462011.0</v>
      </c>
      <c r="G448" s="1">
        <v>68033.0</v>
      </c>
      <c r="H448" s="1">
        <v>4790.0</v>
      </c>
      <c r="I448" s="1">
        <v>3.12E7</v>
      </c>
      <c r="J448" s="1" t="s">
        <v>15</v>
      </c>
    </row>
    <row r="449">
      <c r="A449" s="1" t="s">
        <v>1355</v>
      </c>
      <c r="B449" s="1" t="s">
        <v>1356</v>
      </c>
      <c r="C449" s="1" t="s">
        <v>1357</v>
      </c>
      <c r="D449" s="1" t="s">
        <v>1215</v>
      </c>
      <c r="E449" s="1" t="s">
        <v>1216</v>
      </c>
      <c r="F449" s="1">
        <v>876560.0</v>
      </c>
      <c r="G449" s="1">
        <v>41266.0</v>
      </c>
      <c r="H449" s="1">
        <v>1699.0</v>
      </c>
      <c r="I449" s="1">
        <v>3.12E7</v>
      </c>
      <c r="J449" s="1" t="s">
        <v>15</v>
      </c>
    </row>
    <row r="450">
      <c r="A450" s="1" t="s">
        <v>1358</v>
      </c>
      <c r="B450" s="1" t="s">
        <v>1359</v>
      </c>
      <c r="C450" s="1" t="s">
        <v>1360</v>
      </c>
      <c r="D450" s="1" t="s">
        <v>1215</v>
      </c>
      <c r="E450" s="1" t="s">
        <v>1216</v>
      </c>
      <c r="F450" s="1">
        <v>2087423.0</v>
      </c>
      <c r="G450" s="1">
        <v>72082.0</v>
      </c>
      <c r="H450" s="1">
        <v>2672.0</v>
      </c>
      <c r="I450" s="1">
        <v>3.12E7</v>
      </c>
      <c r="J450" s="1" t="s">
        <v>15</v>
      </c>
    </row>
    <row r="451">
      <c r="A451" s="1" t="s">
        <v>1361</v>
      </c>
      <c r="B451" s="1" t="s">
        <v>1362</v>
      </c>
      <c r="C451" s="1" t="s">
        <v>1363</v>
      </c>
      <c r="D451" s="1" t="s">
        <v>1215</v>
      </c>
      <c r="E451" s="1" t="s">
        <v>1216</v>
      </c>
      <c r="F451" s="1">
        <v>2818681.0</v>
      </c>
      <c r="G451" s="1">
        <v>113129.0</v>
      </c>
      <c r="H451" s="1">
        <v>4480.0</v>
      </c>
      <c r="I451" s="1">
        <v>3.12E7</v>
      </c>
      <c r="J451" s="1" t="s">
        <v>15</v>
      </c>
    </row>
    <row r="452">
      <c r="A452" s="1" t="s">
        <v>1364</v>
      </c>
      <c r="B452" s="1" t="s">
        <v>1365</v>
      </c>
      <c r="C452" s="1" t="s">
        <v>1366</v>
      </c>
      <c r="D452" s="1" t="s">
        <v>1215</v>
      </c>
      <c r="E452" s="1" t="s">
        <v>1216</v>
      </c>
      <c r="F452" s="1">
        <v>1236657.0</v>
      </c>
      <c r="G452" s="1">
        <v>37587.0</v>
      </c>
      <c r="H452" s="1">
        <v>2306.0</v>
      </c>
      <c r="I452" s="1">
        <v>3.12E7</v>
      </c>
      <c r="J452" s="1" t="s">
        <v>15</v>
      </c>
    </row>
    <row r="453">
      <c r="A453" s="1" t="s">
        <v>1367</v>
      </c>
      <c r="B453" s="1" t="s">
        <v>1368</v>
      </c>
      <c r="C453" s="1" t="s">
        <v>1369</v>
      </c>
      <c r="D453" s="1" t="s">
        <v>1215</v>
      </c>
      <c r="E453" s="1" t="s">
        <v>1216</v>
      </c>
      <c r="F453" s="1">
        <v>1672794.0</v>
      </c>
      <c r="G453" s="1">
        <v>49230.0</v>
      </c>
      <c r="H453" s="1">
        <v>2335.0</v>
      </c>
      <c r="I453" s="1">
        <v>3.12E7</v>
      </c>
      <c r="J453" s="1" t="s">
        <v>15</v>
      </c>
    </row>
    <row r="454">
      <c r="A454" s="1" t="s">
        <v>1370</v>
      </c>
      <c r="B454" s="1" t="s">
        <v>1371</v>
      </c>
      <c r="C454" s="1" t="s">
        <v>1372</v>
      </c>
      <c r="D454" s="1" t="s">
        <v>1215</v>
      </c>
      <c r="E454" s="1" t="s">
        <v>1216</v>
      </c>
      <c r="F454" s="1">
        <v>1470915.0</v>
      </c>
      <c r="G454" s="1">
        <v>61137.0</v>
      </c>
      <c r="H454" s="1">
        <v>2371.0</v>
      </c>
      <c r="I454" s="1">
        <v>3.12E7</v>
      </c>
      <c r="J454" s="1" t="s">
        <v>15</v>
      </c>
    </row>
    <row r="455">
      <c r="A455" s="1" t="s">
        <v>1373</v>
      </c>
      <c r="B455" s="1" t="s">
        <v>1374</v>
      </c>
      <c r="C455" s="1" t="s">
        <v>1375</v>
      </c>
      <c r="D455" s="1" t="s">
        <v>1215</v>
      </c>
      <c r="E455" s="1" t="s">
        <v>1216</v>
      </c>
      <c r="F455" s="1">
        <v>2226811.0</v>
      </c>
      <c r="G455" s="1">
        <v>65197.0</v>
      </c>
      <c r="H455" s="1">
        <v>2309.0</v>
      </c>
      <c r="I455" s="1">
        <v>3.12E7</v>
      </c>
      <c r="J455" s="1" t="s">
        <v>15</v>
      </c>
    </row>
    <row r="456">
      <c r="A456" s="1" t="s">
        <v>1376</v>
      </c>
      <c r="B456" s="1" t="s">
        <v>1377</v>
      </c>
      <c r="C456" s="1" t="s">
        <v>1378</v>
      </c>
      <c r="D456" s="1" t="s">
        <v>1215</v>
      </c>
      <c r="E456" s="1" t="s">
        <v>1216</v>
      </c>
      <c r="F456" s="1">
        <v>2483840.0</v>
      </c>
      <c r="G456" s="1">
        <v>101258.0</v>
      </c>
      <c r="H456" s="1">
        <v>6244.0</v>
      </c>
      <c r="I456" s="1">
        <v>3.12E7</v>
      </c>
      <c r="J456" s="1" t="s">
        <v>15</v>
      </c>
    </row>
    <row r="457">
      <c r="A457" s="1" t="s">
        <v>1379</v>
      </c>
      <c r="B457" s="1" t="s">
        <v>1380</v>
      </c>
      <c r="C457" s="1" t="s">
        <v>1381</v>
      </c>
      <c r="D457" s="1" t="s">
        <v>1215</v>
      </c>
      <c r="E457" s="1" t="s">
        <v>1216</v>
      </c>
      <c r="F457" s="1">
        <v>2291024.0</v>
      </c>
      <c r="G457" s="1">
        <v>95638.0</v>
      </c>
      <c r="H457" s="1">
        <v>3791.0</v>
      </c>
      <c r="I457" s="1">
        <v>3.12E7</v>
      </c>
      <c r="J457" s="1" t="s">
        <v>15</v>
      </c>
    </row>
    <row r="458">
      <c r="A458" s="1" t="s">
        <v>1382</v>
      </c>
      <c r="B458" s="1" t="s">
        <v>1383</v>
      </c>
      <c r="C458" s="1" t="s">
        <v>1384</v>
      </c>
      <c r="D458" s="1" t="s">
        <v>1215</v>
      </c>
      <c r="E458" s="1" t="s">
        <v>1216</v>
      </c>
      <c r="F458" s="1">
        <v>3501121.0</v>
      </c>
      <c r="G458" s="1">
        <v>225173.0</v>
      </c>
      <c r="H458" s="1">
        <v>19442.0</v>
      </c>
      <c r="I458" s="1">
        <v>3.12E7</v>
      </c>
      <c r="J458" s="1" t="s">
        <v>15</v>
      </c>
    </row>
    <row r="459">
      <c r="A459" s="1" t="s">
        <v>1385</v>
      </c>
      <c r="B459" s="1" t="s">
        <v>1386</v>
      </c>
      <c r="C459" s="1" t="s">
        <v>1387</v>
      </c>
      <c r="D459" s="1" t="s">
        <v>1215</v>
      </c>
      <c r="E459" s="1" t="s">
        <v>1216</v>
      </c>
      <c r="F459" s="1">
        <v>527845.0</v>
      </c>
      <c r="G459" s="1">
        <v>35841.0</v>
      </c>
      <c r="H459" s="1">
        <v>499.0</v>
      </c>
      <c r="I459" s="1">
        <v>3.12E7</v>
      </c>
      <c r="J459" s="1" t="s">
        <v>15</v>
      </c>
    </row>
    <row r="460">
      <c r="A460" s="1" t="s">
        <v>1388</v>
      </c>
      <c r="B460" s="1" t="s">
        <v>1389</v>
      </c>
      <c r="C460" s="1" t="s">
        <v>1390</v>
      </c>
      <c r="D460" s="1" t="s">
        <v>1215</v>
      </c>
      <c r="E460" s="1" t="s">
        <v>1216</v>
      </c>
      <c r="F460" s="1">
        <v>4122479.0</v>
      </c>
      <c r="G460" s="1">
        <v>186588.0</v>
      </c>
      <c r="H460" s="1">
        <v>14287.0</v>
      </c>
      <c r="I460" s="1">
        <v>3.12E7</v>
      </c>
      <c r="J460" s="1" t="s">
        <v>15</v>
      </c>
    </row>
    <row r="461">
      <c r="A461" s="1" t="s">
        <v>1391</v>
      </c>
      <c r="B461" s="1" t="s">
        <v>1392</v>
      </c>
      <c r="C461" s="1" t="s">
        <v>1393</v>
      </c>
      <c r="D461" s="1" t="s">
        <v>1215</v>
      </c>
      <c r="E461" s="1" t="s">
        <v>1216</v>
      </c>
      <c r="F461" s="1">
        <v>2063256.0</v>
      </c>
      <c r="G461" s="1">
        <v>126157.0</v>
      </c>
      <c r="H461" s="1">
        <v>608.0</v>
      </c>
      <c r="I461" s="1">
        <v>3.12E7</v>
      </c>
      <c r="J461" s="1" t="s">
        <v>15</v>
      </c>
    </row>
    <row r="462">
      <c r="A462" s="1" t="s">
        <v>1394</v>
      </c>
      <c r="B462" s="1" t="s">
        <v>1395</v>
      </c>
      <c r="C462" s="1" t="s">
        <v>1396</v>
      </c>
      <c r="D462" s="1" t="s">
        <v>1215</v>
      </c>
      <c r="E462" s="1" t="s">
        <v>1216</v>
      </c>
      <c r="F462" s="1">
        <v>3826403.0</v>
      </c>
      <c r="G462" s="1">
        <v>161333.0</v>
      </c>
      <c r="H462" s="1">
        <v>9383.0</v>
      </c>
      <c r="I462" s="1">
        <v>3.12E7</v>
      </c>
      <c r="J462" s="1" t="s">
        <v>15</v>
      </c>
    </row>
    <row r="463">
      <c r="A463" s="1" t="s">
        <v>1397</v>
      </c>
      <c r="B463" s="1" t="s">
        <v>1398</v>
      </c>
      <c r="C463" s="1" t="s">
        <v>1399</v>
      </c>
      <c r="D463" s="1" t="s">
        <v>1215</v>
      </c>
      <c r="E463" s="1" t="s">
        <v>1216</v>
      </c>
      <c r="F463" s="1">
        <v>2156388.0</v>
      </c>
      <c r="G463" s="1">
        <v>60067.0</v>
      </c>
      <c r="H463" s="1">
        <v>2502.0</v>
      </c>
      <c r="I463" s="1">
        <v>3.12E7</v>
      </c>
      <c r="J463" s="1" t="s">
        <v>15</v>
      </c>
    </row>
    <row r="464">
      <c r="A464" s="1" t="s">
        <v>1400</v>
      </c>
      <c r="B464" s="1" t="s">
        <v>1401</v>
      </c>
      <c r="C464" s="1" t="s">
        <v>1402</v>
      </c>
      <c r="D464" s="1" t="s">
        <v>1215</v>
      </c>
      <c r="E464" s="1" t="s">
        <v>1216</v>
      </c>
      <c r="F464" s="1">
        <v>4296095.0</v>
      </c>
      <c r="G464" s="1">
        <v>162938.0</v>
      </c>
      <c r="H464" s="1">
        <v>7521.0</v>
      </c>
      <c r="I464" s="1">
        <v>3.12E7</v>
      </c>
      <c r="J464" s="1" t="s">
        <v>15</v>
      </c>
    </row>
    <row r="465">
      <c r="A465" s="1" t="s">
        <v>1403</v>
      </c>
      <c r="B465" s="1" t="s">
        <v>1404</v>
      </c>
      <c r="C465" s="1" t="s">
        <v>1405</v>
      </c>
      <c r="D465" s="1" t="s">
        <v>1215</v>
      </c>
      <c r="E465" s="1" t="s">
        <v>1216</v>
      </c>
      <c r="F465" s="1">
        <v>1840515.0</v>
      </c>
      <c r="G465" s="1">
        <v>55976.0</v>
      </c>
      <c r="H465" s="1">
        <v>1624.0</v>
      </c>
      <c r="I465" s="1">
        <v>3.12E7</v>
      </c>
      <c r="J465" s="1" t="s">
        <v>15</v>
      </c>
    </row>
    <row r="466">
      <c r="A466" s="1" t="s">
        <v>1406</v>
      </c>
      <c r="B466" s="1" t="s">
        <v>1407</v>
      </c>
      <c r="C466" s="1" t="s">
        <v>1408</v>
      </c>
      <c r="D466" s="1" t="s">
        <v>1215</v>
      </c>
      <c r="E466" s="1" t="s">
        <v>1216</v>
      </c>
      <c r="F466" s="1">
        <v>6268752.0</v>
      </c>
      <c r="G466" s="1">
        <v>224885.0</v>
      </c>
      <c r="H466" s="1">
        <v>7857.0</v>
      </c>
      <c r="I466" s="1">
        <v>3.12E7</v>
      </c>
      <c r="J466" s="1" t="s">
        <v>15</v>
      </c>
    </row>
    <row r="467">
      <c r="A467" s="1" t="s">
        <v>1409</v>
      </c>
      <c r="B467" s="1" t="s">
        <v>1410</v>
      </c>
      <c r="C467" s="1" t="s">
        <v>1411</v>
      </c>
      <c r="D467" s="1" t="s">
        <v>1215</v>
      </c>
      <c r="E467" s="1" t="s">
        <v>1216</v>
      </c>
      <c r="F467" s="1">
        <v>2453436.0</v>
      </c>
      <c r="G467" s="1">
        <v>80262.0</v>
      </c>
      <c r="H467" s="1">
        <v>4608.0</v>
      </c>
      <c r="I467" s="1">
        <v>3.12E7</v>
      </c>
      <c r="J467" s="1" t="s">
        <v>15</v>
      </c>
    </row>
    <row r="468">
      <c r="A468" s="1" t="s">
        <v>1412</v>
      </c>
      <c r="B468" s="1" t="s">
        <v>1413</v>
      </c>
      <c r="C468" s="1" t="s">
        <v>1414</v>
      </c>
      <c r="D468" s="1" t="s">
        <v>1215</v>
      </c>
      <c r="E468" s="1" t="s">
        <v>1216</v>
      </c>
      <c r="F468" s="1">
        <v>1993136.0</v>
      </c>
      <c r="G468" s="1">
        <v>54250.0</v>
      </c>
      <c r="H468" s="1">
        <v>2056.0</v>
      </c>
      <c r="I468" s="1">
        <v>3.12E7</v>
      </c>
      <c r="J468" s="1" t="s">
        <v>15</v>
      </c>
    </row>
    <row r="469">
      <c r="A469" s="1" t="s">
        <v>1415</v>
      </c>
      <c r="B469" s="1" t="s">
        <v>1416</v>
      </c>
      <c r="C469" s="1" t="s">
        <v>1417</v>
      </c>
      <c r="D469" s="1" t="s">
        <v>1215</v>
      </c>
      <c r="E469" s="1" t="s">
        <v>1216</v>
      </c>
      <c r="F469" s="1">
        <v>2951978.0</v>
      </c>
      <c r="G469" s="1">
        <v>72677.0</v>
      </c>
      <c r="H469" s="1">
        <v>4366.0</v>
      </c>
      <c r="I469" s="1">
        <v>3.12E7</v>
      </c>
      <c r="J469" s="1" t="s">
        <v>15</v>
      </c>
    </row>
    <row r="470">
      <c r="A470" s="1" t="s">
        <v>1418</v>
      </c>
      <c r="B470" s="1" t="s">
        <v>1419</v>
      </c>
      <c r="C470" s="1" t="s">
        <v>1420</v>
      </c>
      <c r="D470" s="1" t="s">
        <v>1215</v>
      </c>
      <c r="E470" s="1" t="s">
        <v>1216</v>
      </c>
      <c r="F470" s="1">
        <v>1943080.0</v>
      </c>
      <c r="G470" s="1">
        <v>94566.0</v>
      </c>
      <c r="H470" s="1">
        <v>3521.0</v>
      </c>
      <c r="I470" s="1">
        <v>3.12E7</v>
      </c>
      <c r="J470" s="1" t="s">
        <v>15</v>
      </c>
    </row>
    <row r="471">
      <c r="A471" s="1" t="s">
        <v>1421</v>
      </c>
      <c r="B471" s="1" t="s">
        <v>1422</v>
      </c>
      <c r="C471" s="1" t="s">
        <v>1423</v>
      </c>
      <c r="D471" s="1" t="s">
        <v>1215</v>
      </c>
      <c r="E471" s="1" t="s">
        <v>1216</v>
      </c>
      <c r="F471" s="1">
        <v>1550071.0</v>
      </c>
      <c r="G471" s="1">
        <v>76622.0</v>
      </c>
      <c r="H471" s="1">
        <v>2702.0</v>
      </c>
      <c r="I471" s="1">
        <v>3.12E7</v>
      </c>
      <c r="J471" s="1" t="s">
        <v>15</v>
      </c>
    </row>
    <row r="472">
      <c r="A472" s="1" t="s">
        <v>1424</v>
      </c>
      <c r="B472" s="1" t="s">
        <v>1425</v>
      </c>
      <c r="C472" s="1" t="s">
        <v>1426</v>
      </c>
      <c r="D472" s="1" t="s">
        <v>1215</v>
      </c>
      <c r="E472" s="1" t="s">
        <v>1216</v>
      </c>
      <c r="F472" s="1">
        <v>1995475.0</v>
      </c>
      <c r="G472" s="1">
        <v>57979.0</v>
      </c>
      <c r="H472" s="1">
        <v>3981.0</v>
      </c>
      <c r="I472" s="1">
        <v>3.12E7</v>
      </c>
      <c r="J472" s="1" t="s">
        <v>15</v>
      </c>
    </row>
    <row r="473">
      <c r="A473" s="1" t="s">
        <v>1427</v>
      </c>
      <c r="B473" s="1" t="s">
        <v>1428</v>
      </c>
      <c r="C473" s="1" t="s">
        <v>1429</v>
      </c>
      <c r="D473" s="1" t="s">
        <v>1215</v>
      </c>
      <c r="E473" s="1" t="s">
        <v>1216</v>
      </c>
      <c r="F473" s="1">
        <v>2728976.0</v>
      </c>
      <c r="G473" s="1">
        <v>58071.0</v>
      </c>
      <c r="H473" s="1">
        <v>3626.0</v>
      </c>
      <c r="I473" s="1">
        <v>3.12E7</v>
      </c>
      <c r="J473" s="1" t="s">
        <v>15</v>
      </c>
    </row>
    <row r="474">
      <c r="A474" s="1" t="s">
        <v>1430</v>
      </c>
      <c r="B474" s="1" t="s">
        <v>1431</v>
      </c>
      <c r="C474" s="1" t="s">
        <v>1432</v>
      </c>
      <c r="D474" s="1" t="s">
        <v>1215</v>
      </c>
      <c r="E474" s="1" t="s">
        <v>1216</v>
      </c>
      <c r="F474" s="1">
        <v>2490120.0</v>
      </c>
      <c r="G474" s="1">
        <v>84687.0</v>
      </c>
      <c r="H474" s="1">
        <v>4552.0</v>
      </c>
      <c r="I474" s="1">
        <v>3.12E7</v>
      </c>
      <c r="J474" s="1" t="s">
        <v>15</v>
      </c>
    </row>
    <row r="475">
      <c r="A475" s="1" t="s">
        <v>1433</v>
      </c>
      <c r="B475" s="1" t="s">
        <v>1434</v>
      </c>
      <c r="C475" s="1" t="s">
        <v>1435</v>
      </c>
      <c r="D475" s="1" t="s">
        <v>1215</v>
      </c>
      <c r="E475" s="1" t="s">
        <v>1216</v>
      </c>
      <c r="F475" s="1">
        <v>2291513.0</v>
      </c>
      <c r="G475" s="1">
        <v>68380.0</v>
      </c>
      <c r="H475" s="1">
        <v>4314.0</v>
      </c>
      <c r="I475" s="1">
        <v>3.12E7</v>
      </c>
      <c r="J475" s="1" t="s">
        <v>15</v>
      </c>
    </row>
    <row r="476">
      <c r="A476" s="1" t="s">
        <v>1436</v>
      </c>
      <c r="B476" s="1" t="s">
        <v>1437</v>
      </c>
      <c r="C476" s="1" t="s">
        <v>1438</v>
      </c>
      <c r="D476" s="1" t="s">
        <v>1215</v>
      </c>
      <c r="E476" s="1" t="s">
        <v>1216</v>
      </c>
      <c r="F476" s="1">
        <v>3815533.0</v>
      </c>
      <c r="G476" s="1">
        <v>113072.0</v>
      </c>
      <c r="H476" s="1">
        <v>5584.0</v>
      </c>
      <c r="I476" s="1">
        <v>3.12E7</v>
      </c>
      <c r="J476" s="1" t="s">
        <v>15</v>
      </c>
    </row>
    <row r="477">
      <c r="A477" s="1" t="s">
        <v>1439</v>
      </c>
      <c r="B477" s="1" t="s">
        <v>1440</v>
      </c>
      <c r="C477" s="1" t="s">
        <v>1441</v>
      </c>
      <c r="D477" s="1" t="s">
        <v>1215</v>
      </c>
      <c r="E477" s="1" t="s">
        <v>1216</v>
      </c>
      <c r="F477" s="1">
        <v>2087897.0</v>
      </c>
      <c r="G477" s="1">
        <v>102536.0</v>
      </c>
      <c r="H477" s="1">
        <v>6858.0</v>
      </c>
      <c r="I477" s="1">
        <v>3.12E7</v>
      </c>
      <c r="J477" s="1" t="s">
        <v>15</v>
      </c>
    </row>
    <row r="478">
      <c r="A478" s="1" t="s">
        <v>1442</v>
      </c>
      <c r="B478" s="1" t="s">
        <v>1443</v>
      </c>
      <c r="C478" s="1" t="s">
        <v>1444</v>
      </c>
      <c r="D478" s="1" t="s">
        <v>1215</v>
      </c>
      <c r="E478" s="1" t="s">
        <v>1216</v>
      </c>
      <c r="F478" s="1">
        <v>2180743.0</v>
      </c>
      <c r="G478" s="1">
        <v>177096.0</v>
      </c>
      <c r="H478" s="1">
        <v>3764.0</v>
      </c>
      <c r="I478" s="1">
        <v>3.12E7</v>
      </c>
      <c r="J478" s="1" t="s">
        <v>15</v>
      </c>
    </row>
    <row r="479">
      <c r="A479" s="1" t="s">
        <v>1445</v>
      </c>
      <c r="B479" s="1" t="s">
        <v>1446</v>
      </c>
      <c r="C479" s="1" t="s">
        <v>1447</v>
      </c>
      <c r="D479" s="1" t="s">
        <v>1215</v>
      </c>
      <c r="E479" s="1" t="s">
        <v>1216</v>
      </c>
      <c r="F479" s="1">
        <v>6486597.0</v>
      </c>
      <c r="G479" s="1">
        <v>283736.0</v>
      </c>
      <c r="H479" s="1">
        <v>2274.0</v>
      </c>
      <c r="I479" s="1">
        <v>3.12E7</v>
      </c>
      <c r="J479" s="1" t="s">
        <v>15</v>
      </c>
    </row>
    <row r="480">
      <c r="A480" s="1" t="s">
        <v>1448</v>
      </c>
      <c r="B480" s="1" t="s">
        <v>1449</v>
      </c>
      <c r="C480" s="1" t="s">
        <v>1450</v>
      </c>
      <c r="D480" s="1" t="s">
        <v>1215</v>
      </c>
      <c r="E480" s="1" t="s">
        <v>1216</v>
      </c>
      <c r="F480" s="1">
        <v>1.263077E7</v>
      </c>
      <c r="G480" s="1">
        <v>754789.0</v>
      </c>
      <c r="H480" s="1">
        <v>5302.0</v>
      </c>
      <c r="I480" s="1">
        <v>3.12E7</v>
      </c>
      <c r="J480" s="1" t="s">
        <v>15</v>
      </c>
    </row>
    <row r="481">
      <c r="A481" s="1" t="s">
        <v>1451</v>
      </c>
      <c r="B481" s="1" t="s">
        <v>1452</v>
      </c>
      <c r="C481" s="1" t="s">
        <v>1453</v>
      </c>
      <c r="D481" s="1" t="s">
        <v>1215</v>
      </c>
      <c r="E481" s="1" t="s">
        <v>1216</v>
      </c>
      <c r="F481" s="1">
        <v>696928.0</v>
      </c>
      <c r="G481" s="1">
        <v>24764.0</v>
      </c>
      <c r="H481" s="1">
        <v>4088.0</v>
      </c>
      <c r="I481" s="1">
        <v>3.12E7</v>
      </c>
      <c r="J481" s="1" t="s">
        <v>15</v>
      </c>
    </row>
    <row r="482">
      <c r="A482" s="1" t="s">
        <v>1454</v>
      </c>
      <c r="B482" s="1" t="s">
        <v>1455</v>
      </c>
      <c r="C482" s="1" t="s">
        <v>1456</v>
      </c>
      <c r="D482" s="1" t="s">
        <v>1215</v>
      </c>
      <c r="E482" s="1" t="s">
        <v>1216</v>
      </c>
      <c r="F482" s="1">
        <v>843660.0</v>
      </c>
      <c r="G482" s="1">
        <v>18373.0</v>
      </c>
      <c r="H482" s="1">
        <v>1649.0</v>
      </c>
      <c r="I482" s="1">
        <v>3.12E7</v>
      </c>
      <c r="J482" s="1" t="s">
        <v>15</v>
      </c>
    </row>
    <row r="483">
      <c r="A483" s="1" t="s">
        <v>1457</v>
      </c>
      <c r="B483" s="1" t="s">
        <v>1458</v>
      </c>
      <c r="C483" s="1" t="s">
        <v>1459</v>
      </c>
      <c r="D483" s="1" t="s">
        <v>1215</v>
      </c>
      <c r="E483" s="1" t="s">
        <v>1216</v>
      </c>
      <c r="F483" s="1">
        <v>809988.0</v>
      </c>
      <c r="G483" s="1">
        <v>18823.0</v>
      </c>
      <c r="H483" s="1">
        <v>1606.0</v>
      </c>
      <c r="I483" s="1">
        <v>3.12E7</v>
      </c>
      <c r="J483" s="1" t="s">
        <v>15</v>
      </c>
    </row>
    <row r="484">
      <c r="A484" s="1" t="s">
        <v>1460</v>
      </c>
      <c r="B484" s="1" t="s">
        <v>1461</v>
      </c>
      <c r="C484" s="1" t="s">
        <v>1462</v>
      </c>
      <c r="D484" s="1" t="s">
        <v>1215</v>
      </c>
      <c r="E484" s="1" t="s">
        <v>1216</v>
      </c>
      <c r="F484" s="1">
        <v>846226.0</v>
      </c>
      <c r="G484" s="1">
        <v>22053.0</v>
      </c>
      <c r="H484" s="1">
        <v>1546.0</v>
      </c>
      <c r="I484" s="1">
        <v>3.12E7</v>
      </c>
      <c r="J484" s="1" t="s">
        <v>15</v>
      </c>
    </row>
    <row r="485">
      <c r="A485" s="1" t="s">
        <v>1463</v>
      </c>
      <c r="B485" s="1" t="s">
        <v>1464</v>
      </c>
      <c r="C485" s="1" t="s">
        <v>1465</v>
      </c>
      <c r="D485" s="1" t="s">
        <v>1215</v>
      </c>
      <c r="E485" s="1" t="s">
        <v>1216</v>
      </c>
      <c r="F485" s="1">
        <v>825775.0</v>
      </c>
      <c r="G485" s="1">
        <v>24560.0</v>
      </c>
      <c r="H485" s="1">
        <v>1449.0</v>
      </c>
      <c r="I485" s="1">
        <v>3.12E7</v>
      </c>
      <c r="J485" s="1" t="s">
        <v>15</v>
      </c>
    </row>
    <row r="486">
      <c r="A486" s="1" t="s">
        <v>1466</v>
      </c>
      <c r="B486" s="1" t="s">
        <v>1467</v>
      </c>
      <c r="C486" s="1" t="s">
        <v>1468</v>
      </c>
      <c r="D486" s="1" t="s">
        <v>1215</v>
      </c>
      <c r="E486" s="1" t="s">
        <v>1216</v>
      </c>
      <c r="F486" s="1">
        <v>928629.0</v>
      </c>
      <c r="G486" s="1">
        <v>27625.0</v>
      </c>
      <c r="H486" s="1">
        <v>1773.0</v>
      </c>
      <c r="I486" s="1">
        <v>3.12E7</v>
      </c>
      <c r="J486" s="1" t="s">
        <v>15</v>
      </c>
    </row>
    <row r="487">
      <c r="A487" s="1" t="s">
        <v>1469</v>
      </c>
      <c r="B487" s="1" t="s">
        <v>1470</v>
      </c>
      <c r="C487" s="1" t="s">
        <v>1471</v>
      </c>
      <c r="D487" s="1" t="s">
        <v>1215</v>
      </c>
      <c r="E487" s="1" t="s">
        <v>1216</v>
      </c>
      <c r="F487" s="1">
        <v>1083324.0</v>
      </c>
      <c r="G487" s="1">
        <v>33311.0</v>
      </c>
      <c r="H487" s="1">
        <v>2167.0</v>
      </c>
      <c r="I487" s="1">
        <v>3.12E7</v>
      </c>
      <c r="J487" s="1" t="s">
        <v>15</v>
      </c>
    </row>
    <row r="488">
      <c r="A488" s="1" t="s">
        <v>1472</v>
      </c>
      <c r="B488" s="1" t="s">
        <v>1473</v>
      </c>
      <c r="C488" s="1" t="s">
        <v>1474</v>
      </c>
      <c r="D488" s="1" t="s">
        <v>1215</v>
      </c>
      <c r="E488" s="1" t="s">
        <v>1216</v>
      </c>
      <c r="F488" s="1">
        <v>2565260.0</v>
      </c>
      <c r="G488" s="1">
        <v>75597.0</v>
      </c>
      <c r="H488" s="1">
        <v>4880.0</v>
      </c>
      <c r="I488" s="1">
        <v>3.12E7</v>
      </c>
      <c r="J488" s="1" t="s">
        <v>15</v>
      </c>
    </row>
    <row r="489">
      <c r="A489" s="1" t="s">
        <v>1475</v>
      </c>
      <c r="B489" s="1" t="s">
        <v>1476</v>
      </c>
      <c r="C489" s="1" t="s">
        <v>1477</v>
      </c>
      <c r="D489" s="1" t="s">
        <v>1215</v>
      </c>
      <c r="E489" s="1" t="s">
        <v>1216</v>
      </c>
      <c r="F489" s="1">
        <v>1.3943704E7</v>
      </c>
      <c r="G489" s="1">
        <v>523519.0</v>
      </c>
      <c r="H489" s="1">
        <v>3720.0</v>
      </c>
      <c r="I489" s="1">
        <v>3.12E7</v>
      </c>
      <c r="J489" s="1" t="s">
        <v>15</v>
      </c>
    </row>
    <row r="490">
      <c r="A490" s="1" t="s">
        <v>1478</v>
      </c>
      <c r="B490" s="1" t="s">
        <v>1479</v>
      </c>
      <c r="C490" s="1" t="s">
        <v>1480</v>
      </c>
      <c r="D490" s="1" t="s">
        <v>1215</v>
      </c>
      <c r="E490" s="1" t="s">
        <v>1216</v>
      </c>
      <c r="F490" s="1">
        <v>1505224.0</v>
      </c>
      <c r="G490" s="1">
        <v>66764.0</v>
      </c>
      <c r="H490" s="1">
        <v>3556.0</v>
      </c>
      <c r="I490" s="1">
        <v>3.12E7</v>
      </c>
      <c r="J490" s="1" t="s">
        <v>15</v>
      </c>
    </row>
    <row r="491">
      <c r="A491" s="1" t="s">
        <v>1481</v>
      </c>
      <c r="B491" s="1" t="s">
        <v>1482</v>
      </c>
      <c r="C491" s="1" t="s">
        <v>1483</v>
      </c>
      <c r="D491" s="1" t="s">
        <v>1215</v>
      </c>
      <c r="E491" s="1" t="s">
        <v>1216</v>
      </c>
      <c r="F491" s="1">
        <v>2.1733511E7</v>
      </c>
      <c r="G491" s="1">
        <v>905805.0</v>
      </c>
      <c r="H491" s="1">
        <v>6736.0</v>
      </c>
      <c r="I491" s="1">
        <v>3.12E7</v>
      </c>
      <c r="J491" s="1" t="s">
        <v>15</v>
      </c>
    </row>
    <row r="492">
      <c r="A492" s="1" t="s">
        <v>1484</v>
      </c>
      <c r="B492" s="1" t="s">
        <v>1485</v>
      </c>
      <c r="C492" s="1" t="s">
        <v>1486</v>
      </c>
      <c r="D492" s="1" t="s">
        <v>1215</v>
      </c>
      <c r="E492" s="1" t="s">
        <v>1216</v>
      </c>
      <c r="F492" s="1">
        <v>865960.0</v>
      </c>
      <c r="G492" s="1">
        <v>27207.0</v>
      </c>
      <c r="H492" s="1">
        <v>1498.0</v>
      </c>
      <c r="I492" s="1">
        <v>3.12E7</v>
      </c>
      <c r="J492" s="1" t="s">
        <v>15</v>
      </c>
    </row>
    <row r="493">
      <c r="A493" s="1" t="s">
        <v>1487</v>
      </c>
      <c r="B493" s="1" t="s">
        <v>1488</v>
      </c>
      <c r="C493" s="1" t="s">
        <v>1489</v>
      </c>
      <c r="D493" s="1" t="s">
        <v>1215</v>
      </c>
      <c r="E493" s="1" t="s">
        <v>1216</v>
      </c>
      <c r="F493" s="1">
        <v>1524844.0</v>
      </c>
      <c r="G493" s="1">
        <v>35520.0</v>
      </c>
      <c r="H493" s="1">
        <v>1974.0</v>
      </c>
      <c r="I493" s="1">
        <v>3.12E7</v>
      </c>
      <c r="J493" s="1" t="s">
        <v>15</v>
      </c>
    </row>
    <row r="494">
      <c r="A494" s="1" t="s">
        <v>1490</v>
      </c>
      <c r="B494" s="1" t="s">
        <v>1491</v>
      </c>
      <c r="C494" s="1" t="s">
        <v>1492</v>
      </c>
      <c r="D494" s="1" t="s">
        <v>1215</v>
      </c>
      <c r="E494" s="1" t="s">
        <v>1216</v>
      </c>
      <c r="F494" s="1">
        <v>1764678.0</v>
      </c>
      <c r="G494" s="1">
        <v>66259.0</v>
      </c>
      <c r="H494" s="1">
        <v>2211.0</v>
      </c>
      <c r="I494" s="1">
        <v>3.12E7</v>
      </c>
      <c r="J494" s="1" t="s">
        <v>15</v>
      </c>
    </row>
    <row r="495">
      <c r="A495" s="1" t="s">
        <v>1493</v>
      </c>
      <c r="B495" s="1" t="s">
        <v>1494</v>
      </c>
      <c r="C495" s="1" t="s">
        <v>1495</v>
      </c>
      <c r="D495" s="1" t="s">
        <v>1215</v>
      </c>
      <c r="E495" s="1" t="s">
        <v>1216</v>
      </c>
      <c r="F495" s="1">
        <v>2540214.0</v>
      </c>
      <c r="G495" s="1">
        <v>78016.0</v>
      </c>
      <c r="H495" s="1">
        <v>3660.0</v>
      </c>
      <c r="I495" s="1">
        <v>3.12E7</v>
      </c>
      <c r="J495" s="1" t="s">
        <v>15</v>
      </c>
    </row>
    <row r="496">
      <c r="A496" s="1" t="s">
        <v>1496</v>
      </c>
      <c r="B496" s="1" t="s">
        <v>1497</v>
      </c>
      <c r="C496" s="1" t="s">
        <v>1498</v>
      </c>
      <c r="D496" s="1" t="s">
        <v>1215</v>
      </c>
      <c r="E496" s="1" t="s">
        <v>1216</v>
      </c>
      <c r="F496" s="1">
        <v>1381974.0</v>
      </c>
      <c r="G496" s="1">
        <v>56376.0</v>
      </c>
      <c r="H496" s="1">
        <v>1922.0</v>
      </c>
      <c r="I496" s="1">
        <v>3.12E7</v>
      </c>
      <c r="J496" s="1" t="s">
        <v>15</v>
      </c>
    </row>
    <row r="497">
      <c r="A497" s="1" t="s">
        <v>1499</v>
      </c>
      <c r="B497" s="1" t="s">
        <v>1500</v>
      </c>
      <c r="C497" s="1" t="s">
        <v>1501</v>
      </c>
      <c r="D497" s="1" t="s">
        <v>1215</v>
      </c>
      <c r="E497" s="1" t="s">
        <v>1216</v>
      </c>
      <c r="F497" s="1">
        <v>2473224.0</v>
      </c>
      <c r="G497" s="1">
        <v>75503.0</v>
      </c>
      <c r="H497" s="1">
        <v>5687.0</v>
      </c>
      <c r="I497" s="1">
        <v>3.12E7</v>
      </c>
      <c r="J497" s="1" t="s">
        <v>15</v>
      </c>
    </row>
    <row r="498">
      <c r="A498" s="1" t="s">
        <v>1502</v>
      </c>
      <c r="B498" s="1" t="s">
        <v>1503</v>
      </c>
      <c r="C498" s="1" t="s">
        <v>1504</v>
      </c>
      <c r="D498" s="1" t="s">
        <v>1215</v>
      </c>
      <c r="E498" s="1" t="s">
        <v>1216</v>
      </c>
      <c r="F498" s="1">
        <v>1792754.0</v>
      </c>
      <c r="G498" s="1">
        <v>47853.0</v>
      </c>
      <c r="H498" s="1">
        <v>2020.0</v>
      </c>
      <c r="I498" s="1">
        <v>3.12E7</v>
      </c>
      <c r="J498" s="1" t="s">
        <v>15</v>
      </c>
    </row>
    <row r="499">
      <c r="A499" s="1" t="s">
        <v>1505</v>
      </c>
      <c r="B499" s="1" t="s">
        <v>1506</v>
      </c>
      <c r="C499" s="1" t="s">
        <v>1507</v>
      </c>
      <c r="D499" s="1" t="s">
        <v>1215</v>
      </c>
      <c r="E499" s="1" t="s">
        <v>1216</v>
      </c>
      <c r="F499" s="1">
        <v>2488860.0</v>
      </c>
      <c r="G499" s="1">
        <v>55851.0</v>
      </c>
      <c r="H499" s="1">
        <v>3191.0</v>
      </c>
      <c r="I499" s="1">
        <v>3.12E7</v>
      </c>
      <c r="J499" s="1" t="s">
        <v>15</v>
      </c>
    </row>
    <row r="500">
      <c r="A500" s="1" t="s">
        <v>1508</v>
      </c>
      <c r="B500" s="1" t="s">
        <v>1509</v>
      </c>
      <c r="C500" s="1" t="s">
        <v>1510</v>
      </c>
      <c r="D500" s="1" t="s">
        <v>1215</v>
      </c>
      <c r="E500" s="1" t="s">
        <v>1216</v>
      </c>
      <c r="F500" s="1">
        <v>2699260.0</v>
      </c>
      <c r="G500" s="1">
        <v>60862.0</v>
      </c>
      <c r="H500" s="1">
        <v>3859.0</v>
      </c>
      <c r="I500" s="1">
        <v>3.12E7</v>
      </c>
      <c r="J500" s="1" t="s">
        <v>15</v>
      </c>
    </row>
    <row r="501">
      <c r="A501" s="1" t="s">
        <v>1511</v>
      </c>
      <c r="B501" s="1" t="s">
        <v>1512</v>
      </c>
      <c r="C501" s="1" t="s">
        <v>1513</v>
      </c>
      <c r="D501" s="1" t="s">
        <v>1215</v>
      </c>
      <c r="E501" s="1" t="s">
        <v>1216</v>
      </c>
      <c r="F501" s="1">
        <v>2730985.0</v>
      </c>
      <c r="G501" s="1">
        <v>70291.0</v>
      </c>
      <c r="H501" s="1">
        <v>3592.0</v>
      </c>
      <c r="I501" s="1">
        <v>3.12E7</v>
      </c>
      <c r="J501" s="1" t="s">
        <v>15</v>
      </c>
    </row>
    <row r="502">
      <c r="A502" s="1" t="s">
        <v>1514</v>
      </c>
      <c r="B502" s="1" t="s">
        <v>1515</v>
      </c>
      <c r="C502" s="1" t="s">
        <v>1516</v>
      </c>
      <c r="D502" s="1" t="s">
        <v>1215</v>
      </c>
      <c r="E502" s="1" t="s">
        <v>1216</v>
      </c>
      <c r="F502" s="1">
        <v>3063638.0</v>
      </c>
      <c r="G502" s="1">
        <v>74625.0</v>
      </c>
      <c r="H502" s="1">
        <v>3244.0</v>
      </c>
      <c r="I502" s="1">
        <v>3.12E7</v>
      </c>
      <c r="J502" s="1" t="s">
        <v>15</v>
      </c>
    </row>
    <row r="503">
      <c r="A503" s="1" t="s">
        <v>1517</v>
      </c>
      <c r="B503" s="1" t="s">
        <v>1518</v>
      </c>
      <c r="C503" s="1" t="s">
        <v>1519</v>
      </c>
      <c r="D503" s="1" t="s">
        <v>1215</v>
      </c>
      <c r="E503" s="1" t="s">
        <v>1216</v>
      </c>
      <c r="F503" s="1">
        <v>2630975.0</v>
      </c>
      <c r="G503" s="1">
        <v>78326.0</v>
      </c>
      <c r="H503" s="1">
        <v>3087.0</v>
      </c>
      <c r="I503" s="1">
        <v>3.12E7</v>
      </c>
      <c r="J503" s="1" t="s">
        <v>15</v>
      </c>
    </row>
    <row r="504">
      <c r="A504" s="1" t="s">
        <v>1520</v>
      </c>
      <c r="B504" s="1" t="s">
        <v>1521</v>
      </c>
      <c r="C504" s="1" t="s">
        <v>1522</v>
      </c>
      <c r="D504" s="1" t="s">
        <v>1215</v>
      </c>
      <c r="E504" s="1" t="s">
        <v>1216</v>
      </c>
      <c r="F504" s="1">
        <v>1815031.0</v>
      </c>
      <c r="G504" s="1">
        <v>73318.0</v>
      </c>
      <c r="H504" s="1">
        <v>3896.0</v>
      </c>
      <c r="I504" s="1">
        <v>3.12E7</v>
      </c>
      <c r="J504" s="1" t="s">
        <v>15</v>
      </c>
    </row>
    <row r="505">
      <c r="A505" s="1" t="s">
        <v>1523</v>
      </c>
      <c r="B505" s="1" t="s">
        <v>1524</v>
      </c>
      <c r="C505" s="1" t="s">
        <v>1525</v>
      </c>
      <c r="D505" s="1" t="s">
        <v>1215</v>
      </c>
      <c r="E505" s="1" t="s">
        <v>1216</v>
      </c>
      <c r="F505" s="1">
        <v>3181416.0</v>
      </c>
      <c r="G505" s="1">
        <v>97069.0</v>
      </c>
      <c r="H505" s="1">
        <v>4929.0</v>
      </c>
      <c r="I505" s="1">
        <v>3.12E7</v>
      </c>
      <c r="J505" s="1" t="s">
        <v>15</v>
      </c>
    </row>
    <row r="506">
      <c r="A506" s="1" t="s">
        <v>1526</v>
      </c>
      <c r="B506" s="1" t="s">
        <v>1527</v>
      </c>
      <c r="C506" s="1" t="s">
        <v>1528</v>
      </c>
      <c r="D506" s="1" t="s">
        <v>1215</v>
      </c>
      <c r="E506" s="1" t="s">
        <v>1216</v>
      </c>
      <c r="F506" s="1">
        <v>6687918.0</v>
      </c>
      <c r="G506" s="1">
        <v>288259.0</v>
      </c>
      <c r="H506" s="1">
        <v>1480.0</v>
      </c>
      <c r="I506" s="1">
        <v>3.12E7</v>
      </c>
      <c r="J506" s="1" t="s">
        <v>15</v>
      </c>
    </row>
    <row r="507">
      <c r="A507" s="1" t="s">
        <v>1529</v>
      </c>
      <c r="B507" s="1" t="s">
        <v>1530</v>
      </c>
      <c r="C507" s="1" t="s">
        <v>1531</v>
      </c>
      <c r="D507" s="1" t="s">
        <v>1215</v>
      </c>
      <c r="E507" s="1" t="s">
        <v>1216</v>
      </c>
      <c r="F507" s="1">
        <v>4568701.0</v>
      </c>
      <c r="G507" s="1">
        <v>153399.0</v>
      </c>
      <c r="H507" s="1">
        <v>5980.0</v>
      </c>
      <c r="I507" s="1">
        <v>3.12E7</v>
      </c>
      <c r="J507" s="1" t="s">
        <v>15</v>
      </c>
    </row>
    <row r="508">
      <c r="A508" s="1" t="s">
        <v>1532</v>
      </c>
      <c r="B508" s="1" t="s">
        <v>1533</v>
      </c>
      <c r="C508" s="1" t="s">
        <v>1534</v>
      </c>
      <c r="D508" s="1" t="s">
        <v>1215</v>
      </c>
      <c r="E508" s="1" t="s">
        <v>1216</v>
      </c>
      <c r="F508" s="1">
        <v>3618910.0</v>
      </c>
      <c r="G508" s="1">
        <v>99060.0</v>
      </c>
      <c r="H508" s="1">
        <v>3746.0</v>
      </c>
      <c r="I508" s="1">
        <v>3.12E7</v>
      </c>
      <c r="J508" s="1" t="s">
        <v>15</v>
      </c>
    </row>
    <row r="509">
      <c r="A509" s="1" t="s">
        <v>1535</v>
      </c>
      <c r="B509" s="1" t="s">
        <v>1536</v>
      </c>
      <c r="C509" s="1" t="s">
        <v>1537</v>
      </c>
      <c r="D509" s="1" t="s">
        <v>1215</v>
      </c>
      <c r="E509" s="1" t="s">
        <v>1216</v>
      </c>
      <c r="F509" s="1">
        <v>4906194.0</v>
      </c>
      <c r="G509" s="1">
        <v>153570.0</v>
      </c>
      <c r="H509" s="1">
        <v>5678.0</v>
      </c>
      <c r="I509" s="1">
        <v>3.12E7</v>
      </c>
      <c r="J509" s="1" t="s">
        <v>15</v>
      </c>
    </row>
    <row r="510">
      <c r="A510" s="1" t="s">
        <v>1538</v>
      </c>
      <c r="B510" s="1" t="s">
        <v>1539</v>
      </c>
      <c r="C510" s="1" t="s">
        <v>1540</v>
      </c>
      <c r="D510" s="1" t="s">
        <v>1215</v>
      </c>
      <c r="E510" s="1" t="s">
        <v>1216</v>
      </c>
      <c r="F510" s="1">
        <v>918063.0</v>
      </c>
      <c r="G510" s="1">
        <v>28678.0</v>
      </c>
      <c r="H510" s="1">
        <v>2117.0</v>
      </c>
      <c r="I510" s="1">
        <v>3.12E7</v>
      </c>
      <c r="J510" s="1" t="s">
        <v>15</v>
      </c>
    </row>
    <row r="511">
      <c r="A511" s="1" t="s">
        <v>1541</v>
      </c>
      <c r="B511" s="1" t="s">
        <v>1542</v>
      </c>
      <c r="C511" s="1" t="s">
        <v>1543</v>
      </c>
      <c r="D511" s="1" t="s">
        <v>1215</v>
      </c>
      <c r="E511" s="1" t="s">
        <v>1216</v>
      </c>
      <c r="F511" s="1">
        <v>1069146.0</v>
      </c>
      <c r="G511" s="1">
        <v>28958.0</v>
      </c>
      <c r="H511" s="1">
        <v>1343.0</v>
      </c>
      <c r="I511" s="1">
        <v>3.12E7</v>
      </c>
      <c r="J511" s="1" t="s">
        <v>15</v>
      </c>
    </row>
    <row r="512">
      <c r="A512" s="1" t="s">
        <v>1544</v>
      </c>
      <c r="B512" s="1" t="s">
        <v>1545</v>
      </c>
      <c r="C512" s="1" t="s">
        <v>1546</v>
      </c>
      <c r="D512" s="1" t="s">
        <v>1215</v>
      </c>
      <c r="E512" s="1" t="s">
        <v>1216</v>
      </c>
      <c r="F512" s="1">
        <v>2651191.0</v>
      </c>
      <c r="G512" s="1">
        <v>59926.0</v>
      </c>
      <c r="H512" s="1">
        <v>1975.0</v>
      </c>
      <c r="I512" s="1">
        <v>3.12E7</v>
      </c>
      <c r="J512" s="1" t="s">
        <v>15</v>
      </c>
    </row>
    <row r="513">
      <c r="A513" s="1" t="s">
        <v>1547</v>
      </c>
      <c r="B513" s="1" t="s">
        <v>1548</v>
      </c>
      <c r="C513" s="1" t="s">
        <v>1549</v>
      </c>
      <c r="D513" s="1" t="s">
        <v>1215</v>
      </c>
      <c r="E513" s="1" t="s">
        <v>1216</v>
      </c>
      <c r="F513" s="1">
        <v>1901425.0</v>
      </c>
      <c r="G513" s="1">
        <v>85546.0</v>
      </c>
      <c r="H513" s="1">
        <v>2581.0</v>
      </c>
      <c r="I513" s="1">
        <v>3.12E7</v>
      </c>
      <c r="J513" s="1" t="s">
        <v>15</v>
      </c>
    </row>
    <row r="514">
      <c r="A514" s="1" t="s">
        <v>1550</v>
      </c>
      <c r="B514" s="1" t="s">
        <v>1551</v>
      </c>
      <c r="C514" s="1" t="s">
        <v>1552</v>
      </c>
      <c r="D514" s="1" t="s">
        <v>1215</v>
      </c>
      <c r="E514" s="1" t="s">
        <v>1216</v>
      </c>
      <c r="F514" s="1">
        <v>2999877.0</v>
      </c>
      <c r="G514" s="1">
        <v>71907.0</v>
      </c>
      <c r="H514" s="1">
        <v>6512.0</v>
      </c>
      <c r="I514" s="1">
        <v>3.12E7</v>
      </c>
      <c r="J514" s="1" t="s">
        <v>15</v>
      </c>
    </row>
    <row r="515">
      <c r="A515" s="1" t="s">
        <v>1553</v>
      </c>
      <c r="B515" s="1" t="s">
        <v>1554</v>
      </c>
      <c r="C515" s="1" t="s">
        <v>1555</v>
      </c>
      <c r="D515" s="1" t="s">
        <v>1215</v>
      </c>
      <c r="E515" s="1" t="s">
        <v>1216</v>
      </c>
      <c r="F515" s="1">
        <v>5546300.0</v>
      </c>
      <c r="G515" s="1">
        <v>191171.0</v>
      </c>
      <c r="H515" s="1">
        <v>6824.0</v>
      </c>
      <c r="I515" s="1">
        <v>3.12E7</v>
      </c>
      <c r="J515" s="1" t="s">
        <v>15</v>
      </c>
    </row>
    <row r="516">
      <c r="A516" s="1" t="s">
        <v>1556</v>
      </c>
      <c r="B516" s="1" t="s">
        <v>1557</v>
      </c>
      <c r="C516" s="1" t="s">
        <v>1558</v>
      </c>
      <c r="D516" s="1" t="s">
        <v>1215</v>
      </c>
      <c r="E516" s="1" t="s">
        <v>1216</v>
      </c>
      <c r="F516" s="1">
        <v>3556572.0</v>
      </c>
      <c r="G516" s="1">
        <v>88898.0</v>
      </c>
      <c r="H516" s="1">
        <v>3187.0</v>
      </c>
      <c r="I516" s="1">
        <v>3.12E7</v>
      </c>
      <c r="J516" s="1" t="s">
        <v>15</v>
      </c>
    </row>
    <row r="517">
      <c r="A517" s="1" t="s">
        <v>1559</v>
      </c>
      <c r="B517" s="1" t="s">
        <v>1560</v>
      </c>
      <c r="C517" s="1" t="s">
        <v>1561</v>
      </c>
      <c r="D517" s="1" t="s">
        <v>1215</v>
      </c>
      <c r="E517" s="1" t="s">
        <v>1216</v>
      </c>
      <c r="F517" s="1">
        <v>4471108.0</v>
      </c>
      <c r="G517" s="1">
        <v>374461.0</v>
      </c>
      <c r="H517" s="1">
        <v>6900.0</v>
      </c>
      <c r="I517" s="1">
        <v>3.12E7</v>
      </c>
      <c r="J517" s="1" t="s">
        <v>15</v>
      </c>
    </row>
    <row r="518">
      <c r="A518" s="1" t="s">
        <v>1562</v>
      </c>
      <c r="B518" s="1" t="s">
        <v>1563</v>
      </c>
      <c r="C518" s="1" t="s">
        <v>1564</v>
      </c>
      <c r="D518" s="1" t="s">
        <v>1215</v>
      </c>
      <c r="E518" s="1" t="s">
        <v>1216</v>
      </c>
      <c r="F518" s="1">
        <v>2423095.0</v>
      </c>
      <c r="G518" s="1">
        <v>87057.0</v>
      </c>
      <c r="H518" s="1">
        <v>2891.0</v>
      </c>
      <c r="I518" s="1">
        <v>3.12E7</v>
      </c>
      <c r="J518" s="1" t="s">
        <v>15</v>
      </c>
    </row>
    <row r="519">
      <c r="A519" s="1" t="s">
        <v>1565</v>
      </c>
      <c r="B519" s="1" t="s">
        <v>1566</v>
      </c>
      <c r="C519" s="1" t="s">
        <v>1567</v>
      </c>
      <c r="D519" s="1" t="s">
        <v>1215</v>
      </c>
      <c r="E519" s="1" t="s">
        <v>1216</v>
      </c>
      <c r="F519" s="1">
        <v>1912194.0</v>
      </c>
      <c r="G519" s="1">
        <v>85935.0</v>
      </c>
      <c r="H519" s="1">
        <v>3739.0</v>
      </c>
      <c r="I519" s="1">
        <v>3.12E7</v>
      </c>
      <c r="J519" s="1" t="s">
        <v>15</v>
      </c>
    </row>
    <row r="520">
      <c r="A520" s="1" t="s">
        <v>1568</v>
      </c>
      <c r="B520" s="1" t="s">
        <v>1569</v>
      </c>
      <c r="C520" s="1" t="s">
        <v>1570</v>
      </c>
      <c r="D520" s="1" t="s">
        <v>1215</v>
      </c>
      <c r="E520" s="1" t="s">
        <v>1216</v>
      </c>
      <c r="F520" s="1">
        <v>6672283.0</v>
      </c>
      <c r="G520" s="1">
        <v>192217.0</v>
      </c>
      <c r="H520" s="1">
        <v>10947.0</v>
      </c>
      <c r="I520" s="1">
        <v>3.12E7</v>
      </c>
      <c r="J520" s="1" t="s">
        <v>15</v>
      </c>
    </row>
    <row r="521">
      <c r="A521" s="1" t="s">
        <v>1571</v>
      </c>
      <c r="B521" s="1" t="s">
        <v>1572</v>
      </c>
      <c r="C521" s="1" t="s">
        <v>1573</v>
      </c>
      <c r="D521" s="1" t="s">
        <v>1215</v>
      </c>
      <c r="E521" s="1" t="s">
        <v>1216</v>
      </c>
      <c r="F521" s="1">
        <v>2492544.0</v>
      </c>
      <c r="G521" s="1">
        <v>150092.0</v>
      </c>
      <c r="H521" s="1">
        <v>6924.0</v>
      </c>
      <c r="I521" s="1">
        <v>3.12E7</v>
      </c>
      <c r="J521" s="1" t="s">
        <v>15</v>
      </c>
    </row>
    <row r="522">
      <c r="A522" s="1" t="s">
        <v>1574</v>
      </c>
      <c r="B522" s="1" t="s">
        <v>1575</v>
      </c>
      <c r="C522" s="1" t="s">
        <v>1576</v>
      </c>
      <c r="D522" s="1" t="s">
        <v>1215</v>
      </c>
      <c r="E522" s="1" t="s">
        <v>1216</v>
      </c>
      <c r="F522" s="1">
        <v>1760223.0</v>
      </c>
      <c r="G522" s="1">
        <v>83140.0</v>
      </c>
      <c r="H522" s="1">
        <v>4236.0</v>
      </c>
      <c r="I522" s="1">
        <v>3.12E7</v>
      </c>
      <c r="J522" s="1" t="s">
        <v>15</v>
      </c>
    </row>
    <row r="523">
      <c r="A523" s="1" t="s">
        <v>1577</v>
      </c>
      <c r="B523" s="1" t="s">
        <v>1578</v>
      </c>
      <c r="C523" s="1" t="s">
        <v>1579</v>
      </c>
      <c r="D523" s="1" t="s">
        <v>1215</v>
      </c>
      <c r="E523" s="1" t="s">
        <v>1216</v>
      </c>
      <c r="F523" s="1">
        <v>1781350.0</v>
      </c>
      <c r="G523" s="1">
        <v>103416.0</v>
      </c>
      <c r="H523" s="1">
        <v>5695.0</v>
      </c>
      <c r="I523" s="1">
        <v>3.12E7</v>
      </c>
      <c r="J523" s="1" t="s">
        <v>15</v>
      </c>
    </row>
    <row r="524">
      <c r="A524" s="1" t="s">
        <v>1580</v>
      </c>
      <c r="B524" s="1" t="s">
        <v>1581</v>
      </c>
      <c r="C524" s="1" t="s">
        <v>1582</v>
      </c>
      <c r="D524" s="1" t="s">
        <v>1215</v>
      </c>
      <c r="E524" s="1" t="s">
        <v>1216</v>
      </c>
      <c r="F524" s="1">
        <v>2341055.0</v>
      </c>
      <c r="G524" s="1">
        <v>111681.0</v>
      </c>
      <c r="H524" s="1">
        <v>5797.0</v>
      </c>
      <c r="I524" s="1">
        <v>3.12E7</v>
      </c>
      <c r="J524" s="1" t="s">
        <v>15</v>
      </c>
    </row>
    <row r="525">
      <c r="A525" s="1" t="s">
        <v>1583</v>
      </c>
      <c r="B525" s="1" t="s">
        <v>1584</v>
      </c>
      <c r="C525" s="1" t="s">
        <v>1585</v>
      </c>
      <c r="D525" s="1" t="s">
        <v>1215</v>
      </c>
      <c r="E525" s="1" t="s">
        <v>1216</v>
      </c>
      <c r="F525" s="1">
        <v>1844128.0</v>
      </c>
      <c r="G525" s="1">
        <v>95445.0</v>
      </c>
      <c r="H525" s="1">
        <v>1118.0</v>
      </c>
      <c r="I525" s="1">
        <v>3.12E7</v>
      </c>
      <c r="J525" s="1" t="s">
        <v>15</v>
      </c>
    </row>
    <row r="526">
      <c r="A526" s="1" t="s">
        <v>1586</v>
      </c>
      <c r="B526" s="1" t="s">
        <v>1587</v>
      </c>
      <c r="C526" s="1" t="s">
        <v>1588</v>
      </c>
      <c r="D526" s="1" t="s">
        <v>1215</v>
      </c>
      <c r="E526" s="1" t="s">
        <v>1216</v>
      </c>
      <c r="F526" s="1">
        <v>2590337.0</v>
      </c>
      <c r="G526" s="1">
        <v>109355.0</v>
      </c>
      <c r="H526" s="1">
        <v>3521.0</v>
      </c>
      <c r="I526" s="1">
        <v>3.12E7</v>
      </c>
      <c r="J526" s="1" t="s">
        <v>15</v>
      </c>
    </row>
    <row r="527">
      <c r="A527" s="1" t="s">
        <v>1589</v>
      </c>
      <c r="B527" s="1" t="s">
        <v>1590</v>
      </c>
      <c r="C527" s="1" t="s">
        <v>1591</v>
      </c>
      <c r="D527" s="1" t="s">
        <v>1215</v>
      </c>
      <c r="E527" s="1" t="s">
        <v>1216</v>
      </c>
      <c r="F527" s="1">
        <v>3444059.0</v>
      </c>
      <c r="G527" s="1">
        <v>305065.0</v>
      </c>
      <c r="H527" s="1">
        <v>37800.0</v>
      </c>
      <c r="I527" s="1">
        <v>3.12E7</v>
      </c>
      <c r="J527" s="1" t="s">
        <v>15</v>
      </c>
    </row>
    <row r="528">
      <c r="A528" s="1" t="s">
        <v>1592</v>
      </c>
      <c r="B528" s="1" t="s">
        <v>1593</v>
      </c>
      <c r="C528" s="1" t="s">
        <v>1594</v>
      </c>
      <c r="D528" s="1" t="s">
        <v>1215</v>
      </c>
      <c r="E528" s="1" t="s">
        <v>1216</v>
      </c>
      <c r="F528" s="1">
        <v>2957598.0</v>
      </c>
      <c r="G528" s="1">
        <v>243595.0</v>
      </c>
      <c r="H528" s="1">
        <v>15146.0</v>
      </c>
      <c r="I528" s="1">
        <v>3.12E7</v>
      </c>
      <c r="J528" s="1" t="s">
        <v>15</v>
      </c>
    </row>
    <row r="529">
      <c r="A529" s="1" t="s">
        <v>1595</v>
      </c>
      <c r="B529" s="1" t="s">
        <v>1596</v>
      </c>
      <c r="C529" s="1" t="s">
        <v>1597</v>
      </c>
      <c r="D529" s="1" t="s">
        <v>1215</v>
      </c>
      <c r="E529" s="1" t="s">
        <v>1216</v>
      </c>
      <c r="F529" s="1">
        <v>3657391.0</v>
      </c>
      <c r="G529" s="1">
        <v>105358.0</v>
      </c>
      <c r="H529" s="1">
        <v>5772.0</v>
      </c>
      <c r="I529" s="1">
        <v>3.12E7</v>
      </c>
      <c r="J529" s="1" t="s">
        <v>15</v>
      </c>
    </row>
    <row r="530">
      <c r="A530" s="1" t="s">
        <v>1598</v>
      </c>
      <c r="B530" s="1" t="s">
        <v>1599</v>
      </c>
      <c r="C530" s="1" t="s">
        <v>1600</v>
      </c>
      <c r="D530" s="1" t="s">
        <v>1215</v>
      </c>
      <c r="E530" s="1" t="s">
        <v>1216</v>
      </c>
      <c r="F530" s="1">
        <v>1448180.0</v>
      </c>
      <c r="G530" s="1">
        <v>78465.0</v>
      </c>
      <c r="H530" s="1">
        <v>3269.0</v>
      </c>
      <c r="I530" s="1">
        <v>3.12E7</v>
      </c>
      <c r="J530" s="1" t="s">
        <v>15</v>
      </c>
    </row>
    <row r="531">
      <c r="A531" s="1" t="s">
        <v>1601</v>
      </c>
      <c r="B531" s="1" t="s">
        <v>1602</v>
      </c>
      <c r="C531" s="1" t="s">
        <v>1603</v>
      </c>
      <c r="D531" s="1" t="s">
        <v>1215</v>
      </c>
      <c r="E531" s="1" t="s">
        <v>1216</v>
      </c>
      <c r="F531" s="1">
        <v>3404128.0</v>
      </c>
      <c r="G531" s="1">
        <v>371178.0</v>
      </c>
      <c r="H531" s="1">
        <v>20584.0</v>
      </c>
      <c r="I531" s="1">
        <v>3.12E7</v>
      </c>
      <c r="J531" s="1" t="s">
        <v>15</v>
      </c>
    </row>
    <row r="532">
      <c r="A532" s="1" t="s">
        <v>1604</v>
      </c>
      <c r="B532" s="1" t="s">
        <v>1605</v>
      </c>
      <c r="C532" s="1" t="s">
        <v>1606</v>
      </c>
      <c r="D532" s="1" t="s">
        <v>1215</v>
      </c>
      <c r="E532" s="1" t="s">
        <v>1216</v>
      </c>
      <c r="F532" s="1">
        <v>3632512.0</v>
      </c>
      <c r="G532" s="1">
        <v>51620.0</v>
      </c>
      <c r="H532" s="1">
        <v>3614.0</v>
      </c>
      <c r="I532" s="1">
        <v>3.12E7</v>
      </c>
      <c r="J532" s="1" t="s">
        <v>15</v>
      </c>
    </row>
    <row r="533">
      <c r="A533" s="1" t="s">
        <v>1607</v>
      </c>
      <c r="B533" s="1" t="s">
        <v>1608</v>
      </c>
      <c r="C533" s="1" t="s">
        <v>1609</v>
      </c>
      <c r="D533" s="1" t="s">
        <v>1215</v>
      </c>
      <c r="E533" s="1" t="s">
        <v>1216</v>
      </c>
      <c r="F533" s="1">
        <v>2513914.0</v>
      </c>
      <c r="G533" s="1">
        <v>56659.0</v>
      </c>
      <c r="H533" s="1">
        <v>3437.0</v>
      </c>
      <c r="I533" s="1">
        <v>3.12E7</v>
      </c>
      <c r="J533" s="1" t="s">
        <v>15</v>
      </c>
    </row>
    <row r="534">
      <c r="A534" s="1" t="s">
        <v>1610</v>
      </c>
      <c r="B534" s="1" t="s">
        <v>1611</v>
      </c>
      <c r="C534" s="1" t="s">
        <v>1612</v>
      </c>
      <c r="D534" s="1" t="s">
        <v>1215</v>
      </c>
      <c r="E534" s="1" t="s">
        <v>1216</v>
      </c>
      <c r="F534" s="1">
        <v>2387610.0</v>
      </c>
      <c r="G534" s="1">
        <v>64621.0</v>
      </c>
      <c r="H534" s="1">
        <v>2742.0</v>
      </c>
      <c r="I534" s="1">
        <v>3.12E7</v>
      </c>
      <c r="J534" s="1" t="s">
        <v>15</v>
      </c>
    </row>
    <row r="535">
      <c r="A535" s="1" t="s">
        <v>1613</v>
      </c>
      <c r="B535" s="1" t="s">
        <v>1614</v>
      </c>
      <c r="C535" s="1" t="s">
        <v>1615</v>
      </c>
      <c r="D535" s="1" t="s">
        <v>1215</v>
      </c>
      <c r="E535" s="1" t="s">
        <v>1216</v>
      </c>
      <c r="F535" s="1">
        <v>5635455.0</v>
      </c>
      <c r="G535" s="1">
        <v>135659.0</v>
      </c>
      <c r="H535" s="1">
        <v>6103.0</v>
      </c>
      <c r="I535" s="1">
        <v>3.12E7</v>
      </c>
      <c r="J535" s="1" t="s">
        <v>15</v>
      </c>
    </row>
    <row r="536">
      <c r="A536" s="1" t="s">
        <v>1616</v>
      </c>
      <c r="B536" s="1" t="s">
        <v>1617</v>
      </c>
      <c r="C536" s="1" t="s">
        <v>1618</v>
      </c>
      <c r="D536" s="1" t="s">
        <v>1215</v>
      </c>
      <c r="E536" s="1" t="s">
        <v>1216</v>
      </c>
      <c r="F536" s="1">
        <v>5708639.0</v>
      </c>
      <c r="G536" s="1">
        <v>195303.0</v>
      </c>
      <c r="H536" s="1">
        <v>7340.0</v>
      </c>
      <c r="I536" s="1">
        <v>3.12E7</v>
      </c>
      <c r="J536" s="1" t="s">
        <v>15</v>
      </c>
    </row>
    <row r="537">
      <c r="A537" s="1" t="s">
        <v>1619</v>
      </c>
      <c r="B537" s="1" t="s">
        <v>1620</v>
      </c>
      <c r="C537" s="1" t="s">
        <v>1621</v>
      </c>
      <c r="D537" s="1" t="s">
        <v>1215</v>
      </c>
      <c r="E537" s="1" t="s">
        <v>1216</v>
      </c>
      <c r="F537" s="1">
        <v>4689167.0</v>
      </c>
      <c r="G537" s="1">
        <v>151029.0</v>
      </c>
      <c r="H537" s="1">
        <v>5856.0</v>
      </c>
      <c r="I537" s="1">
        <v>3.12E7</v>
      </c>
      <c r="J537" s="1" t="s">
        <v>15</v>
      </c>
    </row>
    <row r="538">
      <c r="A538" s="1" t="s">
        <v>1622</v>
      </c>
      <c r="B538" s="1" t="s">
        <v>1623</v>
      </c>
      <c r="C538" s="1" t="s">
        <v>1624</v>
      </c>
      <c r="D538" s="1" t="s">
        <v>1215</v>
      </c>
      <c r="E538" s="1" t="s">
        <v>1216</v>
      </c>
      <c r="F538" s="1">
        <v>3525096.0</v>
      </c>
      <c r="G538" s="1">
        <v>108667.0</v>
      </c>
      <c r="H538" s="1">
        <v>4051.0</v>
      </c>
      <c r="I538" s="1">
        <v>3.12E7</v>
      </c>
      <c r="J538" s="1" t="s">
        <v>15</v>
      </c>
    </row>
    <row r="539">
      <c r="A539" s="1" t="s">
        <v>1625</v>
      </c>
      <c r="B539" s="1" t="s">
        <v>1626</v>
      </c>
      <c r="C539" s="1" t="s">
        <v>1627</v>
      </c>
      <c r="D539" s="1" t="s">
        <v>1215</v>
      </c>
      <c r="E539" s="1" t="s">
        <v>1216</v>
      </c>
      <c r="F539" s="1">
        <v>4499817.0</v>
      </c>
      <c r="G539" s="1">
        <v>99415.0</v>
      </c>
      <c r="H539" s="1">
        <v>3437.0</v>
      </c>
      <c r="I539" s="1">
        <v>3.12E7</v>
      </c>
      <c r="J539" s="1" t="s">
        <v>15</v>
      </c>
    </row>
    <row r="540">
      <c r="A540" s="1" t="s">
        <v>1628</v>
      </c>
      <c r="B540" s="1" t="s">
        <v>1629</v>
      </c>
      <c r="C540" s="1" t="s">
        <v>1630</v>
      </c>
      <c r="D540" s="1" t="s">
        <v>1215</v>
      </c>
      <c r="E540" s="1" t="s">
        <v>1216</v>
      </c>
      <c r="F540" s="1">
        <v>5783244.0</v>
      </c>
      <c r="G540" s="1">
        <v>130214.0</v>
      </c>
      <c r="H540" s="1">
        <v>6413.0</v>
      </c>
      <c r="I540" s="1">
        <v>3.12E7</v>
      </c>
      <c r="J540" s="1" t="s">
        <v>15</v>
      </c>
    </row>
    <row r="541">
      <c r="A541" s="1" t="s">
        <v>1631</v>
      </c>
      <c r="B541" s="1" t="s">
        <v>1632</v>
      </c>
      <c r="C541" s="1" t="s">
        <v>1633</v>
      </c>
      <c r="D541" s="1" t="s">
        <v>1215</v>
      </c>
      <c r="E541" s="1" t="s">
        <v>1216</v>
      </c>
      <c r="F541" s="1">
        <v>1545006.0</v>
      </c>
      <c r="G541" s="1">
        <v>75518.0</v>
      </c>
      <c r="H541" s="1">
        <v>3370.0</v>
      </c>
      <c r="I541" s="1">
        <v>3.12E7</v>
      </c>
      <c r="J541" s="1" t="s">
        <v>15</v>
      </c>
    </row>
    <row r="542">
      <c r="A542" s="1" t="s">
        <v>1634</v>
      </c>
      <c r="B542" s="1" t="s">
        <v>1635</v>
      </c>
      <c r="C542" s="1" t="s">
        <v>1636</v>
      </c>
      <c r="D542" s="1" t="s">
        <v>1215</v>
      </c>
      <c r="E542" s="1" t="s">
        <v>1216</v>
      </c>
      <c r="F542" s="1">
        <v>1.6237032E7</v>
      </c>
      <c r="G542" s="1">
        <v>186394.0</v>
      </c>
      <c r="H542" s="1">
        <v>10571.0</v>
      </c>
      <c r="I542" s="1">
        <v>3.12E7</v>
      </c>
      <c r="J542" s="1" t="s">
        <v>15</v>
      </c>
    </row>
    <row r="543">
      <c r="A543" s="1" t="s">
        <v>1637</v>
      </c>
      <c r="B543" s="1" t="s">
        <v>1638</v>
      </c>
      <c r="C543" s="1" t="s">
        <v>1639</v>
      </c>
      <c r="D543" s="1" t="s">
        <v>1215</v>
      </c>
      <c r="E543" s="1" t="s">
        <v>1216</v>
      </c>
      <c r="F543" s="1">
        <v>1762415.0</v>
      </c>
      <c r="G543" s="1">
        <v>38381.0</v>
      </c>
      <c r="H543" s="1">
        <v>1695.0</v>
      </c>
      <c r="I543" s="1">
        <v>3.12E7</v>
      </c>
      <c r="J543" s="1" t="s">
        <v>15</v>
      </c>
    </row>
    <row r="544">
      <c r="A544" s="1" t="s">
        <v>1640</v>
      </c>
      <c r="B544" s="1" t="s">
        <v>1641</v>
      </c>
      <c r="C544" s="1" t="s">
        <v>1642</v>
      </c>
      <c r="D544" s="1" t="s">
        <v>1215</v>
      </c>
      <c r="E544" s="1" t="s">
        <v>1216</v>
      </c>
      <c r="F544" s="1">
        <v>1.0025439E7</v>
      </c>
      <c r="G544" s="1">
        <v>244815.0</v>
      </c>
      <c r="H544" s="1">
        <v>8997.0</v>
      </c>
      <c r="I544" s="1">
        <v>3.12E7</v>
      </c>
      <c r="J544" s="1" t="s">
        <v>15</v>
      </c>
    </row>
    <row r="545">
      <c r="A545" s="1" t="s">
        <v>1643</v>
      </c>
      <c r="B545" s="1" t="s">
        <v>1644</v>
      </c>
      <c r="C545" s="1" t="s">
        <v>1645</v>
      </c>
      <c r="D545" s="1" t="s">
        <v>1215</v>
      </c>
      <c r="E545" s="1" t="s">
        <v>1216</v>
      </c>
      <c r="F545" s="1">
        <v>1183360.0</v>
      </c>
      <c r="G545" s="1">
        <v>35186.0</v>
      </c>
      <c r="H545" s="1">
        <v>3502.0</v>
      </c>
      <c r="I545" s="1">
        <v>3.12E7</v>
      </c>
      <c r="J545" s="1" t="s">
        <v>15</v>
      </c>
    </row>
    <row r="546">
      <c r="A546" s="1" t="s">
        <v>1646</v>
      </c>
      <c r="B546" s="1" t="s">
        <v>1647</v>
      </c>
      <c r="C546" s="1" t="s">
        <v>1648</v>
      </c>
      <c r="D546" s="1" t="s">
        <v>1215</v>
      </c>
      <c r="E546" s="1" t="s">
        <v>1216</v>
      </c>
      <c r="F546" s="1">
        <v>1361230.0</v>
      </c>
      <c r="G546" s="1">
        <v>31561.0</v>
      </c>
      <c r="H546" s="1">
        <v>1801.0</v>
      </c>
      <c r="I546" s="1">
        <v>3.12E7</v>
      </c>
      <c r="J546" s="1" t="s">
        <v>15</v>
      </c>
    </row>
    <row r="547">
      <c r="A547" s="1" t="s">
        <v>1649</v>
      </c>
      <c r="B547" s="1" t="s">
        <v>1650</v>
      </c>
      <c r="C547" s="1" t="s">
        <v>1651</v>
      </c>
      <c r="D547" s="1" t="s">
        <v>1215</v>
      </c>
      <c r="E547" s="1" t="s">
        <v>1216</v>
      </c>
      <c r="F547" s="1">
        <v>1202785.0</v>
      </c>
      <c r="G547" s="1">
        <v>30560.0</v>
      </c>
      <c r="H547" s="1">
        <v>1556.0</v>
      </c>
      <c r="I547" s="1">
        <v>3.12E7</v>
      </c>
      <c r="J547" s="1" t="s">
        <v>15</v>
      </c>
    </row>
    <row r="548">
      <c r="A548" s="1" t="s">
        <v>1652</v>
      </c>
      <c r="B548" s="1" t="s">
        <v>1653</v>
      </c>
      <c r="C548" s="1" t="s">
        <v>1654</v>
      </c>
      <c r="D548" s="1" t="s">
        <v>1215</v>
      </c>
      <c r="E548" s="1" t="s">
        <v>1216</v>
      </c>
      <c r="F548" s="1">
        <v>1246015.0</v>
      </c>
      <c r="G548" s="1">
        <v>33071.0</v>
      </c>
      <c r="H548" s="1">
        <v>1539.0</v>
      </c>
      <c r="I548" s="1">
        <v>3.12E7</v>
      </c>
      <c r="J548" s="1" t="s">
        <v>15</v>
      </c>
    </row>
    <row r="549">
      <c r="A549" s="1" t="s">
        <v>1655</v>
      </c>
      <c r="B549" s="1" t="s">
        <v>1656</v>
      </c>
      <c r="C549" s="1" t="s">
        <v>1657</v>
      </c>
      <c r="D549" s="1" t="s">
        <v>1215</v>
      </c>
      <c r="E549" s="1" t="s">
        <v>1216</v>
      </c>
      <c r="F549" s="1">
        <v>1622141.0</v>
      </c>
      <c r="G549" s="1">
        <v>38127.0</v>
      </c>
      <c r="H549" s="1">
        <v>1783.0</v>
      </c>
      <c r="I549" s="1">
        <v>3.12E7</v>
      </c>
      <c r="J549" s="1" t="s">
        <v>15</v>
      </c>
    </row>
    <row r="550">
      <c r="A550" s="1" t="s">
        <v>1658</v>
      </c>
      <c r="B550" s="1" t="s">
        <v>1659</v>
      </c>
      <c r="C550" s="1" t="s">
        <v>1660</v>
      </c>
      <c r="D550" s="1" t="s">
        <v>1215</v>
      </c>
      <c r="E550" s="1" t="s">
        <v>1216</v>
      </c>
      <c r="F550" s="1">
        <v>3189401.0</v>
      </c>
      <c r="G550" s="1">
        <v>78915.0</v>
      </c>
      <c r="H550" s="1">
        <v>3615.0</v>
      </c>
      <c r="I550" s="1">
        <v>3.12E7</v>
      </c>
      <c r="J550" s="1" t="s">
        <v>15</v>
      </c>
    </row>
    <row r="551">
      <c r="A551" s="1" t="s">
        <v>1661</v>
      </c>
      <c r="B551" s="1" t="s">
        <v>1662</v>
      </c>
      <c r="C551" s="1" t="s">
        <v>1663</v>
      </c>
      <c r="D551" s="1" t="s">
        <v>1215</v>
      </c>
      <c r="E551" s="1" t="s">
        <v>1216</v>
      </c>
      <c r="F551" s="1">
        <v>7431701.0</v>
      </c>
      <c r="G551" s="1">
        <v>144667.0</v>
      </c>
      <c r="H551" s="1">
        <v>11046.0</v>
      </c>
      <c r="I551" s="1">
        <v>3.12E7</v>
      </c>
      <c r="J551" s="1" t="s">
        <v>15</v>
      </c>
    </row>
    <row r="552">
      <c r="A552" s="1" t="s">
        <v>1664</v>
      </c>
      <c r="B552" s="1" t="s">
        <v>1665</v>
      </c>
      <c r="C552" s="1" t="s">
        <v>1666</v>
      </c>
      <c r="D552" s="1" t="s">
        <v>1215</v>
      </c>
      <c r="E552" s="1" t="s">
        <v>1216</v>
      </c>
      <c r="F552" s="1">
        <v>3335315.0</v>
      </c>
      <c r="G552" s="1">
        <v>135832.0</v>
      </c>
      <c r="H552" s="1">
        <v>7246.0</v>
      </c>
      <c r="I552" s="1">
        <v>3.12E7</v>
      </c>
      <c r="J552" s="1" t="s">
        <v>15</v>
      </c>
    </row>
    <row r="553">
      <c r="A553" s="1" t="s">
        <v>1667</v>
      </c>
      <c r="B553" s="1" t="s">
        <v>1668</v>
      </c>
      <c r="C553" s="1" t="s">
        <v>1669</v>
      </c>
      <c r="D553" s="1" t="s">
        <v>1215</v>
      </c>
      <c r="E553" s="1" t="s">
        <v>1216</v>
      </c>
      <c r="F553" s="1">
        <v>1397721.0</v>
      </c>
      <c r="G553" s="1">
        <v>67542.0</v>
      </c>
      <c r="H553" s="1">
        <v>2683.0</v>
      </c>
      <c r="I553" s="1">
        <v>3.12E7</v>
      </c>
      <c r="J553" s="1" t="s">
        <v>15</v>
      </c>
    </row>
    <row r="554">
      <c r="A554" s="1" t="s">
        <v>1670</v>
      </c>
      <c r="B554" s="1" t="s">
        <v>1671</v>
      </c>
      <c r="C554" s="1" t="s">
        <v>1672</v>
      </c>
      <c r="D554" s="1" t="s">
        <v>1215</v>
      </c>
      <c r="E554" s="1" t="s">
        <v>1216</v>
      </c>
      <c r="F554" s="1">
        <v>3331773.0</v>
      </c>
      <c r="G554" s="1">
        <v>313031.0</v>
      </c>
      <c r="H554" s="1">
        <v>29256.0</v>
      </c>
      <c r="I554" s="1">
        <v>3.12E7</v>
      </c>
      <c r="J554" s="1" t="s">
        <v>15</v>
      </c>
    </row>
    <row r="555">
      <c r="A555" s="1" t="s">
        <v>1673</v>
      </c>
      <c r="B555" s="1" t="s">
        <v>1674</v>
      </c>
      <c r="C555" s="1" t="s">
        <v>1675</v>
      </c>
      <c r="D555" s="1" t="s">
        <v>1215</v>
      </c>
      <c r="E555" s="1" t="s">
        <v>1216</v>
      </c>
      <c r="F555" s="1">
        <v>4793919.0</v>
      </c>
      <c r="G555" s="1">
        <v>158936.0</v>
      </c>
      <c r="H555" s="1">
        <v>11865.0</v>
      </c>
      <c r="I555" s="1">
        <v>3.12E7</v>
      </c>
      <c r="J555" s="1" t="s">
        <v>15</v>
      </c>
    </row>
    <row r="556">
      <c r="A556" s="1" t="s">
        <v>1676</v>
      </c>
      <c r="B556" s="1" t="s">
        <v>1677</v>
      </c>
      <c r="C556" s="1" t="s">
        <v>1678</v>
      </c>
      <c r="D556" s="1" t="s">
        <v>1215</v>
      </c>
      <c r="E556" s="1" t="s">
        <v>1216</v>
      </c>
      <c r="F556" s="1">
        <v>2888253.0</v>
      </c>
      <c r="G556" s="1">
        <v>115668.0</v>
      </c>
      <c r="H556" s="1">
        <v>2694.0</v>
      </c>
      <c r="I556" s="1">
        <v>3.12E7</v>
      </c>
      <c r="J556" s="1" t="s">
        <v>15</v>
      </c>
    </row>
    <row r="557">
      <c r="A557" s="1" t="s">
        <v>1679</v>
      </c>
      <c r="B557" s="1" t="s">
        <v>1680</v>
      </c>
      <c r="C557" s="1" t="s">
        <v>1681</v>
      </c>
      <c r="D557" s="1" t="s">
        <v>1215</v>
      </c>
      <c r="E557" s="1" t="s">
        <v>1216</v>
      </c>
      <c r="F557" s="1">
        <v>5078662.0</v>
      </c>
      <c r="G557" s="1">
        <v>178600.0</v>
      </c>
      <c r="H557" s="1">
        <v>8997.0</v>
      </c>
      <c r="I557" s="1">
        <v>3.12E7</v>
      </c>
      <c r="J557" s="1" t="s">
        <v>15</v>
      </c>
    </row>
    <row r="558">
      <c r="A558" s="1" t="s">
        <v>1682</v>
      </c>
      <c r="B558" s="1" t="s">
        <v>1683</v>
      </c>
      <c r="C558" s="1" t="s">
        <v>1684</v>
      </c>
      <c r="D558" s="1" t="s">
        <v>1215</v>
      </c>
      <c r="E558" s="1" t="s">
        <v>1216</v>
      </c>
      <c r="F558" s="1">
        <v>2457488.0</v>
      </c>
      <c r="G558" s="1">
        <v>77920.0</v>
      </c>
      <c r="H558" s="1">
        <v>2333.0</v>
      </c>
      <c r="I558" s="1">
        <v>3.12E7</v>
      </c>
      <c r="J558" s="1" t="s">
        <v>15</v>
      </c>
    </row>
    <row r="559">
      <c r="A559" s="1" t="s">
        <v>1685</v>
      </c>
      <c r="B559" s="1" t="s">
        <v>1686</v>
      </c>
      <c r="C559" s="1" t="s">
        <v>1687</v>
      </c>
      <c r="D559" s="1" t="s">
        <v>1215</v>
      </c>
      <c r="E559" s="1" t="s">
        <v>1216</v>
      </c>
      <c r="F559" s="1">
        <v>1435946.0</v>
      </c>
      <c r="G559" s="1">
        <v>73790.0</v>
      </c>
      <c r="H559" s="1">
        <v>2040.0</v>
      </c>
      <c r="I559" s="1">
        <v>3.12E7</v>
      </c>
      <c r="J559" s="1" t="s">
        <v>15</v>
      </c>
    </row>
    <row r="560">
      <c r="A560" s="1" t="s">
        <v>1688</v>
      </c>
      <c r="B560" s="1" t="s">
        <v>1689</v>
      </c>
      <c r="C560" s="1" t="s">
        <v>1690</v>
      </c>
      <c r="D560" s="1" t="s">
        <v>1215</v>
      </c>
      <c r="E560" s="1" t="s">
        <v>1216</v>
      </c>
      <c r="F560" s="1">
        <v>5921966.0</v>
      </c>
      <c r="G560" s="1">
        <v>107927.0</v>
      </c>
      <c r="H560" s="1">
        <v>8177.0</v>
      </c>
      <c r="I560" s="1">
        <v>3.12E7</v>
      </c>
      <c r="J560" s="1" t="s">
        <v>15</v>
      </c>
    </row>
    <row r="561">
      <c r="A561" s="1" t="s">
        <v>1691</v>
      </c>
      <c r="B561" s="1" t="s">
        <v>1692</v>
      </c>
      <c r="C561" s="1" t="s">
        <v>1693</v>
      </c>
      <c r="D561" s="1" t="s">
        <v>1215</v>
      </c>
      <c r="E561" s="1" t="s">
        <v>1216</v>
      </c>
      <c r="F561" s="1">
        <v>1147510.0</v>
      </c>
      <c r="G561" s="1">
        <v>37006.0</v>
      </c>
      <c r="H561" s="1">
        <v>1438.0</v>
      </c>
      <c r="I561" s="1">
        <v>3.12E7</v>
      </c>
      <c r="J561" s="1" t="s">
        <v>15</v>
      </c>
    </row>
    <row r="562">
      <c r="A562" s="1" t="s">
        <v>1694</v>
      </c>
      <c r="B562" s="1" t="s">
        <v>1695</v>
      </c>
      <c r="C562" s="1" t="s">
        <v>1696</v>
      </c>
      <c r="D562" s="1" t="s">
        <v>1215</v>
      </c>
      <c r="E562" s="1" t="s">
        <v>1216</v>
      </c>
      <c r="F562" s="1">
        <v>4591921.0</v>
      </c>
      <c r="G562" s="1">
        <v>112757.0</v>
      </c>
      <c r="H562" s="1">
        <v>3640.0</v>
      </c>
      <c r="I562" s="1">
        <v>3.12E7</v>
      </c>
      <c r="J562" s="1" t="s">
        <v>15</v>
      </c>
    </row>
    <row r="563">
      <c r="A563" s="1" t="s">
        <v>1697</v>
      </c>
      <c r="B563" s="1" t="s">
        <v>1698</v>
      </c>
      <c r="C563" s="1" t="s">
        <v>1699</v>
      </c>
      <c r="D563" s="1" t="s">
        <v>1215</v>
      </c>
      <c r="E563" s="1" t="s">
        <v>1216</v>
      </c>
      <c r="F563" s="1">
        <v>2568883.0</v>
      </c>
      <c r="G563" s="1">
        <v>63551.0</v>
      </c>
      <c r="H563" s="1">
        <v>2086.0</v>
      </c>
      <c r="I563" s="1">
        <v>3.12E7</v>
      </c>
      <c r="J563" s="1" t="s">
        <v>15</v>
      </c>
    </row>
    <row r="564">
      <c r="A564" s="1" t="s">
        <v>1700</v>
      </c>
      <c r="B564" s="1" t="s">
        <v>1701</v>
      </c>
      <c r="C564" s="1" t="s">
        <v>1702</v>
      </c>
      <c r="D564" s="1" t="s">
        <v>1215</v>
      </c>
      <c r="E564" s="1" t="s">
        <v>1216</v>
      </c>
      <c r="F564" s="1">
        <v>1594774.0</v>
      </c>
      <c r="G564" s="1">
        <v>84336.0</v>
      </c>
      <c r="H564" s="1">
        <v>2806.0</v>
      </c>
      <c r="I564" s="1">
        <v>3.12E7</v>
      </c>
      <c r="J564" s="1" t="s">
        <v>15</v>
      </c>
    </row>
    <row r="565">
      <c r="A565" s="1" t="s">
        <v>1703</v>
      </c>
      <c r="B565" s="1" t="s">
        <v>1704</v>
      </c>
      <c r="C565" s="1" t="s">
        <v>1705</v>
      </c>
      <c r="D565" s="1" t="s">
        <v>1215</v>
      </c>
      <c r="E565" s="1" t="s">
        <v>1216</v>
      </c>
      <c r="F565" s="1">
        <v>6096559.0</v>
      </c>
      <c r="G565" s="1">
        <v>147484.0</v>
      </c>
      <c r="H565" s="1">
        <v>10169.0</v>
      </c>
      <c r="I565" s="1">
        <v>3.12E7</v>
      </c>
      <c r="J565" s="1" t="s">
        <v>15</v>
      </c>
    </row>
    <row r="566">
      <c r="A566" s="1" t="s">
        <v>1706</v>
      </c>
      <c r="B566" s="1" t="s">
        <v>1707</v>
      </c>
      <c r="C566" s="1" t="s">
        <v>1708</v>
      </c>
      <c r="D566" s="1" t="s">
        <v>1215</v>
      </c>
      <c r="E566" s="1" t="s">
        <v>1216</v>
      </c>
      <c r="F566" s="1">
        <v>8706155.0</v>
      </c>
      <c r="G566" s="1">
        <v>216781.0</v>
      </c>
      <c r="H566" s="1">
        <v>11876.0</v>
      </c>
      <c r="I566" s="1">
        <v>3.12E7</v>
      </c>
      <c r="J566" s="1" t="s">
        <v>15</v>
      </c>
    </row>
    <row r="567">
      <c r="A567" s="1" t="s">
        <v>1709</v>
      </c>
      <c r="B567" s="1" t="s">
        <v>1710</v>
      </c>
      <c r="C567" s="1" t="s">
        <v>1711</v>
      </c>
      <c r="D567" s="1" t="s">
        <v>1215</v>
      </c>
      <c r="E567" s="1" t="s">
        <v>1216</v>
      </c>
      <c r="F567" s="1">
        <v>985383.0</v>
      </c>
      <c r="G567" s="1">
        <v>50645.0</v>
      </c>
      <c r="H567" s="1">
        <v>2214.0</v>
      </c>
      <c r="I567" s="1">
        <v>3.12E7</v>
      </c>
      <c r="J567" s="1" t="s">
        <v>15</v>
      </c>
    </row>
    <row r="568">
      <c r="A568" s="1" t="s">
        <v>1712</v>
      </c>
      <c r="B568" s="1" t="s">
        <v>1713</v>
      </c>
      <c r="C568" s="1" t="s">
        <v>1714</v>
      </c>
      <c r="D568" s="1" t="s">
        <v>1215</v>
      </c>
      <c r="E568" s="1" t="s">
        <v>1216</v>
      </c>
      <c r="F568" s="1">
        <v>2433881.0</v>
      </c>
      <c r="G568" s="1">
        <v>90542.0</v>
      </c>
      <c r="H568" s="1">
        <v>2284.0</v>
      </c>
      <c r="I568" s="1">
        <v>3.12E7</v>
      </c>
      <c r="J568" s="1" t="s">
        <v>15</v>
      </c>
    </row>
    <row r="569">
      <c r="A569" s="1" t="s">
        <v>1715</v>
      </c>
      <c r="B569" s="1" t="s">
        <v>1716</v>
      </c>
      <c r="C569" s="1" t="s">
        <v>1717</v>
      </c>
      <c r="D569" s="1" t="s">
        <v>1215</v>
      </c>
      <c r="E569" s="1" t="s">
        <v>1216</v>
      </c>
      <c r="F569" s="1">
        <v>2056812.0</v>
      </c>
      <c r="G569" s="1">
        <v>74007.0</v>
      </c>
      <c r="H569" s="1">
        <v>3087.0</v>
      </c>
      <c r="I569" s="1">
        <v>3.12E7</v>
      </c>
      <c r="J569" s="1" t="s">
        <v>15</v>
      </c>
    </row>
    <row r="570">
      <c r="A570" s="1" t="s">
        <v>1718</v>
      </c>
      <c r="B570" s="1" t="s">
        <v>1719</v>
      </c>
      <c r="C570" s="1" t="s">
        <v>1720</v>
      </c>
      <c r="D570" s="1" t="s">
        <v>1215</v>
      </c>
      <c r="E570" s="1" t="s">
        <v>1216</v>
      </c>
      <c r="F570" s="1">
        <v>2423084.0</v>
      </c>
      <c r="G570" s="1">
        <v>99210.0</v>
      </c>
      <c r="H570" s="1">
        <v>1991.0</v>
      </c>
      <c r="I570" s="1">
        <v>3.12E7</v>
      </c>
      <c r="J570" s="1" t="s">
        <v>15</v>
      </c>
    </row>
    <row r="571">
      <c r="A571" s="1" t="s">
        <v>1721</v>
      </c>
      <c r="B571" s="1" t="s">
        <v>1722</v>
      </c>
      <c r="C571" s="1" t="s">
        <v>1723</v>
      </c>
      <c r="D571" s="1" t="s">
        <v>1215</v>
      </c>
      <c r="E571" s="1" t="s">
        <v>1216</v>
      </c>
      <c r="F571" s="1">
        <v>1097732.0</v>
      </c>
      <c r="G571" s="1">
        <v>83557.0</v>
      </c>
      <c r="H571" s="1">
        <v>399.0</v>
      </c>
      <c r="I571" s="1">
        <v>3.12E7</v>
      </c>
      <c r="J571" s="1" t="s">
        <v>15</v>
      </c>
    </row>
    <row r="572">
      <c r="A572" s="1" t="s">
        <v>1724</v>
      </c>
      <c r="B572" s="1" t="s">
        <v>1725</v>
      </c>
      <c r="C572" s="1" t="s">
        <v>1726</v>
      </c>
      <c r="D572" s="1" t="s">
        <v>1215</v>
      </c>
      <c r="E572" s="1" t="s">
        <v>1216</v>
      </c>
      <c r="F572" s="1">
        <v>1819866.0</v>
      </c>
      <c r="G572" s="1">
        <v>76442.0</v>
      </c>
      <c r="H572" s="1">
        <v>1952.0</v>
      </c>
      <c r="I572" s="1">
        <v>3.12E7</v>
      </c>
      <c r="J572" s="1" t="s">
        <v>15</v>
      </c>
    </row>
    <row r="573">
      <c r="A573" s="1" t="s">
        <v>1727</v>
      </c>
      <c r="B573" s="1" t="s">
        <v>1728</v>
      </c>
      <c r="C573" s="1" t="s">
        <v>1729</v>
      </c>
      <c r="D573" s="1" t="s">
        <v>1215</v>
      </c>
      <c r="E573" s="1" t="s">
        <v>1216</v>
      </c>
      <c r="F573" s="1">
        <v>2251906.0</v>
      </c>
      <c r="G573" s="1">
        <v>110858.0</v>
      </c>
      <c r="H573" s="1">
        <v>3870.0</v>
      </c>
      <c r="I573" s="1">
        <v>3.12E7</v>
      </c>
      <c r="J573" s="1" t="s">
        <v>15</v>
      </c>
    </row>
    <row r="574">
      <c r="A574" s="1" t="s">
        <v>1730</v>
      </c>
      <c r="B574" s="1" t="s">
        <v>1731</v>
      </c>
      <c r="C574" s="1" t="s">
        <v>1732</v>
      </c>
      <c r="D574" s="1" t="s">
        <v>1215</v>
      </c>
      <c r="E574" s="1" t="s">
        <v>1216</v>
      </c>
      <c r="F574" s="1">
        <v>2993715.0</v>
      </c>
      <c r="G574" s="1">
        <v>219692.0</v>
      </c>
      <c r="H574" s="1">
        <v>1736.0</v>
      </c>
      <c r="I574" s="1">
        <v>3.12E7</v>
      </c>
      <c r="J574" s="1" t="s">
        <v>15</v>
      </c>
    </row>
    <row r="575">
      <c r="A575" s="1" t="s">
        <v>1733</v>
      </c>
      <c r="B575" s="1" t="s">
        <v>1734</v>
      </c>
      <c r="C575" s="1" t="s">
        <v>1735</v>
      </c>
      <c r="D575" s="1" t="s">
        <v>1215</v>
      </c>
      <c r="E575" s="1" t="s">
        <v>1216</v>
      </c>
      <c r="F575" s="1">
        <v>3278734.0</v>
      </c>
      <c r="G575" s="1">
        <v>99055.0</v>
      </c>
      <c r="H575" s="1">
        <v>4227.0</v>
      </c>
      <c r="I575" s="1">
        <v>3.12E7</v>
      </c>
      <c r="J575" s="1" t="s">
        <v>15</v>
      </c>
    </row>
    <row r="576">
      <c r="A576" s="1" t="s">
        <v>1736</v>
      </c>
      <c r="B576" s="1" t="s">
        <v>1737</v>
      </c>
      <c r="C576" s="1" t="s">
        <v>1738</v>
      </c>
      <c r="D576" s="1" t="s">
        <v>1215</v>
      </c>
      <c r="E576" s="1" t="s">
        <v>1216</v>
      </c>
      <c r="F576" s="1">
        <v>4491796.0</v>
      </c>
      <c r="G576" s="1">
        <v>140407.0</v>
      </c>
      <c r="H576" s="1">
        <v>4125.0</v>
      </c>
      <c r="I576" s="1">
        <v>3.12E7</v>
      </c>
      <c r="J576" s="1" t="s">
        <v>15</v>
      </c>
    </row>
    <row r="577">
      <c r="A577" s="1" t="s">
        <v>1739</v>
      </c>
      <c r="B577" s="1" t="s">
        <v>1740</v>
      </c>
      <c r="C577" s="1" t="s">
        <v>1741</v>
      </c>
      <c r="D577" s="1" t="s">
        <v>1215</v>
      </c>
      <c r="E577" s="1" t="s">
        <v>1216</v>
      </c>
      <c r="F577" s="1">
        <v>1939567.0</v>
      </c>
      <c r="G577" s="1">
        <v>137653.0</v>
      </c>
      <c r="H577" s="1">
        <v>2741.0</v>
      </c>
      <c r="I577" s="1">
        <v>3.12E7</v>
      </c>
      <c r="J577" s="1" t="s">
        <v>15</v>
      </c>
    </row>
    <row r="578">
      <c r="A578" s="1" t="s">
        <v>1742</v>
      </c>
      <c r="B578" s="1" t="s">
        <v>1743</v>
      </c>
      <c r="C578" s="1" t="s">
        <v>1744</v>
      </c>
      <c r="D578" s="1" t="s">
        <v>1215</v>
      </c>
      <c r="E578" s="1" t="s">
        <v>1216</v>
      </c>
      <c r="F578" s="1">
        <v>2684072.0</v>
      </c>
      <c r="G578" s="1">
        <v>76509.0</v>
      </c>
      <c r="H578" s="1">
        <v>2810.0</v>
      </c>
      <c r="I578" s="1">
        <v>3.12E7</v>
      </c>
      <c r="J578" s="1" t="s">
        <v>15</v>
      </c>
    </row>
    <row r="579">
      <c r="A579" s="1" t="s">
        <v>1745</v>
      </c>
      <c r="B579" s="1" t="s">
        <v>1746</v>
      </c>
      <c r="C579" s="1" t="s">
        <v>1747</v>
      </c>
      <c r="D579" s="1" t="s">
        <v>1215</v>
      </c>
      <c r="E579" s="1" t="s">
        <v>1216</v>
      </c>
      <c r="F579" s="1">
        <v>1376651.0</v>
      </c>
      <c r="G579" s="1">
        <v>76821.0</v>
      </c>
      <c r="H579" s="1">
        <v>992.0</v>
      </c>
      <c r="I579" s="1">
        <v>3.12E7</v>
      </c>
      <c r="J579" s="1" t="s">
        <v>15</v>
      </c>
    </row>
    <row r="580">
      <c r="A580" s="1" t="s">
        <v>1748</v>
      </c>
      <c r="B580" s="1" t="s">
        <v>1749</v>
      </c>
      <c r="C580" s="1" t="s">
        <v>1750</v>
      </c>
      <c r="D580" s="1" t="s">
        <v>1215</v>
      </c>
      <c r="E580" s="1" t="s">
        <v>1216</v>
      </c>
      <c r="F580" s="1">
        <v>2183764.0</v>
      </c>
      <c r="G580" s="1">
        <v>91696.0</v>
      </c>
      <c r="H580" s="1">
        <v>2958.0</v>
      </c>
      <c r="I580" s="1">
        <v>3.12E7</v>
      </c>
      <c r="J580" s="1" t="s">
        <v>15</v>
      </c>
    </row>
    <row r="581">
      <c r="A581" s="1" t="s">
        <v>1751</v>
      </c>
      <c r="B581" s="1" t="s">
        <v>1752</v>
      </c>
      <c r="C581" s="1" t="s">
        <v>1753</v>
      </c>
      <c r="D581" s="1" t="s">
        <v>1215</v>
      </c>
      <c r="E581" s="1" t="s">
        <v>1216</v>
      </c>
      <c r="F581" s="1">
        <v>1683147.0</v>
      </c>
      <c r="G581" s="1">
        <v>105955.0</v>
      </c>
      <c r="H581" s="1">
        <v>3603.0</v>
      </c>
      <c r="I581" s="1">
        <v>3.12E7</v>
      </c>
      <c r="J581" s="1" t="s">
        <v>15</v>
      </c>
    </row>
    <row r="582">
      <c r="A582" s="1" t="s">
        <v>1754</v>
      </c>
      <c r="B582" s="1" t="s">
        <v>1755</v>
      </c>
      <c r="C582" s="1" t="s">
        <v>1756</v>
      </c>
      <c r="D582" s="1" t="s">
        <v>1215</v>
      </c>
      <c r="E582" s="1" t="s">
        <v>1216</v>
      </c>
      <c r="F582" s="1">
        <v>3069111.0</v>
      </c>
      <c r="G582" s="1">
        <v>108059.0</v>
      </c>
      <c r="H582" s="1">
        <v>2550.0</v>
      </c>
      <c r="I582" s="1">
        <v>3.12E7</v>
      </c>
      <c r="J582" s="1" t="s">
        <v>15</v>
      </c>
    </row>
    <row r="583">
      <c r="A583" s="1" t="s">
        <v>1757</v>
      </c>
      <c r="B583" s="1" t="s">
        <v>1758</v>
      </c>
      <c r="C583" s="1" t="s">
        <v>1759</v>
      </c>
      <c r="D583" s="1" t="s">
        <v>1215</v>
      </c>
      <c r="E583" s="1" t="s">
        <v>1216</v>
      </c>
      <c r="F583" s="1">
        <v>2065489.0</v>
      </c>
      <c r="G583" s="1">
        <v>97594.0</v>
      </c>
      <c r="H583" s="1">
        <v>2253.0</v>
      </c>
      <c r="I583" s="1">
        <v>3.12E7</v>
      </c>
      <c r="J583" s="1" t="s">
        <v>15</v>
      </c>
    </row>
    <row r="584">
      <c r="A584" s="1" t="s">
        <v>1760</v>
      </c>
      <c r="B584" s="1" t="s">
        <v>1761</v>
      </c>
      <c r="C584" s="1" t="s">
        <v>1762</v>
      </c>
      <c r="D584" s="1" t="s">
        <v>1215</v>
      </c>
      <c r="E584" s="1" t="s">
        <v>1216</v>
      </c>
      <c r="F584" s="1">
        <v>3074310.0</v>
      </c>
      <c r="G584" s="1">
        <v>220643.0</v>
      </c>
      <c r="H584" s="1">
        <v>10030.0</v>
      </c>
      <c r="I584" s="1">
        <v>3.12E7</v>
      </c>
      <c r="J584" s="1" t="s">
        <v>15</v>
      </c>
    </row>
    <row r="585">
      <c r="A585" s="1" t="s">
        <v>1763</v>
      </c>
      <c r="B585" s="1" t="s">
        <v>1764</v>
      </c>
      <c r="C585" s="1" t="s">
        <v>1765</v>
      </c>
      <c r="D585" s="1" t="s">
        <v>1215</v>
      </c>
      <c r="E585" s="1" t="s">
        <v>1216</v>
      </c>
      <c r="F585" s="1">
        <v>2635598.0</v>
      </c>
      <c r="G585" s="1">
        <v>134202.0</v>
      </c>
      <c r="H585" s="1">
        <v>4239.0</v>
      </c>
      <c r="I585" s="1">
        <v>3.12E7</v>
      </c>
      <c r="J585" s="1" t="s">
        <v>15</v>
      </c>
    </row>
    <row r="586">
      <c r="A586" s="1" t="s">
        <v>1766</v>
      </c>
      <c r="B586" s="1" t="s">
        <v>1767</v>
      </c>
      <c r="C586" s="1" t="s">
        <v>1768</v>
      </c>
      <c r="D586" s="1" t="s">
        <v>1215</v>
      </c>
      <c r="E586" s="1" t="s">
        <v>1216</v>
      </c>
      <c r="F586" s="1">
        <v>2929467.0</v>
      </c>
      <c r="G586" s="1">
        <v>275767.0</v>
      </c>
      <c r="H586" s="1">
        <v>9790.0</v>
      </c>
      <c r="I586" s="1">
        <v>3.12E7</v>
      </c>
      <c r="J586" s="1" t="s">
        <v>15</v>
      </c>
    </row>
    <row r="587">
      <c r="A587" s="1" t="s">
        <v>1769</v>
      </c>
      <c r="B587" s="1" t="s">
        <v>1770</v>
      </c>
      <c r="C587" s="1" t="s">
        <v>1771</v>
      </c>
      <c r="D587" s="1" t="s">
        <v>1215</v>
      </c>
      <c r="E587" s="1" t="s">
        <v>1216</v>
      </c>
      <c r="F587" s="1">
        <v>1779040.0</v>
      </c>
      <c r="G587" s="1">
        <v>55676.0</v>
      </c>
      <c r="H587" s="1">
        <v>2214.0</v>
      </c>
      <c r="I587" s="1">
        <v>3.12E7</v>
      </c>
      <c r="J587" s="1" t="s">
        <v>15</v>
      </c>
    </row>
    <row r="588">
      <c r="A588" s="1" t="s">
        <v>1772</v>
      </c>
      <c r="B588" s="1" t="s">
        <v>1773</v>
      </c>
      <c r="C588" s="1" t="s">
        <v>1774</v>
      </c>
      <c r="D588" s="1" t="s">
        <v>1215</v>
      </c>
      <c r="E588" s="1" t="s">
        <v>1216</v>
      </c>
      <c r="F588" s="1">
        <v>3000637.0</v>
      </c>
      <c r="G588" s="1">
        <v>264293.0</v>
      </c>
      <c r="H588" s="1">
        <v>1832.0</v>
      </c>
      <c r="I588" s="1">
        <v>3.12E7</v>
      </c>
      <c r="J588" s="1" t="s">
        <v>15</v>
      </c>
    </row>
    <row r="589">
      <c r="A589" s="1" t="s">
        <v>1775</v>
      </c>
      <c r="B589" s="1" t="s">
        <v>1776</v>
      </c>
      <c r="C589" s="1" t="s">
        <v>1777</v>
      </c>
      <c r="D589" s="1" t="s">
        <v>1215</v>
      </c>
      <c r="E589" s="1" t="s">
        <v>1216</v>
      </c>
      <c r="F589" s="1">
        <v>968566.0</v>
      </c>
      <c r="G589" s="1">
        <v>66013.0</v>
      </c>
      <c r="H589" s="1">
        <v>1406.0</v>
      </c>
      <c r="I589" s="1">
        <v>3.12E7</v>
      </c>
      <c r="J589" s="1" t="s">
        <v>15</v>
      </c>
    </row>
    <row r="590">
      <c r="A590" s="1" t="s">
        <v>1778</v>
      </c>
      <c r="B590" s="1" t="s">
        <v>1779</v>
      </c>
      <c r="C590" s="1" t="s">
        <v>1780</v>
      </c>
      <c r="D590" s="1" t="s">
        <v>1215</v>
      </c>
      <c r="E590" s="1" t="s">
        <v>1216</v>
      </c>
      <c r="F590" s="1">
        <v>2465912.0</v>
      </c>
      <c r="G590" s="1">
        <v>83786.0</v>
      </c>
      <c r="H590" s="1">
        <v>7138.0</v>
      </c>
      <c r="I590" s="1">
        <v>3.12E7</v>
      </c>
      <c r="J590" s="1" t="s">
        <v>15</v>
      </c>
    </row>
    <row r="591">
      <c r="A591" s="1" t="s">
        <v>1781</v>
      </c>
      <c r="B591" s="1" t="s">
        <v>1782</v>
      </c>
      <c r="C591" s="1" t="s">
        <v>1783</v>
      </c>
      <c r="D591" s="1" t="s">
        <v>1215</v>
      </c>
      <c r="E591" s="1" t="s">
        <v>1216</v>
      </c>
      <c r="F591" s="1">
        <v>2842121.0</v>
      </c>
      <c r="G591" s="1">
        <v>89743.0</v>
      </c>
      <c r="H591" s="1">
        <v>5216.0</v>
      </c>
      <c r="I591" s="1">
        <v>3.12E7</v>
      </c>
      <c r="J591" s="1" t="s">
        <v>15</v>
      </c>
    </row>
    <row r="592">
      <c r="A592" s="1" t="s">
        <v>1784</v>
      </c>
      <c r="B592" s="1" t="s">
        <v>1785</v>
      </c>
      <c r="C592" s="1" t="s">
        <v>1786</v>
      </c>
      <c r="D592" s="1" t="s">
        <v>1215</v>
      </c>
      <c r="E592" s="1" t="s">
        <v>1216</v>
      </c>
      <c r="F592" s="1">
        <v>2909064.0</v>
      </c>
      <c r="G592" s="1">
        <v>89948.0</v>
      </c>
      <c r="H592" s="1">
        <v>4615.0</v>
      </c>
      <c r="I592" s="1">
        <v>3.12E7</v>
      </c>
      <c r="J592" s="1" t="s">
        <v>15</v>
      </c>
    </row>
    <row r="593">
      <c r="A593" s="1" t="s">
        <v>1787</v>
      </c>
      <c r="B593" s="1" t="s">
        <v>1788</v>
      </c>
      <c r="C593" s="1" t="s">
        <v>1789</v>
      </c>
      <c r="D593" s="1" t="s">
        <v>1215</v>
      </c>
      <c r="E593" s="1" t="s">
        <v>1216</v>
      </c>
      <c r="F593" s="1">
        <v>2801216.0</v>
      </c>
      <c r="G593" s="1">
        <v>83084.0</v>
      </c>
      <c r="H593" s="1">
        <v>3599.0</v>
      </c>
      <c r="I593" s="1">
        <v>3.12E7</v>
      </c>
      <c r="J593" s="1" t="s">
        <v>15</v>
      </c>
    </row>
    <row r="594">
      <c r="A594" s="1" t="s">
        <v>1790</v>
      </c>
      <c r="B594" s="1" t="s">
        <v>1791</v>
      </c>
      <c r="C594" s="1" t="s">
        <v>1792</v>
      </c>
      <c r="D594" s="1" t="s">
        <v>1215</v>
      </c>
      <c r="E594" s="1" t="s">
        <v>1216</v>
      </c>
      <c r="F594" s="1">
        <v>3178930.0</v>
      </c>
      <c r="G594" s="1">
        <v>97118.0</v>
      </c>
      <c r="H594" s="1">
        <v>4126.0</v>
      </c>
      <c r="I594" s="1">
        <v>3.12E7</v>
      </c>
      <c r="J594" s="1" t="s">
        <v>15</v>
      </c>
    </row>
    <row r="595">
      <c r="A595" s="1" t="s">
        <v>1793</v>
      </c>
      <c r="B595" s="1" t="s">
        <v>1794</v>
      </c>
      <c r="C595" s="1" t="s">
        <v>1795</v>
      </c>
      <c r="D595" s="1" t="s">
        <v>1215</v>
      </c>
      <c r="E595" s="1" t="s">
        <v>1216</v>
      </c>
      <c r="F595" s="1">
        <v>6775975.0</v>
      </c>
      <c r="G595" s="1">
        <v>169852.0</v>
      </c>
      <c r="H595" s="1">
        <v>7532.0</v>
      </c>
      <c r="I595" s="1">
        <v>3.12E7</v>
      </c>
      <c r="J595" s="1" t="s">
        <v>15</v>
      </c>
    </row>
    <row r="596">
      <c r="A596" s="1" t="s">
        <v>1796</v>
      </c>
      <c r="B596" s="1" t="s">
        <v>1797</v>
      </c>
      <c r="C596" s="1" t="s">
        <v>1798</v>
      </c>
      <c r="D596" s="1" t="s">
        <v>1215</v>
      </c>
      <c r="E596" s="1" t="s">
        <v>1216</v>
      </c>
      <c r="F596" s="1">
        <v>2887316.0</v>
      </c>
      <c r="G596" s="1">
        <v>91936.0</v>
      </c>
      <c r="H596" s="1">
        <v>3794.0</v>
      </c>
      <c r="I596" s="1">
        <v>3.12E7</v>
      </c>
      <c r="J596" s="1" t="s">
        <v>15</v>
      </c>
    </row>
    <row r="597">
      <c r="A597" s="1" t="s">
        <v>1799</v>
      </c>
      <c r="B597" s="1" t="s">
        <v>1800</v>
      </c>
      <c r="C597" s="1" t="s">
        <v>1801</v>
      </c>
      <c r="D597" s="1" t="s">
        <v>1215</v>
      </c>
      <c r="E597" s="1" t="s">
        <v>1216</v>
      </c>
      <c r="F597" s="1">
        <v>3727305.0</v>
      </c>
      <c r="G597" s="1">
        <v>116048.0</v>
      </c>
      <c r="H597" s="1">
        <v>4813.0</v>
      </c>
      <c r="I597" s="1">
        <v>3.12E7</v>
      </c>
      <c r="J597" s="1" t="s">
        <v>15</v>
      </c>
    </row>
    <row r="598">
      <c r="A598" s="1" t="s">
        <v>1802</v>
      </c>
      <c r="B598" s="1" t="s">
        <v>1803</v>
      </c>
      <c r="C598" s="1" t="s">
        <v>1804</v>
      </c>
      <c r="D598" s="1" t="s">
        <v>1215</v>
      </c>
      <c r="E598" s="1" t="s">
        <v>1216</v>
      </c>
      <c r="F598" s="1">
        <v>6424875.0</v>
      </c>
      <c r="G598" s="1">
        <v>193652.0</v>
      </c>
      <c r="H598" s="1">
        <v>9255.0</v>
      </c>
      <c r="I598" s="1">
        <v>3.12E7</v>
      </c>
      <c r="J598" s="1" t="s">
        <v>15</v>
      </c>
    </row>
    <row r="599">
      <c r="A599" s="1" t="s">
        <v>1805</v>
      </c>
      <c r="B599" s="1" t="s">
        <v>1806</v>
      </c>
      <c r="C599" s="1" t="s">
        <v>1807</v>
      </c>
      <c r="D599" s="1" t="s">
        <v>1215</v>
      </c>
      <c r="E599" s="1" t="s">
        <v>1216</v>
      </c>
      <c r="F599" s="1">
        <v>2614034.0</v>
      </c>
      <c r="G599" s="1">
        <v>106995.0</v>
      </c>
      <c r="H599" s="1">
        <v>2786.0</v>
      </c>
      <c r="I599" s="1">
        <v>3.12E7</v>
      </c>
      <c r="J599" s="1" t="s">
        <v>15</v>
      </c>
    </row>
    <row r="600">
      <c r="A600" s="1" t="s">
        <v>1808</v>
      </c>
      <c r="B600" s="1" t="s">
        <v>1809</v>
      </c>
      <c r="C600" s="1" t="s">
        <v>1810</v>
      </c>
      <c r="D600" s="1" t="s">
        <v>1215</v>
      </c>
      <c r="E600" s="1" t="s">
        <v>1216</v>
      </c>
      <c r="F600" s="1">
        <v>2235841.0</v>
      </c>
      <c r="G600" s="1">
        <v>86263.0</v>
      </c>
      <c r="H600" s="1">
        <v>2926.0</v>
      </c>
      <c r="I600" s="1">
        <v>3.12E7</v>
      </c>
      <c r="J600" s="1" t="s">
        <v>15</v>
      </c>
    </row>
    <row r="601">
      <c r="A601" s="1" t="s">
        <v>1811</v>
      </c>
      <c r="B601" s="1" t="s">
        <v>1812</v>
      </c>
      <c r="C601" s="1" t="s">
        <v>1813</v>
      </c>
      <c r="D601" s="1" t="s">
        <v>1215</v>
      </c>
      <c r="E601" s="1" t="s">
        <v>1216</v>
      </c>
      <c r="F601" s="1">
        <v>1353654.0</v>
      </c>
      <c r="G601" s="1">
        <v>89841.0</v>
      </c>
      <c r="H601" s="1">
        <v>2005.0</v>
      </c>
      <c r="I601" s="1">
        <v>3.12E7</v>
      </c>
      <c r="J601" s="1" t="s">
        <v>15</v>
      </c>
    </row>
    <row r="602">
      <c r="A602" s="1" t="s">
        <v>1814</v>
      </c>
      <c r="B602" s="1" t="s">
        <v>1815</v>
      </c>
      <c r="C602" s="1" t="s">
        <v>1816</v>
      </c>
      <c r="D602" s="1" t="s">
        <v>1817</v>
      </c>
      <c r="E602" s="1" t="s">
        <v>1818</v>
      </c>
      <c r="F602" s="1">
        <v>31259.0</v>
      </c>
      <c r="G602" s="1">
        <v>1367.0</v>
      </c>
      <c r="H602" s="1">
        <v>101.0</v>
      </c>
      <c r="I602" s="1">
        <v>2.35E7</v>
      </c>
      <c r="J602" s="1" t="s">
        <v>15</v>
      </c>
    </row>
    <row r="603">
      <c r="A603" s="1" t="s">
        <v>1819</v>
      </c>
      <c r="B603" s="1" t="s">
        <v>1820</v>
      </c>
      <c r="C603" s="1" t="s">
        <v>1821</v>
      </c>
      <c r="D603" s="1" t="s">
        <v>1817</v>
      </c>
      <c r="E603" s="1" t="s">
        <v>1818</v>
      </c>
      <c r="F603" s="1">
        <v>36533.0</v>
      </c>
      <c r="G603" s="1">
        <v>1222.0</v>
      </c>
      <c r="H603" s="1">
        <v>78.0</v>
      </c>
      <c r="I603" s="1">
        <v>2.35E7</v>
      </c>
      <c r="J603" s="1" t="s">
        <v>15</v>
      </c>
    </row>
    <row r="604">
      <c r="A604" s="1" t="s">
        <v>1822</v>
      </c>
      <c r="B604" s="1" t="s">
        <v>1823</v>
      </c>
      <c r="C604" s="1" t="s">
        <v>1824</v>
      </c>
      <c r="D604" s="1" t="s">
        <v>1817</v>
      </c>
      <c r="E604" s="1" t="s">
        <v>1818</v>
      </c>
      <c r="F604" s="1">
        <v>86664.0</v>
      </c>
      <c r="G604" s="1">
        <v>2847.0</v>
      </c>
      <c r="H604" s="1">
        <v>144.0</v>
      </c>
      <c r="I604" s="1">
        <v>2.35E7</v>
      </c>
      <c r="J604" s="1" t="s">
        <v>15</v>
      </c>
    </row>
    <row r="605">
      <c r="A605" s="1" t="s">
        <v>1825</v>
      </c>
      <c r="B605" s="1" t="s">
        <v>1826</v>
      </c>
      <c r="C605" s="1" t="s">
        <v>1827</v>
      </c>
      <c r="D605" s="1" t="s">
        <v>1817</v>
      </c>
      <c r="E605" s="1" t="s">
        <v>1818</v>
      </c>
      <c r="F605" s="1">
        <v>36732.0</v>
      </c>
      <c r="G605" s="1">
        <v>1260.0</v>
      </c>
      <c r="H605" s="1">
        <v>81.0</v>
      </c>
      <c r="I605" s="1">
        <v>2.35E7</v>
      </c>
      <c r="J605" s="1" t="s">
        <v>15</v>
      </c>
    </row>
    <row r="606">
      <c r="A606" s="1" t="s">
        <v>1828</v>
      </c>
      <c r="B606" s="1" t="s">
        <v>1829</v>
      </c>
      <c r="C606" s="1" t="s">
        <v>1830</v>
      </c>
      <c r="D606" s="1" t="s">
        <v>1817</v>
      </c>
      <c r="E606" s="1" t="s">
        <v>1818</v>
      </c>
      <c r="F606" s="1">
        <v>29814.0</v>
      </c>
      <c r="G606" s="1">
        <v>900.0</v>
      </c>
      <c r="H606" s="1">
        <v>81.0</v>
      </c>
      <c r="I606" s="1">
        <v>2.35E7</v>
      </c>
      <c r="J606" s="1" t="s">
        <v>15</v>
      </c>
    </row>
    <row r="607">
      <c r="A607" s="1" t="s">
        <v>1831</v>
      </c>
      <c r="B607" s="1" t="s">
        <v>1832</v>
      </c>
      <c r="C607" s="1" t="s">
        <v>1833</v>
      </c>
      <c r="D607" s="1" t="s">
        <v>1817</v>
      </c>
      <c r="E607" s="1" t="s">
        <v>1818</v>
      </c>
      <c r="F607" s="1">
        <v>39464.0</v>
      </c>
      <c r="G607" s="1">
        <v>1257.0</v>
      </c>
      <c r="H607" s="1">
        <v>90.0</v>
      </c>
      <c r="I607" s="1">
        <v>2.35E7</v>
      </c>
      <c r="J607" s="1" t="s">
        <v>15</v>
      </c>
    </row>
    <row r="608">
      <c r="A608" s="1" t="s">
        <v>1834</v>
      </c>
      <c r="B608" s="1" t="s">
        <v>1835</v>
      </c>
      <c r="C608" s="1" t="s">
        <v>1836</v>
      </c>
      <c r="D608" s="1" t="s">
        <v>1817</v>
      </c>
      <c r="E608" s="1" t="s">
        <v>1818</v>
      </c>
      <c r="F608" s="1">
        <v>79077.0</v>
      </c>
      <c r="G608" s="1">
        <v>2728.0</v>
      </c>
      <c r="H608" s="1">
        <v>435.0</v>
      </c>
      <c r="I608" s="1">
        <v>2.35E7</v>
      </c>
      <c r="J608" s="1" t="s">
        <v>15</v>
      </c>
    </row>
    <row r="609">
      <c r="A609" s="1" t="s">
        <v>1837</v>
      </c>
      <c r="B609" s="1" t="s">
        <v>1838</v>
      </c>
      <c r="C609" s="1" t="s">
        <v>1839</v>
      </c>
      <c r="D609" s="1" t="s">
        <v>1817</v>
      </c>
      <c r="E609" s="1" t="s">
        <v>1818</v>
      </c>
      <c r="F609" s="1">
        <v>52172.0</v>
      </c>
      <c r="G609" s="1">
        <v>1884.0</v>
      </c>
      <c r="H609" s="1">
        <v>118.0</v>
      </c>
      <c r="I609" s="1">
        <v>2.35E7</v>
      </c>
      <c r="J609" s="1" t="s">
        <v>15</v>
      </c>
    </row>
    <row r="610">
      <c r="A610" s="1" t="s">
        <v>1840</v>
      </c>
      <c r="B610" s="1" t="s">
        <v>1841</v>
      </c>
      <c r="C610" s="1" t="s">
        <v>1842</v>
      </c>
      <c r="D610" s="1" t="s">
        <v>1817</v>
      </c>
      <c r="E610" s="1" t="s">
        <v>1818</v>
      </c>
      <c r="F610" s="1">
        <v>45448.0</v>
      </c>
      <c r="G610" s="1">
        <v>1551.0</v>
      </c>
      <c r="H610" s="1">
        <v>115.0</v>
      </c>
      <c r="I610" s="1">
        <v>2.35E7</v>
      </c>
      <c r="J610" s="1" t="s">
        <v>15</v>
      </c>
    </row>
    <row r="611">
      <c r="A611" s="1" t="s">
        <v>1843</v>
      </c>
      <c r="B611" s="1" t="s">
        <v>1844</v>
      </c>
      <c r="C611" s="1" t="s">
        <v>1845</v>
      </c>
      <c r="D611" s="1" t="s">
        <v>1817</v>
      </c>
      <c r="E611" s="1" t="s">
        <v>1818</v>
      </c>
      <c r="F611" s="1">
        <v>43179.0</v>
      </c>
      <c r="G611" s="1">
        <v>1713.0</v>
      </c>
      <c r="H611" s="1">
        <v>82.0</v>
      </c>
      <c r="I611" s="1">
        <v>2.35E7</v>
      </c>
      <c r="J611" s="1" t="s">
        <v>15</v>
      </c>
    </row>
    <row r="612">
      <c r="A612" s="1" t="s">
        <v>1846</v>
      </c>
      <c r="B612" s="1" t="s">
        <v>1847</v>
      </c>
      <c r="C612" s="1" t="s">
        <v>1848</v>
      </c>
      <c r="D612" s="1" t="s">
        <v>1817</v>
      </c>
      <c r="E612" s="1" t="s">
        <v>1818</v>
      </c>
      <c r="F612" s="1">
        <v>58122.0</v>
      </c>
      <c r="G612" s="1">
        <v>1949.0</v>
      </c>
      <c r="H612" s="1">
        <v>138.0</v>
      </c>
      <c r="I612" s="1">
        <v>2.35E7</v>
      </c>
      <c r="J612" s="1" t="s">
        <v>15</v>
      </c>
    </row>
    <row r="613">
      <c r="A613" s="1" t="s">
        <v>1849</v>
      </c>
      <c r="B613" s="1" t="s">
        <v>1850</v>
      </c>
      <c r="C613" s="1" t="s">
        <v>1851</v>
      </c>
      <c r="D613" s="1" t="s">
        <v>1817</v>
      </c>
      <c r="E613" s="1" t="s">
        <v>1818</v>
      </c>
      <c r="F613" s="1">
        <v>45415.0</v>
      </c>
      <c r="G613" s="1">
        <v>1600.0</v>
      </c>
      <c r="H613" s="1">
        <v>122.0</v>
      </c>
      <c r="I613" s="1">
        <v>2.35E7</v>
      </c>
      <c r="J613" s="1" t="s">
        <v>15</v>
      </c>
    </row>
    <row r="614">
      <c r="A614" s="1" t="s">
        <v>1852</v>
      </c>
      <c r="B614" s="1" t="s">
        <v>1853</v>
      </c>
      <c r="C614" s="1" t="s">
        <v>1854</v>
      </c>
      <c r="D614" s="1" t="s">
        <v>1817</v>
      </c>
      <c r="E614" s="1" t="s">
        <v>1818</v>
      </c>
      <c r="F614" s="1">
        <v>63685.0</v>
      </c>
      <c r="G614" s="1">
        <v>1988.0</v>
      </c>
      <c r="H614" s="1">
        <v>141.0</v>
      </c>
      <c r="I614" s="1">
        <v>2.35E7</v>
      </c>
      <c r="J614" s="1" t="s">
        <v>15</v>
      </c>
    </row>
    <row r="615">
      <c r="A615" s="1" t="s">
        <v>1855</v>
      </c>
      <c r="B615" s="1" t="s">
        <v>1856</v>
      </c>
      <c r="C615" s="1" t="s">
        <v>1857</v>
      </c>
      <c r="D615" s="1" t="s">
        <v>1817</v>
      </c>
      <c r="E615" s="1" t="s">
        <v>1818</v>
      </c>
      <c r="F615" s="1">
        <v>56440.0</v>
      </c>
      <c r="G615" s="1">
        <v>1895.0</v>
      </c>
      <c r="H615" s="1">
        <v>98.0</v>
      </c>
      <c r="I615" s="1">
        <v>2.35E7</v>
      </c>
      <c r="J615" s="1" t="s">
        <v>15</v>
      </c>
    </row>
    <row r="616">
      <c r="A616" s="1" t="s">
        <v>1858</v>
      </c>
      <c r="B616" s="1" t="s">
        <v>1859</v>
      </c>
      <c r="C616" s="1" t="s">
        <v>1860</v>
      </c>
      <c r="D616" s="1" t="s">
        <v>1817</v>
      </c>
      <c r="E616" s="1" t="s">
        <v>1818</v>
      </c>
      <c r="F616" s="1">
        <v>71461.0</v>
      </c>
      <c r="G616" s="1">
        <v>2333.0</v>
      </c>
      <c r="H616" s="1">
        <v>110.0</v>
      </c>
      <c r="I616" s="1">
        <v>2.35E7</v>
      </c>
      <c r="J616" s="1" t="s">
        <v>15</v>
      </c>
    </row>
    <row r="617">
      <c r="A617" s="1" t="s">
        <v>1861</v>
      </c>
      <c r="B617" s="1" t="s">
        <v>1862</v>
      </c>
      <c r="C617" s="1" t="s">
        <v>1863</v>
      </c>
      <c r="D617" s="1" t="s">
        <v>1817</v>
      </c>
      <c r="E617" s="1" t="s">
        <v>1818</v>
      </c>
      <c r="F617" s="1">
        <v>95053.0</v>
      </c>
      <c r="G617" s="1">
        <v>3269.0</v>
      </c>
      <c r="H617" s="1">
        <v>113.0</v>
      </c>
      <c r="I617" s="1">
        <v>2.35E7</v>
      </c>
      <c r="J617" s="1" t="s">
        <v>15</v>
      </c>
    </row>
    <row r="618">
      <c r="A618" s="1" t="s">
        <v>1864</v>
      </c>
      <c r="B618" s="1" t="s">
        <v>1865</v>
      </c>
      <c r="C618" s="1" t="s">
        <v>1866</v>
      </c>
      <c r="D618" s="1" t="s">
        <v>1817</v>
      </c>
      <c r="E618" s="1" t="s">
        <v>1818</v>
      </c>
      <c r="F618" s="1">
        <v>133204.0</v>
      </c>
      <c r="G618" s="1">
        <v>4294.0</v>
      </c>
      <c r="H618" s="1">
        <v>187.0</v>
      </c>
      <c r="I618" s="1">
        <v>2.35E7</v>
      </c>
      <c r="J618" s="1" t="s">
        <v>15</v>
      </c>
    </row>
    <row r="619">
      <c r="A619" s="1" t="s">
        <v>1867</v>
      </c>
      <c r="B619" s="1" t="s">
        <v>1868</v>
      </c>
      <c r="C619" s="1" t="s">
        <v>1869</v>
      </c>
      <c r="D619" s="1" t="s">
        <v>1817</v>
      </c>
      <c r="E619" s="1" t="s">
        <v>1818</v>
      </c>
      <c r="F619" s="1">
        <v>87604.0</v>
      </c>
      <c r="G619" s="1">
        <v>3122.0</v>
      </c>
      <c r="H619" s="1">
        <v>112.0</v>
      </c>
      <c r="I619" s="1">
        <v>2.35E7</v>
      </c>
      <c r="J619" s="1" t="s">
        <v>15</v>
      </c>
    </row>
    <row r="620">
      <c r="A620" s="1" t="s">
        <v>1870</v>
      </c>
      <c r="B620" s="1" t="s">
        <v>1871</v>
      </c>
      <c r="C620" s="1" t="s">
        <v>1872</v>
      </c>
      <c r="D620" s="1" t="s">
        <v>1817</v>
      </c>
      <c r="E620" s="1" t="s">
        <v>1818</v>
      </c>
      <c r="F620" s="1">
        <v>71488.0</v>
      </c>
      <c r="G620" s="1">
        <v>2070.0</v>
      </c>
      <c r="H620" s="1">
        <v>33.0</v>
      </c>
      <c r="I620" s="1">
        <v>2.35E7</v>
      </c>
      <c r="J620" s="1" t="s">
        <v>15</v>
      </c>
    </row>
    <row r="621">
      <c r="A621" s="1" t="s">
        <v>1873</v>
      </c>
      <c r="B621" s="1" t="s">
        <v>1874</v>
      </c>
      <c r="C621" s="1" t="s">
        <v>1875</v>
      </c>
      <c r="D621" s="1" t="s">
        <v>1817</v>
      </c>
      <c r="E621" s="1" t="s">
        <v>1818</v>
      </c>
      <c r="F621" s="1">
        <v>114105.0</v>
      </c>
      <c r="G621" s="1">
        <v>3947.0</v>
      </c>
      <c r="H621" s="1">
        <v>192.0</v>
      </c>
      <c r="I621" s="1">
        <v>2.35E7</v>
      </c>
      <c r="J621" s="1" t="s">
        <v>15</v>
      </c>
    </row>
    <row r="622">
      <c r="A622" s="1" t="s">
        <v>1876</v>
      </c>
      <c r="B622" s="1" t="s">
        <v>1877</v>
      </c>
      <c r="C622" s="1" t="s">
        <v>1878</v>
      </c>
      <c r="D622" s="1" t="s">
        <v>1817</v>
      </c>
      <c r="E622" s="1" t="s">
        <v>1818</v>
      </c>
      <c r="F622" s="1">
        <v>104461.0</v>
      </c>
      <c r="G622" s="1">
        <v>3361.0</v>
      </c>
      <c r="H622" s="1">
        <v>98.0</v>
      </c>
      <c r="I622" s="1">
        <v>2.35E7</v>
      </c>
      <c r="J622" s="1" t="s">
        <v>15</v>
      </c>
    </row>
    <row r="623">
      <c r="A623" s="1" t="s">
        <v>1879</v>
      </c>
      <c r="B623" s="1" t="s">
        <v>1880</v>
      </c>
      <c r="C623" s="1" t="s">
        <v>1881</v>
      </c>
      <c r="D623" s="1" t="s">
        <v>1817</v>
      </c>
      <c r="E623" s="1" t="s">
        <v>1818</v>
      </c>
      <c r="F623" s="1">
        <v>15100.0</v>
      </c>
      <c r="G623" s="1">
        <v>603.0</v>
      </c>
      <c r="H623" s="1">
        <v>63.0</v>
      </c>
      <c r="I623" s="1">
        <v>2.35E7</v>
      </c>
      <c r="J623" s="1" t="s">
        <v>15</v>
      </c>
    </row>
    <row r="624">
      <c r="A624" s="1" t="s">
        <v>1882</v>
      </c>
      <c r="B624" s="1" t="s">
        <v>1883</v>
      </c>
      <c r="C624" s="1" t="s">
        <v>1884</v>
      </c>
      <c r="D624" s="1" t="s">
        <v>1817</v>
      </c>
      <c r="E624" s="1" t="s">
        <v>1818</v>
      </c>
      <c r="F624" s="1">
        <v>55536.0</v>
      </c>
      <c r="G624" s="1">
        <v>1122.0</v>
      </c>
      <c r="H624" s="1">
        <v>74.0</v>
      </c>
      <c r="I624" s="1">
        <v>2.35E7</v>
      </c>
      <c r="J624" s="1" t="s">
        <v>15</v>
      </c>
    </row>
    <row r="625">
      <c r="A625" s="1" t="s">
        <v>1885</v>
      </c>
      <c r="B625" s="1" t="s">
        <v>1886</v>
      </c>
      <c r="C625" s="1" t="s">
        <v>1887</v>
      </c>
      <c r="D625" s="1" t="s">
        <v>1817</v>
      </c>
      <c r="E625" s="1" t="s">
        <v>1818</v>
      </c>
      <c r="F625" s="1">
        <v>40176.0</v>
      </c>
      <c r="G625" s="1">
        <v>1050.0</v>
      </c>
      <c r="H625" s="1">
        <v>29.0</v>
      </c>
      <c r="I625" s="1">
        <v>2.35E7</v>
      </c>
      <c r="J625" s="1" t="s">
        <v>15</v>
      </c>
    </row>
    <row r="626">
      <c r="A626" s="1" t="s">
        <v>1888</v>
      </c>
      <c r="B626" s="1" t="s">
        <v>1889</v>
      </c>
      <c r="C626" s="1" t="s">
        <v>1890</v>
      </c>
      <c r="D626" s="1" t="s">
        <v>1817</v>
      </c>
      <c r="E626" s="1" t="s">
        <v>1818</v>
      </c>
      <c r="F626" s="1">
        <v>24059.0</v>
      </c>
      <c r="G626" s="1">
        <v>793.0</v>
      </c>
      <c r="H626" s="1">
        <v>14.0</v>
      </c>
      <c r="I626" s="1">
        <v>2.35E7</v>
      </c>
      <c r="J626" s="1" t="s">
        <v>15</v>
      </c>
    </row>
    <row r="627">
      <c r="A627" s="1" t="s">
        <v>1891</v>
      </c>
      <c r="B627" s="1" t="s">
        <v>1892</v>
      </c>
      <c r="C627" s="1" t="s">
        <v>1893</v>
      </c>
      <c r="D627" s="1" t="s">
        <v>1817</v>
      </c>
      <c r="E627" s="1" t="s">
        <v>1818</v>
      </c>
      <c r="F627" s="1">
        <v>92797.0</v>
      </c>
      <c r="G627" s="1">
        <v>3380.0</v>
      </c>
      <c r="H627" s="1">
        <v>205.0</v>
      </c>
      <c r="I627" s="1">
        <v>2.35E7</v>
      </c>
      <c r="J627" s="1" t="s">
        <v>15</v>
      </c>
    </row>
    <row r="628">
      <c r="A628" s="1" t="s">
        <v>1894</v>
      </c>
      <c r="B628" s="1" t="s">
        <v>1895</v>
      </c>
      <c r="C628" s="1" t="s">
        <v>1896</v>
      </c>
      <c r="D628" s="1" t="s">
        <v>1817</v>
      </c>
      <c r="E628" s="1" t="s">
        <v>1818</v>
      </c>
      <c r="F628" s="1">
        <v>43830.0</v>
      </c>
      <c r="G628" s="1">
        <v>1595.0</v>
      </c>
      <c r="H628" s="1">
        <v>84.0</v>
      </c>
      <c r="I628" s="1">
        <v>2.35E7</v>
      </c>
      <c r="J628" s="1" t="s">
        <v>15</v>
      </c>
    </row>
    <row r="629">
      <c r="A629" s="1" t="s">
        <v>1897</v>
      </c>
      <c r="B629" s="1" t="s">
        <v>1898</v>
      </c>
      <c r="C629" s="1" t="s">
        <v>1899</v>
      </c>
      <c r="D629" s="1" t="s">
        <v>1817</v>
      </c>
      <c r="E629" s="1" t="s">
        <v>1818</v>
      </c>
      <c r="F629" s="1">
        <v>51306.0</v>
      </c>
      <c r="G629" s="1">
        <v>1877.0</v>
      </c>
      <c r="H629" s="1">
        <v>143.0</v>
      </c>
      <c r="I629" s="1">
        <v>2.35E7</v>
      </c>
      <c r="J629" s="1" t="s">
        <v>15</v>
      </c>
    </row>
    <row r="630">
      <c r="A630" s="1" t="s">
        <v>1900</v>
      </c>
      <c r="B630" s="1" t="s">
        <v>1901</v>
      </c>
      <c r="C630" s="1" t="s">
        <v>1902</v>
      </c>
      <c r="D630" s="1" t="s">
        <v>1817</v>
      </c>
      <c r="E630" s="1" t="s">
        <v>1818</v>
      </c>
      <c r="F630" s="1">
        <v>40666.0</v>
      </c>
      <c r="G630" s="1">
        <v>1378.0</v>
      </c>
      <c r="H630" s="1">
        <v>97.0</v>
      </c>
      <c r="I630" s="1">
        <v>2.35E7</v>
      </c>
      <c r="J630" s="1" t="s">
        <v>15</v>
      </c>
    </row>
    <row r="631">
      <c r="A631" s="1" t="s">
        <v>1903</v>
      </c>
      <c r="B631" s="1" t="s">
        <v>1904</v>
      </c>
      <c r="C631" s="1" t="s">
        <v>1905</v>
      </c>
      <c r="D631" s="1" t="s">
        <v>1817</v>
      </c>
      <c r="E631" s="1" t="s">
        <v>1818</v>
      </c>
      <c r="F631" s="1">
        <v>29464.0</v>
      </c>
      <c r="G631" s="1">
        <v>1200.0</v>
      </c>
      <c r="H631" s="1">
        <v>86.0</v>
      </c>
      <c r="I631" s="1">
        <v>2.35E7</v>
      </c>
      <c r="J631" s="1" t="s">
        <v>15</v>
      </c>
    </row>
    <row r="632">
      <c r="A632" s="1" t="s">
        <v>1906</v>
      </c>
      <c r="B632" s="1" t="s">
        <v>1907</v>
      </c>
      <c r="C632" s="1" t="s">
        <v>1908</v>
      </c>
      <c r="D632" s="1" t="s">
        <v>1817</v>
      </c>
      <c r="E632" s="1" t="s">
        <v>1818</v>
      </c>
      <c r="F632" s="1">
        <v>40706.0</v>
      </c>
      <c r="G632" s="1">
        <v>1562.0</v>
      </c>
      <c r="H632" s="1">
        <v>62.0</v>
      </c>
      <c r="I632" s="1">
        <v>2.35E7</v>
      </c>
      <c r="J632" s="1" t="s">
        <v>15</v>
      </c>
    </row>
    <row r="633">
      <c r="A633" s="1" t="s">
        <v>1909</v>
      </c>
      <c r="B633" s="1" t="s">
        <v>1910</v>
      </c>
      <c r="C633" s="1" t="s">
        <v>1911</v>
      </c>
      <c r="D633" s="1" t="s">
        <v>1817</v>
      </c>
      <c r="E633" s="1" t="s">
        <v>1818</v>
      </c>
      <c r="F633" s="1">
        <v>42804.0</v>
      </c>
      <c r="G633" s="1">
        <v>1475.0</v>
      </c>
      <c r="H633" s="1">
        <v>127.0</v>
      </c>
      <c r="I633" s="1">
        <v>2.35E7</v>
      </c>
      <c r="J633" s="1" t="s">
        <v>15</v>
      </c>
    </row>
    <row r="634">
      <c r="A634" s="1" t="s">
        <v>1912</v>
      </c>
      <c r="B634" s="1" t="s">
        <v>1913</v>
      </c>
      <c r="C634" s="1" t="s">
        <v>1914</v>
      </c>
      <c r="D634" s="1" t="s">
        <v>1817</v>
      </c>
      <c r="E634" s="1" t="s">
        <v>1818</v>
      </c>
      <c r="F634" s="1">
        <v>63071.0</v>
      </c>
      <c r="G634" s="1">
        <v>2573.0</v>
      </c>
      <c r="H634" s="1">
        <v>223.0</v>
      </c>
      <c r="I634" s="1">
        <v>2.35E7</v>
      </c>
      <c r="J634" s="1" t="s">
        <v>15</v>
      </c>
    </row>
    <row r="635">
      <c r="A635" s="1" t="s">
        <v>1915</v>
      </c>
      <c r="B635" s="1" t="s">
        <v>1916</v>
      </c>
      <c r="C635" s="1" t="s">
        <v>1917</v>
      </c>
      <c r="D635" s="1" t="s">
        <v>1817</v>
      </c>
      <c r="E635" s="1" t="s">
        <v>1818</v>
      </c>
      <c r="F635" s="1">
        <v>33418.0</v>
      </c>
      <c r="G635" s="1">
        <v>616.0</v>
      </c>
      <c r="H635" s="1">
        <v>32.0</v>
      </c>
      <c r="I635" s="1">
        <v>2.35E7</v>
      </c>
      <c r="J635" s="1" t="s">
        <v>15</v>
      </c>
    </row>
    <row r="636">
      <c r="A636" s="1" t="s">
        <v>1918</v>
      </c>
      <c r="B636" s="1" t="s">
        <v>1919</v>
      </c>
      <c r="C636" s="1" t="s">
        <v>1920</v>
      </c>
      <c r="D636" s="1" t="s">
        <v>1817</v>
      </c>
      <c r="E636" s="1" t="s">
        <v>1818</v>
      </c>
      <c r="F636" s="1">
        <v>88130.0</v>
      </c>
      <c r="G636" s="1">
        <v>3285.0</v>
      </c>
      <c r="H636" s="1">
        <v>410.0</v>
      </c>
      <c r="I636" s="1">
        <v>2.35E7</v>
      </c>
      <c r="J636" s="1" t="s">
        <v>15</v>
      </c>
    </row>
    <row r="637">
      <c r="A637" s="1" t="s">
        <v>1921</v>
      </c>
      <c r="B637" s="1" t="s">
        <v>1922</v>
      </c>
      <c r="C637" s="1" t="s">
        <v>1923</v>
      </c>
      <c r="D637" s="1" t="s">
        <v>1817</v>
      </c>
      <c r="E637" s="1" t="s">
        <v>1818</v>
      </c>
      <c r="F637" s="1">
        <v>47175.0</v>
      </c>
      <c r="G637" s="1">
        <v>1372.0</v>
      </c>
      <c r="H637" s="1">
        <v>261.0</v>
      </c>
      <c r="I637" s="1">
        <v>2.35E7</v>
      </c>
      <c r="J637" s="1" t="s">
        <v>15</v>
      </c>
    </row>
    <row r="638">
      <c r="A638" s="1" t="s">
        <v>1924</v>
      </c>
      <c r="B638" s="1" t="s">
        <v>1925</v>
      </c>
      <c r="C638" s="1" t="s">
        <v>1926</v>
      </c>
      <c r="D638" s="1" t="s">
        <v>1817</v>
      </c>
      <c r="E638" s="1" t="s">
        <v>1818</v>
      </c>
      <c r="F638" s="1">
        <v>57509.0</v>
      </c>
      <c r="G638" s="1">
        <v>2265.0</v>
      </c>
      <c r="H638" s="1">
        <v>233.0</v>
      </c>
      <c r="I638" s="1">
        <v>2.35E7</v>
      </c>
      <c r="J638" s="1" t="s">
        <v>15</v>
      </c>
    </row>
    <row r="639">
      <c r="A639" s="1" t="s">
        <v>1927</v>
      </c>
      <c r="B639" s="1" t="s">
        <v>1928</v>
      </c>
      <c r="C639" s="1" t="s">
        <v>1929</v>
      </c>
      <c r="D639" s="1" t="s">
        <v>1817</v>
      </c>
      <c r="E639" s="1" t="s">
        <v>1818</v>
      </c>
      <c r="F639" s="1">
        <v>69862.0</v>
      </c>
      <c r="G639" s="1">
        <v>1718.0</v>
      </c>
      <c r="H639" s="1">
        <v>244.0</v>
      </c>
      <c r="I639" s="1">
        <v>2.35E7</v>
      </c>
      <c r="J639" s="1" t="s">
        <v>15</v>
      </c>
    </row>
    <row r="640">
      <c r="A640" s="1" t="s">
        <v>1930</v>
      </c>
      <c r="B640" s="1" t="s">
        <v>1931</v>
      </c>
      <c r="C640" s="1" t="s">
        <v>1932</v>
      </c>
      <c r="D640" s="1" t="s">
        <v>1817</v>
      </c>
      <c r="E640" s="1" t="s">
        <v>1818</v>
      </c>
      <c r="F640" s="1">
        <v>130287.0</v>
      </c>
      <c r="G640" s="1">
        <v>5495.0</v>
      </c>
      <c r="H640" s="1">
        <v>339.0</v>
      </c>
      <c r="I640" s="1">
        <v>2.35E7</v>
      </c>
      <c r="J640" s="1" t="s">
        <v>15</v>
      </c>
    </row>
    <row r="641">
      <c r="A641" s="1" t="s">
        <v>1933</v>
      </c>
      <c r="B641" s="1" t="s">
        <v>1934</v>
      </c>
      <c r="C641" s="1" t="s">
        <v>1935</v>
      </c>
      <c r="D641" s="1" t="s">
        <v>1817</v>
      </c>
      <c r="E641" s="1" t="s">
        <v>1818</v>
      </c>
      <c r="F641" s="1">
        <v>24182.0</v>
      </c>
      <c r="G641" s="1">
        <v>753.0</v>
      </c>
      <c r="H641" s="1">
        <v>119.0</v>
      </c>
      <c r="I641" s="1">
        <v>2.35E7</v>
      </c>
      <c r="J641" s="1" t="s">
        <v>15</v>
      </c>
    </row>
    <row r="642">
      <c r="A642" s="1" t="s">
        <v>1936</v>
      </c>
      <c r="B642" s="1" t="s">
        <v>1937</v>
      </c>
      <c r="C642" s="1" t="s">
        <v>1938</v>
      </c>
      <c r="D642" s="1" t="s">
        <v>1817</v>
      </c>
      <c r="E642" s="1" t="s">
        <v>1818</v>
      </c>
      <c r="F642" s="1">
        <v>162271.0</v>
      </c>
      <c r="G642" s="1">
        <v>1896.0</v>
      </c>
      <c r="H642" s="1">
        <v>302.0</v>
      </c>
      <c r="I642" s="1">
        <v>2.35E7</v>
      </c>
      <c r="J642" s="1" t="s">
        <v>15</v>
      </c>
    </row>
    <row r="643">
      <c r="A643" s="1" t="s">
        <v>1939</v>
      </c>
      <c r="B643" s="1" t="s">
        <v>1940</v>
      </c>
      <c r="C643" s="1" t="s">
        <v>1941</v>
      </c>
      <c r="D643" s="1" t="s">
        <v>1817</v>
      </c>
      <c r="E643" s="1" t="s">
        <v>1818</v>
      </c>
      <c r="F643" s="1">
        <v>139660.0</v>
      </c>
      <c r="G643" s="1">
        <v>6736.0</v>
      </c>
      <c r="H643" s="1">
        <v>394.0</v>
      </c>
      <c r="I643" s="1">
        <v>2.35E7</v>
      </c>
      <c r="J643" s="1" t="s">
        <v>15</v>
      </c>
    </row>
    <row r="644">
      <c r="A644" s="1" t="s">
        <v>1942</v>
      </c>
      <c r="B644" s="1" t="s">
        <v>1943</v>
      </c>
      <c r="C644" s="1" t="s">
        <v>1944</v>
      </c>
      <c r="D644" s="1" t="s">
        <v>1817</v>
      </c>
      <c r="E644" s="1" t="s">
        <v>1818</v>
      </c>
      <c r="F644" s="1">
        <v>48981.0</v>
      </c>
      <c r="G644" s="1">
        <v>1187.0</v>
      </c>
      <c r="H644" s="1">
        <v>356.0</v>
      </c>
      <c r="I644" s="1">
        <v>2.35E7</v>
      </c>
      <c r="J644" s="1" t="s">
        <v>15</v>
      </c>
    </row>
    <row r="645">
      <c r="A645" s="1" t="s">
        <v>1945</v>
      </c>
      <c r="B645" s="1" t="s">
        <v>1946</v>
      </c>
      <c r="C645" s="1" t="s">
        <v>1947</v>
      </c>
      <c r="D645" s="1" t="s">
        <v>1817</v>
      </c>
      <c r="E645" s="1" t="s">
        <v>1818</v>
      </c>
      <c r="F645" s="1">
        <v>103650.0</v>
      </c>
      <c r="G645" s="1">
        <v>2727.0</v>
      </c>
      <c r="H645" s="1">
        <v>776.0</v>
      </c>
      <c r="I645" s="1">
        <v>2.35E7</v>
      </c>
      <c r="J645" s="1" t="s">
        <v>15</v>
      </c>
    </row>
    <row r="646">
      <c r="A646" s="1" t="s">
        <v>1948</v>
      </c>
      <c r="B646" s="1" t="s">
        <v>1949</v>
      </c>
      <c r="C646" s="1" t="s">
        <v>1950</v>
      </c>
      <c r="D646" s="1" t="s">
        <v>1817</v>
      </c>
      <c r="E646" s="1" t="s">
        <v>1818</v>
      </c>
      <c r="F646" s="1">
        <v>40629.0</v>
      </c>
      <c r="G646" s="1">
        <v>1096.0</v>
      </c>
      <c r="H646" s="1">
        <v>207.0</v>
      </c>
      <c r="I646" s="1">
        <v>2.35E7</v>
      </c>
      <c r="J646" s="1" t="s">
        <v>15</v>
      </c>
    </row>
    <row r="647">
      <c r="A647" s="1" t="s">
        <v>1951</v>
      </c>
      <c r="B647" s="1" t="s">
        <v>1952</v>
      </c>
      <c r="C647" s="1" t="s">
        <v>1953</v>
      </c>
      <c r="D647" s="1" t="s">
        <v>1817</v>
      </c>
      <c r="E647" s="1" t="s">
        <v>1818</v>
      </c>
      <c r="F647" s="1">
        <v>44902.0</v>
      </c>
      <c r="G647" s="1">
        <v>994.0</v>
      </c>
      <c r="H647" s="1">
        <v>26.0</v>
      </c>
      <c r="I647" s="1">
        <v>2.35E7</v>
      </c>
      <c r="J647" s="1" t="s">
        <v>15</v>
      </c>
    </row>
    <row r="648">
      <c r="A648" s="1" t="s">
        <v>1954</v>
      </c>
      <c r="B648" s="1" t="s">
        <v>1955</v>
      </c>
      <c r="C648" s="1" t="s">
        <v>1956</v>
      </c>
      <c r="D648" s="1" t="s">
        <v>1817</v>
      </c>
      <c r="E648" s="1" t="s">
        <v>1818</v>
      </c>
      <c r="F648" s="1">
        <v>45343.0</v>
      </c>
      <c r="G648" s="1">
        <v>1628.0</v>
      </c>
      <c r="H648" s="1">
        <v>116.0</v>
      </c>
      <c r="I648" s="1">
        <v>2.35E7</v>
      </c>
      <c r="J648" s="1" t="s">
        <v>15</v>
      </c>
    </row>
    <row r="649">
      <c r="A649" s="1" t="s">
        <v>1957</v>
      </c>
      <c r="B649" s="1" t="s">
        <v>1958</v>
      </c>
      <c r="C649" s="1" t="s">
        <v>1959</v>
      </c>
      <c r="D649" s="1" t="s">
        <v>1817</v>
      </c>
      <c r="E649" s="1" t="s">
        <v>1818</v>
      </c>
      <c r="F649" s="1">
        <v>28056.0</v>
      </c>
      <c r="G649" s="1">
        <v>621.0</v>
      </c>
      <c r="H649" s="1">
        <v>80.0</v>
      </c>
      <c r="I649" s="1">
        <v>2.35E7</v>
      </c>
      <c r="J649" s="1" t="s">
        <v>15</v>
      </c>
    </row>
    <row r="650">
      <c r="A650" s="1" t="s">
        <v>1960</v>
      </c>
      <c r="B650" s="1" t="s">
        <v>1961</v>
      </c>
      <c r="C650" s="1" t="s">
        <v>1962</v>
      </c>
      <c r="D650" s="1" t="s">
        <v>1817</v>
      </c>
      <c r="E650" s="1" t="s">
        <v>1818</v>
      </c>
      <c r="F650" s="1">
        <v>38648.0</v>
      </c>
      <c r="G650" s="1">
        <v>999.0</v>
      </c>
      <c r="H650" s="1">
        <v>59.0</v>
      </c>
      <c r="I650" s="1">
        <v>2.35E7</v>
      </c>
      <c r="J650" s="1" t="s">
        <v>15</v>
      </c>
    </row>
    <row r="651">
      <c r="A651" s="1" t="s">
        <v>1963</v>
      </c>
      <c r="B651" s="1" t="s">
        <v>1964</v>
      </c>
      <c r="C651" s="1" t="s">
        <v>1965</v>
      </c>
      <c r="D651" s="1" t="s">
        <v>1817</v>
      </c>
      <c r="E651" s="1" t="s">
        <v>1818</v>
      </c>
      <c r="F651" s="1">
        <v>44267.0</v>
      </c>
      <c r="G651" s="1">
        <v>830.0</v>
      </c>
      <c r="H651" s="1">
        <v>9.0</v>
      </c>
      <c r="I651" s="1">
        <v>2.35E7</v>
      </c>
      <c r="J651" s="1" t="s">
        <v>15</v>
      </c>
    </row>
    <row r="652">
      <c r="A652" s="1" t="s">
        <v>1966</v>
      </c>
      <c r="B652" s="1" t="s">
        <v>1967</v>
      </c>
      <c r="C652" s="1" t="s">
        <v>1968</v>
      </c>
      <c r="D652" s="1" t="s">
        <v>1817</v>
      </c>
      <c r="E652" s="1" t="s">
        <v>1818</v>
      </c>
      <c r="F652" s="1">
        <v>46904.0</v>
      </c>
      <c r="G652" s="1">
        <v>983.0</v>
      </c>
      <c r="H652" s="1">
        <v>59.0</v>
      </c>
      <c r="I652" s="1">
        <v>2.35E7</v>
      </c>
      <c r="J652" s="1" t="s">
        <v>15</v>
      </c>
    </row>
    <row r="653">
      <c r="A653" s="1" t="s">
        <v>1969</v>
      </c>
      <c r="B653" s="1" t="s">
        <v>1970</v>
      </c>
      <c r="C653" s="1" t="s">
        <v>1971</v>
      </c>
      <c r="D653" s="1" t="s">
        <v>1817</v>
      </c>
      <c r="E653" s="1" t="s">
        <v>1818</v>
      </c>
      <c r="F653" s="1">
        <v>44382.0</v>
      </c>
      <c r="G653" s="1">
        <v>1003.0</v>
      </c>
      <c r="H653" s="1">
        <v>13.0</v>
      </c>
      <c r="I653" s="1">
        <v>2.35E7</v>
      </c>
      <c r="J653" s="1" t="s">
        <v>15</v>
      </c>
    </row>
    <row r="654">
      <c r="A654" s="1" t="s">
        <v>1972</v>
      </c>
      <c r="B654" s="1" t="s">
        <v>1973</v>
      </c>
      <c r="C654" s="1" t="s">
        <v>1974</v>
      </c>
      <c r="D654" s="1" t="s">
        <v>1817</v>
      </c>
      <c r="E654" s="1" t="s">
        <v>1818</v>
      </c>
      <c r="F654" s="1">
        <v>58335.0</v>
      </c>
      <c r="G654" s="1">
        <v>1151.0</v>
      </c>
      <c r="H654" s="1">
        <v>9.0</v>
      </c>
      <c r="I654" s="1">
        <v>2.35E7</v>
      </c>
      <c r="J654" s="1" t="s">
        <v>15</v>
      </c>
    </row>
    <row r="655">
      <c r="A655" s="1" t="s">
        <v>1975</v>
      </c>
      <c r="B655" s="1" t="s">
        <v>1976</v>
      </c>
      <c r="C655" s="1" t="s">
        <v>1977</v>
      </c>
      <c r="D655" s="1" t="s">
        <v>1817</v>
      </c>
      <c r="E655" s="1" t="s">
        <v>1818</v>
      </c>
      <c r="F655" s="1">
        <v>31198.0</v>
      </c>
      <c r="G655" s="1">
        <v>816.0</v>
      </c>
      <c r="H655" s="1">
        <v>69.0</v>
      </c>
      <c r="I655" s="1">
        <v>2.35E7</v>
      </c>
      <c r="J655" s="1" t="s">
        <v>15</v>
      </c>
    </row>
    <row r="656">
      <c r="A656" s="1" t="s">
        <v>1978</v>
      </c>
      <c r="B656" s="1" t="s">
        <v>1979</v>
      </c>
      <c r="C656" s="1" t="s">
        <v>1980</v>
      </c>
      <c r="D656" s="1" t="s">
        <v>1817</v>
      </c>
      <c r="E656" s="1" t="s">
        <v>1818</v>
      </c>
      <c r="F656" s="1">
        <v>55999.0</v>
      </c>
      <c r="G656" s="1">
        <v>775.0</v>
      </c>
      <c r="H656" s="1">
        <v>48.0</v>
      </c>
      <c r="I656" s="1">
        <v>2.35E7</v>
      </c>
      <c r="J656" s="1" t="s">
        <v>15</v>
      </c>
    </row>
    <row r="657">
      <c r="A657" s="1" t="s">
        <v>1981</v>
      </c>
      <c r="B657" s="1" t="s">
        <v>1982</v>
      </c>
      <c r="C657" s="1" t="s">
        <v>1983</v>
      </c>
      <c r="D657" s="1" t="s">
        <v>1817</v>
      </c>
      <c r="E657" s="1" t="s">
        <v>1818</v>
      </c>
      <c r="F657" s="1">
        <v>36238.0</v>
      </c>
      <c r="G657" s="1">
        <v>1012.0</v>
      </c>
      <c r="H657" s="1">
        <v>9.0</v>
      </c>
      <c r="I657" s="1">
        <v>2.35E7</v>
      </c>
      <c r="J657" s="1" t="s">
        <v>15</v>
      </c>
    </row>
    <row r="658">
      <c r="A658" s="1" t="s">
        <v>1984</v>
      </c>
      <c r="B658" s="1" t="s">
        <v>1985</v>
      </c>
      <c r="C658" s="1" t="s">
        <v>1986</v>
      </c>
      <c r="D658" s="1" t="s">
        <v>1817</v>
      </c>
      <c r="E658" s="1" t="s">
        <v>1818</v>
      </c>
      <c r="F658" s="1">
        <v>40135.0</v>
      </c>
      <c r="G658" s="1">
        <v>1152.0</v>
      </c>
      <c r="H658" s="1">
        <v>228.0</v>
      </c>
      <c r="I658" s="1">
        <v>2.35E7</v>
      </c>
      <c r="J658" s="1" t="s">
        <v>15</v>
      </c>
    </row>
    <row r="659">
      <c r="A659" s="1" t="s">
        <v>1987</v>
      </c>
      <c r="B659" s="1" t="s">
        <v>1988</v>
      </c>
      <c r="C659" s="1" t="s">
        <v>1989</v>
      </c>
      <c r="D659" s="1" t="s">
        <v>1817</v>
      </c>
      <c r="E659" s="1" t="s">
        <v>1818</v>
      </c>
      <c r="F659" s="1">
        <v>35452.0</v>
      </c>
      <c r="G659" s="1">
        <v>639.0</v>
      </c>
      <c r="H659" s="1">
        <v>24.0</v>
      </c>
      <c r="I659" s="1">
        <v>2.35E7</v>
      </c>
      <c r="J659" s="1" t="s">
        <v>15</v>
      </c>
    </row>
    <row r="660">
      <c r="A660" s="1" t="s">
        <v>1990</v>
      </c>
      <c r="B660" s="1" t="s">
        <v>1991</v>
      </c>
      <c r="C660" s="1" t="s">
        <v>1992</v>
      </c>
      <c r="D660" s="1" t="s">
        <v>1817</v>
      </c>
      <c r="E660" s="1" t="s">
        <v>1818</v>
      </c>
      <c r="F660" s="1">
        <v>43987.0</v>
      </c>
      <c r="G660" s="1">
        <v>1218.0</v>
      </c>
      <c r="H660" s="1">
        <v>278.0</v>
      </c>
      <c r="I660" s="1">
        <v>2.35E7</v>
      </c>
      <c r="J660" s="1" t="s">
        <v>15</v>
      </c>
    </row>
    <row r="661">
      <c r="A661" s="1" t="s">
        <v>1993</v>
      </c>
      <c r="B661" s="1" t="s">
        <v>1994</v>
      </c>
      <c r="C661" s="1" t="s">
        <v>1995</v>
      </c>
      <c r="D661" s="1" t="s">
        <v>1817</v>
      </c>
      <c r="E661" s="1" t="s">
        <v>1818</v>
      </c>
      <c r="F661" s="1">
        <v>30274.0</v>
      </c>
      <c r="G661" s="1">
        <v>672.0</v>
      </c>
      <c r="H661" s="1">
        <v>11.0</v>
      </c>
      <c r="I661" s="1">
        <v>2.35E7</v>
      </c>
      <c r="J661" s="1" t="s">
        <v>15</v>
      </c>
    </row>
    <row r="662">
      <c r="A662" s="1" t="s">
        <v>1996</v>
      </c>
      <c r="B662" s="1" t="s">
        <v>1997</v>
      </c>
      <c r="C662" s="1" t="s">
        <v>1998</v>
      </c>
      <c r="D662" s="1" t="s">
        <v>1817</v>
      </c>
      <c r="E662" s="1" t="s">
        <v>1818</v>
      </c>
      <c r="F662" s="1">
        <v>33228.0</v>
      </c>
      <c r="G662" s="1">
        <v>912.0</v>
      </c>
      <c r="H662" s="1">
        <v>155.0</v>
      </c>
      <c r="I662" s="1">
        <v>2.35E7</v>
      </c>
      <c r="J662" s="1" t="s">
        <v>15</v>
      </c>
    </row>
    <row r="663">
      <c r="A663" s="1" t="s">
        <v>1999</v>
      </c>
      <c r="B663" s="1" t="s">
        <v>2000</v>
      </c>
      <c r="C663" s="1" t="s">
        <v>2001</v>
      </c>
      <c r="D663" s="1" t="s">
        <v>1817</v>
      </c>
      <c r="E663" s="1" t="s">
        <v>1818</v>
      </c>
      <c r="F663" s="1">
        <v>29101.0</v>
      </c>
      <c r="G663" s="1">
        <v>531.0</v>
      </c>
      <c r="H663" s="1">
        <v>18.0</v>
      </c>
      <c r="I663" s="1">
        <v>2.35E7</v>
      </c>
      <c r="J663" s="1" t="s">
        <v>15</v>
      </c>
    </row>
    <row r="664">
      <c r="A664" s="1" t="s">
        <v>2002</v>
      </c>
      <c r="B664" s="1" t="s">
        <v>2003</v>
      </c>
      <c r="C664" s="1" t="s">
        <v>2004</v>
      </c>
      <c r="D664" s="1" t="s">
        <v>1817</v>
      </c>
      <c r="E664" s="1" t="s">
        <v>1818</v>
      </c>
      <c r="F664" s="1">
        <v>25056.0</v>
      </c>
      <c r="G664" s="1">
        <v>648.0</v>
      </c>
      <c r="H664" s="1">
        <v>6.0</v>
      </c>
      <c r="I664" s="1">
        <v>2.35E7</v>
      </c>
      <c r="J664" s="1" t="s">
        <v>15</v>
      </c>
    </row>
    <row r="665">
      <c r="A665" s="1" t="s">
        <v>2005</v>
      </c>
      <c r="B665" s="1" t="s">
        <v>2006</v>
      </c>
      <c r="C665" s="1" t="s">
        <v>2007</v>
      </c>
      <c r="D665" s="1" t="s">
        <v>1817</v>
      </c>
      <c r="E665" s="1" t="s">
        <v>1818</v>
      </c>
      <c r="F665" s="1">
        <v>40992.0</v>
      </c>
      <c r="G665" s="1">
        <v>1038.0</v>
      </c>
      <c r="H665" s="1">
        <v>63.0</v>
      </c>
      <c r="I665" s="1">
        <v>2.35E7</v>
      </c>
      <c r="J665" s="1" t="s">
        <v>15</v>
      </c>
    </row>
    <row r="666">
      <c r="A666" s="1" t="s">
        <v>2008</v>
      </c>
      <c r="B666" s="1" t="s">
        <v>2009</v>
      </c>
      <c r="C666" s="1" t="s">
        <v>2010</v>
      </c>
      <c r="D666" s="1" t="s">
        <v>1817</v>
      </c>
      <c r="E666" s="1" t="s">
        <v>1818</v>
      </c>
      <c r="F666" s="1">
        <v>29826.0</v>
      </c>
      <c r="G666" s="1">
        <v>655.0</v>
      </c>
      <c r="H666" s="1">
        <v>7.0</v>
      </c>
      <c r="I666" s="1">
        <v>2.35E7</v>
      </c>
      <c r="J666" s="1" t="s">
        <v>15</v>
      </c>
    </row>
    <row r="667">
      <c r="A667" s="1" t="s">
        <v>2011</v>
      </c>
      <c r="B667" s="1" t="s">
        <v>2012</v>
      </c>
      <c r="C667" s="1" t="s">
        <v>2013</v>
      </c>
      <c r="D667" s="1" t="s">
        <v>1817</v>
      </c>
      <c r="E667" s="1" t="s">
        <v>1818</v>
      </c>
      <c r="F667" s="1">
        <v>45980.0</v>
      </c>
      <c r="G667" s="1">
        <v>1230.0</v>
      </c>
      <c r="H667" s="1">
        <v>106.0</v>
      </c>
      <c r="I667" s="1">
        <v>2.35E7</v>
      </c>
      <c r="J667" s="1" t="s">
        <v>15</v>
      </c>
    </row>
    <row r="668">
      <c r="A668" s="1" t="s">
        <v>2014</v>
      </c>
      <c r="B668" s="1" t="s">
        <v>2015</v>
      </c>
      <c r="C668" s="1" t="s">
        <v>2016</v>
      </c>
      <c r="D668" s="1" t="s">
        <v>1817</v>
      </c>
      <c r="E668" s="1" t="s">
        <v>1818</v>
      </c>
      <c r="F668" s="1">
        <v>51856.0</v>
      </c>
      <c r="G668" s="1">
        <v>746.0</v>
      </c>
      <c r="H668" s="1">
        <v>17.0</v>
      </c>
      <c r="I668" s="1">
        <v>2.35E7</v>
      </c>
      <c r="J668" s="1" t="s">
        <v>15</v>
      </c>
    </row>
    <row r="669">
      <c r="A669" s="1" t="s">
        <v>2017</v>
      </c>
      <c r="B669" s="1" t="s">
        <v>2018</v>
      </c>
      <c r="C669" s="1" t="s">
        <v>2019</v>
      </c>
      <c r="D669" s="1" t="s">
        <v>1817</v>
      </c>
      <c r="E669" s="1" t="s">
        <v>1818</v>
      </c>
      <c r="F669" s="1">
        <v>39281.0</v>
      </c>
      <c r="G669" s="1">
        <v>829.0</v>
      </c>
      <c r="H669" s="1">
        <v>22.0</v>
      </c>
      <c r="I669" s="1">
        <v>2.35E7</v>
      </c>
      <c r="J669" s="1" t="s">
        <v>15</v>
      </c>
    </row>
    <row r="670">
      <c r="A670" s="1" t="s">
        <v>2020</v>
      </c>
      <c r="B670" s="1" t="s">
        <v>2021</v>
      </c>
      <c r="C670" s="1" t="s">
        <v>2022</v>
      </c>
      <c r="D670" s="1" t="s">
        <v>1817</v>
      </c>
      <c r="E670" s="1" t="s">
        <v>1818</v>
      </c>
      <c r="F670" s="1">
        <v>37002.0</v>
      </c>
      <c r="G670" s="1">
        <v>879.0</v>
      </c>
      <c r="H670" s="1">
        <v>344.0</v>
      </c>
      <c r="I670" s="1">
        <v>2.35E7</v>
      </c>
      <c r="J670" s="1" t="s">
        <v>15</v>
      </c>
    </row>
    <row r="671">
      <c r="A671" s="1" t="s">
        <v>2023</v>
      </c>
      <c r="B671" s="1" t="s">
        <v>2024</v>
      </c>
      <c r="C671" s="1" t="s">
        <v>2025</v>
      </c>
      <c r="D671" s="1" t="s">
        <v>1817</v>
      </c>
      <c r="E671" s="1" t="s">
        <v>1818</v>
      </c>
      <c r="F671" s="1">
        <v>35567.0</v>
      </c>
      <c r="G671" s="1">
        <v>808.0</v>
      </c>
      <c r="H671" s="1">
        <v>4.0</v>
      </c>
      <c r="I671" s="1">
        <v>2.35E7</v>
      </c>
      <c r="J671" s="1" t="s">
        <v>15</v>
      </c>
    </row>
    <row r="672">
      <c r="A672" s="1" t="s">
        <v>2026</v>
      </c>
      <c r="B672" s="1" t="s">
        <v>2027</v>
      </c>
      <c r="C672" s="1" t="s">
        <v>2028</v>
      </c>
      <c r="D672" s="1" t="s">
        <v>1817</v>
      </c>
      <c r="E672" s="1" t="s">
        <v>1818</v>
      </c>
      <c r="F672" s="1">
        <v>35022.0</v>
      </c>
      <c r="G672" s="1">
        <v>586.0</v>
      </c>
      <c r="H672" s="1">
        <v>26.0</v>
      </c>
      <c r="I672" s="1">
        <v>2.35E7</v>
      </c>
      <c r="J672" s="1" t="s">
        <v>15</v>
      </c>
    </row>
    <row r="673">
      <c r="A673" s="1" t="s">
        <v>2029</v>
      </c>
      <c r="B673" s="1" t="s">
        <v>2030</v>
      </c>
      <c r="C673" s="1" t="s">
        <v>2031</v>
      </c>
      <c r="D673" s="1" t="s">
        <v>1817</v>
      </c>
      <c r="E673" s="1" t="s">
        <v>1818</v>
      </c>
      <c r="F673" s="1">
        <v>29858.0</v>
      </c>
      <c r="G673" s="1">
        <v>682.0</v>
      </c>
      <c r="H673" s="1">
        <v>4.0</v>
      </c>
      <c r="I673" s="1">
        <v>2.35E7</v>
      </c>
      <c r="J673" s="1" t="s">
        <v>15</v>
      </c>
    </row>
    <row r="674">
      <c r="A674" s="1" t="s">
        <v>2032</v>
      </c>
      <c r="B674" s="1" t="s">
        <v>2033</v>
      </c>
      <c r="C674" s="1" t="s">
        <v>2034</v>
      </c>
      <c r="D674" s="1" t="s">
        <v>1817</v>
      </c>
      <c r="E674" s="1" t="s">
        <v>1818</v>
      </c>
      <c r="F674" s="1">
        <v>14583.0</v>
      </c>
      <c r="G674" s="1">
        <v>508.0</v>
      </c>
      <c r="H674" s="1">
        <v>21.0</v>
      </c>
      <c r="I674" s="1">
        <v>2.35E7</v>
      </c>
      <c r="J674" s="1" t="s">
        <v>15</v>
      </c>
    </row>
    <row r="675">
      <c r="A675" s="1" t="s">
        <v>2035</v>
      </c>
      <c r="B675" s="1" t="s">
        <v>2036</v>
      </c>
      <c r="C675" s="1" t="s">
        <v>2037</v>
      </c>
      <c r="D675" s="1" t="s">
        <v>1817</v>
      </c>
      <c r="E675" s="1" t="s">
        <v>1818</v>
      </c>
      <c r="F675" s="1">
        <v>65238.0</v>
      </c>
      <c r="G675" s="1">
        <v>1377.0</v>
      </c>
      <c r="H675" s="1">
        <v>38.0</v>
      </c>
      <c r="I675" s="1">
        <v>2.35E7</v>
      </c>
      <c r="J675" s="1" t="s">
        <v>15</v>
      </c>
    </row>
    <row r="676">
      <c r="A676" s="1" t="s">
        <v>2038</v>
      </c>
      <c r="B676" s="1" t="s">
        <v>2039</v>
      </c>
      <c r="C676" s="1" t="s">
        <v>2040</v>
      </c>
      <c r="D676" s="1" t="s">
        <v>1817</v>
      </c>
      <c r="E676" s="1" t="s">
        <v>1818</v>
      </c>
      <c r="F676" s="1">
        <v>45459.0</v>
      </c>
      <c r="G676" s="1">
        <v>1239.0</v>
      </c>
      <c r="H676" s="1">
        <v>31.0</v>
      </c>
      <c r="I676" s="1">
        <v>2.35E7</v>
      </c>
      <c r="J676" s="1" t="s">
        <v>15</v>
      </c>
    </row>
    <row r="677">
      <c r="A677" s="1" t="s">
        <v>2041</v>
      </c>
      <c r="B677" s="1" t="s">
        <v>2042</v>
      </c>
      <c r="C677" s="1" t="s">
        <v>2043</v>
      </c>
      <c r="D677" s="1" t="s">
        <v>1817</v>
      </c>
      <c r="E677" s="1" t="s">
        <v>1818</v>
      </c>
      <c r="F677" s="1">
        <v>44549.0</v>
      </c>
      <c r="G677" s="1">
        <v>1366.0</v>
      </c>
      <c r="H677" s="1">
        <v>63.0</v>
      </c>
      <c r="I677" s="1">
        <v>2.35E7</v>
      </c>
      <c r="J677" s="1" t="s">
        <v>15</v>
      </c>
    </row>
    <row r="678">
      <c r="A678" s="1" t="s">
        <v>2044</v>
      </c>
      <c r="B678" s="1" t="s">
        <v>2045</v>
      </c>
      <c r="C678" s="1" t="s">
        <v>2046</v>
      </c>
      <c r="D678" s="1" t="s">
        <v>1817</v>
      </c>
      <c r="E678" s="1" t="s">
        <v>1818</v>
      </c>
      <c r="F678" s="1">
        <v>51586.0</v>
      </c>
      <c r="G678" s="1">
        <v>932.0</v>
      </c>
      <c r="H678" s="1">
        <v>16.0</v>
      </c>
      <c r="I678" s="1">
        <v>2.35E7</v>
      </c>
      <c r="J678" s="1" t="s">
        <v>15</v>
      </c>
    </row>
    <row r="679">
      <c r="A679" s="1" t="s">
        <v>2047</v>
      </c>
      <c r="B679" s="1" t="s">
        <v>2048</v>
      </c>
      <c r="C679" s="1" t="s">
        <v>2049</v>
      </c>
      <c r="D679" s="1" t="s">
        <v>1817</v>
      </c>
      <c r="E679" s="1" t="s">
        <v>1818</v>
      </c>
      <c r="F679" s="1">
        <v>41115.0</v>
      </c>
      <c r="G679" s="1">
        <v>892.0</v>
      </c>
      <c r="H679" s="1">
        <v>9.0</v>
      </c>
      <c r="I679" s="1">
        <v>2.35E7</v>
      </c>
      <c r="J679" s="1" t="s">
        <v>15</v>
      </c>
    </row>
    <row r="680">
      <c r="A680" s="1" t="s">
        <v>2050</v>
      </c>
      <c r="B680" s="1" t="s">
        <v>2051</v>
      </c>
      <c r="C680" s="1" t="s">
        <v>2052</v>
      </c>
      <c r="D680" s="1" t="s">
        <v>1817</v>
      </c>
      <c r="E680" s="1" t="s">
        <v>1818</v>
      </c>
      <c r="F680" s="1">
        <v>177932.0</v>
      </c>
      <c r="G680" s="1">
        <v>5518.0</v>
      </c>
      <c r="H680" s="1">
        <v>214.0</v>
      </c>
      <c r="I680" s="1">
        <v>2.35E7</v>
      </c>
      <c r="J680" s="1" t="s">
        <v>15</v>
      </c>
    </row>
    <row r="681">
      <c r="A681" s="1" t="s">
        <v>2053</v>
      </c>
      <c r="B681" s="1" t="s">
        <v>2054</v>
      </c>
      <c r="C681" s="1" t="s">
        <v>2055</v>
      </c>
      <c r="D681" s="1" t="s">
        <v>1817</v>
      </c>
      <c r="E681" s="1" t="s">
        <v>1818</v>
      </c>
      <c r="F681" s="1">
        <v>43344.0</v>
      </c>
      <c r="G681" s="1">
        <v>805.0</v>
      </c>
      <c r="H681" s="1">
        <v>6.0</v>
      </c>
      <c r="I681" s="1">
        <v>2.35E7</v>
      </c>
      <c r="J681" s="1" t="s">
        <v>15</v>
      </c>
    </row>
    <row r="682">
      <c r="A682" s="1" t="s">
        <v>2056</v>
      </c>
      <c r="B682" s="1" t="s">
        <v>2057</v>
      </c>
      <c r="C682" s="1" t="s">
        <v>2058</v>
      </c>
      <c r="D682" s="1" t="s">
        <v>1817</v>
      </c>
      <c r="E682" s="1" t="s">
        <v>1818</v>
      </c>
      <c r="F682" s="1">
        <v>39247.0</v>
      </c>
      <c r="G682" s="1">
        <v>849.0</v>
      </c>
      <c r="H682" s="1">
        <v>80.0</v>
      </c>
      <c r="I682" s="1">
        <v>2.35E7</v>
      </c>
      <c r="J682" s="1" t="s">
        <v>15</v>
      </c>
    </row>
    <row r="683">
      <c r="A683" s="1" t="s">
        <v>2059</v>
      </c>
      <c r="B683" s="1" t="s">
        <v>2060</v>
      </c>
      <c r="C683" s="1" t="s">
        <v>2061</v>
      </c>
      <c r="D683" s="1" t="s">
        <v>1817</v>
      </c>
      <c r="E683" s="1" t="s">
        <v>1818</v>
      </c>
      <c r="F683" s="1">
        <v>61718.0</v>
      </c>
      <c r="G683" s="1">
        <v>1086.0</v>
      </c>
      <c r="H683" s="1">
        <v>7.0</v>
      </c>
      <c r="I683" s="1">
        <v>2.35E7</v>
      </c>
      <c r="J683" s="1" t="s">
        <v>15</v>
      </c>
    </row>
    <row r="684">
      <c r="A684" s="1" t="s">
        <v>2062</v>
      </c>
      <c r="B684" s="1" t="s">
        <v>2063</v>
      </c>
      <c r="C684" s="1" t="s">
        <v>2064</v>
      </c>
      <c r="D684" s="1" t="s">
        <v>1817</v>
      </c>
      <c r="E684" s="1" t="s">
        <v>1818</v>
      </c>
      <c r="F684" s="1">
        <v>20364.0</v>
      </c>
      <c r="G684" s="1">
        <v>593.0</v>
      </c>
      <c r="H684" s="1">
        <v>52.0</v>
      </c>
      <c r="I684" s="1">
        <v>2.35E7</v>
      </c>
      <c r="J684" s="1" t="s">
        <v>15</v>
      </c>
    </row>
    <row r="685">
      <c r="A685" s="1" t="s">
        <v>2065</v>
      </c>
      <c r="B685" s="1" t="s">
        <v>2066</v>
      </c>
      <c r="C685" s="1" t="s">
        <v>2067</v>
      </c>
      <c r="D685" s="1" t="s">
        <v>1817</v>
      </c>
      <c r="E685" s="1" t="s">
        <v>1818</v>
      </c>
      <c r="F685" s="1">
        <v>39457.0</v>
      </c>
      <c r="G685" s="1">
        <v>974.0</v>
      </c>
      <c r="H685" s="1">
        <v>25.0</v>
      </c>
      <c r="I685" s="1">
        <v>2.35E7</v>
      </c>
      <c r="J685" s="1" t="s">
        <v>15</v>
      </c>
    </row>
    <row r="686">
      <c r="A686" s="1" t="s">
        <v>2068</v>
      </c>
      <c r="B686" s="1" t="s">
        <v>2069</v>
      </c>
      <c r="C686" s="1" t="s">
        <v>2070</v>
      </c>
      <c r="D686" s="1" t="s">
        <v>1817</v>
      </c>
      <c r="E686" s="1" t="s">
        <v>1818</v>
      </c>
      <c r="F686" s="1">
        <v>74408.0</v>
      </c>
      <c r="G686" s="1">
        <v>1133.0</v>
      </c>
      <c r="H686" s="1">
        <v>40.0</v>
      </c>
      <c r="I686" s="1">
        <v>2.35E7</v>
      </c>
      <c r="J686" s="1" t="s">
        <v>15</v>
      </c>
    </row>
    <row r="687">
      <c r="A687" s="1" t="s">
        <v>2071</v>
      </c>
      <c r="B687" s="1" t="s">
        <v>2072</v>
      </c>
      <c r="C687" s="1" t="s">
        <v>2073</v>
      </c>
      <c r="D687" s="1" t="s">
        <v>1817</v>
      </c>
      <c r="E687" s="1" t="s">
        <v>1818</v>
      </c>
      <c r="F687" s="1">
        <v>68138.0</v>
      </c>
      <c r="G687" s="1">
        <v>1094.0</v>
      </c>
      <c r="H687" s="1">
        <v>36.0</v>
      </c>
      <c r="I687" s="1">
        <v>2.35E7</v>
      </c>
      <c r="J687" s="1" t="s">
        <v>15</v>
      </c>
    </row>
    <row r="688">
      <c r="A688" s="1" t="s">
        <v>2074</v>
      </c>
      <c r="B688" s="1" t="s">
        <v>2075</v>
      </c>
      <c r="C688" s="1" t="s">
        <v>2076</v>
      </c>
      <c r="D688" s="1" t="s">
        <v>1817</v>
      </c>
      <c r="E688" s="1" t="s">
        <v>1818</v>
      </c>
      <c r="F688" s="1">
        <v>86485.0</v>
      </c>
      <c r="G688" s="1">
        <v>1513.0</v>
      </c>
      <c r="H688" s="1">
        <v>536.0</v>
      </c>
      <c r="I688" s="1">
        <v>2.35E7</v>
      </c>
      <c r="J688" s="1" t="s">
        <v>15</v>
      </c>
    </row>
    <row r="689">
      <c r="A689" s="1" t="s">
        <v>2077</v>
      </c>
      <c r="B689" s="1" t="s">
        <v>2078</v>
      </c>
      <c r="C689" s="1" t="s">
        <v>2079</v>
      </c>
      <c r="D689" s="1" t="s">
        <v>1817</v>
      </c>
      <c r="E689" s="1" t="s">
        <v>1818</v>
      </c>
      <c r="F689" s="1">
        <v>39817.0</v>
      </c>
      <c r="G689" s="1">
        <v>993.0</v>
      </c>
      <c r="H689" s="1">
        <v>42.0</v>
      </c>
      <c r="I689" s="1">
        <v>2.35E7</v>
      </c>
      <c r="J689" s="1" t="s">
        <v>15</v>
      </c>
    </row>
    <row r="690">
      <c r="A690" s="1" t="s">
        <v>2080</v>
      </c>
      <c r="B690" s="1" t="s">
        <v>2081</v>
      </c>
      <c r="C690" s="1" t="s">
        <v>2082</v>
      </c>
      <c r="D690" s="1" t="s">
        <v>1817</v>
      </c>
      <c r="E690" s="1" t="s">
        <v>1818</v>
      </c>
      <c r="F690" s="1">
        <v>55125.0</v>
      </c>
      <c r="G690" s="1">
        <v>1016.0</v>
      </c>
      <c r="H690" s="1">
        <v>5.0</v>
      </c>
      <c r="I690" s="1">
        <v>2.35E7</v>
      </c>
      <c r="J690" s="1" t="s">
        <v>15</v>
      </c>
    </row>
    <row r="691">
      <c r="A691" s="1" t="s">
        <v>2083</v>
      </c>
      <c r="B691" s="1" t="s">
        <v>2084</v>
      </c>
      <c r="C691" s="1" t="s">
        <v>2085</v>
      </c>
      <c r="D691" s="1" t="s">
        <v>1817</v>
      </c>
      <c r="E691" s="1" t="s">
        <v>1818</v>
      </c>
      <c r="F691" s="1">
        <v>87611.0</v>
      </c>
      <c r="G691" s="1">
        <v>1323.0</v>
      </c>
      <c r="H691" s="1">
        <v>14.0</v>
      </c>
      <c r="I691" s="1">
        <v>2.35E7</v>
      </c>
      <c r="J691" s="1" t="s">
        <v>15</v>
      </c>
    </row>
    <row r="692">
      <c r="A692" s="1" t="s">
        <v>2086</v>
      </c>
      <c r="B692" s="1" t="s">
        <v>2087</v>
      </c>
      <c r="C692" s="1" t="s">
        <v>2088</v>
      </c>
      <c r="D692" s="1" t="s">
        <v>1817</v>
      </c>
      <c r="E692" s="1" t="s">
        <v>1818</v>
      </c>
      <c r="F692" s="1">
        <v>33381.0</v>
      </c>
      <c r="G692" s="1">
        <v>965.0</v>
      </c>
      <c r="H692" s="1">
        <v>90.0</v>
      </c>
      <c r="I692" s="1">
        <v>2.35E7</v>
      </c>
      <c r="J692" s="1" t="s">
        <v>15</v>
      </c>
    </row>
    <row r="693">
      <c r="A693" s="1" t="s">
        <v>2089</v>
      </c>
      <c r="B693" s="1" t="s">
        <v>2090</v>
      </c>
      <c r="C693" s="1" t="s">
        <v>2091</v>
      </c>
      <c r="D693" s="1" t="s">
        <v>1817</v>
      </c>
      <c r="E693" s="1" t="s">
        <v>1818</v>
      </c>
      <c r="F693" s="1">
        <v>31409.0</v>
      </c>
      <c r="G693" s="1">
        <v>750.0</v>
      </c>
      <c r="H693" s="1">
        <v>16.0</v>
      </c>
      <c r="I693" s="1">
        <v>2.35E7</v>
      </c>
      <c r="J693" s="1" t="s">
        <v>15</v>
      </c>
    </row>
    <row r="694">
      <c r="A694" s="1" t="s">
        <v>2092</v>
      </c>
      <c r="B694" s="1" t="s">
        <v>2093</v>
      </c>
      <c r="C694" s="1" t="s">
        <v>2094</v>
      </c>
      <c r="D694" s="1" t="s">
        <v>1817</v>
      </c>
      <c r="E694" s="1" t="s">
        <v>1818</v>
      </c>
      <c r="F694" s="1">
        <v>40858.0</v>
      </c>
      <c r="G694" s="1">
        <v>1164.0</v>
      </c>
      <c r="H694" s="1">
        <v>122.0</v>
      </c>
      <c r="I694" s="1">
        <v>2.35E7</v>
      </c>
      <c r="J694" s="1" t="s">
        <v>15</v>
      </c>
    </row>
    <row r="695">
      <c r="A695" s="1" t="s">
        <v>2095</v>
      </c>
      <c r="B695" s="1" t="s">
        <v>2096</v>
      </c>
      <c r="C695" s="1" t="s">
        <v>2097</v>
      </c>
      <c r="D695" s="1" t="s">
        <v>1817</v>
      </c>
      <c r="E695" s="1" t="s">
        <v>1818</v>
      </c>
      <c r="F695" s="1">
        <v>58311.0</v>
      </c>
      <c r="G695" s="1">
        <v>967.0</v>
      </c>
      <c r="H695" s="1">
        <v>9.0</v>
      </c>
      <c r="I695" s="1">
        <v>2.35E7</v>
      </c>
      <c r="J695" s="1" t="s">
        <v>15</v>
      </c>
    </row>
    <row r="696">
      <c r="A696" s="1" t="s">
        <v>2098</v>
      </c>
      <c r="B696" s="1" t="s">
        <v>2099</v>
      </c>
      <c r="C696" s="1" t="s">
        <v>2100</v>
      </c>
      <c r="D696" s="1" t="s">
        <v>1817</v>
      </c>
      <c r="E696" s="1" t="s">
        <v>1818</v>
      </c>
      <c r="F696" s="1">
        <v>52324.0</v>
      </c>
      <c r="G696" s="1">
        <v>951.0</v>
      </c>
      <c r="H696" s="1">
        <v>10.0</v>
      </c>
      <c r="I696" s="1">
        <v>2.35E7</v>
      </c>
      <c r="J696" s="1" t="s">
        <v>15</v>
      </c>
    </row>
    <row r="697">
      <c r="A697" s="1" t="s">
        <v>2101</v>
      </c>
      <c r="B697" s="1" t="s">
        <v>2102</v>
      </c>
      <c r="C697" s="1" t="s">
        <v>2103</v>
      </c>
      <c r="D697" s="1" t="s">
        <v>1817</v>
      </c>
      <c r="E697" s="1" t="s">
        <v>1818</v>
      </c>
      <c r="F697" s="1">
        <v>36503.0</v>
      </c>
      <c r="G697" s="1">
        <v>711.0</v>
      </c>
      <c r="H697" s="1">
        <v>54.0</v>
      </c>
      <c r="I697" s="1">
        <v>2.35E7</v>
      </c>
      <c r="J697" s="1" t="s">
        <v>15</v>
      </c>
    </row>
    <row r="698">
      <c r="A698" s="1" t="s">
        <v>2104</v>
      </c>
      <c r="B698" s="1" t="s">
        <v>2105</v>
      </c>
      <c r="C698" s="1" t="s">
        <v>2106</v>
      </c>
      <c r="D698" s="1" t="s">
        <v>1817</v>
      </c>
      <c r="E698" s="1" t="s">
        <v>1818</v>
      </c>
      <c r="F698" s="1">
        <v>74148.0</v>
      </c>
      <c r="G698" s="1">
        <v>1265.0</v>
      </c>
      <c r="H698" s="1">
        <v>19.0</v>
      </c>
      <c r="I698" s="1">
        <v>2.35E7</v>
      </c>
      <c r="J698" s="1" t="s">
        <v>15</v>
      </c>
    </row>
    <row r="699">
      <c r="A699" s="1" t="s">
        <v>2107</v>
      </c>
      <c r="B699" s="1" t="s">
        <v>2108</v>
      </c>
      <c r="C699" s="1" t="s">
        <v>2109</v>
      </c>
      <c r="D699" s="1" t="s">
        <v>1817</v>
      </c>
      <c r="E699" s="1" t="s">
        <v>1818</v>
      </c>
      <c r="F699" s="1">
        <v>22803.0</v>
      </c>
      <c r="G699" s="1">
        <v>685.0</v>
      </c>
      <c r="H699" s="1">
        <v>68.0</v>
      </c>
      <c r="I699" s="1">
        <v>2.35E7</v>
      </c>
      <c r="J699" s="1" t="s">
        <v>15</v>
      </c>
    </row>
    <row r="700">
      <c r="A700" s="1" t="s">
        <v>2110</v>
      </c>
      <c r="B700" s="1" t="s">
        <v>2111</v>
      </c>
      <c r="C700" s="1" t="s">
        <v>2112</v>
      </c>
      <c r="D700" s="1" t="s">
        <v>1817</v>
      </c>
      <c r="E700" s="1" t="s">
        <v>1818</v>
      </c>
      <c r="F700" s="1">
        <v>71209.0</v>
      </c>
      <c r="G700" s="1">
        <v>2155.0</v>
      </c>
      <c r="H700" s="1">
        <v>64.0</v>
      </c>
      <c r="I700" s="1">
        <v>2.35E7</v>
      </c>
      <c r="J700" s="1" t="s">
        <v>15</v>
      </c>
    </row>
    <row r="701">
      <c r="A701" s="1" t="s">
        <v>2113</v>
      </c>
      <c r="B701" s="1" t="s">
        <v>2114</v>
      </c>
      <c r="C701" s="1" t="s">
        <v>2115</v>
      </c>
      <c r="D701" s="1" t="s">
        <v>1817</v>
      </c>
      <c r="E701" s="1" t="s">
        <v>1818</v>
      </c>
      <c r="F701" s="1">
        <v>56261.0</v>
      </c>
      <c r="G701" s="1">
        <v>962.0</v>
      </c>
      <c r="H701" s="1">
        <v>9.0</v>
      </c>
      <c r="I701" s="1">
        <v>2.35E7</v>
      </c>
      <c r="J701" s="1" t="s">
        <v>15</v>
      </c>
    </row>
    <row r="702">
      <c r="A702" s="1" t="s">
        <v>2116</v>
      </c>
      <c r="B702" s="1" t="s">
        <v>2117</v>
      </c>
      <c r="C702" s="1" t="s">
        <v>2118</v>
      </c>
      <c r="D702" s="1" t="s">
        <v>1817</v>
      </c>
      <c r="E702" s="1" t="s">
        <v>1818</v>
      </c>
      <c r="F702" s="1">
        <v>74343.0</v>
      </c>
      <c r="G702" s="1">
        <v>1932.0</v>
      </c>
      <c r="H702" s="1">
        <v>157.0</v>
      </c>
      <c r="I702" s="1">
        <v>2.35E7</v>
      </c>
      <c r="J702" s="1" t="s">
        <v>15</v>
      </c>
    </row>
    <row r="703">
      <c r="A703" s="1" t="s">
        <v>2119</v>
      </c>
      <c r="B703" s="1" t="s">
        <v>2120</v>
      </c>
      <c r="C703" s="1" t="s">
        <v>2121</v>
      </c>
      <c r="D703" s="1" t="s">
        <v>1817</v>
      </c>
      <c r="E703" s="1" t="s">
        <v>1818</v>
      </c>
      <c r="F703" s="1">
        <v>27600.0</v>
      </c>
      <c r="G703" s="1">
        <v>524.0</v>
      </c>
      <c r="H703" s="1">
        <v>18.0</v>
      </c>
      <c r="I703" s="1">
        <v>2.35E7</v>
      </c>
      <c r="J703" s="1" t="s">
        <v>15</v>
      </c>
    </row>
    <row r="704">
      <c r="A704" s="1" t="s">
        <v>2122</v>
      </c>
      <c r="B704" s="1" t="s">
        <v>2123</v>
      </c>
      <c r="C704" s="1" t="s">
        <v>2124</v>
      </c>
      <c r="D704" s="1" t="s">
        <v>1817</v>
      </c>
      <c r="E704" s="1" t="s">
        <v>1818</v>
      </c>
      <c r="F704" s="1">
        <v>62746.0</v>
      </c>
      <c r="G704" s="1">
        <v>1116.0</v>
      </c>
      <c r="H704" s="1">
        <v>5.0</v>
      </c>
      <c r="I704" s="1">
        <v>2.35E7</v>
      </c>
      <c r="J704" s="1" t="s">
        <v>15</v>
      </c>
    </row>
    <row r="705">
      <c r="A705" s="1" t="s">
        <v>2125</v>
      </c>
      <c r="B705" s="1" t="s">
        <v>2126</v>
      </c>
      <c r="C705" s="1" t="s">
        <v>2127</v>
      </c>
      <c r="D705" s="1" t="s">
        <v>1817</v>
      </c>
      <c r="E705" s="1" t="s">
        <v>1818</v>
      </c>
      <c r="F705" s="1">
        <v>24298.0</v>
      </c>
      <c r="G705" s="1">
        <v>774.0</v>
      </c>
      <c r="H705" s="1">
        <v>56.0</v>
      </c>
      <c r="I705" s="1">
        <v>2.35E7</v>
      </c>
      <c r="J705" s="1" t="s">
        <v>15</v>
      </c>
    </row>
    <row r="706">
      <c r="A706" s="1" t="s">
        <v>2128</v>
      </c>
      <c r="B706" s="1" t="s">
        <v>2129</v>
      </c>
      <c r="C706" s="1" t="s">
        <v>2130</v>
      </c>
      <c r="D706" s="1" t="s">
        <v>1817</v>
      </c>
      <c r="E706" s="1" t="s">
        <v>1818</v>
      </c>
      <c r="F706" s="1">
        <v>56639.0</v>
      </c>
      <c r="G706" s="1">
        <v>997.0</v>
      </c>
      <c r="H706" s="1">
        <v>6.0</v>
      </c>
      <c r="I706" s="1">
        <v>2.35E7</v>
      </c>
      <c r="J706" s="1" t="s">
        <v>15</v>
      </c>
    </row>
    <row r="707">
      <c r="A707" s="1" t="s">
        <v>2131</v>
      </c>
      <c r="B707" s="1" t="s">
        <v>2132</v>
      </c>
      <c r="C707" s="1" t="s">
        <v>2133</v>
      </c>
      <c r="D707" s="1" t="s">
        <v>1817</v>
      </c>
      <c r="E707" s="1" t="s">
        <v>1818</v>
      </c>
      <c r="F707" s="1">
        <v>84597.0</v>
      </c>
      <c r="G707" s="1">
        <v>1812.0</v>
      </c>
      <c r="H707" s="1">
        <v>35.0</v>
      </c>
      <c r="I707" s="1">
        <v>2.35E7</v>
      </c>
      <c r="J707" s="1" t="s">
        <v>15</v>
      </c>
    </row>
    <row r="708">
      <c r="A708" s="1" t="s">
        <v>2134</v>
      </c>
      <c r="B708" s="1" t="s">
        <v>2135</v>
      </c>
      <c r="C708" s="1" t="s">
        <v>2136</v>
      </c>
      <c r="D708" s="1" t="s">
        <v>1817</v>
      </c>
      <c r="E708" s="1" t="s">
        <v>1818</v>
      </c>
      <c r="F708" s="1">
        <v>64896.0</v>
      </c>
      <c r="G708" s="1">
        <v>1178.0</v>
      </c>
      <c r="H708" s="1">
        <v>11.0</v>
      </c>
      <c r="I708" s="1">
        <v>2.35E7</v>
      </c>
      <c r="J708" s="1" t="s">
        <v>15</v>
      </c>
    </row>
    <row r="709">
      <c r="A709" s="1" t="s">
        <v>2137</v>
      </c>
      <c r="B709" s="1" t="s">
        <v>2138</v>
      </c>
      <c r="C709" s="1" t="s">
        <v>2139</v>
      </c>
      <c r="D709" s="1" t="s">
        <v>1817</v>
      </c>
      <c r="E709" s="1" t="s">
        <v>1818</v>
      </c>
      <c r="F709" s="1">
        <v>48698.0</v>
      </c>
      <c r="G709" s="1">
        <v>1457.0</v>
      </c>
      <c r="H709" s="1">
        <v>100.0</v>
      </c>
      <c r="I709" s="1">
        <v>2.35E7</v>
      </c>
      <c r="J709" s="1" t="s">
        <v>15</v>
      </c>
    </row>
    <row r="710">
      <c r="A710" s="1" t="s">
        <v>2140</v>
      </c>
      <c r="B710" s="1" t="s">
        <v>2141</v>
      </c>
      <c r="C710" s="1" t="s">
        <v>2142</v>
      </c>
      <c r="D710" s="1" t="s">
        <v>1817</v>
      </c>
      <c r="E710" s="1" t="s">
        <v>1818</v>
      </c>
      <c r="F710" s="1">
        <v>55377.0</v>
      </c>
      <c r="G710" s="1">
        <v>1070.0</v>
      </c>
      <c r="H710" s="1">
        <v>14.0</v>
      </c>
      <c r="I710" s="1">
        <v>2.35E7</v>
      </c>
      <c r="J710" s="1" t="s">
        <v>15</v>
      </c>
    </row>
    <row r="711">
      <c r="A711" s="1" t="s">
        <v>2143</v>
      </c>
      <c r="B711" s="1" t="s">
        <v>2144</v>
      </c>
      <c r="C711" s="1" t="s">
        <v>2145</v>
      </c>
      <c r="D711" s="1" t="s">
        <v>1817</v>
      </c>
      <c r="E711" s="1" t="s">
        <v>1818</v>
      </c>
      <c r="F711" s="1">
        <v>19243.0</v>
      </c>
      <c r="G711" s="1">
        <v>547.0</v>
      </c>
      <c r="H711" s="1">
        <v>42.0</v>
      </c>
      <c r="I711" s="1">
        <v>2.35E7</v>
      </c>
      <c r="J711" s="1" t="s">
        <v>15</v>
      </c>
    </row>
    <row r="712">
      <c r="A712" s="1" t="s">
        <v>2146</v>
      </c>
      <c r="B712" s="1" t="s">
        <v>2147</v>
      </c>
      <c r="C712" s="1" t="s">
        <v>2148</v>
      </c>
      <c r="D712" s="1" t="s">
        <v>1817</v>
      </c>
      <c r="E712" s="1" t="s">
        <v>1818</v>
      </c>
      <c r="F712" s="1">
        <v>38851.0</v>
      </c>
      <c r="G712" s="1">
        <v>812.0</v>
      </c>
      <c r="H712" s="1">
        <v>6.0</v>
      </c>
      <c r="I712" s="1">
        <v>2.35E7</v>
      </c>
      <c r="J712" s="1" t="s">
        <v>15</v>
      </c>
    </row>
    <row r="713">
      <c r="A713" s="1" t="s">
        <v>2149</v>
      </c>
      <c r="B713" s="1" t="s">
        <v>2150</v>
      </c>
      <c r="C713" s="1" t="s">
        <v>2151</v>
      </c>
      <c r="D713" s="1" t="s">
        <v>1817</v>
      </c>
      <c r="E713" s="1" t="s">
        <v>1818</v>
      </c>
      <c r="F713" s="1">
        <v>33941.0</v>
      </c>
      <c r="G713" s="1">
        <v>941.0</v>
      </c>
      <c r="H713" s="1">
        <v>80.0</v>
      </c>
      <c r="I713" s="1">
        <v>2.35E7</v>
      </c>
      <c r="J713" s="1" t="s">
        <v>15</v>
      </c>
    </row>
    <row r="714">
      <c r="A714" s="1" t="s">
        <v>2152</v>
      </c>
      <c r="B714" s="1" t="s">
        <v>2153</v>
      </c>
      <c r="C714" s="1" t="s">
        <v>2154</v>
      </c>
      <c r="D714" s="1" t="s">
        <v>1817</v>
      </c>
      <c r="E714" s="1" t="s">
        <v>1818</v>
      </c>
      <c r="F714" s="1">
        <v>58192.0</v>
      </c>
      <c r="G714" s="1">
        <v>1148.0</v>
      </c>
      <c r="H714" s="1">
        <v>10.0</v>
      </c>
      <c r="I714" s="1">
        <v>2.35E7</v>
      </c>
      <c r="J714" s="1" t="s">
        <v>15</v>
      </c>
    </row>
    <row r="715">
      <c r="A715" s="1" t="s">
        <v>2155</v>
      </c>
      <c r="B715" s="1" t="s">
        <v>2156</v>
      </c>
      <c r="C715" s="1" t="s">
        <v>2157</v>
      </c>
      <c r="D715" s="1" t="s">
        <v>1817</v>
      </c>
      <c r="E715" s="1" t="s">
        <v>1818</v>
      </c>
      <c r="F715" s="1">
        <v>19028.0</v>
      </c>
      <c r="G715" s="1">
        <v>293.0</v>
      </c>
      <c r="H715" s="1">
        <v>7.0</v>
      </c>
      <c r="I715" s="1">
        <v>2.35E7</v>
      </c>
      <c r="J715" s="1" t="s">
        <v>15</v>
      </c>
    </row>
    <row r="716">
      <c r="A716" s="1" t="s">
        <v>2158</v>
      </c>
      <c r="B716" s="1" t="s">
        <v>2159</v>
      </c>
      <c r="C716" s="1" t="s">
        <v>2160</v>
      </c>
      <c r="D716" s="1" t="s">
        <v>1817</v>
      </c>
      <c r="E716" s="1" t="s">
        <v>1818</v>
      </c>
      <c r="F716" s="1">
        <v>85020.0</v>
      </c>
      <c r="G716" s="1">
        <v>1492.0</v>
      </c>
      <c r="H716" s="1">
        <v>10.0</v>
      </c>
      <c r="I716" s="1">
        <v>2.35E7</v>
      </c>
      <c r="J716" s="1" t="s">
        <v>15</v>
      </c>
    </row>
    <row r="717">
      <c r="A717" s="1" t="s">
        <v>2161</v>
      </c>
      <c r="B717" s="1" t="s">
        <v>2162</v>
      </c>
      <c r="C717" s="1" t="s">
        <v>2163</v>
      </c>
      <c r="D717" s="1" t="s">
        <v>1817</v>
      </c>
      <c r="E717" s="1" t="s">
        <v>1818</v>
      </c>
      <c r="F717" s="1">
        <v>28200.0</v>
      </c>
      <c r="G717" s="1">
        <v>800.0</v>
      </c>
      <c r="H717" s="1">
        <v>75.0</v>
      </c>
      <c r="I717" s="1">
        <v>2.35E7</v>
      </c>
      <c r="J717" s="1" t="s">
        <v>15</v>
      </c>
    </row>
    <row r="718">
      <c r="A718" s="1" t="s">
        <v>2164</v>
      </c>
      <c r="B718" s="1" t="s">
        <v>2165</v>
      </c>
      <c r="C718" s="1" t="s">
        <v>2166</v>
      </c>
      <c r="D718" s="1" t="s">
        <v>1817</v>
      </c>
      <c r="E718" s="1" t="s">
        <v>1818</v>
      </c>
      <c r="F718" s="1">
        <v>482141.0</v>
      </c>
      <c r="G718" s="1">
        <v>9221.0</v>
      </c>
      <c r="H718" s="1">
        <v>315.0</v>
      </c>
      <c r="I718" s="1">
        <v>2.35E7</v>
      </c>
      <c r="J718" s="1" t="s">
        <v>15</v>
      </c>
    </row>
    <row r="719">
      <c r="A719" s="1" t="s">
        <v>2167</v>
      </c>
      <c r="B719" s="1" t="s">
        <v>2168</v>
      </c>
      <c r="C719" s="1" t="s">
        <v>2169</v>
      </c>
      <c r="D719" s="1" t="s">
        <v>1817</v>
      </c>
      <c r="E719" s="1" t="s">
        <v>1818</v>
      </c>
      <c r="F719" s="1">
        <v>55006.0</v>
      </c>
      <c r="G719" s="1">
        <v>1073.0</v>
      </c>
      <c r="H719" s="1">
        <v>17.0</v>
      </c>
      <c r="I719" s="1">
        <v>2.35E7</v>
      </c>
      <c r="J719" s="1" t="s">
        <v>15</v>
      </c>
    </row>
    <row r="720">
      <c r="A720" s="1" t="s">
        <v>2170</v>
      </c>
      <c r="B720" s="1" t="s">
        <v>2171</v>
      </c>
      <c r="C720" s="1" t="s">
        <v>2172</v>
      </c>
      <c r="D720" s="1" t="s">
        <v>1817</v>
      </c>
      <c r="E720" s="1" t="s">
        <v>1818</v>
      </c>
      <c r="F720" s="1">
        <v>54195.0</v>
      </c>
      <c r="G720" s="1">
        <v>1519.0</v>
      </c>
      <c r="H720" s="1">
        <v>142.0</v>
      </c>
      <c r="I720" s="1">
        <v>2.35E7</v>
      </c>
      <c r="J720" s="1" t="s">
        <v>15</v>
      </c>
    </row>
    <row r="721">
      <c r="A721" s="1" t="s">
        <v>2173</v>
      </c>
      <c r="B721" s="1" t="s">
        <v>2174</v>
      </c>
      <c r="C721" s="1" t="s">
        <v>2175</v>
      </c>
      <c r="D721" s="1" t="s">
        <v>1817</v>
      </c>
      <c r="E721" s="1" t="s">
        <v>1818</v>
      </c>
      <c r="F721" s="1">
        <v>52972.0</v>
      </c>
      <c r="G721" s="1">
        <v>1029.0</v>
      </c>
      <c r="H721" s="1">
        <v>9.0</v>
      </c>
      <c r="I721" s="1">
        <v>2.35E7</v>
      </c>
      <c r="J721" s="1" t="s">
        <v>15</v>
      </c>
    </row>
    <row r="722">
      <c r="A722" s="1" t="s">
        <v>2176</v>
      </c>
      <c r="B722" s="1" t="s">
        <v>2177</v>
      </c>
      <c r="C722" s="1" t="s">
        <v>2178</v>
      </c>
      <c r="D722" s="1" t="s">
        <v>1817</v>
      </c>
      <c r="E722" s="1" t="s">
        <v>1818</v>
      </c>
      <c r="F722" s="1">
        <v>548922.0</v>
      </c>
      <c r="G722" s="1">
        <v>15469.0</v>
      </c>
      <c r="H722" s="1">
        <v>363.0</v>
      </c>
      <c r="I722" s="1">
        <v>2.35E7</v>
      </c>
      <c r="J722" s="1" t="s">
        <v>15</v>
      </c>
    </row>
    <row r="723">
      <c r="A723" s="1" t="s">
        <v>2179</v>
      </c>
      <c r="B723" s="1" t="s">
        <v>2180</v>
      </c>
      <c r="C723" s="1" t="s">
        <v>2181</v>
      </c>
      <c r="D723" s="1" t="s">
        <v>1817</v>
      </c>
      <c r="E723" s="1" t="s">
        <v>1818</v>
      </c>
      <c r="F723" s="1">
        <v>52232.0</v>
      </c>
      <c r="G723" s="1">
        <v>1027.0</v>
      </c>
      <c r="H723" s="1">
        <v>9.0</v>
      </c>
      <c r="I723" s="1">
        <v>2.35E7</v>
      </c>
      <c r="J723" s="1" t="s">
        <v>15</v>
      </c>
    </row>
    <row r="724">
      <c r="A724" s="1" t="s">
        <v>2182</v>
      </c>
      <c r="B724" s="1" t="s">
        <v>2183</v>
      </c>
      <c r="C724" s="1" t="s">
        <v>2184</v>
      </c>
      <c r="D724" s="1" t="s">
        <v>1817</v>
      </c>
      <c r="E724" s="1" t="s">
        <v>1818</v>
      </c>
      <c r="F724" s="1">
        <v>23615.0</v>
      </c>
      <c r="G724" s="1">
        <v>712.0</v>
      </c>
      <c r="H724" s="1">
        <v>50.0</v>
      </c>
      <c r="I724" s="1">
        <v>2.35E7</v>
      </c>
      <c r="J724" s="1" t="s">
        <v>15</v>
      </c>
    </row>
    <row r="725">
      <c r="A725" s="1" t="s">
        <v>2185</v>
      </c>
      <c r="B725" s="1" t="s">
        <v>2186</v>
      </c>
      <c r="C725" s="1" t="s">
        <v>2187</v>
      </c>
      <c r="D725" s="1" t="s">
        <v>1817</v>
      </c>
      <c r="E725" s="1" t="s">
        <v>1818</v>
      </c>
      <c r="F725" s="1">
        <v>56895.0</v>
      </c>
      <c r="G725" s="1">
        <v>853.0</v>
      </c>
      <c r="H725" s="1">
        <v>30.0</v>
      </c>
      <c r="I725" s="1">
        <v>2.35E7</v>
      </c>
      <c r="J725" s="1" t="s">
        <v>15</v>
      </c>
    </row>
    <row r="726">
      <c r="A726" s="1" t="s">
        <v>2188</v>
      </c>
      <c r="B726" s="1" t="s">
        <v>2189</v>
      </c>
      <c r="C726" s="1" t="s">
        <v>2190</v>
      </c>
      <c r="D726" s="1" t="s">
        <v>1817</v>
      </c>
      <c r="E726" s="1" t="s">
        <v>1818</v>
      </c>
      <c r="F726" s="1">
        <v>77634.0</v>
      </c>
      <c r="G726" s="1">
        <v>1165.0</v>
      </c>
      <c r="H726" s="1">
        <v>37.0</v>
      </c>
      <c r="I726" s="1">
        <v>2.35E7</v>
      </c>
      <c r="J726" s="1" t="s">
        <v>15</v>
      </c>
    </row>
    <row r="727">
      <c r="A727" s="1" t="s">
        <v>2191</v>
      </c>
      <c r="B727" s="1" t="s">
        <v>2192</v>
      </c>
      <c r="C727" s="1" t="s">
        <v>2193</v>
      </c>
      <c r="D727" s="1" t="s">
        <v>1817</v>
      </c>
      <c r="E727" s="1" t="s">
        <v>1818</v>
      </c>
      <c r="F727" s="1">
        <v>31316.0</v>
      </c>
      <c r="G727" s="1">
        <v>774.0</v>
      </c>
      <c r="H727" s="1">
        <v>76.0</v>
      </c>
      <c r="I727" s="1">
        <v>2.35E7</v>
      </c>
      <c r="J727" s="1" t="s">
        <v>15</v>
      </c>
    </row>
    <row r="728">
      <c r="A728" s="1" t="s">
        <v>2194</v>
      </c>
      <c r="B728" s="1" t="s">
        <v>2195</v>
      </c>
      <c r="C728" s="1" t="s">
        <v>2196</v>
      </c>
      <c r="D728" s="1" t="s">
        <v>1817</v>
      </c>
      <c r="E728" s="1" t="s">
        <v>1818</v>
      </c>
      <c r="F728" s="1">
        <v>28651.0</v>
      </c>
      <c r="G728" s="1">
        <v>561.0</v>
      </c>
      <c r="H728" s="1">
        <v>15.0</v>
      </c>
      <c r="I728" s="1">
        <v>2.35E7</v>
      </c>
      <c r="J728" s="1" t="s">
        <v>15</v>
      </c>
    </row>
    <row r="729">
      <c r="A729" s="1" t="s">
        <v>2197</v>
      </c>
      <c r="B729" s="1" t="s">
        <v>2198</v>
      </c>
      <c r="C729" s="1" t="s">
        <v>2199</v>
      </c>
      <c r="D729" s="1" t="s">
        <v>1817</v>
      </c>
      <c r="E729" s="1" t="s">
        <v>1818</v>
      </c>
      <c r="F729" s="1">
        <v>67661.0</v>
      </c>
      <c r="G729" s="1">
        <v>1164.0</v>
      </c>
      <c r="H729" s="1">
        <v>25.0</v>
      </c>
      <c r="I729" s="1">
        <v>2.35E7</v>
      </c>
      <c r="J729" s="1" t="s">
        <v>15</v>
      </c>
    </row>
    <row r="730">
      <c r="A730" s="1" t="s">
        <v>2200</v>
      </c>
      <c r="B730" s="1" t="s">
        <v>2201</v>
      </c>
      <c r="C730" s="1" t="s">
        <v>2202</v>
      </c>
      <c r="D730" s="1" t="s">
        <v>1817</v>
      </c>
      <c r="E730" s="1" t="s">
        <v>1818</v>
      </c>
      <c r="F730" s="1">
        <v>21446.0</v>
      </c>
      <c r="G730" s="1">
        <v>649.0</v>
      </c>
      <c r="H730" s="1">
        <v>38.0</v>
      </c>
      <c r="I730" s="1">
        <v>2.35E7</v>
      </c>
      <c r="J730" s="1" t="s">
        <v>15</v>
      </c>
    </row>
    <row r="731">
      <c r="A731" s="1" t="s">
        <v>2203</v>
      </c>
      <c r="B731" s="1" t="s">
        <v>2204</v>
      </c>
      <c r="C731" s="1" t="s">
        <v>2205</v>
      </c>
      <c r="D731" s="1" t="s">
        <v>1817</v>
      </c>
      <c r="E731" s="1" t="s">
        <v>1818</v>
      </c>
      <c r="F731" s="1">
        <v>25028.0</v>
      </c>
      <c r="G731" s="1">
        <v>563.0</v>
      </c>
      <c r="H731" s="1">
        <v>21.0</v>
      </c>
      <c r="I731" s="1">
        <v>2.35E7</v>
      </c>
      <c r="J731" s="1" t="s">
        <v>15</v>
      </c>
    </row>
    <row r="732">
      <c r="A732" s="1" t="s">
        <v>2206</v>
      </c>
      <c r="B732" s="1" t="s">
        <v>2207</v>
      </c>
      <c r="C732" s="1" t="s">
        <v>2208</v>
      </c>
      <c r="D732" s="1" t="s">
        <v>1817</v>
      </c>
      <c r="E732" s="1" t="s">
        <v>1818</v>
      </c>
      <c r="F732" s="1">
        <v>46332.0</v>
      </c>
      <c r="G732" s="1">
        <v>930.0</v>
      </c>
      <c r="H732" s="1">
        <v>14.0</v>
      </c>
      <c r="I732" s="1">
        <v>2.35E7</v>
      </c>
      <c r="J732" s="1" t="s">
        <v>15</v>
      </c>
    </row>
    <row r="733">
      <c r="A733" s="1" t="s">
        <v>2209</v>
      </c>
      <c r="B733" s="1" t="s">
        <v>2210</v>
      </c>
      <c r="C733" s="1" t="s">
        <v>2211</v>
      </c>
      <c r="D733" s="1" t="s">
        <v>1817</v>
      </c>
      <c r="E733" s="1" t="s">
        <v>1818</v>
      </c>
      <c r="F733" s="1">
        <v>55027.0</v>
      </c>
      <c r="G733" s="1">
        <v>1160.0</v>
      </c>
      <c r="H733" s="1">
        <v>10.0</v>
      </c>
      <c r="I733" s="1">
        <v>2.35E7</v>
      </c>
      <c r="J733" s="1" t="s">
        <v>15</v>
      </c>
    </row>
    <row r="734">
      <c r="A734" s="1" t="s">
        <v>2212</v>
      </c>
      <c r="B734" s="1" t="s">
        <v>2213</v>
      </c>
      <c r="C734" s="1" t="s">
        <v>2214</v>
      </c>
      <c r="D734" s="1" t="s">
        <v>1817</v>
      </c>
      <c r="E734" s="1" t="s">
        <v>1818</v>
      </c>
      <c r="F734" s="1">
        <v>22641.0</v>
      </c>
      <c r="G734" s="1">
        <v>635.0</v>
      </c>
      <c r="H734" s="1">
        <v>20.0</v>
      </c>
      <c r="I734" s="1">
        <v>2.35E7</v>
      </c>
      <c r="J734" s="1" t="s">
        <v>15</v>
      </c>
    </row>
    <row r="735">
      <c r="A735" s="1" t="s">
        <v>2215</v>
      </c>
      <c r="B735" s="1" t="s">
        <v>2216</v>
      </c>
      <c r="C735" s="1" t="s">
        <v>2217</v>
      </c>
      <c r="D735" s="1" t="s">
        <v>1817</v>
      </c>
      <c r="E735" s="1" t="s">
        <v>1818</v>
      </c>
      <c r="F735" s="1">
        <v>48473.0</v>
      </c>
      <c r="G735" s="1">
        <v>1318.0</v>
      </c>
      <c r="H735" s="1">
        <v>189.0</v>
      </c>
      <c r="I735" s="1">
        <v>2.35E7</v>
      </c>
      <c r="J735" s="1" t="s">
        <v>15</v>
      </c>
    </row>
    <row r="736">
      <c r="A736" s="1" t="s">
        <v>2218</v>
      </c>
      <c r="B736" s="1" t="s">
        <v>2219</v>
      </c>
      <c r="C736" s="1" t="s">
        <v>2220</v>
      </c>
      <c r="D736" s="1" t="s">
        <v>1817</v>
      </c>
      <c r="E736" s="1" t="s">
        <v>1818</v>
      </c>
      <c r="F736" s="1">
        <v>56301.0</v>
      </c>
      <c r="G736" s="1">
        <v>1197.0</v>
      </c>
      <c r="H736" s="1">
        <v>33.0</v>
      </c>
      <c r="I736" s="1">
        <v>2.35E7</v>
      </c>
      <c r="J736" s="1" t="s">
        <v>15</v>
      </c>
    </row>
    <row r="737">
      <c r="A737" s="1" t="s">
        <v>2221</v>
      </c>
      <c r="B737" s="1" t="s">
        <v>2222</v>
      </c>
      <c r="C737" s="1" t="s">
        <v>2223</v>
      </c>
      <c r="D737" s="1" t="s">
        <v>1817</v>
      </c>
      <c r="E737" s="1" t="s">
        <v>1818</v>
      </c>
      <c r="F737" s="1">
        <v>95113.0</v>
      </c>
      <c r="G737" s="1">
        <v>2221.0</v>
      </c>
      <c r="H737" s="1">
        <v>81.0</v>
      </c>
      <c r="I737" s="1">
        <v>2.35E7</v>
      </c>
      <c r="J737" s="1" t="s">
        <v>15</v>
      </c>
    </row>
    <row r="738">
      <c r="A738" s="1" t="s">
        <v>2224</v>
      </c>
      <c r="B738" s="1" t="s">
        <v>2225</v>
      </c>
      <c r="C738" s="1" t="s">
        <v>2226</v>
      </c>
      <c r="D738" s="1" t="s">
        <v>1817</v>
      </c>
      <c r="E738" s="1" t="s">
        <v>1818</v>
      </c>
      <c r="F738" s="1">
        <v>101509.0</v>
      </c>
      <c r="G738" s="1">
        <v>1711.0</v>
      </c>
      <c r="H738" s="1">
        <v>18.0</v>
      </c>
      <c r="I738" s="1">
        <v>2.35E7</v>
      </c>
      <c r="J738" s="1" t="s">
        <v>15</v>
      </c>
    </row>
    <row r="739">
      <c r="A739" s="1" t="s">
        <v>2227</v>
      </c>
      <c r="B739" s="1" t="s">
        <v>2228</v>
      </c>
      <c r="C739" s="1" t="s">
        <v>2229</v>
      </c>
      <c r="D739" s="1" t="s">
        <v>1817</v>
      </c>
      <c r="E739" s="1" t="s">
        <v>1818</v>
      </c>
      <c r="F739" s="1">
        <v>42769.0</v>
      </c>
      <c r="G739" s="1">
        <v>1139.0</v>
      </c>
      <c r="H739" s="1">
        <v>137.0</v>
      </c>
      <c r="I739" s="1">
        <v>2.35E7</v>
      </c>
      <c r="J739" s="1" t="s">
        <v>15</v>
      </c>
    </row>
    <row r="740">
      <c r="A740" s="1" t="s">
        <v>2230</v>
      </c>
      <c r="B740" s="1" t="s">
        <v>2231</v>
      </c>
      <c r="C740" s="1" t="s">
        <v>2232</v>
      </c>
      <c r="D740" s="1" t="s">
        <v>1817</v>
      </c>
      <c r="E740" s="1" t="s">
        <v>1818</v>
      </c>
      <c r="F740" s="1">
        <v>65025.0</v>
      </c>
      <c r="G740" s="1">
        <v>1176.0</v>
      </c>
      <c r="H740" s="1">
        <v>13.0</v>
      </c>
      <c r="I740" s="1">
        <v>2.35E7</v>
      </c>
      <c r="J740" s="1" t="s">
        <v>15</v>
      </c>
    </row>
    <row r="741">
      <c r="A741" s="1" t="s">
        <v>2233</v>
      </c>
      <c r="B741" s="1" t="s">
        <v>2234</v>
      </c>
      <c r="C741" s="1" t="s">
        <v>2235</v>
      </c>
      <c r="D741" s="1" t="s">
        <v>1817</v>
      </c>
      <c r="E741" s="1" t="s">
        <v>1818</v>
      </c>
      <c r="F741" s="1">
        <v>22782.0</v>
      </c>
      <c r="G741" s="1">
        <v>411.0</v>
      </c>
      <c r="H741" s="1">
        <v>26.0</v>
      </c>
      <c r="I741" s="1">
        <v>2.35E7</v>
      </c>
      <c r="J741" s="1" t="s">
        <v>15</v>
      </c>
    </row>
    <row r="742">
      <c r="A742" s="1" t="s">
        <v>2236</v>
      </c>
      <c r="B742" s="1" t="s">
        <v>2237</v>
      </c>
      <c r="C742" s="1" t="s">
        <v>2238</v>
      </c>
      <c r="D742" s="1" t="s">
        <v>1817</v>
      </c>
      <c r="E742" s="1" t="s">
        <v>1818</v>
      </c>
      <c r="F742" s="1">
        <v>51916.0</v>
      </c>
      <c r="G742" s="1">
        <v>1443.0</v>
      </c>
      <c r="H742" s="1">
        <v>190.0</v>
      </c>
      <c r="I742" s="1">
        <v>2.35E7</v>
      </c>
      <c r="J742" s="1" t="s">
        <v>15</v>
      </c>
    </row>
    <row r="743">
      <c r="A743" s="1" t="s">
        <v>2239</v>
      </c>
      <c r="B743" s="1" t="s">
        <v>2240</v>
      </c>
      <c r="C743" s="1" t="s">
        <v>2241</v>
      </c>
      <c r="D743" s="1" t="s">
        <v>1817</v>
      </c>
      <c r="E743" s="1" t="s">
        <v>1818</v>
      </c>
      <c r="F743" s="1">
        <v>26587.0</v>
      </c>
      <c r="G743" s="1">
        <v>489.0</v>
      </c>
      <c r="H743" s="1">
        <v>16.0</v>
      </c>
      <c r="I743" s="1">
        <v>2.35E7</v>
      </c>
      <c r="J743" s="1" t="s">
        <v>15</v>
      </c>
    </row>
    <row r="744">
      <c r="A744" s="1" t="s">
        <v>2242</v>
      </c>
      <c r="B744" s="1" t="s">
        <v>2243</v>
      </c>
      <c r="C744" s="1" t="s">
        <v>2244</v>
      </c>
      <c r="D744" s="1" t="s">
        <v>1817</v>
      </c>
      <c r="E744" s="1" t="s">
        <v>1818</v>
      </c>
      <c r="F744" s="1">
        <v>83951.0</v>
      </c>
      <c r="G744" s="1">
        <v>2258.0</v>
      </c>
      <c r="H744" s="1">
        <v>93.0</v>
      </c>
      <c r="I744" s="1">
        <v>2.35E7</v>
      </c>
      <c r="J744" s="1" t="s">
        <v>15</v>
      </c>
    </row>
    <row r="745">
      <c r="A745" s="1" t="s">
        <v>2245</v>
      </c>
      <c r="B745" s="1" t="s">
        <v>2246</v>
      </c>
      <c r="C745" s="1" t="s">
        <v>2247</v>
      </c>
      <c r="D745" s="1" t="s">
        <v>1817</v>
      </c>
      <c r="E745" s="1" t="s">
        <v>1818</v>
      </c>
      <c r="F745" s="1">
        <v>69034.0</v>
      </c>
      <c r="G745" s="1">
        <v>1135.0</v>
      </c>
      <c r="H745" s="1">
        <v>9.0</v>
      </c>
      <c r="I745" s="1">
        <v>2.35E7</v>
      </c>
      <c r="J745" s="1" t="s">
        <v>15</v>
      </c>
    </row>
    <row r="746">
      <c r="A746" s="1" t="s">
        <v>2248</v>
      </c>
      <c r="B746" s="1" t="s">
        <v>2249</v>
      </c>
      <c r="C746" s="1" t="s">
        <v>2250</v>
      </c>
      <c r="D746" s="1" t="s">
        <v>1817</v>
      </c>
      <c r="E746" s="1" t="s">
        <v>1818</v>
      </c>
      <c r="F746" s="1">
        <v>33161.0</v>
      </c>
      <c r="G746" s="1">
        <v>1156.0</v>
      </c>
      <c r="H746" s="1">
        <v>67.0</v>
      </c>
      <c r="I746" s="1">
        <v>2.35E7</v>
      </c>
      <c r="J746" s="1" t="s">
        <v>15</v>
      </c>
    </row>
    <row r="747">
      <c r="A747" s="1" t="s">
        <v>2251</v>
      </c>
      <c r="B747" s="1" t="s">
        <v>2252</v>
      </c>
      <c r="C747" s="1" t="s">
        <v>2253</v>
      </c>
      <c r="D747" s="1" t="s">
        <v>1817</v>
      </c>
      <c r="E747" s="1" t="s">
        <v>1818</v>
      </c>
      <c r="F747" s="1">
        <v>206374.0</v>
      </c>
      <c r="G747" s="1">
        <v>5085.0</v>
      </c>
      <c r="H747" s="1">
        <v>277.0</v>
      </c>
      <c r="I747" s="1">
        <v>2.35E7</v>
      </c>
      <c r="J747" s="1" t="s">
        <v>15</v>
      </c>
    </row>
    <row r="748">
      <c r="A748" s="1" t="s">
        <v>2254</v>
      </c>
      <c r="B748" s="1" t="s">
        <v>2255</v>
      </c>
      <c r="C748" s="1" t="s">
        <v>2256</v>
      </c>
      <c r="D748" s="1" t="s">
        <v>1817</v>
      </c>
      <c r="E748" s="1" t="s">
        <v>1818</v>
      </c>
      <c r="F748" s="1">
        <v>94951.0</v>
      </c>
      <c r="G748" s="1">
        <v>1629.0</v>
      </c>
      <c r="H748" s="1">
        <v>21.0</v>
      </c>
      <c r="I748" s="1">
        <v>2.35E7</v>
      </c>
      <c r="J748" s="1" t="s">
        <v>15</v>
      </c>
    </row>
    <row r="749">
      <c r="A749" s="1" t="s">
        <v>2257</v>
      </c>
      <c r="B749" s="1" t="s">
        <v>2258</v>
      </c>
      <c r="C749" s="1" t="s">
        <v>2259</v>
      </c>
      <c r="D749" s="1" t="s">
        <v>1817</v>
      </c>
      <c r="E749" s="1" t="s">
        <v>1818</v>
      </c>
      <c r="F749" s="1">
        <v>83000.0</v>
      </c>
      <c r="G749" s="1">
        <v>1409.0</v>
      </c>
      <c r="H749" s="1">
        <v>9.0</v>
      </c>
      <c r="I749" s="1">
        <v>2.35E7</v>
      </c>
      <c r="J749" s="1" t="s">
        <v>15</v>
      </c>
    </row>
    <row r="750">
      <c r="A750" s="1" t="s">
        <v>2260</v>
      </c>
      <c r="B750" s="1" t="s">
        <v>2261</v>
      </c>
      <c r="C750" s="1" t="s">
        <v>2262</v>
      </c>
      <c r="D750" s="1" t="s">
        <v>1817</v>
      </c>
      <c r="E750" s="1" t="s">
        <v>1818</v>
      </c>
      <c r="F750" s="1">
        <v>263187.0</v>
      </c>
      <c r="G750" s="1">
        <v>4963.0</v>
      </c>
      <c r="H750" s="1">
        <v>185.0</v>
      </c>
      <c r="I750" s="1">
        <v>2.35E7</v>
      </c>
      <c r="J750" s="1" t="s">
        <v>15</v>
      </c>
    </row>
    <row r="751">
      <c r="A751" s="1" t="s">
        <v>2263</v>
      </c>
      <c r="B751" s="1" t="s">
        <v>2264</v>
      </c>
      <c r="C751" s="1" t="s">
        <v>2265</v>
      </c>
      <c r="D751" s="1" t="s">
        <v>1817</v>
      </c>
      <c r="E751" s="1" t="s">
        <v>1818</v>
      </c>
      <c r="F751" s="1">
        <v>178790.0</v>
      </c>
      <c r="G751" s="1">
        <v>4302.0</v>
      </c>
      <c r="H751" s="1">
        <v>136.0</v>
      </c>
      <c r="I751" s="1">
        <v>2.35E7</v>
      </c>
      <c r="J751" s="1" t="s">
        <v>15</v>
      </c>
    </row>
    <row r="752">
      <c r="A752" s="1" t="s">
        <v>2266</v>
      </c>
      <c r="B752" s="1" t="s">
        <v>2267</v>
      </c>
      <c r="C752" s="1" t="s">
        <v>2268</v>
      </c>
      <c r="D752" s="1" t="s">
        <v>1817</v>
      </c>
      <c r="E752" s="1" t="s">
        <v>1818</v>
      </c>
      <c r="F752" s="1">
        <v>51011.0</v>
      </c>
      <c r="G752" s="1">
        <v>966.0</v>
      </c>
      <c r="H752" s="1">
        <v>22.0</v>
      </c>
      <c r="I752" s="1">
        <v>2.35E7</v>
      </c>
      <c r="J752" s="1" t="s">
        <v>15</v>
      </c>
    </row>
    <row r="753">
      <c r="A753" s="1" t="s">
        <v>2269</v>
      </c>
      <c r="B753" s="1" t="s">
        <v>2270</v>
      </c>
      <c r="C753" s="1" t="s">
        <v>2271</v>
      </c>
      <c r="D753" s="1" t="s">
        <v>1817</v>
      </c>
      <c r="E753" s="1" t="s">
        <v>1818</v>
      </c>
      <c r="F753" s="1">
        <v>97170.0</v>
      </c>
      <c r="G753" s="1">
        <v>2091.0</v>
      </c>
      <c r="H753" s="1">
        <v>554.0</v>
      </c>
      <c r="I753" s="1">
        <v>2.35E7</v>
      </c>
      <c r="J753" s="1" t="s">
        <v>15</v>
      </c>
    </row>
    <row r="754">
      <c r="A754" s="1" t="s">
        <v>2272</v>
      </c>
      <c r="B754" s="1" t="s">
        <v>2273</v>
      </c>
      <c r="C754" s="1" t="s">
        <v>2274</v>
      </c>
      <c r="D754" s="1" t="s">
        <v>1817</v>
      </c>
      <c r="E754" s="1" t="s">
        <v>1818</v>
      </c>
      <c r="F754" s="1">
        <v>71643.0</v>
      </c>
      <c r="G754" s="1">
        <v>1454.0</v>
      </c>
      <c r="H754" s="1">
        <v>18.0</v>
      </c>
      <c r="I754" s="1">
        <v>2.35E7</v>
      </c>
      <c r="J754" s="1" t="s">
        <v>15</v>
      </c>
    </row>
    <row r="755">
      <c r="A755" s="1" t="s">
        <v>2275</v>
      </c>
      <c r="B755" s="1" t="s">
        <v>2276</v>
      </c>
      <c r="C755" s="1" t="s">
        <v>2277</v>
      </c>
      <c r="D755" s="1" t="s">
        <v>1817</v>
      </c>
      <c r="E755" s="1" t="s">
        <v>1818</v>
      </c>
      <c r="F755" s="1">
        <v>63282.0</v>
      </c>
      <c r="G755" s="1">
        <v>1178.0</v>
      </c>
      <c r="H755" s="1">
        <v>10.0</v>
      </c>
      <c r="I755" s="1">
        <v>2.35E7</v>
      </c>
      <c r="J755" s="1" t="s">
        <v>15</v>
      </c>
    </row>
    <row r="756">
      <c r="A756" s="1" t="s">
        <v>2278</v>
      </c>
      <c r="B756" s="1" t="s">
        <v>2279</v>
      </c>
      <c r="C756" s="1" t="s">
        <v>2280</v>
      </c>
      <c r="D756" s="1" t="s">
        <v>1817</v>
      </c>
      <c r="E756" s="1" t="s">
        <v>1818</v>
      </c>
      <c r="F756" s="1">
        <v>79600.0</v>
      </c>
      <c r="G756" s="1">
        <v>3016.0</v>
      </c>
      <c r="H756" s="1">
        <v>148.0</v>
      </c>
      <c r="I756" s="1">
        <v>2.35E7</v>
      </c>
      <c r="J756" s="1" t="s">
        <v>15</v>
      </c>
    </row>
    <row r="757">
      <c r="A757" s="1" t="s">
        <v>2281</v>
      </c>
      <c r="B757" s="1" t="s">
        <v>2282</v>
      </c>
      <c r="C757" s="1" t="s">
        <v>2283</v>
      </c>
      <c r="D757" s="1" t="s">
        <v>1817</v>
      </c>
      <c r="E757" s="1" t="s">
        <v>1818</v>
      </c>
      <c r="F757" s="1">
        <v>138219.0</v>
      </c>
      <c r="G757" s="1">
        <v>3661.0</v>
      </c>
      <c r="H757" s="1">
        <v>149.0</v>
      </c>
      <c r="I757" s="1">
        <v>2.35E7</v>
      </c>
      <c r="J757" s="1" t="s">
        <v>15</v>
      </c>
    </row>
    <row r="758">
      <c r="A758" s="1" t="s">
        <v>2284</v>
      </c>
      <c r="B758" s="1" t="s">
        <v>2285</v>
      </c>
      <c r="C758" s="1" t="s">
        <v>2286</v>
      </c>
      <c r="D758" s="1" t="s">
        <v>1817</v>
      </c>
      <c r="E758" s="1" t="s">
        <v>1818</v>
      </c>
      <c r="F758" s="1">
        <v>96163.0</v>
      </c>
      <c r="G758" s="1">
        <v>1530.0</v>
      </c>
      <c r="H758" s="1">
        <v>21.0</v>
      </c>
      <c r="I758" s="1">
        <v>2.35E7</v>
      </c>
      <c r="J758" s="1" t="s">
        <v>15</v>
      </c>
    </row>
    <row r="759">
      <c r="A759" s="1" t="s">
        <v>2287</v>
      </c>
      <c r="B759" s="1" t="s">
        <v>2288</v>
      </c>
      <c r="C759" s="1" t="s">
        <v>2289</v>
      </c>
      <c r="D759" s="1" t="s">
        <v>1817</v>
      </c>
      <c r="E759" s="1" t="s">
        <v>1818</v>
      </c>
      <c r="F759" s="1">
        <v>116661.0</v>
      </c>
      <c r="G759" s="1">
        <v>1667.0</v>
      </c>
      <c r="H759" s="1">
        <v>11.0</v>
      </c>
      <c r="I759" s="1">
        <v>2.35E7</v>
      </c>
      <c r="J759" s="1" t="s">
        <v>15</v>
      </c>
    </row>
    <row r="760">
      <c r="A760" s="1" t="s">
        <v>2290</v>
      </c>
      <c r="B760" s="1" t="s">
        <v>2291</v>
      </c>
      <c r="C760" s="1" t="s">
        <v>2292</v>
      </c>
      <c r="D760" s="1" t="s">
        <v>1817</v>
      </c>
      <c r="E760" s="1" t="s">
        <v>1818</v>
      </c>
      <c r="F760" s="1">
        <v>48160.0</v>
      </c>
      <c r="G760" s="1">
        <v>1469.0</v>
      </c>
      <c r="H760" s="1">
        <v>76.0</v>
      </c>
      <c r="I760" s="1">
        <v>2.35E7</v>
      </c>
      <c r="J760" s="1" t="s">
        <v>15</v>
      </c>
    </row>
    <row r="761">
      <c r="A761" s="1" t="s">
        <v>2293</v>
      </c>
      <c r="B761" s="1" t="s">
        <v>2294</v>
      </c>
      <c r="C761" s="1" t="s">
        <v>2295</v>
      </c>
      <c r="D761" s="1" t="s">
        <v>1817</v>
      </c>
      <c r="E761" s="1" t="s">
        <v>1818</v>
      </c>
      <c r="F761" s="1">
        <v>79166.0</v>
      </c>
      <c r="G761" s="1">
        <v>1306.0</v>
      </c>
      <c r="H761" s="1">
        <v>23.0</v>
      </c>
      <c r="I761" s="1">
        <v>2.35E7</v>
      </c>
      <c r="J761" s="1" t="s">
        <v>15</v>
      </c>
    </row>
    <row r="762">
      <c r="A762" s="1" t="s">
        <v>2296</v>
      </c>
      <c r="B762" s="1" t="s">
        <v>2297</v>
      </c>
      <c r="C762" s="1" t="s">
        <v>2298</v>
      </c>
      <c r="D762" s="1" t="s">
        <v>1817</v>
      </c>
      <c r="E762" s="1" t="s">
        <v>1818</v>
      </c>
      <c r="F762" s="1">
        <v>128483.0</v>
      </c>
      <c r="G762" s="1">
        <v>2012.0</v>
      </c>
      <c r="H762" s="1">
        <v>25.0</v>
      </c>
      <c r="I762" s="1">
        <v>2.35E7</v>
      </c>
      <c r="J762" s="1" t="s">
        <v>15</v>
      </c>
    </row>
    <row r="763">
      <c r="A763" s="1" t="s">
        <v>2299</v>
      </c>
      <c r="B763" s="1" t="s">
        <v>2300</v>
      </c>
      <c r="C763" s="1" t="s">
        <v>2301</v>
      </c>
      <c r="D763" s="1" t="s">
        <v>1817</v>
      </c>
      <c r="E763" s="1" t="s">
        <v>1818</v>
      </c>
      <c r="F763" s="1">
        <v>131737.0</v>
      </c>
      <c r="G763" s="1">
        <v>2144.0</v>
      </c>
      <c r="H763" s="1">
        <v>15.0</v>
      </c>
      <c r="I763" s="1">
        <v>2.35E7</v>
      </c>
      <c r="J763" s="1" t="s">
        <v>15</v>
      </c>
    </row>
    <row r="764">
      <c r="A764" s="1" t="s">
        <v>2302</v>
      </c>
      <c r="B764" s="1" t="s">
        <v>2303</v>
      </c>
      <c r="C764" s="1" t="s">
        <v>2304</v>
      </c>
      <c r="D764" s="1" t="s">
        <v>1817</v>
      </c>
      <c r="E764" s="1" t="s">
        <v>1818</v>
      </c>
      <c r="F764" s="1">
        <v>62550.0</v>
      </c>
      <c r="G764" s="1">
        <v>1634.0</v>
      </c>
      <c r="H764" s="1">
        <v>105.0</v>
      </c>
      <c r="I764" s="1">
        <v>2.35E7</v>
      </c>
      <c r="J764" s="1" t="s">
        <v>15</v>
      </c>
    </row>
    <row r="765">
      <c r="A765" s="1" t="s">
        <v>2305</v>
      </c>
      <c r="B765" s="1" t="s">
        <v>2306</v>
      </c>
      <c r="C765" s="1" t="s">
        <v>2307</v>
      </c>
      <c r="D765" s="1" t="s">
        <v>1817</v>
      </c>
      <c r="E765" s="1" t="s">
        <v>1818</v>
      </c>
      <c r="F765" s="1">
        <v>88350.0</v>
      </c>
      <c r="G765" s="1">
        <v>1789.0</v>
      </c>
      <c r="H765" s="1">
        <v>88.0</v>
      </c>
      <c r="I765" s="1">
        <v>2.35E7</v>
      </c>
      <c r="J765" s="1" t="s">
        <v>15</v>
      </c>
    </row>
    <row r="766">
      <c r="A766" s="1" t="s">
        <v>2308</v>
      </c>
      <c r="B766" s="1" t="s">
        <v>2309</v>
      </c>
      <c r="C766" s="1" t="s">
        <v>2310</v>
      </c>
      <c r="D766" s="1" t="s">
        <v>1817</v>
      </c>
      <c r="E766" s="1" t="s">
        <v>1818</v>
      </c>
      <c r="F766" s="1">
        <v>102093.0</v>
      </c>
      <c r="G766" s="1">
        <v>3063.0</v>
      </c>
      <c r="H766" s="1">
        <v>94.0</v>
      </c>
      <c r="I766" s="1">
        <v>2.35E7</v>
      </c>
      <c r="J766" s="1" t="s">
        <v>15</v>
      </c>
    </row>
    <row r="767">
      <c r="A767" s="1" t="s">
        <v>2311</v>
      </c>
      <c r="B767" s="1" t="s">
        <v>2312</v>
      </c>
      <c r="C767" s="1" t="s">
        <v>2313</v>
      </c>
      <c r="D767" s="1" t="s">
        <v>1817</v>
      </c>
      <c r="E767" s="1" t="s">
        <v>1818</v>
      </c>
      <c r="F767" s="1">
        <v>90413.0</v>
      </c>
      <c r="G767" s="1">
        <v>1574.0</v>
      </c>
      <c r="H767" s="1">
        <v>18.0</v>
      </c>
      <c r="I767" s="1">
        <v>2.35E7</v>
      </c>
      <c r="J767" s="1" t="s">
        <v>15</v>
      </c>
    </row>
    <row r="768">
      <c r="A768" s="1" t="s">
        <v>2314</v>
      </c>
      <c r="B768" s="1" t="s">
        <v>2315</v>
      </c>
      <c r="C768" s="1" t="s">
        <v>2316</v>
      </c>
      <c r="D768" s="1" t="s">
        <v>1817</v>
      </c>
      <c r="E768" s="1" t="s">
        <v>1818</v>
      </c>
      <c r="F768" s="1">
        <v>148917.0</v>
      </c>
      <c r="G768" s="1">
        <v>5175.0</v>
      </c>
      <c r="H768" s="1">
        <v>245.0</v>
      </c>
      <c r="I768" s="1">
        <v>2.35E7</v>
      </c>
      <c r="J768" s="1" t="s">
        <v>15</v>
      </c>
    </row>
    <row r="769">
      <c r="A769" s="1" t="s">
        <v>2317</v>
      </c>
      <c r="B769" s="1" t="s">
        <v>2318</v>
      </c>
      <c r="C769" s="1" t="s">
        <v>2319</v>
      </c>
      <c r="D769" s="1" t="s">
        <v>1817</v>
      </c>
      <c r="E769" s="1" t="s">
        <v>1818</v>
      </c>
      <c r="F769" s="1">
        <v>82736.0</v>
      </c>
      <c r="G769" s="1">
        <v>1529.0</v>
      </c>
      <c r="H769" s="1">
        <v>6.0</v>
      </c>
      <c r="I769" s="1">
        <v>2.35E7</v>
      </c>
      <c r="J769" s="1" t="s">
        <v>15</v>
      </c>
    </row>
    <row r="770">
      <c r="A770" s="1" t="s">
        <v>2320</v>
      </c>
      <c r="B770" s="1" t="s">
        <v>2321</v>
      </c>
      <c r="C770" s="1" t="s">
        <v>2322</v>
      </c>
      <c r="D770" s="1" t="s">
        <v>1817</v>
      </c>
      <c r="E770" s="1" t="s">
        <v>1818</v>
      </c>
      <c r="F770" s="1">
        <v>116964.0</v>
      </c>
      <c r="G770" s="1">
        <v>2142.0</v>
      </c>
      <c r="H770" s="1">
        <v>13.0</v>
      </c>
      <c r="I770" s="1">
        <v>2.35E7</v>
      </c>
      <c r="J770" s="1" t="s">
        <v>15</v>
      </c>
    </row>
    <row r="771">
      <c r="A771" s="1" t="s">
        <v>2323</v>
      </c>
      <c r="B771" s="1" t="s">
        <v>2324</v>
      </c>
      <c r="C771" s="1" t="s">
        <v>2325</v>
      </c>
      <c r="D771" s="1" t="s">
        <v>1817</v>
      </c>
      <c r="E771" s="1" t="s">
        <v>1818</v>
      </c>
      <c r="F771" s="1">
        <v>37386.0</v>
      </c>
      <c r="G771" s="1">
        <v>1112.0</v>
      </c>
      <c r="H771" s="1">
        <v>61.0</v>
      </c>
      <c r="I771" s="1">
        <v>2.35E7</v>
      </c>
      <c r="J771" s="1" t="s">
        <v>15</v>
      </c>
    </row>
    <row r="772">
      <c r="A772" s="1" t="s">
        <v>2326</v>
      </c>
      <c r="B772" s="1" t="s">
        <v>2327</v>
      </c>
      <c r="C772" s="1" t="s">
        <v>2328</v>
      </c>
      <c r="D772" s="1" t="s">
        <v>1817</v>
      </c>
      <c r="E772" s="1" t="s">
        <v>1818</v>
      </c>
      <c r="F772" s="1">
        <v>73197.0</v>
      </c>
      <c r="G772" s="1">
        <v>1407.0</v>
      </c>
      <c r="H772" s="1">
        <v>8.0</v>
      </c>
      <c r="I772" s="1">
        <v>2.35E7</v>
      </c>
      <c r="J772" s="1" t="s">
        <v>15</v>
      </c>
    </row>
    <row r="773">
      <c r="A773" s="1" t="s">
        <v>2329</v>
      </c>
      <c r="B773" s="1" t="s">
        <v>2330</v>
      </c>
      <c r="C773" s="1" t="s">
        <v>2331</v>
      </c>
      <c r="D773" s="1" t="s">
        <v>1817</v>
      </c>
      <c r="E773" s="1" t="s">
        <v>1818</v>
      </c>
      <c r="F773" s="1">
        <v>114184.0</v>
      </c>
      <c r="G773" s="1">
        <v>4155.0</v>
      </c>
      <c r="H773" s="1">
        <v>139.0</v>
      </c>
      <c r="I773" s="1">
        <v>2.35E7</v>
      </c>
      <c r="J773" s="1" t="s">
        <v>15</v>
      </c>
    </row>
    <row r="774">
      <c r="A774" s="1" t="s">
        <v>2332</v>
      </c>
      <c r="B774" s="1" t="s">
        <v>2333</v>
      </c>
      <c r="C774" s="1" t="s">
        <v>2334</v>
      </c>
      <c r="D774" s="1" t="s">
        <v>1817</v>
      </c>
      <c r="E774" s="1" t="s">
        <v>1818</v>
      </c>
      <c r="F774" s="1">
        <v>87036.0</v>
      </c>
      <c r="G774" s="1">
        <v>1785.0</v>
      </c>
      <c r="H774" s="1">
        <v>17.0</v>
      </c>
      <c r="I774" s="1">
        <v>2.35E7</v>
      </c>
      <c r="J774" s="1" t="s">
        <v>15</v>
      </c>
    </row>
    <row r="775">
      <c r="A775" s="1" t="s">
        <v>2335</v>
      </c>
      <c r="B775" s="1" t="s">
        <v>2336</v>
      </c>
      <c r="C775" s="1" t="s">
        <v>2337</v>
      </c>
      <c r="D775" s="1" t="s">
        <v>1817</v>
      </c>
      <c r="E775" s="1" t="s">
        <v>1818</v>
      </c>
      <c r="F775" s="1">
        <v>111750.0</v>
      </c>
      <c r="G775" s="1">
        <v>4259.0</v>
      </c>
      <c r="H775" s="1">
        <v>159.0</v>
      </c>
      <c r="I775" s="1">
        <v>2.35E7</v>
      </c>
      <c r="J775" s="1" t="s">
        <v>15</v>
      </c>
    </row>
    <row r="776">
      <c r="A776" s="1" t="s">
        <v>2338</v>
      </c>
      <c r="B776" s="1" t="s">
        <v>2339</v>
      </c>
      <c r="C776" s="1" t="s">
        <v>2340</v>
      </c>
      <c r="D776" s="1" t="s">
        <v>1817</v>
      </c>
      <c r="E776" s="1" t="s">
        <v>1818</v>
      </c>
      <c r="F776" s="1">
        <v>85280.0</v>
      </c>
      <c r="G776" s="1">
        <v>1685.0</v>
      </c>
      <c r="H776" s="1">
        <v>26.0</v>
      </c>
      <c r="I776" s="1">
        <v>2.35E7</v>
      </c>
      <c r="J776" s="1" t="s">
        <v>15</v>
      </c>
    </row>
    <row r="777">
      <c r="A777" s="1" t="s">
        <v>2341</v>
      </c>
      <c r="B777" s="1" t="s">
        <v>2342</v>
      </c>
      <c r="C777" s="1" t="s">
        <v>2343</v>
      </c>
      <c r="D777" s="1" t="s">
        <v>1817</v>
      </c>
      <c r="E777" s="1" t="s">
        <v>1818</v>
      </c>
      <c r="F777" s="1">
        <v>77319.0</v>
      </c>
      <c r="G777" s="1">
        <v>1371.0</v>
      </c>
      <c r="H777" s="1">
        <v>21.0</v>
      </c>
      <c r="I777" s="1">
        <v>2.35E7</v>
      </c>
      <c r="J777" s="1" t="s">
        <v>15</v>
      </c>
    </row>
    <row r="778">
      <c r="A778" s="1" t="s">
        <v>2344</v>
      </c>
      <c r="B778" s="1" t="s">
        <v>2345</v>
      </c>
      <c r="C778" s="1" t="s">
        <v>2346</v>
      </c>
      <c r="D778" s="1" t="s">
        <v>1817</v>
      </c>
      <c r="E778" s="1" t="s">
        <v>1818</v>
      </c>
      <c r="F778" s="1">
        <v>47312.0</v>
      </c>
      <c r="G778" s="1">
        <v>1465.0</v>
      </c>
      <c r="H778" s="1">
        <v>144.0</v>
      </c>
      <c r="I778" s="1">
        <v>2.35E7</v>
      </c>
      <c r="J778" s="1" t="s">
        <v>15</v>
      </c>
    </row>
    <row r="779">
      <c r="A779" s="1" t="s">
        <v>2347</v>
      </c>
      <c r="B779" s="1" t="s">
        <v>2348</v>
      </c>
      <c r="C779" s="1" t="s">
        <v>2349</v>
      </c>
      <c r="D779" s="1" t="s">
        <v>1817</v>
      </c>
      <c r="E779" s="1" t="s">
        <v>1818</v>
      </c>
      <c r="F779" s="1">
        <v>86596.0</v>
      </c>
      <c r="G779" s="1">
        <v>1561.0</v>
      </c>
      <c r="H779" s="1">
        <v>17.0</v>
      </c>
      <c r="I779" s="1">
        <v>2.35E7</v>
      </c>
      <c r="J779" s="1" t="s">
        <v>15</v>
      </c>
    </row>
    <row r="780">
      <c r="A780" s="1" t="s">
        <v>2350</v>
      </c>
      <c r="B780" s="1" t="s">
        <v>2351</v>
      </c>
      <c r="C780" s="1" t="s">
        <v>2352</v>
      </c>
      <c r="D780" s="1" t="s">
        <v>1817</v>
      </c>
      <c r="E780" s="1" t="s">
        <v>1818</v>
      </c>
      <c r="F780" s="1">
        <v>70250.0</v>
      </c>
      <c r="G780" s="1">
        <v>1244.0</v>
      </c>
      <c r="H780" s="1">
        <v>7.0</v>
      </c>
      <c r="I780" s="1">
        <v>2.35E7</v>
      </c>
      <c r="J780" s="1" t="s">
        <v>15</v>
      </c>
    </row>
    <row r="781">
      <c r="A781" s="1" t="s">
        <v>2353</v>
      </c>
      <c r="B781" s="1" t="s">
        <v>2354</v>
      </c>
      <c r="C781" s="1" t="s">
        <v>2355</v>
      </c>
      <c r="D781" s="1" t="s">
        <v>1817</v>
      </c>
      <c r="E781" s="1" t="s">
        <v>1818</v>
      </c>
      <c r="F781" s="1">
        <v>119402.0</v>
      </c>
      <c r="G781" s="1">
        <v>1979.0</v>
      </c>
      <c r="H781" s="1">
        <v>91.0</v>
      </c>
      <c r="I781" s="1">
        <v>2.35E7</v>
      </c>
      <c r="J781" s="1" t="s">
        <v>15</v>
      </c>
    </row>
    <row r="782">
      <c r="A782" s="1" t="s">
        <v>2356</v>
      </c>
      <c r="B782" s="1" t="s">
        <v>2357</v>
      </c>
      <c r="C782" s="1" t="s">
        <v>2358</v>
      </c>
      <c r="D782" s="1" t="s">
        <v>1817</v>
      </c>
      <c r="E782" s="1" t="s">
        <v>1818</v>
      </c>
      <c r="F782" s="1">
        <v>143350.0</v>
      </c>
      <c r="G782" s="1">
        <v>5656.0</v>
      </c>
      <c r="H782" s="1">
        <v>1360.0</v>
      </c>
      <c r="I782" s="1">
        <v>2.35E7</v>
      </c>
      <c r="J782" s="1" t="s">
        <v>15</v>
      </c>
    </row>
    <row r="783">
      <c r="A783" s="1" t="s">
        <v>2359</v>
      </c>
      <c r="B783" s="1" t="s">
        <v>2360</v>
      </c>
      <c r="C783" s="1" t="s">
        <v>2361</v>
      </c>
      <c r="D783" s="1" t="s">
        <v>1817</v>
      </c>
      <c r="E783" s="1" t="s">
        <v>1818</v>
      </c>
      <c r="F783" s="1">
        <v>110806.0</v>
      </c>
      <c r="G783" s="1">
        <v>1929.0</v>
      </c>
      <c r="H783" s="1">
        <v>14.0</v>
      </c>
      <c r="I783" s="1">
        <v>2.35E7</v>
      </c>
      <c r="J783" s="1" t="s">
        <v>15</v>
      </c>
    </row>
    <row r="784">
      <c r="A784" s="1" t="s">
        <v>2362</v>
      </c>
      <c r="B784" s="1" t="s">
        <v>2363</v>
      </c>
      <c r="C784" s="1" t="s">
        <v>2364</v>
      </c>
      <c r="D784" s="1" t="s">
        <v>1817</v>
      </c>
      <c r="E784" s="1" t="s">
        <v>1818</v>
      </c>
      <c r="F784" s="1">
        <v>187268.0</v>
      </c>
      <c r="G784" s="1">
        <v>6090.0</v>
      </c>
      <c r="H784" s="1">
        <v>436.0</v>
      </c>
      <c r="I784" s="1">
        <v>2.35E7</v>
      </c>
      <c r="J784" s="1" t="s">
        <v>15</v>
      </c>
    </row>
    <row r="785">
      <c r="A785" s="1" t="s">
        <v>2365</v>
      </c>
      <c r="B785" s="1" t="s">
        <v>2366</v>
      </c>
      <c r="C785" s="1" t="s">
        <v>2367</v>
      </c>
      <c r="D785" s="1" t="s">
        <v>1817</v>
      </c>
      <c r="E785" s="1" t="s">
        <v>1818</v>
      </c>
      <c r="F785" s="1">
        <v>92757.0</v>
      </c>
      <c r="G785" s="1">
        <v>1637.0</v>
      </c>
      <c r="H785" s="1">
        <v>16.0</v>
      </c>
      <c r="I785" s="1">
        <v>2.35E7</v>
      </c>
      <c r="J785" s="1" t="s">
        <v>15</v>
      </c>
    </row>
    <row r="786">
      <c r="A786" s="1" t="s">
        <v>2368</v>
      </c>
      <c r="B786" s="1" t="s">
        <v>2369</v>
      </c>
      <c r="C786" s="1" t="s">
        <v>2370</v>
      </c>
      <c r="D786" s="1" t="s">
        <v>1817</v>
      </c>
      <c r="E786" s="1" t="s">
        <v>1818</v>
      </c>
      <c r="F786" s="1">
        <v>36535.0</v>
      </c>
      <c r="G786" s="1">
        <v>636.0</v>
      </c>
      <c r="H786" s="1">
        <v>35.0</v>
      </c>
      <c r="I786" s="1">
        <v>2.35E7</v>
      </c>
      <c r="J786" s="1" t="s">
        <v>15</v>
      </c>
    </row>
    <row r="787">
      <c r="A787" s="1" t="s">
        <v>2371</v>
      </c>
      <c r="B787" s="1" t="s">
        <v>2372</v>
      </c>
      <c r="C787" s="1" t="s">
        <v>2373</v>
      </c>
      <c r="D787" s="1" t="s">
        <v>1817</v>
      </c>
      <c r="E787" s="1" t="s">
        <v>1818</v>
      </c>
      <c r="F787" s="1">
        <v>225857.0</v>
      </c>
      <c r="G787" s="1">
        <v>6913.0</v>
      </c>
      <c r="H787" s="1">
        <v>324.0</v>
      </c>
      <c r="I787" s="1">
        <v>2.35E7</v>
      </c>
      <c r="J787" s="1" t="s">
        <v>15</v>
      </c>
    </row>
    <row r="788">
      <c r="A788" s="1" t="s">
        <v>2374</v>
      </c>
      <c r="B788" s="1" t="s">
        <v>2375</v>
      </c>
      <c r="C788" s="1" t="s">
        <v>2376</v>
      </c>
      <c r="D788" s="1" t="s">
        <v>1817</v>
      </c>
      <c r="E788" s="1" t="s">
        <v>1818</v>
      </c>
      <c r="F788" s="1">
        <v>174816.0</v>
      </c>
      <c r="G788" s="1">
        <v>6210.0</v>
      </c>
      <c r="H788" s="1">
        <v>287.0</v>
      </c>
      <c r="I788" s="1">
        <v>2.35E7</v>
      </c>
      <c r="J788" s="1" t="s">
        <v>15</v>
      </c>
    </row>
    <row r="789">
      <c r="A789" s="1" t="s">
        <v>2377</v>
      </c>
      <c r="B789" s="1" t="s">
        <v>2378</v>
      </c>
      <c r="C789" s="1" t="s">
        <v>2379</v>
      </c>
      <c r="D789" s="1" t="s">
        <v>1817</v>
      </c>
      <c r="E789" s="1" t="s">
        <v>1818</v>
      </c>
      <c r="F789" s="1">
        <v>136131.0</v>
      </c>
      <c r="G789" s="1">
        <v>2703.0</v>
      </c>
      <c r="H789" s="1">
        <v>63.0</v>
      </c>
      <c r="I789" s="1">
        <v>2.35E7</v>
      </c>
      <c r="J789" s="1" t="s">
        <v>15</v>
      </c>
    </row>
    <row r="790">
      <c r="A790" s="1" t="s">
        <v>2380</v>
      </c>
      <c r="B790" s="1" t="s">
        <v>2381</v>
      </c>
      <c r="C790" s="1" t="s">
        <v>2382</v>
      </c>
      <c r="D790" s="1" t="s">
        <v>1817</v>
      </c>
      <c r="E790" s="1" t="s">
        <v>1818</v>
      </c>
      <c r="F790" s="1">
        <v>30834.0</v>
      </c>
      <c r="G790" s="1">
        <v>787.0</v>
      </c>
      <c r="H790" s="1">
        <v>56.0</v>
      </c>
      <c r="I790" s="1">
        <v>2.35E7</v>
      </c>
      <c r="J790" s="1" t="s">
        <v>15</v>
      </c>
    </row>
    <row r="791">
      <c r="A791" s="1" t="s">
        <v>2384</v>
      </c>
      <c r="B791" s="1" t="s">
        <v>2386</v>
      </c>
      <c r="C791" s="1" t="s">
        <v>2387</v>
      </c>
      <c r="D791" s="1" t="s">
        <v>1817</v>
      </c>
      <c r="E791" s="1" t="s">
        <v>1818</v>
      </c>
      <c r="F791" s="1">
        <v>45992.0</v>
      </c>
      <c r="G791" s="1">
        <v>927.0</v>
      </c>
      <c r="H791" s="1">
        <v>13.0</v>
      </c>
      <c r="I791" s="1">
        <v>2.35E7</v>
      </c>
      <c r="J791" s="1" t="s">
        <v>15</v>
      </c>
    </row>
    <row r="792">
      <c r="A792" s="1" t="s">
        <v>2390</v>
      </c>
      <c r="B792" s="1" t="s">
        <v>2391</v>
      </c>
      <c r="C792" s="1" t="s">
        <v>2392</v>
      </c>
      <c r="D792" s="1" t="s">
        <v>1817</v>
      </c>
      <c r="E792" s="1" t="s">
        <v>1818</v>
      </c>
      <c r="F792" s="1">
        <v>75473.0</v>
      </c>
      <c r="G792" s="1">
        <v>1354.0</v>
      </c>
      <c r="H792" s="1">
        <v>3.0</v>
      </c>
      <c r="I792" s="1">
        <v>2.35E7</v>
      </c>
      <c r="J792" s="1" t="s">
        <v>15</v>
      </c>
    </row>
    <row r="793">
      <c r="A793" s="1" t="s">
        <v>2393</v>
      </c>
      <c r="B793" s="1" t="s">
        <v>2394</v>
      </c>
      <c r="C793" s="1" t="s">
        <v>2395</v>
      </c>
      <c r="D793" s="1" t="s">
        <v>1817</v>
      </c>
      <c r="E793" s="1" t="s">
        <v>1818</v>
      </c>
      <c r="F793" s="1">
        <v>43872.0</v>
      </c>
      <c r="G793" s="1">
        <v>1281.0</v>
      </c>
      <c r="H793" s="1">
        <v>52.0</v>
      </c>
      <c r="I793" s="1">
        <v>2.35E7</v>
      </c>
      <c r="J793" s="1" t="s">
        <v>15</v>
      </c>
    </row>
    <row r="794">
      <c r="A794" s="1" t="s">
        <v>2396</v>
      </c>
      <c r="B794" s="1" t="s">
        <v>2397</v>
      </c>
      <c r="C794" s="1" t="s">
        <v>2398</v>
      </c>
      <c r="D794" s="1" t="s">
        <v>1817</v>
      </c>
      <c r="E794" s="1" t="s">
        <v>1818</v>
      </c>
      <c r="F794" s="1">
        <v>77409.0</v>
      </c>
      <c r="G794" s="1">
        <v>1570.0</v>
      </c>
      <c r="H794" s="1">
        <v>7.0</v>
      </c>
      <c r="I794" s="1">
        <v>2.35E7</v>
      </c>
      <c r="J794" s="1" t="s">
        <v>15</v>
      </c>
    </row>
    <row r="795">
      <c r="A795" s="1" t="s">
        <v>2399</v>
      </c>
      <c r="B795" s="1" t="s">
        <v>2400</v>
      </c>
      <c r="C795" s="1" t="s">
        <v>2401</v>
      </c>
      <c r="D795" s="1" t="s">
        <v>1817</v>
      </c>
      <c r="E795" s="1" t="s">
        <v>1818</v>
      </c>
      <c r="F795" s="1">
        <v>86678.0</v>
      </c>
      <c r="G795" s="1">
        <v>1610.0</v>
      </c>
      <c r="H795" s="1">
        <v>15.0</v>
      </c>
      <c r="I795" s="1">
        <v>2.35E7</v>
      </c>
      <c r="J795" s="1" t="s">
        <v>15</v>
      </c>
    </row>
    <row r="796">
      <c r="A796" s="1" t="s">
        <v>2402</v>
      </c>
      <c r="B796" s="1" t="s">
        <v>2403</v>
      </c>
      <c r="C796" s="1" t="s">
        <v>2404</v>
      </c>
      <c r="D796" s="1" t="s">
        <v>1817</v>
      </c>
      <c r="E796" s="1" t="s">
        <v>1818</v>
      </c>
      <c r="F796" s="1">
        <v>48918.0</v>
      </c>
      <c r="G796" s="1">
        <v>757.0</v>
      </c>
      <c r="H796" s="1">
        <v>25.0</v>
      </c>
      <c r="I796" s="1">
        <v>2.35E7</v>
      </c>
      <c r="J796" s="1" t="s">
        <v>15</v>
      </c>
    </row>
    <row r="797">
      <c r="A797" s="1" t="s">
        <v>2405</v>
      </c>
      <c r="B797" s="1" t="s">
        <v>2406</v>
      </c>
      <c r="C797" s="1" t="s">
        <v>2407</v>
      </c>
      <c r="D797" s="1" t="s">
        <v>1817</v>
      </c>
      <c r="E797" s="1" t="s">
        <v>1818</v>
      </c>
      <c r="F797" s="1">
        <v>39968.0</v>
      </c>
      <c r="G797" s="1">
        <v>1345.0</v>
      </c>
      <c r="H797" s="1">
        <v>125.0</v>
      </c>
      <c r="I797" s="1">
        <v>2.35E7</v>
      </c>
      <c r="J797" s="1" t="s">
        <v>15</v>
      </c>
    </row>
    <row r="798">
      <c r="A798" s="1" t="s">
        <v>2408</v>
      </c>
      <c r="B798" s="1" t="s">
        <v>2409</v>
      </c>
      <c r="C798" s="1" t="s">
        <v>2410</v>
      </c>
      <c r="D798" s="1" t="s">
        <v>1817</v>
      </c>
      <c r="E798" s="1" t="s">
        <v>1818</v>
      </c>
      <c r="F798" s="1">
        <v>71845.0</v>
      </c>
      <c r="G798" s="1">
        <v>1398.0</v>
      </c>
      <c r="H798" s="1">
        <v>34.0</v>
      </c>
      <c r="I798" s="1">
        <v>2.35E7</v>
      </c>
      <c r="J798" s="1" t="s">
        <v>15</v>
      </c>
    </row>
    <row r="799">
      <c r="A799" s="1" t="s">
        <v>2411</v>
      </c>
      <c r="B799" s="1" t="s">
        <v>2412</v>
      </c>
      <c r="C799" s="1" t="s">
        <v>2413</v>
      </c>
      <c r="D799" s="1" t="s">
        <v>1817</v>
      </c>
      <c r="E799" s="1" t="s">
        <v>1818</v>
      </c>
      <c r="F799" s="1">
        <v>111431.0</v>
      </c>
      <c r="G799" s="1">
        <v>2060.0</v>
      </c>
      <c r="H799" s="1">
        <v>20.0</v>
      </c>
      <c r="I799" s="1">
        <v>2.35E7</v>
      </c>
      <c r="J799" s="1" t="s">
        <v>15</v>
      </c>
    </row>
    <row r="800">
      <c r="A800" s="1" t="s">
        <v>2414</v>
      </c>
      <c r="B800" s="1" t="s">
        <v>2415</v>
      </c>
      <c r="C800" s="1" t="s">
        <v>2416</v>
      </c>
      <c r="D800" s="1" t="s">
        <v>1817</v>
      </c>
      <c r="E800" s="1" t="s">
        <v>1818</v>
      </c>
      <c r="F800" s="1">
        <v>44538.0</v>
      </c>
      <c r="G800" s="1">
        <v>619.0</v>
      </c>
      <c r="H800" s="1">
        <v>14.0</v>
      </c>
      <c r="I800" s="1">
        <v>2.35E7</v>
      </c>
      <c r="J800" s="1" t="s">
        <v>15</v>
      </c>
    </row>
    <row r="801">
      <c r="A801" s="1" t="s">
        <v>2417</v>
      </c>
      <c r="B801" s="1" t="s">
        <v>2418</v>
      </c>
      <c r="C801" s="1" t="s">
        <v>2419</v>
      </c>
      <c r="D801" s="1" t="s">
        <v>1817</v>
      </c>
      <c r="E801" s="1" t="s">
        <v>1818</v>
      </c>
      <c r="F801" s="1">
        <v>111307.0</v>
      </c>
      <c r="G801" s="1">
        <v>2167.0</v>
      </c>
      <c r="H801" s="1">
        <v>20.0</v>
      </c>
      <c r="I801" s="1">
        <v>2.35E7</v>
      </c>
      <c r="J801" s="1" t="s">
        <v>15</v>
      </c>
    </row>
    <row r="802">
      <c r="A802" s="1" t="s">
        <v>2420</v>
      </c>
      <c r="B802" s="1" t="s">
        <v>2421</v>
      </c>
      <c r="C802" s="1" t="s">
        <v>2422</v>
      </c>
      <c r="D802" s="1" t="s">
        <v>2423</v>
      </c>
      <c r="E802" s="1" t="s">
        <v>2424</v>
      </c>
      <c r="F802" s="1">
        <v>185350.0</v>
      </c>
      <c r="G802" s="1">
        <v>12479.0</v>
      </c>
      <c r="H802" s="1">
        <v>142.0</v>
      </c>
      <c r="I802" s="1">
        <v>3330000.0</v>
      </c>
      <c r="J802" s="1" t="s">
        <v>15</v>
      </c>
    </row>
    <row r="803">
      <c r="A803" s="1" t="s">
        <v>2425</v>
      </c>
      <c r="B803" s="1" t="s">
        <v>2426</v>
      </c>
      <c r="C803" s="1" t="s">
        <v>2427</v>
      </c>
      <c r="D803" s="1" t="s">
        <v>2423</v>
      </c>
      <c r="E803" s="1" t="s">
        <v>2424</v>
      </c>
      <c r="F803" s="1">
        <v>1153161.0</v>
      </c>
      <c r="G803" s="1">
        <v>51958.0</v>
      </c>
      <c r="H803" s="1">
        <v>11225.0</v>
      </c>
      <c r="I803" s="1">
        <v>3330000.0</v>
      </c>
      <c r="J803" s="1" t="s">
        <v>15</v>
      </c>
    </row>
    <row r="804">
      <c r="A804" s="1" t="s">
        <v>2428</v>
      </c>
      <c r="B804" s="1" t="s">
        <v>2429</v>
      </c>
      <c r="C804" s="1" t="s">
        <v>2430</v>
      </c>
      <c r="D804" s="1" t="s">
        <v>2423</v>
      </c>
      <c r="E804" s="1" t="s">
        <v>2424</v>
      </c>
      <c r="F804" s="1">
        <v>324933.0</v>
      </c>
      <c r="G804" s="1">
        <v>20069.0</v>
      </c>
      <c r="H804" s="1">
        <v>203.0</v>
      </c>
      <c r="I804" s="1">
        <v>3330000.0</v>
      </c>
      <c r="J804" s="1" t="s">
        <v>15</v>
      </c>
    </row>
    <row r="805">
      <c r="A805" s="1" t="s">
        <v>2431</v>
      </c>
      <c r="B805" s="1" t="s">
        <v>2432</v>
      </c>
      <c r="C805" s="1" t="s">
        <v>2433</v>
      </c>
      <c r="D805" s="1" t="s">
        <v>2423</v>
      </c>
      <c r="E805" s="1" t="s">
        <v>2424</v>
      </c>
      <c r="F805" s="1">
        <v>807132.0</v>
      </c>
      <c r="G805" s="1">
        <v>48029.0</v>
      </c>
      <c r="H805" s="1">
        <v>395.0</v>
      </c>
      <c r="I805" s="1">
        <v>3330000.0</v>
      </c>
      <c r="J805" s="1" t="s">
        <v>15</v>
      </c>
    </row>
    <row r="806">
      <c r="A806" s="1" t="s">
        <v>2434</v>
      </c>
      <c r="B806" s="1" t="s">
        <v>2435</v>
      </c>
      <c r="C806" s="1" t="s">
        <v>2436</v>
      </c>
      <c r="D806" s="1" t="s">
        <v>2423</v>
      </c>
      <c r="E806" s="1" t="s">
        <v>2424</v>
      </c>
      <c r="F806" s="1">
        <v>597205.0</v>
      </c>
      <c r="G806" s="1">
        <v>35029.0</v>
      </c>
      <c r="H806" s="1">
        <v>451.0</v>
      </c>
      <c r="I806" s="1">
        <v>3330000.0</v>
      </c>
      <c r="J806" s="1" t="s">
        <v>15</v>
      </c>
    </row>
    <row r="807">
      <c r="A807" s="1" t="s">
        <v>2437</v>
      </c>
      <c r="B807" s="1" t="s">
        <v>2438</v>
      </c>
      <c r="C807" s="1" t="s">
        <v>2439</v>
      </c>
      <c r="D807" s="1" t="s">
        <v>2423</v>
      </c>
      <c r="E807" s="1" t="s">
        <v>2424</v>
      </c>
      <c r="F807" s="1">
        <v>1079220.0</v>
      </c>
      <c r="G807" s="1">
        <v>60233.0</v>
      </c>
      <c r="H807" s="1">
        <v>854.0</v>
      </c>
      <c r="I807" s="1">
        <v>3330000.0</v>
      </c>
      <c r="J807" s="1" t="s">
        <v>15</v>
      </c>
    </row>
    <row r="808">
      <c r="A808" s="1" t="s">
        <v>2441</v>
      </c>
      <c r="B808" s="1" t="s">
        <v>2442</v>
      </c>
      <c r="C808" s="1" t="s">
        <v>2443</v>
      </c>
      <c r="D808" s="1" t="s">
        <v>2423</v>
      </c>
      <c r="E808" s="1" t="s">
        <v>2424</v>
      </c>
      <c r="F808" s="1">
        <v>412364.0</v>
      </c>
      <c r="G808" s="1">
        <v>27906.0</v>
      </c>
      <c r="H808" s="1">
        <v>206.0</v>
      </c>
      <c r="I808" s="1">
        <v>3330000.0</v>
      </c>
      <c r="J808" s="1" t="s">
        <v>15</v>
      </c>
    </row>
    <row r="809">
      <c r="A809" s="1" t="s">
        <v>2446</v>
      </c>
      <c r="B809" s="1" t="s">
        <v>2447</v>
      </c>
      <c r="C809" s="1" t="s">
        <v>2449</v>
      </c>
      <c r="D809" s="1" t="s">
        <v>2423</v>
      </c>
      <c r="E809" s="1" t="s">
        <v>2424</v>
      </c>
      <c r="F809" s="1">
        <v>719888.0</v>
      </c>
      <c r="G809" s="1">
        <v>51540.0</v>
      </c>
      <c r="H809" s="1">
        <v>392.0</v>
      </c>
      <c r="I809" s="1">
        <v>3330000.0</v>
      </c>
      <c r="J809" s="1" t="s">
        <v>15</v>
      </c>
    </row>
    <row r="810">
      <c r="A810" s="1" t="s">
        <v>2451</v>
      </c>
      <c r="B810" s="1" t="s">
        <v>2452</v>
      </c>
      <c r="C810" s="1" t="s">
        <v>2453</v>
      </c>
      <c r="D810" s="1" t="s">
        <v>2423</v>
      </c>
      <c r="E810" s="1" t="s">
        <v>2424</v>
      </c>
      <c r="F810" s="1">
        <v>682930.0</v>
      </c>
      <c r="G810" s="1">
        <v>55838.0</v>
      </c>
      <c r="H810" s="1">
        <v>710.0</v>
      </c>
      <c r="I810" s="1">
        <v>3330000.0</v>
      </c>
      <c r="J810" s="1" t="s">
        <v>15</v>
      </c>
    </row>
    <row r="811">
      <c r="A811" s="1" t="s">
        <v>2454</v>
      </c>
      <c r="B811" s="1" t="s">
        <v>2455</v>
      </c>
      <c r="C811" s="1" t="s">
        <v>2456</v>
      </c>
      <c r="D811" s="1" t="s">
        <v>2423</v>
      </c>
      <c r="E811" s="1" t="s">
        <v>2424</v>
      </c>
      <c r="F811" s="1">
        <v>592908.0</v>
      </c>
      <c r="G811" s="1">
        <v>41894.0</v>
      </c>
      <c r="H811" s="1">
        <v>585.0</v>
      </c>
      <c r="I811" s="1">
        <v>3330000.0</v>
      </c>
      <c r="J811" s="1" t="s">
        <v>15</v>
      </c>
    </row>
    <row r="812">
      <c r="A812" s="1" t="s">
        <v>2457</v>
      </c>
      <c r="B812" s="1" t="s">
        <v>2458</v>
      </c>
      <c r="C812" s="1" t="s">
        <v>2459</v>
      </c>
      <c r="D812" s="1" t="s">
        <v>2423</v>
      </c>
      <c r="E812" s="1" t="s">
        <v>2424</v>
      </c>
      <c r="F812" s="1">
        <v>2595259.0</v>
      </c>
      <c r="G812" s="1">
        <v>176809.0</v>
      </c>
      <c r="H812" s="1">
        <v>3394.0</v>
      </c>
      <c r="I812" s="1">
        <v>3330000.0</v>
      </c>
      <c r="J812" s="1" t="s">
        <v>15</v>
      </c>
    </row>
    <row r="813">
      <c r="A813" s="1" t="s">
        <v>2465</v>
      </c>
      <c r="B813" s="1" t="s">
        <v>2466</v>
      </c>
      <c r="C813" s="1" t="s">
        <v>2467</v>
      </c>
      <c r="D813" s="1" t="s">
        <v>2423</v>
      </c>
      <c r="E813" s="1" t="s">
        <v>2424</v>
      </c>
      <c r="F813" s="1">
        <v>1365317.0</v>
      </c>
      <c r="G813" s="1">
        <v>75863.0</v>
      </c>
      <c r="H813" s="1">
        <v>614.0</v>
      </c>
      <c r="I813" s="1">
        <v>3330000.0</v>
      </c>
      <c r="J813" s="1" t="s">
        <v>15</v>
      </c>
    </row>
    <row r="814">
      <c r="A814" s="1" t="s">
        <v>2469</v>
      </c>
      <c r="B814" s="1" t="s">
        <v>2470</v>
      </c>
      <c r="C814" s="1" t="s">
        <v>2471</v>
      </c>
      <c r="D814" s="1" t="s">
        <v>2423</v>
      </c>
      <c r="E814" s="1" t="s">
        <v>2424</v>
      </c>
      <c r="F814" s="1">
        <v>1271782.0</v>
      </c>
      <c r="G814" s="1">
        <v>70597.0</v>
      </c>
      <c r="H814" s="1">
        <v>556.0</v>
      </c>
      <c r="I814" s="1">
        <v>3330000.0</v>
      </c>
      <c r="J814" s="1" t="s">
        <v>15</v>
      </c>
    </row>
    <row r="815">
      <c r="A815" s="1" t="s">
        <v>2472</v>
      </c>
      <c r="B815" s="1" t="s">
        <v>2473</v>
      </c>
      <c r="C815" s="1" t="s">
        <v>2474</v>
      </c>
      <c r="D815" s="1" t="s">
        <v>2423</v>
      </c>
      <c r="E815" s="1" t="s">
        <v>2424</v>
      </c>
      <c r="F815" s="1">
        <v>746735.0</v>
      </c>
      <c r="G815" s="1">
        <v>50299.0</v>
      </c>
      <c r="H815" s="1">
        <v>378.0</v>
      </c>
      <c r="I815" s="1">
        <v>3330000.0</v>
      </c>
      <c r="J815" s="1" t="s">
        <v>15</v>
      </c>
    </row>
    <row r="816">
      <c r="A816" s="1" t="s">
        <v>2475</v>
      </c>
      <c r="B816" s="1" t="s">
        <v>2476</v>
      </c>
      <c r="C816" s="1" t="s">
        <v>2477</v>
      </c>
      <c r="D816" s="1" t="s">
        <v>2423</v>
      </c>
      <c r="E816" s="1" t="s">
        <v>2424</v>
      </c>
      <c r="F816" s="1">
        <v>3143801.0</v>
      </c>
      <c r="G816" s="1">
        <v>168306.0</v>
      </c>
      <c r="H816" s="1">
        <v>1508.0</v>
      </c>
      <c r="I816" s="1">
        <v>3330000.0</v>
      </c>
      <c r="J816" s="1" t="s">
        <v>15</v>
      </c>
    </row>
    <row r="817">
      <c r="A817" s="1" t="s">
        <v>2478</v>
      </c>
      <c r="B817" s="1" t="s">
        <v>2479</v>
      </c>
      <c r="C817" s="1" t="s">
        <v>2480</v>
      </c>
      <c r="D817" s="1" t="s">
        <v>2423</v>
      </c>
      <c r="E817" s="1" t="s">
        <v>2424</v>
      </c>
      <c r="F817" s="1">
        <v>332591.0</v>
      </c>
      <c r="G817" s="1">
        <v>15535.0</v>
      </c>
      <c r="H817" s="1">
        <v>520.0</v>
      </c>
      <c r="I817" s="1">
        <v>3330000.0</v>
      </c>
      <c r="J817" s="1" t="s">
        <v>15</v>
      </c>
    </row>
    <row r="818">
      <c r="A818" s="1" t="s">
        <v>2481</v>
      </c>
      <c r="B818" s="1" t="s">
        <v>2482</v>
      </c>
      <c r="C818" s="1" t="s">
        <v>2483</v>
      </c>
      <c r="D818" s="1" t="s">
        <v>2423</v>
      </c>
      <c r="E818" s="1" t="s">
        <v>2424</v>
      </c>
      <c r="F818" s="1">
        <v>220008.0</v>
      </c>
      <c r="G818" s="1">
        <v>9385.0</v>
      </c>
      <c r="H818" s="1">
        <v>355.0</v>
      </c>
      <c r="I818" s="1">
        <v>3330000.0</v>
      </c>
      <c r="J818" s="1" t="s">
        <v>15</v>
      </c>
    </row>
    <row r="819">
      <c r="A819" s="1" t="s">
        <v>2484</v>
      </c>
      <c r="B819" s="1" t="s">
        <v>2485</v>
      </c>
      <c r="C819" s="1" t="s">
        <v>2486</v>
      </c>
      <c r="D819" s="1" t="s">
        <v>2423</v>
      </c>
      <c r="E819" s="1" t="s">
        <v>2424</v>
      </c>
      <c r="F819" s="1">
        <v>825393.0</v>
      </c>
      <c r="G819" s="1">
        <v>44654.0</v>
      </c>
      <c r="H819" s="1">
        <v>321.0</v>
      </c>
      <c r="I819" s="1">
        <v>3330000.0</v>
      </c>
      <c r="J819" s="1" t="s">
        <v>15</v>
      </c>
    </row>
    <row r="820">
      <c r="A820" s="1" t="s">
        <v>2487</v>
      </c>
      <c r="B820" s="1" t="s">
        <v>2488</v>
      </c>
      <c r="C820" s="1" t="s">
        <v>2489</v>
      </c>
      <c r="D820" s="1" t="s">
        <v>2423</v>
      </c>
      <c r="E820" s="1" t="s">
        <v>2424</v>
      </c>
      <c r="F820" s="1">
        <v>322788.0</v>
      </c>
      <c r="G820" s="1">
        <v>13064.0</v>
      </c>
      <c r="H820" s="1">
        <v>497.0</v>
      </c>
      <c r="I820" s="1">
        <v>3330000.0</v>
      </c>
      <c r="J820" s="1" t="s">
        <v>15</v>
      </c>
    </row>
    <row r="821">
      <c r="A821" s="1" t="s">
        <v>2490</v>
      </c>
      <c r="B821" s="1" t="s">
        <v>2491</v>
      </c>
      <c r="C821" s="1" t="s">
        <v>2492</v>
      </c>
      <c r="D821" s="1" t="s">
        <v>2423</v>
      </c>
      <c r="E821" s="1" t="s">
        <v>2424</v>
      </c>
      <c r="F821" s="1">
        <v>830094.0</v>
      </c>
      <c r="G821" s="1">
        <v>40164.0</v>
      </c>
      <c r="H821" s="1">
        <v>528.0</v>
      </c>
      <c r="I821" s="1">
        <v>3330000.0</v>
      </c>
      <c r="J821" s="1" t="s">
        <v>15</v>
      </c>
    </row>
    <row r="822">
      <c r="A822" s="1" t="s">
        <v>2493</v>
      </c>
      <c r="B822" s="1" t="s">
        <v>2494</v>
      </c>
      <c r="C822" s="1" t="s">
        <v>2495</v>
      </c>
      <c r="D822" s="1" t="s">
        <v>2423</v>
      </c>
      <c r="E822" s="1" t="s">
        <v>2424</v>
      </c>
      <c r="F822" s="1">
        <v>1088151.0</v>
      </c>
      <c r="G822" s="1">
        <v>45864.0</v>
      </c>
      <c r="H822" s="1">
        <v>371.0</v>
      </c>
      <c r="I822" s="1">
        <v>3330000.0</v>
      </c>
      <c r="J822" s="1" t="s">
        <v>15</v>
      </c>
    </row>
    <row r="823">
      <c r="A823" s="1" t="s">
        <v>2496</v>
      </c>
      <c r="B823" s="1" t="s">
        <v>2497</v>
      </c>
      <c r="C823" s="1" t="s">
        <v>2498</v>
      </c>
      <c r="D823" s="1" t="s">
        <v>2423</v>
      </c>
      <c r="E823" s="1" t="s">
        <v>2424</v>
      </c>
      <c r="F823" s="1">
        <v>1105560.0</v>
      </c>
      <c r="G823" s="1">
        <v>64877.0</v>
      </c>
      <c r="H823" s="1">
        <v>805.0</v>
      </c>
      <c r="I823" s="1">
        <v>3330000.0</v>
      </c>
      <c r="J823" s="1" t="s">
        <v>15</v>
      </c>
    </row>
    <row r="824">
      <c r="A824" s="1" t="s">
        <v>2499</v>
      </c>
      <c r="B824" s="1" t="s">
        <v>2500</v>
      </c>
      <c r="C824" s="1" t="s">
        <v>2501</v>
      </c>
      <c r="D824" s="1" t="s">
        <v>2423</v>
      </c>
      <c r="E824" s="1" t="s">
        <v>2424</v>
      </c>
      <c r="F824" s="1">
        <v>591908.0</v>
      </c>
      <c r="G824" s="1">
        <v>32189.0</v>
      </c>
      <c r="H824" s="1">
        <v>422.0</v>
      </c>
      <c r="I824" s="1">
        <v>3330000.0</v>
      </c>
      <c r="J824" s="1" t="s">
        <v>15</v>
      </c>
    </row>
    <row r="825">
      <c r="A825" s="1" t="s">
        <v>2502</v>
      </c>
      <c r="B825" s="1" t="s">
        <v>2503</v>
      </c>
      <c r="C825" s="1" t="s">
        <v>2504</v>
      </c>
      <c r="D825" s="1" t="s">
        <v>2423</v>
      </c>
      <c r="E825" s="1" t="s">
        <v>2424</v>
      </c>
      <c r="F825" s="1">
        <v>2128620.0</v>
      </c>
      <c r="G825" s="1">
        <v>79446.0</v>
      </c>
      <c r="H825" s="1">
        <v>325.0</v>
      </c>
      <c r="I825" s="1">
        <v>3330000.0</v>
      </c>
      <c r="J825" s="1" t="s">
        <v>15</v>
      </c>
    </row>
    <row r="826">
      <c r="A826" s="1" t="s">
        <v>2505</v>
      </c>
      <c r="B826" s="1" t="s">
        <v>2506</v>
      </c>
      <c r="C826" s="1" t="s">
        <v>2507</v>
      </c>
      <c r="D826" s="1" t="s">
        <v>2423</v>
      </c>
      <c r="E826" s="1" t="s">
        <v>2424</v>
      </c>
      <c r="F826" s="1">
        <v>366177.0</v>
      </c>
      <c r="G826" s="1">
        <v>15548.0</v>
      </c>
      <c r="H826" s="1">
        <v>449.0</v>
      </c>
      <c r="I826" s="1">
        <v>3330000.0</v>
      </c>
      <c r="J826" s="1" t="s">
        <v>15</v>
      </c>
    </row>
    <row r="827">
      <c r="A827" s="1" t="s">
        <v>2508</v>
      </c>
      <c r="B827" s="1" t="s">
        <v>2509</v>
      </c>
      <c r="C827" s="1" t="s">
        <v>2510</v>
      </c>
      <c r="D827" s="1" t="s">
        <v>2423</v>
      </c>
      <c r="E827" s="1" t="s">
        <v>2424</v>
      </c>
      <c r="F827" s="1">
        <v>3673323.0</v>
      </c>
      <c r="G827" s="1">
        <v>26400.0</v>
      </c>
      <c r="H827" s="1">
        <v>642.0</v>
      </c>
      <c r="I827" s="1">
        <v>3330000.0</v>
      </c>
      <c r="J827" s="1" t="s">
        <v>15</v>
      </c>
    </row>
    <row r="828">
      <c r="A828" s="1" t="s">
        <v>2511</v>
      </c>
      <c r="B828" s="1" t="s">
        <v>2512</v>
      </c>
      <c r="C828" s="1" t="s">
        <v>2513</v>
      </c>
      <c r="D828" s="1" t="s">
        <v>2423</v>
      </c>
      <c r="E828" s="1" t="s">
        <v>2424</v>
      </c>
      <c r="F828" s="1">
        <v>369674.0</v>
      </c>
      <c r="G828" s="1">
        <v>16425.0</v>
      </c>
      <c r="H828" s="1">
        <v>509.0</v>
      </c>
      <c r="I828" s="1">
        <v>3330000.0</v>
      </c>
      <c r="J828" s="1" t="s">
        <v>15</v>
      </c>
    </row>
    <row r="829">
      <c r="A829" s="1" t="s">
        <v>2514</v>
      </c>
      <c r="B829" s="1" t="s">
        <v>2515</v>
      </c>
      <c r="C829" s="1" t="s">
        <v>2516</v>
      </c>
      <c r="D829" s="1" t="s">
        <v>2423</v>
      </c>
      <c r="E829" s="1" t="s">
        <v>2424</v>
      </c>
      <c r="F829" s="1">
        <v>681357.0</v>
      </c>
      <c r="G829" s="1">
        <v>40230.0</v>
      </c>
      <c r="H829" s="1">
        <v>308.0</v>
      </c>
      <c r="I829" s="1">
        <v>3330000.0</v>
      </c>
      <c r="J829" s="1" t="s">
        <v>15</v>
      </c>
    </row>
    <row r="830">
      <c r="A830" s="1" t="s">
        <v>2517</v>
      </c>
      <c r="B830" s="1" t="s">
        <v>2518</v>
      </c>
      <c r="C830" s="1" t="s">
        <v>2519</v>
      </c>
      <c r="D830" s="1" t="s">
        <v>2423</v>
      </c>
      <c r="E830" s="1" t="s">
        <v>2424</v>
      </c>
      <c r="F830" s="1">
        <v>1139568.0</v>
      </c>
      <c r="G830" s="1">
        <v>57402.0</v>
      </c>
      <c r="H830" s="1">
        <v>494.0</v>
      </c>
      <c r="I830" s="1">
        <v>3330000.0</v>
      </c>
      <c r="J830" s="1" t="s">
        <v>15</v>
      </c>
    </row>
    <row r="831">
      <c r="A831" s="1" t="s">
        <v>2520</v>
      </c>
      <c r="B831" s="1" t="s">
        <v>2521</v>
      </c>
      <c r="C831" s="1" t="s">
        <v>2522</v>
      </c>
      <c r="D831" s="1" t="s">
        <v>2423</v>
      </c>
      <c r="E831" s="1" t="s">
        <v>2424</v>
      </c>
      <c r="F831" s="1">
        <v>2185807.0</v>
      </c>
      <c r="G831" s="1">
        <v>91387.0</v>
      </c>
      <c r="H831" s="1">
        <v>672.0</v>
      </c>
      <c r="I831" s="1">
        <v>3330000.0</v>
      </c>
      <c r="J831" s="1" t="s">
        <v>15</v>
      </c>
    </row>
    <row r="832">
      <c r="A832" s="1" t="s">
        <v>2523</v>
      </c>
      <c r="B832" s="1" t="s">
        <v>2524</v>
      </c>
      <c r="C832" s="1" t="s">
        <v>2525</v>
      </c>
      <c r="D832" s="1" t="s">
        <v>2423</v>
      </c>
      <c r="E832" s="1" t="s">
        <v>2424</v>
      </c>
      <c r="F832" s="1">
        <v>572964.0</v>
      </c>
      <c r="G832" s="1">
        <v>27911.0</v>
      </c>
      <c r="H832" s="1">
        <v>223.0</v>
      </c>
      <c r="I832" s="1">
        <v>3330000.0</v>
      </c>
      <c r="J832" s="1" t="s">
        <v>15</v>
      </c>
    </row>
    <row r="833">
      <c r="A833" s="1" t="s">
        <v>2526</v>
      </c>
      <c r="B833" s="1" t="s">
        <v>2527</v>
      </c>
      <c r="C833" s="1" t="s">
        <v>2528</v>
      </c>
      <c r="D833" s="1" t="s">
        <v>2423</v>
      </c>
      <c r="E833" s="1" t="s">
        <v>2424</v>
      </c>
      <c r="F833" s="1">
        <v>2298477.0</v>
      </c>
      <c r="G833" s="1">
        <v>64336.0</v>
      </c>
      <c r="H833" s="1">
        <v>2361.0</v>
      </c>
      <c r="I833" s="1">
        <v>3330000.0</v>
      </c>
      <c r="J833" s="1" t="s">
        <v>15</v>
      </c>
    </row>
    <row r="834">
      <c r="A834" s="1" t="s">
        <v>2529</v>
      </c>
      <c r="B834" s="1" t="s">
        <v>2530</v>
      </c>
      <c r="C834" s="1" t="s">
        <v>2531</v>
      </c>
      <c r="D834" s="1" t="s">
        <v>2423</v>
      </c>
      <c r="E834" s="1" t="s">
        <v>2424</v>
      </c>
      <c r="F834" s="1">
        <v>2102499.0</v>
      </c>
      <c r="G834" s="1">
        <v>46985.0</v>
      </c>
      <c r="H834" s="1">
        <v>1783.0</v>
      </c>
      <c r="I834" s="1">
        <v>3330000.0</v>
      </c>
      <c r="J834" s="1" t="s">
        <v>15</v>
      </c>
    </row>
    <row r="835">
      <c r="A835" s="1" t="s">
        <v>2532</v>
      </c>
      <c r="B835" s="1" t="s">
        <v>2533</v>
      </c>
      <c r="C835" s="1" t="s">
        <v>2534</v>
      </c>
      <c r="D835" s="1" t="s">
        <v>2423</v>
      </c>
      <c r="E835" s="1" t="s">
        <v>2424</v>
      </c>
      <c r="F835" s="1">
        <v>2393222.0</v>
      </c>
      <c r="G835" s="1">
        <v>62813.0</v>
      </c>
      <c r="H835" s="1">
        <v>2346.0</v>
      </c>
      <c r="I835" s="1">
        <v>3330000.0</v>
      </c>
      <c r="J835" s="1" t="s">
        <v>15</v>
      </c>
    </row>
    <row r="836">
      <c r="A836" s="1" t="s">
        <v>2535</v>
      </c>
      <c r="B836" s="1" t="s">
        <v>2536</v>
      </c>
      <c r="C836" s="1" t="s">
        <v>2537</v>
      </c>
      <c r="D836" s="1" t="s">
        <v>2423</v>
      </c>
      <c r="E836" s="1" t="s">
        <v>2424</v>
      </c>
      <c r="F836" s="1">
        <v>917143.0</v>
      </c>
      <c r="G836" s="1">
        <v>31434.0</v>
      </c>
      <c r="H836" s="1">
        <v>995.0</v>
      </c>
      <c r="I836" s="1">
        <v>3330000.0</v>
      </c>
      <c r="J836" s="1" t="s">
        <v>15</v>
      </c>
    </row>
    <row r="837">
      <c r="A837" s="1" t="s">
        <v>2538</v>
      </c>
      <c r="B837" s="1" t="s">
        <v>2539</v>
      </c>
      <c r="C837" s="1" t="s">
        <v>2540</v>
      </c>
      <c r="D837" s="1" t="s">
        <v>2423</v>
      </c>
      <c r="E837" s="1" t="s">
        <v>2424</v>
      </c>
      <c r="F837" s="1">
        <v>2972626.0</v>
      </c>
      <c r="G837" s="1">
        <v>61672.0</v>
      </c>
      <c r="H837" s="1">
        <v>2780.0</v>
      </c>
      <c r="I837" s="1">
        <v>3330000.0</v>
      </c>
      <c r="J837" s="1" t="s">
        <v>15</v>
      </c>
    </row>
    <row r="838">
      <c r="A838" s="1" t="s">
        <v>2541</v>
      </c>
      <c r="B838" s="1" t="s">
        <v>2542</v>
      </c>
      <c r="C838" s="1" t="s">
        <v>2543</v>
      </c>
      <c r="D838" s="1" t="s">
        <v>2423</v>
      </c>
      <c r="E838" s="1" t="s">
        <v>2424</v>
      </c>
      <c r="F838" s="1">
        <v>1180290.0</v>
      </c>
      <c r="G838" s="1">
        <v>45264.0</v>
      </c>
      <c r="H838" s="1">
        <v>6533.0</v>
      </c>
      <c r="I838" s="1">
        <v>3330000.0</v>
      </c>
      <c r="J838" s="1" t="s">
        <v>15</v>
      </c>
    </row>
    <row r="839">
      <c r="A839" s="1" t="s">
        <v>2544</v>
      </c>
      <c r="B839" s="1" t="s">
        <v>2545</v>
      </c>
      <c r="C839" s="1" t="s">
        <v>2546</v>
      </c>
      <c r="D839" s="1" t="s">
        <v>2423</v>
      </c>
      <c r="E839" s="1" t="s">
        <v>2424</v>
      </c>
      <c r="F839" s="1">
        <v>1696429.0</v>
      </c>
      <c r="G839" s="1">
        <v>77197.0</v>
      </c>
      <c r="H839" s="1">
        <v>5639.0</v>
      </c>
      <c r="I839" s="1">
        <v>3330000.0</v>
      </c>
      <c r="J839" s="1" t="s">
        <v>15</v>
      </c>
    </row>
    <row r="840">
      <c r="A840" s="1" t="s">
        <v>2547</v>
      </c>
      <c r="B840" s="1" t="s">
        <v>2548</v>
      </c>
      <c r="C840" s="1" t="s">
        <v>2549</v>
      </c>
      <c r="D840" s="1" t="s">
        <v>2423</v>
      </c>
      <c r="E840" s="1" t="s">
        <v>2424</v>
      </c>
      <c r="F840" s="1">
        <v>1929471.0</v>
      </c>
      <c r="G840" s="1">
        <v>45183.0</v>
      </c>
      <c r="H840" s="1">
        <v>1943.0</v>
      </c>
      <c r="I840" s="1">
        <v>3330000.0</v>
      </c>
      <c r="J840" s="1" t="s">
        <v>15</v>
      </c>
    </row>
    <row r="841">
      <c r="A841" s="1" t="s">
        <v>2550</v>
      </c>
      <c r="B841" s="1" t="s">
        <v>2551</v>
      </c>
      <c r="C841" s="1" t="s">
        <v>2552</v>
      </c>
      <c r="D841" s="1" t="s">
        <v>2423</v>
      </c>
      <c r="E841" s="1" t="s">
        <v>2424</v>
      </c>
      <c r="F841" s="1">
        <v>1433886.0</v>
      </c>
      <c r="G841" s="1">
        <v>57527.0</v>
      </c>
      <c r="H841" s="1">
        <v>1720.0</v>
      </c>
      <c r="I841" s="1">
        <v>3330000.0</v>
      </c>
      <c r="J841" s="1" t="s">
        <v>15</v>
      </c>
    </row>
    <row r="842">
      <c r="A842" s="1" t="s">
        <v>2553</v>
      </c>
      <c r="B842" s="1" t="s">
        <v>2554</v>
      </c>
      <c r="C842" s="1" t="s">
        <v>2555</v>
      </c>
      <c r="D842" s="1" t="s">
        <v>2423</v>
      </c>
      <c r="E842" s="1" t="s">
        <v>2424</v>
      </c>
      <c r="F842" s="1">
        <v>1592187.0</v>
      </c>
      <c r="G842" s="1">
        <v>73765.0</v>
      </c>
      <c r="H842" s="1">
        <v>7264.0</v>
      </c>
      <c r="I842" s="1">
        <v>3330000.0</v>
      </c>
      <c r="J842" s="1" t="s">
        <v>15</v>
      </c>
    </row>
    <row r="843">
      <c r="A843" s="1" t="s">
        <v>2556</v>
      </c>
      <c r="B843" s="1" t="s">
        <v>2557</v>
      </c>
      <c r="C843" s="1" t="s">
        <v>2558</v>
      </c>
      <c r="D843" s="1" t="s">
        <v>2423</v>
      </c>
      <c r="E843" s="1" t="s">
        <v>2424</v>
      </c>
      <c r="F843" s="1">
        <v>2762016.0</v>
      </c>
      <c r="G843" s="1">
        <v>58330.0</v>
      </c>
      <c r="H843" s="1">
        <v>2514.0</v>
      </c>
      <c r="I843" s="1">
        <v>3330000.0</v>
      </c>
      <c r="J843" s="1" t="s">
        <v>15</v>
      </c>
    </row>
    <row r="844">
      <c r="A844" s="1" t="s">
        <v>2559</v>
      </c>
      <c r="B844" s="1" t="s">
        <v>2560</v>
      </c>
      <c r="C844" s="1" t="s">
        <v>2561</v>
      </c>
      <c r="D844" s="1" t="s">
        <v>2423</v>
      </c>
      <c r="E844" s="1" t="s">
        <v>2424</v>
      </c>
      <c r="F844" s="1">
        <v>4064770.0</v>
      </c>
      <c r="G844" s="1">
        <v>85272.0</v>
      </c>
      <c r="H844" s="1">
        <v>4147.0</v>
      </c>
      <c r="I844" s="1">
        <v>3330000.0</v>
      </c>
      <c r="J844" s="1" t="s">
        <v>15</v>
      </c>
    </row>
    <row r="845">
      <c r="A845" s="1" t="s">
        <v>2562</v>
      </c>
      <c r="B845" s="1" t="s">
        <v>2563</v>
      </c>
      <c r="C845" s="1" t="s">
        <v>2564</v>
      </c>
      <c r="D845" s="1" t="s">
        <v>2423</v>
      </c>
      <c r="E845" s="1" t="s">
        <v>2424</v>
      </c>
      <c r="F845" s="1">
        <v>4220233.0</v>
      </c>
      <c r="G845" s="1">
        <v>101128.0</v>
      </c>
      <c r="H845" s="1">
        <v>4718.0</v>
      </c>
      <c r="I845" s="1">
        <v>3330000.0</v>
      </c>
      <c r="J845" s="1" t="s">
        <v>15</v>
      </c>
    </row>
    <row r="846">
      <c r="A846" s="1" t="s">
        <v>2565</v>
      </c>
      <c r="B846" s="1" t="s">
        <v>2566</v>
      </c>
      <c r="C846" s="1" t="s">
        <v>2567</v>
      </c>
      <c r="D846" s="1" t="s">
        <v>2423</v>
      </c>
      <c r="E846" s="1" t="s">
        <v>2424</v>
      </c>
      <c r="F846" s="1">
        <v>2218608.0</v>
      </c>
      <c r="G846" s="1">
        <v>107032.0</v>
      </c>
      <c r="H846" s="1">
        <v>5356.0</v>
      </c>
      <c r="I846" s="1">
        <v>3330000.0</v>
      </c>
      <c r="J846" s="1" t="s">
        <v>15</v>
      </c>
    </row>
    <row r="847">
      <c r="A847" s="1" t="s">
        <v>2571</v>
      </c>
      <c r="B847" s="1" t="s">
        <v>2572</v>
      </c>
      <c r="C847" s="1" t="s">
        <v>2573</v>
      </c>
      <c r="D847" s="1" t="s">
        <v>2423</v>
      </c>
      <c r="E847" s="1" t="s">
        <v>2424</v>
      </c>
      <c r="F847" s="1">
        <v>1869963.0</v>
      </c>
      <c r="G847" s="1">
        <v>76727.0</v>
      </c>
      <c r="H847" s="1">
        <v>2982.0</v>
      </c>
      <c r="I847" s="1">
        <v>3330000.0</v>
      </c>
      <c r="J847" s="1" t="s">
        <v>15</v>
      </c>
    </row>
    <row r="848">
      <c r="A848" s="1" t="s">
        <v>2574</v>
      </c>
      <c r="B848" s="1" t="s">
        <v>2575</v>
      </c>
      <c r="C848" s="1" t="s">
        <v>2576</v>
      </c>
      <c r="D848" s="1" t="s">
        <v>2423</v>
      </c>
      <c r="E848" s="1" t="s">
        <v>2424</v>
      </c>
      <c r="F848" s="1">
        <v>4752920.0</v>
      </c>
      <c r="G848" s="1">
        <v>175171.0</v>
      </c>
      <c r="H848" s="1">
        <v>12482.0</v>
      </c>
      <c r="I848" s="1">
        <v>3330000.0</v>
      </c>
      <c r="J848" s="1" t="s">
        <v>15</v>
      </c>
    </row>
    <row r="849">
      <c r="A849" s="1" t="s">
        <v>2577</v>
      </c>
      <c r="B849" s="1" t="s">
        <v>2578</v>
      </c>
      <c r="C849" s="1" t="s">
        <v>2579</v>
      </c>
      <c r="D849" s="1" t="s">
        <v>2423</v>
      </c>
      <c r="E849" s="1" t="s">
        <v>2424</v>
      </c>
      <c r="F849" s="1">
        <v>1604266.0</v>
      </c>
      <c r="G849" s="1">
        <v>39598.0</v>
      </c>
      <c r="H849" s="1">
        <v>3541.0</v>
      </c>
      <c r="I849" s="1">
        <v>3330000.0</v>
      </c>
      <c r="J849" s="1" t="s">
        <v>15</v>
      </c>
    </row>
    <row r="850">
      <c r="A850" s="1" t="s">
        <v>2580</v>
      </c>
      <c r="B850" s="1" t="s">
        <v>2581</v>
      </c>
      <c r="C850" s="1" t="s">
        <v>2582</v>
      </c>
      <c r="D850" s="1" t="s">
        <v>2423</v>
      </c>
      <c r="E850" s="1" t="s">
        <v>2424</v>
      </c>
      <c r="F850" s="1">
        <v>5207922.0</v>
      </c>
      <c r="G850" s="1">
        <v>97612.0</v>
      </c>
      <c r="H850" s="1">
        <v>1836.0</v>
      </c>
      <c r="I850" s="1">
        <v>3330000.0</v>
      </c>
      <c r="J850" s="1" t="s">
        <v>15</v>
      </c>
    </row>
    <row r="851">
      <c r="A851" s="1" t="s">
        <v>2583</v>
      </c>
      <c r="B851" s="1" t="s">
        <v>2584</v>
      </c>
      <c r="C851" s="1" t="s">
        <v>2585</v>
      </c>
      <c r="D851" s="1" t="s">
        <v>2423</v>
      </c>
      <c r="E851" s="1" t="s">
        <v>2424</v>
      </c>
      <c r="F851" s="1">
        <v>1956697.0</v>
      </c>
      <c r="G851" s="1">
        <v>73166.0</v>
      </c>
      <c r="H851" s="1">
        <v>5713.0</v>
      </c>
      <c r="I851" s="1">
        <v>3330000.0</v>
      </c>
      <c r="J851" s="1" t="s">
        <v>15</v>
      </c>
    </row>
    <row r="852">
      <c r="A852" s="1" t="s">
        <v>2586</v>
      </c>
      <c r="B852" s="1" t="s">
        <v>2587</v>
      </c>
      <c r="C852" s="1" t="s">
        <v>2588</v>
      </c>
      <c r="D852" s="1" t="s">
        <v>2423</v>
      </c>
      <c r="E852" s="1" t="s">
        <v>2424</v>
      </c>
      <c r="F852" s="1">
        <v>1701785.0</v>
      </c>
      <c r="G852" s="1">
        <v>70379.0</v>
      </c>
      <c r="H852" s="1">
        <v>4535.0</v>
      </c>
      <c r="I852" s="1">
        <v>3330000.0</v>
      </c>
      <c r="J852" s="1" t="s">
        <v>15</v>
      </c>
    </row>
    <row r="853">
      <c r="A853" s="1" t="s">
        <v>2589</v>
      </c>
      <c r="B853" s="1" t="s">
        <v>2590</v>
      </c>
      <c r="C853" s="1" t="s">
        <v>2591</v>
      </c>
      <c r="D853" s="1" t="s">
        <v>2423</v>
      </c>
      <c r="E853" s="1" t="s">
        <v>2424</v>
      </c>
      <c r="F853" s="1">
        <v>3398999.0</v>
      </c>
      <c r="G853" s="1">
        <v>94329.0</v>
      </c>
      <c r="H853" s="1">
        <v>5770.0</v>
      </c>
      <c r="I853" s="1">
        <v>3330000.0</v>
      </c>
      <c r="J853" s="1" t="s">
        <v>15</v>
      </c>
    </row>
    <row r="854">
      <c r="A854" s="1" t="s">
        <v>2592</v>
      </c>
      <c r="B854" s="1" t="s">
        <v>2593</v>
      </c>
      <c r="C854" s="1" t="s">
        <v>2594</v>
      </c>
      <c r="D854" s="1" t="s">
        <v>2423</v>
      </c>
      <c r="E854" s="1" t="s">
        <v>2424</v>
      </c>
      <c r="F854" s="1">
        <v>307410.0</v>
      </c>
      <c r="G854" s="1">
        <v>16899.0</v>
      </c>
      <c r="H854" s="1">
        <v>111.0</v>
      </c>
      <c r="I854" s="1">
        <v>3330000.0</v>
      </c>
      <c r="J854" s="1" t="s">
        <v>15</v>
      </c>
    </row>
    <row r="855">
      <c r="A855" s="1" t="s">
        <v>2597</v>
      </c>
      <c r="B855" s="1" t="s">
        <v>2599</v>
      </c>
      <c r="C855" s="1" t="s">
        <v>2600</v>
      </c>
      <c r="D855" s="1" t="s">
        <v>2423</v>
      </c>
      <c r="E855" s="1" t="s">
        <v>2424</v>
      </c>
      <c r="F855" s="1">
        <v>2037575.0</v>
      </c>
      <c r="G855" s="1">
        <v>70145.0</v>
      </c>
      <c r="H855" s="1">
        <v>3387.0</v>
      </c>
      <c r="I855" s="1">
        <v>3330000.0</v>
      </c>
      <c r="J855" s="1" t="s">
        <v>15</v>
      </c>
    </row>
    <row r="856">
      <c r="A856" s="1" t="s">
        <v>2601</v>
      </c>
      <c r="B856" s="1" t="s">
        <v>2602</v>
      </c>
      <c r="C856" s="1" t="s">
        <v>2603</v>
      </c>
      <c r="D856" s="1" t="s">
        <v>2423</v>
      </c>
      <c r="E856" s="1" t="s">
        <v>2424</v>
      </c>
      <c r="F856" s="1">
        <v>5184931.0</v>
      </c>
      <c r="G856" s="1">
        <v>105505.0</v>
      </c>
      <c r="H856" s="1">
        <v>4570.0</v>
      </c>
      <c r="I856" s="1">
        <v>3330000.0</v>
      </c>
      <c r="J856" s="1" t="s">
        <v>15</v>
      </c>
    </row>
    <row r="857">
      <c r="A857" s="1" t="s">
        <v>2604</v>
      </c>
      <c r="B857" s="1" t="s">
        <v>2605</v>
      </c>
      <c r="C857" s="1" t="s">
        <v>2606</v>
      </c>
      <c r="D857" s="1" t="s">
        <v>2423</v>
      </c>
      <c r="E857" s="1" t="s">
        <v>2424</v>
      </c>
      <c r="F857" s="1">
        <v>3001701.0</v>
      </c>
      <c r="G857" s="1">
        <v>128611.0</v>
      </c>
      <c r="H857" s="1">
        <v>8349.0</v>
      </c>
      <c r="I857" s="1">
        <v>3330000.0</v>
      </c>
      <c r="J857" s="1" t="s">
        <v>15</v>
      </c>
    </row>
    <row r="858">
      <c r="A858" s="1" t="s">
        <v>2607</v>
      </c>
      <c r="B858" s="1" t="s">
        <v>2608</v>
      </c>
      <c r="C858" s="1" t="s">
        <v>2609</v>
      </c>
      <c r="D858" s="1" t="s">
        <v>2423</v>
      </c>
      <c r="E858" s="1" t="s">
        <v>2424</v>
      </c>
      <c r="F858" s="1">
        <v>6204565.0</v>
      </c>
      <c r="G858" s="1">
        <v>389141.0</v>
      </c>
      <c r="H858" s="1">
        <v>2266.0</v>
      </c>
      <c r="I858" s="1">
        <v>3330000.0</v>
      </c>
      <c r="J858" s="1" t="s">
        <v>15</v>
      </c>
    </row>
    <row r="859">
      <c r="A859" s="1" t="s">
        <v>2610</v>
      </c>
      <c r="B859" s="1" t="s">
        <v>2611</v>
      </c>
      <c r="C859" s="1" t="s">
        <v>2612</v>
      </c>
      <c r="D859" s="1" t="s">
        <v>2423</v>
      </c>
      <c r="E859" s="1" t="s">
        <v>2424</v>
      </c>
      <c r="F859" s="1">
        <v>9414871.0</v>
      </c>
      <c r="G859" s="1">
        <v>140577.0</v>
      </c>
      <c r="H859" s="1">
        <v>5314.0</v>
      </c>
      <c r="I859" s="1">
        <v>3330000.0</v>
      </c>
      <c r="J859" s="1" t="s">
        <v>15</v>
      </c>
    </row>
    <row r="860">
      <c r="A860" s="1" t="s">
        <v>2613</v>
      </c>
      <c r="B860" s="1" t="s">
        <v>2614</v>
      </c>
      <c r="C860" s="1" t="s">
        <v>2615</v>
      </c>
      <c r="D860" s="1" t="s">
        <v>2423</v>
      </c>
      <c r="E860" s="1" t="s">
        <v>2424</v>
      </c>
      <c r="F860" s="1">
        <v>2276748.0</v>
      </c>
      <c r="G860" s="1">
        <v>168490.0</v>
      </c>
      <c r="H860" s="1">
        <v>562.0</v>
      </c>
      <c r="I860" s="1">
        <v>3330000.0</v>
      </c>
      <c r="J860" s="1" t="s">
        <v>15</v>
      </c>
    </row>
    <row r="861">
      <c r="A861" s="1" t="s">
        <v>2616</v>
      </c>
      <c r="B861" s="1" t="s">
        <v>2617</v>
      </c>
      <c r="C861" s="1" t="s">
        <v>2618</v>
      </c>
      <c r="D861" s="1" t="s">
        <v>2423</v>
      </c>
      <c r="E861" s="1" t="s">
        <v>2424</v>
      </c>
      <c r="F861" s="1">
        <v>3013789.0</v>
      </c>
      <c r="G861" s="1">
        <v>202547.0</v>
      </c>
      <c r="H861" s="1">
        <v>776.0</v>
      </c>
      <c r="I861" s="1">
        <v>3330000.0</v>
      </c>
      <c r="J861" s="1" t="s">
        <v>15</v>
      </c>
    </row>
    <row r="862">
      <c r="A862" s="1" t="s">
        <v>2619</v>
      </c>
      <c r="B862" s="1" t="s">
        <v>2620</v>
      </c>
      <c r="C862" s="1" t="s">
        <v>2621</v>
      </c>
      <c r="D862" s="1" t="s">
        <v>2423</v>
      </c>
      <c r="E862" s="1" t="s">
        <v>2424</v>
      </c>
      <c r="F862" s="1">
        <v>1769277.0</v>
      </c>
      <c r="G862" s="1">
        <v>123434.0</v>
      </c>
      <c r="H862" s="1">
        <v>465.0</v>
      </c>
      <c r="I862" s="1">
        <v>3330000.0</v>
      </c>
      <c r="J862" s="1" t="s">
        <v>15</v>
      </c>
    </row>
    <row r="863">
      <c r="A863" s="1" t="s">
        <v>2622</v>
      </c>
      <c r="B863" s="1" t="s">
        <v>2623</v>
      </c>
      <c r="C863" s="1" t="s">
        <v>2624</v>
      </c>
      <c r="D863" s="1" t="s">
        <v>2423</v>
      </c>
      <c r="E863" s="1" t="s">
        <v>2424</v>
      </c>
      <c r="F863" s="1">
        <v>1333654.0</v>
      </c>
      <c r="G863" s="1">
        <v>40033.0</v>
      </c>
      <c r="H863" s="1">
        <v>1870.0</v>
      </c>
      <c r="I863" s="1">
        <v>3330000.0</v>
      </c>
      <c r="J863" s="1" t="s">
        <v>15</v>
      </c>
    </row>
    <row r="864">
      <c r="A864" s="1" t="s">
        <v>2625</v>
      </c>
      <c r="B864" s="1" t="s">
        <v>2626</v>
      </c>
      <c r="C864" s="1" t="s">
        <v>2627</v>
      </c>
      <c r="D864" s="1" t="s">
        <v>2423</v>
      </c>
      <c r="E864" s="1" t="s">
        <v>2424</v>
      </c>
      <c r="F864" s="1">
        <v>1149593.0</v>
      </c>
      <c r="G864" s="1">
        <v>38681.0</v>
      </c>
      <c r="H864" s="1">
        <v>1218.0</v>
      </c>
      <c r="I864" s="1">
        <v>3330000.0</v>
      </c>
      <c r="J864" s="1" t="s">
        <v>15</v>
      </c>
    </row>
    <row r="865">
      <c r="A865" s="1" t="s">
        <v>2631</v>
      </c>
      <c r="B865" s="1" t="s">
        <v>2632</v>
      </c>
      <c r="C865" s="1" t="s">
        <v>2633</v>
      </c>
      <c r="D865" s="1" t="s">
        <v>2423</v>
      </c>
      <c r="E865" s="1" t="s">
        <v>2424</v>
      </c>
      <c r="F865" s="1">
        <v>1358129.0</v>
      </c>
      <c r="G865" s="1">
        <v>52706.0</v>
      </c>
      <c r="H865" s="1">
        <v>1354.0</v>
      </c>
      <c r="I865" s="1">
        <v>3330000.0</v>
      </c>
      <c r="J865" s="1" t="s">
        <v>15</v>
      </c>
    </row>
    <row r="866">
      <c r="A866" s="1" t="s">
        <v>2634</v>
      </c>
      <c r="B866" s="1" t="s">
        <v>2635</v>
      </c>
      <c r="C866" s="1" t="s">
        <v>2636</v>
      </c>
      <c r="D866" s="1" t="s">
        <v>2423</v>
      </c>
      <c r="E866" s="1" t="s">
        <v>2424</v>
      </c>
      <c r="F866" s="1">
        <v>1321695.0</v>
      </c>
      <c r="G866" s="1">
        <v>38964.0</v>
      </c>
      <c r="H866" s="1">
        <v>2685.0</v>
      </c>
      <c r="I866" s="1">
        <v>3330000.0</v>
      </c>
      <c r="J866" s="1" t="s">
        <v>15</v>
      </c>
    </row>
    <row r="867">
      <c r="A867" s="1" t="s">
        <v>2637</v>
      </c>
      <c r="B867" s="1" t="s">
        <v>2638</v>
      </c>
      <c r="C867" s="1" t="s">
        <v>2639</v>
      </c>
      <c r="D867" s="1" t="s">
        <v>2423</v>
      </c>
      <c r="E867" s="1" t="s">
        <v>2424</v>
      </c>
      <c r="F867" s="1">
        <v>1507391.0</v>
      </c>
      <c r="G867" s="1">
        <v>40524.0</v>
      </c>
      <c r="H867" s="1">
        <v>2547.0</v>
      </c>
      <c r="I867" s="1">
        <v>3330000.0</v>
      </c>
      <c r="J867" s="1" t="s">
        <v>15</v>
      </c>
    </row>
    <row r="868">
      <c r="A868" s="1" t="s">
        <v>2640</v>
      </c>
      <c r="B868" s="1" t="s">
        <v>2641</v>
      </c>
      <c r="C868" s="1" t="s">
        <v>2642</v>
      </c>
      <c r="D868" s="1" t="s">
        <v>2423</v>
      </c>
      <c r="E868" s="1" t="s">
        <v>2424</v>
      </c>
      <c r="F868" s="1">
        <v>1503531.0</v>
      </c>
      <c r="G868" s="1">
        <v>39604.0</v>
      </c>
      <c r="H868" s="1">
        <v>2340.0</v>
      </c>
      <c r="I868" s="1">
        <v>3330000.0</v>
      </c>
      <c r="J868" s="1" t="s">
        <v>15</v>
      </c>
    </row>
    <row r="869">
      <c r="A869" s="1" t="s">
        <v>2643</v>
      </c>
      <c r="B869" s="1" t="s">
        <v>2644</v>
      </c>
      <c r="C869" s="1" t="s">
        <v>2645</v>
      </c>
      <c r="D869" s="1" t="s">
        <v>2423</v>
      </c>
      <c r="E869" s="1" t="s">
        <v>2424</v>
      </c>
      <c r="F869" s="1">
        <v>5940613.0</v>
      </c>
      <c r="G869" s="1">
        <v>247914.0</v>
      </c>
      <c r="H869" s="1">
        <v>8725.0</v>
      </c>
      <c r="I869" s="1">
        <v>3330000.0</v>
      </c>
      <c r="J869" s="1" t="s">
        <v>15</v>
      </c>
    </row>
    <row r="870">
      <c r="A870" s="1" t="s">
        <v>2646</v>
      </c>
      <c r="B870" s="1" t="s">
        <v>2647</v>
      </c>
      <c r="C870" s="1" t="s">
        <v>2648</v>
      </c>
      <c r="D870" s="1" t="s">
        <v>2423</v>
      </c>
      <c r="E870" s="1" t="s">
        <v>2424</v>
      </c>
      <c r="F870" s="1">
        <v>3189707.0</v>
      </c>
      <c r="G870" s="1">
        <v>83598.0</v>
      </c>
      <c r="H870" s="1">
        <v>8460.0</v>
      </c>
      <c r="I870" s="1">
        <v>3330000.0</v>
      </c>
      <c r="J870" s="1" t="s">
        <v>15</v>
      </c>
    </row>
    <row r="871">
      <c r="A871" s="1" t="s">
        <v>2649</v>
      </c>
      <c r="B871" s="1" t="s">
        <v>2650</v>
      </c>
      <c r="C871" s="1" t="s">
        <v>2651</v>
      </c>
      <c r="D871" s="1" t="s">
        <v>2423</v>
      </c>
      <c r="E871" s="1" t="s">
        <v>2424</v>
      </c>
      <c r="F871" s="1">
        <v>3918260.0</v>
      </c>
      <c r="G871" s="1">
        <v>101250.0</v>
      </c>
      <c r="H871" s="1">
        <v>3522.0</v>
      </c>
      <c r="I871" s="1">
        <v>3330000.0</v>
      </c>
      <c r="J871" s="1" t="s">
        <v>15</v>
      </c>
    </row>
    <row r="872">
      <c r="A872" s="1" t="s">
        <v>2655</v>
      </c>
      <c r="B872" s="1" t="s">
        <v>2656</v>
      </c>
      <c r="C872" s="1" t="s">
        <v>2657</v>
      </c>
      <c r="D872" s="1" t="s">
        <v>2423</v>
      </c>
      <c r="E872" s="1" t="s">
        <v>2424</v>
      </c>
      <c r="F872" s="1">
        <v>5137155.0</v>
      </c>
      <c r="G872" s="1">
        <v>345446.0</v>
      </c>
      <c r="H872" s="1">
        <v>1614.0</v>
      </c>
      <c r="I872" s="1">
        <v>3330000.0</v>
      </c>
      <c r="J872" s="1" t="s">
        <v>15</v>
      </c>
    </row>
    <row r="873">
      <c r="A873" s="1" t="s">
        <v>2658</v>
      </c>
      <c r="B873" s="1" t="s">
        <v>2659</v>
      </c>
      <c r="C873" s="1" t="s">
        <v>2660</v>
      </c>
      <c r="D873" s="1" t="s">
        <v>2423</v>
      </c>
      <c r="E873" s="1" t="s">
        <v>2424</v>
      </c>
      <c r="F873" s="1">
        <v>1877385.0</v>
      </c>
      <c r="G873" s="1">
        <v>62076.0</v>
      </c>
      <c r="H873" s="1">
        <v>6163.0</v>
      </c>
      <c r="I873" s="1">
        <v>3330000.0</v>
      </c>
      <c r="J873" s="1" t="s">
        <v>15</v>
      </c>
    </row>
    <row r="874">
      <c r="A874" s="1" t="s">
        <v>2661</v>
      </c>
      <c r="B874" s="1" t="s">
        <v>2662</v>
      </c>
      <c r="C874" s="1" t="s">
        <v>2663</v>
      </c>
      <c r="D874" s="1" t="s">
        <v>2423</v>
      </c>
      <c r="E874" s="1" t="s">
        <v>2424</v>
      </c>
      <c r="F874" s="1">
        <v>3472347.0</v>
      </c>
      <c r="G874" s="1">
        <v>85520.0</v>
      </c>
      <c r="H874" s="1">
        <v>4629.0</v>
      </c>
      <c r="I874" s="1">
        <v>3330000.0</v>
      </c>
      <c r="J874" s="1" t="s">
        <v>15</v>
      </c>
    </row>
    <row r="875">
      <c r="A875" s="1" t="s">
        <v>2664</v>
      </c>
      <c r="B875" s="1" t="s">
        <v>2665</v>
      </c>
      <c r="C875" s="1" t="s">
        <v>2666</v>
      </c>
      <c r="D875" s="1" t="s">
        <v>2423</v>
      </c>
      <c r="E875" s="1" t="s">
        <v>2424</v>
      </c>
      <c r="F875" s="1">
        <v>2280273.0</v>
      </c>
      <c r="G875" s="1">
        <v>69920.0</v>
      </c>
      <c r="H875" s="1">
        <v>2035.0</v>
      </c>
      <c r="I875" s="1">
        <v>3330000.0</v>
      </c>
      <c r="J875" s="1" t="s">
        <v>15</v>
      </c>
    </row>
    <row r="876">
      <c r="A876" s="1" t="s">
        <v>2667</v>
      </c>
      <c r="B876" s="1" t="s">
        <v>2668</v>
      </c>
      <c r="C876" s="1" t="s">
        <v>2669</v>
      </c>
      <c r="D876" s="1" t="s">
        <v>2423</v>
      </c>
      <c r="E876" s="1" t="s">
        <v>2424</v>
      </c>
      <c r="F876" s="1">
        <v>2150592.0</v>
      </c>
      <c r="G876" s="1">
        <v>58235.0</v>
      </c>
      <c r="H876" s="1">
        <v>5096.0</v>
      </c>
      <c r="I876" s="1">
        <v>3330000.0</v>
      </c>
      <c r="J876" s="1" t="s">
        <v>15</v>
      </c>
    </row>
    <row r="877">
      <c r="A877" s="1" t="s">
        <v>2670</v>
      </c>
      <c r="B877" s="1" t="s">
        <v>2671</v>
      </c>
      <c r="C877" s="1" t="s">
        <v>2673</v>
      </c>
      <c r="D877" s="1" t="s">
        <v>2423</v>
      </c>
      <c r="E877" s="1" t="s">
        <v>2424</v>
      </c>
      <c r="F877" s="1">
        <v>7064062.0</v>
      </c>
      <c r="G877" s="1">
        <v>150532.0</v>
      </c>
      <c r="H877" s="1">
        <v>6255.0</v>
      </c>
      <c r="I877" s="1">
        <v>3330000.0</v>
      </c>
      <c r="J877" s="1" t="s">
        <v>15</v>
      </c>
    </row>
    <row r="878">
      <c r="A878" s="1" t="s">
        <v>2676</v>
      </c>
      <c r="B878" s="1" t="s">
        <v>2677</v>
      </c>
      <c r="C878" s="1" t="s">
        <v>2678</v>
      </c>
      <c r="D878" s="1" t="s">
        <v>2423</v>
      </c>
      <c r="E878" s="1" t="s">
        <v>2424</v>
      </c>
      <c r="F878" s="1">
        <v>2425458.0</v>
      </c>
      <c r="G878" s="1">
        <v>166149.0</v>
      </c>
      <c r="H878" s="1">
        <v>502.0</v>
      </c>
      <c r="I878" s="1">
        <v>3330000.0</v>
      </c>
      <c r="J878" s="1" t="s">
        <v>15</v>
      </c>
    </row>
    <row r="879">
      <c r="A879" s="1" t="s">
        <v>2679</v>
      </c>
      <c r="B879" s="1" t="s">
        <v>2680</v>
      </c>
      <c r="C879" s="1" t="s">
        <v>2681</v>
      </c>
      <c r="D879" s="1" t="s">
        <v>2423</v>
      </c>
      <c r="E879" s="1" t="s">
        <v>2424</v>
      </c>
      <c r="F879" s="1">
        <v>4975830.0</v>
      </c>
      <c r="G879" s="1">
        <v>290654.0</v>
      </c>
      <c r="H879" s="1">
        <v>2154.0</v>
      </c>
      <c r="I879" s="1">
        <v>3330000.0</v>
      </c>
      <c r="J879" s="1" t="s">
        <v>15</v>
      </c>
    </row>
    <row r="880">
      <c r="A880" s="1" t="s">
        <v>2682</v>
      </c>
      <c r="B880" s="1" t="s">
        <v>2683</v>
      </c>
      <c r="C880" s="1" t="s">
        <v>2684</v>
      </c>
      <c r="D880" s="1" t="s">
        <v>2423</v>
      </c>
      <c r="E880" s="1" t="s">
        <v>2424</v>
      </c>
      <c r="F880" s="1">
        <v>4666505.0</v>
      </c>
      <c r="G880" s="1">
        <v>175384.0</v>
      </c>
      <c r="H880" s="1">
        <v>5572.0</v>
      </c>
      <c r="I880" s="1">
        <v>3330000.0</v>
      </c>
      <c r="J880" s="1" t="s">
        <v>15</v>
      </c>
    </row>
    <row r="881">
      <c r="A881" s="1" t="s">
        <v>2685</v>
      </c>
      <c r="B881" s="1" t="s">
        <v>2686</v>
      </c>
      <c r="C881" s="1" t="s">
        <v>2687</v>
      </c>
      <c r="D881" s="1" t="s">
        <v>2423</v>
      </c>
      <c r="E881" s="1" t="s">
        <v>2424</v>
      </c>
      <c r="F881" s="1">
        <v>2314206.0</v>
      </c>
      <c r="G881" s="1">
        <v>69262.0</v>
      </c>
      <c r="H881" s="1">
        <v>2065.0</v>
      </c>
      <c r="I881" s="1">
        <v>3330000.0</v>
      </c>
      <c r="J881" s="1" t="s">
        <v>15</v>
      </c>
    </row>
    <row r="882">
      <c r="A882" s="1" t="s">
        <v>2688</v>
      </c>
      <c r="B882" s="1" t="s">
        <v>2689</v>
      </c>
      <c r="C882" s="1" t="s">
        <v>2690</v>
      </c>
      <c r="D882" s="1" t="s">
        <v>2423</v>
      </c>
      <c r="E882" s="1" t="s">
        <v>2424</v>
      </c>
      <c r="F882" s="1">
        <v>992877.0</v>
      </c>
      <c r="G882" s="1">
        <v>80040.0</v>
      </c>
      <c r="H882" s="1">
        <v>465.0</v>
      </c>
      <c r="I882" s="1">
        <v>3330000.0</v>
      </c>
      <c r="J882" s="1" t="s">
        <v>15</v>
      </c>
    </row>
    <row r="883">
      <c r="A883" s="1" t="s">
        <v>2691</v>
      </c>
      <c r="B883" s="1" t="s">
        <v>2692</v>
      </c>
      <c r="C883" s="1" t="s">
        <v>2693</v>
      </c>
      <c r="D883" s="1" t="s">
        <v>2423</v>
      </c>
      <c r="E883" s="1" t="s">
        <v>2424</v>
      </c>
      <c r="F883" s="1">
        <v>1766920.0</v>
      </c>
      <c r="G883" s="1">
        <v>81693.0</v>
      </c>
      <c r="H883" s="1">
        <v>5740.0</v>
      </c>
      <c r="I883" s="1">
        <v>3330000.0</v>
      </c>
      <c r="J883" s="1" t="s">
        <v>15</v>
      </c>
    </row>
    <row r="884">
      <c r="A884" s="1" t="s">
        <v>2695</v>
      </c>
      <c r="B884" s="1" t="s">
        <v>2697</v>
      </c>
      <c r="C884" s="1" t="s">
        <v>2699</v>
      </c>
      <c r="D884" s="1" t="s">
        <v>2423</v>
      </c>
      <c r="E884" s="1" t="s">
        <v>2424</v>
      </c>
      <c r="F884" s="1">
        <v>5800546.0</v>
      </c>
      <c r="G884" s="1">
        <v>311228.0</v>
      </c>
      <c r="H884" s="1">
        <v>2355.0</v>
      </c>
      <c r="I884" s="1">
        <v>3330000.0</v>
      </c>
      <c r="J884" s="1" t="s">
        <v>15</v>
      </c>
    </row>
    <row r="885">
      <c r="A885" s="1" t="s">
        <v>2700</v>
      </c>
      <c r="B885" s="1" t="s">
        <v>2701</v>
      </c>
      <c r="C885" s="1" t="s">
        <v>2702</v>
      </c>
      <c r="D885" s="1" t="s">
        <v>2423</v>
      </c>
      <c r="E885" s="1" t="s">
        <v>2424</v>
      </c>
      <c r="F885" s="1">
        <v>1342460.0</v>
      </c>
      <c r="G885" s="1">
        <v>56282.0</v>
      </c>
      <c r="H885" s="1">
        <v>1438.0</v>
      </c>
      <c r="I885" s="1">
        <v>3330000.0</v>
      </c>
      <c r="J885" s="1" t="s">
        <v>15</v>
      </c>
    </row>
    <row r="886">
      <c r="A886" s="1" t="s">
        <v>2703</v>
      </c>
      <c r="B886" s="1" t="s">
        <v>2704</v>
      </c>
      <c r="C886" s="1" t="s">
        <v>2705</v>
      </c>
      <c r="D886" s="1" t="s">
        <v>2423</v>
      </c>
      <c r="E886" s="1" t="s">
        <v>2424</v>
      </c>
      <c r="F886" s="1">
        <v>6109653.0</v>
      </c>
      <c r="G886" s="1">
        <v>152569.0</v>
      </c>
      <c r="H886" s="1">
        <v>7678.0</v>
      </c>
      <c r="I886" s="1">
        <v>3330000.0</v>
      </c>
      <c r="J886" s="1" t="s">
        <v>15</v>
      </c>
    </row>
    <row r="887">
      <c r="A887" s="1" t="s">
        <v>2706</v>
      </c>
      <c r="B887" s="1" t="s">
        <v>2707</v>
      </c>
      <c r="C887" s="1" t="s">
        <v>2708</v>
      </c>
      <c r="D887" s="1" t="s">
        <v>2423</v>
      </c>
      <c r="E887" s="1" t="s">
        <v>2424</v>
      </c>
      <c r="F887" s="1">
        <v>4726256.0</v>
      </c>
      <c r="G887" s="1">
        <v>333453.0</v>
      </c>
      <c r="H887" s="1">
        <v>2078.0</v>
      </c>
      <c r="I887" s="1">
        <v>3330000.0</v>
      </c>
      <c r="J887" s="1" t="s">
        <v>15</v>
      </c>
    </row>
    <row r="888">
      <c r="A888" s="1" t="s">
        <v>2709</v>
      </c>
      <c r="B888" s="1" t="s">
        <v>2710</v>
      </c>
      <c r="C888" s="1" t="s">
        <v>2711</v>
      </c>
      <c r="D888" s="1" t="s">
        <v>2423</v>
      </c>
      <c r="E888" s="1" t="s">
        <v>2424</v>
      </c>
      <c r="F888" s="1">
        <v>5653136.0</v>
      </c>
      <c r="G888" s="1">
        <v>405824.0</v>
      </c>
      <c r="H888" s="1">
        <v>2007.0</v>
      </c>
      <c r="I888" s="1">
        <v>3330000.0</v>
      </c>
      <c r="J888" s="1" t="s">
        <v>15</v>
      </c>
    </row>
    <row r="889">
      <c r="A889" s="1" t="s">
        <v>2712</v>
      </c>
      <c r="B889" s="1" t="s">
        <v>2713</v>
      </c>
      <c r="C889" s="1" t="s">
        <v>2714</v>
      </c>
      <c r="D889" s="1" t="s">
        <v>2423</v>
      </c>
      <c r="E889" s="1" t="s">
        <v>2424</v>
      </c>
      <c r="F889" s="1">
        <v>4276189.0</v>
      </c>
      <c r="G889" s="1">
        <v>106727.0</v>
      </c>
      <c r="H889" s="1">
        <v>2593.0</v>
      </c>
      <c r="I889" s="1">
        <v>3330000.0</v>
      </c>
      <c r="J889" s="1" t="s">
        <v>15</v>
      </c>
    </row>
    <row r="890">
      <c r="A890" s="1" t="s">
        <v>2715</v>
      </c>
      <c r="B890" s="1" t="s">
        <v>2716</v>
      </c>
      <c r="C890" s="1" t="s">
        <v>2717</v>
      </c>
      <c r="D890" s="1" t="s">
        <v>2423</v>
      </c>
      <c r="E890" s="1" t="s">
        <v>2424</v>
      </c>
      <c r="F890" s="1">
        <v>4671468.0</v>
      </c>
      <c r="G890" s="1">
        <v>330616.0</v>
      </c>
      <c r="H890" s="1">
        <v>1011.0</v>
      </c>
      <c r="I890" s="1">
        <v>3330000.0</v>
      </c>
      <c r="J890" s="1" t="s">
        <v>15</v>
      </c>
    </row>
    <row r="891">
      <c r="A891" s="1" t="s">
        <v>2718</v>
      </c>
      <c r="B891" s="1" t="s">
        <v>2719</v>
      </c>
      <c r="C891" s="1" t="s">
        <v>2720</v>
      </c>
      <c r="D891" s="1" t="s">
        <v>2423</v>
      </c>
      <c r="E891" s="1" t="s">
        <v>2424</v>
      </c>
      <c r="F891" s="1">
        <v>3636845.0</v>
      </c>
      <c r="G891" s="1">
        <v>263435.0</v>
      </c>
      <c r="H891" s="1">
        <v>2194.0</v>
      </c>
      <c r="I891" s="1">
        <v>3330000.0</v>
      </c>
      <c r="J891" s="1" t="s">
        <v>15</v>
      </c>
    </row>
    <row r="892">
      <c r="A892" s="1" t="s">
        <v>2724</v>
      </c>
      <c r="B892" s="1" t="s">
        <v>2725</v>
      </c>
      <c r="C892" s="1" t="s">
        <v>2726</v>
      </c>
      <c r="D892" s="1" t="s">
        <v>2423</v>
      </c>
      <c r="E892" s="1" t="s">
        <v>2424</v>
      </c>
      <c r="F892" s="1">
        <v>2298227.0</v>
      </c>
      <c r="G892" s="1">
        <v>179408.0</v>
      </c>
      <c r="H892" s="1">
        <v>1072.0</v>
      </c>
      <c r="I892" s="1">
        <v>3330000.0</v>
      </c>
      <c r="J892" s="1" t="s">
        <v>15</v>
      </c>
    </row>
    <row r="893">
      <c r="A893" s="1" t="s">
        <v>2727</v>
      </c>
      <c r="B893" s="1" t="s">
        <v>2728</v>
      </c>
      <c r="C893" s="1" t="s">
        <v>2729</v>
      </c>
      <c r="D893" s="1" t="s">
        <v>2423</v>
      </c>
      <c r="E893" s="1" t="s">
        <v>2424</v>
      </c>
      <c r="F893" s="1">
        <v>1.0123443E7</v>
      </c>
      <c r="G893" s="1">
        <v>648219.0</v>
      </c>
      <c r="H893" s="1">
        <v>4194.0</v>
      </c>
      <c r="I893" s="1">
        <v>3330000.0</v>
      </c>
      <c r="J893" s="1" t="s">
        <v>15</v>
      </c>
    </row>
    <row r="894">
      <c r="A894" s="1" t="s">
        <v>2730</v>
      </c>
      <c r="B894" s="1" t="s">
        <v>2731</v>
      </c>
      <c r="C894" s="1" t="s">
        <v>2732</v>
      </c>
      <c r="D894" s="1" t="s">
        <v>2423</v>
      </c>
      <c r="E894" s="1" t="s">
        <v>2424</v>
      </c>
      <c r="F894" s="1">
        <v>2011280.0</v>
      </c>
      <c r="G894" s="1">
        <v>65761.0</v>
      </c>
      <c r="H894" s="1">
        <v>1647.0</v>
      </c>
      <c r="I894" s="1">
        <v>3330000.0</v>
      </c>
      <c r="J894" s="1" t="s">
        <v>15</v>
      </c>
    </row>
    <row r="895">
      <c r="A895" s="1" t="s">
        <v>2733</v>
      </c>
      <c r="B895" s="1" t="s">
        <v>2734</v>
      </c>
      <c r="C895" s="1" t="s">
        <v>2735</v>
      </c>
      <c r="D895" s="1" t="s">
        <v>2423</v>
      </c>
      <c r="E895" s="1" t="s">
        <v>2424</v>
      </c>
      <c r="F895" s="1">
        <v>2011967.0</v>
      </c>
      <c r="G895" s="1">
        <v>68965.0</v>
      </c>
      <c r="H895" s="1">
        <v>8918.0</v>
      </c>
      <c r="I895" s="1">
        <v>3330000.0</v>
      </c>
      <c r="J895" s="1" t="s">
        <v>15</v>
      </c>
    </row>
    <row r="896">
      <c r="A896" s="1" t="s">
        <v>2736</v>
      </c>
      <c r="B896" s="1" t="s">
        <v>2737</v>
      </c>
      <c r="C896" s="1" t="s">
        <v>2738</v>
      </c>
      <c r="D896" s="1" t="s">
        <v>2423</v>
      </c>
      <c r="E896" s="1" t="s">
        <v>2424</v>
      </c>
      <c r="F896" s="1">
        <v>2107993.0</v>
      </c>
      <c r="G896" s="1">
        <v>63033.0</v>
      </c>
      <c r="H896" s="1">
        <v>2107.0</v>
      </c>
      <c r="I896" s="1">
        <v>3330000.0</v>
      </c>
      <c r="J896" s="1" t="s">
        <v>15</v>
      </c>
    </row>
    <row r="897">
      <c r="A897" s="1" t="s">
        <v>2739</v>
      </c>
      <c r="B897" s="1" t="s">
        <v>2740</v>
      </c>
      <c r="C897" s="1" t="s">
        <v>2741</v>
      </c>
      <c r="D897" s="1" t="s">
        <v>2423</v>
      </c>
      <c r="E897" s="1" t="s">
        <v>2424</v>
      </c>
      <c r="F897" s="1">
        <v>3822245.0</v>
      </c>
      <c r="G897" s="1">
        <v>137950.0</v>
      </c>
      <c r="H897" s="1">
        <v>4590.0</v>
      </c>
      <c r="I897" s="1">
        <v>3330000.0</v>
      </c>
      <c r="J897" s="1" t="s">
        <v>15</v>
      </c>
    </row>
    <row r="898">
      <c r="A898" s="1" t="s">
        <v>2743</v>
      </c>
      <c r="B898" s="1" t="s">
        <v>2744</v>
      </c>
      <c r="C898" s="1" t="s">
        <v>2746</v>
      </c>
      <c r="D898" s="1" t="s">
        <v>2423</v>
      </c>
      <c r="E898" s="1" t="s">
        <v>2424</v>
      </c>
      <c r="F898" s="1">
        <v>3328430.0</v>
      </c>
      <c r="G898" s="1">
        <v>107839.0</v>
      </c>
      <c r="H898" s="1">
        <v>2571.0</v>
      </c>
      <c r="I898" s="1">
        <v>3330000.0</v>
      </c>
      <c r="J898" s="1" t="s">
        <v>15</v>
      </c>
    </row>
    <row r="899">
      <c r="A899" s="1" t="s">
        <v>2748</v>
      </c>
      <c r="B899" s="1" t="s">
        <v>2749</v>
      </c>
      <c r="C899" s="1" t="s">
        <v>2750</v>
      </c>
      <c r="D899" s="1" t="s">
        <v>2423</v>
      </c>
      <c r="E899" s="1" t="s">
        <v>2424</v>
      </c>
      <c r="F899" s="1">
        <v>5995080.0</v>
      </c>
      <c r="G899" s="1">
        <v>103058.0</v>
      </c>
      <c r="H899" s="1">
        <v>2703.0</v>
      </c>
      <c r="I899" s="1">
        <v>3330000.0</v>
      </c>
      <c r="J899" s="1" t="s">
        <v>15</v>
      </c>
    </row>
    <row r="900">
      <c r="A900" s="1" t="s">
        <v>2751</v>
      </c>
      <c r="B900" s="1" t="s">
        <v>2752</v>
      </c>
      <c r="C900" s="1" t="s">
        <v>2753</v>
      </c>
      <c r="D900" s="1" t="s">
        <v>2423</v>
      </c>
      <c r="E900" s="1" t="s">
        <v>2424</v>
      </c>
      <c r="F900" s="1">
        <v>2751228.0</v>
      </c>
      <c r="G900" s="1">
        <v>83495.0</v>
      </c>
      <c r="H900" s="1">
        <v>3037.0</v>
      </c>
      <c r="I900" s="1">
        <v>3330000.0</v>
      </c>
      <c r="J900" s="1" t="s">
        <v>15</v>
      </c>
    </row>
    <row r="901">
      <c r="A901" s="1" t="s">
        <v>2754</v>
      </c>
      <c r="B901" s="1" t="s">
        <v>2755</v>
      </c>
      <c r="C901" s="1" t="s">
        <v>2756</v>
      </c>
      <c r="D901" s="1" t="s">
        <v>2423</v>
      </c>
      <c r="E901" s="1" t="s">
        <v>2424</v>
      </c>
      <c r="F901" s="1">
        <v>4162844.0</v>
      </c>
      <c r="G901" s="1">
        <v>128276.0</v>
      </c>
      <c r="H901" s="1">
        <v>2247.0</v>
      </c>
      <c r="I901" s="1">
        <v>3330000.0</v>
      </c>
      <c r="J901" s="1" t="s">
        <v>15</v>
      </c>
    </row>
    <row r="902">
      <c r="A902" s="1" t="s">
        <v>2757</v>
      </c>
      <c r="B902" s="1" t="s">
        <v>2758</v>
      </c>
      <c r="C902" s="1" t="s">
        <v>2759</v>
      </c>
      <c r="D902" s="1" t="s">
        <v>2423</v>
      </c>
      <c r="E902" s="1" t="s">
        <v>2424</v>
      </c>
      <c r="F902" s="1">
        <v>6749528.0</v>
      </c>
      <c r="G902" s="1">
        <v>289275.0</v>
      </c>
      <c r="H902" s="1">
        <v>12245.0</v>
      </c>
      <c r="I902" s="1">
        <v>3330000.0</v>
      </c>
      <c r="J902" s="1" t="s">
        <v>15</v>
      </c>
    </row>
    <row r="903">
      <c r="A903" s="1" t="s">
        <v>2760</v>
      </c>
      <c r="B903" s="1" t="s">
        <v>2761</v>
      </c>
      <c r="C903" s="1" t="s">
        <v>2762</v>
      </c>
      <c r="D903" s="1" t="s">
        <v>2423</v>
      </c>
      <c r="E903" s="1" t="s">
        <v>2424</v>
      </c>
      <c r="F903" s="1">
        <v>3985121.0</v>
      </c>
      <c r="G903" s="1">
        <v>109254.0</v>
      </c>
      <c r="H903" s="1">
        <v>3272.0</v>
      </c>
      <c r="I903" s="1">
        <v>3330000.0</v>
      </c>
      <c r="J903" s="1" t="s">
        <v>15</v>
      </c>
    </row>
    <row r="904">
      <c r="A904" s="1" t="s">
        <v>2763</v>
      </c>
      <c r="B904" s="1" t="s">
        <v>2764</v>
      </c>
      <c r="C904" s="1" t="s">
        <v>2766</v>
      </c>
      <c r="D904" s="1" t="s">
        <v>2423</v>
      </c>
      <c r="E904" s="1" t="s">
        <v>2424</v>
      </c>
      <c r="F904" s="1">
        <v>1237107.0</v>
      </c>
      <c r="G904" s="1">
        <v>55450.0</v>
      </c>
      <c r="H904" s="1">
        <v>1733.0</v>
      </c>
      <c r="I904" s="1">
        <v>3330000.0</v>
      </c>
      <c r="J904" s="1" t="s">
        <v>15</v>
      </c>
    </row>
    <row r="905">
      <c r="A905" s="1" t="s">
        <v>2769</v>
      </c>
      <c r="B905" s="1" t="s">
        <v>2770</v>
      </c>
      <c r="C905" s="1" t="s">
        <v>2771</v>
      </c>
      <c r="D905" s="1" t="s">
        <v>2423</v>
      </c>
      <c r="E905" s="1" t="s">
        <v>2424</v>
      </c>
      <c r="F905" s="1">
        <v>3789505.0</v>
      </c>
      <c r="G905" s="1">
        <v>109343.0</v>
      </c>
      <c r="H905" s="1">
        <v>2219.0</v>
      </c>
      <c r="I905" s="1">
        <v>3330000.0</v>
      </c>
      <c r="J905" s="1" t="s">
        <v>15</v>
      </c>
    </row>
    <row r="906">
      <c r="A906" s="1" t="s">
        <v>2772</v>
      </c>
      <c r="B906" s="1" t="s">
        <v>2773</v>
      </c>
      <c r="C906" s="1" t="s">
        <v>2774</v>
      </c>
      <c r="D906" s="1" t="s">
        <v>2423</v>
      </c>
      <c r="E906" s="1" t="s">
        <v>2424</v>
      </c>
      <c r="F906" s="1">
        <v>3836584.0</v>
      </c>
      <c r="G906" s="1">
        <v>180305.0</v>
      </c>
      <c r="H906" s="1">
        <v>6777.0</v>
      </c>
      <c r="I906" s="1">
        <v>3330000.0</v>
      </c>
      <c r="J906" s="1" t="s">
        <v>15</v>
      </c>
    </row>
    <row r="907">
      <c r="A907" s="1" t="s">
        <v>2775</v>
      </c>
      <c r="B907" s="1" t="s">
        <v>2776</v>
      </c>
      <c r="C907" s="1" t="s">
        <v>2777</v>
      </c>
      <c r="D907" s="1" t="s">
        <v>2423</v>
      </c>
      <c r="E907" s="1" t="s">
        <v>2424</v>
      </c>
      <c r="F907" s="1">
        <v>2017163.0</v>
      </c>
      <c r="G907" s="1">
        <v>85944.0</v>
      </c>
      <c r="H907" s="1">
        <v>2787.0</v>
      </c>
      <c r="I907" s="1">
        <v>3330000.0</v>
      </c>
      <c r="J907" s="1" t="s">
        <v>15</v>
      </c>
    </row>
    <row r="908">
      <c r="A908" s="1" t="s">
        <v>2778</v>
      </c>
      <c r="B908" s="1" t="s">
        <v>2779</v>
      </c>
      <c r="C908" s="1" t="s">
        <v>2780</v>
      </c>
      <c r="D908" s="1" t="s">
        <v>2423</v>
      </c>
      <c r="E908" s="1" t="s">
        <v>2424</v>
      </c>
      <c r="F908" s="1">
        <v>8396707.0</v>
      </c>
      <c r="G908" s="1">
        <v>205852.0</v>
      </c>
      <c r="H908" s="1">
        <v>6789.0</v>
      </c>
      <c r="I908" s="1">
        <v>3330000.0</v>
      </c>
      <c r="J908" s="1" t="s">
        <v>15</v>
      </c>
    </row>
    <row r="909">
      <c r="A909" s="1" t="s">
        <v>2781</v>
      </c>
      <c r="B909" s="1" t="s">
        <v>2782</v>
      </c>
      <c r="C909" s="1" t="s">
        <v>2783</v>
      </c>
      <c r="D909" s="1" t="s">
        <v>2423</v>
      </c>
      <c r="E909" s="1" t="s">
        <v>2424</v>
      </c>
      <c r="F909" s="1">
        <v>5430491.0</v>
      </c>
      <c r="G909" s="1">
        <v>179358.0</v>
      </c>
      <c r="H909" s="1">
        <v>4104.0</v>
      </c>
      <c r="I909" s="1">
        <v>3330000.0</v>
      </c>
      <c r="J909" s="1" t="s">
        <v>15</v>
      </c>
    </row>
    <row r="910">
      <c r="A910" s="1" t="s">
        <v>2784</v>
      </c>
      <c r="B910" s="1" t="s">
        <v>2785</v>
      </c>
      <c r="C910" s="1" t="s">
        <v>2786</v>
      </c>
      <c r="D910" s="1" t="s">
        <v>2423</v>
      </c>
      <c r="E910" s="1" t="s">
        <v>2424</v>
      </c>
      <c r="F910" s="1">
        <v>3060945.0</v>
      </c>
      <c r="G910" s="1">
        <v>116123.0</v>
      </c>
      <c r="H910" s="1">
        <v>5146.0</v>
      </c>
      <c r="I910" s="1">
        <v>3330000.0</v>
      </c>
      <c r="J910" s="1" t="s">
        <v>15</v>
      </c>
    </row>
    <row r="911">
      <c r="A911" s="1" t="s">
        <v>2788</v>
      </c>
      <c r="B911" s="1" t="s">
        <v>2790</v>
      </c>
      <c r="C911" s="1" t="s">
        <v>2792</v>
      </c>
      <c r="D911" s="1" t="s">
        <v>2423</v>
      </c>
      <c r="E911" s="1" t="s">
        <v>2424</v>
      </c>
      <c r="F911" s="1">
        <v>1.2629662E7</v>
      </c>
      <c r="G911" s="1">
        <v>449653.0</v>
      </c>
      <c r="H911" s="1">
        <v>17316.0</v>
      </c>
      <c r="I911" s="1">
        <v>3330000.0</v>
      </c>
      <c r="J911" s="1" t="s">
        <v>15</v>
      </c>
    </row>
    <row r="912">
      <c r="A912" s="1" t="s">
        <v>2793</v>
      </c>
      <c r="B912" s="1" t="s">
        <v>2794</v>
      </c>
      <c r="C912" s="1" t="s">
        <v>2795</v>
      </c>
      <c r="D912" s="1" t="s">
        <v>2423</v>
      </c>
      <c r="E912" s="1" t="s">
        <v>2424</v>
      </c>
      <c r="F912" s="1">
        <v>4247759.0</v>
      </c>
      <c r="G912" s="1">
        <v>152223.0</v>
      </c>
      <c r="H912" s="1">
        <v>3924.0</v>
      </c>
      <c r="I912" s="1">
        <v>3330000.0</v>
      </c>
      <c r="J912" s="1" t="s">
        <v>15</v>
      </c>
    </row>
    <row r="913">
      <c r="A913" s="1" t="s">
        <v>2796</v>
      </c>
      <c r="B913" s="1" t="s">
        <v>2797</v>
      </c>
      <c r="C913" s="1" t="s">
        <v>2798</v>
      </c>
      <c r="D913" s="1" t="s">
        <v>2423</v>
      </c>
      <c r="E913" s="1" t="s">
        <v>2424</v>
      </c>
      <c r="F913" s="1">
        <v>3809229.0</v>
      </c>
      <c r="G913" s="1">
        <v>119598.0</v>
      </c>
      <c r="H913" s="1">
        <v>4057.0</v>
      </c>
      <c r="I913" s="1">
        <v>3330000.0</v>
      </c>
      <c r="J913" s="1" t="s">
        <v>15</v>
      </c>
    </row>
    <row r="914">
      <c r="A914" s="1" t="s">
        <v>2799</v>
      </c>
      <c r="B914" s="1" t="s">
        <v>2800</v>
      </c>
      <c r="C914" s="1" t="s">
        <v>2801</v>
      </c>
      <c r="D914" s="1" t="s">
        <v>2423</v>
      </c>
      <c r="E914" s="1" t="s">
        <v>2424</v>
      </c>
      <c r="F914" s="1">
        <v>4456559.0</v>
      </c>
      <c r="G914" s="1">
        <v>116788.0</v>
      </c>
      <c r="H914" s="1">
        <v>4301.0</v>
      </c>
      <c r="I914" s="1">
        <v>3330000.0</v>
      </c>
      <c r="J914" s="1" t="s">
        <v>15</v>
      </c>
    </row>
    <row r="915">
      <c r="A915" s="1" t="s">
        <v>2802</v>
      </c>
      <c r="B915" s="1" t="s">
        <v>2803</v>
      </c>
      <c r="C915" s="1" t="s">
        <v>2804</v>
      </c>
      <c r="D915" s="1" t="s">
        <v>2423</v>
      </c>
      <c r="E915" s="1" t="s">
        <v>2424</v>
      </c>
      <c r="F915" s="1">
        <v>3217690.0</v>
      </c>
      <c r="G915" s="1">
        <v>94075.0</v>
      </c>
      <c r="H915" s="1">
        <v>4214.0</v>
      </c>
      <c r="I915" s="1">
        <v>3330000.0</v>
      </c>
      <c r="J915" s="1" t="s">
        <v>15</v>
      </c>
    </row>
    <row r="916">
      <c r="A916" s="1" t="s">
        <v>2805</v>
      </c>
      <c r="B916" s="1" t="s">
        <v>2806</v>
      </c>
      <c r="C916" s="1" t="s">
        <v>2807</v>
      </c>
      <c r="D916" s="1" t="s">
        <v>2423</v>
      </c>
      <c r="E916" s="1" t="s">
        <v>2424</v>
      </c>
      <c r="F916" s="1">
        <v>6763908.0</v>
      </c>
      <c r="G916" s="1">
        <v>160821.0</v>
      </c>
      <c r="H916" s="1">
        <v>4357.0</v>
      </c>
      <c r="I916" s="1">
        <v>3330000.0</v>
      </c>
      <c r="J916" s="1" t="s">
        <v>15</v>
      </c>
    </row>
    <row r="917">
      <c r="A917" s="1" t="s">
        <v>2808</v>
      </c>
      <c r="B917" s="1" t="s">
        <v>2809</v>
      </c>
      <c r="C917" s="1" t="s">
        <v>2810</v>
      </c>
      <c r="D917" s="1" t="s">
        <v>2423</v>
      </c>
      <c r="E917" s="1" t="s">
        <v>2424</v>
      </c>
      <c r="F917" s="1">
        <v>3688517.0</v>
      </c>
      <c r="G917" s="1">
        <v>104445.0</v>
      </c>
      <c r="H917" s="1">
        <v>2189.0</v>
      </c>
      <c r="I917" s="1">
        <v>3330000.0</v>
      </c>
      <c r="J917" s="1" t="s">
        <v>15</v>
      </c>
    </row>
    <row r="918">
      <c r="A918" s="1" t="s">
        <v>2812</v>
      </c>
      <c r="B918" s="1" t="s">
        <v>2814</v>
      </c>
      <c r="C918" s="1" t="s">
        <v>2816</v>
      </c>
      <c r="D918" s="1" t="s">
        <v>2423</v>
      </c>
      <c r="E918" s="1" t="s">
        <v>2424</v>
      </c>
      <c r="F918" s="1">
        <v>3681688.0</v>
      </c>
      <c r="G918" s="1">
        <v>110770.0</v>
      </c>
      <c r="H918" s="1">
        <v>4662.0</v>
      </c>
      <c r="I918" s="1">
        <v>3330000.0</v>
      </c>
      <c r="J918" s="1" t="s">
        <v>15</v>
      </c>
    </row>
    <row r="919">
      <c r="A919" s="1" t="s">
        <v>2817</v>
      </c>
      <c r="B919" s="1" t="s">
        <v>2818</v>
      </c>
      <c r="C919" s="1" t="s">
        <v>2819</v>
      </c>
      <c r="D919" s="1" t="s">
        <v>2423</v>
      </c>
      <c r="E919" s="1" t="s">
        <v>2424</v>
      </c>
      <c r="F919" s="1">
        <v>1185789.0</v>
      </c>
      <c r="G919" s="1">
        <v>52538.0</v>
      </c>
      <c r="H919" s="1">
        <v>3159.0</v>
      </c>
      <c r="I919" s="1">
        <v>3330000.0</v>
      </c>
      <c r="J919" s="1" t="s">
        <v>15</v>
      </c>
    </row>
    <row r="920">
      <c r="A920" s="1" t="s">
        <v>2820</v>
      </c>
      <c r="B920" s="1" t="s">
        <v>2821</v>
      </c>
      <c r="C920" s="1" t="s">
        <v>2822</v>
      </c>
      <c r="D920" s="1" t="s">
        <v>2423</v>
      </c>
      <c r="E920" s="1" t="s">
        <v>2424</v>
      </c>
      <c r="F920" s="1">
        <v>1294762.0</v>
      </c>
      <c r="G920" s="1">
        <v>58451.0</v>
      </c>
      <c r="H920" s="1">
        <v>2359.0</v>
      </c>
      <c r="I920" s="1">
        <v>3330000.0</v>
      </c>
      <c r="J920" s="1" t="s">
        <v>15</v>
      </c>
    </row>
    <row r="921">
      <c r="A921" s="1" t="s">
        <v>2823</v>
      </c>
      <c r="B921" s="1" t="s">
        <v>2824</v>
      </c>
      <c r="C921" s="1" t="s">
        <v>2825</v>
      </c>
      <c r="D921" s="1" t="s">
        <v>2423</v>
      </c>
      <c r="E921" s="1" t="s">
        <v>2424</v>
      </c>
      <c r="F921" s="1">
        <v>2096333.0</v>
      </c>
      <c r="G921" s="1">
        <v>56371.0</v>
      </c>
      <c r="H921" s="1">
        <v>3139.0</v>
      </c>
      <c r="I921" s="1">
        <v>3330000.0</v>
      </c>
      <c r="J921" s="1" t="s">
        <v>15</v>
      </c>
    </row>
    <row r="922">
      <c r="A922" s="1" t="s">
        <v>2826</v>
      </c>
      <c r="B922" s="1" t="s">
        <v>2827</v>
      </c>
      <c r="C922" s="1" t="s">
        <v>2828</v>
      </c>
      <c r="D922" s="1" t="s">
        <v>2423</v>
      </c>
      <c r="E922" s="1" t="s">
        <v>2424</v>
      </c>
      <c r="F922" s="1">
        <v>2053786.0</v>
      </c>
      <c r="G922" s="1">
        <v>61696.0</v>
      </c>
      <c r="H922" s="1">
        <v>2836.0</v>
      </c>
      <c r="I922" s="1">
        <v>3330000.0</v>
      </c>
      <c r="J922" s="1" t="s">
        <v>15</v>
      </c>
    </row>
    <row r="923">
      <c r="A923" s="1" t="s">
        <v>2829</v>
      </c>
      <c r="B923" s="1" t="s">
        <v>2830</v>
      </c>
      <c r="C923" s="1" t="s">
        <v>2831</v>
      </c>
      <c r="D923" s="1" t="s">
        <v>2423</v>
      </c>
      <c r="E923" s="1" t="s">
        <v>2424</v>
      </c>
      <c r="F923" s="1">
        <v>943710.0</v>
      </c>
      <c r="G923" s="1">
        <v>34395.0</v>
      </c>
      <c r="H923" s="1">
        <v>2019.0</v>
      </c>
      <c r="I923" s="1">
        <v>3330000.0</v>
      </c>
      <c r="J923" s="1" t="s">
        <v>15</v>
      </c>
    </row>
    <row r="924">
      <c r="A924" s="1" t="s">
        <v>2832</v>
      </c>
      <c r="B924" s="1" t="s">
        <v>2833</v>
      </c>
      <c r="C924" s="1" t="s">
        <v>2834</v>
      </c>
      <c r="D924" s="1" t="s">
        <v>2423</v>
      </c>
      <c r="E924" s="1" t="s">
        <v>2424</v>
      </c>
      <c r="F924" s="1">
        <v>4235881.0</v>
      </c>
      <c r="G924" s="1">
        <v>116206.0</v>
      </c>
      <c r="H924" s="1">
        <v>10240.0</v>
      </c>
      <c r="I924" s="1">
        <v>3330000.0</v>
      </c>
      <c r="J924" s="1" t="s">
        <v>15</v>
      </c>
    </row>
    <row r="925">
      <c r="A925" s="1" t="s">
        <v>2835</v>
      </c>
      <c r="B925" s="1" t="s">
        <v>2836</v>
      </c>
      <c r="C925" s="1" t="s">
        <v>2837</v>
      </c>
      <c r="D925" s="1" t="s">
        <v>2423</v>
      </c>
      <c r="E925" s="1" t="s">
        <v>2424</v>
      </c>
      <c r="F925" s="1">
        <v>920650.0</v>
      </c>
      <c r="G925" s="1">
        <v>47937.0</v>
      </c>
      <c r="H925" s="1">
        <v>3954.0</v>
      </c>
      <c r="I925" s="1">
        <v>3330000.0</v>
      </c>
      <c r="J925" s="1" t="s">
        <v>15</v>
      </c>
    </row>
    <row r="926">
      <c r="A926" s="1" t="s">
        <v>2841</v>
      </c>
      <c r="B926" s="1" t="s">
        <v>2842</v>
      </c>
      <c r="C926" s="1" t="s">
        <v>2843</v>
      </c>
      <c r="D926" s="1" t="s">
        <v>2423</v>
      </c>
      <c r="E926" s="1" t="s">
        <v>2424</v>
      </c>
      <c r="F926" s="1">
        <v>796251.0</v>
      </c>
      <c r="G926" s="1">
        <v>30797.0</v>
      </c>
      <c r="H926" s="1">
        <v>897.0</v>
      </c>
      <c r="I926" s="1">
        <v>3330000.0</v>
      </c>
      <c r="J926" s="1" t="s">
        <v>15</v>
      </c>
    </row>
    <row r="927">
      <c r="A927" s="1" t="s">
        <v>2844</v>
      </c>
      <c r="B927" s="1" t="s">
        <v>2845</v>
      </c>
      <c r="C927" s="1" t="s">
        <v>2846</v>
      </c>
      <c r="D927" s="1" t="s">
        <v>2423</v>
      </c>
      <c r="E927" s="1" t="s">
        <v>2424</v>
      </c>
      <c r="F927" s="1">
        <v>831389.0</v>
      </c>
      <c r="G927" s="1">
        <v>37075.0</v>
      </c>
      <c r="H927" s="1">
        <v>1339.0</v>
      </c>
      <c r="I927" s="1">
        <v>3330000.0</v>
      </c>
      <c r="J927" s="1" t="s">
        <v>15</v>
      </c>
    </row>
    <row r="928">
      <c r="A928" s="1" t="s">
        <v>2847</v>
      </c>
      <c r="B928" s="1" t="s">
        <v>2848</v>
      </c>
      <c r="C928" s="1" t="s">
        <v>2849</v>
      </c>
      <c r="D928" s="1" t="s">
        <v>2423</v>
      </c>
      <c r="E928" s="1" t="s">
        <v>2424</v>
      </c>
      <c r="F928" s="1">
        <v>524680.0</v>
      </c>
      <c r="G928" s="1">
        <v>29436.0</v>
      </c>
      <c r="H928" s="1">
        <v>1697.0</v>
      </c>
      <c r="I928" s="1">
        <v>3330000.0</v>
      </c>
      <c r="J928" s="1" t="s">
        <v>15</v>
      </c>
    </row>
    <row r="929">
      <c r="A929" s="1" t="s">
        <v>2850</v>
      </c>
      <c r="B929" s="1" t="s">
        <v>2851</v>
      </c>
      <c r="C929" s="1" t="s">
        <v>2852</v>
      </c>
      <c r="D929" s="1" t="s">
        <v>2423</v>
      </c>
      <c r="E929" s="1" t="s">
        <v>2424</v>
      </c>
      <c r="F929" s="1">
        <v>292066.0</v>
      </c>
      <c r="G929" s="1">
        <v>19860.0</v>
      </c>
      <c r="H929" s="1">
        <v>1409.0</v>
      </c>
      <c r="I929" s="1">
        <v>3330000.0</v>
      </c>
      <c r="J929" s="1" t="s">
        <v>15</v>
      </c>
    </row>
    <row r="930">
      <c r="A930" s="1" t="s">
        <v>2853</v>
      </c>
      <c r="B930" s="1" t="s">
        <v>2854</v>
      </c>
      <c r="C930" s="1" t="s">
        <v>2855</v>
      </c>
      <c r="D930" s="1" t="s">
        <v>2423</v>
      </c>
      <c r="E930" s="1" t="s">
        <v>2424</v>
      </c>
      <c r="F930" s="1">
        <v>808385.0</v>
      </c>
      <c r="G930" s="1">
        <v>33424.0</v>
      </c>
      <c r="H930" s="1">
        <v>2228.0</v>
      </c>
      <c r="I930" s="1">
        <v>3330000.0</v>
      </c>
      <c r="J930" s="1" t="s">
        <v>15</v>
      </c>
    </row>
    <row r="931">
      <c r="A931" s="1" t="s">
        <v>2856</v>
      </c>
      <c r="B931" s="1" t="s">
        <v>2857</v>
      </c>
      <c r="C931" s="1" t="s">
        <v>2858</v>
      </c>
      <c r="D931" s="1" t="s">
        <v>2423</v>
      </c>
      <c r="E931" s="1" t="s">
        <v>2424</v>
      </c>
      <c r="F931" s="1">
        <v>1002207.0</v>
      </c>
      <c r="G931" s="1">
        <v>40655.0</v>
      </c>
      <c r="H931" s="1">
        <v>3406.0</v>
      </c>
      <c r="I931" s="1">
        <v>3330000.0</v>
      </c>
      <c r="J931" s="1" t="s">
        <v>15</v>
      </c>
    </row>
    <row r="932">
      <c r="A932" s="1" t="s">
        <v>2861</v>
      </c>
      <c r="B932" s="1" t="s">
        <v>2862</v>
      </c>
      <c r="C932" s="1" t="s">
        <v>2864</v>
      </c>
      <c r="D932" s="1" t="s">
        <v>2423</v>
      </c>
      <c r="E932" s="1" t="s">
        <v>2424</v>
      </c>
      <c r="F932" s="1">
        <v>1224967.0</v>
      </c>
      <c r="G932" s="1">
        <v>68877.0</v>
      </c>
      <c r="H932" s="1">
        <v>5908.0</v>
      </c>
      <c r="I932" s="1">
        <v>3330000.0</v>
      </c>
      <c r="J932" s="1" t="s">
        <v>15</v>
      </c>
    </row>
    <row r="933">
      <c r="A933" s="1" t="s">
        <v>2865</v>
      </c>
      <c r="B933" s="1" t="s">
        <v>2866</v>
      </c>
      <c r="C933" s="1" t="s">
        <v>2867</v>
      </c>
      <c r="D933" s="1" t="s">
        <v>2423</v>
      </c>
      <c r="E933" s="1" t="s">
        <v>2424</v>
      </c>
      <c r="F933" s="1">
        <v>1147355.0</v>
      </c>
      <c r="G933" s="1">
        <v>68225.0</v>
      </c>
      <c r="H933" s="1">
        <v>5417.0</v>
      </c>
      <c r="I933" s="1">
        <v>3330000.0</v>
      </c>
      <c r="J933" s="1" t="s">
        <v>15</v>
      </c>
    </row>
    <row r="934">
      <c r="A934" s="1" t="s">
        <v>2868</v>
      </c>
      <c r="B934" s="1" t="s">
        <v>2869</v>
      </c>
      <c r="C934" s="1" t="s">
        <v>2870</v>
      </c>
      <c r="D934" s="1" t="s">
        <v>2423</v>
      </c>
      <c r="E934" s="1" t="s">
        <v>2424</v>
      </c>
      <c r="F934" s="1">
        <v>826164.0</v>
      </c>
      <c r="G934" s="1">
        <v>33576.0</v>
      </c>
      <c r="H934" s="1">
        <v>959.0</v>
      </c>
      <c r="I934" s="1">
        <v>3330000.0</v>
      </c>
      <c r="J934" s="1" t="s">
        <v>15</v>
      </c>
    </row>
    <row r="935">
      <c r="A935" s="1" t="s">
        <v>2871</v>
      </c>
      <c r="B935" s="1" t="s">
        <v>2872</v>
      </c>
      <c r="C935" s="1" t="s">
        <v>2873</v>
      </c>
      <c r="D935" s="1" t="s">
        <v>2423</v>
      </c>
      <c r="E935" s="1" t="s">
        <v>2424</v>
      </c>
      <c r="F935" s="1">
        <v>2416536.0</v>
      </c>
      <c r="G935" s="1">
        <v>96839.0</v>
      </c>
      <c r="H935" s="1">
        <v>3867.0</v>
      </c>
      <c r="I935" s="1">
        <v>3330000.0</v>
      </c>
      <c r="J935" s="1" t="s">
        <v>15</v>
      </c>
    </row>
    <row r="936">
      <c r="A936" s="1" t="s">
        <v>2874</v>
      </c>
      <c r="B936" s="1" t="s">
        <v>2875</v>
      </c>
      <c r="C936" s="1" t="s">
        <v>2876</v>
      </c>
      <c r="D936" s="1" t="s">
        <v>2423</v>
      </c>
      <c r="E936" s="1" t="s">
        <v>2424</v>
      </c>
      <c r="F936" s="1">
        <v>995722.0</v>
      </c>
      <c r="G936" s="1">
        <v>42106.0</v>
      </c>
      <c r="H936" s="1">
        <v>829.0</v>
      </c>
      <c r="I936" s="1">
        <v>3330000.0</v>
      </c>
      <c r="J936" s="1" t="s">
        <v>15</v>
      </c>
    </row>
    <row r="937">
      <c r="A937" s="1" t="s">
        <v>2877</v>
      </c>
      <c r="B937" s="1" t="s">
        <v>2878</v>
      </c>
      <c r="C937" s="1" t="s">
        <v>2879</v>
      </c>
      <c r="D937" s="1" t="s">
        <v>2423</v>
      </c>
      <c r="E937" s="1" t="s">
        <v>2424</v>
      </c>
      <c r="F937" s="1">
        <v>852342.0</v>
      </c>
      <c r="G937" s="1">
        <v>42927.0</v>
      </c>
      <c r="H937" s="1">
        <v>1329.0</v>
      </c>
      <c r="I937" s="1">
        <v>3330000.0</v>
      </c>
      <c r="J937" s="1" t="s">
        <v>15</v>
      </c>
    </row>
    <row r="938">
      <c r="A938" s="1" t="s">
        <v>2880</v>
      </c>
      <c r="B938" s="1" t="s">
        <v>2881</v>
      </c>
      <c r="C938" s="1" t="s">
        <v>2882</v>
      </c>
      <c r="D938" s="1" t="s">
        <v>2423</v>
      </c>
      <c r="E938" s="1" t="s">
        <v>2424</v>
      </c>
      <c r="F938" s="1">
        <v>302271.0</v>
      </c>
      <c r="G938" s="1">
        <v>17002.0</v>
      </c>
      <c r="H938" s="1">
        <v>1719.0</v>
      </c>
      <c r="I938" s="1">
        <v>3330000.0</v>
      </c>
      <c r="J938" s="1" t="s">
        <v>15</v>
      </c>
    </row>
    <row r="939">
      <c r="A939" s="1" t="s">
        <v>2884</v>
      </c>
      <c r="B939" s="1" t="s">
        <v>2886</v>
      </c>
      <c r="C939" s="1" t="s">
        <v>2888</v>
      </c>
      <c r="D939" s="1" t="s">
        <v>2423</v>
      </c>
      <c r="E939" s="1" t="s">
        <v>2424</v>
      </c>
      <c r="F939" s="1">
        <v>887420.0</v>
      </c>
      <c r="G939" s="1">
        <v>43143.0</v>
      </c>
      <c r="H939" s="1">
        <v>2261.0</v>
      </c>
      <c r="I939" s="1">
        <v>3330000.0</v>
      </c>
      <c r="J939" s="1" t="s">
        <v>15</v>
      </c>
    </row>
    <row r="940">
      <c r="A940" s="1" t="s">
        <v>2889</v>
      </c>
      <c r="B940" s="1" t="s">
        <v>2890</v>
      </c>
      <c r="C940" s="1" t="s">
        <v>2891</v>
      </c>
      <c r="D940" s="1" t="s">
        <v>2423</v>
      </c>
      <c r="E940" s="1" t="s">
        <v>2424</v>
      </c>
      <c r="F940" s="1">
        <v>3189232.0</v>
      </c>
      <c r="G940" s="1">
        <v>82989.0</v>
      </c>
      <c r="H940" s="1">
        <v>4048.0</v>
      </c>
      <c r="I940" s="1">
        <v>3330000.0</v>
      </c>
      <c r="J940" s="1" t="s">
        <v>15</v>
      </c>
    </row>
    <row r="941">
      <c r="A941" s="1" t="s">
        <v>2892</v>
      </c>
      <c r="B941" s="1" t="s">
        <v>2893</v>
      </c>
      <c r="C941" s="1" t="s">
        <v>2894</v>
      </c>
      <c r="D941" s="1" t="s">
        <v>2423</v>
      </c>
      <c r="E941" s="1" t="s">
        <v>2424</v>
      </c>
      <c r="F941" s="1">
        <v>1589111.0</v>
      </c>
      <c r="G941" s="1">
        <v>50112.0</v>
      </c>
      <c r="H941" s="1">
        <v>1178.0</v>
      </c>
      <c r="I941" s="1">
        <v>3330000.0</v>
      </c>
      <c r="J941" s="1" t="s">
        <v>15</v>
      </c>
    </row>
    <row r="942">
      <c r="A942" s="1" t="s">
        <v>2895</v>
      </c>
      <c r="B942" s="1" t="s">
        <v>2896</v>
      </c>
      <c r="C942" s="1" t="s">
        <v>2897</v>
      </c>
      <c r="D942" s="1" t="s">
        <v>2423</v>
      </c>
      <c r="E942" s="1" t="s">
        <v>2424</v>
      </c>
      <c r="F942" s="1">
        <v>1412821.0</v>
      </c>
      <c r="G942" s="1">
        <v>39966.0</v>
      </c>
      <c r="H942" s="1">
        <v>1102.0</v>
      </c>
      <c r="I942" s="1">
        <v>3330000.0</v>
      </c>
      <c r="J942" s="1" t="s">
        <v>15</v>
      </c>
    </row>
    <row r="943">
      <c r="A943" s="1" t="s">
        <v>2898</v>
      </c>
      <c r="B943" s="1" t="s">
        <v>2899</v>
      </c>
      <c r="C943" s="1" t="s">
        <v>2900</v>
      </c>
      <c r="D943" s="1" t="s">
        <v>2423</v>
      </c>
      <c r="E943" s="1" t="s">
        <v>2424</v>
      </c>
      <c r="F943" s="1">
        <v>1004396.0</v>
      </c>
      <c r="G943" s="1">
        <v>29461.0</v>
      </c>
      <c r="H943" s="1">
        <v>1108.0</v>
      </c>
      <c r="I943" s="1">
        <v>3330000.0</v>
      </c>
      <c r="J943" s="1" t="s">
        <v>15</v>
      </c>
    </row>
    <row r="944">
      <c r="A944" s="1" t="s">
        <v>2901</v>
      </c>
      <c r="B944" s="1" t="s">
        <v>2902</v>
      </c>
      <c r="C944" s="1" t="s">
        <v>2903</v>
      </c>
      <c r="D944" s="1" t="s">
        <v>2423</v>
      </c>
      <c r="E944" s="1" t="s">
        <v>2424</v>
      </c>
      <c r="F944" s="1">
        <v>3181305.0</v>
      </c>
      <c r="G944" s="1">
        <v>107093.0</v>
      </c>
      <c r="H944" s="1">
        <v>2622.0</v>
      </c>
      <c r="I944" s="1">
        <v>3330000.0</v>
      </c>
      <c r="J944" s="1" t="s">
        <v>15</v>
      </c>
    </row>
    <row r="945">
      <c r="A945" s="1" t="s">
        <v>2904</v>
      </c>
      <c r="B945" s="1" t="s">
        <v>2905</v>
      </c>
      <c r="C945" s="1" t="s">
        <v>2906</v>
      </c>
      <c r="D945" s="1" t="s">
        <v>2423</v>
      </c>
      <c r="E945" s="1" t="s">
        <v>2424</v>
      </c>
      <c r="F945" s="1">
        <v>693028.0</v>
      </c>
      <c r="G945" s="1">
        <v>26798.0</v>
      </c>
      <c r="H945" s="1">
        <v>908.0</v>
      </c>
      <c r="I945" s="1">
        <v>3330000.0</v>
      </c>
      <c r="J945" s="1" t="s">
        <v>15</v>
      </c>
    </row>
    <row r="946">
      <c r="A946" s="1" t="s">
        <v>2910</v>
      </c>
      <c r="B946" s="1" t="s">
        <v>2911</v>
      </c>
      <c r="C946" s="1" t="s">
        <v>2912</v>
      </c>
      <c r="D946" s="1" t="s">
        <v>2423</v>
      </c>
      <c r="E946" s="1" t="s">
        <v>2424</v>
      </c>
      <c r="F946" s="1">
        <v>1178272.0</v>
      </c>
      <c r="G946" s="1">
        <v>41047.0</v>
      </c>
      <c r="H946" s="1">
        <v>2011.0</v>
      </c>
      <c r="I946" s="1">
        <v>3330000.0</v>
      </c>
      <c r="J946" s="1" t="s">
        <v>15</v>
      </c>
    </row>
    <row r="947">
      <c r="A947" s="1" t="s">
        <v>2913</v>
      </c>
      <c r="B947" s="1" t="s">
        <v>2914</v>
      </c>
      <c r="C947" s="1" t="s">
        <v>2915</v>
      </c>
      <c r="D947" s="1" t="s">
        <v>2423</v>
      </c>
      <c r="E947" s="1" t="s">
        <v>2424</v>
      </c>
      <c r="F947" s="1">
        <v>817471.0</v>
      </c>
      <c r="G947" s="1">
        <v>37533.0</v>
      </c>
      <c r="H947" s="1">
        <v>3213.0</v>
      </c>
      <c r="I947" s="1">
        <v>3330000.0</v>
      </c>
      <c r="J947" s="1" t="s">
        <v>15</v>
      </c>
    </row>
    <row r="948">
      <c r="A948" s="1" t="s">
        <v>2916</v>
      </c>
      <c r="B948" s="1" t="s">
        <v>2917</v>
      </c>
      <c r="C948" s="1" t="s">
        <v>2918</v>
      </c>
      <c r="D948" s="1" t="s">
        <v>2423</v>
      </c>
      <c r="E948" s="1" t="s">
        <v>2424</v>
      </c>
      <c r="F948" s="1">
        <v>2589255.0</v>
      </c>
      <c r="G948" s="1">
        <v>49644.0</v>
      </c>
      <c r="H948" s="1">
        <v>2128.0</v>
      </c>
      <c r="I948" s="1">
        <v>3330000.0</v>
      </c>
      <c r="J948" s="1" t="s">
        <v>15</v>
      </c>
    </row>
    <row r="949">
      <c r="A949" s="1" t="s">
        <v>2919</v>
      </c>
      <c r="B949" s="1" t="s">
        <v>2920</v>
      </c>
      <c r="C949" s="1" t="s">
        <v>2921</v>
      </c>
      <c r="D949" s="1" t="s">
        <v>2423</v>
      </c>
      <c r="E949" s="1" t="s">
        <v>2424</v>
      </c>
      <c r="F949" s="1">
        <v>523378.0</v>
      </c>
      <c r="G949" s="1">
        <v>29039.0</v>
      </c>
      <c r="H949" s="1">
        <v>3045.0</v>
      </c>
      <c r="I949" s="1">
        <v>3330000.0</v>
      </c>
      <c r="J949" s="1" t="s">
        <v>15</v>
      </c>
    </row>
    <row r="950">
      <c r="A950" s="1" t="s">
        <v>2922</v>
      </c>
      <c r="B950" s="1" t="s">
        <v>2923</v>
      </c>
      <c r="C950" s="1" t="s">
        <v>2924</v>
      </c>
      <c r="D950" s="1" t="s">
        <v>2423</v>
      </c>
      <c r="E950" s="1" t="s">
        <v>2424</v>
      </c>
      <c r="F950" s="1">
        <v>668905.0</v>
      </c>
      <c r="G950" s="1">
        <v>31198.0</v>
      </c>
      <c r="H950" s="1">
        <v>1304.0</v>
      </c>
      <c r="I950" s="1">
        <v>3330000.0</v>
      </c>
      <c r="J950" s="1" t="s">
        <v>15</v>
      </c>
    </row>
    <row r="951">
      <c r="A951" s="1" t="s">
        <v>2925</v>
      </c>
      <c r="B951" s="1" t="s">
        <v>2926</v>
      </c>
      <c r="C951" s="1" t="s">
        <v>2927</v>
      </c>
      <c r="D951" s="1" t="s">
        <v>2423</v>
      </c>
      <c r="E951" s="1" t="s">
        <v>2424</v>
      </c>
      <c r="F951" s="1">
        <v>509761.0</v>
      </c>
      <c r="G951" s="1">
        <v>28269.0</v>
      </c>
      <c r="H951" s="1">
        <v>991.0</v>
      </c>
      <c r="I951" s="1">
        <v>3330000.0</v>
      </c>
      <c r="J951" s="1" t="s">
        <v>15</v>
      </c>
    </row>
    <row r="952">
      <c r="A952" s="1" t="s">
        <v>2928</v>
      </c>
      <c r="B952" s="1" t="s">
        <v>2929</v>
      </c>
      <c r="C952" s="1" t="s">
        <v>2930</v>
      </c>
      <c r="D952" s="1" t="s">
        <v>2423</v>
      </c>
      <c r="E952" s="1" t="s">
        <v>2424</v>
      </c>
      <c r="F952" s="1">
        <v>623741.0</v>
      </c>
      <c r="G952" s="1">
        <v>36707.0</v>
      </c>
      <c r="H952" s="1">
        <v>4216.0</v>
      </c>
      <c r="I952" s="1">
        <v>3330000.0</v>
      </c>
      <c r="J952" s="1" t="s">
        <v>15</v>
      </c>
    </row>
    <row r="953">
      <c r="A953" s="1" t="s">
        <v>2931</v>
      </c>
      <c r="B953" s="1" t="s">
        <v>2932</v>
      </c>
      <c r="C953" s="1" t="s">
        <v>2933</v>
      </c>
      <c r="D953" s="1" t="s">
        <v>2423</v>
      </c>
      <c r="E953" s="1" t="s">
        <v>2424</v>
      </c>
      <c r="F953" s="1">
        <v>751507.0</v>
      </c>
      <c r="G953" s="1">
        <v>29226.0</v>
      </c>
      <c r="H953" s="1">
        <v>1053.0</v>
      </c>
      <c r="I953" s="1">
        <v>3330000.0</v>
      </c>
      <c r="J953" s="1" t="s">
        <v>15</v>
      </c>
    </row>
    <row r="954">
      <c r="A954" s="1" t="s">
        <v>2937</v>
      </c>
      <c r="B954" s="1" t="s">
        <v>2938</v>
      </c>
      <c r="C954" s="1" t="s">
        <v>2939</v>
      </c>
      <c r="D954" s="1" t="s">
        <v>2423</v>
      </c>
      <c r="E954" s="1" t="s">
        <v>2424</v>
      </c>
      <c r="F954" s="1">
        <v>1803761.0</v>
      </c>
      <c r="G954" s="1">
        <v>65159.0</v>
      </c>
      <c r="H954" s="1">
        <v>2034.0</v>
      </c>
      <c r="I954" s="1">
        <v>3330000.0</v>
      </c>
      <c r="J954" s="1" t="s">
        <v>15</v>
      </c>
    </row>
    <row r="955">
      <c r="A955" s="1" t="s">
        <v>2940</v>
      </c>
      <c r="B955" s="1" t="s">
        <v>2941</v>
      </c>
      <c r="C955" s="1" t="s">
        <v>2942</v>
      </c>
      <c r="D955" s="1" t="s">
        <v>2423</v>
      </c>
      <c r="E955" s="1" t="s">
        <v>2424</v>
      </c>
      <c r="F955" s="1">
        <v>894225.0</v>
      </c>
      <c r="G955" s="1">
        <v>33331.0</v>
      </c>
      <c r="H955" s="1">
        <v>2530.0</v>
      </c>
      <c r="I955" s="1">
        <v>3330000.0</v>
      </c>
      <c r="J955" s="1" t="s">
        <v>15</v>
      </c>
    </row>
    <row r="956">
      <c r="A956" s="1" t="s">
        <v>2943</v>
      </c>
      <c r="B956" s="1" t="s">
        <v>2944</v>
      </c>
      <c r="C956" s="1" t="s">
        <v>2945</v>
      </c>
      <c r="D956" s="1" t="s">
        <v>2423</v>
      </c>
      <c r="E956" s="1" t="s">
        <v>2424</v>
      </c>
      <c r="F956" s="1">
        <v>695815.0</v>
      </c>
      <c r="G956" s="1">
        <v>30667.0</v>
      </c>
      <c r="H956" s="1">
        <v>2849.0</v>
      </c>
      <c r="I956" s="1">
        <v>3330000.0</v>
      </c>
      <c r="J956" s="1" t="s">
        <v>15</v>
      </c>
    </row>
    <row r="957">
      <c r="A957" s="1" t="s">
        <v>2946</v>
      </c>
      <c r="B957" s="1" t="s">
        <v>2947</v>
      </c>
      <c r="C957" s="1" t="s">
        <v>2948</v>
      </c>
      <c r="D957" s="1" t="s">
        <v>2423</v>
      </c>
      <c r="E957" s="1" t="s">
        <v>2424</v>
      </c>
      <c r="F957" s="1">
        <v>6637897.0</v>
      </c>
      <c r="G957" s="1">
        <v>158177.0</v>
      </c>
      <c r="H957" s="1">
        <v>4400.0</v>
      </c>
      <c r="I957" s="1">
        <v>3330000.0</v>
      </c>
      <c r="J957" s="1" t="s">
        <v>15</v>
      </c>
    </row>
    <row r="958">
      <c r="A958" s="1" t="s">
        <v>2949</v>
      </c>
      <c r="B958" s="1" t="s">
        <v>2950</v>
      </c>
      <c r="C958" s="1" t="s">
        <v>2951</v>
      </c>
      <c r="D958" s="1" t="s">
        <v>2423</v>
      </c>
      <c r="E958" s="1" t="s">
        <v>2424</v>
      </c>
      <c r="F958" s="1">
        <v>746658.0</v>
      </c>
      <c r="G958" s="1">
        <v>26205.0</v>
      </c>
      <c r="H958" s="1">
        <v>1166.0</v>
      </c>
      <c r="I958" s="1">
        <v>3330000.0</v>
      </c>
      <c r="J958" s="1" t="s">
        <v>15</v>
      </c>
    </row>
    <row r="959">
      <c r="A959" s="1" t="s">
        <v>2952</v>
      </c>
      <c r="B959" s="1" t="s">
        <v>2953</v>
      </c>
      <c r="C959" s="1" t="s">
        <v>2954</v>
      </c>
      <c r="D959" s="1" t="s">
        <v>2423</v>
      </c>
      <c r="E959" s="1" t="s">
        <v>2424</v>
      </c>
      <c r="F959" s="1">
        <v>1447007.0</v>
      </c>
      <c r="G959" s="1">
        <v>69008.0</v>
      </c>
      <c r="H959" s="1">
        <v>6953.0</v>
      </c>
      <c r="I959" s="1">
        <v>3330000.0</v>
      </c>
      <c r="J959" s="1" t="s">
        <v>15</v>
      </c>
    </row>
    <row r="960">
      <c r="A960" s="1" t="s">
        <v>2955</v>
      </c>
      <c r="B960" s="1" t="s">
        <v>2956</v>
      </c>
      <c r="C960" s="1" t="s">
        <v>2957</v>
      </c>
      <c r="D960" s="1" t="s">
        <v>2423</v>
      </c>
      <c r="E960" s="1" t="s">
        <v>2424</v>
      </c>
      <c r="F960" s="1">
        <v>1270179.0</v>
      </c>
      <c r="G960" s="1">
        <v>47421.0</v>
      </c>
      <c r="H960" s="1">
        <v>2329.0</v>
      </c>
      <c r="I960" s="1">
        <v>3330000.0</v>
      </c>
      <c r="J960" s="1" t="s">
        <v>15</v>
      </c>
    </row>
    <row r="961">
      <c r="A961" s="1" t="s">
        <v>2961</v>
      </c>
      <c r="B961" s="1" t="s">
        <v>2962</v>
      </c>
      <c r="C961" s="1" t="s">
        <v>2963</v>
      </c>
      <c r="D961" s="1" t="s">
        <v>2423</v>
      </c>
      <c r="E961" s="1" t="s">
        <v>2424</v>
      </c>
      <c r="F961" s="1">
        <v>988833.0</v>
      </c>
      <c r="G961" s="1">
        <v>47293.0</v>
      </c>
      <c r="H961" s="1">
        <v>3292.0</v>
      </c>
      <c r="I961" s="1">
        <v>3330000.0</v>
      </c>
      <c r="J961" s="1" t="s">
        <v>15</v>
      </c>
    </row>
    <row r="962">
      <c r="A962" s="1" t="s">
        <v>2964</v>
      </c>
      <c r="B962" s="1" t="s">
        <v>2965</v>
      </c>
      <c r="C962" s="1" t="s">
        <v>2966</v>
      </c>
      <c r="D962" s="1" t="s">
        <v>2423</v>
      </c>
      <c r="E962" s="1" t="s">
        <v>2424</v>
      </c>
      <c r="F962" s="1">
        <v>1458839.0</v>
      </c>
      <c r="G962" s="1">
        <v>71410.0</v>
      </c>
      <c r="H962" s="1">
        <v>2509.0</v>
      </c>
      <c r="I962" s="1">
        <v>3330000.0</v>
      </c>
      <c r="J962" s="1" t="s">
        <v>15</v>
      </c>
    </row>
    <row r="963">
      <c r="A963" s="1" t="s">
        <v>2967</v>
      </c>
      <c r="B963" s="1" t="s">
        <v>2968</v>
      </c>
      <c r="C963" s="1" t="s">
        <v>2969</v>
      </c>
      <c r="D963" s="1" t="s">
        <v>2423</v>
      </c>
      <c r="E963" s="1" t="s">
        <v>2424</v>
      </c>
      <c r="F963" s="1">
        <v>1756088.0</v>
      </c>
      <c r="G963" s="1">
        <v>49477.0</v>
      </c>
      <c r="H963" s="1">
        <v>1348.0</v>
      </c>
      <c r="I963" s="1">
        <v>3330000.0</v>
      </c>
      <c r="J963" s="1" t="s">
        <v>15</v>
      </c>
    </row>
    <row r="964">
      <c r="A964" s="1" t="s">
        <v>2970</v>
      </c>
      <c r="B964" s="1" t="s">
        <v>2971</v>
      </c>
      <c r="C964" s="1" t="s">
        <v>2972</v>
      </c>
      <c r="D964" s="1" t="s">
        <v>2423</v>
      </c>
      <c r="E964" s="1" t="s">
        <v>2424</v>
      </c>
      <c r="F964" s="1">
        <v>733034.0</v>
      </c>
      <c r="G964" s="1">
        <v>36284.0</v>
      </c>
      <c r="H964" s="1">
        <v>2434.0</v>
      </c>
      <c r="I964" s="1">
        <v>3330000.0</v>
      </c>
      <c r="J964" s="1" t="s">
        <v>15</v>
      </c>
    </row>
    <row r="965">
      <c r="A965" s="1" t="s">
        <v>2973</v>
      </c>
      <c r="B965" s="1" t="s">
        <v>2974</v>
      </c>
      <c r="C965" s="1" t="s">
        <v>2975</v>
      </c>
      <c r="D965" s="1" t="s">
        <v>2423</v>
      </c>
      <c r="E965" s="1" t="s">
        <v>2424</v>
      </c>
      <c r="F965" s="1">
        <v>488729.0</v>
      </c>
      <c r="G965" s="1">
        <v>21334.0</v>
      </c>
      <c r="H965" s="1">
        <v>1037.0</v>
      </c>
      <c r="I965" s="1">
        <v>3330000.0</v>
      </c>
      <c r="J965" s="1" t="s">
        <v>15</v>
      </c>
    </row>
    <row r="966">
      <c r="A966" s="1" t="s">
        <v>2976</v>
      </c>
      <c r="B966" s="1" t="s">
        <v>2977</v>
      </c>
      <c r="C966" s="1" t="s">
        <v>2978</v>
      </c>
      <c r="D966" s="1" t="s">
        <v>2423</v>
      </c>
      <c r="E966" s="1" t="s">
        <v>2424</v>
      </c>
      <c r="F966" s="1">
        <v>1802543.0</v>
      </c>
      <c r="G966" s="1">
        <v>65057.0</v>
      </c>
      <c r="H966" s="1">
        <v>1989.0</v>
      </c>
      <c r="I966" s="1">
        <v>3330000.0</v>
      </c>
      <c r="J966" s="1" t="s">
        <v>15</v>
      </c>
    </row>
    <row r="967">
      <c r="A967" s="1" t="s">
        <v>2979</v>
      </c>
      <c r="B967" s="1" t="s">
        <v>2980</v>
      </c>
      <c r="C967" s="1" t="s">
        <v>2981</v>
      </c>
      <c r="D967" s="1" t="s">
        <v>2423</v>
      </c>
      <c r="E967" s="1" t="s">
        <v>2424</v>
      </c>
      <c r="F967" s="1">
        <v>1053944.0</v>
      </c>
      <c r="G967" s="1">
        <v>40069.0</v>
      </c>
      <c r="H967" s="1">
        <v>2915.0</v>
      </c>
      <c r="I967" s="1">
        <v>3330000.0</v>
      </c>
      <c r="J967" s="1" t="s">
        <v>15</v>
      </c>
    </row>
    <row r="968">
      <c r="A968" s="1" t="s">
        <v>2985</v>
      </c>
      <c r="B968" s="1" t="s">
        <v>2986</v>
      </c>
      <c r="C968" s="1" t="s">
        <v>2987</v>
      </c>
      <c r="D968" s="1" t="s">
        <v>2423</v>
      </c>
      <c r="E968" s="1" t="s">
        <v>2424</v>
      </c>
      <c r="F968" s="1">
        <v>1162129.0</v>
      </c>
      <c r="G968" s="1">
        <v>45859.0</v>
      </c>
      <c r="H968" s="1">
        <v>2092.0</v>
      </c>
      <c r="I968" s="1">
        <v>3330000.0</v>
      </c>
      <c r="J968" s="1" t="s">
        <v>15</v>
      </c>
    </row>
    <row r="969">
      <c r="A969" s="1" t="s">
        <v>2988</v>
      </c>
      <c r="B969" s="1" t="s">
        <v>2989</v>
      </c>
      <c r="C969" s="1" t="s">
        <v>2990</v>
      </c>
      <c r="D969" s="1" t="s">
        <v>2423</v>
      </c>
      <c r="E969" s="1" t="s">
        <v>2424</v>
      </c>
      <c r="F969" s="1">
        <v>647256.0</v>
      </c>
      <c r="G969" s="1">
        <v>28896.0</v>
      </c>
      <c r="H969" s="1">
        <v>681.0</v>
      </c>
      <c r="I969" s="1">
        <v>3330000.0</v>
      </c>
      <c r="J969" s="1" t="s">
        <v>15</v>
      </c>
    </row>
    <row r="970">
      <c r="A970" s="1" t="s">
        <v>2991</v>
      </c>
      <c r="B970" s="1" t="s">
        <v>2992</v>
      </c>
      <c r="C970" s="1" t="s">
        <v>2993</v>
      </c>
      <c r="D970" s="1" t="s">
        <v>2423</v>
      </c>
      <c r="E970" s="1" t="s">
        <v>2424</v>
      </c>
      <c r="F970" s="1">
        <v>1190720.0</v>
      </c>
      <c r="G970" s="1">
        <v>41098.0</v>
      </c>
      <c r="H970" s="1">
        <v>1460.0</v>
      </c>
      <c r="I970" s="1">
        <v>3330000.0</v>
      </c>
      <c r="J970" s="1" t="s">
        <v>15</v>
      </c>
    </row>
    <row r="971">
      <c r="A971" s="1" t="s">
        <v>2994</v>
      </c>
      <c r="B971" s="1" t="s">
        <v>2995</v>
      </c>
      <c r="C971" s="1" t="s">
        <v>2996</v>
      </c>
      <c r="D971" s="1" t="s">
        <v>2423</v>
      </c>
      <c r="E971" s="1" t="s">
        <v>2424</v>
      </c>
      <c r="F971" s="1">
        <v>626206.0</v>
      </c>
      <c r="G971" s="1">
        <v>26628.0</v>
      </c>
      <c r="H971" s="1">
        <v>596.0</v>
      </c>
      <c r="I971" s="1">
        <v>3330000.0</v>
      </c>
      <c r="J971" s="1" t="s">
        <v>15</v>
      </c>
    </row>
    <row r="972">
      <c r="A972" s="1" t="s">
        <v>2997</v>
      </c>
      <c r="B972" s="1" t="s">
        <v>2998</v>
      </c>
      <c r="C972" s="1" t="s">
        <v>2999</v>
      </c>
      <c r="D972" s="1" t="s">
        <v>2423</v>
      </c>
      <c r="E972" s="1" t="s">
        <v>2424</v>
      </c>
      <c r="F972" s="1">
        <v>1213715.0</v>
      </c>
      <c r="G972" s="1">
        <v>58680.0</v>
      </c>
      <c r="H972" s="1">
        <v>1696.0</v>
      </c>
      <c r="I972" s="1">
        <v>3330000.0</v>
      </c>
      <c r="J972" s="1" t="s">
        <v>15</v>
      </c>
    </row>
    <row r="973">
      <c r="A973" s="1" t="s">
        <v>3000</v>
      </c>
      <c r="B973" s="1" t="s">
        <v>3001</v>
      </c>
      <c r="C973" s="1" t="s">
        <v>3002</v>
      </c>
      <c r="D973" s="1" t="s">
        <v>2423</v>
      </c>
      <c r="E973" s="1" t="s">
        <v>2424</v>
      </c>
      <c r="F973" s="1">
        <v>327389.0</v>
      </c>
      <c r="G973" s="1">
        <v>14430.0</v>
      </c>
      <c r="H973" s="1">
        <v>1267.0</v>
      </c>
      <c r="I973" s="1">
        <v>3330000.0</v>
      </c>
      <c r="J973" s="1" t="s">
        <v>15</v>
      </c>
    </row>
    <row r="974">
      <c r="A974" s="1" t="s">
        <v>3003</v>
      </c>
      <c r="B974" s="1" t="s">
        <v>3004</v>
      </c>
      <c r="C974" s="1" t="s">
        <v>3005</v>
      </c>
      <c r="D974" s="1" t="s">
        <v>2423</v>
      </c>
      <c r="E974" s="1" t="s">
        <v>2424</v>
      </c>
      <c r="F974" s="1">
        <v>1854740.0</v>
      </c>
      <c r="G974" s="1">
        <v>72708.0</v>
      </c>
      <c r="H974" s="1">
        <v>2829.0</v>
      </c>
      <c r="I974" s="1">
        <v>3330000.0</v>
      </c>
      <c r="J974" s="1" t="s">
        <v>15</v>
      </c>
    </row>
    <row r="975">
      <c r="A975" s="1" t="s">
        <v>3009</v>
      </c>
      <c r="B975" s="1" t="s">
        <v>3010</v>
      </c>
      <c r="C975" s="1" t="s">
        <v>3011</v>
      </c>
      <c r="D975" s="1" t="s">
        <v>2423</v>
      </c>
      <c r="E975" s="1" t="s">
        <v>2424</v>
      </c>
      <c r="F975" s="1">
        <v>831029.0</v>
      </c>
      <c r="G975" s="1">
        <v>41062.0</v>
      </c>
      <c r="H975" s="1">
        <v>8445.0</v>
      </c>
      <c r="I975" s="1">
        <v>3330000.0</v>
      </c>
      <c r="J975" s="1" t="s">
        <v>15</v>
      </c>
    </row>
    <row r="976">
      <c r="A976" s="1" t="s">
        <v>3015</v>
      </c>
      <c r="B976" s="1" t="s">
        <v>3016</v>
      </c>
      <c r="C976" s="1" t="s">
        <v>3017</v>
      </c>
      <c r="D976" s="1" t="s">
        <v>2423</v>
      </c>
      <c r="E976" s="1" t="s">
        <v>2424</v>
      </c>
      <c r="F976" s="1">
        <v>4668292.0</v>
      </c>
      <c r="G976" s="1">
        <v>111924.0</v>
      </c>
      <c r="H976" s="1">
        <v>4158.0</v>
      </c>
      <c r="I976" s="1">
        <v>3330000.0</v>
      </c>
      <c r="J976" s="1" t="s">
        <v>15</v>
      </c>
    </row>
    <row r="977">
      <c r="A977" s="1" t="s">
        <v>3018</v>
      </c>
      <c r="B977" s="1" t="s">
        <v>3019</v>
      </c>
      <c r="C977" s="1" t="s">
        <v>3020</v>
      </c>
      <c r="D977" s="1" t="s">
        <v>2423</v>
      </c>
      <c r="E977" s="1" t="s">
        <v>2424</v>
      </c>
      <c r="F977" s="1">
        <v>1471779.0</v>
      </c>
      <c r="G977" s="1">
        <v>49528.0</v>
      </c>
      <c r="H977" s="1">
        <v>1441.0</v>
      </c>
      <c r="I977" s="1">
        <v>3330000.0</v>
      </c>
      <c r="J977" s="1" t="s">
        <v>15</v>
      </c>
    </row>
    <row r="978">
      <c r="A978" s="1" t="s">
        <v>3021</v>
      </c>
      <c r="B978" s="1" t="s">
        <v>3022</v>
      </c>
      <c r="C978" s="1" t="s">
        <v>3023</v>
      </c>
      <c r="D978" s="1" t="s">
        <v>2423</v>
      </c>
      <c r="E978" s="1" t="s">
        <v>2424</v>
      </c>
      <c r="F978" s="1">
        <v>1508695.0</v>
      </c>
      <c r="G978" s="1">
        <v>58179.0</v>
      </c>
      <c r="H978" s="1">
        <v>1474.0</v>
      </c>
      <c r="I978" s="1">
        <v>3330000.0</v>
      </c>
      <c r="J978" s="1" t="s">
        <v>15</v>
      </c>
    </row>
    <row r="979">
      <c r="A979" s="1" t="s">
        <v>3024</v>
      </c>
      <c r="B979" s="1" t="s">
        <v>3025</v>
      </c>
      <c r="C979" s="1" t="s">
        <v>3026</v>
      </c>
      <c r="D979" s="1" t="s">
        <v>2423</v>
      </c>
      <c r="E979" s="1" t="s">
        <v>2424</v>
      </c>
      <c r="F979" s="1">
        <v>1505660.0</v>
      </c>
      <c r="G979" s="1">
        <v>40072.0</v>
      </c>
      <c r="H979" s="1">
        <v>1132.0</v>
      </c>
      <c r="I979" s="1">
        <v>3330000.0</v>
      </c>
      <c r="J979" s="1" t="s">
        <v>15</v>
      </c>
    </row>
    <row r="980">
      <c r="A980" s="1" t="s">
        <v>3027</v>
      </c>
      <c r="B980" s="1" t="s">
        <v>3028</v>
      </c>
      <c r="C980" s="1" t="s">
        <v>3029</v>
      </c>
      <c r="D980" s="1" t="s">
        <v>2423</v>
      </c>
      <c r="E980" s="1" t="s">
        <v>2424</v>
      </c>
      <c r="F980" s="1">
        <v>1820698.0</v>
      </c>
      <c r="G980" s="1">
        <v>52339.0</v>
      </c>
      <c r="H980" s="1">
        <v>1524.0</v>
      </c>
      <c r="I980" s="1">
        <v>3330000.0</v>
      </c>
      <c r="J980" s="1" t="s">
        <v>15</v>
      </c>
    </row>
    <row r="981">
      <c r="A981" s="1" t="s">
        <v>3033</v>
      </c>
      <c r="B981" s="1" t="s">
        <v>3034</v>
      </c>
      <c r="C981" s="1" t="s">
        <v>3035</v>
      </c>
      <c r="D981" s="1" t="s">
        <v>2423</v>
      </c>
      <c r="E981" s="1" t="s">
        <v>2424</v>
      </c>
      <c r="F981" s="1">
        <v>1425136.0</v>
      </c>
      <c r="G981" s="1">
        <v>52796.0</v>
      </c>
      <c r="H981" s="1">
        <v>5733.0</v>
      </c>
      <c r="I981" s="1">
        <v>3330000.0</v>
      </c>
      <c r="J981" s="1" t="s">
        <v>15</v>
      </c>
    </row>
    <row r="982">
      <c r="A982" s="1" t="s">
        <v>3036</v>
      </c>
      <c r="B982" s="1" t="s">
        <v>3037</v>
      </c>
      <c r="C982" s="1" t="s">
        <v>3038</v>
      </c>
      <c r="D982" s="1" t="s">
        <v>2423</v>
      </c>
      <c r="E982" s="1" t="s">
        <v>2424</v>
      </c>
      <c r="F982" s="1">
        <v>794942.0</v>
      </c>
      <c r="G982" s="1">
        <v>29696.0</v>
      </c>
      <c r="H982" s="1">
        <v>3338.0</v>
      </c>
      <c r="I982" s="1">
        <v>3330000.0</v>
      </c>
      <c r="J982" s="1" t="s">
        <v>15</v>
      </c>
    </row>
    <row r="983">
      <c r="A983" s="1" t="s">
        <v>3039</v>
      </c>
      <c r="B983" s="1" t="s">
        <v>3040</v>
      </c>
      <c r="C983" s="1" t="s">
        <v>3041</v>
      </c>
      <c r="D983" s="1" t="s">
        <v>2423</v>
      </c>
      <c r="E983" s="1" t="s">
        <v>2424</v>
      </c>
      <c r="F983" s="1">
        <v>2456394.0</v>
      </c>
      <c r="G983" s="1">
        <v>65789.0</v>
      </c>
      <c r="H983" s="1">
        <v>2176.0</v>
      </c>
      <c r="I983" s="1">
        <v>3330000.0</v>
      </c>
      <c r="J983" s="1" t="s">
        <v>15</v>
      </c>
    </row>
    <row r="984">
      <c r="A984" s="1" t="s">
        <v>3042</v>
      </c>
      <c r="B984" s="1" t="s">
        <v>3043</v>
      </c>
      <c r="C984" s="1" t="s">
        <v>3044</v>
      </c>
      <c r="D984" s="1" t="s">
        <v>2423</v>
      </c>
      <c r="E984" s="1" t="s">
        <v>2424</v>
      </c>
      <c r="F984" s="1">
        <v>3988043.0</v>
      </c>
      <c r="G984" s="1">
        <v>100714.0</v>
      </c>
      <c r="H984" s="1">
        <v>3964.0</v>
      </c>
      <c r="I984" s="1">
        <v>3330000.0</v>
      </c>
      <c r="J984" s="1" t="s">
        <v>15</v>
      </c>
    </row>
    <row r="985">
      <c r="A985" s="1" t="s">
        <v>3045</v>
      </c>
      <c r="B985" s="1" t="s">
        <v>3046</v>
      </c>
      <c r="C985" s="1" t="s">
        <v>3047</v>
      </c>
      <c r="D985" s="1" t="s">
        <v>2423</v>
      </c>
      <c r="E985" s="1" t="s">
        <v>2424</v>
      </c>
      <c r="F985" s="1">
        <v>4544098.0</v>
      </c>
      <c r="G985" s="1">
        <v>104007.0</v>
      </c>
      <c r="H985" s="1">
        <v>3412.0</v>
      </c>
      <c r="I985" s="1">
        <v>3330000.0</v>
      </c>
      <c r="J985" s="1" t="s">
        <v>15</v>
      </c>
    </row>
    <row r="986">
      <c r="A986" s="1" t="s">
        <v>3048</v>
      </c>
      <c r="B986" s="1" t="s">
        <v>3049</v>
      </c>
      <c r="C986" s="1" t="s">
        <v>3051</v>
      </c>
      <c r="D986" s="1" t="s">
        <v>2423</v>
      </c>
      <c r="E986" s="1" t="s">
        <v>2424</v>
      </c>
      <c r="F986" s="1">
        <v>3581645.0</v>
      </c>
      <c r="G986" s="1">
        <v>66569.0</v>
      </c>
      <c r="H986" s="1">
        <v>2914.0</v>
      </c>
      <c r="I986" s="1">
        <v>3330000.0</v>
      </c>
      <c r="J986" s="1" t="s">
        <v>15</v>
      </c>
    </row>
    <row r="987">
      <c r="A987" s="1" t="s">
        <v>3054</v>
      </c>
      <c r="B987" s="1" t="s">
        <v>3055</v>
      </c>
      <c r="C987" s="1" t="s">
        <v>3056</v>
      </c>
      <c r="D987" s="1" t="s">
        <v>2423</v>
      </c>
      <c r="E987" s="1" t="s">
        <v>2424</v>
      </c>
      <c r="F987" s="1">
        <v>5249855.0</v>
      </c>
      <c r="G987" s="1">
        <v>143128.0</v>
      </c>
      <c r="H987" s="1">
        <v>6348.0</v>
      </c>
      <c r="I987" s="1">
        <v>3330000.0</v>
      </c>
      <c r="J987" s="1" t="s">
        <v>15</v>
      </c>
    </row>
    <row r="988">
      <c r="A988" s="1" t="s">
        <v>3057</v>
      </c>
      <c r="B988" s="1" t="s">
        <v>3058</v>
      </c>
      <c r="C988" s="1" t="s">
        <v>3059</v>
      </c>
      <c r="D988" s="1" t="s">
        <v>2423</v>
      </c>
      <c r="E988" s="1" t="s">
        <v>2424</v>
      </c>
      <c r="F988" s="1">
        <v>1493526.0</v>
      </c>
      <c r="G988" s="1">
        <v>39949.0</v>
      </c>
      <c r="H988" s="1">
        <v>1829.0</v>
      </c>
      <c r="I988" s="1">
        <v>3330000.0</v>
      </c>
      <c r="J988" s="1" t="s">
        <v>15</v>
      </c>
    </row>
    <row r="989">
      <c r="A989" s="1" t="s">
        <v>3060</v>
      </c>
      <c r="B989" s="1" t="s">
        <v>3061</v>
      </c>
      <c r="C989" s="1" t="s">
        <v>3062</v>
      </c>
      <c r="D989" s="1" t="s">
        <v>2423</v>
      </c>
      <c r="E989" s="1" t="s">
        <v>2424</v>
      </c>
      <c r="F989" s="1">
        <v>555968.0</v>
      </c>
      <c r="G989" s="1">
        <v>26911.0</v>
      </c>
      <c r="H989" s="1">
        <v>1345.0</v>
      </c>
      <c r="I989" s="1">
        <v>3330000.0</v>
      </c>
      <c r="J989" s="1" t="s">
        <v>15</v>
      </c>
    </row>
    <row r="990">
      <c r="A990" s="1" t="s">
        <v>3063</v>
      </c>
      <c r="B990" s="1" t="s">
        <v>3064</v>
      </c>
      <c r="C990" s="1" t="s">
        <v>3065</v>
      </c>
      <c r="D990" s="1" t="s">
        <v>2423</v>
      </c>
      <c r="E990" s="1" t="s">
        <v>2424</v>
      </c>
      <c r="F990" s="1">
        <v>850829.0</v>
      </c>
      <c r="G990" s="1">
        <v>29862.0</v>
      </c>
      <c r="H990" s="1">
        <v>2558.0</v>
      </c>
      <c r="I990" s="1">
        <v>3330000.0</v>
      </c>
      <c r="J990" s="1" t="s">
        <v>15</v>
      </c>
    </row>
    <row r="991">
      <c r="A991" s="1" t="s">
        <v>3066</v>
      </c>
      <c r="B991" s="1" t="s">
        <v>3067</v>
      </c>
      <c r="C991" s="1" t="s">
        <v>3068</v>
      </c>
      <c r="D991" s="1" t="s">
        <v>2423</v>
      </c>
      <c r="E991" s="1" t="s">
        <v>2424</v>
      </c>
      <c r="F991" s="1">
        <v>1459943.0</v>
      </c>
      <c r="G991" s="1">
        <v>59200.0</v>
      </c>
      <c r="H991" s="1">
        <v>2092.0</v>
      </c>
      <c r="I991" s="1">
        <v>3330000.0</v>
      </c>
      <c r="J991" s="1" t="s">
        <v>15</v>
      </c>
    </row>
    <row r="992">
      <c r="A992" s="1" t="s">
        <v>3069</v>
      </c>
      <c r="B992" s="1" t="s">
        <v>3071</v>
      </c>
      <c r="C992" s="1" t="s">
        <v>3074</v>
      </c>
      <c r="D992" s="1" t="s">
        <v>2423</v>
      </c>
      <c r="E992" s="1" t="s">
        <v>2424</v>
      </c>
      <c r="F992" s="1">
        <v>157843.0</v>
      </c>
      <c r="G992" s="1">
        <v>6581.0</v>
      </c>
      <c r="H992" s="1">
        <v>676.0</v>
      </c>
      <c r="I992" s="1">
        <v>3330000.0</v>
      </c>
      <c r="J992" s="1" t="s">
        <v>15</v>
      </c>
    </row>
    <row r="993">
      <c r="A993" s="1" t="s">
        <v>3075</v>
      </c>
      <c r="B993" s="1" t="s">
        <v>3076</v>
      </c>
      <c r="C993" s="1" t="s">
        <v>3077</v>
      </c>
      <c r="D993" s="1" t="s">
        <v>2423</v>
      </c>
      <c r="E993" s="1" t="s">
        <v>2424</v>
      </c>
      <c r="F993" s="1">
        <v>277210.0</v>
      </c>
      <c r="G993" s="1">
        <v>11755.0</v>
      </c>
      <c r="H993" s="1">
        <v>596.0</v>
      </c>
      <c r="I993" s="1">
        <v>3330000.0</v>
      </c>
      <c r="J993" s="1" t="s">
        <v>15</v>
      </c>
    </row>
    <row r="994">
      <c r="A994" s="1" t="s">
        <v>3078</v>
      </c>
      <c r="B994" s="1" t="s">
        <v>3079</v>
      </c>
      <c r="C994" s="1" t="s">
        <v>3080</v>
      </c>
      <c r="D994" s="1" t="s">
        <v>2423</v>
      </c>
      <c r="E994" s="1" t="s">
        <v>2424</v>
      </c>
      <c r="F994" s="1">
        <v>1091879.0</v>
      </c>
      <c r="G994" s="1">
        <v>41641.0</v>
      </c>
      <c r="H994" s="1">
        <v>2049.0</v>
      </c>
      <c r="I994" s="1">
        <v>3330000.0</v>
      </c>
      <c r="J994" s="1" t="s">
        <v>15</v>
      </c>
    </row>
    <row r="995">
      <c r="A995" s="1" t="s">
        <v>3082</v>
      </c>
      <c r="B995" s="1" t="s">
        <v>3084</v>
      </c>
      <c r="C995" s="1" t="s">
        <v>3086</v>
      </c>
      <c r="D995" s="1" t="s">
        <v>2423</v>
      </c>
      <c r="E995" s="1" t="s">
        <v>2424</v>
      </c>
      <c r="F995" s="1">
        <v>743200.0</v>
      </c>
      <c r="G995" s="1">
        <v>25219.0</v>
      </c>
      <c r="H995" s="1">
        <v>3860.0</v>
      </c>
      <c r="I995" s="1">
        <v>3330000.0</v>
      </c>
      <c r="J995" s="1" t="s">
        <v>15</v>
      </c>
    </row>
    <row r="996">
      <c r="A996" s="1" t="s">
        <v>3087</v>
      </c>
      <c r="B996" s="1" t="s">
        <v>3088</v>
      </c>
      <c r="C996" s="1" t="s">
        <v>3089</v>
      </c>
      <c r="D996" s="1" t="s">
        <v>2423</v>
      </c>
      <c r="E996" s="1" t="s">
        <v>2424</v>
      </c>
      <c r="F996" s="1">
        <v>2744258.0</v>
      </c>
      <c r="G996" s="1">
        <v>107096.0</v>
      </c>
      <c r="H996" s="1">
        <v>4333.0</v>
      </c>
      <c r="I996" s="1">
        <v>3330000.0</v>
      </c>
      <c r="J996" s="1" t="s">
        <v>15</v>
      </c>
    </row>
    <row r="997">
      <c r="A997" s="1" t="s">
        <v>3090</v>
      </c>
      <c r="B997" s="1" t="s">
        <v>3091</v>
      </c>
      <c r="C997" s="1" t="s">
        <v>3092</v>
      </c>
      <c r="D997" s="1" t="s">
        <v>2423</v>
      </c>
      <c r="E997" s="1" t="s">
        <v>2424</v>
      </c>
      <c r="F997" s="1">
        <v>799984.0</v>
      </c>
      <c r="G997" s="1">
        <v>31834.0</v>
      </c>
      <c r="H997" s="1">
        <v>4043.0</v>
      </c>
      <c r="I997" s="1">
        <v>3330000.0</v>
      </c>
      <c r="J997" s="1" t="s">
        <v>15</v>
      </c>
    </row>
    <row r="998">
      <c r="A998" s="1" t="s">
        <v>3093</v>
      </c>
      <c r="B998" s="1" t="s">
        <v>3094</v>
      </c>
      <c r="C998" s="1" t="s">
        <v>3095</v>
      </c>
      <c r="D998" s="1" t="s">
        <v>2423</v>
      </c>
      <c r="E998" s="1" t="s">
        <v>2424</v>
      </c>
      <c r="F998" s="1">
        <v>247110.0</v>
      </c>
      <c r="G998" s="1">
        <v>9439.0</v>
      </c>
      <c r="H998" s="1">
        <v>873.0</v>
      </c>
      <c r="I998" s="1">
        <v>3330000.0</v>
      </c>
      <c r="J998" s="1" t="s">
        <v>15</v>
      </c>
    </row>
    <row r="999">
      <c r="A999" s="1" t="s">
        <v>3096</v>
      </c>
      <c r="B999" s="1" t="s">
        <v>3097</v>
      </c>
      <c r="C999" s="1" t="s">
        <v>3098</v>
      </c>
      <c r="D999" s="1" t="s">
        <v>2423</v>
      </c>
      <c r="E999" s="1" t="s">
        <v>2424</v>
      </c>
      <c r="F999" s="1">
        <v>170859.0</v>
      </c>
      <c r="G999" s="1">
        <v>6042.0</v>
      </c>
      <c r="H999" s="1">
        <v>304.0</v>
      </c>
      <c r="I999" s="1">
        <v>3330000.0</v>
      </c>
      <c r="J999" s="1" t="s">
        <v>15</v>
      </c>
    </row>
    <row r="1000">
      <c r="A1000" s="1" t="s">
        <v>3099</v>
      </c>
      <c r="B1000" s="1" t="s">
        <v>3100</v>
      </c>
      <c r="C1000" s="1" t="s">
        <v>3101</v>
      </c>
      <c r="D1000" s="1" t="s">
        <v>2423</v>
      </c>
      <c r="E1000" s="1" t="s">
        <v>2424</v>
      </c>
      <c r="F1000" s="1">
        <v>4679062.0</v>
      </c>
      <c r="G1000" s="1">
        <v>187328.0</v>
      </c>
      <c r="H1000" s="1">
        <v>8155.0</v>
      </c>
      <c r="I1000" s="1">
        <v>3330000.0</v>
      </c>
      <c r="J1000" s="1" t="s">
        <v>15</v>
      </c>
    </row>
    <row r="1001">
      <c r="A1001" s="1" t="s">
        <v>3105</v>
      </c>
      <c r="B1001" s="1" t="s">
        <v>3106</v>
      </c>
      <c r="C1001" s="1" t="s">
        <v>3107</v>
      </c>
      <c r="D1001" s="1" t="s">
        <v>2423</v>
      </c>
      <c r="E1001" s="1" t="s">
        <v>2424</v>
      </c>
      <c r="F1001" s="1">
        <v>1532257.0</v>
      </c>
      <c r="G1001" s="1">
        <v>52467.0</v>
      </c>
      <c r="H1001" s="1">
        <v>1871.0</v>
      </c>
      <c r="I1001" s="1">
        <v>3330000.0</v>
      </c>
      <c r="J1001" s="1" t="s">
        <v>15</v>
      </c>
    </row>
    <row r="1002">
      <c r="A1002" s="1" t="s">
        <v>3108</v>
      </c>
      <c r="B1002" s="1" t="s">
        <v>3109</v>
      </c>
      <c r="C1002" s="1" t="s">
        <v>3110</v>
      </c>
      <c r="D1002" s="1" t="s">
        <v>2463</v>
      </c>
      <c r="E1002" s="1" t="s">
        <v>2464</v>
      </c>
      <c r="F1002" s="1">
        <v>381540.0</v>
      </c>
      <c r="G1002" s="1">
        <v>24174.0</v>
      </c>
      <c r="H1002" s="1">
        <v>718.0</v>
      </c>
      <c r="I1002" s="1">
        <v>2.55E7</v>
      </c>
      <c r="J1002" s="1" t="s">
        <v>2468</v>
      </c>
    </row>
    <row r="1003">
      <c r="A1003" s="1" t="s">
        <v>3111</v>
      </c>
      <c r="B1003" s="1" t="s">
        <v>3112</v>
      </c>
      <c r="C1003" s="1" t="s">
        <v>3113</v>
      </c>
      <c r="D1003" s="1" t="s">
        <v>2463</v>
      </c>
      <c r="E1003" s="1" t="s">
        <v>2464</v>
      </c>
      <c r="F1003" s="1">
        <v>529833.0</v>
      </c>
      <c r="G1003" s="1">
        <v>32934.0</v>
      </c>
      <c r="H1003" s="1">
        <v>454.0</v>
      </c>
      <c r="I1003" s="1">
        <v>2.55E7</v>
      </c>
      <c r="J1003" s="1" t="s">
        <v>2468</v>
      </c>
    </row>
    <row r="1004">
      <c r="A1004" s="1" t="s">
        <v>3114</v>
      </c>
      <c r="B1004" s="1" t="s">
        <v>3115</v>
      </c>
      <c r="C1004" s="1" t="s">
        <v>3116</v>
      </c>
      <c r="D1004" s="1" t="s">
        <v>2463</v>
      </c>
      <c r="E1004" s="1" t="s">
        <v>2464</v>
      </c>
      <c r="F1004" s="1">
        <v>631200.0</v>
      </c>
      <c r="G1004" s="1">
        <v>39081.0</v>
      </c>
      <c r="H1004" s="1">
        <v>970.0</v>
      </c>
      <c r="I1004" s="1">
        <v>2.55E7</v>
      </c>
      <c r="J1004" s="1" t="s">
        <v>2468</v>
      </c>
    </row>
    <row r="1005">
      <c r="A1005" s="1" t="s">
        <v>3117</v>
      </c>
      <c r="B1005" s="1" t="s">
        <v>3118</v>
      </c>
      <c r="C1005" s="1" t="s">
        <v>3119</v>
      </c>
      <c r="D1005" s="1" t="s">
        <v>2463</v>
      </c>
      <c r="E1005" s="1" t="s">
        <v>2464</v>
      </c>
      <c r="F1005" s="1">
        <v>396971.0</v>
      </c>
      <c r="G1005" s="1">
        <v>22708.0</v>
      </c>
      <c r="H1005" s="1">
        <v>640.0</v>
      </c>
      <c r="I1005" s="1">
        <v>2.55E7</v>
      </c>
      <c r="J1005" s="1" t="s">
        <v>2468</v>
      </c>
    </row>
    <row r="1006">
      <c r="A1006" s="1" t="s">
        <v>3123</v>
      </c>
      <c r="B1006" s="1" t="s">
        <v>3124</v>
      </c>
      <c r="C1006" s="1" t="s">
        <v>3125</v>
      </c>
      <c r="D1006" s="1" t="s">
        <v>2463</v>
      </c>
      <c r="E1006" s="1" t="s">
        <v>2464</v>
      </c>
      <c r="F1006" s="1">
        <v>6365925.0</v>
      </c>
      <c r="G1006" s="1">
        <v>205955.0</v>
      </c>
      <c r="H1006" s="1">
        <v>15560.0</v>
      </c>
      <c r="I1006" s="1">
        <v>2.55E7</v>
      </c>
      <c r="J1006" s="1" t="s">
        <v>2468</v>
      </c>
    </row>
    <row r="1007">
      <c r="A1007" s="1" t="s">
        <v>2460</v>
      </c>
      <c r="B1007" s="1" t="s">
        <v>2461</v>
      </c>
      <c r="C1007" s="1" t="s">
        <v>2462</v>
      </c>
      <c r="D1007" s="1" t="s">
        <v>2463</v>
      </c>
      <c r="E1007" s="1" t="s">
        <v>2464</v>
      </c>
      <c r="F1007" s="1">
        <v>540274.0</v>
      </c>
      <c r="G1007" s="1">
        <v>23703.0</v>
      </c>
      <c r="H1007" s="1">
        <v>505.0</v>
      </c>
      <c r="I1007" s="1">
        <v>2.55E7</v>
      </c>
      <c r="J1007" s="1" t="s">
        <v>2468</v>
      </c>
    </row>
    <row r="1008">
      <c r="A1008" s="1" t="s">
        <v>2568</v>
      </c>
      <c r="B1008" s="1" t="s">
        <v>2569</v>
      </c>
      <c r="C1008" s="1" t="s">
        <v>2570</v>
      </c>
      <c r="D1008" s="1" t="s">
        <v>2463</v>
      </c>
      <c r="E1008" s="1" t="s">
        <v>2464</v>
      </c>
      <c r="F1008" s="1">
        <v>3523697.0</v>
      </c>
      <c r="G1008" s="1">
        <v>145795.0</v>
      </c>
      <c r="H1008" s="1">
        <v>3524.0</v>
      </c>
      <c r="I1008" s="1">
        <v>2.55E7</v>
      </c>
      <c r="J1008" s="1" t="s">
        <v>2468</v>
      </c>
    </row>
    <row r="1009">
      <c r="A1009" s="1" t="s">
        <v>2595</v>
      </c>
      <c r="B1009" s="1" t="s">
        <v>2596</v>
      </c>
      <c r="C1009" s="1" t="s">
        <v>2598</v>
      </c>
      <c r="D1009" s="1" t="s">
        <v>2463</v>
      </c>
      <c r="E1009" s="1" t="s">
        <v>2464</v>
      </c>
      <c r="F1009" s="1">
        <v>831169.0</v>
      </c>
      <c r="G1009" s="1">
        <v>47545.0</v>
      </c>
      <c r="H1009" s="1">
        <v>1394.0</v>
      </c>
      <c r="I1009" s="1">
        <v>2.55E7</v>
      </c>
      <c r="J1009" s="1" t="s">
        <v>2468</v>
      </c>
    </row>
    <row r="1010">
      <c r="A1010" s="1" t="s">
        <v>2628</v>
      </c>
      <c r="B1010" s="1" t="s">
        <v>2629</v>
      </c>
      <c r="C1010" s="1" t="s">
        <v>2630</v>
      </c>
      <c r="D1010" s="1" t="s">
        <v>2463</v>
      </c>
      <c r="E1010" s="1" t="s">
        <v>2464</v>
      </c>
      <c r="F1010" s="1">
        <v>1655526.0</v>
      </c>
      <c r="G1010" s="1">
        <v>68139.0</v>
      </c>
      <c r="H1010" s="1">
        <v>1166.0</v>
      </c>
      <c r="I1010" s="1">
        <v>2.55E7</v>
      </c>
      <c r="J1010" s="1" t="s">
        <v>2468</v>
      </c>
    </row>
    <row r="1011">
      <c r="A1011" s="1" t="s">
        <v>2652</v>
      </c>
      <c r="B1011" s="1" t="s">
        <v>2653</v>
      </c>
      <c r="C1011" s="1" t="s">
        <v>2654</v>
      </c>
      <c r="D1011" s="1" t="s">
        <v>2463</v>
      </c>
      <c r="E1011" s="1" t="s">
        <v>2464</v>
      </c>
      <c r="F1011" s="1">
        <v>2629762.0</v>
      </c>
      <c r="G1011" s="1">
        <v>100533.0</v>
      </c>
      <c r="H1011" s="1">
        <v>2254.0</v>
      </c>
      <c r="I1011" s="1">
        <v>2.55E7</v>
      </c>
      <c r="J1011" s="1" t="s">
        <v>2468</v>
      </c>
    </row>
    <row r="1012">
      <c r="A1012" s="1" t="s">
        <v>2672</v>
      </c>
      <c r="B1012" s="1" t="s">
        <v>2674</v>
      </c>
      <c r="C1012" s="1" t="s">
        <v>2675</v>
      </c>
      <c r="D1012" s="1" t="s">
        <v>2463</v>
      </c>
      <c r="E1012" s="1" t="s">
        <v>2464</v>
      </c>
      <c r="F1012" s="1">
        <v>2529401.0</v>
      </c>
      <c r="G1012" s="1">
        <v>120849.0</v>
      </c>
      <c r="H1012" s="1">
        <v>5092.0</v>
      </c>
      <c r="I1012" s="1">
        <v>2.55E7</v>
      </c>
      <c r="J1012" s="1" t="s">
        <v>2468</v>
      </c>
    </row>
    <row r="1013">
      <c r="A1013" s="1" t="s">
        <v>2694</v>
      </c>
      <c r="B1013" s="1" t="s">
        <v>2696</v>
      </c>
      <c r="C1013" s="1" t="s">
        <v>2698</v>
      </c>
      <c r="D1013" s="1" t="s">
        <v>2463</v>
      </c>
      <c r="E1013" s="1" t="s">
        <v>2464</v>
      </c>
      <c r="F1013" s="1">
        <v>2645143.0</v>
      </c>
      <c r="G1013" s="1">
        <v>108098.0</v>
      </c>
      <c r="H1013" s="1">
        <v>4201.0</v>
      </c>
      <c r="I1013" s="1">
        <v>2.55E7</v>
      </c>
      <c r="J1013" s="1" t="s">
        <v>2468</v>
      </c>
    </row>
    <row r="1014">
      <c r="A1014" s="1" t="s">
        <v>2721</v>
      </c>
      <c r="B1014" s="1" t="s">
        <v>2722</v>
      </c>
      <c r="C1014" s="1" t="s">
        <v>2723</v>
      </c>
      <c r="D1014" s="1" t="s">
        <v>2463</v>
      </c>
      <c r="E1014" s="1" t="s">
        <v>2464</v>
      </c>
      <c r="F1014" s="1">
        <v>1523083.0</v>
      </c>
      <c r="G1014" s="1">
        <v>88441.0</v>
      </c>
      <c r="H1014" s="1">
        <v>3336.0</v>
      </c>
      <c r="I1014" s="1">
        <v>2.55E7</v>
      </c>
      <c r="J1014" s="1" t="s">
        <v>2468</v>
      </c>
    </row>
    <row r="1015">
      <c r="A1015" s="1" t="s">
        <v>2742</v>
      </c>
      <c r="B1015" s="1" t="s">
        <v>2745</v>
      </c>
      <c r="C1015" s="1" t="s">
        <v>2747</v>
      </c>
      <c r="D1015" s="1" t="s">
        <v>2463</v>
      </c>
      <c r="E1015" s="1" t="s">
        <v>2464</v>
      </c>
      <c r="F1015" s="1">
        <v>1090954.0</v>
      </c>
      <c r="G1015" s="1">
        <v>49494.0</v>
      </c>
      <c r="H1015" s="1">
        <v>719.0</v>
      </c>
      <c r="I1015" s="1">
        <v>2.55E7</v>
      </c>
      <c r="J1015" s="1" t="s">
        <v>2468</v>
      </c>
    </row>
    <row r="1016">
      <c r="A1016" s="1" t="s">
        <v>2765</v>
      </c>
      <c r="B1016" s="1" t="s">
        <v>2767</v>
      </c>
      <c r="C1016" s="1" t="s">
        <v>2768</v>
      </c>
      <c r="D1016" s="1" t="s">
        <v>2463</v>
      </c>
      <c r="E1016" s="1" t="s">
        <v>2464</v>
      </c>
      <c r="F1016" s="1">
        <v>1394285.0</v>
      </c>
      <c r="G1016" s="1">
        <v>65835.0</v>
      </c>
      <c r="H1016" s="1">
        <v>803.0</v>
      </c>
      <c r="I1016" s="1">
        <v>2.55E7</v>
      </c>
      <c r="J1016" s="1" t="s">
        <v>2468</v>
      </c>
    </row>
    <row r="1017">
      <c r="A1017" s="1" t="s">
        <v>2787</v>
      </c>
      <c r="B1017" s="1" t="s">
        <v>2789</v>
      </c>
      <c r="C1017" s="1" t="s">
        <v>2791</v>
      </c>
      <c r="D1017" s="1" t="s">
        <v>2463</v>
      </c>
      <c r="E1017" s="1" t="s">
        <v>2464</v>
      </c>
      <c r="F1017" s="1">
        <v>1293080.0</v>
      </c>
      <c r="G1017" s="1">
        <v>60950.0</v>
      </c>
      <c r="H1017" s="1">
        <v>1203.0</v>
      </c>
      <c r="I1017" s="1">
        <v>2.55E7</v>
      </c>
      <c r="J1017" s="1" t="s">
        <v>2468</v>
      </c>
    </row>
    <row r="1018">
      <c r="A1018" s="1" t="s">
        <v>2811</v>
      </c>
      <c r="B1018" s="1" t="s">
        <v>2813</v>
      </c>
      <c r="C1018" s="1" t="s">
        <v>2815</v>
      </c>
      <c r="D1018" s="1" t="s">
        <v>2463</v>
      </c>
      <c r="E1018" s="1" t="s">
        <v>2464</v>
      </c>
      <c r="F1018" s="1">
        <v>5982151.0</v>
      </c>
      <c r="G1018" s="1">
        <v>190759.0</v>
      </c>
      <c r="H1018" s="1">
        <v>13012.0</v>
      </c>
      <c r="I1018" s="1">
        <v>2.55E7</v>
      </c>
      <c r="J1018" s="1" t="s">
        <v>2468</v>
      </c>
    </row>
    <row r="1019">
      <c r="A1019" s="1" t="s">
        <v>2838</v>
      </c>
      <c r="B1019" s="1" t="s">
        <v>2839</v>
      </c>
      <c r="C1019" s="1" t="s">
        <v>2840</v>
      </c>
      <c r="D1019" s="1" t="s">
        <v>2463</v>
      </c>
      <c r="E1019" s="1" t="s">
        <v>2464</v>
      </c>
      <c r="F1019" s="1">
        <v>5362075.0</v>
      </c>
      <c r="G1019" s="1">
        <v>148803.0</v>
      </c>
      <c r="H1019" s="1">
        <v>8717.0</v>
      </c>
      <c r="I1019" s="1">
        <v>2.55E7</v>
      </c>
      <c r="J1019" s="1" t="s">
        <v>2468</v>
      </c>
    </row>
    <row r="1020">
      <c r="A1020" s="1" t="s">
        <v>2859</v>
      </c>
      <c r="B1020" s="1" t="s">
        <v>2860</v>
      </c>
      <c r="C1020" s="1" t="s">
        <v>2863</v>
      </c>
      <c r="D1020" s="1" t="s">
        <v>2463</v>
      </c>
      <c r="E1020" s="1" t="s">
        <v>2464</v>
      </c>
      <c r="F1020" s="1">
        <v>1113503.0</v>
      </c>
      <c r="G1020" s="1">
        <v>48594.0</v>
      </c>
      <c r="H1020" s="1">
        <v>996.0</v>
      </c>
      <c r="I1020" s="1">
        <v>2.55E7</v>
      </c>
      <c r="J1020" s="1" t="s">
        <v>2468</v>
      </c>
    </row>
    <row r="1021">
      <c r="A1021" s="1" t="s">
        <v>2883</v>
      </c>
      <c r="B1021" s="1" t="s">
        <v>2885</v>
      </c>
      <c r="C1021" s="1" t="s">
        <v>2887</v>
      </c>
      <c r="D1021" s="1" t="s">
        <v>2463</v>
      </c>
      <c r="E1021" s="1" t="s">
        <v>2464</v>
      </c>
      <c r="F1021" s="1">
        <v>2727497.0</v>
      </c>
      <c r="G1021" s="1">
        <v>112158.0</v>
      </c>
      <c r="H1021" s="1">
        <v>1688.0</v>
      </c>
      <c r="I1021" s="1">
        <v>2.55E7</v>
      </c>
      <c r="J1021" s="1" t="s">
        <v>2468</v>
      </c>
    </row>
    <row r="1022">
      <c r="A1022" s="1" t="s">
        <v>2907</v>
      </c>
      <c r="B1022" s="1" t="s">
        <v>2908</v>
      </c>
      <c r="C1022" s="1" t="s">
        <v>2909</v>
      </c>
      <c r="D1022" s="1" t="s">
        <v>2463</v>
      </c>
      <c r="E1022" s="1" t="s">
        <v>2464</v>
      </c>
      <c r="F1022" s="1">
        <v>815786.0</v>
      </c>
      <c r="G1022" s="1">
        <v>39725.0</v>
      </c>
      <c r="H1022" s="1">
        <v>467.0</v>
      </c>
      <c r="I1022" s="1">
        <v>2.55E7</v>
      </c>
      <c r="J1022" s="1" t="s">
        <v>2468</v>
      </c>
    </row>
    <row r="1023">
      <c r="A1023" s="1" t="s">
        <v>2934</v>
      </c>
      <c r="B1023" s="1" t="s">
        <v>2935</v>
      </c>
      <c r="C1023" s="1" t="s">
        <v>2936</v>
      </c>
      <c r="D1023" s="1" t="s">
        <v>2463</v>
      </c>
      <c r="E1023" s="1" t="s">
        <v>2464</v>
      </c>
      <c r="F1023" s="1">
        <v>882106.0</v>
      </c>
      <c r="G1023" s="1">
        <v>42695.0</v>
      </c>
      <c r="H1023" s="1">
        <v>696.0</v>
      </c>
      <c r="I1023" s="1">
        <v>2.55E7</v>
      </c>
      <c r="J1023" s="1" t="s">
        <v>2468</v>
      </c>
    </row>
    <row r="1024">
      <c r="A1024" s="1" t="s">
        <v>2958</v>
      </c>
      <c r="B1024" s="1" t="s">
        <v>2959</v>
      </c>
      <c r="C1024" s="1" t="s">
        <v>2960</v>
      </c>
      <c r="D1024" s="1" t="s">
        <v>2463</v>
      </c>
      <c r="E1024" s="1" t="s">
        <v>2464</v>
      </c>
      <c r="F1024" s="1">
        <v>4736650.0</v>
      </c>
      <c r="G1024" s="1">
        <v>218426.0</v>
      </c>
      <c r="H1024" s="1">
        <v>32774.0</v>
      </c>
      <c r="I1024" s="1">
        <v>2.55E7</v>
      </c>
      <c r="J1024" s="1" t="s">
        <v>2468</v>
      </c>
    </row>
    <row r="1025">
      <c r="A1025" s="1" t="s">
        <v>2982</v>
      </c>
      <c r="B1025" s="1" t="s">
        <v>2983</v>
      </c>
      <c r="C1025" s="1" t="s">
        <v>2984</v>
      </c>
      <c r="D1025" s="1" t="s">
        <v>2463</v>
      </c>
      <c r="E1025" s="1" t="s">
        <v>2464</v>
      </c>
      <c r="F1025" s="1">
        <v>698664.0</v>
      </c>
      <c r="G1025" s="1">
        <v>34376.0</v>
      </c>
      <c r="H1025" s="1">
        <v>578.0</v>
      </c>
      <c r="I1025" s="1">
        <v>2.55E7</v>
      </c>
      <c r="J1025" s="1" t="s">
        <v>2468</v>
      </c>
    </row>
    <row r="1026">
      <c r="A1026" s="1" t="s">
        <v>3006</v>
      </c>
      <c r="B1026" s="1" t="s">
        <v>3007</v>
      </c>
      <c r="C1026" s="1" t="s">
        <v>3008</v>
      </c>
      <c r="D1026" s="1" t="s">
        <v>2463</v>
      </c>
      <c r="E1026" s="1" t="s">
        <v>2464</v>
      </c>
      <c r="F1026" s="1">
        <v>1208963.0</v>
      </c>
      <c r="G1026" s="1">
        <v>58661.0</v>
      </c>
      <c r="H1026" s="1">
        <v>1199.0</v>
      </c>
      <c r="I1026" s="1">
        <v>2.55E7</v>
      </c>
      <c r="J1026" s="1" t="s">
        <v>2468</v>
      </c>
    </row>
    <row r="1027">
      <c r="A1027" s="1" t="s">
        <v>3012</v>
      </c>
      <c r="B1027" s="1" t="s">
        <v>3013</v>
      </c>
      <c r="C1027" s="1" t="s">
        <v>3014</v>
      </c>
      <c r="D1027" s="1" t="s">
        <v>2463</v>
      </c>
      <c r="E1027" s="1" t="s">
        <v>2464</v>
      </c>
      <c r="F1027" s="1">
        <v>813371.0</v>
      </c>
      <c r="G1027" s="1">
        <v>28734.0</v>
      </c>
      <c r="H1027" s="1">
        <v>974.0</v>
      </c>
      <c r="I1027" s="1">
        <v>2.55E7</v>
      </c>
      <c r="J1027" s="1" t="s">
        <v>2468</v>
      </c>
    </row>
    <row r="1028">
      <c r="A1028" s="1" t="s">
        <v>3030</v>
      </c>
      <c r="B1028" s="1" t="s">
        <v>3031</v>
      </c>
      <c r="C1028" s="1" t="s">
        <v>3032</v>
      </c>
      <c r="D1028" s="1" t="s">
        <v>2463</v>
      </c>
      <c r="E1028" s="1" t="s">
        <v>2464</v>
      </c>
      <c r="F1028" s="1">
        <v>2650245.0</v>
      </c>
      <c r="G1028" s="1">
        <v>110480.0</v>
      </c>
      <c r="H1028" s="1">
        <v>3817.0</v>
      </c>
      <c r="I1028" s="1">
        <v>2.55E7</v>
      </c>
      <c r="J1028" s="1" t="s">
        <v>2468</v>
      </c>
    </row>
    <row r="1029">
      <c r="A1029" s="1" t="s">
        <v>3050</v>
      </c>
      <c r="B1029" s="1" t="s">
        <v>3052</v>
      </c>
      <c r="C1029" s="1" t="s">
        <v>3053</v>
      </c>
      <c r="D1029" s="1" t="s">
        <v>2463</v>
      </c>
      <c r="E1029" s="1" t="s">
        <v>2464</v>
      </c>
      <c r="F1029" s="1">
        <v>2824872.0</v>
      </c>
      <c r="G1029" s="1">
        <v>172189.0</v>
      </c>
      <c r="H1029" s="1">
        <v>3966.0</v>
      </c>
      <c r="I1029" s="1">
        <v>2.55E7</v>
      </c>
      <c r="J1029" s="1" t="s">
        <v>2468</v>
      </c>
    </row>
    <row r="1030">
      <c r="A1030" s="1" t="s">
        <v>3070</v>
      </c>
      <c r="B1030" s="1" t="s">
        <v>3072</v>
      </c>
      <c r="C1030" s="1" t="s">
        <v>3073</v>
      </c>
      <c r="D1030" s="1" t="s">
        <v>2463</v>
      </c>
      <c r="E1030" s="1" t="s">
        <v>2464</v>
      </c>
      <c r="F1030" s="1">
        <v>1209247.0</v>
      </c>
      <c r="G1030" s="1">
        <v>56096.0</v>
      </c>
      <c r="H1030" s="1">
        <v>991.0</v>
      </c>
      <c r="I1030" s="1">
        <v>2.55E7</v>
      </c>
      <c r="J1030" s="1" t="s">
        <v>2468</v>
      </c>
    </row>
    <row r="1031">
      <c r="A1031" s="1" t="s">
        <v>3081</v>
      </c>
      <c r="B1031" s="1" t="s">
        <v>3083</v>
      </c>
      <c r="C1031" s="1" t="s">
        <v>3085</v>
      </c>
      <c r="D1031" s="1" t="s">
        <v>2463</v>
      </c>
      <c r="E1031" s="1" t="s">
        <v>2464</v>
      </c>
      <c r="F1031" s="1">
        <v>1122754.0</v>
      </c>
      <c r="G1031" s="1">
        <v>52276.0</v>
      </c>
      <c r="H1031" s="1">
        <v>969.0</v>
      </c>
      <c r="I1031" s="1">
        <v>2.55E7</v>
      </c>
      <c r="J1031" s="1" t="s">
        <v>2468</v>
      </c>
    </row>
    <row r="1032">
      <c r="A1032" s="1" t="s">
        <v>3102</v>
      </c>
      <c r="B1032" s="1" t="s">
        <v>3103</v>
      </c>
      <c r="C1032" s="1" t="s">
        <v>3104</v>
      </c>
      <c r="D1032" s="1" t="s">
        <v>2463</v>
      </c>
      <c r="E1032" s="1" t="s">
        <v>2464</v>
      </c>
      <c r="F1032" s="1">
        <v>3382288.0</v>
      </c>
      <c r="G1032" s="1">
        <v>116822.0</v>
      </c>
      <c r="H1032" s="1">
        <v>5122.0</v>
      </c>
      <c r="I1032" s="1">
        <v>2.55E7</v>
      </c>
      <c r="J1032" s="1" t="s">
        <v>2468</v>
      </c>
    </row>
    <row r="1033">
      <c r="A1033" s="1" t="s">
        <v>3120</v>
      </c>
      <c r="B1033" s="1" t="s">
        <v>3121</v>
      </c>
      <c r="C1033" s="1" t="s">
        <v>3122</v>
      </c>
      <c r="D1033" s="1" t="s">
        <v>2463</v>
      </c>
      <c r="E1033" s="1" t="s">
        <v>2464</v>
      </c>
      <c r="F1033" s="1">
        <v>1330677.0</v>
      </c>
      <c r="G1033" s="1">
        <v>54437.0</v>
      </c>
      <c r="H1033" s="1">
        <v>971.0</v>
      </c>
      <c r="I1033" s="1">
        <v>2.55E7</v>
      </c>
      <c r="J1033" s="1" t="s">
        <v>2468</v>
      </c>
    </row>
    <row r="1034">
      <c r="A1034" s="1" t="s">
        <v>3126</v>
      </c>
      <c r="B1034" s="1" t="s">
        <v>3127</v>
      </c>
      <c r="C1034" s="1" t="s">
        <v>3128</v>
      </c>
      <c r="D1034" s="1" t="s">
        <v>2463</v>
      </c>
      <c r="E1034" s="1" t="s">
        <v>2464</v>
      </c>
      <c r="F1034" s="1">
        <v>697148.0</v>
      </c>
      <c r="G1034" s="1">
        <v>33842.0</v>
      </c>
      <c r="H1034" s="1">
        <v>520.0</v>
      </c>
      <c r="I1034" s="1">
        <v>2.55E7</v>
      </c>
      <c r="J1034" s="1" t="s">
        <v>2468</v>
      </c>
    </row>
    <row r="1035">
      <c r="A1035" s="1" t="s">
        <v>3129</v>
      </c>
      <c r="B1035" s="1" t="s">
        <v>3130</v>
      </c>
      <c r="C1035" s="1" t="s">
        <v>3131</v>
      </c>
      <c r="D1035" s="1" t="s">
        <v>2463</v>
      </c>
      <c r="E1035" s="1" t="s">
        <v>2464</v>
      </c>
      <c r="F1035" s="1">
        <v>7849218.0</v>
      </c>
      <c r="G1035" s="1">
        <v>268106.0</v>
      </c>
      <c r="H1035" s="1">
        <v>10105.0</v>
      </c>
      <c r="I1035" s="1">
        <v>2.55E7</v>
      </c>
      <c r="J1035" s="1" t="s">
        <v>2468</v>
      </c>
    </row>
    <row r="1036">
      <c r="A1036" s="1" t="s">
        <v>3132</v>
      </c>
      <c r="B1036" s="1" t="s">
        <v>3133</v>
      </c>
      <c r="C1036" s="1" t="s">
        <v>3134</v>
      </c>
      <c r="D1036" s="1" t="s">
        <v>2463</v>
      </c>
      <c r="E1036" s="1" t="s">
        <v>2464</v>
      </c>
      <c r="F1036" s="1">
        <v>1126134.0</v>
      </c>
      <c r="G1036" s="1">
        <v>55161.0</v>
      </c>
      <c r="H1036" s="1">
        <v>849.0</v>
      </c>
      <c r="I1036" s="1">
        <v>2.55E7</v>
      </c>
      <c r="J1036" s="1" t="s">
        <v>2468</v>
      </c>
    </row>
    <row r="1037">
      <c r="A1037" s="1" t="s">
        <v>3135</v>
      </c>
      <c r="B1037" s="1" t="s">
        <v>3136</v>
      </c>
      <c r="C1037" s="1" t="s">
        <v>3137</v>
      </c>
      <c r="D1037" s="1" t="s">
        <v>2463</v>
      </c>
      <c r="E1037" s="1" t="s">
        <v>2464</v>
      </c>
      <c r="F1037" s="1">
        <v>2984618.0</v>
      </c>
      <c r="G1037" s="1">
        <v>66913.0</v>
      </c>
      <c r="H1037" s="1">
        <v>1015.0</v>
      </c>
      <c r="I1037" s="1">
        <v>2.55E7</v>
      </c>
      <c r="J1037" s="1" t="s">
        <v>2468</v>
      </c>
    </row>
    <row r="1038">
      <c r="A1038" s="1" t="s">
        <v>3138</v>
      </c>
      <c r="B1038" s="1" t="s">
        <v>3139</v>
      </c>
      <c r="C1038" s="1" t="s">
        <v>3140</v>
      </c>
      <c r="D1038" s="1" t="s">
        <v>2463</v>
      </c>
      <c r="E1038" s="1" t="s">
        <v>2464</v>
      </c>
      <c r="F1038" s="1">
        <v>2094434.0</v>
      </c>
      <c r="G1038" s="1">
        <v>90574.0</v>
      </c>
      <c r="H1038" s="1">
        <v>1726.0</v>
      </c>
      <c r="I1038" s="1">
        <v>2.55E7</v>
      </c>
      <c r="J1038" s="1" t="s">
        <v>2468</v>
      </c>
    </row>
    <row r="1039">
      <c r="A1039" s="1" t="s">
        <v>3141</v>
      </c>
      <c r="B1039" s="1" t="s">
        <v>3142</v>
      </c>
      <c r="C1039" s="1" t="s">
        <v>3143</v>
      </c>
      <c r="D1039" s="1" t="s">
        <v>2463</v>
      </c>
      <c r="E1039" s="1" t="s">
        <v>2464</v>
      </c>
      <c r="F1039" s="1">
        <v>1023242.0</v>
      </c>
      <c r="G1039" s="1">
        <v>44985.0</v>
      </c>
      <c r="H1039" s="1">
        <v>741.0</v>
      </c>
      <c r="I1039" s="1">
        <v>2.55E7</v>
      </c>
      <c r="J1039" s="1" t="s">
        <v>2468</v>
      </c>
    </row>
    <row r="1040">
      <c r="A1040" s="1" t="s">
        <v>3144</v>
      </c>
      <c r="B1040" s="1" t="s">
        <v>3145</v>
      </c>
      <c r="C1040" s="1" t="s">
        <v>3146</v>
      </c>
      <c r="D1040" s="1" t="s">
        <v>2463</v>
      </c>
      <c r="E1040" s="1" t="s">
        <v>2464</v>
      </c>
      <c r="F1040" s="1">
        <v>3901960.0</v>
      </c>
      <c r="G1040" s="1">
        <v>243315.0</v>
      </c>
      <c r="H1040" s="1">
        <v>3896.0</v>
      </c>
      <c r="I1040" s="1">
        <v>2.55E7</v>
      </c>
      <c r="J1040" s="1" t="s">
        <v>2468</v>
      </c>
    </row>
    <row r="1041">
      <c r="A1041" s="1" t="s">
        <v>3147</v>
      </c>
      <c r="B1041" s="1" t="s">
        <v>3148</v>
      </c>
      <c r="C1041" s="1" t="s">
        <v>3149</v>
      </c>
      <c r="D1041" s="1" t="s">
        <v>2463</v>
      </c>
      <c r="E1041" s="1" t="s">
        <v>2464</v>
      </c>
      <c r="F1041" s="1">
        <v>2008030.0</v>
      </c>
      <c r="G1041" s="1">
        <v>94811.0</v>
      </c>
      <c r="H1041" s="1">
        <v>2256.0</v>
      </c>
      <c r="I1041" s="1">
        <v>2.55E7</v>
      </c>
      <c r="J1041" s="1" t="s">
        <v>2468</v>
      </c>
    </row>
    <row r="1042">
      <c r="A1042" s="1" t="s">
        <v>3150</v>
      </c>
      <c r="B1042" s="1" t="s">
        <v>3151</v>
      </c>
      <c r="C1042" s="1" t="s">
        <v>3152</v>
      </c>
      <c r="D1042" s="1" t="s">
        <v>2463</v>
      </c>
      <c r="E1042" s="1" t="s">
        <v>2464</v>
      </c>
      <c r="F1042" s="1">
        <v>1564927.0</v>
      </c>
      <c r="G1042" s="1">
        <v>80427.0</v>
      </c>
      <c r="H1042" s="1">
        <v>960.0</v>
      </c>
      <c r="I1042" s="1">
        <v>2.55E7</v>
      </c>
      <c r="J1042" s="1" t="s">
        <v>2468</v>
      </c>
    </row>
    <row r="1043">
      <c r="A1043" s="1" t="s">
        <v>3153</v>
      </c>
      <c r="B1043" s="1" t="s">
        <v>3154</v>
      </c>
      <c r="C1043" s="1" t="s">
        <v>3155</v>
      </c>
      <c r="D1043" s="1" t="s">
        <v>2463</v>
      </c>
      <c r="E1043" s="1" t="s">
        <v>2464</v>
      </c>
      <c r="F1043" s="1">
        <v>3078950.0</v>
      </c>
      <c r="G1043" s="1">
        <v>137596.0</v>
      </c>
      <c r="H1043" s="1">
        <v>3042.0</v>
      </c>
      <c r="I1043" s="1">
        <v>2.55E7</v>
      </c>
      <c r="J1043" s="1" t="s">
        <v>2468</v>
      </c>
    </row>
    <row r="1044">
      <c r="A1044" s="1" t="s">
        <v>3156</v>
      </c>
      <c r="B1044" s="1" t="s">
        <v>3157</v>
      </c>
      <c r="C1044" s="1" t="s">
        <v>3158</v>
      </c>
      <c r="D1044" s="1" t="s">
        <v>2463</v>
      </c>
      <c r="E1044" s="1" t="s">
        <v>2464</v>
      </c>
      <c r="F1044" s="1">
        <v>1146259.0</v>
      </c>
      <c r="G1044" s="1">
        <v>51750.0</v>
      </c>
      <c r="H1044" s="1">
        <v>705.0</v>
      </c>
      <c r="I1044" s="1">
        <v>2.55E7</v>
      </c>
      <c r="J1044" s="1" t="s">
        <v>2468</v>
      </c>
    </row>
    <row r="1045">
      <c r="A1045" s="1" t="s">
        <v>3159</v>
      </c>
      <c r="B1045" s="1" t="s">
        <v>3160</v>
      </c>
      <c r="C1045" s="1" t="s">
        <v>3161</v>
      </c>
      <c r="D1045" s="1" t="s">
        <v>2463</v>
      </c>
      <c r="E1045" s="1" t="s">
        <v>2464</v>
      </c>
      <c r="F1045" s="1">
        <v>1060981.0</v>
      </c>
      <c r="G1045" s="1">
        <v>48772.0</v>
      </c>
      <c r="H1045" s="1">
        <v>718.0</v>
      </c>
      <c r="I1045" s="1">
        <v>2.55E7</v>
      </c>
      <c r="J1045" s="1" t="s">
        <v>2468</v>
      </c>
    </row>
    <row r="1046">
      <c r="A1046" s="1" t="s">
        <v>3162</v>
      </c>
      <c r="B1046" s="1" t="s">
        <v>3163</v>
      </c>
      <c r="C1046" s="1" t="s">
        <v>3164</v>
      </c>
      <c r="D1046" s="1" t="s">
        <v>2463</v>
      </c>
      <c r="E1046" s="1" t="s">
        <v>2464</v>
      </c>
      <c r="F1046" s="1">
        <v>2480240.0</v>
      </c>
      <c r="G1046" s="1">
        <v>100445.0</v>
      </c>
      <c r="H1046" s="1">
        <v>2009.0</v>
      </c>
      <c r="I1046" s="1">
        <v>2.55E7</v>
      </c>
      <c r="J1046" s="1" t="s">
        <v>2468</v>
      </c>
    </row>
    <row r="1047">
      <c r="A1047" s="1" t="s">
        <v>3165</v>
      </c>
      <c r="B1047" s="1" t="s">
        <v>3166</v>
      </c>
      <c r="C1047" s="1" t="s">
        <v>3167</v>
      </c>
      <c r="D1047" s="1" t="s">
        <v>2463</v>
      </c>
      <c r="E1047" s="1" t="s">
        <v>2464</v>
      </c>
      <c r="F1047" s="1">
        <v>2190460.0</v>
      </c>
      <c r="G1047" s="1">
        <v>87346.0</v>
      </c>
      <c r="H1047" s="1">
        <v>2557.0</v>
      </c>
      <c r="I1047" s="1">
        <v>2.55E7</v>
      </c>
      <c r="J1047" s="1" t="s">
        <v>2468</v>
      </c>
    </row>
    <row r="1048">
      <c r="A1048" s="1" t="s">
        <v>3168</v>
      </c>
      <c r="B1048" s="1" t="s">
        <v>3169</v>
      </c>
      <c r="C1048" s="1" t="s">
        <v>3170</v>
      </c>
      <c r="D1048" s="1" t="s">
        <v>2463</v>
      </c>
      <c r="E1048" s="1" t="s">
        <v>2464</v>
      </c>
      <c r="F1048" s="1">
        <v>2986442.0</v>
      </c>
      <c r="G1048" s="1">
        <v>118562.0</v>
      </c>
      <c r="H1048" s="1">
        <v>1825.0</v>
      </c>
      <c r="I1048" s="1">
        <v>2.55E7</v>
      </c>
      <c r="J1048" s="1" t="s">
        <v>2468</v>
      </c>
    </row>
    <row r="1049">
      <c r="A1049" s="1" t="s">
        <v>3171</v>
      </c>
      <c r="B1049" s="1" t="s">
        <v>3172</v>
      </c>
      <c r="C1049" s="1" t="s">
        <v>3173</v>
      </c>
      <c r="D1049" s="1" t="s">
        <v>2463</v>
      </c>
      <c r="E1049" s="1" t="s">
        <v>2464</v>
      </c>
      <c r="F1049" s="1">
        <v>3420408.0</v>
      </c>
      <c r="G1049" s="1">
        <v>171705.0</v>
      </c>
      <c r="H1049" s="1">
        <v>4034.0</v>
      </c>
      <c r="I1049" s="1">
        <v>2.55E7</v>
      </c>
      <c r="J1049" s="1" t="s">
        <v>2468</v>
      </c>
    </row>
    <row r="1050">
      <c r="A1050" s="1" t="s">
        <v>3174</v>
      </c>
      <c r="B1050" s="1" t="s">
        <v>3175</v>
      </c>
      <c r="C1050" s="1" t="s">
        <v>3176</v>
      </c>
      <c r="D1050" s="1" t="s">
        <v>2463</v>
      </c>
      <c r="E1050" s="1" t="s">
        <v>2464</v>
      </c>
      <c r="F1050" s="1">
        <v>1416402.0</v>
      </c>
      <c r="G1050" s="1">
        <v>73642.0</v>
      </c>
      <c r="H1050" s="1">
        <v>993.0</v>
      </c>
      <c r="I1050" s="1">
        <v>2.55E7</v>
      </c>
      <c r="J1050" s="1" t="s">
        <v>2468</v>
      </c>
    </row>
    <row r="1051">
      <c r="A1051" s="1" t="s">
        <v>3177</v>
      </c>
      <c r="B1051" s="1" t="s">
        <v>3178</v>
      </c>
      <c r="C1051" s="1" t="s">
        <v>3179</v>
      </c>
      <c r="D1051" s="1" t="s">
        <v>2463</v>
      </c>
      <c r="E1051" s="1" t="s">
        <v>2464</v>
      </c>
      <c r="F1051" s="1">
        <v>4414375.0</v>
      </c>
      <c r="G1051" s="1">
        <v>170627.0</v>
      </c>
      <c r="H1051" s="1">
        <v>4832.0</v>
      </c>
      <c r="I1051" s="1">
        <v>2.55E7</v>
      </c>
      <c r="J1051" s="1" t="s">
        <v>2468</v>
      </c>
    </row>
    <row r="1052">
      <c r="A1052" s="1" t="s">
        <v>3180</v>
      </c>
      <c r="B1052" s="1" t="s">
        <v>3181</v>
      </c>
      <c r="C1052" s="1" t="s">
        <v>3182</v>
      </c>
      <c r="D1052" s="1" t="s">
        <v>2463</v>
      </c>
      <c r="E1052" s="1" t="s">
        <v>2464</v>
      </c>
      <c r="F1052" s="1">
        <v>316493.0</v>
      </c>
      <c r="G1052" s="1">
        <v>9620.0</v>
      </c>
      <c r="H1052" s="1">
        <v>481.0</v>
      </c>
      <c r="I1052" s="1">
        <v>2.55E7</v>
      </c>
      <c r="J1052" s="1" t="s">
        <v>2468</v>
      </c>
    </row>
    <row r="1053">
      <c r="A1053" s="1" t="s">
        <v>3183</v>
      </c>
      <c r="B1053" s="1" t="s">
        <v>3184</v>
      </c>
      <c r="C1053" s="1" t="s">
        <v>3185</v>
      </c>
      <c r="D1053" s="1" t="s">
        <v>2463</v>
      </c>
      <c r="E1053" s="1" t="s">
        <v>2464</v>
      </c>
      <c r="F1053" s="1">
        <v>4980171.0</v>
      </c>
      <c r="G1053" s="1">
        <v>209959.0</v>
      </c>
      <c r="H1053" s="1">
        <v>2408.0</v>
      </c>
      <c r="I1053" s="1">
        <v>2.55E7</v>
      </c>
      <c r="J1053" s="1" t="s">
        <v>2468</v>
      </c>
    </row>
    <row r="1054">
      <c r="A1054" s="1" t="s">
        <v>3186</v>
      </c>
      <c r="B1054" s="1" t="s">
        <v>3187</v>
      </c>
      <c r="C1054" s="1" t="s">
        <v>3188</v>
      </c>
      <c r="D1054" s="1" t="s">
        <v>2463</v>
      </c>
      <c r="E1054" s="1" t="s">
        <v>2464</v>
      </c>
      <c r="F1054" s="1">
        <v>4121183.0</v>
      </c>
      <c r="G1054" s="1">
        <v>117724.0</v>
      </c>
      <c r="H1054" s="1">
        <v>5945.0</v>
      </c>
      <c r="I1054" s="1">
        <v>2.55E7</v>
      </c>
      <c r="J1054" s="1" t="s">
        <v>2468</v>
      </c>
    </row>
    <row r="1055">
      <c r="A1055" s="1" t="s">
        <v>3189</v>
      </c>
      <c r="B1055" s="1" t="s">
        <v>3190</v>
      </c>
      <c r="C1055" s="1" t="s">
        <v>3191</v>
      </c>
      <c r="D1055" s="1" t="s">
        <v>2463</v>
      </c>
      <c r="E1055" s="1" t="s">
        <v>2464</v>
      </c>
      <c r="F1055" s="1">
        <v>2355820.0</v>
      </c>
      <c r="G1055" s="1">
        <v>136046.0</v>
      </c>
      <c r="H1055" s="1">
        <v>2595.0</v>
      </c>
      <c r="I1055" s="1">
        <v>2.55E7</v>
      </c>
      <c r="J1055" s="1" t="s">
        <v>2468</v>
      </c>
    </row>
    <row r="1056">
      <c r="A1056" s="1" t="s">
        <v>3192</v>
      </c>
      <c r="B1056" s="1" t="s">
        <v>3193</v>
      </c>
      <c r="C1056" s="1" t="s">
        <v>3194</v>
      </c>
      <c r="D1056" s="1" t="s">
        <v>2463</v>
      </c>
      <c r="E1056" s="1" t="s">
        <v>2464</v>
      </c>
      <c r="F1056" s="1">
        <v>3558449.0</v>
      </c>
      <c r="G1056" s="1">
        <v>116672.0</v>
      </c>
      <c r="H1056" s="1">
        <v>6080.0</v>
      </c>
      <c r="I1056" s="1">
        <v>2.55E7</v>
      </c>
      <c r="J1056" s="1" t="s">
        <v>2468</v>
      </c>
    </row>
    <row r="1057">
      <c r="A1057" s="1" t="s">
        <v>3195</v>
      </c>
      <c r="B1057" s="1" t="s">
        <v>3196</v>
      </c>
      <c r="C1057" s="1" t="s">
        <v>3197</v>
      </c>
      <c r="D1057" s="1" t="s">
        <v>2463</v>
      </c>
      <c r="E1057" s="1" t="s">
        <v>2464</v>
      </c>
      <c r="F1057" s="1">
        <v>3027736.0</v>
      </c>
      <c r="G1057" s="1">
        <v>211601.0</v>
      </c>
      <c r="H1057" s="1">
        <v>2826.0</v>
      </c>
      <c r="I1057" s="1">
        <v>2.55E7</v>
      </c>
      <c r="J1057" s="1" t="s">
        <v>2468</v>
      </c>
    </row>
    <row r="1058">
      <c r="A1058" s="1" t="s">
        <v>3198</v>
      </c>
      <c r="B1058" s="1" t="s">
        <v>3199</v>
      </c>
      <c r="C1058" s="1" t="s">
        <v>3200</v>
      </c>
      <c r="D1058" s="1" t="s">
        <v>2463</v>
      </c>
      <c r="E1058" s="1" t="s">
        <v>2464</v>
      </c>
      <c r="F1058" s="1">
        <v>5247264.0</v>
      </c>
      <c r="G1058" s="1">
        <v>223391.0</v>
      </c>
      <c r="H1058" s="1">
        <v>13950.0</v>
      </c>
      <c r="I1058" s="1">
        <v>2.55E7</v>
      </c>
      <c r="J1058" s="1" t="s">
        <v>2468</v>
      </c>
    </row>
    <row r="1059">
      <c r="A1059" s="1" t="s">
        <v>3201</v>
      </c>
      <c r="B1059" s="1" t="s">
        <v>3202</v>
      </c>
      <c r="C1059" s="1" t="s">
        <v>3203</v>
      </c>
      <c r="D1059" s="1" t="s">
        <v>2463</v>
      </c>
      <c r="E1059" s="1" t="s">
        <v>2464</v>
      </c>
      <c r="F1059" s="1">
        <v>2587468.0</v>
      </c>
      <c r="G1059" s="1">
        <v>104522.0</v>
      </c>
      <c r="H1059" s="1">
        <v>1628.0</v>
      </c>
      <c r="I1059" s="1">
        <v>2.55E7</v>
      </c>
      <c r="J1059" s="1" t="s">
        <v>2468</v>
      </c>
    </row>
    <row r="1060">
      <c r="A1060" s="1" t="s">
        <v>3204</v>
      </c>
      <c r="B1060" s="1" t="s">
        <v>3205</v>
      </c>
      <c r="C1060" s="1" t="s">
        <v>3206</v>
      </c>
      <c r="D1060" s="1" t="s">
        <v>2463</v>
      </c>
      <c r="E1060" s="1" t="s">
        <v>2464</v>
      </c>
      <c r="F1060" s="1">
        <v>6484681.0</v>
      </c>
      <c r="G1060" s="1">
        <v>252966.0</v>
      </c>
      <c r="H1060" s="1">
        <v>7258.0</v>
      </c>
      <c r="I1060" s="1">
        <v>2.55E7</v>
      </c>
      <c r="J1060" s="1" t="s">
        <v>2468</v>
      </c>
    </row>
    <row r="1061">
      <c r="A1061" s="1" t="s">
        <v>3207</v>
      </c>
      <c r="B1061" s="1" t="s">
        <v>3208</v>
      </c>
      <c r="C1061" s="1" t="s">
        <v>3209</v>
      </c>
      <c r="D1061" s="1" t="s">
        <v>2463</v>
      </c>
      <c r="E1061" s="1" t="s">
        <v>2464</v>
      </c>
      <c r="F1061" s="1">
        <v>1206811.0</v>
      </c>
      <c r="G1061" s="1">
        <v>43937.0</v>
      </c>
      <c r="H1061" s="1">
        <v>616.0</v>
      </c>
      <c r="I1061" s="1">
        <v>2.55E7</v>
      </c>
      <c r="J1061" s="1" t="s">
        <v>2468</v>
      </c>
    </row>
    <row r="1062">
      <c r="A1062" s="1" t="s">
        <v>3210</v>
      </c>
      <c r="B1062" s="1" t="s">
        <v>3211</v>
      </c>
      <c r="C1062" s="1" t="s">
        <v>3212</v>
      </c>
      <c r="D1062" s="1" t="s">
        <v>2463</v>
      </c>
      <c r="E1062" s="1" t="s">
        <v>2464</v>
      </c>
      <c r="F1062" s="1">
        <v>4435311.0</v>
      </c>
      <c r="G1062" s="1">
        <v>182348.0</v>
      </c>
      <c r="H1062" s="1">
        <v>6880.0</v>
      </c>
      <c r="I1062" s="1">
        <v>2.55E7</v>
      </c>
      <c r="J1062" s="1" t="s">
        <v>2468</v>
      </c>
    </row>
    <row r="1063">
      <c r="A1063" s="1" t="s">
        <v>3213</v>
      </c>
      <c r="B1063" s="1" t="s">
        <v>3214</v>
      </c>
      <c r="C1063" s="1" t="s">
        <v>3215</v>
      </c>
      <c r="D1063" s="1" t="s">
        <v>2463</v>
      </c>
      <c r="E1063" s="1" t="s">
        <v>2464</v>
      </c>
      <c r="F1063" s="1">
        <v>1745036.0</v>
      </c>
      <c r="G1063" s="1">
        <v>66376.0</v>
      </c>
      <c r="H1063" s="1">
        <v>1934.0</v>
      </c>
      <c r="I1063" s="1">
        <v>2.55E7</v>
      </c>
      <c r="J1063" s="1" t="s">
        <v>2468</v>
      </c>
    </row>
    <row r="1064">
      <c r="A1064" s="1" t="s">
        <v>3216</v>
      </c>
      <c r="B1064" s="1" t="s">
        <v>3217</v>
      </c>
      <c r="C1064" s="1" t="s">
        <v>3218</v>
      </c>
      <c r="D1064" s="1" t="s">
        <v>2463</v>
      </c>
      <c r="E1064" s="1" t="s">
        <v>2464</v>
      </c>
      <c r="F1064" s="1">
        <v>4957889.0</v>
      </c>
      <c r="G1064" s="1">
        <v>253083.0</v>
      </c>
      <c r="H1064" s="1">
        <v>8117.0</v>
      </c>
      <c r="I1064" s="1">
        <v>2.55E7</v>
      </c>
      <c r="J1064" s="1" t="s">
        <v>2468</v>
      </c>
    </row>
    <row r="1065">
      <c r="A1065" s="1" t="s">
        <v>3219</v>
      </c>
      <c r="B1065" s="1" t="s">
        <v>3220</v>
      </c>
      <c r="C1065" s="1" t="s">
        <v>3221</v>
      </c>
      <c r="D1065" s="1" t="s">
        <v>2463</v>
      </c>
      <c r="E1065" s="1" t="s">
        <v>2464</v>
      </c>
      <c r="F1065" s="1">
        <v>2114514.0</v>
      </c>
      <c r="G1065" s="1">
        <v>138433.0</v>
      </c>
      <c r="H1065" s="1">
        <v>3575.0</v>
      </c>
      <c r="I1065" s="1">
        <v>2.55E7</v>
      </c>
      <c r="J1065" s="1" t="s">
        <v>2468</v>
      </c>
    </row>
    <row r="1066">
      <c r="A1066" s="1" t="s">
        <v>3222</v>
      </c>
      <c r="B1066" s="1" t="s">
        <v>3223</v>
      </c>
      <c r="C1066" s="1" t="s">
        <v>3224</v>
      </c>
      <c r="D1066" s="1" t="s">
        <v>2463</v>
      </c>
      <c r="E1066" s="1" t="s">
        <v>2464</v>
      </c>
      <c r="F1066" s="1">
        <v>4347634.0</v>
      </c>
      <c r="G1066" s="1">
        <v>194961.0</v>
      </c>
      <c r="H1066" s="1">
        <v>30074.0</v>
      </c>
      <c r="I1066" s="1">
        <v>2.55E7</v>
      </c>
      <c r="J1066" s="1" t="s">
        <v>2468</v>
      </c>
    </row>
    <row r="1067">
      <c r="A1067" s="1" t="s">
        <v>3225</v>
      </c>
      <c r="B1067" s="1" t="s">
        <v>3226</v>
      </c>
      <c r="C1067" s="1" t="s">
        <v>3227</v>
      </c>
      <c r="D1067" s="1" t="s">
        <v>2463</v>
      </c>
      <c r="E1067" s="1" t="s">
        <v>2464</v>
      </c>
      <c r="F1067" s="1">
        <v>948220.0</v>
      </c>
      <c r="G1067" s="1">
        <v>49803.0</v>
      </c>
      <c r="H1067" s="1">
        <v>1042.0</v>
      </c>
      <c r="I1067" s="1">
        <v>2.55E7</v>
      </c>
      <c r="J1067" s="1" t="s">
        <v>2468</v>
      </c>
    </row>
    <row r="1068">
      <c r="A1068" s="1" t="s">
        <v>3228</v>
      </c>
      <c r="B1068" s="1" t="s">
        <v>3229</v>
      </c>
      <c r="C1068" s="1" t="s">
        <v>3230</v>
      </c>
      <c r="D1068" s="1" t="s">
        <v>2463</v>
      </c>
      <c r="E1068" s="1" t="s">
        <v>2464</v>
      </c>
      <c r="F1068" s="1">
        <v>1484711.0</v>
      </c>
      <c r="G1068" s="1">
        <v>66521.0</v>
      </c>
      <c r="H1068" s="1">
        <v>634.0</v>
      </c>
      <c r="I1068" s="1">
        <v>2.55E7</v>
      </c>
      <c r="J1068" s="1" t="s">
        <v>2468</v>
      </c>
    </row>
    <row r="1069">
      <c r="A1069" s="1" t="s">
        <v>3231</v>
      </c>
      <c r="B1069" s="1" t="s">
        <v>3232</v>
      </c>
      <c r="C1069" s="1" t="s">
        <v>3233</v>
      </c>
      <c r="D1069" s="1" t="s">
        <v>2463</v>
      </c>
      <c r="E1069" s="1" t="s">
        <v>2464</v>
      </c>
      <c r="F1069" s="1">
        <v>1632700.0</v>
      </c>
      <c r="G1069" s="1">
        <v>70340.0</v>
      </c>
      <c r="H1069" s="1">
        <v>1216.0</v>
      </c>
      <c r="I1069" s="1">
        <v>2.55E7</v>
      </c>
      <c r="J1069" s="1" t="s">
        <v>2468</v>
      </c>
    </row>
    <row r="1070">
      <c r="A1070" s="1" t="s">
        <v>3234</v>
      </c>
      <c r="B1070" s="1" t="s">
        <v>3235</v>
      </c>
      <c r="C1070" s="1" t="s">
        <v>3236</v>
      </c>
      <c r="D1070" s="1" t="s">
        <v>2463</v>
      </c>
      <c r="E1070" s="1" t="s">
        <v>2464</v>
      </c>
      <c r="F1070" s="1">
        <v>2296315.0</v>
      </c>
      <c r="G1070" s="1">
        <v>90341.0</v>
      </c>
      <c r="H1070" s="1">
        <v>1023.0</v>
      </c>
      <c r="I1070" s="1">
        <v>2.55E7</v>
      </c>
      <c r="J1070" s="1" t="s">
        <v>2468</v>
      </c>
    </row>
    <row r="1071">
      <c r="A1071" s="1" t="s">
        <v>3237</v>
      </c>
      <c r="B1071" s="1" t="s">
        <v>3238</v>
      </c>
      <c r="C1071" s="1" t="s">
        <v>3239</v>
      </c>
      <c r="D1071" s="1" t="s">
        <v>2463</v>
      </c>
      <c r="E1071" s="1" t="s">
        <v>2464</v>
      </c>
      <c r="F1071" s="1">
        <v>1.0651558E7</v>
      </c>
      <c r="G1071" s="1">
        <v>797716.0</v>
      </c>
      <c r="H1071" s="1">
        <v>38844.0</v>
      </c>
      <c r="I1071" s="1">
        <v>2.55E7</v>
      </c>
      <c r="J1071" s="1" t="s">
        <v>2468</v>
      </c>
    </row>
    <row r="1072">
      <c r="A1072" s="1" t="s">
        <v>3240</v>
      </c>
      <c r="B1072" s="1" t="s">
        <v>3241</v>
      </c>
      <c r="C1072" s="1" t="s">
        <v>3242</v>
      </c>
      <c r="D1072" s="1" t="s">
        <v>2463</v>
      </c>
      <c r="E1072" s="1" t="s">
        <v>2464</v>
      </c>
      <c r="F1072" s="1">
        <v>1227343.0</v>
      </c>
      <c r="G1072" s="1">
        <v>55526.0</v>
      </c>
      <c r="H1072" s="1">
        <v>799.0</v>
      </c>
      <c r="I1072" s="1">
        <v>2.55E7</v>
      </c>
      <c r="J1072" s="1" t="s">
        <v>2468</v>
      </c>
    </row>
    <row r="1073">
      <c r="A1073" s="1" t="s">
        <v>3243</v>
      </c>
      <c r="B1073" s="1" t="s">
        <v>3244</v>
      </c>
      <c r="C1073" s="1" t="s">
        <v>3245</v>
      </c>
      <c r="D1073" s="1" t="s">
        <v>2463</v>
      </c>
      <c r="E1073" s="1" t="s">
        <v>2464</v>
      </c>
      <c r="F1073" s="1">
        <v>4203923.0</v>
      </c>
      <c r="G1073" s="1">
        <v>150673.0</v>
      </c>
      <c r="H1073" s="1">
        <v>8953.0</v>
      </c>
      <c r="I1073" s="1">
        <v>2.55E7</v>
      </c>
      <c r="J1073" s="1" t="s">
        <v>2468</v>
      </c>
    </row>
    <row r="1074">
      <c r="A1074" s="1" t="s">
        <v>3246</v>
      </c>
      <c r="B1074" s="1" t="s">
        <v>3247</v>
      </c>
      <c r="C1074" s="1" t="s">
        <v>3248</v>
      </c>
      <c r="D1074" s="1" t="s">
        <v>2463</v>
      </c>
      <c r="E1074" s="1" t="s">
        <v>2464</v>
      </c>
      <c r="F1074" s="1">
        <v>2491245.0</v>
      </c>
      <c r="G1074" s="1">
        <v>100459.0</v>
      </c>
      <c r="H1074" s="1">
        <v>1403.0</v>
      </c>
      <c r="I1074" s="1">
        <v>2.55E7</v>
      </c>
      <c r="J1074" s="1" t="s">
        <v>2468</v>
      </c>
    </row>
    <row r="1075">
      <c r="A1075" s="1" t="s">
        <v>3249</v>
      </c>
      <c r="B1075" s="1" t="s">
        <v>3250</v>
      </c>
      <c r="C1075" s="1" t="s">
        <v>3251</v>
      </c>
      <c r="D1075" s="1" t="s">
        <v>2463</v>
      </c>
      <c r="E1075" s="1" t="s">
        <v>2464</v>
      </c>
      <c r="F1075" s="1">
        <v>3309116.0</v>
      </c>
      <c r="G1075" s="1">
        <v>143464.0</v>
      </c>
      <c r="H1075" s="1">
        <v>11137.0</v>
      </c>
      <c r="I1075" s="1">
        <v>2.55E7</v>
      </c>
      <c r="J1075" s="1" t="s">
        <v>2468</v>
      </c>
    </row>
    <row r="1076">
      <c r="A1076" s="1" t="s">
        <v>3252</v>
      </c>
      <c r="B1076" s="1" t="s">
        <v>3253</v>
      </c>
      <c r="C1076" s="1" t="s">
        <v>3254</v>
      </c>
      <c r="D1076" s="1" t="s">
        <v>2463</v>
      </c>
      <c r="E1076" s="1" t="s">
        <v>2464</v>
      </c>
      <c r="F1076" s="1">
        <v>617438.0</v>
      </c>
      <c r="G1076" s="1">
        <v>29317.0</v>
      </c>
      <c r="H1076" s="1">
        <v>1074.0</v>
      </c>
      <c r="I1076" s="1">
        <v>2.55E7</v>
      </c>
      <c r="J1076" s="1" t="s">
        <v>2468</v>
      </c>
    </row>
    <row r="1077">
      <c r="A1077" s="1" t="s">
        <v>3255</v>
      </c>
      <c r="B1077" s="1" t="s">
        <v>3256</v>
      </c>
      <c r="C1077" s="1" t="s">
        <v>3257</v>
      </c>
      <c r="D1077" s="1" t="s">
        <v>2463</v>
      </c>
      <c r="E1077" s="1" t="s">
        <v>2464</v>
      </c>
      <c r="F1077" s="1">
        <v>8564282.0</v>
      </c>
      <c r="G1077" s="1">
        <v>181786.0</v>
      </c>
      <c r="H1077" s="1">
        <v>8754.0</v>
      </c>
      <c r="I1077" s="1">
        <v>2.55E7</v>
      </c>
      <c r="J1077" s="1" t="s">
        <v>2468</v>
      </c>
    </row>
    <row r="1078">
      <c r="A1078" s="1" t="s">
        <v>3258</v>
      </c>
      <c r="B1078" s="1" t="s">
        <v>3259</v>
      </c>
      <c r="C1078" s="1" t="s">
        <v>3260</v>
      </c>
      <c r="D1078" s="1" t="s">
        <v>2463</v>
      </c>
      <c r="E1078" s="1" t="s">
        <v>2464</v>
      </c>
      <c r="F1078" s="1">
        <v>731117.0</v>
      </c>
      <c r="G1078" s="1">
        <v>44059.0</v>
      </c>
      <c r="H1078" s="1">
        <v>1330.0</v>
      </c>
      <c r="I1078" s="1">
        <v>2.55E7</v>
      </c>
      <c r="J1078" s="1" t="s">
        <v>2468</v>
      </c>
    </row>
    <row r="1079">
      <c r="A1079" s="1" t="s">
        <v>3261</v>
      </c>
      <c r="B1079" s="1" t="s">
        <v>3262</v>
      </c>
      <c r="C1079" s="1" t="s">
        <v>3263</v>
      </c>
      <c r="D1079" s="1" t="s">
        <v>2463</v>
      </c>
      <c r="E1079" s="1" t="s">
        <v>2464</v>
      </c>
      <c r="F1079" s="1">
        <v>695353.0</v>
      </c>
      <c r="G1079" s="1">
        <v>33598.0</v>
      </c>
      <c r="H1079" s="1">
        <v>1765.0</v>
      </c>
      <c r="I1079" s="1">
        <v>2.55E7</v>
      </c>
      <c r="J1079" s="1" t="s">
        <v>2468</v>
      </c>
    </row>
    <row r="1080">
      <c r="A1080" s="1" t="s">
        <v>3264</v>
      </c>
      <c r="B1080" s="1" t="s">
        <v>3265</v>
      </c>
      <c r="C1080" s="1" t="s">
        <v>3266</v>
      </c>
      <c r="D1080" s="1" t="s">
        <v>2463</v>
      </c>
      <c r="E1080" s="1" t="s">
        <v>2464</v>
      </c>
      <c r="F1080" s="1">
        <v>2353217.0</v>
      </c>
      <c r="G1080" s="1">
        <v>85842.0</v>
      </c>
      <c r="H1080" s="1">
        <v>1030.0</v>
      </c>
      <c r="I1080" s="1">
        <v>2.55E7</v>
      </c>
      <c r="J1080" s="1" t="s">
        <v>2468</v>
      </c>
    </row>
    <row r="1081">
      <c r="A1081" s="1" t="s">
        <v>3267</v>
      </c>
      <c r="B1081" s="1" t="s">
        <v>3268</v>
      </c>
      <c r="C1081" s="1" t="s">
        <v>3269</v>
      </c>
      <c r="D1081" s="1" t="s">
        <v>2463</v>
      </c>
      <c r="E1081" s="1" t="s">
        <v>2464</v>
      </c>
      <c r="F1081" s="1">
        <v>5058987.0</v>
      </c>
      <c r="G1081" s="1">
        <v>195243.0</v>
      </c>
      <c r="H1081" s="1">
        <v>10884.0</v>
      </c>
      <c r="I1081" s="1">
        <v>2.55E7</v>
      </c>
      <c r="J1081" s="1" t="s">
        <v>2468</v>
      </c>
    </row>
    <row r="1082">
      <c r="A1082" s="1" t="s">
        <v>3270</v>
      </c>
      <c r="B1082" s="1" t="s">
        <v>3271</v>
      </c>
      <c r="C1082" s="1" t="s">
        <v>3272</v>
      </c>
      <c r="D1082" s="1" t="s">
        <v>2463</v>
      </c>
      <c r="E1082" s="1" t="s">
        <v>2464</v>
      </c>
      <c r="F1082" s="1">
        <v>674610.0</v>
      </c>
      <c r="G1082" s="1">
        <v>25834.0</v>
      </c>
      <c r="H1082" s="1">
        <v>1325.0</v>
      </c>
      <c r="I1082" s="1">
        <v>2.55E7</v>
      </c>
      <c r="J1082" s="1" t="s">
        <v>2468</v>
      </c>
    </row>
    <row r="1083">
      <c r="A1083" s="1" t="s">
        <v>3273</v>
      </c>
      <c r="B1083" s="1" t="s">
        <v>3274</v>
      </c>
      <c r="C1083" s="1" t="s">
        <v>3275</v>
      </c>
      <c r="D1083" s="1" t="s">
        <v>2463</v>
      </c>
      <c r="E1083" s="1" t="s">
        <v>2464</v>
      </c>
      <c r="F1083" s="1">
        <v>1132776.0</v>
      </c>
      <c r="G1083" s="1">
        <v>57961.0</v>
      </c>
      <c r="H1083" s="1">
        <v>1467.0</v>
      </c>
      <c r="I1083" s="1">
        <v>2.55E7</v>
      </c>
      <c r="J1083" s="1" t="s">
        <v>2468</v>
      </c>
    </row>
    <row r="1084">
      <c r="A1084" s="1" t="s">
        <v>3276</v>
      </c>
      <c r="B1084" s="1" t="s">
        <v>3277</v>
      </c>
      <c r="C1084" s="1" t="s">
        <v>3278</v>
      </c>
      <c r="D1084" s="1" t="s">
        <v>2463</v>
      </c>
      <c r="E1084" s="1" t="s">
        <v>2464</v>
      </c>
      <c r="F1084" s="1">
        <v>4587404.0</v>
      </c>
      <c r="G1084" s="1">
        <v>187434.0</v>
      </c>
      <c r="H1084" s="1">
        <v>11770.0</v>
      </c>
      <c r="I1084" s="1">
        <v>2.55E7</v>
      </c>
      <c r="J1084" s="1" t="s">
        <v>2468</v>
      </c>
    </row>
    <row r="1085">
      <c r="A1085" s="1" t="s">
        <v>3279</v>
      </c>
      <c r="B1085" s="1" t="s">
        <v>3280</v>
      </c>
      <c r="C1085" s="1" t="s">
        <v>3281</v>
      </c>
      <c r="D1085" s="1" t="s">
        <v>2463</v>
      </c>
      <c r="E1085" s="1" t="s">
        <v>2464</v>
      </c>
      <c r="F1085" s="1">
        <v>6288351.0</v>
      </c>
      <c r="G1085" s="1">
        <v>282315.0</v>
      </c>
      <c r="H1085" s="1">
        <v>18990.0</v>
      </c>
      <c r="I1085" s="1">
        <v>2.55E7</v>
      </c>
      <c r="J1085" s="1" t="s">
        <v>2468</v>
      </c>
    </row>
    <row r="1086">
      <c r="A1086" s="1" t="s">
        <v>3282</v>
      </c>
      <c r="B1086" s="1" t="s">
        <v>3283</v>
      </c>
      <c r="C1086" s="1" t="s">
        <v>3284</v>
      </c>
      <c r="D1086" s="1" t="s">
        <v>2463</v>
      </c>
      <c r="E1086" s="1" t="s">
        <v>2464</v>
      </c>
      <c r="F1086" s="1">
        <v>5316402.0</v>
      </c>
      <c r="G1086" s="1">
        <v>317257.0</v>
      </c>
      <c r="H1086" s="1">
        <v>9674.0</v>
      </c>
      <c r="I1086" s="1">
        <v>2.55E7</v>
      </c>
      <c r="J1086" s="1" t="s">
        <v>2468</v>
      </c>
    </row>
    <row r="1087">
      <c r="A1087" s="1" t="s">
        <v>3285</v>
      </c>
      <c r="B1087" s="1" t="s">
        <v>3286</v>
      </c>
      <c r="C1087" s="1" t="s">
        <v>3287</v>
      </c>
      <c r="D1087" s="1" t="s">
        <v>2463</v>
      </c>
      <c r="E1087" s="1" t="s">
        <v>2464</v>
      </c>
      <c r="F1087" s="1">
        <v>3536989.0</v>
      </c>
      <c r="G1087" s="1">
        <v>152435.0</v>
      </c>
      <c r="H1087" s="1">
        <v>4437.0</v>
      </c>
      <c r="I1087" s="1">
        <v>2.55E7</v>
      </c>
      <c r="J1087" s="1" t="s">
        <v>2468</v>
      </c>
    </row>
    <row r="1088">
      <c r="A1088" s="1" t="s">
        <v>3288</v>
      </c>
      <c r="B1088" s="1" t="s">
        <v>3289</v>
      </c>
      <c r="C1088" s="1" t="s">
        <v>3290</v>
      </c>
      <c r="D1088" s="1" t="s">
        <v>2463</v>
      </c>
      <c r="E1088" s="1" t="s">
        <v>2464</v>
      </c>
      <c r="F1088" s="1">
        <v>4768375.0</v>
      </c>
      <c r="G1088" s="1">
        <v>160935.0</v>
      </c>
      <c r="H1088" s="1">
        <v>9941.0</v>
      </c>
      <c r="I1088" s="1">
        <v>2.55E7</v>
      </c>
      <c r="J1088" s="1" t="s">
        <v>2468</v>
      </c>
    </row>
    <row r="1089">
      <c r="A1089" s="1" t="s">
        <v>3291</v>
      </c>
      <c r="B1089" s="1" t="s">
        <v>3292</v>
      </c>
      <c r="C1089" s="1" t="s">
        <v>3293</v>
      </c>
      <c r="D1089" s="1" t="s">
        <v>2463</v>
      </c>
      <c r="E1089" s="1" t="s">
        <v>2464</v>
      </c>
      <c r="F1089" s="1">
        <v>2923042.0</v>
      </c>
      <c r="G1089" s="1">
        <v>170716.0</v>
      </c>
      <c r="H1089" s="1">
        <v>2253.0</v>
      </c>
      <c r="I1089" s="1">
        <v>2.55E7</v>
      </c>
      <c r="J1089" s="1" t="s">
        <v>2468</v>
      </c>
    </row>
    <row r="1090">
      <c r="A1090" s="1" t="s">
        <v>3294</v>
      </c>
      <c r="B1090" s="1" t="s">
        <v>3295</v>
      </c>
      <c r="C1090" s="1" t="s">
        <v>3296</v>
      </c>
      <c r="D1090" s="1" t="s">
        <v>2463</v>
      </c>
      <c r="E1090" s="1" t="s">
        <v>2464</v>
      </c>
      <c r="F1090" s="1">
        <v>6299995.0</v>
      </c>
      <c r="G1090" s="1">
        <v>212954.0</v>
      </c>
      <c r="H1090" s="1">
        <v>2609.0</v>
      </c>
      <c r="I1090" s="1">
        <v>2.55E7</v>
      </c>
      <c r="J1090" s="1" t="s">
        <v>2468</v>
      </c>
    </row>
    <row r="1091">
      <c r="A1091" s="1" t="s">
        <v>3297</v>
      </c>
      <c r="B1091" s="1" t="s">
        <v>3298</v>
      </c>
      <c r="C1091" s="1" t="s">
        <v>3299</v>
      </c>
      <c r="D1091" s="1" t="s">
        <v>2463</v>
      </c>
      <c r="E1091" s="1" t="s">
        <v>2464</v>
      </c>
      <c r="F1091" s="1">
        <v>1207377.0</v>
      </c>
      <c r="G1091" s="1">
        <v>45912.0</v>
      </c>
      <c r="H1091" s="1">
        <v>548.0</v>
      </c>
      <c r="I1091" s="1">
        <v>2.55E7</v>
      </c>
      <c r="J1091" s="1" t="s">
        <v>2468</v>
      </c>
    </row>
    <row r="1092">
      <c r="A1092" s="1" t="s">
        <v>3300</v>
      </c>
      <c r="B1092" s="1" t="s">
        <v>3301</v>
      </c>
      <c r="C1092" s="1" t="s">
        <v>3302</v>
      </c>
      <c r="D1092" s="1" t="s">
        <v>2463</v>
      </c>
      <c r="E1092" s="1" t="s">
        <v>2464</v>
      </c>
      <c r="F1092" s="1">
        <v>1021376.0</v>
      </c>
      <c r="G1092" s="1">
        <v>37447.0</v>
      </c>
      <c r="H1092" s="1">
        <v>637.0</v>
      </c>
      <c r="I1092" s="1">
        <v>2.55E7</v>
      </c>
      <c r="J1092" s="1" t="s">
        <v>2468</v>
      </c>
    </row>
    <row r="1093">
      <c r="A1093" s="1" t="s">
        <v>3303</v>
      </c>
      <c r="B1093" s="1" t="s">
        <v>3304</v>
      </c>
      <c r="C1093" s="1" t="s">
        <v>3305</v>
      </c>
      <c r="D1093" s="1" t="s">
        <v>2463</v>
      </c>
      <c r="E1093" s="1" t="s">
        <v>2464</v>
      </c>
      <c r="F1093" s="1">
        <v>3385982.0</v>
      </c>
      <c r="G1093" s="1">
        <v>115457.0</v>
      </c>
      <c r="H1093" s="1">
        <v>5597.0</v>
      </c>
      <c r="I1093" s="1">
        <v>2.55E7</v>
      </c>
      <c r="J1093" s="1" t="s">
        <v>2468</v>
      </c>
    </row>
    <row r="1094">
      <c r="A1094" s="1" t="s">
        <v>3306</v>
      </c>
      <c r="B1094" s="1" t="s">
        <v>3307</v>
      </c>
      <c r="C1094" s="1" t="s">
        <v>3308</v>
      </c>
      <c r="D1094" s="1" t="s">
        <v>2463</v>
      </c>
      <c r="E1094" s="1" t="s">
        <v>2464</v>
      </c>
      <c r="F1094" s="1">
        <v>2405177.0</v>
      </c>
      <c r="G1094" s="1">
        <v>125015.0</v>
      </c>
      <c r="H1094" s="1">
        <v>2919.0</v>
      </c>
      <c r="I1094" s="1">
        <v>2.55E7</v>
      </c>
      <c r="J1094" s="1" t="s">
        <v>2468</v>
      </c>
    </row>
    <row r="1095">
      <c r="A1095" s="1" t="s">
        <v>3309</v>
      </c>
      <c r="B1095" s="1" t="s">
        <v>3310</v>
      </c>
      <c r="C1095" s="1" t="s">
        <v>3311</v>
      </c>
      <c r="D1095" s="1" t="s">
        <v>2463</v>
      </c>
      <c r="E1095" s="1" t="s">
        <v>2464</v>
      </c>
      <c r="F1095" s="1">
        <v>1526817.0</v>
      </c>
      <c r="G1095" s="1">
        <v>56732.0</v>
      </c>
      <c r="H1095" s="1">
        <v>907.0</v>
      </c>
      <c r="I1095" s="1">
        <v>2.55E7</v>
      </c>
      <c r="J1095" s="1" t="s">
        <v>2468</v>
      </c>
    </row>
    <row r="1096">
      <c r="A1096" s="1" t="s">
        <v>3312</v>
      </c>
      <c r="B1096" s="1" t="s">
        <v>3313</v>
      </c>
      <c r="C1096" s="1" t="s">
        <v>3314</v>
      </c>
      <c r="D1096" s="1" t="s">
        <v>2463</v>
      </c>
      <c r="E1096" s="1" t="s">
        <v>2464</v>
      </c>
      <c r="F1096" s="1">
        <v>580074.0</v>
      </c>
      <c r="G1096" s="1">
        <v>28903.0</v>
      </c>
      <c r="H1096" s="1">
        <v>937.0</v>
      </c>
      <c r="I1096" s="1">
        <v>2.55E7</v>
      </c>
      <c r="J1096" s="1" t="s">
        <v>2468</v>
      </c>
    </row>
    <row r="1097">
      <c r="A1097" s="1" t="s">
        <v>3315</v>
      </c>
      <c r="B1097" s="1" t="s">
        <v>3316</v>
      </c>
      <c r="C1097" s="1" t="s">
        <v>3317</v>
      </c>
      <c r="D1097" s="1" t="s">
        <v>2463</v>
      </c>
      <c r="E1097" s="1" t="s">
        <v>2464</v>
      </c>
      <c r="F1097" s="1">
        <v>6390923.0</v>
      </c>
      <c r="G1097" s="1">
        <v>169379.0</v>
      </c>
      <c r="H1097" s="1">
        <v>9119.0</v>
      </c>
      <c r="I1097" s="1">
        <v>2.55E7</v>
      </c>
      <c r="J1097" s="1" t="s">
        <v>2468</v>
      </c>
    </row>
    <row r="1098">
      <c r="A1098" s="1" t="s">
        <v>3318</v>
      </c>
      <c r="B1098" s="1" t="s">
        <v>3319</v>
      </c>
      <c r="C1098" s="1" t="s">
        <v>3320</v>
      </c>
      <c r="D1098" s="1" t="s">
        <v>2463</v>
      </c>
      <c r="E1098" s="1" t="s">
        <v>2464</v>
      </c>
      <c r="F1098" s="1">
        <v>2854118.0</v>
      </c>
      <c r="G1098" s="1">
        <v>107722.0</v>
      </c>
      <c r="H1098" s="1">
        <v>1612.0</v>
      </c>
      <c r="I1098" s="1">
        <v>2.55E7</v>
      </c>
      <c r="J1098" s="1" t="s">
        <v>2468</v>
      </c>
    </row>
    <row r="1099">
      <c r="A1099" s="1" t="s">
        <v>3321</v>
      </c>
      <c r="B1099" s="1" t="s">
        <v>3322</v>
      </c>
      <c r="C1099" s="1" t="s">
        <v>3323</v>
      </c>
      <c r="D1099" s="1" t="s">
        <v>2463</v>
      </c>
      <c r="E1099" s="1" t="s">
        <v>2464</v>
      </c>
      <c r="F1099" s="1">
        <v>9622432.0</v>
      </c>
      <c r="G1099" s="1">
        <v>367343.0</v>
      </c>
      <c r="H1099" s="1">
        <v>22566.0</v>
      </c>
      <c r="I1099" s="1">
        <v>2.55E7</v>
      </c>
      <c r="J1099" s="1" t="s">
        <v>2468</v>
      </c>
    </row>
    <row r="1100">
      <c r="A1100" s="1" t="s">
        <v>3324</v>
      </c>
      <c r="B1100" s="1" t="s">
        <v>3325</v>
      </c>
      <c r="C1100" s="1" t="s">
        <v>3326</v>
      </c>
      <c r="D1100" s="1" t="s">
        <v>2463</v>
      </c>
      <c r="E1100" s="1" t="s">
        <v>2464</v>
      </c>
      <c r="F1100" s="1">
        <v>1225418.0</v>
      </c>
      <c r="G1100" s="1">
        <v>65640.0</v>
      </c>
      <c r="H1100" s="1">
        <v>1095.0</v>
      </c>
      <c r="I1100" s="1">
        <v>2.55E7</v>
      </c>
      <c r="J1100" s="1" t="s">
        <v>2468</v>
      </c>
    </row>
    <row r="1101">
      <c r="A1101" s="1" t="s">
        <v>3327</v>
      </c>
      <c r="B1101" s="1" t="s">
        <v>3328</v>
      </c>
      <c r="C1101" s="1" t="s">
        <v>3329</v>
      </c>
      <c r="D1101" s="1" t="s">
        <v>2463</v>
      </c>
      <c r="E1101" s="1" t="s">
        <v>2464</v>
      </c>
      <c r="F1101" s="1">
        <v>5492579.0</v>
      </c>
      <c r="G1101" s="1">
        <v>161209.0</v>
      </c>
      <c r="H1101" s="1">
        <v>10931.0</v>
      </c>
      <c r="I1101" s="1">
        <v>2.55E7</v>
      </c>
      <c r="J1101" s="1" t="s">
        <v>2468</v>
      </c>
    </row>
    <row r="1102">
      <c r="A1102" s="1" t="s">
        <v>3330</v>
      </c>
      <c r="B1102" s="1" t="s">
        <v>3331</v>
      </c>
      <c r="C1102" s="1" t="s">
        <v>3332</v>
      </c>
      <c r="D1102" s="1" t="s">
        <v>2463</v>
      </c>
      <c r="E1102" s="1" t="s">
        <v>2464</v>
      </c>
      <c r="F1102" s="1">
        <v>883052.0</v>
      </c>
      <c r="G1102" s="1">
        <v>29478.0</v>
      </c>
      <c r="H1102" s="1">
        <v>757.0</v>
      </c>
      <c r="I1102" s="1">
        <v>2.55E7</v>
      </c>
      <c r="J1102" s="1" t="s">
        <v>2468</v>
      </c>
    </row>
    <row r="1103">
      <c r="A1103" s="1" t="s">
        <v>3333</v>
      </c>
      <c r="B1103" s="1" t="s">
        <v>3334</v>
      </c>
      <c r="C1103" s="1" t="s">
        <v>3335</v>
      </c>
      <c r="D1103" s="1" t="s">
        <v>2463</v>
      </c>
      <c r="E1103" s="1" t="s">
        <v>2464</v>
      </c>
      <c r="F1103" s="1">
        <v>5998344.0</v>
      </c>
      <c r="G1103" s="1">
        <v>198938.0</v>
      </c>
      <c r="H1103" s="1">
        <v>7880.0</v>
      </c>
      <c r="I1103" s="1">
        <v>2.55E7</v>
      </c>
      <c r="J1103" s="1" t="s">
        <v>2468</v>
      </c>
    </row>
    <row r="1104">
      <c r="A1104" s="1" t="s">
        <v>3336</v>
      </c>
      <c r="B1104" s="1" t="s">
        <v>3337</v>
      </c>
      <c r="C1104" s="1" t="s">
        <v>3338</v>
      </c>
      <c r="D1104" s="1" t="s">
        <v>2463</v>
      </c>
      <c r="E1104" s="1" t="s">
        <v>2464</v>
      </c>
      <c r="F1104" s="1">
        <v>7849671.0</v>
      </c>
      <c r="G1104" s="1">
        <v>332122.0</v>
      </c>
      <c r="H1104" s="1">
        <v>5966.0</v>
      </c>
      <c r="I1104" s="1">
        <v>2.55E7</v>
      </c>
      <c r="J1104" s="1" t="s">
        <v>2468</v>
      </c>
    </row>
    <row r="1105">
      <c r="A1105" s="1" t="s">
        <v>3339</v>
      </c>
      <c r="B1105" s="1" t="s">
        <v>3340</v>
      </c>
      <c r="C1105" s="1" t="s">
        <v>3341</v>
      </c>
      <c r="D1105" s="1" t="s">
        <v>2463</v>
      </c>
      <c r="E1105" s="1" t="s">
        <v>2464</v>
      </c>
      <c r="F1105" s="1">
        <v>2522166.0</v>
      </c>
      <c r="G1105" s="1">
        <v>89273.0</v>
      </c>
      <c r="H1105" s="1">
        <v>865.0</v>
      </c>
      <c r="I1105" s="1">
        <v>2.55E7</v>
      </c>
      <c r="J1105" s="1" t="s">
        <v>2468</v>
      </c>
    </row>
    <row r="1106">
      <c r="A1106" s="1" t="s">
        <v>3342</v>
      </c>
      <c r="B1106" s="1" t="s">
        <v>3343</v>
      </c>
      <c r="C1106" s="1" t="s">
        <v>3344</v>
      </c>
      <c r="D1106" s="1" t="s">
        <v>2463</v>
      </c>
      <c r="E1106" s="1" t="s">
        <v>2464</v>
      </c>
      <c r="F1106" s="1">
        <v>1.5644677E7</v>
      </c>
      <c r="G1106" s="1">
        <v>501959.0</v>
      </c>
      <c r="H1106" s="1">
        <v>76639.0</v>
      </c>
      <c r="I1106" s="1">
        <v>2.55E7</v>
      </c>
      <c r="J1106" s="1" t="s">
        <v>2468</v>
      </c>
    </row>
    <row r="1107">
      <c r="A1107" s="1" t="s">
        <v>3345</v>
      </c>
      <c r="B1107" s="1" t="s">
        <v>3346</v>
      </c>
      <c r="C1107" s="1" t="s">
        <v>3347</v>
      </c>
      <c r="D1107" s="1" t="s">
        <v>2463</v>
      </c>
      <c r="E1107" s="1" t="s">
        <v>2464</v>
      </c>
      <c r="F1107" s="1">
        <v>3462084.0</v>
      </c>
      <c r="G1107" s="1">
        <v>146005.0</v>
      </c>
      <c r="H1107" s="1">
        <v>1644.0</v>
      </c>
      <c r="I1107" s="1">
        <v>2.55E7</v>
      </c>
      <c r="J1107" s="1" t="s">
        <v>2468</v>
      </c>
    </row>
    <row r="1108">
      <c r="A1108" s="1" t="s">
        <v>3348</v>
      </c>
      <c r="B1108" s="1" t="s">
        <v>3349</v>
      </c>
      <c r="C1108" s="1" t="s">
        <v>3350</v>
      </c>
      <c r="D1108" s="1" t="s">
        <v>2463</v>
      </c>
      <c r="E1108" s="1" t="s">
        <v>2464</v>
      </c>
      <c r="F1108" s="1">
        <v>7727142.0</v>
      </c>
      <c r="G1108" s="1">
        <v>324851.0</v>
      </c>
      <c r="H1108" s="1">
        <v>16017.0</v>
      </c>
      <c r="I1108" s="1">
        <v>2.55E7</v>
      </c>
      <c r="J1108" s="1" t="s">
        <v>2468</v>
      </c>
    </row>
    <row r="1109">
      <c r="A1109" s="1" t="s">
        <v>3351</v>
      </c>
      <c r="B1109" s="1" t="s">
        <v>3352</v>
      </c>
      <c r="C1109" s="1" t="s">
        <v>3353</v>
      </c>
      <c r="D1109" s="1" t="s">
        <v>2463</v>
      </c>
      <c r="E1109" s="1" t="s">
        <v>2464</v>
      </c>
      <c r="F1109" s="1">
        <v>1.0344212E7</v>
      </c>
      <c r="G1109" s="1">
        <v>572624.0</v>
      </c>
      <c r="H1109" s="1">
        <v>3176.0</v>
      </c>
      <c r="I1109" s="1">
        <v>2.55E7</v>
      </c>
      <c r="J1109" s="1" t="s">
        <v>2468</v>
      </c>
    </row>
    <row r="1110">
      <c r="A1110" s="1" t="s">
        <v>3354</v>
      </c>
      <c r="B1110" s="1" t="s">
        <v>3355</v>
      </c>
      <c r="C1110" s="1" t="s">
        <v>3356</v>
      </c>
      <c r="D1110" s="1" t="s">
        <v>2463</v>
      </c>
      <c r="E1110" s="1" t="s">
        <v>2464</v>
      </c>
      <c r="F1110" s="1">
        <v>8616517.0</v>
      </c>
      <c r="G1110" s="1">
        <v>463620.0</v>
      </c>
      <c r="H1110" s="1">
        <v>4427.0</v>
      </c>
      <c r="I1110" s="1">
        <v>2.55E7</v>
      </c>
      <c r="J1110" s="1" t="s">
        <v>2468</v>
      </c>
    </row>
    <row r="1111">
      <c r="A1111" s="1" t="s">
        <v>3357</v>
      </c>
      <c r="B1111" s="1" t="s">
        <v>3358</v>
      </c>
      <c r="C1111" s="1" t="s">
        <v>3359</v>
      </c>
      <c r="D1111" s="1" t="s">
        <v>2463</v>
      </c>
      <c r="E1111" s="1" t="s">
        <v>2464</v>
      </c>
      <c r="F1111" s="1">
        <v>6147892.0</v>
      </c>
      <c r="G1111" s="1">
        <v>268553.0</v>
      </c>
      <c r="H1111" s="1">
        <v>26285.0</v>
      </c>
      <c r="I1111" s="1">
        <v>2.55E7</v>
      </c>
      <c r="J1111" s="1" t="s">
        <v>2468</v>
      </c>
    </row>
    <row r="1112">
      <c r="A1112" s="1" t="s">
        <v>3360</v>
      </c>
      <c r="B1112" s="1" t="s">
        <v>3361</v>
      </c>
      <c r="C1112" s="1" t="s">
        <v>3362</v>
      </c>
      <c r="D1112" s="1" t="s">
        <v>2463</v>
      </c>
      <c r="E1112" s="1" t="s">
        <v>2464</v>
      </c>
      <c r="F1112" s="1">
        <v>1109269.0</v>
      </c>
      <c r="G1112" s="1">
        <v>58630.0</v>
      </c>
      <c r="H1112" s="1">
        <v>712.0</v>
      </c>
      <c r="I1112" s="1">
        <v>2.55E7</v>
      </c>
      <c r="J1112" s="1" t="s">
        <v>2468</v>
      </c>
    </row>
    <row r="1113">
      <c r="A1113" s="1" t="s">
        <v>3363</v>
      </c>
      <c r="B1113" s="1" t="s">
        <v>3364</v>
      </c>
      <c r="C1113" s="1" t="s">
        <v>3365</v>
      </c>
      <c r="D1113" s="1" t="s">
        <v>2463</v>
      </c>
      <c r="E1113" s="1" t="s">
        <v>2464</v>
      </c>
      <c r="F1113" s="1">
        <v>1571801.0</v>
      </c>
      <c r="G1113" s="1">
        <v>107285.0</v>
      </c>
      <c r="H1113" s="1">
        <v>2215.0</v>
      </c>
      <c r="I1113" s="1">
        <v>2.55E7</v>
      </c>
      <c r="J1113" s="1" t="s">
        <v>2468</v>
      </c>
    </row>
    <row r="1114">
      <c r="A1114" s="1" t="s">
        <v>3366</v>
      </c>
      <c r="B1114" s="1" t="s">
        <v>3367</v>
      </c>
      <c r="C1114" s="1" t="s">
        <v>3368</v>
      </c>
      <c r="D1114" s="1" t="s">
        <v>2463</v>
      </c>
      <c r="E1114" s="1" t="s">
        <v>2464</v>
      </c>
      <c r="F1114" s="1">
        <v>1.0994497E7</v>
      </c>
      <c r="G1114" s="1">
        <v>271252.0</v>
      </c>
      <c r="H1114" s="1">
        <v>9301.0</v>
      </c>
      <c r="I1114" s="1">
        <v>2.55E7</v>
      </c>
      <c r="J1114" s="1" t="s">
        <v>2468</v>
      </c>
    </row>
    <row r="1115">
      <c r="A1115" s="1" t="s">
        <v>3369</v>
      </c>
      <c r="B1115" s="1" t="s">
        <v>3370</v>
      </c>
      <c r="C1115" s="1" t="s">
        <v>3371</v>
      </c>
      <c r="D1115" s="1" t="s">
        <v>2463</v>
      </c>
      <c r="E1115" s="1" t="s">
        <v>2464</v>
      </c>
      <c r="F1115" s="1">
        <v>3850144.0</v>
      </c>
      <c r="G1115" s="1">
        <v>256352.0</v>
      </c>
      <c r="H1115" s="1">
        <v>1336.0</v>
      </c>
      <c r="I1115" s="1">
        <v>2.55E7</v>
      </c>
      <c r="J1115" s="1" t="s">
        <v>2468</v>
      </c>
    </row>
    <row r="1116">
      <c r="A1116" s="1" t="s">
        <v>3372</v>
      </c>
      <c r="B1116" s="1" t="s">
        <v>3373</v>
      </c>
      <c r="C1116" s="1" t="s">
        <v>3374</v>
      </c>
      <c r="D1116" s="1" t="s">
        <v>2463</v>
      </c>
      <c r="E1116" s="1" t="s">
        <v>2464</v>
      </c>
      <c r="F1116" s="1">
        <v>4416089.0</v>
      </c>
      <c r="G1116" s="1">
        <v>329708.0</v>
      </c>
      <c r="H1116" s="1">
        <v>4761.0</v>
      </c>
      <c r="I1116" s="1">
        <v>2.55E7</v>
      </c>
      <c r="J1116" s="1" t="s">
        <v>2468</v>
      </c>
    </row>
    <row r="1117">
      <c r="A1117" s="1" t="s">
        <v>3375</v>
      </c>
      <c r="B1117" s="1" t="s">
        <v>3376</v>
      </c>
      <c r="C1117" s="1" t="s">
        <v>3377</v>
      </c>
      <c r="D1117" s="1" t="s">
        <v>2463</v>
      </c>
      <c r="E1117" s="1" t="s">
        <v>2464</v>
      </c>
      <c r="F1117" s="1">
        <v>5045975.0</v>
      </c>
      <c r="G1117" s="1">
        <v>384107.0</v>
      </c>
      <c r="H1117" s="1">
        <v>7788.0</v>
      </c>
      <c r="I1117" s="1">
        <v>2.55E7</v>
      </c>
      <c r="J1117" s="1" t="s">
        <v>2468</v>
      </c>
    </row>
    <row r="1118">
      <c r="A1118" s="1" t="s">
        <v>3378</v>
      </c>
      <c r="B1118" s="1" t="s">
        <v>3379</v>
      </c>
      <c r="C1118" s="1" t="s">
        <v>3380</v>
      </c>
      <c r="D1118" s="1" t="s">
        <v>2463</v>
      </c>
      <c r="E1118" s="1" t="s">
        <v>2464</v>
      </c>
      <c r="F1118" s="1">
        <v>1853221.0</v>
      </c>
      <c r="G1118" s="1">
        <v>107730.0</v>
      </c>
      <c r="H1118" s="1">
        <v>1741.0</v>
      </c>
      <c r="I1118" s="1">
        <v>2.55E7</v>
      </c>
      <c r="J1118" s="1" t="s">
        <v>2468</v>
      </c>
    </row>
    <row r="1119">
      <c r="A1119" s="1" t="s">
        <v>3381</v>
      </c>
      <c r="B1119" s="1" t="s">
        <v>3382</v>
      </c>
      <c r="C1119" s="1" t="s">
        <v>3383</v>
      </c>
      <c r="D1119" s="1" t="s">
        <v>2463</v>
      </c>
      <c r="E1119" s="1" t="s">
        <v>2464</v>
      </c>
      <c r="F1119" s="1">
        <v>2102580.0</v>
      </c>
      <c r="G1119" s="1">
        <v>151213.0</v>
      </c>
      <c r="H1119" s="1">
        <v>2219.0</v>
      </c>
      <c r="I1119" s="1">
        <v>2.55E7</v>
      </c>
      <c r="J1119" s="1" t="s">
        <v>2468</v>
      </c>
    </row>
    <row r="1120">
      <c r="A1120" s="1" t="s">
        <v>3384</v>
      </c>
      <c r="B1120" s="1" t="s">
        <v>3385</v>
      </c>
      <c r="C1120" s="1" t="s">
        <v>3386</v>
      </c>
      <c r="D1120" s="1" t="s">
        <v>2463</v>
      </c>
      <c r="E1120" s="1" t="s">
        <v>2464</v>
      </c>
      <c r="F1120" s="1">
        <v>2524612.0</v>
      </c>
      <c r="G1120" s="1">
        <v>163879.0</v>
      </c>
      <c r="H1120" s="1">
        <v>3268.0</v>
      </c>
      <c r="I1120" s="1">
        <v>2.55E7</v>
      </c>
      <c r="J1120" s="1" t="s">
        <v>2468</v>
      </c>
    </row>
    <row r="1121">
      <c r="A1121" s="1" t="s">
        <v>3387</v>
      </c>
      <c r="B1121" s="1" t="s">
        <v>3388</v>
      </c>
      <c r="C1121" s="1" t="s">
        <v>3389</v>
      </c>
      <c r="D1121" s="1" t="s">
        <v>2463</v>
      </c>
      <c r="E1121" s="1" t="s">
        <v>2464</v>
      </c>
      <c r="F1121" s="1">
        <v>2663063.0</v>
      </c>
      <c r="G1121" s="1">
        <v>158621.0</v>
      </c>
      <c r="H1121" s="1">
        <v>2481.0</v>
      </c>
      <c r="I1121" s="1">
        <v>2.55E7</v>
      </c>
      <c r="J1121" s="1" t="s">
        <v>2468</v>
      </c>
    </row>
    <row r="1122">
      <c r="A1122" s="1" t="s">
        <v>3390</v>
      </c>
      <c r="B1122" s="1" t="s">
        <v>3391</v>
      </c>
      <c r="C1122" s="1" t="s">
        <v>3392</v>
      </c>
      <c r="D1122" s="1" t="s">
        <v>2463</v>
      </c>
      <c r="E1122" s="1" t="s">
        <v>2464</v>
      </c>
      <c r="F1122" s="1">
        <v>8308657.0</v>
      </c>
      <c r="G1122" s="1">
        <v>216165.0</v>
      </c>
      <c r="H1122" s="1">
        <v>7669.0</v>
      </c>
      <c r="I1122" s="1">
        <v>2.55E7</v>
      </c>
      <c r="J1122" s="1" t="s">
        <v>2468</v>
      </c>
    </row>
    <row r="1123">
      <c r="A1123" s="1" t="s">
        <v>3393</v>
      </c>
      <c r="B1123" s="1" t="s">
        <v>3394</v>
      </c>
      <c r="C1123" s="1" t="s">
        <v>3395</v>
      </c>
      <c r="D1123" s="1" t="s">
        <v>2463</v>
      </c>
      <c r="E1123" s="1" t="s">
        <v>2464</v>
      </c>
      <c r="F1123" s="1">
        <v>4639552.0</v>
      </c>
      <c r="G1123" s="1">
        <v>200159.0</v>
      </c>
      <c r="H1123" s="1">
        <v>26569.0</v>
      </c>
      <c r="I1123" s="1">
        <v>2.55E7</v>
      </c>
      <c r="J1123" s="1" t="s">
        <v>2468</v>
      </c>
    </row>
    <row r="1124">
      <c r="A1124" s="1" t="s">
        <v>3396</v>
      </c>
      <c r="B1124" s="1" t="s">
        <v>3397</v>
      </c>
      <c r="C1124" s="1" t="s">
        <v>3398</v>
      </c>
      <c r="D1124" s="1" t="s">
        <v>2463</v>
      </c>
      <c r="E1124" s="1" t="s">
        <v>2464</v>
      </c>
      <c r="F1124" s="1">
        <v>9648206.0</v>
      </c>
      <c r="G1124" s="1">
        <v>257012.0</v>
      </c>
      <c r="H1124" s="1">
        <v>10867.0</v>
      </c>
      <c r="I1124" s="1">
        <v>2.55E7</v>
      </c>
      <c r="J1124" s="1" t="s">
        <v>2468</v>
      </c>
    </row>
    <row r="1125">
      <c r="A1125" s="1" t="s">
        <v>3399</v>
      </c>
      <c r="B1125" s="1" t="s">
        <v>3400</v>
      </c>
      <c r="C1125" s="1" t="s">
        <v>3401</v>
      </c>
      <c r="D1125" s="1" t="s">
        <v>2463</v>
      </c>
      <c r="E1125" s="1" t="s">
        <v>2464</v>
      </c>
      <c r="F1125" s="1">
        <v>5731173.0</v>
      </c>
      <c r="G1125" s="1">
        <v>393109.0</v>
      </c>
      <c r="H1125" s="1">
        <v>3437.0</v>
      </c>
      <c r="I1125" s="1">
        <v>2.55E7</v>
      </c>
      <c r="J1125" s="1" t="s">
        <v>2468</v>
      </c>
    </row>
    <row r="1126">
      <c r="A1126" s="1" t="s">
        <v>3402</v>
      </c>
      <c r="B1126" s="1" t="s">
        <v>3403</v>
      </c>
      <c r="C1126" s="1" t="s">
        <v>3404</v>
      </c>
      <c r="D1126" s="1" t="s">
        <v>2463</v>
      </c>
      <c r="E1126" s="1" t="s">
        <v>2464</v>
      </c>
      <c r="F1126" s="1">
        <v>8776855.0</v>
      </c>
      <c r="G1126" s="1">
        <v>330965.0</v>
      </c>
      <c r="H1126" s="1">
        <v>16246.0</v>
      </c>
      <c r="I1126" s="1">
        <v>2.55E7</v>
      </c>
      <c r="J1126" s="1" t="s">
        <v>2468</v>
      </c>
    </row>
    <row r="1127">
      <c r="A1127" s="1" t="s">
        <v>3405</v>
      </c>
      <c r="B1127" s="1" t="s">
        <v>3406</v>
      </c>
      <c r="C1127" s="1" t="s">
        <v>3407</v>
      </c>
      <c r="D1127" s="1" t="s">
        <v>2463</v>
      </c>
      <c r="E1127" s="1" t="s">
        <v>2464</v>
      </c>
      <c r="F1127" s="1">
        <v>1.2441709E7</v>
      </c>
      <c r="G1127" s="1">
        <v>497685.0</v>
      </c>
      <c r="H1127" s="1">
        <v>33684.0</v>
      </c>
      <c r="I1127" s="1">
        <v>2.55E7</v>
      </c>
      <c r="J1127" s="1" t="s">
        <v>2468</v>
      </c>
    </row>
    <row r="1128">
      <c r="A1128" s="1" t="s">
        <v>3408</v>
      </c>
      <c r="B1128" s="1" t="s">
        <v>3409</v>
      </c>
      <c r="C1128" s="1" t="s">
        <v>3410</v>
      </c>
      <c r="D1128" s="1" t="s">
        <v>2463</v>
      </c>
      <c r="E1128" s="1" t="s">
        <v>2464</v>
      </c>
      <c r="F1128" s="1">
        <v>1.4400657E7</v>
      </c>
      <c r="G1128" s="1">
        <v>340499.0</v>
      </c>
      <c r="H1128" s="1">
        <v>15499.0</v>
      </c>
      <c r="I1128" s="1">
        <v>2.55E7</v>
      </c>
      <c r="J1128" s="1" t="s">
        <v>2468</v>
      </c>
    </row>
    <row r="1129">
      <c r="A1129" s="1" t="s">
        <v>3411</v>
      </c>
      <c r="B1129" s="1" t="s">
        <v>3412</v>
      </c>
      <c r="C1129" s="1" t="s">
        <v>3413</v>
      </c>
      <c r="D1129" s="1" t="s">
        <v>2463</v>
      </c>
      <c r="E1129" s="1" t="s">
        <v>2464</v>
      </c>
      <c r="F1129" s="1">
        <v>9075290.0</v>
      </c>
      <c r="G1129" s="1">
        <v>433535.0</v>
      </c>
      <c r="H1129" s="1">
        <v>15330.0</v>
      </c>
      <c r="I1129" s="1">
        <v>2.55E7</v>
      </c>
      <c r="J1129" s="1" t="s">
        <v>2468</v>
      </c>
    </row>
    <row r="1130">
      <c r="A1130" s="1" t="s">
        <v>3414</v>
      </c>
      <c r="B1130" s="1" t="s">
        <v>3415</v>
      </c>
      <c r="C1130" s="1" t="s">
        <v>3416</v>
      </c>
      <c r="D1130" s="1" t="s">
        <v>2463</v>
      </c>
      <c r="E1130" s="1" t="s">
        <v>2464</v>
      </c>
      <c r="F1130" s="1">
        <v>8257925.0</v>
      </c>
      <c r="G1130" s="1">
        <v>432847.0</v>
      </c>
      <c r="H1130" s="1">
        <v>3134.0</v>
      </c>
      <c r="I1130" s="1">
        <v>2.55E7</v>
      </c>
      <c r="J1130" s="1" t="s">
        <v>2468</v>
      </c>
    </row>
    <row r="1131">
      <c r="A1131" s="1" t="s">
        <v>3417</v>
      </c>
      <c r="B1131" s="1" t="s">
        <v>3418</v>
      </c>
      <c r="C1131" s="1" t="s">
        <v>3419</v>
      </c>
      <c r="D1131" s="1" t="s">
        <v>2463</v>
      </c>
      <c r="E1131" s="1" t="s">
        <v>2464</v>
      </c>
      <c r="F1131" s="1">
        <v>5015333.0</v>
      </c>
      <c r="G1131" s="1">
        <v>280227.0</v>
      </c>
      <c r="H1131" s="1">
        <v>3322.0</v>
      </c>
      <c r="I1131" s="1">
        <v>2.55E7</v>
      </c>
      <c r="J1131" s="1" t="s">
        <v>2468</v>
      </c>
    </row>
    <row r="1132">
      <c r="A1132" s="1" t="s">
        <v>3420</v>
      </c>
      <c r="B1132" s="1" t="s">
        <v>3421</v>
      </c>
      <c r="C1132" s="1" t="s">
        <v>3422</v>
      </c>
      <c r="D1132" s="1" t="s">
        <v>2463</v>
      </c>
      <c r="E1132" s="1" t="s">
        <v>2464</v>
      </c>
      <c r="F1132" s="1">
        <v>6526837.0</v>
      </c>
      <c r="G1132" s="1">
        <v>298919.0</v>
      </c>
      <c r="H1132" s="1">
        <v>12282.0</v>
      </c>
      <c r="I1132" s="1">
        <v>2.55E7</v>
      </c>
      <c r="J1132" s="1" t="s">
        <v>2468</v>
      </c>
    </row>
    <row r="1133">
      <c r="A1133" s="1" t="s">
        <v>3423</v>
      </c>
      <c r="B1133" s="1" t="s">
        <v>3424</v>
      </c>
      <c r="C1133" s="1" t="s">
        <v>3425</v>
      </c>
      <c r="D1133" s="1" t="s">
        <v>2463</v>
      </c>
      <c r="E1133" s="1" t="s">
        <v>2464</v>
      </c>
      <c r="F1133" s="1">
        <v>8530754.0</v>
      </c>
      <c r="G1133" s="1">
        <v>236034.0</v>
      </c>
      <c r="H1133" s="1">
        <v>8359.0</v>
      </c>
      <c r="I1133" s="1">
        <v>2.55E7</v>
      </c>
      <c r="J1133" s="1" t="s">
        <v>2468</v>
      </c>
    </row>
    <row r="1134">
      <c r="A1134" s="1" t="s">
        <v>3426</v>
      </c>
      <c r="B1134" s="1" t="s">
        <v>3427</v>
      </c>
      <c r="C1134" s="1" t="s">
        <v>3428</v>
      </c>
      <c r="D1134" s="1" t="s">
        <v>2463</v>
      </c>
      <c r="E1134" s="1" t="s">
        <v>2464</v>
      </c>
      <c r="F1134" s="1">
        <v>5526871.0</v>
      </c>
      <c r="G1134" s="1">
        <v>398592.0</v>
      </c>
      <c r="H1134" s="1">
        <v>24865.0</v>
      </c>
      <c r="I1134" s="1">
        <v>2.55E7</v>
      </c>
      <c r="J1134" s="1" t="s">
        <v>2468</v>
      </c>
    </row>
    <row r="1135">
      <c r="A1135" s="1" t="s">
        <v>3429</v>
      </c>
      <c r="B1135" s="1" t="s">
        <v>3430</v>
      </c>
      <c r="C1135" s="1" t="s">
        <v>3431</v>
      </c>
      <c r="D1135" s="1" t="s">
        <v>2463</v>
      </c>
      <c r="E1135" s="1" t="s">
        <v>2464</v>
      </c>
      <c r="F1135" s="1">
        <v>5510798.0</v>
      </c>
      <c r="G1135" s="1">
        <v>189295.0</v>
      </c>
      <c r="H1135" s="1">
        <v>4573.0</v>
      </c>
      <c r="I1135" s="1">
        <v>2.55E7</v>
      </c>
      <c r="J1135" s="1" t="s">
        <v>2468</v>
      </c>
    </row>
    <row r="1136">
      <c r="A1136" s="1" t="s">
        <v>3432</v>
      </c>
      <c r="B1136" s="1" t="s">
        <v>3433</v>
      </c>
      <c r="C1136" s="1" t="s">
        <v>3434</v>
      </c>
      <c r="D1136" s="1" t="s">
        <v>2463</v>
      </c>
      <c r="E1136" s="1" t="s">
        <v>2464</v>
      </c>
      <c r="F1136" s="1">
        <v>5778625.0</v>
      </c>
      <c r="G1136" s="1">
        <v>189044.0</v>
      </c>
      <c r="H1136" s="1">
        <v>6424.0</v>
      </c>
      <c r="I1136" s="1">
        <v>2.55E7</v>
      </c>
      <c r="J1136" s="1" t="s">
        <v>2468</v>
      </c>
    </row>
    <row r="1137">
      <c r="A1137" s="1" t="s">
        <v>3435</v>
      </c>
      <c r="B1137" s="1" t="s">
        <v>3436</v>
      </c>
      <c r="C1137" s="1" t="s">
        <v>3437</v>
      </c>
      <c r="D1137" s="1" t="s">
        <v>2463</v>
      </c>
      <c r="E1137" s="1" t="s">
        <v>2464</v>
      </c>
      <c r="F1137" s="1">
        <v>5900119.0</v>
      </c>
      <c r="G1137" s="1">
        <v>374469.0</v>
      </c>
      <c r="H1137" s="1">
        <v>1511.0</v>
      </c>
      <c r="I1137" s="1">
        <v>2.55E7</v>
      </c>
      <c r="J1137" s="1" t="s">
        <v>2468</v>
      </c>
    </row>
    <row r="1138">
      <c r="A1138" s="1" t="s">
        <v>3438</v>
      </c>
      <c r="B1138" s="1" t="s">
        <v>3439</v>
      </c>
      <c r="C1138" s="1" t="s">
        <v>3440</v>
      </c>
      <c r="D1138" s="1" t="s">
        <v>2463</v>
      </c>
      <c r="E1138" s="1" t="s">
        <v>2464</v>
      </c>
      <c r="F1138" s="1">
        <v>8645049.0</v>
      </c>
      <c r="G1138" s="1">
        <v>427557.0</v>
      </c>
      <c r="H1138" s="1">
        <v>3488.0</v>
      </c>
      <c r="I1138" s="1">
        <v>2.55E7</v>
      </c>
      <c r="J1138" s="1" t="s">
        <v>2468</v>
      </c>
    </row>
    <row r="1139">
      <c r="A1139" s="1" t="s">
        <v>3441</v>
      </c>
      <c r="B1139" s="1" t="s">
        <v>3442</v>
      </c>
      <c r="C1139" s="1" t="s">
        <v>3443</v>
      </c>
      <c r="D1139" s="1" t="s">
        <v>2463</v>
      </c>
      <c r="E1139" s="1" t="s">
        <v>2464</v>
      </c>
      <c r="F1139" s="1">
        <v>3304496.0</v>
      </c>
      <c r="G1139" s="1">
        <v>196128.0</v>
      </c>
      <c r="H1139" s="1">
        <v>2122.0</v>
      </c>
      <c r="I1139" s="1">
        <v>2.55E7</v>
      </c>
      <c r="J1139" s="1" t="s">
        <v>2468</v>
      </c>
    </row>
    <row r="1140">
      <c r="A1140" s="1" t="s">
        <v>3444</v>
      </c>
      <c r="B1140" s="1" t="s">
        <v>3445</v>
      </c>
      <c r="C1140" s="1" t="s">
        <v>3446</v>
      </c>
      <c r="D1140" s="1" t="s">
        <v>2463</v>
      </c>
      <c r="E1140" s="1" t="s">
        <v>2464</v>
      </c>
      <c r="F1140" s="1">
        <v>9371630.0</v>
      </c>
      <c r="G1140" s="1">
        <v>282486.0</v>
      </c>
      <c r="H1140" s="1">
        <v>10000.0</v>
      </c>
      <c r="I1140" s="1">
        <v>2.55E7</v>
      </c>
      <c r="J1140" s="1" t="s">
        <v>2468</v>
      </c>
    </row>
    <row r="1141">
      <c r="A1141" s="1" t="s">
        <v>3447</v>
      </c>
      <c r="B1141" s="1" t="s">
        <v>3448</v>
      </c>
      <c r="C1141" s="1" t="s">
        <v>3449</v>
      </c>
      <c r="D1141" s="1" t="s">
        <v>2463</v>
      </c>
      <c r="E1141" s="1" t="s">
        <v>2464</v>
      </c>
      <c r="F1141" s="1">
        <v>1.1237984E7</v>
      </c>
      <c r="G1141" s="1">
        <v>796237.0</v>
      </c>
      <c r="H1141" s="1">
        <v>13540.0</v>
      </c>
      <c r="I1141" s="1">
        <v>2.55E7</v>
      </c>
      <c r="J1141" s="1" t="s">
        <v>2468</v>
      </c>
    </row>
    <row r="1142">
      <c r="A1142" s="1" t="s">
        <v>3450</v>
      </c>
      <c r="B1142" s="1" t="s">
        <v>3451</v>
      </c>
      <c r="C1142" s="1" t="s">
        <v>3452</v>
      </c>
      <c r="D1142" s="1" t="s">
        <v>2463</v>
      </c>
      <c r="E1142" s="1" t="s">
        <v>2464</v>
      </c>
      <c r="F1142" s="1">
        <v>1.0974975E7</v>
      </c>
      <c r="G1142" s="1">
        <v>356240.0</v>
      </c>
      <c r="H1142" s="1">
        <v>12479.0</v>
      </c>
      <c r="I1142" s="1">
        <v>2.55E7</v>
      </c>
      <c r="J1142" s="1" t="s">
        <v>2468</v>
      </c>
    </row>
    <row r="1143">
      <c r="A1143" s="1" t="s">
        <v>3453</v>
      </c>
      <c r="B1143" s="1" t="s">
        <v>3454</v>
      </c>
      <c r="C1143" s="1" t="s">
        <v>3455</v>
      </c>
      <c r="D1143" s="1" t="s">
        <v>2463</v>
      </c>
      <c r="E1143" s="1" t="s">
        <v>2464</v>
      </c>
      <c r="F1143" s="1">
        <v>1.2280626E7</v>
      </c>
      <c r="G1143" s="1">
        <v>316460.0</v>
      </c>
      <c r="H1143" s="1">
        <v>21529.0</v>
      </c>
      <c r="I1143" s="1">
        <v>2.55E7</v>
      </c>
      <c r="J1143" s="1" t="s">
        <v>2468</v>
      </c>
    </row>
    <row r="1144">
      <c r="A1144" s="1" t="s">
        <v>3456</v>
      </c>
      <c r="B1144" s="1" t="s">
        <v>3457</v>
      </c>
      <c r="C1144" s="1" t="s">
        <v>3458</v>
      </c>
      <c r="D1144" s="1" t="s">
        <v>2463</v>
      </c>
      <c r="E1144" s="1" t="s">
        <v>2464</v>
      </c>
      <c r="F1144" s="1">
        <v>4964441.0</v>
      </c>
      <c r="G1144" s="1">
        <v>304674.0</v>
      </c>
      <c r="H1144" s="1">
        <v>4696.0</v>
      </c>
      <c r="I1144" s="1">
        <v>2.55E7</v>
      </c>
      <c r="J1144" s="1" t="s">
        <v>2468</v>
      </c>
    </row>
    <row r="1145">
      <c r="A1145" s="1" t="s">
        <v>3459</v>
      </c>
      <c r="B1145" s="1" t="s">
        <v>3460</v>
      </c>
      <c r="C1145" s="1" t="s">
        <v>3461</v>
      </c>
      <c r="D1145" s="1" t="s">
        <v>2463</v>
      </c>
      <c r="E1145" s="1" t="s">
        <v>2464</v>
      </c>
      <c r="F1145" s="1">
        <v>2175281.0</v>
      </c>
      <c r="G1145" s="1">
        <v>126500.0</v>
      </c>
      <c r="H1145" s="1">
        <v>1078.0</v>
      </c>
      <c r="I1145" s="1">
        <v>2.55E7</v>
      </c>
      <c r="J1145" s="1" t="s">
        <v>2468</v>
      </c>
    </row>
    <row r="1146">
      <c r="A1146" s="1" t="s">
        <v>3462</v>
      </c>
      <c r="B1146" s="1" t="s">
        <v>3463</v>
      </c>
      <c r="C1146" s="1" t="s">
        <v>3464</v>
      </c>
      <c r="D1146" s="1" t="s">
        <v>2463</v>
      </c>
      <c r="E1146" s="1" t="s">
        <v>2464</v>
      </c>
      <c r="F1146" s="1">
        <v>2906784.0</v>
      </c>
      <c r="G1146" s="1">
        <v>166947.0</v>
      </c>
      <c r="H1146" s="1">
        <v>3788.0</v>
      </c>
      <c r="I1146" s="1">
        <v>2.55E7</v>
      </c>
      <c r="J1146" s="1" t="s">
        <v>2468</v>
      </c>
    </row>
    <row r="1147">
      <c r="A1147" s="1" t="s">
        <v>3465</v>
      </c>
      <c r="B1147" s="1" t="s">
        <v>3466</v>
      </c>
      <c r="C1147" s="1" t="s">
        <v>3467</v>
      </c>
      <c r="D1147" s="1" t="s">
        <v>2463</v>
      </c>
      <c r="E1147" s="1" t="s">
        <v>2464</v>
      </c>
      <c r="F1147" s="1">
        <v>1.9880988E7</v>
      </c>
      <c r="G1147" s="1">
        <v>921564.0</v>
      </c>
      <c r="H1147" s="1">
        <v>6564.0</v>
      </c>
      <c r="I1147" s="1">
        <v>2.55E7</v>
      </c>
      <c r="J1147" s="1" t="s">
        <v>2468</v>
      </c>
    </row>
    <row r="1148">
      <c r="A1148" s="1" t="s">
        <v>3468</v>
      </c>
      <c r="B1148" s="1" t="s">
        <v>3469</v>
      </c>
      <c r="C1148" s="1" t="s">
        <v>3470</v>
      </c>
      <c r="D1148" s="1" t="s">
        <v>2463</v>
      </c>
      <c r="E1148" s="1" t="s">
        <v>2464</v>
      </c>
      <c r="F1148" s="1">
        <v>1.0774387E7</v>
      </c>
      <c r="G1148" s="1">
        <v>459023.0</v>
      </c>
      <c r="H1148" s="1">
        <v>17761.0</v>
      </c>
      <c r="I1148" s="1">
        <v>2.55E7</v>
      </c>
      <c r="J1148" s="1" t="s">
        <v>2468</v>
      </c>
    </row>
    <row r="1149">
      <c r="A1149" s="1" t="s">
        <v>3471</v>
      </c>
      <c r="B1149" s="1" t="s">
        <v>3472</v>
      </c>
      <c r="C1149" s="1" t="s">
        <v>3473</v>
      </c>
      <c r="D1149" s="1" t="s">
        <v>2463</v>
      </c>
      <c r="E1149" s="1" t="s">
        <v>2464</v>
      </c>
      <c r="F1149" s="1">
        <v>8730188.0</v>
      </c>
      <c r="G1149" s="1">
        <v>519753.0</v>
      </c>
      <c r="H1149" s="1">
        <v>4853.0</v>
      </c>
      <c r="I1149" s="1">
        <v>2.55E7</v>
      </c>
      <c r="J1149" s="1" t="s">
        <v>2468</v>
      </c>
    </row>
    <row r="1150">
      <c r="A1150" s="1" t="s">
        <v>3474</v>
      </c>
      <c r="B1150" s="1" t="s">
        <v>3475</v>
      </c>
      <c r="C1150" s="1" t="s">
        <v>3476</v>
      </c>
      <c r="D1150" s="1" t="s">
        <v>2463</v>
      </c>
      <c r="E1150" s="1" t="s">
        <v>2464</v>
      </c>
      <c r="F1150" s="1">
        <v>870243.0</v>
      </c>
      <c r="G1150" s="1">
        <v>77457.0</v>
      </c>
      <c r="H1150" s="1">
        <v>1881.0</v>
      </c>
      <c r="I1150" s="1">
        <v>2.55E7</v>
      </c>
      <c r="J1150" s="1" t="s">
        <v>2468</v>
      </c>
    </row>
    <row r="1151">
      <c r="A1151" s="1" t="s">
        <v>3477</v>
      </c>
      <c r="B1151" s="1" t="s">
        <v>3478</v>
      </c>
      <c r="C1151" s="1" t="s">
        <v>3479</v>
      </c>
      <c r="D1151" s="1" t="s">
        <v>2463</v>
      </c>
      <c r="E1151" s="1" t="s">
        <v>2464</v>
      </c>
      <c r="F1151" s="1">
        <v>6458630.0</v>
      </c>
      <c r="G1151" s="1">
        <v>277341.0</v>
      </c>
      <c r="H1151" s="1">
        <v>20761.0</v>
      </c>
      <c r="I1151" s="1">
        <v>2.55E7</v>
      </c>
      <c r="J1151" s="1" t="s">
        <v>2468</v>
      </c>
    </row>
    <row r="1152">
      <c r="A1152" s="1" t="s">
        <v>3480</v>
      </c>
      <c r="B1152" s="1" t="s">
        <v>3475</v>
      </c>
      <c r="C1152" s="1" t="s">
        <v>3481</v>
      </c>
      <c r="D1152" s="1" t="s">
        <v>2463</v>
      </c>
      <c r="E1152" s="1" t="s">
        <v>2464</v>
      </c>
      <c r="F1152" s="1">
        <v>1924347.0</v>
      </c>
      <c r="G1152" s="1">
        <v>129989.0</v>
      </c>
      <c r="H1152" s="1">
        <v>7463.0</v>
      </c>
      <c r="I1152" s="1">
        <v>2.55E7</v>
      </c>
      <c r="J1152" s="1" t="s">
        <v>2468</v>
      </c>
    </row>
    <row r="1153">
      <c r="A1153" s="1" t="s">
        <v>3482</v>
      </c>
      <c r="B1153" s="1" t="s">
        <v>3483</v>
      </c>
      <c r="C1153" s="1" t="s">
        <v>3484</v>
      </c>
      <c r="D1153" s="1" t="s">
        <v>2463</v>
      </c>
      <c r="E1153" s="1" t="s">
        <v>2464</v>
      </c>
      <c r="F1153" s="1">
        <v>8146226.0</v>
      </c>
      <c r="G1153" s="1">
        <v>439623.0</v>
      </c>
      <c r="H1153" s="1">
        <v>5422.0</v>
      </c>
      <c r="I1153" s="1">
        <v>2.55E7</v>
      </c>
      <c r="J1153" s="1" t="s">
        <v>2468</v>
      </c>
    </row>
    <row r="1154">
      <c r="A1154" s="1" t="s">
        <v>3485</v>
      </c>
      <c r="B1154" s="1" t="s">
        <v>3486</v>
      </c>
      <c r="C1154" s="1" t="s">
        <v>3487</v>
      </c>
      <c r="D1154" s="1" t="s">
        <v>2463</v>
      </c>
      <c r="E1154" s="1" t="s">
        <v>2464</v>
      </c>
      <c r="F1154" s="1">
        <v>1.1225965E7</v>
      </c>
      <c r="G1154" s="1">
        <v>568710.0</v>
      </c>
      <c r="H1154" s="1">
        <v>6267.0</v>
      </c>
      <c r="I1154" s="1">
        <v>2.55E7</v>
      </c>
      <c r="J1154" s="1" t="s">
        <v>2468</v>
      </c>
    </row>
    <row r="1155">
      <c r="A1155" s="1" t="s">
        <v>3488</v>
      </c>
      <c r="B1155" s="1" t="s">
        <v>3489</v>
      </c>
      <c r="C1155" s="1" t="s">
        <v>3490</v>
      </c>
      <c r="D1155" s="1" t="s">
        <v>2463</v>
      </c>
      <c r="E1155" s="1" t="s">
        <v>2464</v>
      </c>
      <c r="F1155" s="1">
        <v>1372470.0</v>
      </c>
      <c r="G1155" s="1">
        <v>39568.0</v>
      </c>
      <c r="H1155" s="1">
        <v>1439.0</v>
      </c>
      <c r="I1155" s="1">
        <v>2.55E7</v>
      </c>
      <c r="J1155" s="1" t="s">
        <v>2468</v>
      </c>
    </row>
    <row r="1156">
      <c r="A1156" s="1" t="s">
        <v>3491</v>
      </c>
      <c r="B1156" s="1" t="s">
        <v>3492</v>
      </c>
      <c r="C1156" s="1" t="s">
        <v>3493</v>
      </c>
      <c r="D1156" s="1" t="s">
        <v>2463</v>
      </c>
      <c r="E1156" s="1" t="s">
        <v>2464</v>
      </c>
      <c r="F1156" s="1">
        <v>9234179.0</v>
      </c>
      <c r="G1156" s="1">
        <v>283034.0</v>
      </c>
      <c r="H1156" s="1">
        <v>13538.0</v>
      </c>
      <c r="I1156" s="1">
        <v>2.55E7</v>
      </c>
      <c r="J1156" s="1" t="s">
        <v>2468</v>
      </c>
    </row>
    <row r="1157">
      <c r="A1157" s="1" t="s">
        <v>3494</v>
      </c>
      <c r="B1157" s="1" t="s">
        <v>3495</v>
      </c>
      <c r="C1157" s="1" t="s">
        <v>3496</v>
      </c>
      <c r="D1157" s="1" t="s">
        <v>2463</v>
      </c>
      <c r="E1157" s="1" t="s">
        <v>2464</v>
      </c>
      <c r="F1157" s="1">
        <v>5042537.0</v>
      </c>
      <c r="G1157" s="1">
        <v>356784.0</v>
      </c>
      <c r="H1157" s="1">
        <v>3190.0</v>
      </c>
      <c r="I1157" s="1">
        <v>2.55E7</v>
      </c>
      <c r="J1157" s="1" t="s">
        <v>2468</v>
      </c>
    </row>
    <row r="1158">
      <c r="A1158" s="1" t="s">
        <v>3497</v>
      </c>
      <c r="B1158" s="1" t="s">
        <v>3498</v>
      </c>
      <c r="C1158" s="1" t="s">
        <v>3499</v>
      </c>
      <c r="D1158" s="1" t="s">
        <v>2463</v>
      </c>
      <c r="E1158" s="1" t="s">
        <v>2464</v>
      </c>
      <c r="F1158" s="1">
        <v>1.2752506E7</v>
      </c>
      <c r="G1158" s="1">
        <v>604586.0</v>
      </c>
      <c r="H1158" s="1">
        <v>36735.0</v>
      </c>
      <c r="I1158" s="1">
        <v>2.55E7</v>
      </c>
      <c r="J1158" s="1" t="s">
        <v>2468</v>
      </c>
    </row>
    <row r="1159">
      <c r="A1159" s="1" t="s">
        <v>3500</v>
      </c>
      <c r="B1159" s="1" t="s">
        <v>3501</v>
      </c>
      <c r="C1159" s="1" t="s">
        <v>3502</v>
      </c>
      <c r="D1159" s="1" t="s">
        <v>2463</v>
      </c>
      <c r="E1159" s="1" t="s">
        <v>2464</v>
      </c>
      <c r="F1159" s="1">
        <v>2570819.0</v>
      </c>
      <c r="G1159" s="1">
        <v>164534.0</v>
      </c>
      <c r="H1159" s="1">
        <v>1846.0</v>
      </c>
      <c r="I1159" s="1">
        <v>2.55E7</v>
      </c>
      <c r="J1159" s="1" t="s">
        <v>2468</v>
      </c>
    </row>
    <row r="1160">
      <c r="A1160" s="1" t="s">
        <v>3503</v>
      </c>
      <c r="B1160" s="1" t="s">
        <v>3504</v>
      </c>
      <c r="C1160" s="1" t="s">
        <v>3505</v>
      </c>
      <c r="D1160" s="1" t="s">
        <v>2463</v>
      </c>
      <c r="E1160" s="1" t="s">
        <v>2464</v>
      </c>
      <c r="F1160" s="1">
        <v>1124508.0</v>
      </c>
      <c r="G1160" s="1">
        <v>66525.0</v>
      </c>
      <c r="H1160" s="1">
        <v>2241.0</v>
      </c>
      <c r="I1160" s="1">
        <v>2.55E7</v>
      </c>
      <c r="J1160" s="1" t="s">
        <v>2468</v>
      </c>
    </row>
    <row r="1161">
      <c r="A1161" s="1" t="s">
        <v>3506</v>
      </c>
      <c r="B1161" s="1" t="s">
        <v>3507</v>
      </c>
      <c r="C1161" s="1" t="s">
        <v>3508</v>
      </c>
      <c r="D1161" s="1" t="s">
        <v>2463</v>
      </c>
      <c r="E1161" s="1" t="s">
        <v>2464</v>
      </c>
      <c r="F1161" s="1">
        <v>1.4001595E7</v>
      </c>
      <c r="G1161" s="1">
        <v>584181.0</v>
      </c>
      <c r="H1161" s="1">
        <v>5239.0</v>
      </c>
      <c r="I1161" s="1">
        <v>2.55E7</v>
      </c>
      <c r="J1161" s="1" t="s">
        <v>2468</v>
      </c>
    </row>
    <row r="1162">
      <c r="A1162" s="1" t="s">
        <v>3509</v>
      </c>
      <c r="B1162" s="1" t="s">
        <v>3510</v>
      </c>
      <c r="C1162" s="1" t="s">
        <v>3511</v>
      </c>
      <c r="D1162" s="1" t="s">
        <v>2463</v>
      </c>
      <c r="E1162" s="1" t="s">
        <v>2464</v>
      </c>
      <c r="F1162" s="1">
        <v>1719687.0</v>
      </c>
      <c r="G1162" s="1">
        <v>115948.0</v>
      </c>
      <c r="H1162" s="1">
        <v>646.0</v>
      </c>
      <c r="I1162" s="1">
        <v>2.55E7</v>
      </c>
      <c r="J1162" s="1" t="s">
        <v>2468</v>
      </c>
    </row>
    <row r="1163">
      <c r="A1163" s="1" t="s">
        <v>3512</v>
      </c>
      <c r="B1163" s="1" t="s">
        <v>3513</v>
      </c>
      <c r="C1163" s="1" t="s">
        <v>3514</v>
      </c>
      <c r="D1163" s="1" t="s">
        <v>2463</v>
      </c>
      <c r="E1163" s="1" t="s">
        <v>2464</v>
      </c>
      <c r="F1163" s="1">
        <v>9050140.0</v>
      </c>
      <c r="G1163" s="1">
        <v>245375.0</v>
      </c>
      <c r="H1163" s="1">
        <v>12642.0</v>
      </c>
      <c r="I1163" s="1">
        <v>2.55E7</v>
      </c>
      <c r="J1163" s="1" t="s">
        <v>2468</v>
      </c>
    </row>
    <row r="1164">
      <c r="A1164" s="1" t="s">
        <v>3515</v>
      </c>
      <c r="B1164" s="1" t="s">
        <v>3516</v>
      </c>
      <c r="C1164" s="1" t="s">
        <v>3517</v>
      </c>
      <c r="D1164" s="1" t="s">
        <v>2463</v>
      </c>
      <c r="E1164" s="1" t="s">
        <v>2464</v>
      </c>
      <c r="F1164" s="1">
        <v>5709905.0</v>
      </c>
      <c r="G1164" s="1">
        <v>287596.0</v>
      </c>
      <c r="H1164" s="1">
        <v>6844.0</v>
      </c>
      <c r="I1164" s="1">
        <v>2.55E7</v>
      </c>
      <c r="J1164" s="1" t="s">
        <v>2468</v>
      </c>
    </row>
    <row r="1165">
      <c r="A1165" s="1" t="s">
        <v>3518</v>
      </c>
      <c r="B1165" s="1" t="s">
        <v>3519</v>
      </c>
      <c r="C1165" s="1" t="s">
        <v>3520</v>
      </c>
      <c r="D1165" s="1" t="s">
        <v>2463</v>
      </c>
      <c r="E1165" s="1" t="s">
        <v>2464</v>
      </c>
      <c r="F1165" s="1">
        <v>1.104683E7</v>
      </c>
      <c r="G1165" s="1">
        <v>526742.0</v>
      </c>
      <c r="H1165" s="1">
        <v>8610.0</v>
      </c>
      <c r="I1165" s="1">
        <v>2.55E7</v>
      </c>
      <c r="J1165" s="1" t="s">
        <v>2468</v>
      </c>
    </row>
    <row r="1166">
      <c r="A1166" s="1" t="s">
        <v>3521</v>
      </c>
      <c r="B1166" s="1" t="s">
        <v>3522</v>
      </c>
      <c r="C1166" s="1" t="s">
        <v>3523</v>
      </c>
      <c r="D1166" s="1" t="s">
        <v>2463</v>
      </c>
      <c r="E1166" s="1" t="s">
        <v>2464</v>
      </c>
      <c r="F1166" s="1">
        <v>8733426.0</v>
      </c>
      <c r="G1166" s="1">
        <v>223875.0</v>
      </c>
      <c r="H1166" s="1">
        <v>9038.0</v>
      </c>
      <c r="I1166" s="1">
        <v>2.55E7</v>
      </c>
      <c r="J1166" s="1" t="s">
        <v>2468</v>
      </c>
    </row>
    <row r="1167">
      <c r="A1167" s="1" t="s">
        <v>3524</v>
      </c>
      <c r="B1167" s="1" t="s">
        <v>3525</v>
      </c>
      <c r="C1167" s="1" t="s">
        <v>3526</v>
      </c>
      <c r="D1167" s="1" t="s">
        <v>2463</v>
      </c>
      <c r="E1167" s="1" t="s">
        <v>2464</v>
      </c>
      <c r="F1167" s="1">
        <v>6293974.0</v>
      </c>
      <c r="G1167" s="1">
        <v>362016.0</v>
      </c>
      <c r="H1167" s="1">
        <v>3963.0</v>
      </c>
      <c r="I1167" s="1">
        <v>2.55E7</v>
      </c>
      <c r="J1167" s="1" t="s">
        <v>2468</v>
      </c>
    </row>
    <row r="1168">
      <c r="A1168" s="1" t="s">
        <v>3527</v>
      </c>
      <c r="B1168" s="1" t="s">
        <v>3528</v>
      </c>
      <c r="C1168" s="1" t="s">
        <v>3529</v>
      </c>
      <c r="D1168" s="1" t="s">
        <v>2463</v>
      </c>
      <c r="E1168" s="1" t="s">
        <v>2464</v>
      </c>
      <c r="F1168" s="1">
        <v>5925242.0</v>
      </c>
      <c r="G1168" s="1">
        <v>370402.0</v>
      </c>
      <c r="H1168" s="1">
        <v>3873.0</v>
      </c>
      <c r="I1168" s="1">
        <v>2.55E7</v>
      </c>
      <c r="J1168" s="1" t="s">
        <v>2468</v>
      </c>
    </row>
    <row r="1169">
      <c r="A1169" s="1" t="s">
        <v>3530</v>
      </c>
      <c r="B1169" s="1" t="s">
        <v>3531</v>
      </c>
      <c r="C1169" s="1" t="s">
        <v>3532</v>
      </c>
      <c r="D1169" s="1" t="s">
        <v>2463</v>
      </c>
      <c r="E1169" s="1" t="s">
        <v>2464</v>
      </c>
      <c r="F1169" s="1">
        <v>3033175.0</v>
      </c>
      <c r="G1169" s="1">
        <v>182890.0</v>
      </c>
      <c r="H1169" s="1">
        <v>2274.0</v>
      </c>
      <c r="I1169" s="1">
        <v>2.55E7</v>
      </c>
      <c r="J1169" s="1" t="s">
        <v>2468</v>
      </c>
    </row>
    <row r="1170">
      <c r="A1170" s="1" t="s">
        <v>3533</v>
      </c>
      <c r="B1170" s="1" t="s">
        <v>3534</v>
      </c>
      <c r="C1170" s="1" t="s">
        <v>3535</v>
      </c>
      <c r="D1170" s="1" t="s">
        <v>2463</v>
      </c>
      <c r="E1170" s="1" t="s">
        <v>2464</v>
      </c>
      <c r="F1170" s="1">
        <v>4620899.0</v>
      </c>
      <c r="G1170" s="1">
        <v>307374.0</v>
      </c>
      <c r="H1170" s="1">
        <v>2485.0</v>
      </c>
      <c r="I1170" s="1">
        <v>2.55E7</v>
      </c>
      <c r="J1170" s="1" t="s">
        <v>2468</v>
      </c>
    </row>
    <row r="1171">
      <c r="A1171" s="1" t="s">
        <v>3536</v>
      </c>
      <c r="B1171" s="1" t="s">
        <v>3537</v>
      </c>
      <c r="C1171" s="1" t="s">
        <v>3538</v>
      </c>
      <c r="D1171" s="1" t="s">
        <v>2463</v>
      </c>
      <c r="E1171" s="1" t="s">
        <v>2464</v>
      </c>
      <c r="F1171" s="1">
        <v>1.2070889E7</v>
      </c>
      <c r="G1171" s="1">
        <v>339010.0</v>
      </c>
      <c r="H1171" s="1">
        <v>13519.0</v>
      </c>
      <c r="I1171" s="1">
        <v>2.55E7</v>
      </c>
      <c r="J1171" s="1" t="s">
        <v>2468</v>
      </c>
    </row>
    <row r="1172">
      <c r="A1172" s="1" t="s">
        <v>3539</v>
      </c>
      <c r="B1172" s="1" t="s">
        <v>3540</v>
      </c>
      <c r="C1172" s="1" t="s">
        <v>3541</v>
      </c>
      <c r="D1172" s="1" t="s">
        <v>2463</v>
      </c>
      <c r="E1172" s="1" t="s">
        <v>2464</v>
      </c>
      <c r="F1172" s="1">
        <v>1.3096822E7</v>
      </c>
      <c r="G1172" s="1">
        <v>314692.0</v>
      </c>
      <c r="H1172" s="1">
        <v>20612.0</v>
      </c>
      <c r="I1172" s="1">
        <v>2.55E7</v>
      </c>
      <c r="J1172" s="1" t="s">
        <v>2468</v>
      </c>
    </row>
    <row r="1173">
      <c r="A1173" s="1" t="s">
        <v>3542</v>
      </c>
      <c r="B1173" s="1" t="s">
        <v>3543</v>
      </c>
      <c r="C1173" s="1" t="s">
        <v>3544</v>
      </c>
      <c r="D1173" s="1" t="s">
        <v>2463</v>
      </c>
      <c r="E1173" s="1" t="s">
        <v>2464</v>
      </c>
      <c r="F1173" s="1">
        <v>1.4463754E7</v>
      </c>
      <c r="G1173" s="1">
        <v>757821.0</v>
      </c>
      <c r="H1173" s="1">
        <v>7612.0</v>
      </c>
      <c r="I1173" s="1">
        <v>2.55E7</v>
      </c>
      <c r="J1173" s="1" t="s">
        <v>2468</v>
      </c>
    </row>
    <row r="1174">
      <c r="A1174" s="1" t="s">
        <v>3545</v>
      </c>
      <c r="B1174" s="1" t="s">
        <v>3546</v>
      </c>
      <c r="C1174" s="1" t="s">
        <v>3547</v>
      </c>
      <c r="D1174" s="1" t="s">
        <v>2463</v>
      </c>
      <c r="E1174" s="1" t="s">
        <v>2464</v>
      </c>
      <c r="F1174" s="1">
        <v>4336681.0</v>
      </c>
      <c r="G1174" s="1">
        <v>230746.0</v>
      </c>
      <c r="H1174" s="1">
        <v>5211.0</v>
      </c>
      <c r="I1174" s="1">
        <v>2.55E7</v>
      </c>
      <c r="J1174" s="1" t="s">
        <v>2468</v>
      </c>
    </row>
    <row r="1175">
      <c r="A1175" s="1" t="s">
        <v>3548</v>
      </c>
      <c r="B1175" s="1" t="s">
        <v>3549</v>
      </c>
      <c r="C1175" s="1" t="s">
        <v>3550</v>
      </c>
      <c r="D1175" s="1" t="s">
        <v>2463</v>
      </c>
      <c r="E1175" s="1" t="s">
        <v>2464</v>
      </c>
      <c r="F1175" s="1">
        <v>1.4893447E7</v>
      </c>
      <c r="G1175" s="1">
        <v>463449.0</v>
      </c>
      <c r="H1175" s="1">
        <v>21709.0</v>
      </c>
      <c r="I1175" s="1">
        <v>2.55E7</v>
      </c>
      <c r="J1175" s="1" t="s">
        <v>2468</v>
      </c>
    </row>
    <row r="1176">
      <c r="A1176" s="1" t="s">
        <v>3551</v>
      </c>
      <c r="B1176" s="1" t="s">
        <v>3552</v>
      </c>
      <c r="C1176" s="1" t="s">
        <v>3553</v>
      </c>
      <c r="D1176" s="1" t="s">
        <v>2463</v>
      </c>
      <c r="E1176" s="1" t="s">
        <v>2464</v>
      </c>
      <c r="F1176" s="1">
        <v>7247939.0</v>
      </c>
      <c r="G1176" s="1">
        <v>371480.0</v>
      </c>
      <c r="H1176" s="1">
        <v>3475.0</v>
      </c>
      <c r="I1176" s="1">
        <v>2.55E7</v>
      </c>
      <c r="J1176" s="1" t="s">
        <v>2468</v>
      </c>
    </row>
    <row r="1177">
      <c r="A1177" s="1" t="s">
        <v>3554</v>
      </c>
      <c r="B1177" s="1" t="s">
        <v>3555</v>
      </c>
      <c r="C1177" s="1" t="s">
        <v>3556</v>
      </c>
      <c r="D1177" s="1" t="s">
        <v>2463</v>
      </c>
      <c r="E1177" s="1" t="s">
        <v>2464</v>
      </c>
      <c r="F1177" s="1">
        <v>3349159.0</v>
      </c>
      <c r="G1177" s="1">
        <v>145715.0</v>
      </c>
      <c r="H1177" s="1">
        <v>1293.0</v>
      </c>
      <c r="I1177" s="1">
        <v>2.55E7</v>
      </c>
      <c r="J1177" s="1" t="s">
        <v>2468</v>
      </c>
    </row>
    <row r="1178">
      <c r="A1178" s="1" t="s">
        <v>3557</v>
      </c>
      <c r="B1178" s="1" t="s">
        <v>3558</v>
      </c>
      <c r="C1178" s="1" t="s">
        <v>3559</v>
      </c>
      <c r="D1178" s="1" t="s">
        <v>2463</v>
      </c>
      <c r="E1178" s="1" t="s">
        <v>2464</v>
      </c>
      <c r="F1178" s="1">
        <v>5420884.0</v>
      </c>
      <c r="G1178" s="1">
        <v>305413.0</v>
      </c>
      <c r="H1178" s="1">
        <v>2362.0</v>
      </c>
      <c r="I1178" s="1">
        <v>2.55E7</v>
      </c>
      <c r="J1178" s="1" t="s">
        <v>2468</v>
      </c>
    </row>
    <row r="1179">
      <c r="A1179" s="1" t="s">
        <v>3560</v>
      </c>
      <c r="B1179" s="1" t="s">
        <v>3561</v>
      </c>
      <c r="C1179" s="1" t="s">
        <v>3562</v>
      </c>
      <c r="D1179" s="1" t="s">
        <v>2463</v>
      </c>
      <c r="E1179" s="1" t="s">
        <v>2464</v>
      </c>
      <c r="F1179" s="1">
        <v>1.1185683E7</v>
      </c>
      <c r="G1179" s="1">
        <v>541038.0</v>
      </c>
      <c r="H1179" s="1">
        <v>5162.0</v>
      </c>
      <c r="I1179" s="1">
        <v>2.55E7</v>
      </c>
      <c r="J1179" s="1" t="s">
        <v>2468</v>
      </c>
    </row>
    <row r="1180">
      <c r="A1180" s="1" t="s">
        <v>3563</v>
      </c>
      <c r="B1180" s="1" t="s">
        <v>3564</v>
      </c>
      <c r="C1180" s="1" t="s">
        <v>3565</v>
      </c>
      <c r="D1180" s="1" t="s">
        <v>2463</v>
      </c>
      <c r="E1180" s="1" t="s">
        <v>2464</v>
      </c>
      <c r="F1180" s="1">
        <v>5435450.0</v>
      </c>
      <c r="G1180" s="1">
        <v>324512.0</v>
      </c>
      <c r="H1180" s="1">
        <v>2859.0</v>
      </c>
      <c r="I1180" s="1">
        <v>2.55E7</v>
      </c>
      <c r="J1180" s="1" t="s">
        <v>2468</v>
      </c>
    </row>
    <row r="1181">
      <c r="A1181" s="1" t="s">
        <v>3566</v>
      </c>
      <c r="B1181" s="1" t="s">
        <v>3567</v>
      </c>
      <c r="C1181" s="1" t="s">
        <v>3568</v>
      </c>
      <c r="D1181" s="1" t="s">
        <v>2463</v>
      </c>
      <c r="E1181" s="1" t="s">
        <v>2464</v>
      </c>
      <c r="F1181" s="1">
        <v>8797065.0</v>
      </c>
      <c r="G1181" s="1">
        <v>234901.0</v>
      </c>
      <c r="H1181" s="1">
        <v>7497.0</v>
      </c>
      <c r="I1181" s="1">
        <v>2.55E7</v>
      </c>
      <c r="J1181" s="1" t="s">
        <v>2468</v>
      </c>
    </row>
    <row r="1182">
      <c r="A1182" s="1" t="s">
        <v>3569</v>
      </c>
      <c r="B1182" s="1" t="s">
        <v>3570</v>
      </c>
      <c r="C1182" s="1" t="s">
        <v>3571</v>
      </c>
      <c r="D1182" s="1" t="s">
        <v>2463</v>
      </c>
      <c r="E1182" s="1" t="s">
        <v>2464</v>
      </c>
      <c r="F1182" s="1">
        <v>1.6447654E7</v>
      </c>
      <c r="G1182" s="1">
        <v>445201.0</v>
      </c>
      <c r="H1182" s="1">
        <v>15411.0</v>
      </c>
      <c r="I1182" s="1">
        <v>2.55E7</v>
      </c>
      <c r="J1182" s="1" t="s">
        <v>2468</v>
      </c>
    </row>
    <row r="1183">
      <c r="A1183" s="1" t="s">
        <v>3572</v>
      </c>
      <c r="B1183" s="1" t="s">
        <v>3573</v>
      </c>
      <c r="C1183" s="1" t="s">
        <v>3574</v>
      </c>
      <c r="D1183" s="1" t="s">
        <v>2463</v>
      </c>
      <c r="E1183" s="1" t="s">
        <v>2464</v>
      </c>
      <c r="F1183" s="1">
        <v>1.0731703E7</v>
      </c>
      <c r="G1183" s="1">
        <v>254083.0</v>
      </c>
      <c r="H1183" s="1">
        <v>9009.0</v>
      </c>
      <c r="I1183" s="1">
        <v>2.55E7</v>
      </c>
      <c r="J1183" s="1" t="s">
        <v>2468</v>
      </c>
    </row>
    <row r="1184">
      <c r="A1184" s="1" t="s">
        <v>3575</v>
      </c>
      <c r="B1184" s="1" t="s">
        <v>3576</v>
      </c>
      <c r="C1184" s="1" t="s">
        <v>3577</v>
      </c>
      <c r="D1184" s="1" t="s">
        <v>2463</v>
      </c>
      <c r="E1184" s="1" t="s">
        <v>2464</v>
      </c>
      <c r="F1184" s="1">
        <v>1985766.0</v>
      </c>
      <c r="G1184" s="1">
        <v>120864.0</v>
      </c>
      <c r="H1184" s="1">
        <v>2834.0</v>
      </c>
      <c r="I1184" s="1">
        <v>2.55E7</v>
      </c>
      <c r="J1184" s="1" t="s">
        <v>2468</v>
      </c>
    </row>
    <row r="1185">
      <c r="A1185" s="1" t="s">
        <v>3578</v>
      </c>
      <c r="B1185" s="1" t="s">
        <v>3579</v>
      </c>
      <c r="C1185" s="1" t="s">
        <v>3580</v>
      </c>
      <c r="D1185" s="1" t="s">
        <v>2463</v>
      </c>
      <c r="E1185" s="1" t="s">
        <v>2464</v>
      </c>
      <c r="F1185" s="1">
        <v>8960236.0</v>
      </c>
      <c r="G1185" s="1">
        <v>438737.0</v>
      </c>
      <c r="H1185" s="1">
        <v>25511.0</v>
      </c>
      <c r="I1185" s="1">
        <v>2.55E7</v>
      </c>
      <c r="J1185" s="1" t="s">
        <v>2468</v>
      </c>
    </row>
    <row r="1186">
      <c r="A1186" s="1" t="s">
        <v>3581</v>
      </c>
      <c r="B1186" s="1" t="s">
        <v>3582</v>
      </c>
      <c r="C1186" s="1" t="s">
        <v>3583</v>
      </c>
      <c r="D1186" s="1" t="s">
        <v>2463</v>
      </c>
      <c r="E1186" s="1" t="s">
        <v>2464</v>
      </c>
      <c r="F1186" s="1">
        <v>9595528.0</v>
      </c>
      <c r="G1186" s="1">
        <v>289791.0</v>
      </c>
      <c r="H1186" s="1">
        <v>12014.0</v>
      </c>
      <c r="I1186" s="1">
        <v>2.55E7</v>
      </c>
      <c r="J1186" s="1" t="s">
        <v>2468</v>
      </c>
    </row>
    <row r="1187">
      <c r="A1187" s="1" t="s">
        <v>3584</v>
      </c>
      <c r="B1187" s="1" t="s">
        <v>3585</v>
      </c>
      <c r="C1187" s="1" t="s">
        <v>3586</v>
      </c>
      <c r="D1187" s="1" t="s">
        <v>2463</v>
      </c>
      <c r="E1187" s="1" t="s">
        <v>2464</v>
      </c>
      <c r="F1187" s="1">
        <v>1.2894909E7</v>
      </c>
      <c r="G1187" s="1">
        <v>325315.0</v>
      </c>
      <c r="H1187" s="1">
        <v>14440.0</v>
      </c>
      <c r="I1187" s="1">
        <v>2.55E7</v>
      </c>
      <c r="J1187" s="1" t="s">
        <v>2468</v>
      </c>
    </row>
    <row r="1188">
      <c r="A1188" s="1" t="s">
        <v>3587</v>
      </c>
      <c r="B1188" s="1" t="s">
        <v>3588</v>
      </c>
      <c r="C1188" s="1" t="s">
        <v>3589</v>
      </c>
      <c r="D1188" s="1" t="s">
        <v>2463</v>
      </c>
      <c r="E1188" s="1" t="s">
        <v>2464</v>
      </c>
      <c r="F1188" s="1">
        <v>1.7263416E7</v>
      </c>
      <c r="G1188" s="1">
        <v>736771.0</v>
      </c>
      <c r="H1188" s="1">
        <v>31979.0</v>
      </c>
      <c r="I1188" s="1">
        <v>2.55E7</v>
      </c>
      <c r="J1188" s="1" t="s">
        <v>2468</v>
      </c>
    </row>
    <row r="1189">
      <c r="A1189" s="1" t="s">
        <v>3590</v>
      </c>
      <c r="B1189" s="1" t="s">
        <v>3591</v>
      </c>
      <c r="C1189" s="1" t="s">
        <v>3592</v>
      </c>
      <c r="D1189" s="1" t="s">
        <v>2463</v>
      </c>
      <c r="E1189" s="1" t="s">
        <v>2464</v>
      </c>
      <c r="F1189" s="1">
        <v>8397243.0</v>
      </c>
      <c r="G1189" s="1">
        <v>287491.0</v>
      </c>
      <c r="H1189" s="1">
        <v>10932.0</v>
      </c>
      <c r="I1189" s="1">
        <v>2.55E7</v>
      </c>
      <c r="J1189" s="1" t="s">
        <v>2468</v>
      </c>
    </row>
    <row r="1190">
      <c r="A1190" s="1" t="s">
        <v>3593</v>
      </c>
      <c r="B1190" s="1" t="s">
        <v>3594</v>
      </c>
      <c r="C1190" s="1" t="s">
        <v>3595</v>
      </c>
      <c r="D1190" s="1" t="s">
        <v>2463</v>
      </c>
      <c r="E1190" s="1" t="s">
        <v>2464</v>
      </c>
      <c r="F1190" s="1">
        <v>1.3050742E7</v>
      </c>
      <c r="G1190" s="1">
        <v>373714.0</v>
      </c>
      <c r="H1190" s="1">
        <v>38627.0</v>
      </c>
      <c r="I1190" s="1">
        <v>2.55E7</v>
      </c>
      <c r="J1190" s="1" t="s">
        <v>2468</v>
      </c>
    </row>
    <row r="1191">
      <c r="A1191" s="1" t="s">
        <v>3596</v>
      </c>
      <c r="B1191" s="1" t="s">
        <v>3597</v>
      </c>
      <c r="C1191" s="1" t="s">
        <v>3598</v>
      </c>
      <c r="D1191" s="1" t="s">
        <v>2463</v>
      </c>
      <c r="E1191" s="1" t="s">
        <v>2464</v>
      </c>
      <c r="F1191" s="1">
        <v>5020620.0</v>
      </c>
      <c r="G1191" s="1">
        <v>292478.0</v>
      </c>
      <c r="H1191" s="1">
        <v>5718.0</v>
      </c>
      <c r="I1191" s="1">
        <v>2.55E7</v>
      </c>
      <c r="J1191" s="1" t="s">
        <v>2468</v>
      </c>
    </row>
    <row r="1192">
      <c r="A1192" s="1" t="s">
        <v>3599</v>
      </c>
      <c r="B1192" s="1" t="s">
        <v>3600</v>
      </c>
      <c r="C1192" s="1" t="s">
        <v>3601</v>
      </c>
      <c r="D1192" s="1" t="s">
        <v>2463</v>
      </c>
      <c r="E1192" s="1" t="s">
        <v>2464</v>
      </c>
      <c r="F1192" s="1">
        <v>8401692.0</v>
      </c>
      <c r="G1192" s="1">
        <v>349760.0</v>
      </c>
      <c r="H1192" s="1">
        <v>17261.0</v>
      </c>
      <c r="I1192" s="1">
        <v>2.55E7</v>
      </c>
      <c r="J1192" s="1" t="s">
        <v>2468</v>
      </c>
    </row>
    <row r="1193">
      <c r="A1193" s="1" t="s">
        <v>3602</v>
      </c>
      <c r="B1193" s="1" t="s">
        <v>3603</v>
      </c>
      <c r="C1193" s="1" t="s">
        <v>3604</v>
      </c>
      <c r="D1193" s="1" t="s">
        <v>2463</v>
      </c>
      <c r="E1193" s="1" t="s">
        <v>2464</v>
      </c>
      <c r="F1193" s="1">
        <v>1.0349264E7</v>
      </c>
      <c r="G1193" s="1">
        <v>338999.0</v>
      </c>
      <c r="H1193" s="1">
        <v>17333.0</v>
      </c>
      <c r="I1193" s="1">
        <v>2.55E7</v>
      </c>
      <c r="J1193" s="1" t="s">
        <v>2468</v>
      </c>
    </row>
    <row r="1194">
      <c r="A1194" s="1" t="s">
        <v>3605</v>
      </c>
      <c r="B1194" s="1" t="s">
        <v>3606</v>
      </c>
      <c r="C1194" s="1" t="s">
        <v>3607</v>
      </c>
      <c r="D1194" s="1" t="s">
        <v>2463</v>
      </c>
      <c r="E1194" s="1" t="s">
        <v>2464</v>
      </c>
      <c r="F1194" s="1">
        <v>1.4401879E7</v>
      </c>
      <c r="G1194" s="1">
        <v>353720.0</v>
      </c>
      <c r="H1194" s="1">
        <v>13942.0</v>
      </c>
      <c r="I1194" s="1">
        <v>2.55E7</v>
      </c>
      <c r="J1194" s="1" t="s">
        <v>2468</v>
      </c>
    </row>
    <row r="1195">
      <c r="A1195" s="1" t="s">
        <v>3608</v>
      </c>
      <c r="B1195" s="1" t="s">
        <v>3609</v>
      </c>
      <c r="C1195" s="1" t="s">
        <v>3610</v>
      </c>
      <c r="D1195" s="1" t="s">
        <v>2463</v>
      </c>
      <c r="E1195" s="1" t="s">
        <v>2464</v>
      </c>
      <c r="F1195" s="1">
        <v>7048971.0</v>
      </c>
      <c r="G1195" s="1">
        <v>227189.0</v>
      </c>
      <c r="H1195" s="1">
        <v>10025.0</v>
      </c>
      <c r="I1195" s="1">
        <v>2.55E7</v>
      </c>
      <c r="J1195" s="1" t="s">
        <v>2468</v>
      </c>
    </row>
    <row r="1196">
      <c r="A1196" s="1" t="s">
        <v>3611</v>
      </c>
      <c r="B1196" s="1" t="s">
        <v>3612</v>
      </c>
      <c r="C1196" s="1" t="s">
        <v>3613</v>
      </c>
      <c r="D1196" s="1" t="s">
        <v>2463</v>
      </c>
      <c r="E1196" s="1" t="s">
        <v>2464</v>
      </c>
      <c r="F1196" s="1">
        <v>1.220593E7</v>
      </c>
      <c r="G1196" s="1">
        <v>651043.0</v>
      </c>
      <c r="H1196" s="1">
        <v>4505.0</v>
      </c>
      <c r="I1196" s="1">
        <v>2.55E7</v>
      </c>
      <c r="J1196" s="1" t="s">
        <v>2468</v>
      </c>
    </row>
    <row r="1197">
      <c r="A1197" s="1" t="s">
        <v>3614</v>
      </c>
      <c r="B1197" s="1" t="s">
        <v>3615</v>
      </c>
      <c r="C1197" s="1" t="s">
        <v>3616</v>
      </c>
      <c r="D1197" s="1" t="s">
        <v>2463</v>
      </c>
      <c r="E1197" s="1" t="s">
        <v>2464</v>
      </c>
      <c r="F1197" s="1">
        <v>6030887.0</v>
      </c>
      <c r="G1197" s="1">
        <v>327760.0</v>
      </c>
      <c r="H1197" s="1">
        <v>3327.0</v>
      </c>
      <c r="I1197" s="1">
        <v>2.55E7</v>
      </c>
      <c r="J1197" s="1" t="s">
        <v>2468</v>
      </c>
    </row>
    <row r="1198">
      <c r="A1198" s="1" t="s">
        <v>3617</v>
      </c>
      <c r="B1198" s="1" t="s">
        <v>3618</v>
      </c>
      <c r="C1198" s="1" t="s">
        <v>3619</v>
      </c>
      <c r="D1198" s="1" t="s">
        <v>2463</v>
      </c>
      <c r="E1198" s="1" t="s">
        <v>2464</v>
      </c>
      <c r="F1198" s="1">
        <v>6796194.0</v>
      </c>
      <c r="G1198" s="1">
        <v>406249.0</v>
      </c>
      <c r="H1198" s="1">
        <v>3484.0</v>
      </c>
      <c r="I1198" s="1">
        <v>2.55E7</v>
      </c>
      <c r="J1198" s="1" t="s">
        <v>2468</v>
      </c>
    </row>
    <row r="1199">
      <c r="A1199" s="1" t="s">
        <v>3620</v>
      </c>
      <c r="B1199" s="1" t="s">
        <v>3621</v>
      </c>
      <c r="C1199" s="1" t="s">
        <v>3622</v>
      </c>
      <c r="D1199" s="1" t="s">
        <v>2463</v>
      </c>
      <c r="E1199" s="1" t="s">
        <v>2464</v>
      </c>
      <c r="F1199" s="1">
        <v>1269571.0</v>
      </c>
      <c r="G1199" s="1">
        <v>83176.0</v>
      </c>
      <c r="H1199" s="1">
        <v>440.0</v>
      </c>
      <c r="I1199" s="1">
        <v>2.55E7</v>
      </c>
      <c r="J1199" s="1" t="s">
        <v>2468</v>
      </c>
    </row>
    <row r="1200">
      <c r="A1200" s="1" t="s">
        <v>3623</v>
      </c>
      <c r="B1200" s="1" t="s">
        <v>3624</v>
      </c>
      <c r="C1200" s="1" t="s">
        <v>3625</v>
      </c>
      <c r="D1200" s="1" t="s">
        <v>2463</v>
      </c>
      <c r="E1200" s="1" t="s">
        <v>2464</v>
      </c>
      <c r="F1200" s="1">
        <v>6547654.0</v>
      </c>
      <c r="G1200" s="1">
        <v>225372.0</v>
      </c>
      <c r="H1200" s="1">
        <v>11895.0</v>
      </c>
      <c r="I1200" s="1">
        <v>2.55E7</v>
      </c>
      <c r="J1200" s="1" t="s">
        <v>2468</v>
      </c>
    </row>
    <row r="1201">
      <c r="A1201" s="1" t="s">
        <v>3626</v>
      </c>
      <c r="B1201" s="1" t="s">
        <v>3627</v>
      </c>
      <c r="C1201" s="1" t="s">
        <v>3628</v>
      </c>
      <c r="D1201" s="1" t="s">
        <v>2463</v>
      </c>
      <c r="E1201" s="1" t="s">
        <v>2464</v>
      </c>
      <c r="F1201" s="1">
        <v>3934441.0</v>
      </c>
      <c r="G1201" s="1">
        <v>228127.0</v>
      </c>
      <c r="H1201" s="1">
        <v>2100.0</v>
      </c>
      <c r="I1201" s="1">
        <v>2.55E7</v>
      </c>
      <c r="J1201" s="1" t="s">
        <v>2468</v>
      </c>
    </row>
    <row r="1202">
      <c r="A1202" s="1" t="s">
        <v>3629</v>
      </c>
      <c r="B1202" s="1" t="s">
        <v>3630</v>
      </c>
      <c r="C1202" s="1" t="s">
        <v>3631</v>
      </c>
      <c r="D1202" s="1" t="s">
        <v>3632</v>
      </c>
      <c r="E1202" s="1" t="s">
        <v>3633</v>
      </c>
      <c r="F1202" s="1">
        <v>2000.0</v>
      </c>
      <c r="G1202" s="1">
        <v>24.0</v>
      </c>
      <c r="H1202" s="1">
        <v>1.0</v>
      </c>
      <c r="I1202" s="1">
        <v>9430000.0</v>
      </c>
      <c r="J1202" s="1" t="s">
        <v>2468</v>
      </c>
    </row>
    <row r="1203">
      <c r="A1203" s="1" t="s">
        <v>3634</v>
      </c>
      <c r="B1203" s="1" t="s">
        <v>3635</v>
      </c>
      <c r="C1203" s="1" t="s">
        <v>3636</v>
      </c>
      <c r="D1203" s="1" t="s">
        <v>3632</v>
      </c>
      <c r="E1203" s="1" t="s">
        <v>3633</v>
      </c>
      <c r="F1203" s="1">
        <v>3105.0</v>
      </c>
      <c r="G1203" s="1">
        <v>34.0</v>
      </c>
      <c r="H1203" s="1">
        <v>4.0</v>
      </c>
      <c r="I1203" s="1">
        <v>9430000.0</v>
      </c>
      <c r="J1203" s="1" t="s">
        <v>2468</v>
      </c>
    </row>
    <row r="1204">
      <c r="A1204" s="1" t="s">
        <v>3637</v>
      </c>
      <c r="B1204" s="1" t="s">
        <v>3638</v>
      </c>
      <c r="C1204" s="1" t="s">
        <v>3639</v>
      </c>
      <c r="D1204" s="1" t="s">
        <v>3632</v>
      </c>
      <c r="E1204" s="1" t="s">
        <v>3633</v>
      </c>
      <c r="F1204" s="1">
        <v>884.0</v>
      </c>
      <c r="G1204" s="1">
        <v>16.0</v>
      </c>
      <c r="H1204" s="1">
        <v>1.0</v>
      </c>
      <c r="I1204" s="1">
        <v>9430000.0</v>
      </c>
      <c r="J1204" s="1" t="s">
        <v>2468</v>
      </c>
    </row>
    <row r="1205">
      <c r="A1205" s="1" t="s">
        <v>3640</v>
      </c>
      <c r="B1205" s="1" t="s">
        <v>3641</v>
      </c>
      <c r="C1205" s="1" t="s">
        <v>3642</v>
      </c>
      <c r="D1205" s="1" t="s">
        <v>3632</v>
      </c>
      <c r="E1205" s="1" t="s">
        <v>3633</v>
      </c>
      <c r="F1205" s="1">
        <v>1001.0</v>
      </c>
      <c r="G1205" s="1">
        <v>18.0</v>
      </c>
      <c r="H1205" s="1">
        <v>4.0</v>
      </c>
      <c r="I1205" s="1">
        <v>9430000.0</v>
      </c>
      <c r="J1205" s="1" t="s">
        <v>2468</v>
      </c>
    </row>
    <row r="1206">
      <c r="A1206" s="1" t="s">
        <v>3643</v>
      </c>
      <c r="B1206" s="1" t="s">
        <v>3644</v>
      </c>
      <c r="C1206" s="1" t="s">
        <v>3645</v>
      </c>
      <c r="D1206" s="1" t="s">
        <v>3632</v>
      </c>
      <c r="E1206" s="1" t="s">
        <v>3633</v>
      </c>
      <c r="F1206" s="1">
        <v>669.0</v>
      </c>
      <c r="G1206" s="1">
        <v>5.0</v>
      </c>
      <c r="H1206" s="1">
        <v>0.0</v>
      </c>
      <c r="I1206" s="1">
        <v>9430000.0</v>
      </c>
      <c r="J1206" s="1" t="s">
        <v>2468</v>
      </c>
    </row>
    <row r="1207">
      <c r="A1207" s="1" t="s">
        <v>3646</v>
      </c>
      <c r="B1207" s="1" t="s">
        <v>3647</v>
      </c>
      <c r="C1207" s="1" t="s">
        <v>3648</v>
      </c>
      <c r="D1207" s="1" t="s">
        <v>3632</v>
      </c>
      <c r="E1207" s="1" t="s">
        <v>3633</v>
      </c>
      <c r="F1207" s="1">
        <v>1794.0</v>
      </c>
      <c r="G1207" s="1">
        <v>24.0</v>
      </c>
      <c r="H1207" s="1">
        <v>2.0</v>
      </c>
      <c r="I1207" s="1">
        <v>9430000.0</v>
      </c>
      <c r="J1207" s="1" t="s">
        <v>2468</v>
      </c>
    </row>
    <row r="1208">
      <c r="A1208" s="1" t="s">
        <v>3649</v>
      </c>
      <c r="B1208" s="1" t="s">
        <v>3650</v>
      </c>
      <c r="C1208" s="1" t="s">
        <v>3651</v>
      </c>
      <c r="D1208" s="1" t="s">
        <v>3632</v>
      </c>
      <c r="E1208" s="1" t="s">
        <v>3633</v>
      </c>
      <c r="F1208" s="1">
        <v>1374.0</v>
      </c>
      <c r="G1208" s="1">
        <v>22.0</v>
      </c>
      <c r="H1208" s="1">
        <v>1.0</v>
      </c>
      <c r="I1208" s="1">
        <v>9430000.0</v>
      </c>
      <c r="J1208" s="1" t="s">
        <v>2468</v>
      </c>
    </row>
    <row r="1209">
      <c r="A1209" s="1" t="s">
        <v>3652</v>
      </c>
      <c r="B1209" s="1" t="s">
        <v>3653</v>
      </c>
      <c r="C1209" s="1" t="s">
        <v>3654</v>
      </c>
      <c r="D1209" s="1" t="s">
        <v>3632</v>
      </c>
      <c r="E1209" s="1" t="s">
        <v>3633</v>
      </c>
      <c r="F1209" s="1">
        <v>685.0</v>
      </c>
      <c r="G1209" s="1">
        <v>6.0</v>
      </c>
      <c r="H1209" s="1">
        <v>0.0</v>
      </c>
      <c r="I1209" s="1">
        <v>9430000.0</v>
      </c>
      <c r="J1209" s="1" t="s">
        <v>2468</v>
      </c>
    </row>
    <row r="1210">
      <c r="A1210" s="1" t="s">
        <v>3655</v>
      </c>
      <c r="B1210" s="1" t="s">
        <v>3656</v>
      </c>
      <c r="C1210" s="1" t="s">
        <v>3657</v>
      </c>
      <c r="D1210" s="1" t="s">
        <v>3632</v>
      </c>
      <c r="E1210" s="1" t="s">
        <v>3633</v>
      </c>
      <c r="F1210" s="1">
        <v>713.0</v>
      </c>
      <c r="G1210" s="1">
        <v>7.0</v>
      </c>
      <c r="H1210" s="1">
        <v>1.0</v>
      </c>
      <c r="I1210" s="1">
        <v>9430000.0</v>
      </c>
      <c r="J1210" s="1" t="s">
        <v>2468</v>
      </c>
    </row>
    <row r="1211">
      <c r="A1211" s="1" t="s">
        <v>3658</v>
      </c>
      <c r="B1211" s="1" t="s">
        <v>3659</v>
      </c>
      <c r="C1211" s="1" t="s">
        <v>3660</v>
      </c>
      <c r="D1211" s="1" t="s">
        <v>3632</v>
      </c>
      <c r="E1211" s="1" t="s">
        <v>3633</v>
      </c>
      <c r="F1211" s="1">
        <v>560.0</v>
      </c>
      <c r="G1211" s="1">
        <v>6.0</v>
      </c>
      <c r="H1211" s="1">
        <v>0.0</v>
      </c>
      <c r="I1211" s="1">
        <v>9430000.0</v>
      </c>
      <c r="J1211" s="1" t="s">
        <v>2468</v>
      </c>
    </row>
    <row r="1212">
      <c r="A1212" s="1" t="s">
        <v>3661</v>
      </c>
      <c r="B1212" s="1" t="s">
        <v>3662</v>
      </c>
      <c r="C1212" s="1" t="s">
        <v>3663</v>
      </c>
      <c r="D1212" s="1" t="s">
        <v>3632</v>
      </c>
      <c r="E1212" s="1" t="s">
        <v>3633</v>
      </c>
      <c r="F1212" s="1">
        <v>592.0</v>
      </c>
      <c r="G1212" s="1">
        <v>6.0</v>
      </c>
      <c r="H1212" s="1">
        <v>0.0</v>
      </c>
      <c r="I1212" s="1">
        <v>9430000.0</v>
      </c>
      <c r="J1212" s="1" t="s">
        <v>2468</v>
      </c>
    </row>
    <row r="1213">
      <c r="A1213" s="1" t="s">
        <v>3664</v>
      </c>
      <c r="B1213" s="1" t="s">
        <v>3665</v>
      </c>
      <c r="C1213" s="1" t="s">
        <v>3666</v>
      </c>
      <c r="D1213" s="1" t="s">
        <v>3632</v>
      </c>
      <c r="E1213" s="1" t="s">
        <v>3633</v>
      </c>
      <c r="F1213" s="1">
        <v>376.0</v>
      </c>
      <c r="G1213" s="1">
        <v>4.0</v>
      </c>
      <c r="H1213" s="1">
        <v>0.0</v>
      </c>
      <c r="I1213" s="1">
        <v>9430000.0</v>
      </c>
      <c r="J1213" s="1" t="s">
        <v>2468</v>
      </c>
    </row>
    <row r="1214">
      <c r="A1214" s="1" t="s">
        <v>3667</v>
      </c>
      <c r="B1214" s="1" t="s">
        <v>3668</v>
      </c>
      <c r="C1214" s="1" t="s">
        <v>3669</v>
      </c>
      <c r="D1214" s="1" t="s">
        <v>3632</v>
      </c>
      <c r="E1214" s="1" t="s">
        <v>3633</v>
      </c>
      <c r="F1214" s="1">
        <v>761.0</v>
      </c>
      <c r="G1214" s="1">
        <v>22.0</v>
      </c>
      <c r="H1214" s="1">
        <v>0.0</v>
      </c>
      <c r="I1214" s="1">
        <v>9430000.0</v>
      </c>
      <c r="J1214" s="1" t="s">
        <v>2468</v>
      </c>
    </row>
    <row r="1215">
      <c r="A1215" s="1" t="s">
        <v>3670</v>
      </c>
      <c r="B1215" s="1" t="s">
        <v>3671</v>
      </c>
      <c r="C1215" s="1" t="s">
        <v>3672</v>
      </c>
      <c r="D1215" s="1" t="s">
        <v>3632</v>
      </c>
      <c r="E1215" s="1" t="s">
        <v>3633</v>
      </c>
      <c r="F1215" s="1">
        <v>626.0</v>
      </c>
      <c r="G1215" s="1">
        <v>14.0</v>
      </c>
      <c r="H1215" s="1">
        <v>1.0</v>
      </c>
      <c r="I1215" s="1">
        <v>9430000.0</v>
      </c>
      <c r="J1215" s="1" t="s">
        <v>2468</v>
      </c>
    </row>
    <row r="1216">
      <c r="A1216" s="1" t="s">
        <v>3673</v>
      </c>
      <c r="B1216" s="1" t="s">
        <v>3674</v>
      </c>
      <c r="C1216" s="1" t="s">
        <v>3675</v>
      </c>
      <c r="D1216" s="1" t="s">
        <v>3632</v>
      </c>
      <c r="E1216" s="1" t="s">
        <v>3633</v>
      </c>
      <c r="F1216" s="1">
        <v>554.0</v>
      </c>
      <c r="G1216" s="1">
        <v>11.0</v>
      </c>
      <c r="H1216" s="1">
        <v>0.0</v>
      </c>
      <c r="I1216" s="1">
        <v>9430000.0</v>
      </c>
      <c r="J1216" s="1" t="s">
        <v>2468</v>
      </c>
    </row>
    <row r="1217">
      <c r="A1217" s="1" t="s">
        <v>3676</v>
      </c>
      <c r="B1217" s="1" t="s">
        <v>3677</v>
      </c>
      <c r="C1217" s="1" t="s">
        <v>3678</v>
      </c>
      <c r="D1217" s="1" t="s">
        <v>3632</v>
      </c>
      <c r="E1217" s="1" t="s">
        <v>3633</v>
      </c>
      <c r="F1217" s="1">
        <v>3247.0</v>
      </c>
      <c r="G1217" s="1">
        <v>59.0</v>
      </c>
      <c r="H1217" s="1">
        <v>3.0</v>
      </c>
      <c r="I1217" s="1">
        <v>9430000.0</v>
      </c>
      <c r="J1217" s="1" t="s">
        <v>2468</v>
      </c>
    </row>
    <row r="1218">
      <c r="A1218" s="1" t="s">
        <v>3679</v>
      </c>
      <c r="B1218" s="1" t="s">
        <v>3680</v>
      </c>
      <c r="C1218" s="1" t="s">
        <v>3681</v>
      </c>
      <c r="D1218" s="1" t="s">
        <v>3632</v>
      </c>
      <c r="E1218" s="1" t="s">
        <v>3633</v>
      </c>
      <c r="F1218" s="1">
        <v>4645.0</v>
      </c>
      <c r="G1218" s="1">
        <v>58.0</v>
      </c>
      <c r="H1218" s="1">
        <v>4.0</v>
      </c>
      <c r="I1218" s="1">
        <v>9430000.0</v>
      </c>
      <c r="J1218" s="1" t="s">
        <v>2468</v>
      </c>
    </row>
    <row r="1219">
      <c r="A1219" s="1" t="s">
        <v>3682</v>
      </c>
      <c r="B1219" s="1" t="s">
        <v>3683</v>
      </c>
      <c r="C1219" s="1" t="s">
        <v>3684</v>
      </c>
      <c r="D1219" s="1" t="s">
        <v>3632</v>
      </c>
      <c r="E1219" s="1" t="s">
        <v>3633</v>
      </c>
      <c r="F1219" s="1">
        <v>4551.0</v>
      </c>
      <c r="G1219" s="1">
        <v>41.0</v>
      </c>
      <c r="H1219" s="1">
        <v>2.0</v>
      </c>
      <c r="I1219" s="1">
        <v>9430000.0</v>
      </c>
      <c r="J1219" s="1" t="s">
        <v>2468</v>
      </c>
    </row>
    <row r="1220">
      <c r="A1220" s="1" t="s">
        <v>3685</v>
      </c>
      <c r="B1220" s="1" t="s">
        <v>3686</v>
      </c>
      <c r="C1220" s="1" t="s">
        <v>3687</v>
      </c>
      <c r="D1220" s="1" t="s">
        <v>3632</v>
      </c>
      <c r="E1220" s="1" t="s">
        <v>3633</v>
      </c>
      <c r="F1220" s="1">
        <v>7638.0</v>
      </c>
      <c r="G1220" s="1">
        <v>197.0</v>
      </c>
      <c r="H1220" s="1">
        <v>15.0</v>
      </c>
      <c r="I1220" s="1">
        <v>9430000.0</v>
      </c>
      <c r="J1220" s="1" t="s">
        <v>2468</v>
      </c>
    </row>
    <row r="1221">
      <c r="A1221" s="1" t="s">
        <v>3688</v>
      </c>
      <c r="B1221" s="1" t="s">
        <v>3689</v>
      </c>
      <c r="C1221" s="1" t="s">
        <v>3690</v>
      </c>
      <c r="D1221" s="1" t="s">
        <v>3632</v>
      </c>
      <c r="E1221" s="1" t="s">
        <v>3633</v>
      </c>
      <c r="F1221" s="1">
        <v>5437.0</v>
      </c>
      <c r="G1221" s="1">
        <v>97.0</v>
      </c>
      <c r="H1221" s="1">
        <v>4.0</v>
      </c>
      <c r="I1221" s="1">
        <v>9430000.0</v>
      </c>
      <c r="J1221" s="1" t="s">
        <v>2468</v>
      </c>
    </row>
    <row r="1222">
      <c r="A1222" s="1" t="s">
        <v>3691</v>
      </c>
      <c r="B1222" s="1" t="s">
        <v>3692</v>
      </c>
      <c r="C1222" s="1" t="s">
        <v>3693</v>
      </c>
      <c r="D1222" s="1" t="s">
        <v>3632</v>
      </c>
      <c r="E1222" s="1" t="s">
        <v>3633</v>
      </c>
      <c r="F1222" s="1">
        <v>5208.0</v>
      </c>
      <c r="G1222" s="1">
        <v>132.0</v>
      </c>
      <c r="H1222" s="1">
        <v>4.0</v>
      </c>
      <c r="I1222" s="1">
        <v>9430000.0</v>
      </c>
      <c r="J1222" s="1" t="s">
        <v>2468</v>
      </c>
    </row>
    <row r="1223">
      <c r="A1223" s="1" t="s">
        <v>3694</v>
      </c>
      <c r="B1223" s="1" t="s">
        <v>3695</v>
      </c>
      <c r="C1223" s="1" t="s">
        <v>3696</v>
      </c>
      <c r="D1223" s="1" t="s">
        <v>3632</v>
      </c>
      <c r="E1223" s="1" t="s">
        <v>3633</v>
      </c>
      <c r="F1223" s="1">
        <v>5595.0</v>
      </c>
      <c r="G1223" s="1">
        <v>110.0</v>
      </c>
      <c r="H1223" s="1">
        <v>7.0</v>
      </c>
      <c r="I1223" s="1">
        <v>9430000.0</v>
      </c>
      <c r="J1223" s="1" t="s">
        <v>2468</v>
      </c>
    </row>
    <row r="1224">
      <c r="A1224" s="1" t="s">
        <v>3697</v>
      </c>
      <c r="B1224" s="1" t="s">
        <v>3698</v>
      </c>
      <c r="C1224" s="1" t="s">
        <v>3699</v>
      </c>
      <c r="D1224" s="1" t="s">
        <v>3632</v>
      </c>
      <c r="E1224" s="1" t="s">
        <v>3633</v>
      </c>
      <c r="F1224" s="1">
        <v>4607.0</v>
      </c>
      <c r="G1224" s="1">
        <v>178.0</v>
      </c>
      <c r="H1224" s="1">
        <v>40.0</v>
      </c>
      <c r="I1224" s="1">
        <v>9430000.0</v>
      </c>
      <c r="J1224" s="1" t="s">
        <v>2468</v>
      </c>
    </row>
    <row r="1225">
      <c r="A1225" s="1" t="s">
        <v>3700</v>
      </c>
      <c r="B1225" s="1" t="s">
        <v>3701</v>
      </c>
      <c r="C1225" s="1" t="s">
        <v>3702</v>
      </c>
      <c r="D1225" s="1" t="s">
        <v>3632</v>
      </c>
      <c r="E1225" s="1" t="s">
        <v>3633</v>
      </c>
      <c r="F1225" s="1">
        <v>1837.0</v>
      </c>
      <c r="G1225" s="1">
        <v>33.0</v>
      </c>
      <c r="H1225" s="1">
        <v>4.0</v>
      </c>
      <c r="I1225" s="1">
        <v>9430000.0</v>
      </c>
      <c r="J1225" s="1" t="s">
        <v>2468</v>
      </c>
    </row>
    <row r="1226">
      <c r="A1226" s="1" t="s">
        <v>3703</v>
      </c>
      <c r="B1226" s="1" t="s">
        <v>3704</v>
      </c>
      <c r="C1226" s="1" t="s">
        <v>3705</v>
      </c>
      <c r="D1226" s="1" t="s">
        <v>3632</v>
      </c>
      <c r="E1226" s="1" t="s">
        <v>3633</v>
      </c>
      <c r="F1226" s="1">
        <v>2017.0</v>
      </c>
      <c r="G1226" s="1">
        <v>43.0</v>
      </c>
      <c r="H1226" s="1">
        <v>10.0</v>
      </c>
      <c r="I1226" s="1">
        <v>9430000.0</v>
      </c>
      <c r="J1226" s="1" t="s">
        <v>2468</v>
      </c>
    </row>
    <row r="1227">
      <c r="A1227" s="1" t="s">
        <v>3706</v>
      </c>
      <c r="B1227" s="1" t="s">
        <v>3707</v>
      </c>
      <c r="C1227" s="1" t="s">
        <v>3708</v>
      </c>
      <c r="D1227" s="1" t="s">
        <v>3632</v>
      </c>
      <c r="E1227" s="1" t="s">
        <v>3633</v>
      </c>
      <c r="F1227" s="1">
        <v>2854.0</v>
      </c>
      <c r="G1227" s="1">
        <v>44.0</v>
      </c>
      <c r="H1227" s="1">
        <v>2.0</v>
      </c>
      <c r="I1227" s="1">
        <v>9430000.0</v>
      </c>
      <c r="J1227" s="1" t="s">
        <v>2468</v>
      </c>
    </row>
    <row r="1228">
      <c r="A1228" s="1" t="s">
        <v>3709</v>
      </c>
      <c r="B1228" s="1" t="s">
        <v>3710</v>
      </c>
      <c r="C1228" s="1" t="s">
        <v>3711</v>
      </c>
      <c r="D1228" s="1" t="s">
        <v>3632</v>
      </c>
      <c r="E1228" s="1" t="s">
        <v>3633</v>
      </c>
      <c r="F1228" s="1">
        <v>1851.0</v>
      </c>
      <c r="G1228" s="1">
        <v>17.0</v>
      </c>
      <c r="H1228" s="1">
        <v>0.0</v>
      </c>
      <c r="I1228" s="1">
        <v>9430000.0</v>
      </c>
      <c r="J1228" s="1" t="s">
        <v>2468</v>
      </c>
    </row>
    <row r="1229">
      <c r="A1229" s="1" t="s">
        <v>3712</v>
      </c>
      <c r="B1229" s="1" t="s">
        <v>3713</v>
      </c>
      <c r="C1229" s="1" t="s">
        <v>3714</v>
      </c>
      <c r="D1229" s="1" t="s">
        <v>3632</v>
      </c>
      <c r="E1229" s="1" t="s">
        <v>3633</v>
      </c>
      <c r="F1229" s="1">
        <v>1615.0</v>
      </c>
      <c r="G1229" s="1">
        <v>23.0</v>
      </c>
      <c r="H1229" s="1">
        <v>0.0</v>
      </c>
      <c r="I1229" s="1">
        <v>9430000.0</v>
      </c>
      <c r="J1229" s="1" t="s">
        <v>2468</v>
      </c>
    </row>
    <row r="1230">
      <c r="A1230" s="1" t="s">
        <v>3715</v>
      </c>
      <c r="B1230" s="1" t="s">
        <v>3716</v>
      </c>
      <c r="C1230" s="1" t="s">
        <v>3717</v>
      </c>
      <c r="D1230" s="1" t="s">
        <v>3632</v>
      </c>
      <c r="E1230" s="1" t="s">
        <v>3633</v>
      </c>
      <c r="F1230" s="1">
        <v>2134.0</v>
      </c>
      <c r="G1230" s="1">
        <v>24.0</v>
      </c>
      <c r="H1230" s="1">
        <v>1.0</v>
      </c>
      <c r="I1230" s="1">
        <v>9430000.0</v>
      </c>
      <c r="J1230" s="1" t="s">
        <v>2468</v>
      </c>
    </row>
    <row r="1231">
      <c r="A1231" s="1" t="s">
        <v>3718</v>
      </c>
      <c r="B1231" s="1" t="s">
        <v>3719</v>
      </c>
      <c r="C1231" s="1" t="s">
        <v>3720</v>
      </c>
      <c r="D1231" s="1" t="s">
        <v>3632</v>
      </c>
      <c r="E1231" s="1" t="s">
        <v>3633</v>
      </c>
      <c r="F1231" s="1">
        <v>1268.0</v>
      </c>
      <c r="G1231" s="1">
        <v>10.0</v>
      </c>
      <c r="H1231" s="1">
        <v>1.0</v>
      </c>
      <c r="I1231" s="1">
        <v>9430000.0</v>
      </c>
      <c r="J1231" s="1" t="s">
        <v>2468</v>
      </c>
    </row>
    <row r="1232">
      <c r="A1232" s="1" t="s">
        <v>3721</v>
      </c>
      <c r="B1232" s="1" t="s">
        <v>3722</v>
      </c>
      <c r="C1232" s="1" t="s">
        <v>3723</v>
      </c>
      <c r="D1232" s="1" t="s">
        <v>3632</v>
      </c>
      <c r="E1232" s="1" t="s">
        <v>3633</v>
      </c>
      <c r="F1232" s="1">
        <v>820.0</v>
      </c>
      <c r="G1232" s="1">
        <v>13.0</v>
      </c>
      <c r="H1232" s="1">
        <v>1.0</v>
      </c>
      <c r="I1232" s="1">
        <v>9430000.0</v>
      </c>
      <c r="J1232" s="1" t="s">
        <v>2468</v>
      </c>
    </row>
    <row r="1233">
      <c r="A1233" s="1" t="s">
        <v>3724</v>
      </c>
      <c r="B1233" s="1" t="s">
        <v>3725</v>
      </c>
      <c r="C1233" s="1" t="s">
        <v>3726</v>
      </c>
      <c r="D1233" s="1" t="s">
        <v>3632</v>
      </c>
      <c r="E1233" s="1" t="s">
        <v>3633</v>
      </c>
      <c r="F1233" s="1">
        <v>734.0</v>
      </c>
      <c r="G1233" s="1">
        <v>7.0</v>
      </c>
      <c r="H1233" s="1">
        <v>0.0</v>
      </c>
      <c r="I1233" s="1">
        <v>9430000.0</v>
      </c>
      <c r="J1233" s="1" t="s">
        <v>2468</v>
      </c>
    </row>
    <row r="1234">
      <c r="A1234" s="1" t="s">
        <v>3727</v>
      </c>
      <c r="B1234" s="1" t="s">
        <v>3728</v>
      </c>
      <c r="C1234" s="1" t="s">
        <v>3729</v>
      </c>
      <c r="D1234" s="1" t="s">
        <v>3632</v>
      </c>
      <c r="E1234" s="1" t="s">
        <v>3633</v>
      </c>
      <c r="F1234" s="1">
        <v>537.0</v>
      </c>
      <c r="G1234" s="1">
        <v>7.0</v>
      </c>
      <c r="H1234" s="1">
        <v>0.0</v>
      </c>
      <c r="I1234" s="1">
        <v>9430000.0</v>
      </c>
      <c r="J1234" s="1" t="s">
        <v>2468</v>
      </c>
    </row>
    <row r="1235">
      <c r="A1235" s="1" t="s">
        <v>3730</v>
      </c>
      <c r="B1235" s="1" t="s">
        <v>3731</v>
      </c>
      <c r="C1235" s="1" t="s">
        <v>3732</v>
      </c>
      <c r="D1235" s="1" t="s">
        <v>3632</v>
      </c>
      <c r="E1235" s="1" t="s">
        <v>3633</v>
      </c>
      <c r="F1235" s="1">
        <v>483.0</v>
      </c>
      <c r="G1235" s="1">
        <v>7.0</v>
      </c>
      <c r="H1235" s="1">
        <v>0.0</v>
      </c>
      <c r="I1235" s="1">
        <v>9430000.0</v>
      </c>
      <c r="J1235" s="1" t="s">
        <v>2468</v>
      </c>
    </row>
    <row r="1236">
      <c r="A1236" s="1" t="s">
        <v>3733</v>
      </c>
      <c r="B1236" s="1" t="s">
        <v>3734</v>
      </c>
      <c r="C1236" s="1" t="s">
        <v>3735</v>
      </c>
      <c r="D1236" s="1" t="s">
        <v>3632</v>
      </c>
      <c r="E1236" s="1" t="s">
        <v>3633</v>
      </c>
      <c r="F1236" s="1">
        <v>923.0</v>
      </c>
      <c r="G1236" s="1">
        <v>14.0</v>
      </c>
      <c r="H1236" s="1">
        <v>0.0</v>
      </c>
      <c r="I1236" s="1">
        <v>9430000.0</v>
      </c>
      <c r="J1236" s="1" t="s">
        <v>2468</v>
      </c>
    </row>
    <row r="1237">
      <c r="A1237" s="1" t="s">
        <v>3736</v>
      </c>
      <c r="B1237" s="1" t="s">
        <v>3737</v>
      </c>
      <c r="C1237" s="1" t="s">
        <v>3738</v>
      </c>
      <c r="D1237" s="1" t="s">
        <v>3632</v>
      </c>
      <c r="E1237" s="1" t="s">
        <v>3633</v>
      </c>
      <c r="F1237" s="1">
        <v>729.0</v>
      </c>
      <c r="G1237" s="1">
        <v>6.0</v>
      </c>
      <c r="H1237" s="1">
        <v>0.0</v>
      </c>
      <c r="I1237" s="1">
        <v>9430000.0</v>
      </c>
      <c r="J1237" s="1" t="s">
        <v>2468</v>
      </c>
    </row>
    <row r="1238">
      <c r="A1238" s="1" t="s">
        <v>3739</v>
      </c>
      <c r="B1238" s="1" t="s">
        <v>3740</v>
      </c>
      <c r="C1238" s="1" t="s">
        <v>3741</v>
      </c>
      <c r="D1238" s="1" t="s">
        <v>3632</v>
      </c>
      <c r="E1238" s="1" t="s">
        <v>3633</v>
      </c>
      <c r="F1238" s="1">
        <v>546.0</v>
      </c>
      <c r="G1238" s="1">
        <v>3.0</v>
      </c>
      <c r="H1238" s="1">
        <v>0.0</v>
      </c>
      <c r="I1238" s="1">
        <v>9430000.0</v>
      </c>
      <c r="J1238" s="1" t="s">
        <v>2468</v>
      </c>
    </row>
    <row r="1239">
      <c r="A1239" s="1" t="s">
        <v>3742</v>
      </c>
      <c r="B1239" s="1" t="s">
        <v>3743</v>
      </c>
      <c r="C1239" s="1" t="s">
        <v>3744</v>
      </c>
      <c r="D1239" s="1" t="s">
        <v>3632</v>
      </c>
      <c r="E1239" s="1" t="s">
        <v>3633</v>
      </c>
      <c r="F1239" s="1">
        <v>486.0</v>
      </c>
      <c r="G1239" s="1">
        <v>7.0</v>
      </c>
      <c r="H1239" s="1">
        <v>3.0</v>
      </c>
      <c r="I1239" s="1">
        <v>9430000.0</v>
      </c>
      <c r="J1239" s="1" t="s">
        <v>2468</v>
      </c>
    </row>
    <row r="1240">
      <c r="A1240" s="1" t="s">
        <v>3745</v>
      </c>
      <c r="B1240" s="1" t="s">
        <v>3746</v>
      </c>
      <c r="C1240" s="1" t="s">
        <v>3747</v>
      </c>
      <c r="D1240" s="1" t="s">
        <v>3632</v>
      </c>
      <c r="E1240" s="1" t="s">
        <v>3633</v>
      </c>
      <c r="F1240" s="1">
        <v>356.0</v>
      </c>
      <c r="G1240" s="1">
        <v>2.0</v>
      </c>
      <c r="H1240" s="1">
        <v>0.0</v>
      </c>
      <c r="I1240" s="1">
        <v>9430000.0</v>
      </c>
      <c r="J1240" s="1" t="s">
        <v>2468</v>
      </c>
    </row>
    <row r="1241">
      <c r="A1241" s="1" t="s">
        <v>3748</v>
      </c>
      <c r="B1241" s="1" t="s">
        <v>3749</v>
      </c>
      <c r="C1241" s="1" t="s">
        <v>3750</v>
      </c>
      <c r="D1241" s="1" t="s">
        <v>3632</v>
      </c>
      <c r="E1241" s="1" t="s">
        <v>3633</v>
      </c>
      <c r="F1241" s="1">
        <v>671.0</v>
      </c>
      <c r="G1241" s="1">
        <v>3.0</v>
      </c>
      <c r="H1241" s="1">
        <v>0.0</v>
      </c>
      <c r="I1241" s="1">
        <v>9430000.0</v>
      </c>
      <c r="J1241" s="1" t="s">
        <v>2468</v>
      </c>
    </row>
    <row r="1242">
      <c r="A1242" s="1" t="s">
        <v>3751</v>
      </c>
      <c r="B1242" s="1" t="s">
        <v>3752</v>
      </c>
      <c r="C1242" s="1" t="s">
        <v>3753</v>
      </c>
      <c r="D1242" s="1" t="s">
        <v>3632</v>
      </c>
      <c r="E1242" s="1" t="s">
        <v>3633</v>
      </c>
      <c r="F1242" s="1">
        <v>350.0</v>
      </c>
      <c r="G1242" s="1">
        <v>1.0</v>
      </c>
      <c r="H1242" s="1">
        <v>1.0</v>
      </c>
      <c r="I1242" s="1">
        <v>9430000.0</v>
      </c>
      <c r="J1242" s="1" t="s">
        <v>2468</v>
      </c>
    </row>
    <row r="1243">
      <c r="A1243" s="1" t="s">
        <v>3754</v>
      </c>
      <c r="B1243" s="1" t="s">
        <v>3755</v>
      </c>
      <c r="C1243" s="1" t="s">
        <v>3756</v>
      </c>
      <c r="D1243" s="1" t="s">
        <v>3632</v>
      </c>
      <c r="E1243" s="1" t="s">
        <v>3633</v>
      </c>
      <c r="F1243" s="1">
        <v>393.0</v>
      </c>
      <c r="G1243" s="1">
        <v>1.0</v>
      </c>
      <c r="H1243" s="1">
        <v>0.0</v>
      </c>
      <c r="I1243" s="1">
        <v>9430000.0</v>
      </c>
      <c r="J1243" s="1" t="s">
        <v>2468</v>
      </c>
    </row>
    <row r="1244">
      <c r="A1244" s="1" t="s">
        <v>3757</v>
      </c>
      <c r="B1244" s="1" t="s">
        <v>3758</v>
      </c>
      <c r="C1244" s="1" t="s">
        <v>3759</v>
      </c>
      <c r="D1244" s="1" t="s">
        <v>3632</v>
      </c>
      <c r="E1244" s="1" t="s">
        <v>3633</v>
      </c>
      <c r="F1244" s="1">
        <v>332.0</v>
      </c>
      <c r="G1244" s="1">
        <v>5.0</v>
      </c>
      <c r="H1244" s="1">
        <v>0.0</v>
      </c>
      <c r="I1244" s="1">
        <v>9430000.0</v>
      </c>
      <c r="J1244" s="1" t="s">
        <v>2468</v>
      </c>
    </row>
    <row r="1245">
      <c r="A1245" s="1" t="s">
        <v>3760</v>
      </c>
      <c r="B1245" s="1" t="s">
        <v>3761</v>
      </c>
      <c r="C1245" s="1" t="s">
        <v>3762</v>
      </c>
      <c r="D1245" s="1" t="s">
        <v>3632</v>
      </c>
      <c r="E1245" s="1" t="s">
        <v>3633</v>
      </c>
      <c r="F1245" s="1">
        <v>483.0</v>
      </c>
      <c r="G1245" s="1">
        <v>3.0</v>
      </c>
      <c r="H1245" s="1">
        <v>1.0</v>
      </c>
      <c r="I1245" s="1">
        <v>9430000.0</v>
      </c>
      <c r="J1245" s="1" t="s">
        <v>2468</v>
      </c>
    </row>
    <row r="1246">
      <c r="A1246" s="1" t="s">
        <v>3763</v>
      </c>
      <c r="B1246" s="1" t="s">
        <v>3764</v>
      </c>
      <c r="C1246" s="1" t="s">
        <v>3765</v>
      </c>
      <c r="D1246" s="1" t="s">
        <v>3632</v>
      </c>
      <c r="E1246" s="1" t="s">
        <v>3633</v>
      </c>
      <c r="F1246" s="1">
        <v>419.0</v>
      </c>
      <c r="G1246" s="1">
        <v>2.0</v>
      </c>
      <c r="H1246" s="1">
        <v>0.0</v>
      </c>
      <c r="I1246" s="1">
        <v>9430000.0</v>
      </c>
      <c r="J1246" s="1" t="s">
        <v>2468</v>
      </c>
    </row>
    <row r="1247">
      <c r="A1247" s="1" t="s">
        <v>3766</v>
      </c>
      <c r="B1247" s="1" t="s">
        <v>3767</v>
      </c>
      <c r="C1247" s="1" t="s">
        <v>3768</v>
      </c>
      <c r="D1247" s="1" t="s">
        <v>3632</v>
      </c>
      <c r="E1247" s="1" t="s">
        <v>3633</v>
      </c>
      <c r="F1247" s="1">
        <v>404.0</v>
      </c>
      <c r="G1247" s="1">
        <v>3.0</v>
      </c>
      <c r="H1247" s="1">
        <v>0.0</v>
      </c>
      <c r="I1247" s="1">
        <v>9430000.0</v>
      </c>
      <c r="J1247" s="1" t="s">
        <v>2468</v>
      </c>
    </row>
    <row r="1248">
      <c r="A1248" s="1" t="s">
        <v>3769</v>
      </c>
      <c r="B1248" s="1" t="s">
        <v>3770</v>
      </c>
      <c r="C1248" s="1" t="s">
        <v>3771</v>
      </c>
      <c r="D1248" s="1" t="s">
        <v>3632</v>
      </c>
      <c r="E1248" s="1" t="s">
        <v>3633</v>
      </c>
      <c r="F1248" s="1">
        <v>463.0</v>
      </c>
      <c r="G1248" s="1">
        <v>4.0</v>
      </c>
      <c r="H1248" s="1">
        <v>1.0</v>
      </c>
      <c r="I1248" s="1">
        <v>9430000.0</v>
      </c>
      <c r="J1248" s="1" t="s">
        <v>2468</v>
      </c>
    </row>
    <row r="1249">
      <c r="A1249" s="1" t="s">
        <v>3772</v>
      </c>
      <c r="B1249" s="1" t="s">
        <v>3773</v>
      </c>
      <c r="C1249" s="1" t="s">
        <v>3774</v>
      </c>
      <c r="D1249" s="1" t="s">
        <v>3632</v>
      </c>
      <c r="E1249" s="1" t="s">
        <v>3633</v>
      </c>
      <c r="F1249" s="1">
        <v>635.0</v>
      </c>
      <c r="G1249" s="1">
        <v>5.0</v>
      </c>
      <c r="H1249" s="1">
        <v>1.0</v>
      </c>
      <c r="I1249" s="1">
        <v>9430000.0</v>
      </c>
      <c r="J1249" s="1" t="s">
        <v>2468</v>
      </c>
    </row>
    <row r="1250">
      <c r="A1250" s="1" t="s">
        <v>3775</v>
      </c>
      <c r="B1250" s="1" t="s">
        <v>3776</v>
      </c>
      <c r="C1250" s="1" t="s">
        <v>3777</v>
      </c>
      <c r="D1250" s="1" t="s">
        <v>3632</v>
      </c>
      <c r="E1250" s="1" t="s">
        <v>3633</v>
      </c>
      <c r="F1250" s="1">
        <v>1284.0</v>
      </c>
      <c r="G1250" s="1">
        <v>6.0</v>
      </c>
      <c r="H1250" s="1">
        <v>2.0</v>
      </c>
      <c r="I1250" s="1">
        <v>9430000.0</v>
      </c>
      <c r="J1250" s="1" t="s">
        <v>2468</v>
      </c>
    </row>
    <row r="1251">
      <c r="A1251" s="1" t="s">
        <v>3778</v>
      </c>
      <c r="B1251" s="1" t="s">
        <v>3779</v>
      </c>
      <c r="C1251" s="1" t="s">
        <v>3780</v>
      </c>
      <c r="D1251" s="1" t="s">
        <v>3632</v>
      </c>
      <c r="E1251" s="1" t="s">
        <v>3633</v>
      </c>
      <c r="F1251" s="1">
        <v>451.0</v>
      </c>
      <c r="G1251" s="1">
        <v>3.0</v>
      </c>
      <c r="H1251" s="1">
        <v>1.0</v>
      </c>
      <c r="I1251" s="1">
        <v>9430000.0</v>
      </c>
      <c r="J1251" s="1" t="s">
        <v>2468</v>
      </c>
    </row>
    <row r="1252">
      <c r="A1252" s="1" t="s">
        <v>3781</v>
      </c>
      <c r="B1252" s="1" t="s">
        <v>3782</v>
      </c>
      <c r="C1252" s="1" t="s">
        <v>3783</v>
      </c>
      <c r="D1252" s="1" t="s">
        <v>3632</v>
      </c>
      <c r="E1252" s="1" t="s">
        <v>3633</v>
      </c>
      <c r="F1252" s="1">
        <v>904.0</v>
      </c>
      <c r="G1252" s="1">
        <v>7.0</v>
      </c>
      <c r="H1252" s="1">
        <v>0.0</v>
      </c>
      <c r="I1252" s="1">
        <v>9430000.0</v>
      </c>
      <c r="J1252" s="1" t="s">
        <v>2468</v>
      </c>
    </row>
    <row r="1253">
      <c r="A1253" s="1" t="s">
        <v>3784</v>
      </c>
      <c r="B1253" s="1" t="s">
        <v>3785</v>
      </c>
      <c r="C1253" s="1" t="s">
        <v>3786</v>
      </c>
      <c r="D1253" s="1" t="s">
        <v>3632</v>
      </c>
      <c r="E1253" s="1" t="s">
        <v>3633</v>
      </c>
      <c r="F1253" s="1">
        <v>1211.0</v>
      </c>
      <c r="G1253" s="1">
        <v>12.0</v>
      </c>
      <c r="H1253" s="1">
        <v>0.0</v>
      </c>
      <c r="I1253" s="1">
        <v>9430000.0</v>
      </c>
      <c r="J1253" s="1" t="s">
        <v>2468</v>
      </c>
    </row>
    <row r="1254">
      <c r="A1254" s="1" t="s">
        <v>3787</v>
      </c>
      <c r="B1254" s="1" t="s">
        <v>3788</v>
      </c>
      <c r="C1254" s="1" t="s">
        <v>3789</v>
      </c>
      <c r="D1254" s="1" t="s">
        <v>3632</v>
      </c>
      <c r="E1254" s="1" t="s">
        <v>3633</v>
      </c>
      <c r="F1254" s="1">
        <v>398.0</v>
      </c>
      <c r="G1254" s="1">
        <v>7.0</v>
      </c>
      <c r="H1254" s="1">
        <v>0.0</v>
      </c>
      <c r="I1254" s="1">
        <v>9430000.0</v>
      </c>
      <c r="J1254" s="1" t="s">
        <v>2468</v>
      </c>
    </row>
    <row r="1255">
      <c r="A1255" s="1" t="s">
        <v>3790</v>
      </c>
      <c r="B1255" s="1" t="s">
        <v>3791</v>
      </c>
      <c r="C1255" s="1" t="s">
        <v>3792</v>
      </c>
      <c r="D1255" s="1" t="s">
        <v>3632</v>
      </c>
      <c r="E1255" s="1" t="s">
        <v>3633</v>
      </c>
      <c r="F1255" s="1">
        <v>1323.0</v>
      </c>
      <c r="G1255" s="1">
        <v>15.0</v>
      </c>
      <c r="H1255" s="1">
        <v>0.0</v>
      </c>
      <c r="I1255" s="1">
        <v>9430000.0</v>
      </c>
      <c r="J1255" s="1" t="s">
        <v>2468</v>
      </c>
    </row>
    <row r="1256">
      <c r="A1256" s="1" t="s">
        <v>3793</v>
      </c>
      <c r="B1256" s="1" t="s">
        <v>3794</v>
      </c>
      <c r="C1256" s="1" t="s">
        <v>3795</v>
      </c>
      <c r="D1256" s="1" t="s">
        <v>3632</v>
      </c>
      <c r="E1256" s="1" t="s">
        <v>3633</v>
      </c>
      <c r="F1256" s="1">
        <v>1180.0</v>
      </c>
      <c r="G1256" s="1">
        <v>23.0</v>
      </c>
      <c r="H1256" s="1">
        <v>2.0</v>
      </c>
      <c r="I1256" s="1">
        <v>9430000.0</v>
      </c>
      <c r="J1256" s="1" t="s">
        <v>2468</v>
      </c>
    </row>
    <row r="1257">
      <c r="A1257" s="1" t="s">
        <v>3796</v>
      </c>
      <c r="B1257" s="1" t="s">
        <v>3797</v>
      </c>
      <c r="C1257" s="1" t="s">
        <v>3798</v>
      </c>
      <c r="D1257" s="1" t="s">
        <v>3632</v>
      </c>
      <c r="E1257" s="1" t="s">
        <v>3633</v>
      </c>
      <c r="F1257" s="1">
        <v>1058.0</v>
      </c>
      <c r="G1257" s="1">
        <v>14.0</v>
      </c>
      <c r="H1257" s="1">
        <v>0.0</v>
      </c>
      <c r="I1257" s="1">
        <v>9430000.0</v>
      </c>
      <c r="J1257" s="1" t="s">
        <v>2468</v>
      </c>
    </row>
    <row r="1258">
      <c r="A1258" s="1" t="s">
        <v>3799</v>
      </c>
      <c r="B1258" s="1" t="s">
        <v>3800</v>
      </c>
      <c r="C1258" s="1" t="s">
        <v>3801</v>
      </c>
      <c r="D1258" s="1" t="s">
        <v>3632</v>
      </c>
      <c r="E1258" s="1" t="s">
        <v>3633</v>
      </c>
      <c r="F1258" s="1">
        <v>729.0</v>
      </c>
      <c r="G1258" s="1">
        <v>18.0</v>
      </c>
      <c r="H1258" s="1">
        <v>0.0</v>
      </c>
      <c r="I1258" s="1">
        <v>9430000.0</v>
      </c>
      <c r="J1258" s="1" t="s">
        <v>2468</v>
      </c>
    </row>
    <row r="1259">
      <c r="A1259" s="1" t="s">
        <v>3802</v>
      </c>
      <c r="B1259" s="1" t="s">
        <v>3803</v>
      </c>
      <c r="C1259" s="1" t="s">
        <v>3804</v>
      </c>
      <c r="D1259" s="1" t="s">
        <v>3632</v>
      </c>
      <c r="E1259" s="1" t="s">
        <v>3633</v>
      </c>
      <c r="F1259" s="1">
        <v>3646.0</v>
      </c>
      <c r="G1259" s="1">
        <v>86.0</v>
      </c>
      <c r="H1259" s="1">
        <v>7.0</v>
      </c>
      <c r="I1259" s="1">
        <v>9430000.0</v>
      </c>
      <c r="J1259" s="1" t="s">
        <v>2468</v>
      </c>
    </row>
    <row r="1260">
      <c r="A1260" s="1" t="s">
        <v>3805</v>
      </c>
      <c r="B1260" s="1" t="s">
        <v>3806</v>
      </c>
      <c r="C1260" s="1" t="s">
        <v>3807</v>
      </c>
      <c r="D1260" s="1" t="s">
        <v>3632</v>
      </c>
      <c r="E1260" s="1" t="s">
        <v>3633</v>
      </c>
      <c r="F1260" s="1">
        <v>1956.0</v>
      </c>
      <c r="G1260" s="1">
        <v>25.0</v>
      </c>
      <c r="H1260" s="1">
        <v>0.0</v>
      </c>
      <c r="I1260" s="1">
        <v>9430000.0</v>
      </c>
      <c r="J1260" s="1" t="s">
        <v>2468</v>
      </c>
    </row>
    <row r="1261">
      <c r="A1261" s="1" t="s">
        <v>3808</v>
      </c>
      <c r="B1261" s="1" t="s">
        <v>3809</v>
      </c>
      <c r="C1261" s="1" t="s">
        <v>3810</v>
      </c>
      <c r="D1261" s="1" t="s">
        <v>3632</v>
      </c>
      <c r="E1261" s="1" t="s">
        <v>3633</v>
      </c>
      <c r="F1261" s="1">
        <v>1719.0</v>
      </c>
      <c r="G1261" s="1">
        <v>34.0</v>
      </c>
      <c r="H1261" s="1">
        <v>0.0</v>
      </c>
      <c r="I1261" s="1">
        <v>9430000.0</v>
      </c>
      <c r="J1261" s="1" t="s">
        <v>2468</v>
      </c>
    </row>
    <row r="1262">
      <c r="A1262" s="1" t="s">
        <v>3811</v>
      </c>
      <c r="B1262" s="1" t="s">
        <v>3812</v>
      </c>
      <c r="C1262" s="1" t="s">
        <v>3813</v>
      </c>
      <c r="D1262" s="1" t="s">
        <v>3632</v>
      </c>
      <c r="E1262" s="1" t="s">
        <v>3633</v>
      </c>
      <c r="F1262" s="1">
        <v>1065.0</v>
      </c>
      <c r="G1262" s="1">
        <v>29.0</v>
      </c>
      <c r="H1262" s="1">
        <v>0.0</v>
      </c>
      <c r="I1262" s="1">
        <v>9430000.0</v>
      </c>
      <c r="J1262" s="1" t="s">
        <v>2468</v>
      </c>
    </row>
    <row r="1263">
      <c r="A1263" s="1" t="s">
        <v>3814</v>
      </c>
      <c r="B1263" s="1" t="s">
        <v>3815</v>
      </c>
      <c r="C1263" s="1" t="s">
        <v>3816</v>
      </c>
      <c r="D1263" s="1" t="s">
        <v>3632</v>
      </c>
      <c r="E1263" s="1" t="s">
        <v>3633</v>
      </c>
      <c r="F1263" s="1">
        <v>868.0</v>
      </c>
      <c r="G1263" s="1">
        <v>30.0</v>
      </c>
      <c r="H1263" s="1">
        <v>0.0</v>
      </c>
      <c r="I1263" s="1">
        <v>9430000.0</v>
      </c>
      <c r="J1263" s="1" t="s">
        <v>2468</v>
      </c>
    </row>
    <row r="1264">
      <c r="A1264" s="1" t="s">
        <v>3817</v>
      </c>
      <c r="B1264" s="1" t="s">
        <v>3818</v>
      </c>
      <c r="C1264" s="1" t="s">
        <v>3819</v>
      </c>
      <c r="D1264" s="1" t="s">
        <v>3632</v>
      </c>
      <c r="E1264" s="1" t="s">
        <v>3633</v>
      </c>
      <c r="F1264" s="1">
        <v>1577.0</v>
      </c>
      <c r="G1264" s="1">
        <v>41.0</v>
      </c>
      <c r="H1264" s="1">
        <v>0.0</v>
      </c>
      <c r="I1264" s="1">
        <v>9430000.0</v>
      </c>
      <c r="J1264" s="1" t="s">
        <v>2468</v>
      </c>
    </row>
    <row r="1265">
      <c r="A1265" s="1" t="s">
        <v>3820</v>
      </c>
      <c r="B1265" s="1" t="s">
        <v>3821</v>
      </c>
      <c r="C1265" s="1" t="s">
        <v>3822</v>
      </c>
      <c r="D1265" s="1" t="s">
        <v>3632</v>
      </c>
      <c r="E1265" s="1" t="s">
        <v>3633</v>
      </c>
      <c r="F1265" s="1">
        <v>2893.0</v>
      </c>
      <c r="G1265" s="1">
        <v>93.0</v>
      </c>
      <c r="H1265" s="1">
        <v>3.0</v>
      </c>
      <c r="I1265" s="1">
        <v>9430000.0</v>
      </c>
      <c r="J1265" s="1" t="s">
        <v>2468</v>
      </c>
    </row>
    <row r="1266">
      <c r="A1266" s="1" t="s">
        <v>3823</v>
      </c>
      <c r="B1266" s="1" t="s">
        <v>3824</v>
      </c>
      <c r="C1266" s="1" t="s">
        <v>3825</v>
      </c>
      <c r="D1266" s="1" t="s">
        <v>3632</v>
      </c>
      <c r="E1266" s="1" t="s">
        <v>3633</v>
      </c>
      <c r="F1266" s="1">
        <v>2537.0</v>
      </c>
      <c r="G1266" s="1">
        <v>51.0</v>
      </c>
      <c r="H1266" s="1">
        <v>3.0</v>
      </c>
      <c r="I1266" s="1">
        <v>9430000.0</v>
      </c>
      <c r="J1266" s="1" t="s">
        <v>2468</v>
      </c>
    </row>
    <row r="1267">
      <c r="A1267" s="1" t="s">
        <v>3826</v>
      </c>
      <c r="B1267" s="1" t="s">
        <v>3827</v>
      </c>
      <c r="C1267" s="1" t="s">
        <v>3828</v>
      </c>
      <c r="D1267" s="1" t="s">
        <v>3632</v>
      </c>
      <c r="E1267" s="1" t="s">
        <v>3633</v>
      </c>
      <c r="F1267" s="1">
        <v>1858.0</v>
      </c>
      <c r="G1267" s="1">
        <v>37.0</v>
      </c>
      <c r="H1267" s="1">
        <v>1.0</v>
      </c>
      <c r="I1267" s="1">
        <v>9430000.0</v>
      </c>
      <c r="J1267" s="1" t="s">
        <v>2468</v>
      </c>
    </row>
    <row r="1268">
      <c r="A1268" s="1" t="s">
        <v>3829</v>
      </c>
      <c r="B1268" s="1" t="s">
        <v>3830</v>
      </c>
      <c r="C1268" s="1" t="s">
        <v>3831</v>
      </c>
      <c r="D1268" s="1" t="s">
        <v>3632</v>
      </c>
      <c r="E1268" s="1" t="s">
        <v>3633</v>
      </c>
      <c r="F1268" s="1">
        <v>1242.0</v>
      </c>
      <c r="G1268" s="1">
        <v>24.0</v>
      </c>
      <c r="H1268" s="1">
        <v>3.0</v>
      </c>
      <c r="I1268" s="1">
        <v>9430000.0</v>
      </c>
      <c r="J1268" s="1" t="s">
        <v>2468</v>
      </c>
    </row>
    <row r="1269">
      <c r="A1269" s="1" t="s">
        <v>3832</v>
      </c>
      <c r="B1269" s="1" t="s">
        <v>3833</v>
      </c>
      <c r="C1269" s="1" t="s">
        <v>3834</v>
      </c>
      <c r="D1269" s="1" t="s">
        <v>3632</v>
      </c>
      <c r="E1269" s="1" t="s">
        <v>3633</v>
      </c>
      <c r="F1269" s="1">
        <v>863.0</v>
      </c>
      <c r="G1269" s="1">
        <v>11.0</v>
      </c>
      <c r="H1269" s="1">
        <v>1.0</v>
      </c>
      <c r="I1269" s="1">
        <v>9430000.0</v>
      </c>
      <c r="J1269" s="1" t="s">
        <v>2468</v>
      </c>
    </row>
    <row r="1270">
      <c r="A1270" s="1" t="s">
        <v>3835</v>
      </c>
      <c r="B1270" s="1" t="s">
        <v>3836</v>
      </c>
      <c r="C1270" s="1" t="s">
        <v>3837</v>
      </c>
      <c r="D1270" s="1" t="s">
        <v>3632</v>
      </c>
      <c r="E1270" s="1" t="s">
        <v>3633</v>
      </c>
      <c r="F1270" s="1">
        <v>774.0</v>
      </c>
      <c r="G1270" s="1">
        <v>17.0</v>
      </c>
      <c r="H1270" s="1">
        <v>2.0</v>
      </c>
      <c r="I1270" s="1">
        <v>9430000.0</v>
      </c>
      <c r="J1270" s="1" t="s">
        <v>2468</v>
      </c>
    </row>
    <row r="1271">
      <c r="A1271" s="1" t="s">
        <v>3838</v>
      </c>
      <c r="B1271" s="1" t="s">
        <v>3839</v>
      </c>
      <c r="C1271" s="1" t="s">
        <v>3840</v>
      </c>
      <c r="D1271" s="1" t="s">
        <v>3632</v>
      </c>
      <c r="E1271" s="1" t="s">
        <v>3633</v>
      </c>
      <c r="F1271" s="1">
        <v>837.0</v>
      </c>
      <c r="G1271" s="1">
        <v>22.0</v>
      </c>
      <c r="H1271" s="1">
        <v>5.0</v>
      </c>
      <c r="I1271" s="1">
        <v>9430000.0</v>
      </c>
      <c r="J1271" s="1" t="s">
        <v>2468</v>
      </c>
    </row>
    <row r="1272">
      <c r="A1272" s="1" t="s">
        <v>3841</v>
      </c>
      <c r="B1272" s="1" t="s">
        <v>3842</v>
      </c>
      <c r="C1272" s="1" t="s">
        <v>3843</v>
      </c>
      <c r="D1272" s="1" t="s">
        <v>3632</v>
      </c>
      <c r="E1272" s="1" t="s">
        <v>3633</v>
      </c>
      <c r="F1272" s="1">
        <v>1158.0</v>
      </c>
      <c r="G1272" s="1">
        <v>22.0</v>
      </c>
      <c r="H1272" s="1">
        <v>3.0</v>
      </c>
      <c r="I1272" s="1">
        <v>9430000.0</v>
      </c>
      <c r="J1272" s="1" t="s">
        <v>2468</v>
      </c>
    </row>
    <row r="1273">
      <c r="A1273" s="1" t="s">
        <v>3844</v>
      </c>
      <c r="B1273" s="1" t="s">
        <v>3845</v>
      </c>
      <c r="C1273" s="1" t="s">
        <v>3846</v>
      </c>
      <c r="D1273" s="1" t="s">
        <v>3632</v>
      </c>
      <c r="E1273" s="1" t="s">
        <v>3633</v>
      </c>
      <c r="F1273" s="1">
        <v>1439.0</v>
      </c>
      <c r="G1273" s="1">
        <v>47.0</v>
      </c>
      <c r="H1273" s="1">
        <v>3.0</v>
      </c>
      <c r="I1273" s="1">
        <v>9430000.0</v>
      </c>
      <c r="J1273" s="1" t="s">
        <v>2468</v>
      </c>
    </row>
    <row r="1274">
      <c r="A1274" s="1" t="s">
        <v>3847</v>
      </c>
      <c r="B1274" s="1" t="s">
        <v>3848</v>
      </c>
      <c r="C1274" s="1" t="s">
        <v>3849</v>
      </c>
      <c r="D1274" s="1" t="s">
        <v>3632</v>
      </c>
      <c r="E1274" s="1" t="s">
        <v>3633</v>
      </c>
      <c r="F1274" s="1">
        <v>1446.0</v>
      </c>
      <c r="G1274" s="1">
        <v>36.0</v>
      </c>
      <c r="H1274" s="1">
        <v>4.0</v>
      </c>
      <c r="I1274" s="1">
        <v>9430000.0</v>
      </c>
      <c r="J1274" s="1" t="s">
        <v>2468</v>
      </c>
    </row>
    <row r="1275">
      <c r="A1275" s="1" t="s">
        <v>3850</v>
      </c>
      <c r="B1275" s="1" t="s">
        <v>3851</v>
      </c>
      <c r="C1275" s="1" t="s">
        <v>3852</v>
      </c>
      <c r="D1275" s="1" t="s">
        <v>3632</v>
      </c>
      <c r="E1275" s="1" t="s">
        <v>3633</v>
      </c>
      <c r="F1275" s="1">
        <v>1988.0</v>
      </c>
      <c r="G1275" s="1">
        <v>57.0</v>
      </c>
      <c r="H1275" s="1">
        <v>6.0</v>
      </c>
      <c r="I1275" s="1">
        <v>9430000.0</v>
      </c>
      <c r="J1275" s="1" t="s">
        <v>2468</v>
      </c>
    </row>
    <row r="1276">
      <c r="A1276" s="1" t="s">
        <v>3853</v>
      </c>
      <c r="B1276" s="1" t="s">
        <v>3854</v>
      </c>
      <c r="C1276" s="1" t="s">
        <v>3855</v>
      </c>
      <c r="D1276" s="1" t="s">
        <v>3632</v>
      </c>
      <c r="E1276" s="1" t="s">
        <v>3633</v>
      </c>
      <c r="F1276" s="1">
        <v>3615.0</v>
      </c>
      <c r="G1276" s="1">
        <v>97.0</v>
      </c>
      <c r="H1276" s="1">
        <v>4.0</v>
      </c>
      <c r="I1276" s="1">
        <v>9430000.0</v>
      </c>
      <c r="J1276" s="1" t="s">
        <v>2468</v>
      </c>
    </row>
    <row r="1277">
      <c r="A1277" s="1" t="s">
        <v>3856</v>
      </c>
      <c r="B1277" s="1" t="s">
        <v>3857</v>
      </c>
      <c r="C1277" s="1" t="s">
        <v>3858</v>
      </c>
      <c r="D1277" s="1" t="s">
        <v>3632</v>
      </c>
      <c r="E1277" s="1" t="s">
        <v>3633</v>
      </c>
      <c r="F1277" s="1">
        <v>2929.0</v>
      </c>
      <c r="G1277" s="1">
        <v>61.0</v>
      </c>
      <c r="H1277" s="1">
        <v>3.0</v>
      </c>
      <c r="I1277" s="1">
        <v>9430000.0</v>
      </c>
      <c r="J1277" s="1" t="s">
        <v>2468</v>
      </c>
    </row>
    <row r="1278">
      <c r="A1278" s="1" t="s">
        <v>3859</v>
      </c>
      <c r="B1278" s="1" t="s">
        <v>3860</v>
      </c>
      <c r="C1278" s="1" t="s">
        <v>3861</v>
      </c>
      <c r="D1278" s="1" t="s">
        <v>3632</v>
      </c>
      <c r="E1278" s="1" t="s">
        <v>3633</v>
      </c>
      <c r="F1278" s="1">
        <v>1999.0</v>
      </c>
      <c r="G1278" s="1">
        <v>33.0</v>
      </c>
      <c r="H1278" s="1">
        <v>4.0</v>
      </c>
      <c r="I1278" s="1">
        <v>9430000.0</v>
      </c>
      <c r="J1278" s="1" t="s">
        <v>2468</v>
      </c>
    </row>
    <row r="1279">
      <c r="A1279" s="1" t="s">
        <v>3862</v>
      </c>
      <c r="B1279" s="1" t="s">
        <v>3863</v>
      </c>
      <c r="C1279" s="1" t="s">
        <v>3864</v>
      </c>
      <c r="D1279" s="1" t="s">
        <v>3632</v>
      </c>
      <c r="E1279" s="1" t="s">
        <v>3633</v>
      </c>
      <c r="F1279" s="1">
        <v>2400.0</v>
      </c>
      <c r="G1279" s="1">
        <v>43.0</v>
      </c>
      <c r="H1279" s="1">
        <v>3.0</v>
      </c>
      <c r="I1279" s="1">
        <v>9430000.0</v>
      </c>
      <c r="J1279" s="1" t="s">
        <v>2468</v>
      </c>
    </row>
    <row r="1280">
      <c r="A1280" s="1" t="s">
        <v>3865</v>
      </c>
      <c r="B1280" s="1" t="s">
        <v>3866</v>
      </c>
      <c r="C1280" s="1" t="s">
        <v>3867</v>
      </c>
      <c r="D1280" s="1" t="s">
        <v>3632</v>
      </c>
      <c r="E1280" s="1" t="s">
        <v>3633</v>
      </c>
      <c r="F1280" s="1">
        <v>2036.0</v>
      </c>
      <c r="G1280" s="1">
        <v>13.0</v>
      </c>
      <c r="H1280" s="1">
        <v>3.0</v>
      </c>
      <c r="I1280" s="1">
        <v>9430000.0</v>
      </c>
      <c r="J1280" s="1" t="s">
        <v>2468</v>
      </c>
    </row>
    <row r="1281">
      <c r="A1281" s="1" t="s">
        <v>3868</v>
      </c>
      <c r="B1281" s="1" t="s">
        <v>3869</v>
      </c>
      <c r="C1281" s="1" t="s">
        <v>3870</v>
      </c>
      <c r="D1281" s="1" t="s">
        <v>3632</v>
      </c>
      <c r="E1281" s="1" t="s">
        <v>3633</v>
      </c>
      <c r="F1281" s="1">
        <v>1188.0</v>
      </c>
      <c r="G1281" s="1">
        <v>14.0</v>
      </c>
      <c r="H1281" s="1">
        <v>0.0</v>
      </c>
      <c r="I1281" s="1">
        <v>9430000.0</v>
      </c>
      <c r="J1281" s="1" t="s">
        <v>2468</v>
      </c>
    </row>
    <row r="1282">
      <c r="A1282" s="1" t="s">
        <v>3871</v>
      </c>
      <c r="B1282" s="1" t="s">
        <v>3872</v>
      </c>
      <c r="C1282" s="1" t="s">
        <v>3873</v>
      </c>
      <c r="D1282" s="1" t="s">
        <v>3632</v>
      </c>
      <c r="E1282" s="1" t="s">
        <v>3633</v>
      </c>
      <c r="F1282" s="1">
        <v>1059.0</v>
      </c>
      <c r="G1282" s="1">
        <v>10.0</v>
      </c>
      <c r="H1282" s="1">
        <v>0.0</v>
      </c>
      <c r="I1282" s="1">
        <v>9430000.0</v>
      </c>
      <c r="J1282" s="1" t="s">
        <v>2468</v>
      </c>
    </row>
    <row r="1283">
      <c r="A1283" s="1" t="s">
        <v>3874</v>
      </c>
      <c r="B1283" s="1" t="s">
        <v>3875</v>
      </c>
      <c r="C1283" s="1" t="s">
        <v>3876</v>
      </c>
      <c r="D1283" s="1" t="s">
        <v>3632</v>
      </c>
      <c r="E1283" s="1" t="s">
        <v>3633</v>
      </c>
      <c r="F1283" s="1">
        <v>892.0</v>
      </c>
      <c r="G1283" s="1">
        <v>7.0</v>
      </c>
      <c r="H1283" s="1">
        <v>0.0</v>
      </c>
      <c r="I1283" s="1">
        <v>9430000.0</v>
      </c>
      <c r="J1283" s="1" t="s">
        <v>2468</v>
      </c>
    </row>
    <row r="1284">
      <c r="A1284" s="1" t="s">
        <v>3877</v>
      </c>
      <c r="B1284" s="1" t="s">
        <v>3878</v>
      </c>
      <c r="C1284" s="1" t="s">
        <v>3879</v>
      </c>
      <c r="D1284" s="1" t="s">
        <v>3632</v>
      </c>
      <c r="E1284" s="1" t="s">
        <v>3633</v>
      </c>
      <c r="F1284" s="1">
        <v>747.0</v>
      </c>
      <c r="G1284" s="1">
        <v>5.0</v>
      </c>
      <c r="H1284" s="1">
        <v>0.0</v>
      </c>
      <c r="I1284" s="1">
        <v>9430000.0</v>
      </c>
      <c r="J1284" s="1" t="s">
        <v>2468</v>
      </c>
    </row>
    <row r="1285">
      <c r="A1285" s="1" t="s">
        <v>3880</v>
      </c>
      <c r="B1285" s="1" t="s">
        <v>3881</v>
      </c>
      <c r="C1285" s="1" t="s">
        <v>3882</v>
      </c>
      <c r="D1285" s="1" t="s">
        <v>3632</v>
      </c>
      <c r="E1285" s="1" t="s">
        <v>3633</v>
      </c>
      <c r="F1285" s="1">
        <v>685.0</v>
      </c>
      <c r="G1285" s="1">
        <v>3.0</v>
      </c>
      <c r="H1285" s="1">
        <v>0.0</v>
      </c>
      <c r="I1285" s="1">
        <v>9430000.0</v>
      </c>
      <c r="J1285" s="1" t="s">
        <v>2468</v>
      </c>
    </row>
    <row r="1286">
      <c r="A1286" s="1" t="s">
        <v>3883</v>
      </c>
      <c r="B1286" s="1" t="s">
        <v>3884</v>
      </c>
      <c r="C1286" s="1" t="s">
        <v>3885</v>
      </c>
      <c r="D1286" s="1" t="s">
        <v>3632</v>
      </c>
      <c r="E1286" s="1" t="s">
        <v>3633</v>
      </c>
      <c r="F1286" s="1">
        <v>730.0</v>
      </c>
      <c r="G1286" s="1">
        <v>6.0</v>
      </c>
      <c r="H1286" s="1">
        <v>0.0</v>
      </c>
      <c r="I1286" s="1">
        <v>9430000.0</v>
      </c>
      <c r="J1286" s="1" t="s">
        <v>2468</v>
      </c>
    </row>
    <row r="1287">
      <c r="A1287" s="1" t="s">
        <v>3886</v>
      </c>
      <c r="B1287" s="1" t="s">
        <v>3887</v>
      </c>
      <c r="C1287" s="1" t="s">
        <v>3888</v>
      </c>
      <c r="D1287" s="1" t="s">
        <v>3632</v>
      </c>
      <c r="E1287" s="1" t="s">
        <v>3633</v>
      </c>
      <c r="F1287" s="1">
        <v>623.0</v>
      </c>
      <c r="G1287" s="1">
        <v>7.0</v>
      </c>
      <c r="H1287" s="1">
        <v>0.0</v>
      </c>
      <c r="I1287" s="1">
        <v>9430000.0</v>
      </c>
      <c r="J1287" s="1" t="s">
        <v>2468</v>
      </c>
    </row>
    <row r="1288">
      <c r="A1288" s="1" t="s">
        <v>3889</v>
      </c>
      <c r="B1288" s="1" t="s">
        <v>3890</v>
      </c>
      <c r="C1288" s="1" t="s">
        <v>3891</v>
      </c>
      <c r="D1288" s="1" t="s">
        <v>3632</v>
      </c>
      <c r="E1288" s="1" t="s">
        <v>3633</v>
      </c>
      <c r="F1288" s="1">
        <v>784.0</v>
      </c>
      <c r="G1288" s="1">
        <v>3.0</v>
      </c>
      <c r="H1288" s="1">
        <v>0.0</v>
      </c>
      <c r="I1288" s="1">
        <v>9430000.0</v>
      </c>
      <c r="J1288" s="1" t="s">
        <v>2468</v>
      </c>
    </row>
    <row r="1289">
      <c r="A1289" s="1" t="s">
        <v>3892</v>
      </c>
      <c r="B1289" s="1" t="s">
        <v>3893</v>
      </c>
      <c r="C1289" s="1" t="s">
        <v>3894</v>
      </c>
      <c r="D1289" s="1" t="s">
        <v>3632</v>
      </c>
      <c r="E1289" s="1" t="s">
        <v>3633</v>
      </c>
      <c r="F1289" s="1">
        <v>466.0</v>
      </c>
      <c r="G1289" s="1">
        <v>3.0</v>
      </c>
      <c r="H1289" s="1">
        <v>0.0</v>
      </c>
      <c r="I1289" s="1">
        <v>9430000.0</v>
      </c>
      <c r="J1289" s="1" t="s">
        <v>2468</v>
      </c>
    </row>
    <row r="1290">
      <c r="A1290" s="1" t="s">
        <v>3895</v>
      </c>
      <c r="B1290" s="1" t="s">
        <v>3896</v>
      </c>
      <c r="C1290" s="1" t="s">
        <v>3897</v>
      </c>
      <c r="D1290" s="1" t="s">
        <v>3632</v>
      </c>
      <c r="E1290" s="1" t="s">
        <v>3633</v>
      </c>
      <c r="F1290" s="1">
        <v>694.0</v>
      </c>
      <c r="G1290" s="1">
        <v>2.0</v>
      </c>
      <c r="H1290" s="1">
        <v>0.0</v>
      </c>
      <c r="I1290" s="1">
        <v>9430000.0</v>
      </c>
      <c r="J1290" s="1" t="s">
        <v>2468</v>
      </c>
    </row>
    <row r="1291">
      <c r="A1291" s="1" t="s">
        <v>3898</v>
      </c>
      <c r="B1291" s="1" t="s">
        <v>3899</v>
      </c>
      <c r="C1291" s="1" t="s">
        <v>3900</v>
      </c>
      <c r="D1291" s="1" t="s">
        <v>3632</v>
      </c>
      <c r="E1291" s="1" t="s">
        <v>3633</v>
      </c>
      <c r="F1291" s="1">
        <v>305.0</v>
      </c>
      <c r="G1291" s="1">
        <v>0.0</v>
      </c>
      <c r="H1291" s="1">
        <v>0.0</v>
      </c>
      <c r="I1291" s="1">
        <v>9430000.0</v>
      </c>
      <c r="J1291" s="1" t="s">
        <v>2468</v>
      </c>
    </row>
    <row r="1292">
      <c r="A1292" s="1" t="s">
        <v>3901</v>
      </c>
      <c r="B1292" s="1" t="s">
        <v>3902</v>
      </c>
      <c r="C1292" s="1" t="s">
        <v>3903</v>
      </c>
      <c r="D1292" s="1" t="s">
        <v>3632</v>
      </c>
      <c r="E1292" s="1" t="s">
        <v>3633</v>
      </c>
      <c r="F1292" s="1">
        <v>549.0</v>
      </c>
      <c r="G1292" s="1">
        <v>2.0</v>
      </c>
      <c r="H1292" s="1">
        <v>0.0</v>
      </c>
      <c r="I1292" s="1">
        <v>9430000.0</v>
      </c>
      <c r="J1292" s="1" t="s">
        <v>2468</v>
      </c>
    </row>
    <row r="1293">
      <c r="A1293" s="1" t="s">
        <v>3904</v>
      </c>
      <c r="B1293" s="1" t="s">
        <v>3905</v>
      </c>
      <c r="C1293" s="1" t="s">
        <v>3906</v>
      </c>
      <c r="D1293" s="1" t="s">
        <v>3632</v>
      </c>
      <c r="E1293" s="1" t="s">
        <v>3633</v>
      </c>
      <c r="F1293" s="1">
        <v>648.0</v>
      </c>
      <c r="G1293" s="1">
        <v>0.0</v>
      </c>
      <c r="H1293" s="1">
        <v>0.0</v>
      </c>
      <c r="I1293" s="1">
        <v>9430000.0</v>
      </c>
      <c r="J1293" s="1" t="s">
        <v>2468</v>
      </c>
    </row>
    <row r="1294">
      <c r="A1294" s="1" t="s">
        <v>3907</v>
      </c>
      <c r="B1294" s="1" t="s">
        <v>3908</v>
      </c>
      <c r="C1294" s="1" t="s">
        <v>3909</v>
      </c>
      <c r="D1294" s="1" t="s">
        <v>3632</v>
      </c>
      <c r="E1294" s="1" t="s">
        <v>3633</v>
      </c>
      <c r="F1294" s="1">
        <v>329.0</v>
      </c>
      <c r="G1294" s="1">
        <v>2.0</v>
      </c>
      <c r="H1294" s="1">
        <v>0.0</v>
      </c>
      <c r="I1294" s="1">
        <v>9430000.0</v>
      </c>
      <c r="J1294" s="1" t="s">
        <v>2468</v>
      </c>
    </row>
    <row r="1295">
      <c r="A1295" s="1" t="s">
        <v>3910</v>
      </c>
      <c r="B1295" s="1" t="s">
        <v>3911</v>
      </c>
      <c r="C1295" s="1" t="s">
        <v>3912</v>
      </c>
      <c r="D1295" s="1" t="s">
        <v>3632</v>
      </c>
      <c r="E1295" s="1" t="s">
        <v>3633</v>
      </c>
      <c r="F1295" s="1">
        <v>309.0</v>
      </c>
      <c r="G1295" s="1">
        <v>1.0</v>
      </c>
      <c r="H1295" s="1">
        <v>1.0</v>
      </c>
      <c r="I1295" s="1">
        <v>9430000.0</v>
      </c>
      <c r="J1295" s="1" t="s">
        <v>2468</v>
      </c>
    </row>
    <row r="1296">
      <c r="A1296" s="1" t="s">
        <v>3913</v>
      </c>
      <c r="B1296" s="1" t="s">
        <v>3914</v>
      </c>
      <c r="C1296" s="1" t="s">
        <v>3915</v>
      </c>
      <c r="D1296" s="1" t="s">
        <v>3632</v>
      </c>
      <c r="E1296" s="1" t="s">
        <v>3633</v>
      </c>
      <c r="F1296" s="1">
        <v>652.0</v>
      </c>
      <c r="G1296" s="1">
        <v>0.0</v>
      </c>
      <c r="H1296" s="1">
        <v>0.0</v>
      </c>
      <c r="I1296" s="1">
        <v>9430000.0</v>
      </c>
      <c r="J1296" s="1" t="s">
        <v>2468</v>
      </c>
    </row>
    <row r="1297">
      <c r="A1297" s="1" t="s">
        <v>3916</v>
      </c>
      <c r="B1297" s="1" t="s">
        <v>3917</v>
      </c>
      <c r="C1297" s="1" t="s">
        <v>3918</v>
      </c>
      <c r="D1297" s="1" t="s">
        <v>3632</v>
      </c>
      <c r="E1297" s="1" t="s">
        <v>3633</v>
      </c>
      <c r="F1297" s="1">
        <v>478.0</v>
      </c>
      <c r="G1297" s="1">
        <v>4.0</v>
      </c>
      <c r="H1297" s="1">
        <v>0.0</v>
      </c>
      <c r="I1297" s="1">
        <v>9430000.0</v>
      </c>
      <c r="J1297" s="1" t="s">
        <v>2468</v>
      </c>
    </row>
    <row r="1298">
      <c r="A1298" s="1" t="s">
        <v>3919</v>
      </c>
      <c r="B1298" s="1" t="s">
        <v>3920</v>
      </c>
      <c r="C1298" s="1" t="s">
        <v>3921</v>
      </c>
      <c r="D1298" s="1" t="s">
        <v>3632</v>
      </c>
      <c r="E1298" s="1" t="s">
        <v>3633</v>
      </c>
      <c r="F1298" s="1">
        <v>313.0</v>
      </c>
      <c r="G1298" s="1">
        <v>2.0</v>
      </c>
      <c r="H1298" s="1">
        <v>1.0</v>
      </c>
      <c r="I1298" s="1">
        <v>9430000.0</v>
      </c>
      <c r="J1298" s="1" t="s">
        <v>2468</v>
      </c>
    </row>
    <row r="1299">
      <c r="A1299" s="1" t="s">
        <v>3922</v>
      </c>
      <c r="B1299" s="1" t="s">
        <v>3923</v>
      </c>
      <c r="C1299" s="1" t="s">
        <v>3924</v>
      </c>
      <c r="D1299" s="1" t="s">
        <v>3632</v>
      </c>
      <c r="E1299" s="1" t="s">
        <v>3633</v>
      </c>
      <c r="F1299" s="1">
        <v>268.0</v>
      </c>
      <c r="G1299" s="1">
        <v>2.0</v>
      </c>
      <c r="H1299" s="1">
        <v>0.0</v>
      </c>
      <c r="I1299" s="1">
        <v>9430000.0</v>
      </c>
      <c r="J1299" s="1" t="s">
        <v>2468</v>
      </c>
    </row>
    <row r="1300">
      <c r="A1300" s="1" t="s">
        <v>3925</v>
      </c>
      <c r="B1300" s="1" t="s">
        <v>3926</v>
      </c>
      <c r="C1300" s="1" t="s">
        <v>3927</v>
      </c>
      <c r="D1300" s="1" t="s">
        <v>3632</v>
      </c>
      <c r="E1300" s="1" t="s">
        <v>3633</v>
      </c>
      <c r="F1300" s="1">
        <v>318.0</v>
      </c>
      <c r="G1300" s="1">
        <v>1.0</v>
      </c>
      <c r="H1300" s="1">
        <v>0.0</v>
      </c>
      <c r="I1300" s="1">
        <v>9430000.0</v>
      </c>
      <c r="J1300" s="1" t="s">
        <v>2468</v>
      </c>
    </row>
    <row r="1301">
      <c r="A1301" s="1" t="s">
        <v>3928</v>
      </c>
      <c r="B1301" s="1" t="s">
        <v>3929</v>
      </c>
      <c r="C1301" s="1" t="s">
        <v>3930</v>
      </c>
      <c r="D1301" s="1" t="s">
        <v>3632</v>
      </c>
      <c r="E1301" s="1" t="s">
        <v>3633</v>
      </c>
      <c r="F1301" s="1">
        <v>250.0</v>
      </c>
      <c r="G1301" s="1">
        <v>2.0</v>
      </c>
      <c r="H1301" s="1">
        <v>0.0</v>
      </c>
      <c r="I1301" s="1">
        <v>9430000.0</v>
      </c>
      <c r="J1301" s="1" t="s">
        <v>2468</v>
      </c>
    </row>
    <row r="1302">
      <c r="A1302" s="1" t="s">
        <v>3931</v>
      </c>
      <c r="B1302" s="1" t="s">
        <v>3932</v>
      </c>
      <c r="C1302" s="1" t="s">
        <v>3933</v>
      </c>
      <c r="D1302" s="1" t="s">
        <v>3632</v>
      </c>
      <c r="E1302" s="1" t="s">
        <v>3633</v>
      </c>
      <c r="F1302" s="1">
        <v>363.0</v>
      </c>
      <c r="G1302" s="1">
        <v>1.0</v>
      </c>
      <c r="H1302" s="1">
        <v>0.0</v>
      </c>
      <c r="I1302" s="1">
        <v>9430000.0</v>
      </c>
      <c r="J1302" s="1" t="s">
        <v>2468</v>
      </c>
    </row>
    <row r="1303">
      <c r="A1303" s="1" t="s">
        <v>3934</v>
      </c>
      <c r="B1303" s="1" t="s">
        <v>3935</v>
      </c>
      <c r="C1303" s="1" t="s">
        <v>3936</v>
      </c>
      <c r="D1303" s="1" t="s">
        <v>3632</v>
      </c>
      <c r="E1303" s="1" t="s">
        <v>3633</v>
      </c>
      <c r="F1303" s="1">
        <v>316.0</v>
      </c>
      <c r="G1303" s="1">
        <v>1.0</v>
      </c>
      <c r="H1303" s="1">
        <v>0.0</v>
      </c>
      <c r="I1303" s="1">
        <v>9430000.0</v>
      </c>
      <c r="J1303" s="1" t="s">
        <v>2468</v>
      </c>
    </row>
    <row r="1304">
      <c r="A1304" s="1" t="s">
        <v>3937</v>
      </c>
      <c r="B1304" s="1" t="s">
        <v>3938</v>
      </c>
      <c r="C1304" s="1" t="s">
        <v>3939</v>
      </c>
      <c r="D1304" s="1" t="s">
        <v>3632</v>
      </c>
      <c r="E1304" s="1" t="s">
        <v>3633</v>
      </c>
      <c r="F1304" s="1">
        <v>395.0</v>
      </c>
      <c r="G1304" s="1">
        <v>1.0</v>
      </c>
      <c r="H1304" s="1">
        <v>0.0</v>
      </c>
      <c r="I1304" s="1">
        <v>9430000.0</v>
      </c>
      <c r="J1304" s="1" t="s">
        <v>2468</v>
      </c>
    </row>
    <row r="1305">
      <c r="A1305" s="1" t="s">
        <v>3940</v>
      </c>
      <c r="B1305" s="1" t="s">
        <v>3941</v>
      </c>
      <c r="C1305" s="1" t="s">
        <v>3942</v>
      </c>
      <c r="D1305" s="1" t="s">
        <v>3632</v>
      </c>
      <c r="E1305" s="1" t="s">
        <v>3633</v>
      </c>
      <c r="F1305" s="1">
        <v>284.0</v>
      </c>
      <c r="G1305" s="1">
        <v>2.0</v>
      </c>
      <c r="H1305" s="1">
        <v>0.0</v>
      </c>
      <c r="I1305" s="1">
        <v>9430000.0</v>
      </c>
      <c r="J1305" s="1" t="s">
        <v>2468</v>
      </c>
    </row>
    <row r="1306">
      <c r="A1306" s="1" t="s">
        <v>3943</v>
      </c>
      <c r="B1306" s="1" t="s">
        <v>3944</v>
      </c>
      <c r="C1306" s="1" t="s">
        <v>3945</v>
      </c>
      <c r="D1306" s="1" t="s">
        <v>3632</v>
      </c>
      <c r="E1306" s="1" t="s">
        <v>3633</v>
      </c>
      <c r="F1306" s="1">
        <v>321.0</v>
      </c>
      <c r="G1306" s="1">
        <v>0.0</v>
      </c>
      <c r="H1306" s="1">
        <v>0.0</v>
      </c>
      <c r="I1306" s="1">
        <v>9430000.0</v>
      </c>
      <c r="J1306" s="1" t="s">
        <v>2468</v>
      </c>
    </row>
    <row r="1307">
      <c r="A1307" s="1" t="s">
        <v>3946</v>
      </c>
      <c r="B1307" s="1" t="s">
        <v>3947</v>
      </c>
      <c r="C1307" s="1" t="s">
        <v>3948</v>
      </c>
      <c r="D1307" s="1" t="s">
        <v>3632</v>
      </c>
      <c r="E1307" s="1" t="s">
        <v>3633</v>
      </c>
      <c r="F1307" s="1">
        <v>692.0</v>
      </c>
      <c r="G1307" s="1">
        <v>16.0</v>
      </c>
      <c r="H1307" s="1">
        <v>1.0</v>
      </c>
      <c r="I1307" s="1">
        <v>9430000.0</v>
      </c>
      <c r="J1307" s="1" t="s">
        <v>2468</v>
      </c>
    </row>
    <row r="1308">
      <c r="A1308" s="1" t="s">
        <v>3949</v>
      </c>
      <c r="B1308" s="1" t="s">
        <v>3950</v>
      </c>
      <c r="C1308" s="1" t="s">
        <v>3951</v>
      </c>
      <c r="D1308" s="1" t="s">
        <v>3632</v>
      </c>
      <c r="E1308" s="1" t="s">
        <v>3633</v>
      </c>
      <c r="F1308" s="1">
        <v>336.0</v>
      </c>
      <c r="G1308" s="1">
        <v>2.0</v>
      </c>
      <c r="H1308" s="1">
        <v>0.0</v>
      </c>
      <c r="I1308" s="1">
        <v>9430000.0</v>
      </c>
      <c r="J1308" s="1" t="s">
        <v>2468</v>
      </c>
    </row>
    <row r="1309">
      <c r="A1309" s="1" t="s">
        <v>3952</v>
      </c>
      <c r="B1309" s="1" t="s">
        <v>3953</v>
      </c>
      <c r="C1309" s="1" t="s">
        <v>3954</v>
      </c>
      <c r="D1309" s="1" t="s">
        <v>3632</v>
      </c>
      <c r="E1309" s="1" t="s">
        <v>3633</v>
      </c>
      <c r="F1309" s="1">
        <v>391.0</v>
      </c>
      <c r="G1309" s="1">
        <v>6.0</v>
      </c>
      <c r="H1309" s="1">
        <v>0.0</v>
      </c>
      <c r="I1309" s="1">
        <v>9430000.0</v>
      </c>
      <c r="J1309" s="1" t="s">
        <v>2468</v>
      </c>
    </row>
    <row r="1310">
      <c r="A1310" s="1" t="s">
        <v>3955</v>
      </c>
      <c r="B1310" s="1" t="s">
        <v>3956</v>
      </c>
      <c r="C1310" s="1" t="s">
        <v>3957</v>
      </c>
      <c r="D1310" s="1" t="s">
        <v>3632</v>
      </c>
      <c r="E1310" s="1" t="s">
        <v>3633</v>
      </c>
      <c r="F1310" s="1">
        <v>500.0</v>
      </c>
      <c r="G1310" s="1">
        <v>7.0</v>
      </c>
      <c r="H1310" s="1">
        <v>0.0</v>
      </c>
      <c r="I1310" s="1">
        <v>9430000.0</v>
      </c>
      <c r="J1310" s="1" t="s">
        <v>2468</v>
      </c>
    </row>
    <row r="1311">
      <c r="A1311" s="1" t="s">
        <v>3958</v>
      </c>
      <c r="B1311" s="1" t="s">
        <v>3959</v>
      </c>
      <c r="C1311" s="1" t="s">
        <v>3960</v>
      </c>
      <c r="D1311" s="1" t="s">
        <v>3632</v>
      </c>
      <c r="E1311" s="1" t="s">
        <v>3633</v>
      </c>
      <c r="F1311" s="1">
        <v>2407.0</v>
      </c>
      <c r="G1311" s="1">
        <v>42.0</v>
      </c>
      <c r="H1311" s="1">
        <v>4.0</v>
      </c>
      <c r="I1311" s="1">
        <v>9430000.0</v>
      </c>
      <c r="J1311" s="1" t="s">
        <v>2468</v>
      </c>
    </row>
    <row r="1312">
      <c r="A1312" s="1" t="s">
        <v>3961</v>
      </c>
      <c r="B1312" s="1" t="s">
        <v>3962</v>
      </c>
      <c r="C1312" s="1" t="s">
        <v>3963</v>
      </c>
      <c r="D1312" s="1" t="s">
        <v>3632</v>
      </c>
      <c r="E1312" s="1" t="s">
        <v>3633</v>
      </c>
      <c r="F1312" s="1">
        <v>3653.0</v>
      </c>
      <c r="G1312" s="1">
        <v>68.0</v>
      </c>
      <c r="H1312" s="1">
        <v>6.0</v>
      </c>
      <c r="I1312" s="1">
        <v>9430000.0</v>
      </c>
      <c r="J1312" s="1" t="s">
        <v>2468</v>
      </c>
    </row>
    <row r="1313">
      <c r="A1313" s="1" t="s">
        <v>3964</v>
      </c>
      <c r="B1313" s="1" t="s">
        <v>3965</v>
      </c>
      <c r="C1313" s="1" t="s">
        <v>3966</v>
      </c>
      <c r="D1313" s="1" t="s">
        <v>3632</v>
      </c>
      <c r="E1313" s="1" t="s">
        <v>3633</v>
      </c>
      <c r="F1313" s="1">
        <v>4143.0</v>
      </c>
      <c r="G1313" s="1">
        <v>84.0</v>
      </c>
      <c r="H1313" s="1">
        <v>5.0</v>
      </c>
      <c r="I1313" s="1">
        <v>9430000.0</v>
      </c>
      <c r="J1313" s="1" t="s">
        <v>2468</v>
      </c>
    </row>
    <row r="1314">
      <c r="A1314" s="1" t="s">
        <v>3967</v>
      </c>
      <c r="B1314" s="1" t="s">
        <v>3968</v>
      </c>
      <c r="C1314" s="1" t="s">
        <v>3969</v>
      </c>
      <c r="D1314" s="1" t="s">
        <v>3632</v>
      </c>
      <c r="E1314" s="1" t="s">
        <v>3633</v>
      </c>
      <c r="F1314" s="1">
        <v>2873.0</v>
      </c>
      <c r="G1314" s="1">
        <v>73.0</v>
      </c>
      <c r="H1314" s="1">
        <v>4.0</v>
      </c>
      <c r="I1314" s="1">
        <v>9430000.0</v>
      </c>
      <c r="J1314" s="1" t="s">
        <v>2468</v>
      </c>
    </row>
    <row r="1315">
      <c r="A1315" s="1" t="s">
        <v>3970</v>
      </c>
      <c r="B1315" s="1" t="s">
        <v>3971</v>
      </c>
      <c r="C1315" s="1" t="s">
        <v>3972</v>
      </c>
      <c r="D1315" s="1" t="s">
        <v>3632</v>
      </c>
      <c r="E1315" s="1" t="s">
        <v>3633</v>
      </c>
      <c r="F1315" s="1">
        <v>3926.0</v>
      </c>
      <c r="G1315" s="1">
        <v>78.0</v>
      </c>
      <c r="H1315" s="1">
        <v>7.0</v>
      </c>
      <c r="I1315" s="1">
        <v>9430000.0</v>
      </c>
      <c r="J1315" s="1" t="s">
        <v>2468</v>
      </c>
    </row>
    <row r="1316">
      <c r="A1316" s="1" t="s">
        <v>3973</v>
      </c>
      <c r="B1316" s="1" t="s">
        <v>3974</v>
      </c>
      <c r="C1316" s="1" t="s">
        <v>3975</v>
      </c>
      <c r="D1316" s="1" t="s">
        <v>3632</v>
      </c>
      <c r="E1316" s="1" t="s">
        <v>3633</v>
      </c>
      <c r="F1316" s="1">
        <v>3400.0</v>
      </c>
      <c r="G1316" s="1">
        <v>60.0</v>
      </c>
      <c r="H1316" s="1">
        <v>3.0</v>
      </c>
      <c r="I1316" s="1">
        <v>9430000.0</v>
      </c>
      <c r="J1316" s="1" t="s">
        <v>2468</v>
      </c>
    </row>
    <row r="1317">
      <c r="A1317" s="1" t="s">
        <v>3976</v>
      </c>
      <c r="B1317" s="1" t="s">
        <v>3977</v>
      </c>
      <c r="C1317" s="1" t="s">
        <v>3978</v>
      </c>
      <c r="D1317" s="1" t="s">
        <v>3632</v>
      </c>
      <c r="E1317" s="1" t="s">
        <v>3633</v>
      </c>
      <c r="F1317" s="1">
        <v>3653.0</v>
      </c>
      <c r="G1317" s="1">
        <v>73.0</v>
      </c>
      <c r="H1317" s="1">
        <v>7.0</v>
      </c>
      <c r="I1317" s="1">
        <v>9430000.0</v>
      </c>
      <c r="J1317" s="1" t="s">
        <v>2468</v>
      </c>
    </row>
    <row r="1318">
      <c r="A1318" s="1" t="s">
        <v>3979</v>
      </c>
      <c r="B1318" s="1" t="s">
        <v>3980</v>
      </c>
      <c r="C1318" s="1" t="s">
        <v>3981</v>
      </c>
      <c r="D1318" s="1" t="s">
        <v>3632</v>
      </c>
      <c r="E1318" s="1" t="s">
        <v>3633</v>
      </c>
      <c r="F1318" s="1">
        <v>4261.0</v>
      </c>
      <c r="G1318" s="1">
        <v>69.0</v>
      </c>
      <c r="H1318" s="1">
        <v>4.0</v>
      </c>
      <c r="I1318" s="1">
        <v>9430000.0</v>
      </c>
      <c r="J1318" s="1" t="s">
        <v>2468</v>
      </c>
    </row>
    <row r="1319">
      <c r="A1319" s="1" t="s">
        <v>3982</v>
      </c>
      <c r="B1319" s="1" t="s">
        <v>3983</v>
      </c>
      <c r="C1319" s="1" t="s">
        <v>3984</v>
      </c>
      <c r="D1319" s="1" t="s">
        <v>3632</v>
      </c>
      <c r="E1319" s="1" t="s">
        <v>3633</v>
      </c>
      <c r="F1319" s="1">
        <v>17153.0</v>
      </c>
      <c r="G1319" s="1">
        <v>202.0</v>
      </c>
      <c r="H1319" s="1">
        <v>8.0</v>
      </c>
      <c r="I1319" s="1">
        <v>9430000.0</v>
      </c>
      <c r="J1319" s="1" t="s">
        <v>2468</v>
      </c>
    </row>
    <row r="1320">
      <c r="A1320" s="1" t="s">
        <v>3985</v>
      </c>
      <c r="B1320" s="1" t="s">
        <v>3986</v>
      </c>
      <c r="C1320" s="1" t="s">
        <v>3987</v>
      </c>
      <c r="D1320" s="1" t="s">
        <v>3632</v>
      </c>
      <c r="E1320" s="1" t="s">
        <v>3633</v>
      </c>
      <c r="F1320" s="1">
        <v>8013.0</v>
      </c>
      <c r="G1320" s="1">
        <v>62.0</v>
      </c>
      <c r="H1320" s="1">
        <v>0.0</v>
      </c>
      <c r="I1320" s="1">
        <v>9430000.0</v>
      </c>
      <c r="J1320" s="1" t="s">
        <v>2468</v>
      </c>
    </row>
    <row r="1321">
      <c r="A1321" s="1" t="s">
        <v>3988</v>
      </c>
      <c r="B1321" s="1" t="s">
        <v>3989</v>
      </c>
      <c r="C1321" s="1" t="s">
        <v>3990</v>
      </c>
      <c r="D1321" s="1" t="s">
        <v>3632</v>
      </c>
      <c r="E1321" s="1" t="s">
        <v>3633</v>
      </c>
      <c r="F1321" s="1">
        <v>7423.0</v>
      </c>
      <c r="G1321" s="1">
        <v>120.0</v>
      </c>
      <c r="H1321" s="1">
        <v>6.0</v>
      </c>
      <c r="I1321" s="1">
        <v>9430000.0</v>
      </c>
      <c r="J1321" s="1" t="s">
        <v>2468</v>
      </c>
    </row>
    <row r="1322">
      <c r="A1322" s="1" t="s">
        <v>3991</v>
      </c>
      <c r="B1322" s="1" t="s">
        <v>3992</v>
      </c>
      <c r="C1322" s="1" t="s">
        <v>3993</v>
      </c>
      <c r="D1322" s="1" t="s">
        <v>3632</v>
      </c>
      <c r="E1322" s="1" t="s">
        <v>3633</v>
      </c>
      <c r="F1322" s="1">
        <v>16209.0</v>
      </c>
      <c r="G1322" s="1">
        <v>265.0</v>
      </c>
      <c r="H1322" s="1">
        <v>13.0</v>
      </c>
      <c r="I1322" s="1">
        <v>9430000.0</v>
      </c>
      <c r="J1322" s="1" t="s">
        <v>2468</v>
      </c>
    </row>
    <row r="1323">
      <c r="A1323" s="1" t="s">
        <v>3994</v>
      </c>
      <c r="B1323" s="1" t="s">
        <v>3995</v>
      </c>
      <c r="C1323" s="1" t="s">
        <v>3996</v>
      </c>
      <c r="D1323" s="1" t="s">
        <v>3632</v>
      </c>
      <c r="E1323" s="1" t="s">
        <v>3633</v>
      </c>
      <c r="F1323" s="1">
        <v>15219.0</v>
      </c>
      <c r="G1323" s="1">
        <v>195.0</v>
      </c>
      <c r="H1323" s="1">
        <v>17.0</v>
      </c>
      <c r="I1323" s="1">
        <v>9430000.0</v>
      </c>
      <c r="J1323" s="1" t="s">
        <v>2468</v>
      </c>
    </row>
    <row r="1324">
      <c r="A1324" s="1" t="s">
        <v>3997</v>
      </c>
      <c r="B1324" s="1" t="s">
        <v>3998</v>
      </c>
      <c r="C1324" s="1" t="s">
        <v>3999</v>
      </c>
      <c r="D1324" s="1" t="s">
        <v>3632</v>
      </c>
      <c r="E1324" s="1" t="s">
        <v>3633</v>
      </c>
      <c r="F1324" s="1">
        <v>2329.0</v>
      </c>
      <c r="G1324" s="1">
        <v>16.0</v>
      </c>
      <c r="H1324" s="1">
        <v>2.0</v>
      </c>
      <c r="I1324" s="1">
        <v>9430000.0</v>
      </c>
      <c r="J1324" s="1" t="s">
        <v>2468</v>
      </c>
    </row>
    <row r="1325">
      <c r="A1325" s="1" t="s">
        <v>4000</v>
      </c>
      <c r="B1325" s="1" t="s">
        <v>4001</v>
      </c>
      <c r="C1325" s="1" t="s">
        <v>4002</v>
      </c>
      <c r="D1325" s="1" t="s">
        <v>3632</v>
      </c>
      <c r="E1325" s="1" t="s">
        <v>3633</v>
      </c>
      <c r="F1325" s="1">
        <v>1307.0</v>
      </c>
      <c r="G1325" s="1">
        <v>20.0</v>
      </c>
      <c r="H1325" s="1">
        <v>4.0</v>
      </c>
      <c r="I1325" s="1">
        <v>9430000.0</v>
      </c>
      <c r="J1325" s="1" t="s">
        <v>2468</v>
      </c>
    </row>
    <row r="1326">
      <c r="A1326" s="1" t="s">
        <v>4003</v>
      </c>
      <c r="B1326" s="1" t="s">
        <v>4004</v>
      </c>
      <c r="C1326" s="1" t="s">
        <v>4005</v>
      </c>
      <c r="D1326" s="1" t="s">
        <v>3632</v>
      </c>
      <c r="E1326" s="1" t="s">
        <v>3633</v>
      </c>
      <c r="F1326" s="1">
        <v>1045.0</v>
      </c>
      <c r="G1326" s="1">
        <v>17.0</v>
      </c>
      <c r="H1326" s="1">
        <v>2.0</v>
      </c>
      <c r="I1326" s="1">
        <v>9430000.0</v>
      </c>
      <c r="J1326" s="1" t="s">
        <v>2468</v>
      </c>
    </row>
    <row r="1327">
      <c r="A1327" s="1" t="s">
        <v>4006</v>
      </c>
      <c r="B1327" s="1" t="s">
        <v>4007</v>
      </c>
      <c r="C1327" s="1" t="s">
        <v>4008</v>
      </c>
      <c r="D1327" s="1" t="s">
        <v>3632</v>
      </c>
      <c r="E1327" s="1" t="s">
        <v>3633</v>
      </c>
      <c r="F1327" s="1">
        <v>1693.0</v>
      </c>
      <c r="G1327" s="1">
        <v>12.0</v>
      </c>
      <c r="H1327" s="1">
        <v>1.0</v>
      </c>
      <c r="I1327" s="1">
        <v>9430000.0</v>
      </c>
      <c r="J1327" s="1" t="s">
        <v>2468</v>
      </c>
    </row>
    <row r="1328">
      <c r="A1328" s="1" t="s">
        <v>4009</v>
      </c>
      <c r="B1328" s="1" t="s">
        <v>4010</v>
      </c>
      <c r="C1328" s="1" t="s">
        <v>4011</v>
      </c>
      <c r="D1328" s="1" t="s">
        <v>3632</v>
      </c>
      <c r="E1328" s="1" t="s">
        <v>3633</v>
      </c>
      <c r="F1328" s="1">
        <v>1451.0</v>
      </c>
      <c r="G1328" s="1">
        <v>21.0</v>
      </c>
      <c r="H1328" s="1">
        <v>0.0</v>
      </c>
      <c r="I1328" s="1">
        <v>9430000.0</v>
      </c>
      <c r="J1328" s="1" t="s">
        <v>2468</v>
      </c>
    </row>
    <row r="1329">
      <c r="A1329" s="1" t="s">
        <v>4012</v>
      </c>
      <c r="B1329" s="1" t="s">
        <v>4013</v>
      </c>
      <c r="C1329" s="1" t="s">
        <v>4014</v>
      </c>
      <c r="D1329" s="1" t="s">
        <v>3632</v>
      </c>
      <c r="E1329" s="1" t="s">
        <v>3633</v>
      </c>
      <c r="F1329" s="1">
        <v>744.0</v>
      </c>
      <c r="G1329" s="1">
        <v>6.0</v>
      </c>
      <c r="H1329" s="1">
        <v>1.0</v>
      </c>
      <c r="I1329" s="1">
        <v>9430000.0</v>
      </c>
      <c r="J1329" s="1" t="s">
        <v>2468</v>
      </c>
    </row>
    <row r="1330">
      <c r="A1330" s="1" t="s">
        <v>4015</v>
      </c>
      <c r="B1330" s="1" t="s">
        <v>4016</v>
      </c>
      <c r="C1330" s="1" t="s">
        <v>4017</v>
      </c>
      <c r="D1330" s="1" t="s">
        <v>3632</v>
      </c>
      <c r="E1330" s="1" t="s">
        <v>3633</v>
      </c>
      <c r="F1330" s="1">
        <v>617.0</v>
      </c>
      <c r="G1330" s="1">
        <v>2.0</v>
      </c>
      <c r="H1330" s="1">
        <v>1.0</v>
      </c>
      <c r="I1330" s="1">
        <v>9430000.0</v>
      </c>
      <c r="J1330" s="1" t="s">
        <v>2468</v>
      </c>
    </row>
    <row r="1331">
      <c r="A1331" s="1" t="s">
        <v>4018</v>
      </c>
      <c r="B1331" s="1" t="s">
        <v>4019</v>
      </c>
      <c r="C1331" s="1" t="s">
        <v>4020</v>
      </c>
      <c r="D1331" s="1" t="s">
        <v>3632</v>
      </c>
      <c r="E1331" s="1" t="s">
        <v>3633</v>
      </c>
      <c r="F1331" s="1">
        <v>513.0</v>
      </c>
      <c r="G1331" s="1">
        <v>3.0</v>
      </c>
      <c r="H1331" s="1">
        <v>0.0</v>
      </c>
      <c r="I1331" s="1">
        <v>9430000.0</v>
      </c>
      <c r="J1331" s="1" t="s">
        <v>2468</v>
      </c>
    </row>
    <row r="1332">
      <c r="A1332" s="1" t="s">
        <v>4021</v>
      </c>
      <c r="B1332" s="1" t="s">
        <v>4022</v>
      </c>
      <c r="C1332" s="1" t="s">
        <v>4023</v>
      </c>
      <c r="D1332" s="1" t="s">
        <v>3632</v>
      </c>
      <c r="E1332" s="1" t="s">
        <v>3633</v>
      </c>
      <c r="F1332" s="1">
        <v>441.0</v>
      </c>
      <c r="G1332" s="1">
        <v>3.0</v>
      </c>
      <c r="H1332" s="1">
        <v>0.0</v>
      </c>
      <c r="I1332" s="1">
        <v>9430000.0</v>
      </c>
      <c r="J1332" s="1" t="s">
        <v>2468</v>
      </c>
    </row>
    <row r="1333">
      <c r="A1333" s="1" t="s">
        <v>4024</v>
      </c>
      <c r="B1333" s="1" t="s">
        <v>4025</v>
      </c>
      <c r="C1333" s="1" t="s">
        <v>4026</v>
      </c>
      <c r="D1333" s="1" t="s">
        <v>3632</v>
      </c>
      <c r="E1333" s="1" t="s">
        <v>3633</v>
      </c>
      <c r="F1333" s="1">
        <v>473.0</v>
      </c>
      <c r="G1333" s="1">
        <v>3.0</v>
      </c>
      <c r="H1333" s="1">
        <v>0.0</v>
      </c>
      <c r="I1333" s="1">
        <v>9430000.0</v>
      </c>
      <c r="J1333" s="1" t="s">
        <v>2468</v>
      </c>
    </row>
    <row r="1334">
      <c r="A1334" s="1" t="s">
        <v>4027</v>
      </c>
      <c r="B1334" s="1" t="s">
        <v>4028</v>
      </c>
      <c r="C1334" s="1" t="s">
        <v>4029</v>
      </c>
      <c r="D1334" s="1" t="s">
        <v>3632</v>
      </c>
      <c r="E1334" s="1" t="s">
        <v>3633</v>
      </c>
      <c r="F1334" s="1">
        <v>369.0</v>
      </c>
      <c r="G1334" s="1">
        <v>4.0</v>
      </c>
      <c r="H1334" s="1">
        <v>0.0</v>
      </c>
      <c r="I1334" s="1">
        <v>9430000.0</v>
      </c>
      <c r="J1334" s="1" t="s">
        <v>2468</v>
      </c>
    </row>
    <row r="1335">
      <c r="A1335" s="1" t="s">
        <v>4030</v>
      </c>
      <c r="B1335" s="1" t="s">
        <v>4031</v>
      </c>
      <c r="C1335" s="1" t="s">
        <v>4032</v>
      </c>
      <c r="D1335" s="1" t="s">
        <v>3632</v>
      </c>
      <c r="E1335" s="1" t="s">
        <v>3633</v>
      </c>
      <c r="F1335" s="1">
        <v>405.0</v>
      </c>
      <c r="G1335" s="1">
        <v>5.0</v>
      </c>
      <c r="H1335" s="1">
        <v>0.0</v>
      </c>
      <c r="I1335" s="1">
        <v>9430000.0</v>
      </c>
      <c r="J1335" s="1" t="s">
        <v>2468</v>
      </c>
    </row>
    <row r="1336">
      <c r="A1336" s="1" t="s">
        <v>4033</v>
      </c>
      <c r="B1336" s="1" t="s">
        <v>4034</v>
      </c>
      <c r="C1336" s="1" t="s">
        <v>4035</v>
      </c>
      <c r="D1336" s="1" t="s">
        <v>3632</v>
      </c>
      <c r="E1336" s="1" t="s">
        <v>3633</v>
      </c>
      <c r="F1336" s="1">
        <v>600.0</v>
      </c>
      <c r="G1336" s="1">
        <v>7.0</v>
      </c>
      <c r="H1336" s="1">
        <v>1.0</v>
      </c>
      <c r="I1336" s="1">
        <v>9430000.0</v>
      </c>
      <c r="J1336" s="1" t="s">
        <v>2468</v>
      </c>
    </row>
    <row r="1337">
      <c r="A1337" s="1" t="s">
        <v>4036</v>
      </c>
      <c r="B1337" s="1" t="s">
        <v>4037</v>
      </c>
      <c r="C1337" s="1" t="s">
        <v>4038</v>
      </c>
      <c r="D1337" s="1" t="s">
        <v>3632</v>
      </c>
      <c r="E1337" s="1" t="s">
        <v>3633</v>
      </c>
      <c r="F1337" s="1">
        <v>541.0</v>
      </c>
      <c r="G1337" s="1">
        <v>6.0</v>
      </c>
      <c r="H1337" s="1">
        <v>0.0</v>
      </c>
      <c r="I1337" s="1">
        <v>9430000.0</v>
      </c>
      <c r="J1337" s="1" t="s">
        <v>2468</v>
      </c>
    </row>
    <row r="1338">
      <c r="A1338" s="1" t="s">
        <v>4039</v>
      </c>
      <c r="B1338" s="1" t="s">
        <v>4040</v>
      </c>
      <c r="C1338" s="1" t="s">
        <v>4041</v>
      </c>
      <c r="D1338" s="1" t="s">
        <v>3632</v>
      </c>
      <c r="E1338" s="1" t="s">
        <v>3633</v>
      </c>
      <c r="F1338" s="1">
        <v>351.0</v>
      </c>
      <c r="G1338" s="1">
        <v>2.0</v>
      </c>
      <c r="H1338" s="1">
        <v>0.0</v>
      </c>
      <c r="I1338" s="1">
        <v>9430000.0</v>
      </c>
      <c r="J1338" s="1" t="s">
        <v>2468</v>
      </c>
    </row>
    <row r="1339">
      <c r="A1339" s="1" t="s">
        <v>4042</v>
      </c>
      <c r="B1339" s="1" t="s">
        <v>4043</v>
      </c>
      <c r="C1339" s="1" t="s">
        <v>4044</v>
      </c>
      <c r="D1339" s="1" t="s">
        <v>3632</v>
      </c>
      <c r="E1339" s="1" t="s">
        <v>3633</v>
      </c>
      <c r="F1339" s="1">
        <v>313.0</v>
      </c>
      <c r="G1339" s="1">
        <v>3.0</v>
      </c>
      <c r="H1339" s="1">
        <v>0.0</v>
      </c>
      <c r="I1339" s="1">
        <v>9430000.0</v>
      </c>
      <c r="J1339" s="1" t="s">
        <v>2468</v>
      </c>
    </row>
    <row r="1340">
      <c r="A1340" s="1" t="s">
        <v>4045</v>
      </c>
      <c r="B1340" s="1" t="s">
        <v>4046</v>
      </c>
      <c r="C1340" s="1" t="s">
        <v>4047</v>
      </c>
      <c r="D1340" s="1" t="s">
        <v>3632</v>
      </c>
      <c r="E1340" s="1" t="s">
        <v>3633</v>
      </c>
      <c r="F1340" s="1">
        <v>393.0</v>
      </c>
      <c r="G1340" s="1">
        <v>4.0</v>
      </c>
      <c r="H1340" s="1">
        <v>0.0</v>
      </c>
      <c r="I1340" s="1">
        <v>9430000.0</v>
      </c>
      <c r="J1340" s="1" t="s">
        <v>2468</v>
      </c>
    </row>
    <row r="1341">
      <c r="A1341" s="1" t="s">
        <v>4048</v>
      </c>
      <c r="B1341" s="1" t="s">
        <v>4049</v>
      </c>
      <c r="C1341" s="1" t="s">
        <v>4047</v>
      </c>
      <c r="D1341" s="1" t="s">
        <v>3632</v>
      </c>
      <c r="E1341" s="1" t="s">
        <v>3633</v>
      </c>
      <c r="F1341" s="1">
        <v>530.0</v>
      </c>
      <c r="G1341" s="1">
        <v>6.0</v>
      </c>
      <c r="H1341" s="1">
        <v>0.0</v>
      </c>
      <c r="I1341" s="1">
        <v>9430000.0</v>
      </c>
      <c r="J1341" s="1" t="s">
        <v>2468</v>
      </c>
    </row>
    <row r="1342">
      <c r="A1342" s="1" t="s">
        <v>4050</v>
      </c>
      <c r="B1342" s="1" t="s">
        <v>4051</v>
      </c>
      <c r="C1342" s="1" t="s">
        <v>4052</v>
      </c>
      <c r="D1342" s="1" t="s">
        <v>3632</v>
      </c>
      <c r="E1342" s="1" t="s">
        <v>3633</v>
      </c>
      <c r="F1342" s="1">
        <v>485.0</v>
      </c>
      <c r="G1342" s="1">
        <v>5.0</v>
      </c>
      <c r="H1342" s="1">
        <v>0.0</v>
      </c>
      <c r="I1342" s="1">
        <v>9430000.0</v>
      </c>
      <c r="J1342" s="1" t="s">
        <v>2468</v>
      </c>
    </row>
    <row r="1343">
      <c r="A1343" s="1" t="s">
        <v>4053</v>
      </c>
      <c r="B1343" s="1" t="s">
        <v>4054</v>
      </c>
      <c r="C1343" s="1" t="s">
        <v>4055</v>
      </c>
      <c r="D1343" s="1" t="s">
        <v>3632</v>
      </c>
      <c r="E1343" s="1" t="s">
        <v>3633</v>
      </c>
      <c r="F1343" s="1">
        <v>610.0</v>
      </c>
      <c r="G1343" s="1">
        <v>11.0</v>
      </c>
      <c r="H1343" s="1">
        <v>0.0</v>
      </c>
      <c r="I1343" s="1">
        <v>9430000.0</v>
      </c>
      <c r="J1343" s="1" t="s">
        <v>2468</v>
      </c>
    </row>
    <row r="1344">
      <c r="A1344" s="1" t="s">
        <v>4056</v>
      </c>
      <c r="B1344" s="1" t="s">
        <v>4057</v>
      </c>
      <c r="C1344" s="1" t="s">
        <v>4058</v>
      </c>
      <c r="D1344" s="1" t="s">
        <v>3632</v>
      </c>
      <c r="E1344" s="1" t="s">
        <v>3633</v>
      </c>
      <c r="F1344" s="1">
        <v>413.0</v>
      </c>
      <c r="G1344" s="1">
        <v>6.0</v>
      </c>
      <c r="H1344" s="1">
        <v>0.0</v>
      </c>
      <c r="I1344" s="1">
        <v>9430000.0</v>
      </c>
      <c r="J1344" s="1" t="s">
        <v>2468</v>
      </c>
    </row>
    <row r="1345">
      <c r="A1345" s="1" t="s">
        <v>4059</v>
      </c>
      <c r="B1345" s="1" t="s">
        <v>4060</v>
      </c>
      <c r="C1345" s="1" t="s">
        <v>4061</v>
      </c>
      <c r="D1345" s="1" t="s">
        <v>3632</v>
      </c>
      <c r="E1345" s="1" t="s">
        <v>3633</v>
      </c>
      <c r="F1345" s="1">
        <v>679.0</v>
      </c>
      <c r="G1345" s="1">
        <v>7.0</v>
      </c>
      <c r="H1345" s="1">
        <v>0.0</v>
      </c>
      <c r="I1345" s="1">
        <v>9430000.0</v>
      </c>
      <c r="J1345" s="1" t="s">
        <v>2468</v>
      </c>
    </row>
    <row r="1346">
      <c r="A1346" s="1" t="s">
        <v>4062</v>
      </c>
      <c r="B1346" s="1" t="s">
        <v>4063</v>
      </c>
      <c r="C1346" s="1" t="s">
        <v>4064</v>
      </c>
      <c r="D1346" s="1" t="s">
        <v>3632</v>
      </c>
      <c r="E1346" s="1" t="s">
        <v>3633</v>
      </c>
      <c r="F1346" s="1">
        <v>1688.0</v>
      </c>
      <c r="G1346" s="1">
        <v>21.0</v>
      </c>
      <c r="H1346" s="1">
        <v>2.0</v>
      </c>
      <c r="I1346" s="1">
        <v>9430000.0</v>
      </c>
      <c r="J1346" s="1" t="s">
        <v>2468</v>
      </c>
    </row>
    <row r="1347">
      <c r="A1347" s="1" t="s">
        <v>4065</v>
      </c>
      <c r="B1347" s="1" t="s">
        <v>4066</v>
      </c>
      <c r="C1347" s="1" t="s">
        <v>4067</v>
      </c>
      <c r="D1347" s="1" t="s">
        <v>3632</v>
      </c>
      <c r="E1347" s="1" t="s">
        <v>3633</v>
      </c>
      <c r="F1347" s="1">
        <v>797.0</v>
      </c>
      <c r="G1347" s="1">
        <v>8.0</v>
      </c>
      <c r="H1347" s="1">
        <v>0.0</v>
      </c>
      <c r="I1347" s="1">
        <v>9430000.0</v>
      </c>
      <c r="J1347" s="1" t="s">
        <v>2468</v>
      </c>
    </row>
    <row r="1348">
      <c r="A1348" s="1" t="s">
        <v>4068</v>
      </c>
      <c r="B1348" s="1" t="s">
        <v>4069</v>
      </c>
      <c r="C1348" s="1" t="s">
        <v>4070</v>
      </c>
      <c r="D1348" s="1" t="s">
        <v>3632</v>
      </c>
      <c r="E1348" s="1" t="s">
        <v>3633</v>
      </c>
      <c r="F1348" s="1">
        <v>667.0</v>
      </c>
      <c r="G1348" s="1">
        <v>14.0</v>
      </c>
      <c r="H1348" s="1">
        <v>1.0</v>
      </c>
      <c r="I1348" s="1">
        <v>9430000.0</v>
      </c>
      <c r="J1348" s="1" t="s">
        <v>2468</v>
      </c>
    </row>
    <row r="1349">
      <c r="A1349" s="1" t="s">
        <v>4071</v>
      </c>
      <c r="B1349" s="1" t="s">
        <v>4072</v>
      </c>
      <c r="C1349" s="1" t="s">
        <v>4073</v>
      </c>
      <c r="D1349" s="1" t="s">
        <v>3632</v>
      </c>
      <c r="E1349" s="1" t="s">
        <v>3633</v>
      </c>
      <c r="F1349" s="1">
        <v>568.0</v>
      </c>
      <c r="G1349" s="1">
        <v>7.0</v>
      </c>
      <c r="H1349" s="1">
        <v>0.0</v>
      </c>
      <c r="I1349" s="1">
        <v>9430000.0</v>
      </c>
      <c r="J1349" s="1" t="s">
        <v>2468</v>
      </c>
    </row>
    <row r="1350">
      <c r="A1350" s="1" t="s">
        <v>4074</v>
      </c>
      <c r="B1350" s="1" t="s">
        <v>4075</v>
      </c>
      <c r="C1350" s="1" t="s">
        <v>4076</v>
      </c>
      <c r="D1350" s="1" t="s">
        <v>3632</v>
      </c>
      <c r="E1350" s="1" t="s">
        <v>3633</v>
      </c>
      <c r="F1350" s="1">
        <v>400.0</v>
      </c>
      <c r="G1350" s="1">
        <v>4.0</v>
      </c>
      <c r="H1350" s="1">
        <v>0.0</v>
      </c>
      <c r="I1350" s="1">
        <v>9430000.0</v>
      </c>
      <c r="J1350" s="1" t="s">
        <v>2468</v>
      </c>
    </row>
    <row r="1351">
      <c r="A1351" s="1" t="s">
        <v>4077</v>
      </c>
      <c r="B1351" s="1" t="s">
        <v>4078</v>
      </c>
      <c r="C1351" s="1" t="s">
        <v>4079</v>
      </c>
      <c r="D1351" s="1" t="s">
        <v>3632</v>
      </c>
      <c r="E1351" s="1" t="s">
        <v>3633</v>
      </c>
      <c r="F1351" s="1">
        <v>419.0</v>
      </c>
      <c r="G1351" s="1">
        <v>4.0</v>
      </c>
      <c r="H1351" s="1">
        <v>0.0</v>
      </c>
      <c r="I1351" s="1">
        <v>9430000.0</v>
      </c>
      <c r="J1351" s="1" t="s">
        <v>2468</v>
      </c>
    </row>
    <row r="1352">
      <c r="A1352" s="1" t="s">
        <v>4080</v>
      </c>
      <c r="B1352" s="1" t="s">
        <v>4081</v>
      </c>
      <c r="C1352" s="1" t="s">
        <v>4082</v>
      </c>
      <c r="D1352" s="1" t="s">
        <v>3632</v>
      </c>
      <c r="E1352" s="1" t="s">
        <v>3633</v>
      </c>
      <c r="F1352" s="1">
        <v>519.0</v>
      </c>
      <c r="G1352" s="1">
        <v>5.0</v>
      </c>
      <c r="H1352" s="1">
        <v>1.0</v>
      </c>
      <c r="I1352" s="1">
        <v>9430000.0</v>
      </c>
      <c r="J1352" s="1" t="s">
        <v>2468</v>
      </c>
    </row>
    <row r="1353">
      <c r="A1353" s="1" t="s">
        <v>4083</v>
      </c>
      <c r="B1353" s="1" t="s">
        <v>4084</v>
      </c>
      <c r="C1353" s="1" t="s">
        <v>4085</v>
      </c>
      <c r="D1353" s="1" t="s">
        <v>3632</v>
      </c>
      <c r="E1353" s="1" t="s">
        <v>3633</v>
      </c>
      <c r="F1353" s="1">
        <v>406.0</v>
      </c>
      <c r="G1353" s="1">
        <v>3.0</v>
      </c>
      <c r="H1353" s="1">
        <v>0.0</v>
      </c>
      <c r="I1353" s="1">
        <v>9430000.0</v>
      </c>
      <c r="J1353" s="1" t="s">
        <v>2468</v>
      </c>
    </row>
    <row r="1354">
      <c r="A1354" s="1" t="s">
        <v>4086</v>
      </c>
      <c r="B1354" s="1" t="s">
        <v>4087</v>
      </c>
      <c r="C1354" s="1" t="s">
        <v>4088</v>
      </c>
      <c r="D1354" s="1" t="s">
        <v>3632</v>
      </c>
      <c r="E1354" s="1" t="s">
        <v>3633</v>
      </c>
      <c r="F1354" s="1">
        <v>372.0</v>
      </c>
      <c r="G1354" s="1">
        <v>5.0</v>
      </c>
      <c r="H1354" s="1">
        <v>0.0</v>
      </c>
      <c r="I1354" s="1">
        <v>9430000.0</v>
      </c>
      <c r="J1354" s="1" t="s">
        <v>2468</v>
      </c>
    </row>
    <row r="1355">
      <c r="A1355" s="1" t="s">
        <v>4089</v>
      </c>
      <c r="B1355" s="1" t="s">
        <v>4090</v>
      </c>
      <c r="C1355" s="1" t="s">
        <v>4091</v>
      </c>
      <c r="D1355" s="1" t="s">
        <v>3632</v>
      </c>
      <c r="E1355" s="1" t="s">
        <v>3633</v>
      </c>
      <c r="F1355" s="1">
        <v>491.0</v>
      </c>
      <c r="G1355" s="1">
        <v>3.0</v>
      </c>
      <c r="H1355" s="1">
        <v>0.0</v>
      </c>
      <c r="I1355" s="1">
        <v>9430000.0</v>
      </c>
      <c r="J1355" s="1" t="s">
        <v>2468</v>
      </c>
    </row>
    <row r="1356">
      <c r="A1356" s="1" t="s">
        <v>4092</v>
      </c>
      <c r="B1356" s="1" t="s">
        <v>4093</v>
      </c>
      <c r="C1356" s="1" t="s">
        <v>4094</v>
      </c>
      <c r="D1356" s="1" t="s">
        <v>3632</v>
      </c>
      <c r="E1356" s="1" t="s">
        <v>3633</v>
      </c>
      <c r="F1356" s="1">
        <v>324.0</v>
      </c>
      <c r="G1356" s="1">
        <v>2.0</v>
      </c>
      <c r="H1356" s="1">
        <v>0.0</v>
      </c>
      <c r="I1356" s="1">
        <v>9430000.0</v>
      </c>
      <c r="J1356" s="1" t="s">
        <v>2468</v>
      </c>
    </row>
    <row r="1357">
      <c r="A1357" s="1" t="s">
        <v>4095</v>
      </c>
      <c r="B1357" s="1" t="s">
        <v>4096</v>
      </c>
      <c r="C1357" s="1" t="s">
        <v>4097</v>
      </c>
      <c r="D1357" s="1" t="s">
        <v>3632</v>
      </c>
      <c r="E1357" s="1" t="s">
        <v>3633</v>
      </c>
      <c r="F1357" s="1">
        <v>258.0</v>
      </c>
      <c r="G1357" s="1">
        <v>5.0</v>
      </c>
      <c r="H1357" s="1">
        <v>0.0</v>
      </c>
      <c r="I1357" s="1">
        <v>9430000.0</v>
      </c>
      <c r="J1357" s="1" t="s">
        <v>2468</v>
      </c>
    </row>
    <row r="1358">
      <c r="A1358" s="1" t="s">
        <v>4098</v>
      </c>
      <c r="B1358" s="1" t="s">
        <v>4099</v>
      </c>
      <c r="C1358" s="1" t="s">
        <v>4100</v>
      </c>
      <c r="D1358" s="1" t="s">
        <v>3632</v>
      </c>
      <c r="E1358" s="1" t="s">
        <v>3633</v>
      </c>
      <c r="F1358" s="1">
        <v>297.0</v>
      </c>
      <c r="G1358" s="1">
        <v>4.0</v>
      </c>
      <c r="H1358" s="1">
        <v>0.0</v>
      </c>
      <c r="I1358" s="1">
        <v>9430000.0</v>
      </c>
      <c r="J1358" s="1" t="s">
        <v>2468</v>
      </c>
    </row>
    <row r="1359">
      <c r="A1359" s="1" t="s">
        <v>4101</v>
      </c>
      <c r="B1359" s="1" t="s">
        <v>4102</v>
      </c>
      <c r="C1359" s="1" t="s">
        <v>4103</v>
      </c>
      <c r="D1359" s="1" t="s">
        <v>3632</v>
      </c>
      <c r="E1359" s="1" t="s">
        <v>3633</v>
      </c>
      <c r="F1359" s="1">
        <v>318.0</v>
      </c>
      <c r="G1359" s="1">
        <v>5.0</v>
      </c>
      <c r="H1359" s="1">
        <v>0.0</v>
      </c>
      <c r="I1359" s="1">
        <v>9430000.0</v>
      </c>
      <c r="J1359" s="1" t="s">
        <v>2468</v>
      </c>
    </row>
    <row r="1360">
      <c r="A1360" s="1" t="s">
        <v>4104</v>
      </c>
      <c r="B1360" s="1" t="s">
        <v>4105</v>
      </c>
      <c r="C1360" s="1" t="s">
        <v>4106</v>
      </c>
      <c r="D1360" s="1" t="s">
        <v>3632</v>
      </c>
      <c r="E1360" s="1" t="s">
        <v>3633</v>
      </c>
      <c r="F1360" s="1">
        <v>264.0</v>
      </c>
      <c r="G1360" s="1">
        <v>2.0</v>
      </c>
      <c r="H1360" s="1">
        <v>0.0</v>
      </c>
      <c r="I1360" s="1">
        <v>9430000.0</v>
      </c>
      <c r="J1360" s="1" t="s">
        <v>2468</v>
      </c>
    </row>
    <row r="1361">
      <c r="A1361" s="1" t="s">
        <v>4107</v>
      </c>
      <c r="B1361" s="1" t="s">
        <v>4108</v>
      </c>
      <c r="C1361" s="1" t="s">
        <v>4109</v>
      </c>
      <c r="D1361" s="1" t="s">
        <v>3632</v>
      </c>
      <c r="E1361" s="1" t="s">
        <v>3633</v>
      </c>
      <c r="F1361" s="1">
        <v>339.0</v>
      </c>
      <c r="G1361" s="1">
        <v>4.0</v>
      </c>
      <c r="H1361" s="1">
        <v>0.0</v>
      </c>
      <c r="I1361" s="1">
        <v>9430000.0</v>
      </c>
      <c r="J1361" s="1" t="s">
        <v>2468</v>
      </c>
    </row>
    <row r="1362">
      <c r="A1362" s="1" t="s">
        <v>4110</v>
      </c>
      <c r="B1362" s="1" t="s">
        <v>4111</v>
      </c>
      <c r="C1362" s="1" t="s">
        <v>4112</v>
      </c>
      <c r="D1362" s="1" t="s">
        <v>3632</v>
      </c>
      <c r="E1362" s="1" t="s">
        <v>3633</v>
      </c>
      <c r="F1362" s="1">
        <v>333.0</v>
      </c>
      <c r="G1362" s="1">
        <v>3.0</v>
      </c>
      <c r="H1362" s="1">
        <v>1.0</v>
      </c>
      <c r="I1362" s="1">
        <v>9430000.0</v>
      </c>
      <c r="J1362" s="1" t="s">
        <v>2468</v>
      </c>
    </row>
    <row r="1363">
      <c r="A1363" s="1" t="s">
        <v>4113</v>
      </c>
      <c r="B1363" s="1" t="s">
        <v>4114</v>
      </c>
      <c r="C1363" s="1" t="s">
        <v>4115</v>
      </c>
      <c r="D1363" s="1" t="s">
        <v>3632</v>
      </c>
      <c r="E1363" s="1" t="s">
        <v>3633</v>
      </c>
      <c r="F1363" s="1">
        <v>328.0</v>
      </c>
      <c r="G1363" s="1">
        <v>2.0</v>
      </c>
      <c r="H1363" s="1">
        <v>0.0</v>
      </c>
      <c r="I1363" s="1">
        <v>9430000.0</v>
      </c>
      <c r="J1363" s="1" t="s">
        <v>2468</v>
      </c>
    </row>
    <row r="1364">
      <c r="A1364" s="1" t="s">
        <v>4116</v>
      </c>
      <c r="B1364" s="1" t="s">
        <v>4117</v>
      </c>
      <c r="C1364" s="1" t="s">
        <v>4118</v>
      </c>
      <c r="D1364" s="1" t="s">
        <v>3632</v>
      </c>
      <c r="E1364" s="1" t="s">
        <v>3633</v>
      </c>
      <c r="F1364" s="1">
        <v>301.0</v>
      </c>
      <c r="G1364" s="1">
        <v>2.0</v>
      </c>
      <c r="H1364" s="1">
        <v>1.0</v>
      </c>
      <c r="I1364" s="1">
        <v>9430000.0</v>
      </c>
      <c r="J1364" s="1" t="s">
        <v>2468</v>
      </c>
    </row>
    <row r="1365">
      <c r="A1365" s="1" t="s">
        <v>4119</v>
      </c>
      <c r="B1365" s="1" t="s">
        <v>4120</v>
      </c>
      <c r="C1365" s="1" t="s">
        <v>4121</v>
      </c>
      <c r="D1365" s="1" t="s">
        <v>3632</v>
      </c>
      <c r="E1365" s="1" t="s">
        <v>3633</v>
      </c>
      <c r="F1365" s="1">
        <v>349.0</v>
      </c>
      <c r="G1365" s="1">
        <v>4.0</v>
      </c>
      <c r="H1365" s="1">
        <v>0.0</v>
      </c>
      <c r="I1365" s="1">
        <v>9430000.0</v>
      </c>
      <c r="J1365" s="1" t="s">
        <v>2468</v>
      </c>
    </row>
    <row r="1366">
      <c r="A1366" s="1" t="s">
        <v>4122</v>
      </c>
      <c r="B1366" s="1" t="s">
        <v>4123</v>
      </c>
      <c r="C1366" s="1" t="s">
        <v>4124</v>
      </c>
      <c r="D1366" s="1" t="s">
        <v>3632</v>
      </c>
      <c r="E1366" s="1" t="s">
        <v>3633</v>
      </c>
      <c r="F1366" s="1">
        <v>357.0</v>
      </c>
      <c r="G1366" s="1">
        <v>3.0</v>
      </c>
      <c r="H1366" s="1">
        <v>0.0</v>
      </c>
      <c r="I1366" s="1">
        <v>9430000.0</v>
      </c>
      <c r="J1366" s="1" t="s">
        <v>2468</v>
      </c>
    </row>
    <row r="1367">
      <c r="A1367" s="1" t="s">
        <v>4125</v>
      </c>
      <c r="B1367" s="1" t="s">
        <v>4126</v>
      </c>
      <c r="C1367" s="1" t="s">
        <v>4127</v>
      </c>
      <c r="D1367" s="1" t="s">
        <v>3632</v>
      </c>
      <c r="E1367" s="1" t="s">
        <v>3633</v>
      </c>
      <c r="F1367" s="1">
        <v>444.0</v>
      </c>
      <c r="G1367" s="1">
        <v>3.0</v>
      </c>
      <c r="H1367" s="1">
        <v>0.0</v>
      </c>
      <c r="I1367" s="1">
        <v>9430000.0</v>
      </c>
      <c r="J1367" s="1" t="s">
        <v>2468</v>
      </c>
    </row>
    <row r="1368">
      <c r="A1368" s="1" t="s">
        <v>4128</v>
      </c>
      <c r="B1368" s="1" t="s">
        <v>4129</v>
      </c>
      <c r="C1368" s="1" t="s">
        <v>4130</v>
      </c>
      <c r="D1368" s="1" t="s">
        <v>3632</v>
      </c>
      <c r="E1368" s="1" t="s">
        <v>3633</v>
      </c>
      <c r="F1368" s="1">
        <v>272.0</v>
      </c>
      <c r="G1368" s="1">
        <v>2.0</v>
      </c>
      <c r="H1368" s="1">
        <v>0.0</v>
      </c>
      <c r="I1368" s="1">
        <v>9430000.0</v>
      </c>
      <c r="J1368" s="1" t="s">
        <v>2468</v>
      </c>
    </row>
    <row r="1369">
      <c r="A1369" s="1" t="s">
        <v>4131</v>
      </c>
      <c r="B1369" s="1" t="s">
        <v>4132</v>
      </c>
      <c r="C1369" s="1" t="s">
        <v>4133</v>
      </c>
      <c r="D1369" s="1" t="s">
        <v>3632</v>
      </c>
      <c r="E1369" s="1" t="s">
        <v>3633</v>
      </c>
      <c r="F1369" s="1">
        <v>341.0</v>
      </c>
      <c r="G1369" s="1">
        <v>4.0</v>
      </c>
      <c r="H1369" s="1">
        <v>0.0</v>
      </c>
      <c r="I1369" s="1">
        <v>9430000.0</v>
      </c>
      <c r="J1369" s="1" t="s">
        <v>2468</v>
      </c>
    </row>
    <row r="1370">
      <c r="A1370" s="1" t="s">
        <v>4134</v>
      </c>
      <c r="B1370" s="1" t="s">
        <v>4135</v>
      </c>
      <c r="C1370" s="1" t="s">
        <v>4136</v>
      </c>
      <c r="D1370" s="1" t="s">
        <v>3632</v>
      </c>
      <c r="E1370" s="1" t="s">
        <v>3633</v>
      </c>
      <c r="F1370" s="1">
        <v>292.0</v>
      </c>
      <c r="G1370" s="1">
        <v>2.0</v>
      </c>
      <c r="H1370" s="1">
        <v>0.0</v>
      </c>
      <c r="I1370" s="1">
        <v>9430000.0</v>
      </c>
      <c r="J1370" s="1" t="s">
        <v>2468</v>
      </c>
    </row>
    <row r="1371">
      <c r="A1371" s="1" t="s">
        <v>4137</v>
      </c>
      <c r="B1371" s="1" t="s">
        <v>4138</v>
      </c>
      <c r="C1371" s="1" t="s">
        <v>4139</v>
      </c>
      <c r="D1371" s="1" t="s">
        <v>3632</v>
      </c>
      <c r="E1371" s="1" t="s">
        <v>3633</v>
      </c>
      <c r="F1371" s="1">
        <v>12200.0</v>
      </c>
      <c r="G1371" s="1">
        <v>188.0</v>
      </c>
      <c r="H1371" s="1">
        <v>5.0</v>
      </c>
      <c r="I1371" s="1">
        <v>9430000.0</v>
      </c>
      <c r="J1371" s="1" t="s">
        <v>2468</v>
      </c>
    </row>
    <row r="1372">
      <c r="A1372" s="1" t="s">
        <v>4140</v>
      </c>
      <c r="B1372" s="1" t="s">
        <v>4141</v>
      </c>
      <c r="C1372" s="1" t="s">
        <v>4142</v>
      </c>
      <c r="D1372" s="1" t="s">
        <v>3632</v>
      </c>
      <c r="E1372" s="1" t="s">
        <v>3633</v>
      </c>
      <c r="F1372" s="1">
        <v>163.0</v>
      </c>
      <c r="G1372" s="1">
        <v>1.0</v>
      </c>
      <c r="H1372" s="1">
        <v>0.0</v>
      </c>
      <c r="I1372" s="1">
        <v>9430000.0</v>
      </c>
      <c r="J1372" s="1" t="s">
        <v>2468</v>
      </c>
    </row>
    <row r="1373">
      <c r="A1373" s="1" t="s">
        <v>4143</v>
      </c>
      <c r="B1373" s="1" t="s">
        <v>4144</v>
      </c>
      <c r="C1373" s="1" t="s">
        <v>4145</v>
      </c>
      <c r="D1373" s="1" t="s">
        <v>3632</v>
      </c>
      <c r="E1373" s="1" t="s">
        <v>3633</v>
      </c>
      <c r="F1373" s="1">
        <v>365.0</v>
      </c>
      <c r="G1373" s="1">
        <v>2.0</v>
      </c>
      <c r="H1373" s="1">
        <v>0.0</v>
      </c>
      <c r="I1373" s="1">
        <v>9430000.0</v>
      </c>
      <c r="J1373" s="1" t="s">
        <v>2468</v>
      </c>
    </row>
    <row r="1374">
      <c r="A1374" s="1" t="s">
        <v>4146</v>
      </c>
      <c r="B1374" s="1" t="s">
        <v>4147</v>
      </c>
      <c r="C1374" s="1" t="s">
        <v>4148</v>
      </c>
      <c r="D1374" s="1" t="s">
        <v>3632</v>
      </c>
      <c r="E1374" s="1" t="s">
        <v>3633</v>
      </c>
      <c r="F1374" s="1">
        <v>659.0</v>
      </c>
      <c r="G1374" s="1">
        <v>0.0</v>
      </c>
      <c r="H1374" s="1">
        <v>0.0</v>
      </c>
      <c r="I1374" s="1">
        <v>9430000.0</v>
      </c>
      <c r="J1374" s="1" t="s">
        <v>2468</v>
      </c>
    </row>
    <row r="1375">
      <c r="A1375" s="1" t="s">
        <v>4149</v>
      </c>
      <c r="B1375" s="1" t="s">
        <v>4150</v>
      </c>
      <c r="C1375" s="1" t="s">
        <v>4151</v>
      </c>
      <c r="D1375" s="1" t="s">
        <v>3632</v>
      </c>
      <c r="E1375" s="1" t="s">
        <v>3633</v>
      </c>
      <c r="F1375" s="1">
        <v>244.0</v>
      </c>
      <c r="G1375" s="1">
        <v>3.0</v>
      </c>
      <c r="H1375" s="1">
        <v>0.0</v>
      </c>
      <c r="I1375" s="1">
        <v>9430000.0</v>
      </c>
      <c r="J1375" s="1" t="s">
        <v>2468</v>
      </c>
    </row>
    <row r="1376">
      <c r="A1376" s="1" t="s">
        <v>4152</v>
      </c>
      <c r="B1376" s="1" t="s">
        <v>4153</v>
      </c>
      <c r="C1376" s="1" t="s">
        <v>4154</v>
      </c>
      <c r="D1376" s="1" t="s">
        <v>3632</v>
      </c>
      <c r="E1376" s="1" t="s">
        <v>3633</v>
      </c>
      <c r="F1376" s="1">
        <v>185.0</v>
      </c>
      <c r="G1376" s="1">
        <v>0.0</v>
      </c>
      <c r="H1376" s="1">
        <v>0.0</v>
      </c>
      <c r="I1376" s="1">
        <v>9430000.0</v>
      </c>
      <c r="J1376" s="1" t="s">
        <v>2468</v>
      </c>
    </row>
    <row r="1377">
      <c r="A1377" s="1" t="s">
        <v>4155</v>
      </c>
      <c r="B1377" s="1" t="s">
        <v>4156</v>
      </c>
      <c r="C1377" s="1" t="s">
        <v>4157</v>
      </c>
      <c r="D1377" s="1" t="s">
        <v>3632</v>
      </c>
      <c r="E1377" s="1" t="s">
        <v>3633</v>
      </c>
      <c r="F1377" s="1">
        <v>261.0</v>
      </c>
      <c r="G1377" s="1">
        <v>1.0</v>
      </c>
      <c r="H1377" s="1">
        <v>0.0</v>
      </c>
      <c r="I1377" s="1">
        <v>9430000.0</v>
      </c>
      <c r="J1377" s="1" t="s">
        <v>2468</v>
      </c>
    </row>
    <row r="1378">
      <c r="A1378" s="1" t="s">
        <v>4158</v>
      </c>
      <c r="B1378" s="1" t="s">
        <v>4159</v>
      </c>
      <c r="C1378" s="1" t="s">
        <v>4160</v>
      </c>
      <c r="D1378" s="1" t="s">
        <v>3632</v>
      </c>
      <c r="E1378" s="1" t="s">
        <v>3633</v>
      </c>
      <c r="F1378" s="1">
        <v>166.0</v>
      </c>
      <c r="G1378" s="1">
        <v>1.0</v>
      </c>
      <c r="H1378" s="1">
        <v>0.0</v>
      </c>
      <c r="I1378" s="1">
        <v>9430000.0</v>
      </c>
      <c r="J1378" s="1" t="s">
        <v>2468</v>
      </c>
    </row>
    <row r="1379">
      <c r="A1379" s="1" t="s">
        <v>4161</v>
      </c>
      <c r="B1379" s="1" t="s">
        <v>4162</v>
      </c>
      <c r="C1379" s="1" t="s">
        <v>4163</v>
      </c>
      <c r="D1379" s="1" t="s">
        <v>3632</v>
      </c>
      <c r="E1379" s="1" t="s">
        <v>3633</v>
      </c>
      <c r="F1379" s="1">
        <v>137.0</v>
      </c>
      <c r="G1379" s="1">
        <v>1.0</v>
      </c>
      <c r="H1379" s="1">
        <v>0.0</v>
      </c>
      <c r="I1379" s="1">
        <v>9430000.0</v>
      </c>
      <c r="J1379" s="1" t="s">
        <v>2468</v>
      </c>
    </row>
    <row r="1380">
      <c r="A1380" s="1" t="s">
        <v>4164</v>
      </c>
      <c r="B1380" s="1" t="s">
        <v>4165</v>
      </c>
      <c r="C1380" s="1" t="s">
        <v>4166</v>
      </c>
      <c r="D1380" s="1" t="s">
        <v>3632</v>
      </c>
      <c r="E1380" s="1" t="s">
        <v>3633</v>
      </c>
      <c r="F1380" s="1">
        <v>217.0</v>
      </c>
      <c r="G1380" s="1">
        <v>4.0</v>
      </c>
      <c r="H1380" s="1">
        <v>0.0</v>
      </c>
      <c r="I1380" s="1">
        <v>9430000.0</v>
      </c>
      <c r="J1380" s="1" t="s">
        <v>2468</v>
      </c>
    </row>
    <row r="1381">
      <c r="A1381" s="1" t="s">
        <v>4167</v>
      </c>
      <c r="B1381" s="1" t="s">
        <v>4168</v>
      </c>
      <c r="C1381" s="1" t="s">
        <v>4169</v>
      </c>
      <c r="D1381" s="1" t="s">
        <v>3632</v>
      </c>
      <c r="E1381" s="1" t="s">
        <v>3633</v>
      </c>
      <c r="F1381" s="1">
        <v>290.0</v>
      </c>
      <c r="G1381" s="1">
        <v>4.0</v>
      </c>
      <c r="H1381" s="1">
        <v>0.0</v>
      </c>
      <c r="I1381" s="1">
        <v>9430000.0</v>
      </c>
      <c r="J1381" s="1" t="s">
        <v>2468</v>
      </c>
    </row>
    <row r="1382">
      <c r="A1382" s="1" t="s">
        <v>4170</v>
      </c>
      <c r="B1382" s="1" t="s">
        <v>4171</v>
      </c>
      <c r="C1382" s="1" t="s">
        <v>4172</v>
      </c>
      <c r="D1382" s="1" t="s">
        <v>3632</v>
      </c>
      <c r="E1382" s="1" t="s">
        <v>3633</v>
      </c>
      <c r="F1382" s="1">
        <v>326.0</v>
      </c>
      <c r="G1382" s="1">
        <v>5.0</v>
      </c>
      <c r="H1382" s="1">
        <v>0.0</v>
      </c>
      <c r="I1382" s="1">
        <v>9430000.0</v>
      </c>
      <c r="J1382" s="1" t="s">
        <v>2468</v>
      </c>
    </row>
    <row r="1383">
      <c r="A1383" s="1" t="s">
        <v>4173</v>
      </c>
      <c r="B1383" s="1" t="s">
        <v>4174</v>
      </c>
      <c r="C1383" s="1" t="s">
        <v>4175</v>
      </c>
      <c r="D1383" s="1" t="s">
        <v>3632</v>
      </c>
      <c r="E1383" s="1" t="s">
        <v>3633</v>
      </c>
      <c r="F1383" s="1">
        <v>251.0</v>
      </c>
      <c r="G1383" s="1">
        <v>6.0</v>
      </c>
      <c r="H1383" s="1">
        <v>1.0</v>
      </c>
      <c r="I1383" s="1">
        <v>9430000.0</v>
      </c>
      <c r="J1383" s="1" t="s">
        <v>2468</v>
      </c>
    </row>
    <row r="1384">
      <c r="A1384" s="1" t="s">
        <v>4176</v>
      </c>
      <c r="B1384" s="1" t="s">
        <v>4177</v>
      </c>
      <c r="C1384" s="1" t="s">
        <v>4178</v>
      </c>
      <c r="D1384" s="1" t="s">
        <v>3632</v>
      </c>
      <c r="E1384" s="1" t="s">
        <v>3633</v>
      </c>
      <c r="F1384" s="1">
        <v>142.0</v>
      </c>
      <c r="G1384" s="1">
        <v>1.0</v>
      </c>
      <c r="H1384" s="1">
        <v>0.0</v>
      </c>
      <c r="I1384" s="1">
        <v>9430000.0</v>
      </c>
      <c r="J1384" s="1" t="s">
        <v>2468</v>
      </c>
    </row>
    <row r="1385">
      <c r="A1385" s="1" t="s">
        <v>4179</v>
      </c>
      <c r="B1385" s="1" t="s">
        <v>4180</v>
      </c>
      <c r="C1385" s="1" t="s">
        <v>4181</v>
      </c>
      <c r="D1385" s="1" t="s">
        <v>3632</v>
      </c>
      <c r="E1385" s="1" t="s">
        <v>3633</v>
      </c>
      <c r="F1385" s="1">
        <v>191.0</v>
      </c>
      <c r="G1385" s="1">
        <v>2.0</v>
      </c>
      <c r="H1385" s="1">
        <v>0.0</v>
      </c>
      <c r="I1385" s="1">
        <v>9430000.0</v>
      </c>
      <c r="J1385" s="1" t="s">
        <v>2468</v>
      </c>
    </row>
    <row r="1386">
      <c r="A1386" s="1" t="s">
        <v>4182</v>
      </c>
      <c r="B1386" s="1" t="s">
        <v>4183</v>
      </c>
      <c r="C1386" s="1" t="s">
        <v>4184</v>
      </c>
      <c r="D1386" s="1" t="s">
        <v>3632</v>
      </c>
      <c r="E1386" s="1" t="s">
        <v>3633</v>
      </c>
      <c r="F1386" s="1">
        <v>144.0</v>
      </c>
      <c r="G1386" s="1">
        <v>3.0</v>
      </c>
      <c r="H1386" s="1">
        <v>0.0</v>
      </c>
      <c r="I1386" s="1">
        <v>9430000.0</v>
      </c>
      <c r="J1386" s="1" t="s">
        <v>2468</v>
      </c>
    </row>
    <row r="1387">
      <c r="A1387" s="1" t="s">
        <v>4185</v>
      </c>
      <c r="B1387" s="1" t="s">
        <v>4186</v>
      </c>
      <c r="C1387" s="1" t="s">
        <v>4187</v>
      </c>
      <c r="D1387" s="1" t="s">
        <v>3632</v>
      </c>
      <c r="E1387" s="1" t="s">
        <v>3633</v>
      </c>
      <c r="F1387" s="1">
        <v>157.0</v>
      </c>
      <c r="G1387" s="1">
        <v>1.0</v>
      </c>
      <c r="H1387" s="1">
        <v>0.0</v>
      </c>
      <c r="I1387" s="1">
        <v>9430000.0</v>
      </c>
      <c r="J1387" s="1" t="s">
        <v>2468</v>
      </c>
    </row>
    <row r="1388">
      <c r="A1388" s="1" t="s">
        <v>4188</v>
      </c>
      <c r="B1388" s="1" t="s">
        <v>4189</v>
      </c>
      <c r="C1388" s="1" t="s">
        <v>4190</v>
      </c>
      <c r="D1388" s="1" t="s">
        <v>3632</v>
      </c>
      <c r="E1388" s="1" t="s">
        <v>3633</v>
      </c>
      <c r="F1388" s="1">
        <v>184.0</v>
      </c>
      <c r="G1388" s="1">
        <v>1.0</v>
      </c>
      <c r="H1388" s="1">
        <v>0.0</v>
      </c>
      <c r="I1388" s="1">
        <v>9430000.0</v>
      </c>
      <c r="J1388" s="1" t="s">
        <v>2468</v>
      </c>
    </row>
    <row r="1389">
      <c r="A1389" s="1" t="s">
        <v>4191</v>
      </c>
      <c r="B1389" s="1" t="s">
        <v>4192</v>
      </c>
      <c r="C1389" s="1" t="s">
        <v>4193</v>
      </c>
      <c r="D1389" s="1" t="s">
        <v>3632</v>
      </c>
      <c r="E1389" s="1" t="s">
        <v>3633</v>
      </c>
      <c r="F1389" s="1">
        <v>208.0</v>
      </c>
      <c r="G1389" s="1">
        <v>1.0</v>
      </c>
      <c r="H1389" s="1">
        <v>0.0</v>
      </c>
      <c r="I1389" s="1">
        <v>9430000.0</v>
      </c>
      <c r="J1389" s="1" t="s">
        <v>2468</v>
      </c>
    </row>
    <row r="1390">
      <c r="A1390" s="1" t="s">
        <v>4194</v>
      </c>
      <c r="B1390" s="1" t="s">
        <v>4195</v>
      </c>
      <c r="C1390" s="1" t="s">
        <v>4196</v>
      </c>
      <c r="D1390" s="1" t="s">
        <v>3632</v>
      </c>
      <c r="E1390" s="1" t="s">
        <v>3633</v>
      </c>
      <c r="F1390" s="1">
        <v>247.0</v>
      </c>
      <c r="G1390" s="1">
        <v>3.0</v>
      </c>
      <c r="H1390" s="1">
        <v>0.0</v>
      </c>
      <c r="I1390" s="1">
        <v>9430000.0</v>
      </c>
      <c r="J1390" s="1" t="s">
        <v>2468</v>
      </c>
    </row>
    <row r="1391">
      <c r="A1391" s="1" t="s">
        <v>4197</v>
      </c>
      <c r="B1391" s="1" t="s">
        <v>4198</v>
      </c>
      <c r="C1391" s="1" t="s">
        <v>4199</v>
      </c>
      <c r="D1391" s="1" t="s">
        <v>3632</v>
      </c>
      <c r="E1391" s="1" t="s">
        <v>3633</v>
      </c>
      <c r="F1391" s="1">
        <v>218.0</v>
      </c>
      <c r="G1391" s="1">
        <v>3.0</v>
      </c>
      <c r="H1391" s="1">
        <v>0.0</v>
      </c>
      <c r="I1391" s="1">
        <v>9430000.0</v>
      </c>
      <c r="J1391" s="1" t="s">
        <v>2468</v>
      </c>
    </row>
    <row r="1392">
      <c r="A1392" s="1" t="s">
        <v>4200</v>
      </c>
      <c r="B1392" s="1" t="s">
        <v>4201</v>
      </c>
      <c r="C1392" s="1" t="s">
        <v>4202</v>
      </c>
      <c r="D1392" s="1" t="s">
        <v>3632</v>
      </c>
      <c r="E1392" s="1" t="s">
        <v>3633</v>
      </c>
      <c r="F1392" s="1">
        <v>176.0</v>
      </c>
      <c r="G1392" s="1">
        <v>1.0</v>
      </c>
      <c r="H1392" s="1">
        <v>0.0</v>
      </c>
      <c r="I1392" s="1">
        <v>9430000.0</v>
      </c>
      <c r="J1392" s="1" t="s">
        <v>2468</v>
      </c>
    </row>
    <row r="1393">
      <c r="A1393" s="1" t="s">
        <v>4203</v>
      </c>
      <c r="B1393" s="1" t="s">
        <v>4204</v>
      </c>
      <c r="C1393" s="1" t="s">
        <v>4205</v>
      </c>
      <c r="D1393" s="1" t="s">
        <v>3632</v>
      </c>
      <c r="E1393" s="1" t="s">
        <v>3633</v>
      </c>
      <c r="F1393" s="1">
        <v>240.0</v>
      </c>
      <c r="G1393" s="1">
        <v>1.0</v>
      </c>
      <c r="H1393" s="1">
        <v>0.0</v>
      </c>
      <c r="I1393" s="1">
        <v>9430000.0</v>
      </c>
      <c r="J1393" s="1" t="s">
        <v>2468</v>
      </c>
    </row>
    <row r="1394">
      <c r="A1394" s="1" t="s">
        <v>4206</v>
      </c>
      <c r="B1394" s="1" t="s">
        <v>4207</v>
      </c>
      <c r="C1394" s="1" t="s">
        <v>4208</v>
      </c>
      <c r="D1394" s="1" t="s">
        <v>3632</v>
      </c>
      <c r="E1394" s="1" t="s">
        <v>3633</v>
      </c>
      <c r="F1394" s="1">
        <v>786.0</v>
      </c>
      <c r="G1394" s="1">
        <v>3.0</v>
      </c>
      <c r="H1394" s="1">
        <v>0.0</v>
      </c>
      <c r="I1394" s="1">
        <v>9430000.0</v>
      </c>
      <c r="J1394" s="1" t="s">
        <v>2468</v>
      </c>
    </row>
    <row r="1395">
      <c r="A1395" s="1" t="s">
        <v>4209</v>
      </c>
      <c r="B1395" s="1" t="s">
        <v>4210</v>
      </c>
      <c r="C1395" s="1" t="s">
        <v>4211</v>
      </c>
      <c r="D1395" s="1" t="s">
        <v>3632</v>
      </c>
      <c r="E1395" s="1" t="s">
        <v>3633</v>
      </c>
      <c r="F1395" s="1">
        <v>142.0</v>
      </c>
      <c r="G1395" s="1">
        <v>2.0</v>
      </c>
      <c r="H1395" s="1">
        <v>0.0</v>
      </c>
      <c r="I1395" s="1">
        <v>9430000.0</v>
      </c>
      <c r="J1395" s="1" t="s">
        <v>2468</v>
      </c>
    </row>
    <row r="1396">
      <c r="A1396" s="1" t="s">
        <v>4212</v>
      </c>
      <c r="B1396" s="1" t="s">
        <v>4213</v>
      </c>
      <c r="C1396" s="1" t="s">
        <v>4214</v>
      </c>
      <c r="D1396" s="1" t="s">
        <v>3632</v>
      </c>
      <c r="E1396" s="1" t="s">
        <v>3633</v>
      </c>
      <c r="F1396" s="1">
        <v>327.0</v>
      </c>
      <c r="G1396" s="1">
        <v>2.0</v>
      </c>
      <c r="H1396" s="1">
        <v>0.0</v>
      </c>
      <c r="I1396" s="1">
        <v>9430000.0</v>
      </c>
      <c r="J1396" s="1" t="s">
        <v>2468</v>
      </c>
    </row>
    <row r="1397">
      <c r="A1397" s="1" t="s">
        <v>4215</v>
      </c>
      <c r="B1397" s="1" t="s">
        <v>4216</v>
      </c>
      <c r="C1397" s="1" t="s">
        <v>4217</v>
      </c>
      <c r="D1397" s="1" t="s">
        <v>3632</v>
      </c>
      <c r="E1397" s="1" t="s">
        <v>3633</v>
      </c>
      <c r="F1397" s="1">
        <v>185.0</v>
      </c>
      <c r="G1397" s="1">
        <v>1.0</v>
      </c>
      <c r="H1397" s="1">
        <v>0.0</v>
      </c>
      <c r="I1397" s="1">
        <v>9430000.0</v>
      </c>
      <c r="J1397" s="1" t="s">
        <v>2468</v>
      </c>
    </row>
    <row r="1398">
      <c r="A1398" s="1" t="s">
        <v>4218</v>
      </c>
      <c r="B1398" s="1" t="s">
        <v>4219</v>
      </c>
      <c r="C1398" s="1" t="s">
        <v>4220</v>
      </c>
      <c r="D1398" s="1" t="s">
        <v>3632</v>
      </c>
      <c r="E1398" s="1" t="s">
        <v>3633</v>
      </c>
      <c r="F1398" s="1">
        <v>213.0</v>
      </c>
      <c r="G1398" s="1">
        <v>1.0</v>
      </c>
      <c r="H1398" s="1">
        <v>0.0</v>
      </c>
      <c r="I1398" s="1">
        <v>9430000.0</v>
      </c>
      <c r="J1398" s="1" t="s">
        <v>2468</v>
      </c>
    </row>
    <row r="1399">
      <c r="A1399" s="1" t="s">
        <v>4221</v>
      </c>
      <c r="B1399" s="1" t="s">
        <v>4222</v>
      </c>
      <c r="C1399" s="1" t="s">
        <v>4223</v>
      </c>
      <c r="D1399" s="1" t="s">
        <v>3632</v>
      </c>
      <c r="E1399" s="1" t="s">
        <v>3633</v>
      </c>
      <c r="F1399" s="1">
        <v>132.0</v>
      </c>
      <c r="G1399" s="1">
        <v>1.0</v>
      </c>
      <c r="H1399" s="1">
        <v>0.0</v>
      </c>
      <c r="I1399" s="1">
        <v>9430000.0</v>
      </c>
      <c r="J1399" s="1" t="s">
        <v>2468</v>
      </c>
    </row>
    <row r="1400">
      <c r="A1400" s="1" t="s">
        <v>4224</v>
      </c>
      <c r="B1400" s="1" t="s">
        <v>4225</v>
      </c>
      <c r="C1400" s="1" t="s">
        <v>4226</v>
      </c>
      <c r="D1400" s="1" t="s">
        <v>3632</v>
      </c>
      <c r="E1400" s="1" t="s">
        <v>3633</v>
      </c>
      <c r="F1400" s="1">
        <v>150.0</v>
      </c>
      <c r="G1400" s="1">
        <v>1.0</v>
      </c>
      <c r="H1400" s="1">
        <v>0.0</v>
      </c>
      <c r="I1400" s="1">
        <v>9430000.0</v>
      </c>
      <c r="J1400" s="1" t="s">
        <v>2468</v>
      </c>
    </row>
    <row r="1401">
      <c r="A1401" s="1" t="s">
        <v>4227</v>
      </c>
      <c r="B1401" s="1" t="s">
        <v>4228</v>
      </c>
      <c r="C1401" s="1" t="s">
        <v>4229</v>
      </c>
      <c r="D1401" s="1" t="s">
        <v>3632</v>
      </c>
      <c r="E1401" s="1" t="s">
        <v>3633</v>
      </c>
      <c r="F1401" s="1">
        <v>199.0</v>
      </c>
      <c r="G1401" s="1">
        <v>1.0</v>
      </c>
      <c r="H1401" s="1">
        <v>1.0</v>
      </c>
      <c r="I1401" s="1">
        <v>9430000.0</v>
      </c>
      <c r="J1401" s="1" t="s">
        <v>2468</v>
      </c>
    </row>
    <row r="1402">
      <c r="A1402" s="1" t="s">
        <v>4230</v>
      </c>
      <c r="B1402" s="1" t="s">
        <v>4231</v>
      </c>
      <c r="C1402" s="1" t="s">
        <v>4232</v>
      </c>
      <c r="D1402" s="1" t="s">
        <v>4233</v>
      </c>
      <c r="E1402" s="1" t="s">
        <v>4234</v>
      </c>
      <c r="F1402" s="1">
        <v>5338.0</v>
      </c>
      <c r="G1402" s="1">
        <v>466.0</v>
      </c>
      <c r="H1402" s="1">
        <v>0.0</v>
      </c>
      <c r="I1402" s="1">
        <v>1.72E7</v>
      </c>
      <c r="J1402" s="1" t="s">
        <v>2468</v>
      </c>
    </row>
    <row r="1403">
      <c r="A1403" s="1" t="s">
        <v>4235</v>
      </c>
      <c r="B1403" s="1" t="s">
        <v>4236</v>
      </c>
      <c r="C1403" s="1" t="s">
        <v>4237</v>
      </c>
      <c r="D1403" s="1" t="s">
        <v>4233</v>
      </c>
      <c r="E1403" s="1" t="s">
        <v>4234</v>
      </c>
      <c r="F1403" s="1">
        <v>21249.0</v>
      </c>
      <c r="G1403" s="1">
        <v>1237.0</v>
      </c>
      <c r="H1403" s="1">
        <v>37.0</v>
      </c>
      <c r="I1403" s="1">
        <v>1.72E7</v>
      </c>
      <c r="J1403" s="1" t="s">
        <v>2468</v>
      </c>
    </row>
    <row r="1404">
      <c r="A1404" s="1" t="s">
        <v>4238</v>
      </c>
      <c r="B1404" s="1" t="s">
        <v>4239</v>
      </c>
      <c r="C1404" s="1" t="s">
        <v>4240</v>
      </c>
      <c r="D1404" s="1" t="s">
        <v>4233</v>
      </c>
      <c r="E1404" s="1" t="s">
        <v>4234</v>
      </c>
      <c r="F1404" s="1">
        <v>25407.0</v>
      </c>
      <c r="G1404" s="1">
        <v>1285.0</v>
      </c>
      <c r="H1404" s="1">
        <v>0.0</v>
      </c>
      <c r="I1404" s="1">
        <v>1.72E7</v>
      </c>
      <c r="J1404" s="1" t="s">
        <v>2468</v>
      </c>
    </row>
    <row r="1405">
      <c r="A1405" s="1" t="s">
        <v>4241</v>
      </c>
      <c r="B1405" s="1" t="s">
        <v>4242</v>
      </c>
      <c r="C1405" s="1" t="s">
        <v>4243</v>
      </c>
      <c r="D1405" s="1" t="s">
        <v>4233</v>
      </c>
      <c r="E1405" s="1" t="s">
        <v>4234</v>
      </c>
      <c r="F1405" s="1">
        <v>33043.0</v>
      </c>
      <c r="G1405" s="1">
        <v>1527.0</v>
      </c>
      <c r="H1405" s="1">
        <v>32.0</v>
      </c>
      <c r="I1405" s="1">
        <v>1.72E7</v>
      </c>
      <c r="J1405" s="1" t="s">
        <v>2468</v>
      </c>
    </row>
    <row r="1406">
      <c r="A1406" s="1" t="s">
        <v>4244</v>
      </c>
      <c r="B1406" s="1" t="s">
        <v>4245</v>
      </c>
      <c r="C1406" s="1" t="s">
        <v>4246</v>
      </c>
      <c r="D1406" s="1" t="s">
        <v>4233</v>
      </c>
      <c r="E1406" s="1" t="s">
        <v>4234</v>
      </c>
      <c r="F1406" s="1">
        <v>23214.0</v>
      </c>
      <c r="G1406" s="1">
        <v>860.0</v>
      </c>
      <c r="H1406" s="1">
        <v>1.0</v>
      </c>
      <c r="I1406" s="1">
        <v>1.72E7</v>
      </c>
      <c r="J1406" s="1" t="s">
        <v>2468</v>
      </c>
    </row>
    <row r="1407">
      <c r="A1407" s="1" t="s">
        <v>4247</v>
      </c>
      <c r="B1407" s="1" t="s">
        <v>4248</v>
      </c>
      <c r="C1407" s="1" t="s">
        <v>4249</v>
      </c>
      <c r="D1407" s="1" t="s">
        <v>4233</v>
      </c>
      <c r="E1407" s="1" t="s">
        <v>4234</v>
      </c>
      <c r="F1407" s="1">
        <v>25574.0</v>
      </c>
      <c r="G1407" s="1">
        <v>1506.0</v>
      </c>
      <c r="H1407" s="1">
        <v>40.0</v>
      </c>
      <c r="I1407" s="1">
        <v>1.72E7</v>
      </c>
      <c r="J1407" s="1" t="s">
        <v>2468</v>
      </c>
    </row>
    <row r="1408">
      <c r="A1408" s="1" t="s">
        <v>4250</v>
      </c>
      <c r="B1408" s="1" t="s">
        <v>4251</v>
      </c>
      <c r="C1408" s="1" t="s">
        <v>4252</v>
      </c>
      <c r="D1408" s="1" t="s">
        <v>4233</v>
      </c>
      <c r="E1408" s="1" t="s">
        <v>4234</v>
      </c>
      <c r="F1408" s="1">
        <v>24191.0</v>
      </c>
      <c r="G1408" s="1">
        <v>788.0</v>
      </c>
      <c r="H1408" s="1">
        <v>9.0</v>
      </c>
      <c r="I1408" s="1">
        <v>1.72E7</v>
      </c>
      <c r="J1408" s="1" t="s">
        <v>2468</v>
      </c>
    </row>
    <row r="1409">
      <c r="A1409" s="1" t="s">
        <v>4253</v>
      </c>
      <c r="B1409" s="1" t="s">
        <v>4254</v>
      </c>
      <c r="C1409" s="1" t="s">
        <v>4255</v>
      </c>
      <c r="D1409" s="1" t="s">
        <v>4233</v>
      </c>
      <c r="E1409" s="1" t="s">
        <v>4234</v>
      </c>
      <c r="F1409" s="1">
        <v>30588.0</v>
      </c>
      <c r="G1409" s="1">
        <v>1702.0</v>
      </c>
      <c r="H1409" s="1">
        <v>45.0</v>
      </c>
      <c r="I1409" s="1">
        <v>1.72E7</v>
      </c>
      <c r="J1409" s="1" t="s">
        <v>2468</v>
      </c>
    </row>
    <row r="1410">
      <c r="A1410" s="1" t="s">
        <v>4256</v>
      </c>
      <c r="B1410" s="1" t="s">
        <v>4257</v>
      </c>
      <c r="C1410" s="1" t="s">
        <v>4258</v>
      </c>
      <c r="D1410" s="1" t="s">
        <v>4233</v>
      </c>
      <c r="E1410" s="1" t="s">
        <v>4234</v>
      </c>
      <c r="F1410" s="1">
        <v>34147.0</v>
      </c>
      <c r="G1410" s="1">
        <v>1901.0</v>
      </c>
      <c r="H1410" s="1">
        <v>50.0</v>
      </c>
      <c r="I1410" s="1">
        <v>1.72E7</v>
      </c>
      <c r="J1410" s="1" t="s">
        <v>2468</v>
      </c>
    </row>
    <row r="1411">
      <c r="A1411" s="1" t="s">
        <v>4259</v>
      </c>
      <c r="B1411" s="1" t="s">
        <v>4260</v>
      </c>
      <c r="C1411" s="1" t="s">
        <v>4261</v>
      </c>
      <c r="D1411" s="1" t="s">
        <v>4233</v>
      </c>
      <c r="E1411" s="1" t="s">
        <v>4234</v>
      </c>
      <c r="F1411" s="1">
        <v>28310.0</v>
      </c>
      <c r="G1411" s="1">
        <v>1666.0</v>
      </c>
      <c r="H1411" s="1">
        <v>34.0</v>
      </c>
      <c r="I1411" s="1">
        <v>1.72E7</v>
      </c>
      <c r="J1411" s="1" t="s">
        <v>2468</v>
      </c>
    </row>
    <row r="1412">
      <c r="A1412" s="1" t="s">
        <v>4262</v>
      </c>
      <c r="B1412" s="1" t="s">
        <v>4263</v>
      </c>
      <c r="C1412" s="1" t="s">
        <v>4264</v>
      </c>
      <c r="D1412" s="1" t="s">
        <v>4233</v>
      </c>
      <c r="E1412" s="1" t="s">
        <v>4234</v>
      </c>
      <c r="F1412" s="1">
        <v>43749.0</v>
      </c>
      <c r="G1412" s="1">
        <v>2313.0</v>
      </c>
      <c r="H1412" s="1">
        <v>50.0</v>
      </c>
      <c r="I1412" s="1">
        <v>1.72E7</v>
      </c>
      <c r="J1412" s="1" t="s">
        <v>2468</v>
      </c>
    </row>
    <row r="1413">
      <c r="A1413" s="1" t="s">
        <v>4265</v>
      </c>
      <c r="B1413" s="1" t="s">
        <v>4266</v>
      </c>
      <c r="C1413" s="1" t="s">
        <v>4267</v>
      </c>
      <c r="D1413" s="1" t="s">
        <v>4233</v>
      </c>
      <c r="E1413" s="1" t="s">
        <v>4234</v>
      </c>
      <c r="F1413" s="1">
        <v>28435.0</v>
      </c>
      <c r="G1413" s="1">
        <v>1714.0</v>
      </c>
      <c r="H1413" s="1">
        <v>37.0</v>
      </c>
      <c r="I1413" s="1">
        <v>1.72E7</v>
      </c>
      <c r="J1413" s="1" t="s">
        <v>2468</v>
      </c>
    </row>
    <row r="1414">
      <c r="A1414" s="1" t="s">
        <v>4268</v>
      </c>
      <c r="B1414" s="1" t="s">
        <v>4269</v>
      </c>
      <c r="C1414" s="1" t="s">
        <v>4270</v>
      </c>
      <c r="D1414" s="1" t="s">
        <v>4233</v>
      </c>
      <c r="E1414" s="1" t="s">
        <v>4234</v>
      </c>
      <c r="F1414" s="1">
        <v>37078.0</v>
      </c>
      <c r="G1414" s="1">
        <v>2099.0</v>
      </c>
      <c r="H1414" s="1">
        <v>44.0</v>
      </c>
      <c r="I1414" s="1">
        <v>1.72E7</v>
      </c>
      <c r="J1414" s="1" t="s">
        <v>2468</v>
      </c>
    </row>
    <row r="1415">
      <c r="A1415" s="1" t="s">
        <v>4271</v>
      </c>
      <c r="B1415" s="1" t="s">
        <v>4272</v>
      </c>
      <c r="C1415" s="1" t="s">
        <v>4273</v>
      </c>
      <c r="D1415" s="1" t="s">
        <v>4233</v>
      </c>
      <c r="E1415" s="1" t="s">
        <v>4234</v>
      </c>
      <c r="F1415" s="1">
        <v>34070.0</v>
      </c>
      <c r="G1415" s="1">
        <v>2193.0</v>
      </c>
      <c r="H1415" s="1">
        <v>54.0</v>
      </c>
      <c r="I1415" s="1">
        <v>1.72E7</v>
      </c>
      <c r="J1415" s="1" t="s">
        <v>2468</v>
      </c>
    </row>
    <row r="1416">
      <c r="A1416" s="1" t="s">
        <v>4274</v>
      </c>
      <c r="B1416" s="1" t="s">
        <v>4275</v>
      </c>
      <c r="C1416" s="1" t="s">
        <v>4276</v>
      </c>
      <c r="D1416" s="1" t="s">
        <v>4233</v>
      </c>
      <c r="E1416" s="1" t="s">
        <v>4234</v>
      </c>
      <c r="F1416" s="1">
        <v>26536.0</v>
      </c>
      <c r="G1416" s="1">
        <v>744.0</v>
      </c>
      <c r="H1416" s="1">
        <v>10.0</v>
      </c>
      <c r="I1416" s="1">
        <v>1.72E7</v>
      </c>
      <c r="J1416" s="1" t="s">
        <v>2468</v>
      </c>
    </row>
    <row r="1417">
      <c r="A1417" s="1" t="s">
        <v>4277</v>
      </c>
      <c r="B1417" s="1" t="s">
        <v>4278</v>
      </c>
      <c r="C1417" s="1" t="s">
        <v>4279</v>
      </c>
      <c r="D1417" s="1" t="s">
        <v>4233</v>
      </c>
      <c r="E1417" s="1" t="s">
        <v>4234</v>
      </c>
      <c r="F1417" s="1">
        <v>24068.0</v>
      </c>
      <c r="G1417" s="1">
        <v>1022.0</v>
      </c>
      <c r="H1417" s="1">
        <v>24.0</v>
      </c>
      <c r="I1417" s="1">
        <v>1.72E7</v>
      </c>
      <c r="J1417" s="1" t="s">
        <v>2468</v>
      </c>
    </row>
    <row r="1418">
      <c r="A1418" s="1" t="s">
        <v>4280</v>
      </c>
      <c r="B1418" s="1" t="s">
        <v>4281</v>
      </c>
      <c r="C1418" s="1" t="s">
        <v>4282</v>
      </c>
      <c r="D1418" s="1" t="s">
        <v>4233</v>
      </c>
      <c r="E1418" s="1" t="s">
        <v>4234</v>
      </c>
      <c r="F1418" s="1">
        <v>31196.0</v>
      </c>
      <c r="G1418" s="1">
        <v>625.0</v>
      </c>
      <c r="H1418" s="1">
        <v>19.0</v>
      </c>
      <c r="I1418" s="1">
        <v>1.72E7</v>
      </c>
      <c r="J1418" s="1" t="s">
        <v>2468</v>
      </c>
    </row>
    <row r="1419">
      <c r="A1419" s="1" t="s">
        <v>4283</v>
      </c>
      <c r="B1419" s="1" t="s">
        <v>4284</v>
      </c>
      <c r="C1419" s="1" t="s">
        <v>4285</v>
      </c>
      <c r="D1419" s="1" t="s">
        <v>4233</v>
      </c>
      <c r="E1419" s="1" t="s">
        <v>4234</v>
      </c>
      <c r="F1419" s="1">
        <v>39173.0</v>
      </c>
      <c r="G1419" s="1">
        <v>2327.0</v>
      </c>
      <c r="H1419" s="1">
        <v>59.0</v>
      </c>
      <c r="I1419" s="1">
        <v>1.72E7</v>
      </c>
      <c r="J1419" s="1" t="s">
        <v>2468</v>
      </c>
    </row>
    <row r="1420">
      <c r="A1420" s="1" t="s">
        <v>4286</v>
      </c>
      <c r="B1420" s="1" t="s">
        <v>4287</v>
      </c>
      <c r="C1420" s="1" t="s">
        <v>4288</v>
      </c>
      <c r="D1420" s="1" t="s">
        <v>4233</v>
      </c>
      <c r="E1420" s="1" t="s">
        <v>4234</v>
      </c>
      <c r="F1420" s="1">
        <v>22024.0</v>
      </c>
      <c r="G1420" s="1">
        <v>671.0</v>
      </c>
      <c r="H1420" s="1">
        <v>11.0</v>
      </c>
      <c r="I1420" s="1">
        <v>1.72E7</v>
      </c>
      <c r="J1420" s="1" t="s">
        <v>2468</v>
      </c>
    </row>
    <row r="1421">
      <c r="A1421" s="1" t="s">
        <v>4289</v>
      </c>
      <c r="B1421" s="1" t="s">
        <v>4290</v>
      </c>
      <c r="C1421" s="1" t="s">
        <v>4291</v>
      </c>
      <c r="D1421" s="1" t="s">
        <v>4233</v>
      </c>
      <c r="E1421" s="1" t="s">
        <v>4234</v>
      </c>
      <c r="F1421" s="1">
        <v>14330.0</v>
      </c>
      <c r="G1421" s="1">
        <v>237.0</v>
      </c>
      <c r="H1421" s="1">
        <v>9.0</v>
      </c>
      <c r="I1421" s="1">
        <v>1.72E7</v>
      </c>
      <c r="J1421" s="1" t="s">
        <v>2468</v>
      </c>
    </row>
    <row r="1422">
      <c r="A1422" s="1" t="s">
        <v>4292</v>
      </c>
      <c r="B1422" s="1" t="s">
        <v>4293</v>
      </c>
      <c r="C1422" s="1" t="s">
        <v>4294</v>
      </c>
      <c r="D1422" s="1" t="s">
        <v>4233</v>
      </c>
      <c r="E1422" s="1" t="s">
        <v>4234</v>
      </c>
      <c r="F1422" s="1">
        <v>34844.0</v>
      </c>
      <c r="G1422" s="1">
        <v>2127.0</v>
      </c>
      <c r="H1422" s="1">
        <v>30.0</v>
      </c>
      <c r="I1422" s="1">
        <v>1.72E7</v>
      </c>
      <c r="J1422" s="1" t="s">
        <v>2468</v>
      </c>
    </row>
    <row r="1423">
      <c r="A1423" s="1" t="s">
        <v>4295</v>
      </c>
      <c r="B1423" s="1" t="s">
        <v>4296</v>
      </c>
      <c r="C1423" s="1" t="s">
        <v>4297</v>
      </c>
      <c r="D1423" s="1" t="s">
        <v>4233</v>
      </c>
      <c r="E1423" s="1" t="s">
        <v>4234</v>
      </c>
      <c r="F1423" s="1">
        <v>39801.0</v>
      </c>
      <c r="G1423" s="1">
        <v>2134.0</v>
      </c>
      <c r="H1423" s="1">
        <v>40.0</v>
      </c>
      <c r="I1423" s="1">
        <v>1.72E7</v>
      </c>
      <c r="J1423" s="1" t="s">
        <v>2468</v>
      </c>
    </row>
    <row r="1424">
      <c r="A1424" s="1" t="s">
        <v>4298</v>
      </c>
      <c r="B1424" s="1" t="s">
        <v>4299</v>
      </c>
      <c r="C1424" s="1" t="s">
        <v>4300</v>
      </c>
      <c r="D1424" s="1" t="s">
        <v>4233</v>
      </c>
      <c r="E1424" s="1" t="s">
        <v>4234</v>
      </c>
      <c r="F1424" s="1">
        <v>54917.0</v>
      </c>
      <c r="G1424" s="1">
        <v>2832.0</v>
      </c>
      <c r="H1424" s="1">
        <v>73.0</v>
      </c>
      <c r="I1424" s="1">
        <v>1.72E7</v>
      </c>
      <c r="J1424" s="1" t="s">
        <v>2468</v>
      </c>
    </row>
    <row r="1425">
      <c r="A1425" s="1" t="s">
        <v>4301</v>
      </c>
      <c r="B1425" s="1" t="s">
        <v>4302</v>
      </c>
      <c r="C1425" s="1" t="s">
        <v>4303</v>
      </c>
      <c r="D1425" s="1" t="s">
        <v>4233</v>
      </c>
      <c r="E1425" s="1" t="s">
        <v>4234</v>
      </c>
      <c r="F1425" s="1">
        <v>60457.0</v>
      </c>
      <c r="G1425" s="1">
        <v>3077.0</v>
      </c>
      <c r="H1425" s="1">
        <v>57.0</v>
      </c>
      <c r="I1425" s="1">
        <v>1.72E7</v>
      </c>
      <c r="J1425" s="1" t="s">
        <v>2468</v>
      </c>
    </row>
    <row r="1426">
      <c r="A1426" s="1" t="s">
        <v>4304</v>
      </c>
      <c r="B1426" s="1" t="s">
        <v>4305</v>
      </c>
      <c r="C1426" s="1" t="s">
        <v>4306</v>
      </c>
      <c r="D1426" s="1" t="s">
        <v>4233</v>
      </c>
      <c r="E1426" s="1" t="s">
        <v>4234</v>
      </c>
      <c r="F1426" s="1">
        <v>79673.0</v>
      </c>
      <c r="G1426" s="1">
        <v>4967.0</v>
      </c>
      <c r="H1426" s="1">
        <v>218.0</v>
      </c>
      <c r="I1426" s="1">
        <v>1.72E7</v>
      </c>
      <c r="J1426" s="1" t="s">
        <v>2468</v>
      </c>
    </row>
    <row r="1427">
      <c r="A1427" s="1" t="s">
        <v>4307</v>
      </c>
      <c r="B1427" s="1" t="s">
        <v>4308</v>
      </c>
      <c r="C1427" s="1" t="s">
        <v>4309</v>
      </c>
      <c r="D1427" s="1" t="s">
        <v>4233</v>
      </c>
      <c r="E1427" s="1" t="s">
        <v>4234</v>
      </c>
      <c r="F1427" s="1">
        <v>45543.0</v>
      </c>
      <c r="G1427" s="1">
        <v>2863.0</v>
      </c>
      <c r="H1427" s="1">
        <v>163.0</v>
      </c>
      <c r="I1427" s="1">
        <v>1.72E7</v>
      </c>
      <c r="J1427" s="1" t="s">
        <v>2468</v>
      </c>
    </row>
    <row r="1428">
      <c r="A1428" s="1" t="s">
        <v>4310</v>
      </c>
      <c r="B1428" s="1" t="s">
        <v>4311</v>
      </c>
      <c r="C1428" s="1" t="s">
        <v>4312</v>
      </c>
      <c r="D1428" s="1" t="s">
        <v>4233</v>
      </c>
      <c r="E1428" s="1" t="s">
        <v>4234</v>
      </c>
      <c r="F1428" s="1">
        <v>173127.0</v>
      </c>
      <c r="G1428" s="1">
        <v>8769.0</v>
      </c>
      <c r="H1428" s="1">
        <v>146.0</v>
      </c>
      <c r="I1428" s="1">
        <v>1.72E7</v>
      </c>
      <c r="J1428" s="1" t="s">
        <v>2468</v>
      </c>
    </row>
    <row r="1429">
      <c r="A1429" s="1" t="s">
        <v>4313</v>
      </c>
      <c r="B1429" s="1" t="s">
        <v>4314</v>
      </c>
      <c r="C1429" s="1" t="s">
        <v>4315</v>
      </c>
      <c r="D1429" s="1" t="s">
        <v>4233</v>
      </c>
      <c r="E1429" s="1" t="s">
        <v>4234</v>
      </c>
      <c r="F1429" s="1">
        <v>187652.0</v>
      </c>
      <c r="G1429" s="1">
        <v>10105.0</v>
      </c>
      <c r="H1429" s="1">
        <v>173.0</v>
      </c>
      <c r="I1429" s="1">
        <v>1.72E7</v>
      </c>
      <c r="J1429" s="1" t="s">
        <v>2468</v>
      </c>
    </row>
    <row r="1430">
      <c r="A1430" s="1" t="s">
        <v>4316</v>
      </c>
      <c r="B1430" s="1" t="s">
        <v>4317</v>
      </c>
      <c r="C1430" s="1" t="s">
        <v>4318</v>
      </c>
      <c r="D1430" s="1" t="s">
        <v>4233</v>
      </c>
      <c r="E1430" s="1" t="s">
        <v>4234</v>
      </c>
      <c r="F1430" s="1">
        <v>82164.0</v>
      </c>
      <c r="G1430" s="1">
        <v>3934.0</v>
      </c>
      <c r="H1430" s="1">
        <v>67.0</v>
      </c>
      <c r="I1430" s="1">
        <v>1.72E7</v>
      </c>
      <c r="J1430" s="1" t="s">
        <v>2468</v>
      </c>
    </row>
    <row r="1431">
      <c r="A1431" s="1" t="s">
        <v>4319</v>
      </c>
      <c r="B1431" s="1" t="s">
        <v>4320</v>
      </c>
      <c r="C1431" s="1" t="s">
        <v>4321</v>
      </c>
      <c r="D1431" s="1" t="s">
        <v>4233</v>
      </c>
      <c r="E1431" s="1" t="s">
        <v>4234</v>
      </c>
      <c r="F1431" s="1">
        <v>20006.0</v>
      </c>
      <c r="G1431" s="1">
        <v>1137.0</v>
      </c>
      <c r="H1431" s="1">
        <v>44.0</v>
      </c>
      <c r="I1431" s="1">
        <v>1.72E7</v>
      </c>
      <c r="J1431" s="1" t="s">
        <v>2468</v>
      </c>
    </row>
    <row r="1432">
      <c r="A1432" s="1" t="s">
        <v>4322</v>
      </c>
      <c r="B1432" s="1" t="s">
        <v>4323</v>
      </c>
      <c r="C1432" s="1" t="s">
        <v>4324</v>
      </c>
      <c r="D1432" s="1" t="s">
        <v>4233</v>
      </c>
      <c r="E1432" s="1" t="s">
        <v>4234</v>
      </c>
      <c r="F1432" s="1">
        <v>19164.0</v>
      </c>
      <c r="G1432" s="1">
        <v>943.0</v>
      </c>
      <c r="H1432" s="1">
        <v>27.0</v>
      </c>
      <c r="I1432" s="1">
        <v>1.72E7</v>
      </c>
      <c r="J1432" s="1" t="s">
        <v>2468</v>
      </c>
    </row>
    <row r="1433">
      <c r="A1433" s="1" t="s">
        <v>4325</v>
      </c>
      <c r="B1433" s="1" t="s">
        <v>4326</v>
      </c>
      <c r="C1433" s="1" t="s">
        <v>4327</v>
      </c>
      <c r="D1433" s="1" t="s">
        <v>4233</v>
      </c>
      <c r="E1433" s="1" t="s">
        <v>4234</v>
      </c>
      <c r="F1433" s="1">
        <v>100604.0</v>
      </c>
      <c r="G1433" s="1">
        <v>4282.0</v>
      </c>
      <c r="H1433" s="1">
        <v>76.0</v>
      </c>
      <c r="I1433" s="1">
        <v>1.72E7</v>
      </c>
      <c r="J1433" s="1" t="s">
        <v>2468</v>
      </c>
    </row>
    <row r="1434">
      <c r="A1434" s="1" t="s">
        <v>4328</v>
      </c>
      <c r="B1434" s="1" t="s">
        <v>4329</v>
      </c>
      <c r="C1434" s="1" t="s">
        <v>4330</v>
      </c>
      <c r="D1434" s="1" t="s">
        <v>4233</v>
      </c>
      <c r="E1434" s="1" t="s">
        <v>4234</v>
      </c>
      <c r="F1434" s="1">
        <v>96901.0</v>
      </c>
      <c r="G1434" s="1">
        <v>4609.0</v>
      </c>
      <c r="H1434" s="1">
        <v>75.0</v>
      </c>
      <c r="I1434" s="1">
        <v>1.72E7</v>
      </c>
      <c r="J1434" s="1" t="s">
        <v>2468</v>
      </c>
    </row>
    <row r="1435">
      <c r="A1435" s="1" t="s">
        <v>4331</v>
      </c>
      <c r="B1435" s="1" t="s">
        <v>4332</v>
      </c>
      <c r="C1435" s="1" t="s">
        <v>4333</v>
      </c>
      <c r="D1435" s="1" t="s">
        <v>4233</v>
      </c>
      <c r="E1435" s="1" t="s">
        <v>4234</v>
      </c>
      <c r="F1435" s="1">
        <v>21656.0</v>
      </c>
      <c r="G1435" s="1">
        <v>1024.0</v>
      </c>
      <c r="H1435" s="1">
        <v>16.0</v>
      </c>
      <c r="I1435" s="1">
        <v>1.72E7</v>
      </c>
      <c r="J1435" s="1" t="s">
        <v>2468</v>
      </c>
    </row>
    <row r="1436">
      <c r="A1436" s="1" t="s">
        <v>4334</v>
      </c>
      <c r="B1436" s="1" t="s">
        <v>4335</v>
      </c>
      <c r="C1436" s="1" t="s">
        <v>4336</v>
      </c>
      <c r="D1436" s="1" t="s">
        <v>4233</v>
      </c>
      <c r="E1436" s="1" t="s">
        <v>4234</v>
      </c>
      <c r="F1436" s="1">
        <v>26366.0</v>
      </c>
      <c r="G1436" s="1">
        <v>1302.0</v>
      </c>
      <c r="H1436" s="1">
        <v>28.0</v>
      </c>
      <c r="I1436" s="1">
        <v>1.72E7</v>
      </c>
      <c r="J1436" s="1" t="s">
        <v>2468</v>
      </c>
    </row>
    <row r="1437">
      <c r="A1437" s="1" t="s">
        <v>4337</v>
      </c>
      <c r="B1437" s="1" t="s">
        <v>4338</v>
      </c>
      <c r="C1437" s="1" t="s">
        <v>4339</v>
      </c>
      <c r="D1437" s="1" t="s">
        <v>4233</v>
      </c>
      <c r="E1437" s="1" t="s">
        <v>4234</v>
      </c>
      <c r="F1437" s="1">
        <v>260619.0</v>
      </c>
      <c r="G1437" s="1">
        <v>11920.0</v>
      </c>
      <c r="H1437" s="1">
        <v>157.0</v>
      </c>
      <c r="I1437" s="1">
        <v>1.72E7</v>
      </c>
      <c r="J1437" s="1" t="s">
        <v>2468</v>
      </c>
    </row>
    <row r="1438">
      <c r="A1438" s="1" t="s">
        <v>4340</v>
      </c>
      <c r="B1438" s="1" t="s">
        <v>4341</v>
      </c>
      <c r="C1438" s="1" t="s">
        <v>4342</v>
      </c>
      <c r="D1438" s="1" t="s">
        <v>4233</v>
      </c>
      <c r="E1438" s="1" t="s">
        <v>4234</v>
      </c>
      <c r="F1438" s="1">
        <v>967830.0</v>
      </c>
      <c r="G1438" s="1">
        <v>37122.0</v>
      </c>
      <c r="H1438" s="1">
        <v>345.0</v>
      </c>
      <c r="I1438" s="1">
        <v>1.72E7</v>
      </c>
      <c r="J1438" s="1" t="s">
        <v>2468</v>
      </c>
    </row>
    <row r="1439">
      <c r="A1439" s="1" t="s">
        <v>4343</v>
      </c>
      <c r="B1439" s="1" t="s">
        <v>4344</v>
      </c>
      <c r="C1439" s="1" t="s">
        <v>4345</v>
      </c>
      <c r="D1439" s="1" t="s">
        <v>4233</v>
      </c>
      <c r="E1439" s="1" t="s">
        <v>4234</v>
      </c>
      <c r="F1439" s="1">
        <v>24017.0</v>
      </c>
      <c r="G1439" s="1">
        <v>1181.0</v>
      </c>
      <c r="H1439" s="1">
        <v>23.0</v>
      </c>
      <c r="I1439" s="1">
        <v>1.72E7</v>
      </c>
      <c r="J1439" s="1" t="s">
        <v>2468</v>
      </c>
    </row>
    <row r="1440">
      <c r="A1440" s="1" t="s">
        <v>4346</v>
      </c>
      <c r="B1440" s="1" t="s">
        <v>4347</v>
      </c>
      <c r="C1440" s="1" t="s">
        <v>4348</v>
      </c>
      <c r="D1440" s="1" t="s">
        <v>4233</v>
      </c>
      <c r="E1440" s="1" t="s">
        <v>4234</v>
      </c>
      <c r="F1440" s="1">
        <v>116116.0</v>
      </c>
      <c r="G1440" s="1">
        <v>7928.0</v>
      </c>
      <c r="H1440" s="1">
        <v>196.0</v>
      </c>
      <c r="I1440" s="1">
        <v>1.72E7</v>
      </c>
      <c r="J1440" s="1" t="s">
        <v>2468</v>
      </c>
    </row>
    <row r="1441">
      <c r="A1441" s="1" t="s">
        <v>4349</v>
      </c>
      <c r="B1441" s="1" t="s">
        <v>4350</v>
      </c>
      <c r="C1441" s="1" t="s">
        <v>4351</v>
      </c>
      <c r="D1441" s="1" t="s">
        <v>4233</v>
      </c>
      <c r="E1441" s="1" t="s">
        <v>4234</v>
      </c>
      <c r="F1441" s="1">
        <v>22785.0</v>
      </c>
      <c r="G1441" s="1">
        <v>1177.0</v>
      </c>
      <c r="H1441" s="1">
        <v>41.0</v>
      </c>
      <c r="I1441" s="1">
        <v>1.72E7</v>
      </c>
      <c r="J1441" s="1" t="s">
        <v>2468</v>
      </c>
    </row>
    <row r="1442">
      <c r="A1442" s="1" t="s">
        <v>4352</v>
      </c>
      <c r="B1442" s="1" t="s">
        <v>4353</v>
      </c>
      <c r="C1442" s="1" t="s">
        <v>4354</v>
      </c>
      <c r="D1442" s="1" t="s">
        <v>4233</v>
      </c>
      <c r="E1442" s="1" t="s">
        <v>4234</v>
      </c>
      <c r="F1442" s="1">
        <v>30991.0</v>
      </c>
      <c r="G1442" s="1">
        <v>1563.0</v>
      </c>
      <c r="H1442" s="1">
        <v>30.0</v>
      </c>
      <c r="I1442" s="1">
        <v>1.72E7</v>
      </c>
      <c r="J1442" s="1" t="s">
        <v>2468</v>
      </c>
    </row>
    <row r="1443">
      <c r="A1443" s="1" t="s">
        <v>4355</v>
      </c>
      <c r="B1443" s="1" t="s">
        <v>4356</v>
      </c>
      <c r="C1443" s="1" t="s">
        <v>4357</v>
      </c>
      <c r="D1443" s="1" t="s">
        <v>4233</v>
      </c>
      <c r="E1443" s="1" t="s">
        <v>4234</v>
      </c>
      <c r="F1443" s="1">
        <v>25073.0</v>
      </c>
      <c r="G1443" s="1">
        <v>1075.0</v>
      </c>
      <c r="H1443" s="1">
        <v>61.0</v>
      </c>
      <c r="I1443" s="1">
        <v>1.72E7</v>
      </c>
      <c r="J1443" s="1" t="s">
        <v>2468</v>
      </c>
    </row>
    <row r="1444">
      <c r="A1444" s="1" t="s">
        <v>4358</v>
      </c>
      <c r="B1444" s="1" t="s">
        <v>4359</v>
      </c>
      <c r="C1444" s="1" t="s">
        <v>4360</v>
      </c>
      <c r="D1444" s="1" t="s">
        <v>4233</v>
      </c>
      <c r="E1444" s="1" t="s">
        <v>4234</v>
      </c>
      <c r="F1444" s="1">
        <v>26508.0</v>
      </c>
      <c r="G1444" s="1">
        <v>1633.0</v>
      </c>
      <c r="H1444" s="1">
        <v>35.0</v>
      </c>
      <c r="I1444" s="1">
        <v>1.72E7</v>
      </c>
      <c r="J1444" s="1" t="s">
        <v>2468</v>
      </c>
    </row>
    <row r="1445">
      <c r="A1445" s="1" t="s">
        <v>4361</v>
      </c>
      <c r="B1445" s="1" t="s">
        <v>4362</v>
      </c>
      <c r="C1445" s="1" t="s">
        <v>4363</v>
      </c>
      <c r="D1445" s="1" t="s">
        <v>4233</v>
      </c>
      <c r="E1445" s="1" t="s">
        <v>4234</v>
      </c>
      <c r="F1445" s="1">
        <v>31717.0</v>
      </c>
      <c r="G1445" s="1">
        <v>1305.0</v>
      </c>
      <c r="H1445" s="1">
        <v>55.0</v>
      </c>
      <c r="I1445" s="1">
        <v>1.72E7</v>
      </c>
      <c r="J1445" s="1" t="s">
        <v>2468</v>
      </c>
    </row>
    <row r="1446">
      <c r="A1446" s="1" t="s">
        <v>4364</v>
      </c>
      <c r="B1446" s="1" t="s">
        <v>4365</v>
      </c>
      <c r="C1446" s="1" t="s">
        <v>4366</v>
      </c>
      <c r="D1446" s="1" t="s">
        <v>4233</v>
      </c>
      <c r="E1446" s="1" t="s">
        <v>4234</v>
      </c>
      <c r="F1446" s="1">
        <v>28388.0</v>
      </c>
      <c r="G1446" s="1">
        <v>1707.0</v>
      </c>
      <c r="H1446" s="1">
        <v>38.0</v>
      </c>
      <c r="I1446" s="1">
        <v>1.72E7</v>
      </c>
      <c r="J1446" s="1" t="s">
        <v>2468</v>
      </c>
    </row>
    <row r="1447">
      <c r="A1447" s="1" t="s">
        <v>4367</v>
      </c>
      <c r="B1447" s="1" t="s">
        <v>4368</v>
      </c>
      <c r="C1447" s="1" t="s">
        <v>4369</v>
      </c>
      <c r="D1447" s="1" t="s">
        <v>4233</v>
      </c>
      <c r="E1447" s="1" t="s">
        <v>4234</v>
      </c>
      <c r="F1447" s="1">
        <v>33063.0</v>
      </c>
      <c r="G1447" s="1">
        <v>1334.0</v>
      </c>
      <c r="H1447" s="1">
        <v>79.0</v>
      </c>
      <c r="I1447" s="1">
        <v>1.72E7</v>
      </c>
      <c r="J1447" s="1" t="s">
        <v>2468</v>
      </c>
    </row>
    <row r="1448">
      <c r="A1448" s="1" t="s">
        <v>4370</v>
      </c>
      <c r="B1448" s="1" t="s">
        <v>4371</v>
      </c>
      <c r="C1448" s="1" t="s">
        <v>4372</v>
      </c>
      <c r="D1448" s="1" t="s">
        <v>4233</v>
      </c>
      <c r="E1448" s="1" t="s">
        <v>4234</v>
      </c>
      <c r="F1448" s="1">
        <v>62059.0</v>
      </c>
      <c r="G1448" s="1">
        <v>5384.0</v>
      </c>
      <c r="H1448" s="1">
        <v>202.0</v>
      </c>
      <c r="I1448" s="1">
        <v>1.72E7</v>
      </c>
      <c r="J1448" s="1" t="s">
        <v>2468</v>
      </c>
    </row>
    <row r="1449">
      <c r="A1449" s="1" t="s">
        <v>4373</v>
      </c>
      <c r="B1449" s="1" t="s">
        <v>4374</v>
      </c>
      <c r="C1449" s="1" t="s">
        <v>4375</v>
      </c>
      <c r="D1449" s="1" t="s">
        <v>4233</v>
      </c>
      <c r="E1449" s="1" t="s">
        <v>4234</v>
      </c>
      <c r="F1449" s="1">
        <v>39627.0</v>
      </c>
      <c r="G1449" s="1">
        <v>1523.0</v>
      </c>
      <c r="H1449" s="1">
        <v>95.0</v>
      </c>
      <c r="I1449" s="1">
        <v>1.72E7</v>
      </c>
      <c r="J1449" s="1" t="s">
        <v>2468</v>
      </c>
    </row>
    <row r="1450">
      <c r="A1450" s="1" t="s">
        <v>4376</v>
      </c>
      <c r="B1450" s="1" t="s">
        <v>4377</v>
      </c>
      <c r="C1450" s="1" t="s">
        <v>4378</v>
      </c>
      <c r="D1450" s="1" t="s">
        <v>4233</v>
      </c>
      <c r="E1450" s="1" t="s">
        <v>4234</v>
      </c>
      <c r="F1450" s="1">
        <v>89287.0</v>
      </c>
      <c r="G1450" s="1">
        <v>5904.0</v>
      </c>
      <c r="H1450" s="1">
        <v>83.0</v>
      </c>
      <c r="I1450" s="1">
        <v>1.72E7</v>
      </c>
      <c r="J1450" s="1" t="s">
        <v>2468</v>
      </c>
    </row>
    <row r="1451">
      <c r="A1451" s="1" t="s">
        <v>4379</v>
      </c>
      <c r="B1451" s="1" t="s">
        <v>4380</v>
      </c>
      <c r="C1451" s="1" t="s">
        <v>4381</v>
      </c>
      <c r="D1451" s="1" t="s">
        <v>4233</v>
      </c>
      <c r="E1451" s="1" t="s">
        <v>4234</v>
      </c>
      <c r="F1451" s="1">
        <v>31791.0</v>
      </c>
      <c r="G1451" s="1">
        <v>1873.0</v>
      </c>
      <c r="H1451" s="1">
        <v>39.0</v>
      </c>
      <c r="I1451" s="1">
        <v>1.72E7</v>
      </c>
      <c r="J1451" s="1" t="s">
        <v>2468</v>
      </c>
    </row>
    <row r="1452">
      <c r="A1452" s="1" t="s">
        <v>4382</v>
      </c>
      <c r="B1452" s="1" t="s">
        <v>4383</v>
      </c>
      <c r="C1452" s="1" t="s">
        <v>4384</v>
      </c>
      <c r="D1452" s="1" t="s">
        <v>4233</v>
      </c>
      <c r="E1452" s="1" t="s">
        <v>4234</v>
      </c>
      <c r="F1452" s="1">
        <v>53969.0</v>
      </c>
      <c r="G1452" s="1">
        <v>2175.0</v>
      </c>
      <c r="H1452" s="1">
        <v>100.0</v>
      </c>
      <c r="I1452" s="1">
        <v>1.72E7</v>
      </c>
      <c r="J1452" s="1" t="s">
        <v>2468</v>
      </c>
    </row>
    <row r="1453">
      <c r="A1453" s="1" t="s">
        <v>4385</v>
      </c>
      <c r="B1453" s="1" t="s">
        <v>4386</v>
      </c>
      <c r="C1453" s="1" t="s">
        <v>4387</v>
      </c>
      <c r="D1453" s="1" t="s">
        <v>4233</v>
      </c>
      <c r="E1453" s="1" t="s">
        <v>4234</v>
      </c>
      <c r="F1453" s="1">
        <v>34336.0</v>
      </c>
      <c r="G1453" s="1">
        <v>1187.0</v>
      </c>
      <c r="H1453" s="1">
        <v>88.0</v>
      </c>
      <c r="I1453" s="1">
        <v>1.72E7</v>
      </c>
      <c r="J1453" s="1" t="s">
        <v>2468</v>
      </c>
    </row>
    <row r="1454">
      <c r="A1454" s="1" t="s">
        <v>4388</v>
      </c>
      <c r="B1454" s="1" t="s">
        <v>4389</v>
      </c>
      <c r="C1454" s="1" t="s">
        <v>4390</v>
      </c>
      <c r="D1454" s="1" t="s">
        <v>4233</v>
      </c>
      <c r="E1454" s="1" t="s">
        <v>4234</v>
      </c>
      <c r="F1454" s="1">
        <v>18493.0</v>
      </c>
      <c r="G1454" s="1">
        <v>656.0</v>
      </c>
      <c r="H1454" s="1">
        <v>10.0</v>
      </c>
      <c r="I1454" s="1">
        <v>1.72E7</v>
      </c>
      <c r="J1454" s="1" t="s">
        <v>2468</v>
      </c>
    </row>
    <row r="1455">
      <c r="A1455" s="1" t="s">
        <v>4391</v>
      </c>
      <c r="B1455" s="1" t="s">
        <v>4392</v>
      </c>
      <c r="C1455" s="1" t="s">
        <v>4393</v>
      </c>
      <c r="D1455" s="1" t="s">
        <v>4233</v>
      </c>
      <c r="E1455" s="1" t="s">
        <v>4234</v>
      </c>
      <c r="F1455" s="1">
        <v>28192.0</v>
      </c>
      <c r="G1455" s="1">
        <v>1763.0</v>
      </c>
      <c r="H1455" s="1">
        <v>37.0</v>
      </c>
      <c r="I1455" s="1">
        <v>1.72E7</v>
      </c>
      <c r="J1455" s="1" t="s">
        <v>2468</v>
      </c>
    </row>
    <row r="1456">
      <c r="A1456" s="1" t="s">
        <v>4394</v>
      </c>
      <c r="B1456" s="1" t="s">
        <v>4395</v>
      </c>
      <c r="C1456" s="1" t="s">
        <v>4396</v>
      </c>
      <c r="D1456" s="1" t="s">
        <v>4233</v>
      </c>
      <c r="E1456" s="1" t="s">
        <v>4234</v>
      </c>
      <c r="F1456" s="1">
        <v>59569.0</v>
      </c>
      <c r="G1456" s="1">
        <v>4545.0</v>
      </c>
      <c r="H1456" s="1">
        <v>83.0</v>
      </c>
      <c r="I1456" s="1">
        <v>1.72E7</v>
      </c>
      <c r="J1456" s="1" t="s">
        <v>2468</v>
      </c>
    </row>
    <row r="1457">
      <c r="A1457" s="1" t="s">
        <v>4397</v>
      </c>
      <c r="B1457" s="1" t="s">
        <v>4398</v>
      </c>
      <c r="C1457" s="1" t="s">
        <v>4399</v>
      </c>
      <c r="D1457" s="1" t="s">
        <v>4233</v>
      </c>
      <c r="E1457" s="1" t="s">
        <v>4234</v>
      </c>
      <c r="F1457" s="1">
        <v>54530.0</v>
      </c>
      <c r="G1457" s="1">
        <v>3300.0</v>
      </c>
      <c r="H1457" s="1">
        <v>54.0</v>
      </c>
      <c r="I1457" s="1">
        <v>1.72E7</v>
      </c>
      <c r="J1457" s="1" t="s">
        <v>2468</v>
      </c>
    </row>
    <row r="1458">
      <c r="A1458" s="1" t="s">
        <v>4400</v>
      </c>
      <c r="B1458" s="1" t="s">
        <v>4401</v>
      </c>
      <c r="C1458" s="1" t="s">
        <v>4402</v>
      </c>
      <c r="D1458" s="1" t="s">
        <v>4233</v>
      </c>
      <c r="E1458" s="1" t="s">
        <v>4234</v>
      </c>
      <c r="F1458" s="1">
        <v>50855.0</v>
      </c>
      <c r="G1458" s="1">
        <v>4158.0</v>
      </c>
      <c r="H1458" s="1">
        <v>126.0</v>
      </c>
      <c r="I1458" s="1">
        <v>1.72E7</v>
      </c>
      <c r="J1458" s="1" t="s">
        <v>2468</v>
      </c>
    </row>
    <row r="1459">
      <c r="A1459" s="1" t="s">
        <v>4403</v>
      </c>
      <c r="B1459" s="1" t="s">
        <v>4404</v>
      </c>
      <c r="C1459" s="1" t="s">
        <v>4405</v>
      </c>
      <c r="D1459" s="1" t="s">
        <v>4233</v>
      </c>
      <c r="E1459" s="1" t="s">
        <v>4234</v>
      </c>
      <c r="F1459" s="1">
        <v>82756.0</v>
      </c>
      <c r="G1459" s="1">
        <v>6243.0</v>
      </c>
      <c r="H1459" s="1">
        <v>137.0</v>
      </c>
      <c r="I1459" s="1">
        <v>1.72E7</v>
      </c>
      <c r="J1459" s="1" t="s">
        <v>2468</v>
      </c>
    </row>
    <row r="1460">
      <c r="A1460" s="1" t="s">
        <v>4406</v>
      </c>
      <c r="B1460" s="1" t="s">
        <v>4407</v>
      </c>
      <c r="C1460" s="1" t="s">
        <v>4408</v>
      </c>
      <c r="D1460" s="1" t="s">
        <v>4233</v>
      </c>
      <c r="E1460" s="1" t="s">
        <v>4234</v>
      </c>
      <c r="F1460" s="1">
        <v>50143.0</v>
      </c>
      <c r="G1460" s="1">
        <v>3098.0</v>
      </c>
      <c r="H1460" s="1">
        <v>126.0</v>
      </c>
      <c r="I1460" s="1">
        <v>1.72E7</v>
      </c>
      <c r="J1460" s="1" t="s">
        <v>2468</v>
      </c>
    </row>
    <row r="1461">
      <c r="A1461" s="1" t="s">
        <v>4409</v>
      </c>
      <c r="B1461" s="1" t="s">
        <v>4410</v>
      </c>
      <c r="C1461" s="1" t="s">
        <v>4411</v>
      </c>
      <c r="D1461" s="1" t="s">
        <v>4233</v>
      </c>
      <c r="E1461" s="1" t="s">
        <v>4234</v>
      </c>
      <c r="F1461" s="1">
        <v>66020.0</v>
      </c>
      <c r="G1461" s="1">
        <v>3614.0</v>
      </c>
      <c r="H1461" s="1">
        <v>47.0</v>
      </c>
      <c r="I1461" s="1">
        <v>1.72E7</v>
      </c>
      <c r="J1461" s="1" t="s">
        <v>2468</v>
      </c>
    </row>
    <row r="1462">
      <c r="A1462" s="1" t="s">
        <v>4412</v>
      </c>
      <c r="B1462" s="1" t="s">
        <v>4413</v>
      </c>
      <c r="C1462" s="1" t="s">
        <v>4414</v>
      </c>
      <c r="D1462" s="1" t="s">
        <v>4233</v>
      </c>
      <c r="E1462" s="1" t="s">
        <v>4234</v>
      </c>
      <c r="F1462" s="1">
        <v>119380.0</v>
      </c>
      <c r="G1462" s="1">
        <v>10836.0</v>
      </c>
      <c r="H1462" s="1">
        <v>276.0</v>
      </c>
      <c r="I1462" s="1">
        <v>1.72E7</v>
      </c>
      <c r="J1462" s="1" t="s">
        <v>2468</v>
      </c>
    </row>
    <row r="1463">
      <c r="A1463" s="1" t="s">
        <v>4415</v>
      </c>
      <c r="B1463" s="1" t="s">
        <v>4416</v>
      </c>
      <c r="C1463" s="1" t="s">
        <v>4417</v>
      </c>
      <c r="D1463" s="1" t="s">
        <v>4233</v>
      </c>
      <c r="E1463" s="1" t="s">
        <v>4234</v>
      </c>
      <c r="F1463" s="1">
        <v>57610.0</v>
      </c>
      <c r="G1463" s="1">
        <v>3239.0</v>
      </c>
      <c r="H1463" s="1">
        <v>42.0</v>
      </c>
      <c r="I1463" s="1">
        <v>1.72E7</v>
      </c>
      <c r="J1463" s="1" t="s">
        <v>2468</v>
      </c>
    </row>
    <row r="1464">
      <c r="A1464" s="1" t="s">
        <v>4418</v>
      </c>
      <c r="B1464" s="1" t="s">
        <v>4419</v>
      </c>
      <c r="C1464" s="1" t="s">
        <v>4420</v>
      </c>
      <c r="D1464" s="1" t="s">
        <v>4233</v>
      </c>
      <c r="E1464" s="1" t="s">
        <v>4234</v>
      </c>
      <c r="F1464" s="1">
        <v>41368.0</v>
      </c>
      <c r="G1464" s="1">
        <v>2670.0</v>
      </c>
      <c r="H1464" s="1">
        <v>54.0</v>
      </c>
      <c r="I1464" s="1">
        <v>1.72E7</v>
      </c>
      <c r="J1464" s="1" t="s">
        <v>2468</v>
      </c>
    </row>
    <row r="1465">
      <c r="A1465" s="1" t="s">
        <v>4421</v>
      </c>
      <c r="B1465" s="1" t="s">
        <v>4422</v>
      </c>
      <c r="C1465" s="1" t="s">
        <v>4423</v>
      </c>
      <c r="D1465" s="1" t="s">
        <v>4233</v>
      </c>
      <c r="E1465" s="1" t="s">
        <v>4234</v>
      </c>
      <c r="F1465" s="1">
        <v>46362.0</v>
      </c>
      <c r="G1465" s="1">
        <v>2880.0</v>
      </c>
      <c r="H1465" s="1">
        <v>27.0</v>
      </c>
      <c r="I1465" s="1">
        <v>1.72E7</v>
      </c>
      <c r="J1465" s="1" t="s">
        <v>2468</v>
      </c>
    </row>
    <row r="1466">
      <c r="A1466" s="1" t="s">
        <v>4424</v>
      </c>
      <c r="B1466" s="1" t="s">
        <v>4425</v>
      </c>
      <c r="C1466" s="1" t="s">
        <v>4426</v>
      </c>
      <c r="D1466" s="1" t="s">
        <v>4233</v>
      </c>
      <c r="E1466" s="1" t="s">
        <v>4234</v>
      </c>
      <c r="F1466" s="1">
        <v>610700.0</v>
      </c>
      <c r="G1466" s="1">
        <v>24897.0</v>
      </c>
      <c r="H1466" s="1">
        <v>284.0</v>
      </c>
      <c r="I1466" s="1">
        <v>1.72E7</v>
      </c>
      <c r="J1466" s="1" t="s">
        <v>2468</v>
      </c>
    </row>
    <row r="1467">
      <c r="A1467" s="1" t="s">
        <v>4427</v>
      </c>
      <c r="B1467" s="1" t="s">
        <v>4428</v>
      </c>
      <c r="C1467" s="1" t="s">
        <v>4429</v>
      </c>
      <c r="D1467" s="1" t="s">
        <v>4233</v>
      </c>
      <c r="E1467" s="1" t="s">
        <v>4234</v>
      </c>
      <c r="F1467" s="1">
        <v>71953.0</v>
      </c>
      <c r="G1467" s="1">
        <v>3681.0</v>
      </c>
      <c r="H1467" s="1">
        <v>26.0</v>
      </c>
      <c r="I1467" s="1">
        <v>1.72E7</v>
      </c>
      <c r="J1467" s="1" t="s">
        <v>2468</v>
      </c>
    </row>
    <row r="1468">
      <c r="A1468" s="1" t="s">
        <v>4430</v>
      </c>
      <c r="B1468" s="1" t="s">
        <v>4431</v>
      </c>
      <c r="C1468" s="1" t="s">
        <v>4432</v>
      </c>
      <c r="D1468" s="1" t="s">
        <v>4233</v>
      </c>
      <c r="E1468" s="1" t="s">
        <v>4234</v>
      </c>
      <c r="F1468" s="1">
        <v>51631.0</v>
      </c>
      <c r="G1468" s="1">
        <v>2965.0</v>
      </c>
      <c r="H1468" s="1">
        <v>58.0</v>
      </c>
      <c r="I1468" s="1">
        <v>1.72E7</v>
      </c>
      <c r="J1468" s="1" t="s">
        <v>2468</v>
      </c>
    </row>
    <row r="1469">
      <c r="A1469" s="1" t="s">
        <v>4433</v>
      </c>
      <c r="B1469" s="1" t="s">
        <v>4434</v>
      </c>
      <c r="C1469" s="1" t="s">
        <v>4435</v>
      </c>
      <c r="D1469" s="1" t="s">
        <v>4233</v>
      </c>
      <c r="E1469" s="1" t="s">
        <v>4234</v>
      </c>
      <c r="F1469" s="1">
        <v>60818.0</v>
      </c>
      <c r="G1469" s="1">
        <v>3154.0</v>
      </c>
      <c r="H1469" s="1">
        <v>39.0</v>
      </c>
      <c r="I1469" s="1">
        <v>1.72E7</v>
      </c>
      <c r="J1469" s="1" t="s">
        <v>2468</v>
      </c>
    </row>
    <row r="1470">
      <c r="A1470" s="1" t="s">
        <v>4436</v>
      </c>
      <c r="B1470" s="1" t="s">
        <v>4437</v>
      </c>
      <c r="C1470" s="1" t="s">
        <v>4438</v>
      </c>
      <c r="D1470" s="1" t="s">
        <v>4233</v>
      </c>
      <c r="E1470" s="1" t="s">
        <v>4234</v>
      </c>
      <c r="F1470" s="1">
        <v>117797.0</v>
      </c>
      <c r="G1470" s="1">
        <v>4347.0</v>
      </c>
      <c r="H1470" s="1">
        <v>106.0</v>
      </c>
      <c r="I1470" s="1">
        <v>1.72E7</v>
      </c>
      <c r="J1470" s="1" t="s">
        <v>2468</v>
      </c>
    </row>
    <row r="1471">
      <c r="A1471" s="1" t="s">
        <v>4439</v>
      </c>
      <c r="B1471" s="1" t="s">
        <v>4440</v>
      </c>
      <c r="C1471" s="1" t="s">
        <v>4441</v>
      </c>
      <c r="D1471" s="1" t="s">
        <v>4233</v>
      </c>
      <c r="E1471" s="1" t="s">
        <v>4234</v>
      </c>
      <c r="F1471" s="1">
        <v>84303.0</v>
      </c>
      <c r="G1471" s="1">
        <v>3886.0</v>
      </c>
      <c r="H1471" s="1">
        <v>70.0</v>
      </c>
      <c r="I1471" s="1">
        <v>1.72E7</v>
      </c>
      <c r="J1471" s="1" t="s">
        <v>2468</v>
      </c>
    </row>
    <row r="1472">
      <c r="A1472" s="1" t="s">
        <v>4442</v>
      </c>
      <c r="B1472" s="1" t="s">
        <v>4443</v>
      </c>
      <c r="C1472" s="1" t="s">
        <v>4444</v>
      </c>
      <c r="D1472" s="1" t="s">
        <v>4233</v>
      </c>
      <c r="E1472" s="1" t="s">
        <v>4234</v>
      </c>
      <c r="F1472" s="1">
        <v>206177.0</v>
      </c>
      <c r="G1472" s="1">
        <v>10415.0</v>
      </c>
      <c r="H1472" s="1">
        <v>82.0</v>
      </c>
      <c r="I1472" s="1">
        <v>1.72E7</v>
      </c>
      <c r="J1472" s="1" t="s">
        <v>2468</v>
      </c>
    </row>
    <row r="1473">
      <c r="A1473" s="1" t="s">
        <v>4445</v>
      </c>
      <c r="B1473" s="1" t="s">
        <v>4446</v>
      </c>
      <c r="C1473" s="1" t="s">
        <v>4447</v>
      </c>
      <c r="D1473" s="1" t="s">
        <v>4233</v>
      </c>
      <c r="E1473" s="1" t="s">
        <v>4234</v>
      </c>
      <c r="F1473" s="1">
        <v>72830.0</v>
      </c>
      <c r="G1473" s="1">
        <v>3987.0</v>
      </c>
      <c r="H1473" s="1">
        <v>78.0</v>
      </c>
      <c r="I1473" s="1">
        <v>1.72E7</v>
      </c>
      <c r="J1473" s="1" t="s">
        <v>2468</v>
      </c>
    </row>
    <row r="1474">
      <c r="A1474" s="1" t="s">
        <v>4448</v>
      </c>
      <c r="B1474" s="1" t="s">
        <v>4449</v>
      </c>
      <c r="C1474" s="1" t="s">
        <v>4450</v>
      </c>
      <c r="D1474" s="1" t="s">
        <v>4233</v>
      </c>
      <c r="E1474" s="1" t="s">
        <v>4234</v>
      </c>
      <c r="F1474" s="1">
        <v>110048.0</v>
      </c>
      <c r="G1474" s="1">
        <v>6825.0</v>
      </c>
      <c r="H1474" s="1">
        <v>75.0</v>
      </c>
      <c r="I1474" s="1">
        <v>1.72E7</v>
      </c>
      <c r="J1474" s="1" t="s">
        <v>2468</v>
      </c>
    </row>
    <row r="1475">
      <c r="A1475" s="1" t="s">
        <v>4451</v>
      </c>
      <c r="B1475" s="1" t="s">
        <v>4452</v>
      </c>
      <c r="C1475" s="1" t="s">
        <v>4453</v>
      </c>
      <c r="D1475" s="1" t="s">
        <v>4233</v>
      </c>
      <c r="E1475" s="1" t="s">
        <v>4234</v>
      </c>
      <c r="F1475" s="1">
        <v>73642.0</v>
      </c>
      <c r="G1475" s="1">
        <v>4818.0</v>
      </c>
      <c r="H1475" s="1">
        <v>72.0</v>
      </c>
      <c r="I1475" s="1">
        <v>1.72E7</v>
      </c>
      <c r="J1475" s="1" t="s">
        <v>2468</v>
      </c>
    </row>
    <row r="1476">
      <c r="A1476" s="1" t="s">
        <v>4454</v>
      </c>
      <c r="B1476" s="1" t="s">
        <v>4455</v>
      </c>
      <c r="C1476" s="1" t="s">
        <v>4456</v>
      </c>
      <c r="D1476" s="1" t="s">
        <v>4233</v>
      </c>
      <c r="E1476" s="1" t="s">
        <v>4234</v>
      </c>
      <c r="F1476" s="1">
        <v>170429.0</v>
      </c>
      <c r="G1476" s="1">
        <v>4928.0</v>
      </c>
      <c r="H1476" s="1">
        <v>86.0</v>
      </c>
      <c r="I1476" s="1">
        <v>1.72E7</v>
      </c>
      <c r="J1476" s="1" t="s">
        <v>2468</v>
      </c>
    </row>
    <row r="1477">
      <c r="A1477" s="1" t="s">
        <v>4457</v>
      </c>
      <c r="B1477" s="1" t="s">
        <v>4458</v>
      </c>
      <c r="C1477" s="1" t="s">
        <v>4459</v>
      </c>
      <c r="D1477" s="1" t="s">
        <v>4233</v>
      </c>
      <c r="E1477" s="1" t="s">
        <v>4234</v>
      </c>
      <c r="F1477" s="1">
        <v>295023.0</v>
      </c>
      <c r="G1477" s="1">
        <v>6485.0</v>
      </c>
      <c r="H1477" s="1">
        <v>39.0</v>
      </c>
      <c r="I1477" s="1">
        <v>1.72E7</v>
      </c>
      <c r="J1477" s="1" t="s">
        <v>2468</v>
      </c>
    </row>
    <row r="1478">
      <c r="A1478" s="1" t="s">
        <v>4460</v>
      </c>
      <c r="B1478" s="1" t="s">
        <v>4461</v>
      </c>
      <c r="C1478" s="1" t="s">
        <v>4462</v>
      </c>
      <c r="D1478" s="1" t="s">
        <v>4233</v>
      </c>
      <c r="E1478" s="1" t="s">
        <v>4234</v>
      </c>
      <c r="F1478" s="1">
        <v>104984.0</v>
      </c>
      <c r="G1478" s="1">
        <v>6981.0</v>
      </c>
      <c r="H1478" s="1">
        <v>80.0</v>
      </c>
      <c r="I1478" s="1">
        <v>1.72E7</v>
      </c>
      <c r="J1478" s="1" t="s">
        <v>2468</v>
      </c>
    </row>
    <row r="1479">
      <c r="A1479" s="1" t="s">
        <v>4463</v>
      </c>
      <c r="B1479" s="1" t="s">
        <v>4464</v>
      </c>
      <c r="C1479" s="1" t="s">
        <v>4465</v>
      </c>
      <c r="D1479" s="1" t="s">
        <v>4233</v>
      </c>
      <c r="E1479" s="1" t="s">
        <v>4234</v>
      </c>
      <c r="F1479" s="1">
        <v>189113.0</v>
      </c>
      <c r="G1479" s="1">
        <v>5252.0</v>
      </c>
      <c r="H1479" s="1">
        <v>44.0</v>
      </c>
      <c r="I1479" s="1">
        <v>1.72E7</v>
      </c>
      <c r="J1479" s="1" t="s">
        <v>2468</v>
      </c>
    </row>
    <row r="1480">
      <c r="A1480" s="1" t="s">
        <v>4466</v>
      </c>
      <c r="B1480" s="1" t="s">
        <v>4467</v>
      </c>
      <c r="C1480" s="1" t="s">
        <v>4468</v>
      </c>
      <c r="D1480" s="1" t="s">
        <v>4233</v>
      </c>
      <c r="E1480" s="1" t="s">
        <v>4234</v>
      </c>
      <c r="F1480" s="1">
        <v>105806.0</v>
      </c>
      <c r="G1480" s="1">
        <v>5773.0</v>
      </c>
      <c r="H1480" s="1">
        <v>58.0</v>
      </c>
      <c r="I1480" s="1">
        <v>1.72E7</v>
      </c>
      <c r="J1480" s="1" t="s">
        <v>2468</v>
      </c>
    </row>
    <row r="1481">
      <c r="A1481" s="1" t="s">
        <v>4469</v>
      </c>
      <c r="B1481" s="1" t="s">
        <v>4470</v>
      </c>
      <c r="C1481" s="1" t="s">
        <v>4471</v>
      </c>
      <c r="D1481" s="1" t="s">
        <v>4233</v>
      </c>
      <c r="E1481" s="1" t="s">
        <v>4234</v>
      </c>
      <c r="F1481" s="1">
        <v>336427.0</v>
      </c>
      <c r="G1481" s="1">
        <v>5293.0</v>
      </c>
      <c r="H1481" s="1">
        <v>0.0</v>
      </c>
      <c r="I1481" s="1">
        <v>1.72E7</v>
      </c>
      <c r="J1481" s="1" t="s">
        <v>2468</v>
      </c>
    </row>
    <row r="1482">
      <c r="A1482" s="1" t="s">
        <v>4472</v>
      </c>
      <c r="B1482" s="1" t="s">
        <v>4473</v>
      </c>
      <c r="C1482" s="1" t="s">
        <v>4474</v>
      </c>
      <c r="D1482" s="1" t="s">
        <v>4233</v>
      </c>
      <c r="E1482" s="1" t="s">
        <v>4234</v>
      </c>
      <c r="F1482" s="1">
        <v>130027.0</v>
      </c>
      <c r="G1482" s="1">
        <v>7472.0</v>
      </c>
      <c r="H1482" s="1">
        <v>111.0</v>
      </c>
      <c r="I1482" s="1">
        <v>1.72E7</v>
      </c>
      <c r="J1482" s="1" t="s">
        <v>2468</v>
      </c>
    </row>
    <row r="1483">
      <c r="A1483" s="1" t="s">
        <v>4475</v>
      </c>
      <c r="B1483" s="1" t="s">
        <v>4476</v>
      </c>
      <c r="C1483" s="1" t="s">
        <v>4477</v>
      </c>
      <c r="D1483" s="1" t="s">
        <v>4233</v>
      </c>
      <c r="E1483" s="1" t="s">
        <v>4234</v>
      </c>
      <c r="F1483" s="1">
        <v>225731.0</v>
      </c>
      <c r="G1483" s="1">
        <v>12933.0</v>
      </c>
      <c r="H1483" s="1">
        <v>151.0</v>
      </c>
      <c r="I1483" s="1">
        <v>1.72E7</v>
      </c>
      <c r="J1483" s="1" t="s">
        <v>2468</v>
      </c>
    </row>
    <row r="1484">
      <c r="A1484" s="1" t="s">
        <v>4478</v>
      </c>
      <c r="B1484" s="1" t="s">
        <v>4479</v>
      </c>
      <c r="C1484" s="1" t="s">
        <v>4480</v>
      </c>
      <c r="D1484" s="1" t="s">
        <v>4233</v>
      </c>
      <c r="E1484" s="1" t="s">
        <v>4234</v>
      </c>
      <c r="F1484" s="1">
        <v>96411.0</v>
      </c>
      <c r="G1484" s="1">
        <v>3973.0</v>
      </c>
      <c r="H1484" s="1">
        <v>56.0</v>
      </c>
      <c r="I1484" s="1">
        <v>1.72E7</v>
      </c>
      <c r="J1484" s="1" t="s">
        <v>2468</v>
      </c>
    </row>
    <row r="1485">
      <c r="A1485" s="1" t="s">
        <v>4481</v>
      </c>
      <c r="B1485" s="1" t="s">
        <v>4482</v>
      </c>
      <c r="C1485" s="1" t="s">
        <v>4483</v>
      </c>
      <c r="D1485" s="1" t="s">
        <v>4233</v>
      </c>
      <c r="E1485" s="1" t="s">
        <v>4234</v>
      </c>
      <c r="F1485" s="1">
        <v>96879.0</v>
      </c>
      <c r="G1485" s="1">
        <v>3924.0</v>
      </c>
      <c r="H1485" s="1">
        <v>0.0</v>
      </c>
      <c r="I1485" s="1">
        <v>1.72E7</v>
      </c>
      <c r="J1485" s="1" t="s">
        <v>2468</v>
      </c>
    </row>
    <row r="1486">
      <c r="A1486" s="1" t="s">
        <v>4484</v>
      </c>
      <c r="B1486" s="1" t="s">
        <v>4485</v>
      </c>
      <c r="C1486" s="1" t="s">
        <v>4486</v>
      </c>
      <c r="D1486" s="1" t="s">
        <v>4233</v>
      </c>
      <c r="E1486" s="1" t="s">
        <v>4234</v>
      </c>
      <c r="F1486" s="1">
        <v>154199.0</v>
      </c>
      <c r="G1486" s="1">
        <v>8918.0</v>
      </c>
      <c r="H1486" s="1">
        <v>61.0</v>
      </c>
      <c r="I1486" s="1">
        <v>1.72E7</v>
      </c>
      <c r="J1486" s="1" t="s">
        <v>2468</v>
      </c>
    </row>
    <row r="1487">
      <c r="A1487" s="1" t="s">
        <v>4487</v>
      </c>
      <c r="B1487" s="1" t="s">
        <v>4488</v>
      </c>
      <c r="C1487" s="1" t="s">
        <v>4489</v>
      </c>
      <c r="D1487" s="1" t="s">
        <v>4233</v>
      </c>
      <c r="E1487" s="1" t="s">
        <v>4234</v>
      </c>
      <c r="F1487" s="1">
        <v>150195.0</v>
      </c>
      <c r="G1487" s="1">
        <v>3564.0</v>
      </c>
      <c r="H1487" s="1">
        <v>50.0</v>
      </c>
      <c r="I1487" s="1">
        <v>1.72E7</v>
      </c>
      <c r="J1487" s="1" t="s">
        <v>2468</v>
      </c>
    </row>
    <row r="1488">
      <c r="A1488" s="1" t="s">
        <v>4490</v>
      </c>
      <c r="B1488" s="1" t="s">
        <v>4491</v>
      </c>
      <c r="C1488" s="1" t="s">
        <v>4492</v>
      </c>
      <c r="D1488" s="1" t="s">
        <v>4233</v>
      </c>
      <c r="E1488" s="1" t="s">
        <v>4234</v>
      </c>
      <c r="F1488" s="1">
        <v>443634.0</v>
      </c>
      <c r="G1488" s="1">
        <v>22670.0</v>
      </c>
      <c r="H1488" s="1">
        <v>314.0</v>
      </c>
      <c r="I1488" s="1">
        <v>1.72E7</v>
      </c>
      <c r="J1488" s="1" t="s">
        <v>2468</v>
      </c>
    </row>
    <row r="1489">
      <c r="A1489" s="1" t="s">
        <v>4493</v>
      </c>
      <c r="B1489" s="1" t="s">
        <v>4494</v>
      </c>
      <c r="C1489" s="1" t="s">
        <v>4495</v>
      </c>
      <c r="D1489" s="1" t="s">
        <v>4233</v>
      </c>
      <c r="E1489" s="1" t="s">
        <v>4234</v>
      </c>
      <c r="F1489" s="1">
        <v>138700.0</v>
      </c>
      <c r="G1489" s="1">
        <v>4649.0</v>
      </c>
      <c r="H1489" s="1">
        <v>70.0</v>
      </c>
      <c r="I1489" s="1">
        <v>1.72E7</v>
      </c>
      <c r="J1489" s="1" t="s">
        <v>2468</v>
      </c>
    </row>
    <row r="1490">
      <c r="A1490" s="1" t="s">
        <v>4496</v>
      </c>
      <c r="B1490" s="1" t="s">
        <v>4497</v>
      </c>
      <c r="C1490" s="1" t="s">
        <v>4498</v>
      </c>
      <c r="D1490" s="1" t="s">
        <v>4233</v>
      </c>
      <c r="E1490" s="1" t="s">
        <v>4234</v>
      </c>
      <c r="F1490" s="1">
        <v>135672.0</v>
      </c>
      <c r="G1490" s="1">
        <v>9961.0</v>
      </c>
      <c r="H1490" s="1">
        <v>386.0</v>
      </c>
      <c r="I1490" s="1">
        <v>1.72E7</v>
      </c>
      <c r="J1490" s="1" t="s">
        <v>2468</v>
      </c>
    </row>
    <row r="1491">
      <c r="A1491" s="1" t="s">
        <v>4499</v>
      </c>
      <c r="B1491" s="1" t="s">
        <v>4500</v>
      </c>
      <c r="C1491" s="1" t="s">
        <v>4501</v>
      </c>
      <c r="D1491" s="1" t="s">
        <v>4233</v>
      </c>
      <c r="E1491" s="1" t="s">
        <v>4234</v>
      </c>
      <c r="F1491" s="1">
        <v>188832.0</v>
      </c>
      <c r="G1491" s="1">
        <v>4632.0</v>
      </c>
      <c r="H1491" s="1">
        <v>59.0</v>
      </c>
      <c r="I1491" s="1">
        <v>1.72E7</v>
      </c>
      <c r="J1491" s="1" t="s">
        <v>2468</v>
      </c>
    </row>
    <row r="1492">
      <c r="A1492" s="1" t="s">
        <v>4502</v>
      </c>
      <c r="B1492" s="1" t="s">
        <v>4503</v>
      </c>
      <c r="C1492" s="1" t="s">
        <v>4504</v>
      </c>
      <c r="D1492" s="1" t="s">
        <v>4233</v>
      </c>
      <c r="E1492" s="1" t="s">
        <v>4234</v>
      </c>
      <c r="F1492" s="1">
        <v>189487.0</v>
      </c>
      <c r="G1492" s="1">
        <v>6156.0</v>
      </c>
      <c r="H1492" s="1">
        <v>55.0</v>
      </c>
      <c r="I1492" s="1">
        <v>1.72E7</v>
      </c>
      <c r="J1492" s="1" t="s">
        <v>2468</v>
      </c>
    </row>
    <row r="1493">
      <c r="A1493" s="1" t="s">
        <v>4505</v>
      </c>
      <c r="B1493" s="1" t="s">
        <v>4506</v>
      </c>
      <c r="C1493" s="1" t="s">
        <v>4507</v>
      </c>
      <c r="D1493" s="1" t="s">
        <v>4233</v>
      </c>
      <c r="E1493" s="1" t="s">
        <v>4234</v>
      </c>
      <c r="F1493" s="1">
        <v>221296.0</v>
      </c>
      <c r="G1493" s="1">
        <v>5313.0</v>
      </c>
      <c r="H1493" s="1">
        <v>50.0</v>
      </c>
      <c r="I1493" s="1">
        <v>1.72E7</v>
      </c>
      <c r="J1493" s="1" t="s">
        <v>2468</v>
      </c>
    </row>
    <row r="1494">
      <c r="A1494" s="1" t="s">
        <v>4508</v>
      </c>
      <c r="B1494" s="1" t="s">
        <v>4509</v>
      </c>
      <c r="C1494" s="1" t="s">
        <v>4510</v>
      </c>
      <c r="D1494" s="1" t="s">
        <v>4233</v>
      </c>
      <c r="E1494" s="1" t="s">
        <v>4234</v>
      </c>
      <c r="F1494" s="1">
        <v>119832.0</v>
      </c>
      <c r="G1494" s="1">
        <v>7079.0</v>
      </c>
      <c r="H1494" s="1">
        <v>0.0</v>
      </c>
      <c r="I1494" s="1">
        <v>1.72E7</v>
      </c>
      <c r="J1494" s="1" t="s">
        <v>2468</v>
      </c>
    </row>
    <row r="1495">
      <c r="A1495" s="1" t="s">
        <v>4511</v>
      </c>
      <c r="B1495" s="1" t="s">
        <v>4512</v>
      </c>
      <c r="C1495" s="1" t="s">
        <v>4513</v>
      </c>
      <c r="D1495" s="1" t="s">
        <v>4233</v>
      </c>
      <c r="E1495" s="1" t="s">
        <v>4234</v>
      </c>
      <c r="F1495" s="1">
        <v>368244.0</v>
      </c>
      <c r="G1495" s="1">
        <v>8572.0</v>
      </c>
      <c r="H1495" s="1">
        <v>44.0</v>
      </c>
      <c r="I1495" s="1">
        <v>1.72E7</v>
      </c>
      <c r="J1495" s="1" t="s">
        <v>2468</v>
      </c>
    </row>
    <row r="1496">
      <c r="A1496" s="1" t="s">
        <v>4514</v>
      </c>
      <c r="B1496" s="1" t="s">
        <v>4515</v>
      </c>
      <c r="C1496" s="1" t="s">
        <v>4516</v>
      </c>
      <c r="D1496" s="1" t="s">
        <v>4233</v>
      </c>
      <c r="E1496" s="1" t="s">
        <v>4234</v>
      </c>
      <c r="F1496" s="1">
        <v>441862.0</v>
      </c>
      <c r="G1496" s="1">
        <v>10325.0</v>
      </c>
      <c r="H1496" s="1">
        <v>138.0</v>
      </c>
      <c r="I1496" s="1">
        <v>1.72E7</v>
      </c>
      <c r="J1496" s="1" t="s">
        <v>2468</v>
      </c>
    </row>
    <row r="1497">
      <c r="A1497" s="1" t="s">
        <v>4517</v>
      </c>
      <c r="B1497" s="1" t="s">
        <v>4518</v>
      </c>
      <c r="C1497" s="1" t="s">
        <v>4519</v>
      </c>
      <c r="D1497" s="1" t="s">
        <v>4233</v>
      </c>
      <c r="E1497" s="1" t="s">
        <v>4234</v>
      </c>
      <c r="F1497" s="1">
        <v>1132223.0</v>
      </c>
      <c r="G1497" s="1">
        <v>12076.0</v>
      </c>
      <c r="H1497" s="1">
        <v>219.0</v>
      </c>
      <c r="I1497" s="1">
        <v>1.72E7</v>
      </c>
      <c r="J1497" s="1" t="s">
        <v>2468</v>
      </c>
    </row>
    <row r="1498">
      <c r="A1498" s="1" t="s">
        <v>4520</v>
      </c>
      <c r="B1498" s="1" t="s">
        <v>4521</v>
      </c>
      <c r="C1498" s="1" t="s">
        <v>4522</v>
      </c>
      <c r="D1498" s="1" t="s">
        <v>4233</v>
      </c>
      <c r="E1498" s="1" t="s">
        <v>4234</v>
      </c>
      <c r="F1498" s="1">
        <v>267247.0</v>
      </c>
      <c r="G1498" s="1">
        <v>7182.0</v>
      </c>
      <c r="H1498" s="1">
        <v>219.0</v>
      </c>
      <c r="I1498" s="1">
        <v>1.72E7</v>
      </c>
      <c r="J1498" s="1" t="s">
        <v>2468</v>
      </c>
    </row>
    <row r="1499">
      <c r="A1499" s="1" t="s">
        <v>4523</v>
      </c>
      <c r="B1499" s="1" t="s">
        <v>4524</v>
      </c>
      <c r="C1499" s="1" t="s">
        <v>4525</v>
      </c>
      <c r="D1499" s="1" t="s">
        <v>4233</v>
      </c>
      <c r="E1499" s="1" t="s">
        <v>4234</v>
      </c>
      <c r="F1499" s="1">
        <v>133125.0</v>
      </c>
      <c r="G1499" s="1">
        <v>7213.0</v>
      </c>
      <c r="H1499" s="1">
        <v>319.0</v>
      </c>
      <c r="I1499" s="1">
        <v>1.72E7</v>
      </c>
      <c r="J1499" s="1" t="s">
        <v>2468</v>
      </c>
    </row>
    <row r="1500">
      <c r="A1500" s="1" t="s">
        <v>4526</v>
      </c>
      <c r="B1500" s="1" t="s">
        <v>4527</v>
      </c>
      <c r="C1500" s="1" t="s">
        <v>4528</v>
      </c>
      <c r="D1500" s="1" t="s">
        <v>4233</v>
      </c>
      <c r="E1500" s="1" t="s">
        <v>4234</v>
      </c>
      <c r="F1500" s="1">
        <v>125362.0</v>
      </c>
      <c r="G1500" s="1">
        <v>5963.0</v>
      </c>
      <c r="H1500" s="1">
        <v>74.0</v>
      </c>
      <c r="I1500" s="1">
        <v>1.72E7</v>
      </c>
      <c r="J1500" s="1" t="s">
        <v>2468</v>
      </c>
    </row>
    <row r="1501">
      <c r="A1501" s="1" t="s">
        <v>4529</v>
      </c>
      <c r="B1501" s="1" t="s">
        <v>4530</v>
      </c>
      <c r="C1501" s="1" t="s">
        <v>4531</v>
      </c>
      <c r="D1501" s="1" t="s">
        <v>4233</v>
      </c>
      <c r="E1501" s="1" t="s">
        <v>4234</v>
      </c>
      <c r="F1501" s="1">
        <v>146766.0</v>
      </c>
      <c r="G1501" s="1">
        <v>6732.0</v>
      </c>
      <c r="H1501" s="1">
        <v>89.0</v>
      </c>
      <c r="I1501" s="1">
        <v>1.72E7</v>
      </c>
      <c r="J1501" s="1" t="s">
        <v>2468</v>
      </c>
    </row>
    <row r="1502">
      <c r="A1502" s="1" t="s">
        <v>4532</v>
      </c>
      <c r="B1502" s="1" t="s">
        <v>4533</v>
      </c>
      <c r="C1502" s="1" t="s">
        <v>4534</v>
      </c>
      <c r="D1502" s="1" t="s">
        <v>4233</v>
      </c>
      <c r="E1502" s="1" t="s">
        <v>4234</v>
      </c>
      <c r="F1502" s="1">
        <v>55795.0</v>
      </c>
      <c r="G1502" s="1">
        <v>2999.0</v>
      </c>
      <c r="H1502" s="1">
        <v>56.0</v>
      </c>
      <c r="I1502" s="1">
        <v>1.72E7</v>
      </c>
      <c r="J1502" s="1" t="s">
        <v>2468</v>
      </c>
    </row>
    <row r="1503">
      <c r="A1503" s="1" t="s">
        <v>4535</v>
      </c>
      <c r="B1503" s="1" t="s">
        <v>4536</v>
      </c>
      <c r="C1503" s="1" t="s">
        <v>4537</v>
      </c>
      <c r="D1503" s="1" t="s">
        <v>4233</v>
      </c>
      <c r="E1503" s="1" t="s">
        <v>4234</v>
      </c>
      <c r="F1503" s="1">
        <v>118661.0</v>
      </c>
      <c r="G1503" s="1">
        <v>6399.0</v>
      </c>
      <c r="H1503" s="1">
        <v>0.0</v>
      </c>
      <c r="I1503" s="1">
        <v>1.72E7</v>
      </c>
      <c r="J1503" s="1" t="s">
        <v>2468</v>
      </c>
    </row>
    <row r="1504">
      <c r="A1504" s="1" t="s">
        <v>4538</v>
      </c>
      <c r="B1504" s="1" t="s">
        <v>4539</v>
      </c>
      <c r="C1504" s="1" t="s">
        <v>4540</v>
      </c>
      <c r="D1504" s="1" t="s">
        <v>4233</v>
      </c>
      <c r="E1504" s="1" t="s">
        <v>4234</v>
      </c>
      <c r="F1504" s="1">
        <v>63607.0</v>
      </c>
      <c r="G1504" s="1">
        <v>2985.0</v>
      </c>
      <c r="H1504" s="1">
        <v>117.0</v>
      </c>
      <c r="I1504" s="1">
        <v>1.72E7</v>
      </c>
      <c r="J1504" s="1" t="s">
        <v>2468</v>
      </c>
    </row>
    <row r="1505">
      <c r="A1505" s="1" t="s">
        <v>4541</v>
      </c>
      <c r="B1505" s="1" t="s">
        <v>4542</v>
      </c>
      <c r="C1505" s="1" t="s">
        <v>4543</v>
      </c>
      <c r="D1505" s="1" t="s">
        <v>4233</v>
      </c>
      <c r="E1505" s="1" t="s">
        <v>4234</v>
      </c>
      <c r="F1505" s="1">
        <v>170538.0</v>
      </c>
      <c r="G1505" s="1">
        <v>8527.0</v>
      </c>
      <c r="H1505" s="1">
        <v>0.0</v>
      </c>
      <c r="I1505" s="1">
        <v>1.72E7</v>
      </c>
      <c r="J1505" s="1" t="s">
        <v>2468</v>
      </c>
    </row>
    <row r="1506">
      <c r="A1506" s="1" t="s">
        <v>4544</v>
      </c>
      <c r="B1506" s="1" t="s">
        <v>4545</v>
      </c>
      <c r="C1506" s="1" t="s">
        <v>4546</v>
      </c>
      <c r="D1506" s="1" t="s">
        <v>4233</v>
      </c>
      <c r="E1506" s="1" t="s">
        <v>4234</v>
      </c>
      <c r="F1506" s="1">
        <v>85461.0</v>
      </c>
      <c r="G1506" s="1">
        <v>3663.0</v>
      </c>
      <c r="H1506" s="1">
        <v>86.0</v>
      </c>
      <c r="I1506" s="1">
        <v>1.72E7</v>
      </c>
      <c r="J1506" s="1" t="s">
        <v>2468</v>
      </c>
    </row>
    <row r="1507">
      <c r="A1507" s="1" t="s">
        <v>4547</v>
      </c>
      <c r="B1507" s="1" t="s">
        <v>4548</v>
      </c>
      <c r="C1507" s="1" t="s">
        <v>4549</v>
      </c>
      <c r="D1507" s="1" t="s">
        <v>4233</v>
      </c>
      <c r="E1507" s="1" t="s">
        <v>4234</v>
      </c>
      <c r="F1507" s="1">
        <v>154866.0</v>
      </c>
      <c r="G1507" s="1">
        <v>7033.0</v>
      </c>
      <c r="H1507" s="1">
        <v>0.0</v>
      </c>
      <c r="I1507" s="1">
        <v>1.72E7</v>
      </c>
      <c r="J1507" s="1" t="s">
        <v>2468</v>
      </c>
    </row>
    <row r="1508">
      <c r="A1508" s="1" t="s">
        <v>4550</v>
      </c>
      <c r="B1508" s="1" t="s">
        <v>4551</v>
      </c>
      <c r="C1508" s="1" t="s">
        <v>4552</v>
      </c>
      <c r="D1508" s="1" t="s">
        <v>4233</v>
      </c>
      <c r="E1508" s="1" t="s">
        <v>4234</v>
      </c>
      <c r="F1508" s="1">
        <v>97260.0</v>
      </c>
      <c r="G1508" s="1">
        <v>4437.0</v>
      </c>
      <c r="H1508" s="1">
        <v>163.0</v>
      </c>
      <c r="I1508" s="1">
        <v>1.72E7</v>
      </c>
      <c r="J1508" s="1" t="s">
        <v>2468</v>
      </c>
    </row>
    <row r="1509">
      <c r="A1509" s="1" t="s">
        <v>4553</v>
      </c>
      <c r="B1509" s="1" t="s">
        <v>4554</v>
      </c>
      <c r="C1509" s="1" t="s">
        <v>4555</v>
      </c>
      <c r="D1509" s="1" t="s">
        <v>4233</v>
      </c>
      <c r="E1509" s="1" t="s">
        <v>4234</v>
      </c>
      <c r="F1509" s="1">
        <v>134144.0</v>
      </c>
      <c r="G1509" s="1">
        <v>6176.0</v>
      </c>
      <c r="H1509" s="1">
        <v>55.0</v>
      </c>
      <c r="I1509" s="1">
        <v>1.72E7</v>
      </c>
      <c r="J1509" s="1" t="s">
        <v>2468</v>
      </c>
    </row>
    <row r="1510">
      <c r="A1510" s="1" t="s">
        <v>4556</v>
      </c>
      <c r="B1510" s="1" t="s">
        <v>4557</v>
      </c>
      <c r="C1510" s="1" t="s">
        <v>4558</v>
      </c>
      <c r="D1510" s="1" t="s">
        <v>4233</v>
      </c>
      <c r="E1510" s="1" t="s">
        <v>4234</v>
      </c>
      <c r="F1510" s="1">
        <v>77508.0</v>
      </c>
      <c r="G1510" s="1">
        <v>3565.0</v>
      </c>
      <c r="H1510" s="1">
        <v>75.0</v>
      </c>
      <c r="I1510" s="1">
        <v>1.72E7</v>
      </c>
      <c r="J1510" s="1" t="s">
        <v>2468</v>
      </c>
    </row>
    <row r="1511">
      <c r="A1511" s="1" t="s">
        <v>4559</v>
      </c>
      <c r="B1511" s="1" t="s">
        <v>4560</v>
      </c>
      <c r="C1511" s="1" t="s">
        <v>4561</v>
      </c>
      <c r="D1511" s="1" t="s">
        <v>4233</v>
      </c>
      <c r="E1511" s="1" t="s">
        <v>4234</v>
      </c>
      <c r="F1511" s="1">
        <v>173760.0</v>
      </c>
      <c r="G1511" s="1">
        <v>7805.0</v>
      </c>
      <c r="H1511" s="1">
        <v>88.0</v>
      </c>
      <c r="I1511" s="1">
        <v>1.72E7</v>
      </c>
      <c r="J1511" s="1" t="s">
        <v>2468</v>
      </c>
    </row>
    <row r="1512">
      <c r="A1512" s="1" t="s">
        <v>4562</v>
      </c>
      <c r="B1512" s="1" t="s">
        <v>4563</v>
      </c>
      <c r="C1512" s="1" t="s">
        <v>4564</v>
      </c>
      <c r="D1512" s="1" t="s">
        <v>4233</v>
      </c>
      <c r="E1512" s="1" t="s">
        <v>4234</v>
      </c>
      <c r="F1512" s="1">
        <v>246321.0</v>
      </c>
      <c r="G1512" s="1">
        <v>8892.0</v>
      </c>
      <c r="H1512" s="1">
        <v>169.0</v>
      </c>
      <c r="I1512" s="1">
        <v>1.72E7</v>
      </c>
      <c r="J1512" s="1" t="s">
        <v>2468</v>
      </c>
    </row>
    <row r="1513">
      <c r="A1513" s="1" t="s">
        <v>4565</v>
      </c>
      <c r="B1513" s="1" t="s">
        <v>4566</v>
      </c>
      <c r="C1513" s="1" t="s">
        <v>4567</v>
      </c>
      <c r="D1513" s="1" t="s">
        <v>4233</v>
      </c>
      <c r="E1513" s="1" t="s">
        <v>4234</v>
      </c>
      <c r="F1513" s="1">
        <v>120927.0</v>
      </c>
      <c r="G1513" s="1">
        <v>5748.0</v>
      </c>
      <c r="H1513" s="1">
        <v>132.0</v>
      </c>
      <c r="I1513" s="1">
        <v>1.72E7</v>
      </c>
      <c r="J1513" s="1" t="s">
        <v>2468</v>
      </c>
    </row>
    <row r="1514">
      <c r="A1514" s="1" t="s">
        <v>4568</v>
      </c>
      <c r="B1514" s="1" t="s">
        <v>4569</v>
      </c>
      <c r="C1514" s="1" t="s">
        <v>4570</v>
      </c>
      <c r="D1514" s="1" t="s">
        <v>4233</v>
      </c>
      <c r="E1514" s="1" t="s">
        <v>4234</v>
      </c>
      <c r="F1514" s="1">
        <v>315185.0</v>
      </c>
      <c r="G1514" s="1">
        <v>15681.0</v>
      </c>
      <c r="H1514" s="1">
        <v>517.0</v>
      </c>
      <c r="I1514" s="1">
        <v>1.72E7</v>
      </c>
      <c r="J1514" s="1" t="s">
        <v>2468</v>
      </c>
    </row>
    <row r="1515">
      <c r="A1515" s="1" t="s">
        <v>4571</v>
      </c>
      <c r="B1515" s="1" t="s">
        <v>4572</v>
      </c>
      <c r="C1515" s="1" t="s">
        <v>4573</v>
      </c>
      <c r="D1515" s="1" t="s">
        <v>4233</v>
      </c>
      <c r="E1515" s="1" t="s">
        <v>4234</v>
      </c>
      <c r="F1515" s="1">
        <v>358324.0</v>
      </c>
      <c r="G1515" s="1">
        <v>14827.0</v>
      </c>
      <c r="H1515" s="1">
        <v>523.0</v>
      </c>
      <c r="I1515" s="1">
        <v>1.72E7</v>
      </c>
      <c r="J1515" s="1" t="s">
        <v>2468</v>
      </c>
    </row>
    <row r="1516">
      <c r="A1516" s="1" t="s">
        <v>4574</v>
      </c>
      <c r="B1516" s="1" t="s">
        <v>4575</v>
      </c>
      <c r="C1516" s="1" t="s">
        <v>4576</v>
      </c>
      <c r="D1516" s="1" t="s">
        <v>4233</v>
      </c>
      <c r="E1516" s="1" t="s">
        <v>4234</v>
      </c>
      <c r="F1516" s="1">
        <v>124742.0</v>
      </c>
      <c r="G1516" s="1">
        <v>5793.0</v>
      </c>
      <c r="H1516" s="1">
        <v>35.0</v>
      </c>
      <c r="I1516" s="1">
        <v>1.72E7</v>
      </c>
      <c r="J1516" s="1" t="s">
        <v>2468</v>
      </c>
    </row>
    <row r="1517">
      <c r="A1517" s="1" t="s">
        <v>4577</v>
      </c>
      <c r="B1517" s="1" t="s">
        <v>4578</v>
      </c>
      <c r="C1517" s="1" t="s">
        <v>4579</v>
      </c>
      <c r="D1517" s="1" t="s">
        <v>4233</v>
      </c>
      <c r="E1517" s="1" t="s">
        <v>4234</v>
      </c>
      <c r="F1517" s="1">
        <v>136027.0</v>
      </c>
      <c r="G1517" s="1">
        <v>6105.0</v>
      </c>
      <c r="H1517" s="1">
        <v>187.0</v>
      </c>
      <c r="I1517" s="1">
        <v>1.72E7</v>
      </c>
      <c r="J1517" s="1" t="s">
        <v>2468</v>
      </c>
    </row>
    <row r="1518">
      <c r="A1518" s="1" t="s">
        <v>4580</v>
      </c>
      <c r="B1518" s="1" t="s">
        <v>4581</v>
      </c>
      <c r="C1518" s="1" t="s">
        <v>4582</v>
      </c>
      <c r="D1518" s="1" t="s">
        <v>4233</v>
      </c>
      <c r="E1518" s="1" t="s">
        <v>4234</v>
      </c>
      <c r="F1518" s="1">
        <v>160810.0</v>
      </c>
      <c r="G1518" s="1">
        <v>7231.0</v>
      </c>
      <c r="H1518" s="1">
        <v>81.0</v>
      </c>
      <c r="I1518" s="1">
        <v>1.72E7</v>
      </c>
      <c r="J1518" s="1" t="s">
        <v>2468</v>
      </c>
    </row>
    <row r="1519">
      <c r="A1519" s="1" t="s">
        <v>4583</v>
      </c>
      <c r="B1519" s="1" t="s">
        <v>4584</v>
      </c>
      <c r="C1519" s="1" t="s">
        <v>4585</v>
      </c>
      <c r="D1519" s="1" t="s">
        <v>4233</v>
      </c>
      <c r="E1519" s="1" t="s">
        <v>4234</v>
      </c>
      <c r="F1519" s="1">
        <v>114362.0</v>
      </c>
      <c r="G1519" s="1">
        <v>4322.0</v>
      </c>
      <c r="H1519" s="1">
        <v>167.0</v>
      </c>
      <c r="I1519" s="1">
        <v>1.72E7</v>
      </c>
      <c r="J1519" s="1" t="s">
        <v>2468</v>
      </c>
    </row>
    <row r="1520">
      <c r="A1520" s="1" t="s">
        <v>4586</v>
      </c>
      <c r="B1520" s="1" t="s">
        <v>4587</v>
      </c>
      <c r="C1520" s="1" t="s">
        <v>4588</v>
      </c>
      <c r="D1520" s="1" t="s">
        <v>4233</v>
      </c>
      <c r="E1520" s="1" t="s">
        <v>4234</v>
      </c>
      <c r="F1520" s="1">
        <v>249660.0</v>
      </c>
      <c r="G1520" s="1">
        <v>11566.0</v>
      </c>
      <c r="H1520" s="1">
        <v>50.0</v>
      </c>
      <c r="I1520" s="1">
        <v>1.72E7</v>
      </c>
      <c r="J1520" s="1" t="s">
        <v>2468</v>
      </c>
    </row>
    <row r="1521">
      <c r="A1521" s="1" t="s">
        <v>4589</v>
      </c>
      <c r="B1521" s="1" t="s">
        <v>4590</v>
      </c>
      <c r="C1521" s="1" t="s">
        <v>4591</v>
      </c>
      <c r="D1521" s="1" t="s">
        <v>4233</v>
      </c>
      <c r="E1521" s="1" t="s">
        <v>4234</v>
      </c>
      <c r="F1521" s="1">
        <v>282304.0</v>
      </c>
      <c r="G1521" s="1">
        <v>9608.0</v>
      </c>
      <c r="H1521" s="1">
        <v>72.0</v>
      </c>
      <c r="I1521" s="1">
        <v>1.72E7</v>
      </c>
      <c r="J1521" s="1" t="s">
        <v>2468</v>
      </c>
    </row>
    <row r="1522">
      <c r="A1522" s="1" t="s">
        <v>4592</v>
      </c>
      <c r="B1522" s="1" t="s">
        <v>4593</v>
      </c>
      <c r="C1522" s="1" t="s">
        <v>4594</v>
      </c>
      <c r="D1522" s="1" t="s">
        <v>4233</v>
      </c>
      <c r="E1522" s="1" t="s">
        <v>4234</v>
      </c>
      <c r="F1522" s="1">
        <v>107748.0</v>
      </c>
      <c r="G1522" s="1">
        <v>3938.0</v>
      </c>
      <c r="H1522" s="1">
        <v>73.0</v>
      </c>
      <c r="I1522" s="1">
        <v>1.72E7</v>
      </c>
      <c r="J1522" s="1" t="s">
        <v>2468</v>
      </c>
    </row>
    <row r="1523">
      <c r="A1523" s="1" t="s">
        <v>4595</v>
      </c>
      <c r="B1523" s="1" t="s">
        <v>4596</v>
      </c>
      <c r="C1523" s="1" t="s">
        <v>4597</v>
      </c>
      <c r="D1523" s="1" t="s">
        <v>4233</v>
      </c>
      <c r="E1523" s="1" t="s">
        <v>4234</v>
      </c>
      <c r="F1523" s="1">
        <v>192470.0</v>
      </c>
      <c r="G1523" s="1">
        <v>8757.0</v>
      </c>
      <c r="H1523" s="1">
        <v>91.0</v>
      </c>
      <c r="I1523" s="1">
        <v>1.72E7</v>
      </c>
      <c r="J1523" s="1" t="s">
        <v>2468</v>
      </c>
    </row>
    <row r="1524">
      <c r="A1524" s="1" t="s">
        <v>4598</v>
      </c>
      <c r="B1524" s="1" t="s">
        <v>4599</v>
      </c>
      <c r="C1524" s="1" t="s">
        <v>4600</v>
      </c>
      <c r="D1524" s="1" t="s">
        <v>4233</v>
      </c>
      <c r="E1524" s="1" t="s">
        <v>4234</v>
      </c>
      <c r="F1524" s="1">
        <v>157561.0</v>
      </c>
      <c r="G1524" s="1">
        <v>5863.0</v>
      </c>
      <c r="H1524" s="1">
        <v>66.0</v>
      </c>
      <c r="I1524" s="1">
        <v>1.72E7</v>
      </c>
      <c r="J1524" s="1" t="s">
        <v>2468</v>
      </c>
    </row>
    <row r="1525">
      <c r="A1525" s="1" t="s">
        <v>4601</v>
      </c>
      <c r="B1525" s="1" t="s">
        <v>4602</v>
      </c>
      <c r="C1525" s="1" t="s">
        <v>4603</v>
      </c>
      <c r="D1525" s="1" t="s">
        <v>4233</v>
      </c>
      <c r="E1525" s="1" t="s">
        <v>4234</v>
      </c>
      <c r="F1525" s="1">
        <v>301750.0</v>
      </c>
      <c r="G1525" s="1">
        <v>12334.0</v>
      </c>
      <c r="H1525" s="1">
        <v>0.0</v>
      </c>
      <c r="I1525" s="1">
        <v>1.72E7</v>
      </c>
      <c r="J1525" s="1" t="s">
        <v>2468</v>
      </c>
    </row>
    <row r="1526">
      <c r="A1526" s="1" t="s">
        <v>4604</v>
      </c>
      <c r="B1526" s="1" t="s">
        <v>4605</v>
      </c>
      <c r="C1526" s="1" t="s">
        <v>4606</v>
      </c>
      <c r="D1526" s="1" t="s">
        <v>4233</v>
      </c>
      <c r="E1526" s="1" t="s">
        <v>4234</v>
      </c>
      <c r="F1526" s="1">
        <v>173392.0</v>
      </c>
      <c r="G1526" s="1">
        <v>6972.0</v>
      </c>
      <c r="H1526" s="1">
        <v>30.0</v>
      </c>
      <c r="I1526" s="1">
        <v>1.72E7</v>
      </c>
      <c r="J1526" s="1" t="s">
        <v>2468</v>
      </c>
    </row>
    <row r="1527">
      <c r="A1527" s="1" t="s">
        <v>4607</v>
      </c>
      <c r="B1527" s="1" t="s">
        <v>4608</v>
      </c>
      <c r="C1527" s="1" t="s">
        <v>4609</v>
      </c>
      <c r="D1527" s="1" t="s">
        <v>4233</v>
      </c>
      <c r="E1527" s="1" t="s">
        <v>4234</v>
      </c>
      <c r="F1527" s="1">
        <v>322164.0</v>
      </c>
      <c r="G1527" s="1">
        <v>10521.0</v>
      </c>
      <c r="H1527" s="1">
        <v>84.0</v>
      </c>
      <c r="I1527" s="1">
        <v>1.72E7</v>
      </c>
      <c r="J1527" s="1" t="s">
        <v>2468</v>
      </c>
    </row>
    <row r="1528">
      <c r="A1528" s="1" t="s">
        <v>4610</v>
      </c>
      <c r="B1528" s="1" t="s">
        <v>4611</v>
      </c>
      <c r="C1528" s="1" t="s">
        <v>4612</v>
      </c>
      <c r="D1528" s="1" t="s">
        <v>4233</v>
      </c>
      <c r="E1528" s="1" t="s">
        <v>4234</v>
      </c>
      <c r="F1528" s="1">
        <v>152376.0</v>
      </c>
      <c r="G1528" s="1">
        <v>5873.0</v>
      </c>
      <c r="H1528" s="1">
        <v>132.0</v>
      </c>
      <c r="I1528" s="1">
        <v>1.72E7</v>
      </c>
      <c r="J1528" s="1" t="s">
        <v>2468</v>
      </c>
    </row>
    <row r="1529">
      <c r="A1529" s="1" t="s">
        <v>4613</v>
      </c>
      <c r="B1529" s="1" t="s">
        <v>4614</v>
      </c>
      <c r="C1529" s="1" t="s">
        <v>4615</v>
      </c>
      <c r="D1529" s="1" t="s">
        <v>4233</v>
      </c>
      <c r="E1529" s="1" t="s">
        <v>4234</v>
      </c>
      <c r="F1529" s="1">
        <v>479452.0</v>
      </c>
      <c r="G1529" s="1">
        <v>13926.0</v>
      </c>
      <c r="H1529" s="1">
        <v>0.0</v>
      </c>
      <c r="I1529" s="1">
        <v>1.72E7</v>
      </c>
      <c r="J1529" s="1" t="s">
        <v>2468</v>
      </c>
    </row>
    <row r="1530">
      <c r="A1530" s="1" t="s">
        <v>4616</v>
      </c>
      <c r="B1530" s="1" t="s">
        <v>4617</v>
      </c>
      <c r="C1530" s="1" t="s">
        <v>4618</v>
      </c>
      <c r="D1530" s="1" t="s">
        <v>4233</v>
      </c>
      <c r="E1530" s="1" t="s">
        <v>4234</v>
      </c>
      <c r="F1530" s="1">
        <v>165010.0</v>
      </c>
      <c r="G1530" s="1">
        <v>7668.0</v>
      </c>
      <c r="H1530" s="1">
        <v>59.0</v>
      </c>
      <c r="I1530" s="1">
        <v>1.72E7</v>
      </c>
      <c r="J1530" s="1" t="s">
        <v>2468</v>
      </c>
    </row>
    <row r="1531">
      <c r="A1531" s="1" t="s">
        <v>4619</v>
      </c>
      <c r="B1531" s="1" t="s">
        <v>4620</v>
      </c>
      <c r="C1531" s="1" t="s">
        <v>4621</v>
      </c>
      <c r="D1531" s="1" t="s">
        <v>4233</v>
      </c>
      <c r="E1531" s="1" t="s">
        <v>4234</v>
      </c>
      <c r="F1531" s="1">
        <v>557003.0</v>
      </c>
      <c r="G1531" s="1">
        <v>17525.0</v>
      </c>
      <c r="H1531" s="1">
        <v>165.0</v>
      </c>
      <c r="I1531" s="1">
        <v>1.72E7</v>
      </c>
      <c r="J1531" s="1" t="s">
        <v>2468</v>
      </c>
    </row>
    <row r="1532">
      <c r="A1532" s="1" t="s">
        <v>4622</v>
      </c>
      <c r="B1532" s="1" t="s">
        <v>4623</v>
      </c>
      <c r="C1532" s="1" t="s">
        <v>4624</v>
      </c>
      <c r="D1532" s="1" t="s">
        <v>4233</v>
      </c>
      <c r="E1532" s="1" t="s">
        <v>4234</v>
      </c>
      <c r="F1532" s="1">
        <v>384696.0</v>
      </c>
      <c r="G1532" s="1">
        <v>13187.0</v>
      </c>
      <c r="H1532" s="1">
        <v>0.0</v>
      </c>
      <c r="I1532" s="1">
        <v>1.72E7</v>
      </c>
      <c r="J1532" s="1" t="s">
        <v>2468</v>
      </c>
    </row>
    <row r="1533">
      <c r="A1533" s="1" t="s">
        <v>4625</v>
      </c>
      <c r="B1533" s="1" t="s">
        <v>4626</v>
      </c>
      <c r="C1533" s="1" t="s">
        <v>4627</v>
      </c>
      <c r="D1533" s="1" t="s">
        <v>4233</v>
      </c>
      <c r="E1533" s="1" t="s">
        <v>4234</v>
      </c>
      <c r="F1533" s="1">
        <v>255241.0</v>
      </c>
      <c r="G1533" s="1">
        <v>12786.0</v>
      </c>
      <c r="H1533" s="1">
        <v>77.0</v>
      </c>
      <c r="I1533" s="1">
        <v>1.72E7</v>
      </c>
      <c r="J1533" s="1" t="s">
        <v>2468</v>
      </c>
    </row>
    <row r="1534">
      <c r="A1534" s="1" t="s">
        <v>4628</v>
      </c>
      <c r="B1534" s="1" t="s">
        <v>4629</v>
      </c>
      <c r="C1534" s="1" t="s">
        <v>4630</v>
      </c>
      <c r="D1534" s="1" t="s">
        <v>4233</v>
      </c>
      <c r="E1534" s="1" t="s">
        <v>4234</v>
      </c>
      <c r="F1534" s="1">
        <v>60211.0</v>
      </c>
      <c r="G1534" s="1">
        <v>2741.0</v>
      </c>
      <c r="H1534" s="1">
        <v>99.0</v>
      </c>
      <c r="I1534" s="1">
        <v>1.72E7</v>
      </c>
      <c r="J1534" s="1" t="s">
        <v>2468</v>
      </c>
    </row>
    <row r="1535">
      <c r="A1535" s="1" t="s">
        <v>4631</v>
      </c>
      <c r="B1535" s="1" t="s">
        <v>4632</v>
      </c>
      <c r="C1535" s="1" t="s">
        <v>4633</v>
      </c>
      <c r="D1535" s="1" t="s">
        <v>4233</v>
      </c>
      <c r="E1535" s="1" t="s">
        <v>4234</v>
      </c>
      <c r="F1535" s="1">
        <v>457147.0</v>
      </c>
      <c r="G1535" s="1">
        <v>22193.0</v>
      </c>
      <c r="H1535" s="1">
        <v>447.0</v>
      </c>
      <c r="I1535" s="1">
        <v>1.72E7</v>
      </c>
      <c r="J1535" s="1" t="s">
        <v>2468</v>
      </c>
    </row>
    <row r="1536">
      <c r="A1536" s="1" t="s">
        <v>4634</v>
      </c>
      <c r="B1536" s="1" t="s">
        <v>4635</v>
      </c>
      <c r="C1536" s="1" t="s">
        <v>4636</v>
      </c>
      <c r="D1536" s="1" t="s">
        <v>4233</v>
      </c>
      <c r="E1536" s="1" t="s">
        <v>4234</v>
      </c>
      <c r="F1536" s="1">
        <v>71583.0</v>
      </c>
      <c r="G1536" s="1">
        <v>3096.0</v>
      </c>
      <c r="H1536" s="1">
        <v>52.0</v>
      </c>
      <c r="I1536" s="1">
        <v>1.72E7</v>
      </c>
      <c r="J1536" s="1" t="s">
        <v>2468</v>
      </c>
    </row>
    <row r="1537">
      <c r="A1537" s="1" t="s">
        <v>4637</v>
      </c>
      <c r="B1537" s="1" t="s">
        <v>4638</v>
      </c>
      <c r="C1537" s="1" t="s">
        <v>4639</v>
      </c>
      <c r="D1537" s="1" t="s">
        <v>4233</v>
      </c>
      <c r="E1537" s="1" t="s">
        <v>4234</v>
      </c>
      <c r="F1537" s="1">
        <v>282345.0</v>
      </c>
      <c r="G1537" s="1">
        <v>12877.0</v>
      </c>
      <c r="H1537" s="1">
        <v>138.0</v>
      </c>
      <c r="I1537" s="1">
        <v>1.72E7</v>
      </c>
      <c r="J1537" s="1" t="s">
        <v>2468</v>
      </c>
    </row>
    <row r="1538">
      <c r="A1538" s="1" t="s">
        <v>4640</v>
      </c>
      <c r="B1538" s="1" t="s">
        <v>4641</v>
      </c>
      <c r="C1538" s="1" t="s">
        <v>4642</v>
      </c>
      <c r="D1538" s="1" t="s">
        <v>4233</v>
      </c>
      <c r="E1538" s="1" t="s">
        <v>4234</v>
      </c>
      <c r="F1538" s="1">
        <v>61268.0</v>
      </c>
      <c r="G1538" s="1">
        <v>2871.0</v>
      </c>
      <c r="H1538" s="1">
        <v>21.0</v>
      </c>
      <c r="I1538" s="1">
        <v>1.72E7</v>
      </c>
      <c r="J1538" s="1" t="s">
        <v>2468</v>
      </c>
    </row>
    <row r="1539">
      <c r="A1539" s="1" t="s">
        <v>4643</v>
      </c>
      <c r="B1539" s="1" t="s">
        <v>4644</v>
      </c>
      <c r="C1539" s="1" t="s">
        <v>4645</v>
      </c>
      <c r="D1539" s="1" t="s">
        <v>4233</v>
      </c>
      <c r="E1539" s="1" t="s">
        <v>4234</v>
      </c>
      <c r="F1539" s="1">
        <v>68873.0</v>
      </c>
      <c r="G1539" s="1">
        <v>1900.0</v>
      </c>
      <c r="H1539" s="1">
        <v>229.0</v>
      </c>
      <c r="I1539" s="1">
        <v>1.72E7</v>
      </c>
      <c r="J1539" s="1" t="s">
        <v>2468</v>
      </c>
    </row>
    <row r="1540">
      <c r="A1540" s="1" t="s">
        <v>4646</v>
      </c>
      <c r="B1540" s="1" t="s">
        <v>4647</v>
      </c>
      <c r="C1540" s="1" t="s">
        <v>4648</v>
      </c>
      <c r="D1540" s="1" t="s">
        <v>4233</v>
      </c>
      <c r="E1540" s="1" t="s">
        <v>4234</v>
      </c>
      <c r="F1540" s="1">
        <v>342882.0</v>
      </c>
      <c r="G1540" s="1">
        <v>17206.0</v>
      </c>
      <c r="H1540" s="1">
        <v>304.0</v>
      </c>
      <c r="I1540" s="1">
        <v>1.72E7</v>
      </c>
      <c r="J1540" s="1" t="s">
        <v>2468</v>
      </c>
    </row>
    <row r="1541">
      <c r="A1541" s="1" t="s">
        <v>4649</v>
      </c>
      <c r="B1541" s="1" t="s">
        <v>4650</v>
      </c>
      <c r="C1541" s="1" t="s">
        <v>4651</v>
      </c>
      <c r="D1541" s="1" t="s">
        <v>4233</v>
      </c>
      <c r="E1541" s="1" t="s">
        <v>4234</v>
      </c>
      <c r="F1541" s="1">
        <v>67311.0</v>
      </c>
      <c r="G1541" s="1">
        <v>2538.0</v>
      </c>
      <c r="H1541" s="1">
        <v>44.0</v>
      </c>
      <c r="I1541" s="1">
        <v>1.72E7</v>
      </c>
      <c r="J1541" s="1" t="s">
        <v>2468</v>
      </c>
    </row>
    <row r="1542">
      <c r="A1542" s="1" t="s">
        <v>4652</v>
      </c>
      <c r="B1542" s="1" t="s">
        <v>4653</v>
      </c>
      <c r="C1542" s="1" t="s">
        <v>4654</v>
      </c>
      <c r="D1542" s="1" t="s">
        <v>4233</v>
      </c>
      <c r="E1542" s="1" t="s">
        <v>4234</v>
      </c>
      <c r="F1542" s="1">
        <v>18136.0</v>
      </c>
      <c r="G1542" s="1">
        <v>309.0</v>
      </c>
      <c r="H1542" s="1">
        <v>3.0</v>
      </c>
      <c r="I1542" s="1">
        <v>1.72E7</v>
      </c>
      <c r="J1542" s="1" t="s">
        <v>2468</v>
      </c>
    </row>
    <row r="1543">
      <c r="A1543" s="1" t="s">
        <v>4655</v>
      </c>
      <c r="B1543" s="1" t="s">
        <v>4656</v>
      </c>
      <c r="C1543" s="1" t="s">
        <v>4657</v>
      </c>
      <c r="D1543" s="1" t="s">
        <v>4233</v>
      </c>
      <c r="E1543" s="1" t="s">
        <v>4234</v>
      </c>
      <c r="F1543" s="1">
        <v>334864.0</v>
      </c>
      <c r="G1543" s="1">
        <v>19806.0</v>
      </c>
      <c r="H1543" s="1">
        <v>797.0</v>
      </c>
      <c r="I1543" s="1">
        <v>1.72E7</v>
      </c>
      <c r="J1543" s="1" t="s">
        <v>2468</v>
      </c>
    </row>
    <row r="1544">
      <c r="A1544" s="1" t="s">
        <v>4658</v>
      </c>
      <c r="B1544" s="1" t="s">
        <v>4659</v>
      </c>
      <c r="C1544" s="1" t="s">
        <v>4660</v>
      </c>
      <c r="D1544" s="1" t="s">
        <v>4233</v>
      </c>
      <c r="E1544" s="1" t="s">
        <v>4234</v>
      </c>
      <c r="F1544" s="1">
        <v>91098.0</v>
      </c>
      <c r="G1544" s="1">
        <v>3286.0</v>
      </c>
      <c r="H1544" s="1">
        <v>104.0</v>
      </c>
      <c r="I1544" s="1">
        <v>1.72E7</v>
      </c>
      <c r="J1544" s="1" t="s">
        <v>2468</v>
      </c>
    </row>
    <row r="1545">
      <c r="A1545" s="1" t="s">
        <v>4661</v>
      </c>
      <c r="B1545" s="1" t="s">
        <v>4662</v>
      </c>
      <c r="C1545" s="1" t="s">
        <v>4663</v>
      </c>
      <c r="D1545" s="1" t="s">
        <v>4233</v>
      </c>
      <c r="E1545" s="1" t="s">
        <v>4234</v>
      </c>
      <c r="F1545" s="1">
        <v>51347.0</v>
      </c>
      <c r="G1545" s="1">
        <v>1464.0</v>
      </c>
      <c r="H1545" s="1">
        <v>105.0</v>
      </c>
      <c r="I1545" s="1">
        <v>1.72E7</v>
      </c>
      <c r="J1545" s="1" t="s">
        <v>2468</v>
      </c>
    </row>
    <row r="1546">
      <c r="A1546" s="1" t="s">
        <v>4664</v>
      </c>
      <c r="B1546" s="1" t="s">
        <v>4665</v>
      </c>
      <c r="C1546" s="1" t="s">
        <v>4666</v>
      </c>
      <c r="D1546" s="1" t="s">
        <v>4233</v>
      </c>
      <c r="E1546" s="1" t="s">
        <v>4234</v>
      </c>
      <c r="F1546" s="1">
        <v>113872.0</v>
      </c>
      <c r="G1546" s="1">
        <v>2996.0</v>
      </c>
      <c r="H1546" s="1">
        <v>46.0</v>
      </c>
      <c r="I1546" s="1">
        <v>1.72E7</v>
      </c>
      <c r="J1546" s="1" t="s">
        <v>2468</v>
      </c>
    </row>
    <row r="1547">
      <c r="A1547" s="1" t="s">
        <v>4667</v>
      </c>
      <c r="B1547" s="1" t="s">
        <v>4668</v>
      </c>
      <c r="C1547" s="1" t="s">
        <v>4669</v>
      </c>
      <c r="D1547" s="1" t="s">
        <v>4233</v>
      </c>
      <c r="E1547" s="1" t="s">
        <v>4234</v>
      </c>
      <c r="F1547" s="1">
        <v>65232.0</v>
      </c>
      <c r="G1547" s="1">
        <v>2480.0</v>
      </c>
      <c r="H1547" s="1">
        <v>42.0</v>
      </c>
      <c r="I1547" s="1">
        <v>1.72E7</v>
      </c>
      <c r="J1547" s="1" t="s">
        <v>2468</v>
      </c>
    </row>
    <row r="1548">
      <c r="A1548" s="1" t="s">
        <v>4670</v>
      </c>
      <c r="B1548" s="1" t="s">
        <v>4671</v>
      </c>
      <c r="C1548" s="1" t="s">
        <v>4672</v>
      </c>
      <c r="D1548" s="1" t="s">
        <v>4233</v>
      </c>
      <c r="E1548" s="1" t="s">
        <v>4234</v>
      </c>
      <c r="F1548" s="1">
        <v>51471.0</v>
      </c>
      <c r="G1548" s="1">
        <v>1425.0</v>
      </c>
      <c r="H1548" s="1">
        <v>113.0</v>
      </c>
      <c r="I1548" s="1">
        <v>1.72E7</v>
      </c>
      <c r="J1548" s="1" t="s">
        <v>2468</v>
      </c>
    </row>
    <row r="1549">
      <c r="A1549" s="1" t="s">
        <v>4673</v>
      </c>
      <c r="B1549" s="1" t="s">
        <v>4674</v>
      </c>
      <c r="C1549" s="1" t="s">
        <v>4675</v>
      </c>
      <c r="D1549" s="1" t="s">
        <v>4233</v>
      </c>
      <c r="E1549" s="1" t="s">
        <v>4234</v>
      </c>
      <c r="F1549" s="1">
        <v>82115.0</v>
      </c>
      <c r="G1549" s="1">
        <v>2759.0</v>
      </c>
      <c r="H1549" s="1">
        <v>60.0</v>
      </c>
      <c r="I1549" s="1">
        <v>1.72E7</v>
      </c>
      <c r="J1549" s="1" t="s">
        <v>2468</v>
      </c>
    </row>
    <row r="1550">
      <c r="A1550" s="1" t="s">
        <v>4676</v>
      </c>
      <c r="B1550" s="1" t="s">
        <v>4677</v>
      </c>
      <c r="C1550" s="1" t="s">
        <v>4678</v>
      </c>
      <c r="D1550" s="1" t="s">
        <v>4233</v>
      </c>
      <c r="E1550" s="1" t="s">
        <v>4234</v>
      </c>
      <c r="F1550" s="1">
        <v>98832.0</v>
      </c>
      <c r="G1550" s="1">
        <v>3399.0</v>
      </c>
      <c r="H1550" s="1">
        <v>50.0</v>
      </c>
      <c r="I1550" s="1">
        <v>1.72E7</v>
      </c>
      <c r="J1550" s="1" t="s">
        <v>2468</v>
      </c>
    </row>
    <row r="1551">
      <c r="A1551" s="1" t="s">
        <v>4679</v>
      </c>
      <c r="B1551" s="1" t="s">
        <v>4680</v>
      </c>
      <c r="C1551" s="1" t="s">
        <v>4681</v>
      </c>
      <c r="D1551" s="1" t="s">
        <v>4233</v>
      </c>
      <c r="E1551" s="1" t="s">
        <v>4234</v>
      </c>
      <c r="F1551" s="1">
        <v>64866.0</v>
      </c>
      <c r="G1551" s="1">
        <v>1701.0</v>
      </c>
      <c r="H1551" s="1">
        <v>90.0</v>
      </c>
      <c r="I1551" s="1">
        <v>1.72E7</v>
      </c>
      <c r="J1551" s="1" t="s">
        <v>2468</v>
      </c>
    </row>
    <row r="1552">
      <c r="A1552" s="1" t="s">
        <v>4682</v>
      </c>
      <c r="B1552" s="1" t="s">
        <v>4683</v>
      </c>
      <c r="C1552" s="1" t="s">
        <v>4684</v>
      </c>
      <c r="D1552" s="1" t="s">
        <v>4233</v>
      </c>
      <c r="E1552" s="1" t="s">
        <v>4234</v>
      </c>
      <c r="F1552" s="1">
        <v>86609.0</v>
      </c>
      <c r="G1552" s="1">
        <v>3135.0</v>
      </c>
      <c r="H1552" s="1">
        <v>59.0</v>
      </c>
      <c r="I1552" s="1">
        <v>1.72E7</v>
      </c>
      <c r="J1552" s="1" t="s">
        <v>2468</v>
      </c>
    </row>
    <row r="1553">
      <c r="A1553" s="1" t="s">
        <v>4685</v>
      </c>
      <c r="B1553" s="1" t="s">
        <v>4686</v>
      </c>
      <c r="C1553" s="1" t="s">
        <v>4687</v>
      </c>
      <c r="D1553" s="1" t="s">
        <v>4233</v>
      </c>
      <c r="E1553" s="1" t="s">
        <v>4234</v>
      </c>
      <c r="F1553" s="1">
        <v>73182.0</v>
      </c>
      <c r="G1553" s="1">
        <v>2788.0</v>
      </c>
      <c r="H1553" s="1">
        <v>46.0</v>
      </c>
      <c r="I1553" s="1">
        <v>1.72E7</v>
      </c>
      <c r="J1553" s="1" t="s">
        <v>2468</v>
      </c>
    </row>
    <row r="1554">
      <c r="A1554" s="1" t="s">
        <v>4688</v>
      </c>
      <c r="B1554" s="1" t="s">
        <v>4689</v>
      </c>
      <c r="C1554" s="1" t="s">
        <v>4690</v>
      </c>
      <c r="D1554" s="1" t="s">
        <v>4233</v>
      </c>
      <c r="E1554" s="1" t="s">
        <v>4234</v>
      </c>
      <c r="F1554" s="1">
        <v>65348.0</v>
      </c>
      <c r="G1554" s="1">
        <v>1606.0</v>
      </c>
      <c r="H1554" s="1">
        <v>102.0</v>
      </c>
      <c r="I1554" s="1">
        <v>1.72E7</v>
      </c>
      <c r="J1554" s="1" t="s">
        <v>2468</v>
      </c>
    </row>
    <row r="1555">
      <c r="A1555" s="1" t="s">
        <v>4691</v>
      </c>
      <c r="B1555" s="1" t="s">
        <v>4692</v>
      </c>
      <c r="C1555" s="1" t="s">
        <v>4693</v>
      </c>
      <c r="D1555" s="1" t="s">
        <v>4233</v>
      </c>
      <c r="E1555" s="1" t="s">
        <v>4234</v>
      </c>
      <c r="F1555" s="1">
        <v>48920.0</v>
      </c>
      <c r="G1555" s="1">
        <v>1563.0</v>
      </c>
      <c r="H1555" s="1">
        <v>64.0</v>
      </c>
      <c r="I1555" s="1">
        <v>1.72E7</v>
      </c>
      <c r="J1555" s="1" t="s">
        <v>2468</v>
      </c>
    </row>
    <row r="1556">
      <c r="A1556" s="1" t="s">
        <v>4694</v>
      </c>
      <c r="B1556" s="1" t="s">
        <v>4695</v>
      </c>
      <c r="C1556" s="1" t="s">
        <v>4696</v>
      </c>
      <c r="D1556" s="1" t="s">
        <v>4233</v>
      </c>
      <c r="E1556" s="1" t="s">
        <v>4234</v>
      </c>
      <c r="F1556" s="1">
        <v>136058.0</v>
      </c>
      <c r="G1556" s="1">
        <v>4812.0</v>
      </c>
      <c r="H1556" s="1">
        <v>60.0</v>
      </c>
      <c r="I1556" s="1">
        <v>1.72E7</v>
      </c>
      <c r="J1556" s="1" t="s">
        <v>2468</v>
      </c>
    </row>
    <row r="1557">
      <c r="A1557" s="1" t="s">
        <v>4697</v>
      </c>
      <c r="B1557" s="1" t="s">
        <v>4698</v>
      </c>
      <c r="C1557" s="1" t="s">
        <v>4699</v>
      </c>
      <c r="D1557" s="1" t="s">
        <v>4233</v>
      </c>
      <c r="E1557" s="1" t="s">
        <v>4234</v>
      </c>
      <c r="F1557" s="1">
        <v>54346.0</v>
      </c>
      <c r="G1557" s="1">
        <v>1627.0</v>
      </c>
      <c r="H1557" s="1">
        <v>13.0</v>
      </c>
      <c r="I1557" s="1">
        <v>1.72E7</v>
      </c>
      <c r="J1557" s="1" t="s">
        <v>2468</v>
      </c>
    </row>
    <row r="1558">
      <c r="A1558" s="1" t="s">
        <v>4700</v>
      </c>
      <c r="B1558" s="1" t="s">
        <v>4701</v>
      </c>
      <c r="C1558" s="1" t="s">
        <v>4702</v>
      </c>
      <c r="D1558" s="1" t="s">
        <v>4233</v>
      </c>
      <c r="E1558" s="1" t="s">
        <v>4234</v>
      </c>
      <c r="F1558" s="1">
        <v>104721.0</v>
      </c>
      <c r="G1558" s="1">
        <v>2468.0</v>
      </c>
      <c r="H1558" s="1">
        <v>78.0</v>
      </c>
      <c r="I1558" s="1">
        <v>1.72E7</v>
      </c>
      <c r="J1558" s="1" t="s">
        <v>2468</v>
      </c>
    </row>
    <row r="1559">
      <c r="A1559" s="1" t="s">
        <v>4703</v>
      </c>
      <c r="B1559" s="1" t="s">
        <v>4704</v>
      </c>
      <c r="C1559" s="1" t="s">
        <v>4705</v>
      </c>
      <c r="D1559" s="1" t="s">
        <v>4233</v>
      </c>
      <c r="E1559" s="1" t="s">
        <v>4234</v>
      </c>
      <c r="F1559" s="1">
        <v>61373.0</v>
      </c>
      <c r="G1559" s="1">
        <v>2353.0</v>
      </c>
      <c r="H1559" s="1">
        <v>36.0</v>
      </c>
      <c r="I1559" s="1">
        <v>1.72E7</v>
      </c>
      <c r="J1559" s="1" t="s">
        <v>2468</v>
      </c>
    </row>
    <row r="1560">
      <c r="A1560" s="1" t="s">
        <v>4706</v>
      </c>
      <c r="B1560" s="1" t="s">
        <v>4707</v>
      </c>
      <c r="C1560" s="1" t="s">
        <v>4708</v>
      </c>
      <c r="D1560" s="1" t="s">
        <v>4233</v>
      </c>
      <c r="E1560" s="1" t="s">
        <v>4234</v>
      </c>
      <c r="F1560" s="1">
        <v>172801.0</v>
      </c>
      <c r="G1560" s="1">
        <v>6704.0</v>
      </c>
      <c r="H1560" s="1">
        <v>98.0</v>
      </c>
      <c r="I1560" s="1">
        <v>1.72E7</v>
      </c>
      <c r="J1560" s="1" t="s">
        <v>2468</v>
      </c>
    </row>
    <row r="1561">
      <c r="A1561" s="1" t="s">
        <v>4709</v>
      </c>
      <c r="B1561" s="1" t="s">
        <v>4710</v>
      </c>
      <c r="C1561" s="1" t="s">
        <v>4711</v>
      </c>
      <c r="D1561" s="1" t="s">
        <v>4233</v>
      </c>
      <c r="E1561" s="1" t="s">
        <v>4234</v>
      </c>
      <c r="F1561" s="1">
        <v>85876.0</v>
      </c>
      <c r="G1561" s="1">
        <v>2855.0</v>
      </c>
      <c r="H1561" s="1">
        <v>44.0</v>
      </c>
      <c r="I1561" s="1">
        <v>1.72E7</v>
      </c>
      <c r="J1561" s="1" t="s">
        <v>2468</v>
      </c>
    </row>
    <row r="1562">
      <c r="A1562" s="1" t="s">
        <v>4712</v>
      </c>
      <c r="B1562" s="1" t="s">
        <v>4713</v>
      </c>
      <c r="C1562" s="1" t="s">
        <v>4714</v>
      </c>
      <c r="D1562" s="1" t="s">
        <v>4233</v>
      </c>
      <c r="E1562" s="1" t="s">
        <v>4234</v>
      </c>
      <c r="F1562" s="1">
        <v>98683.0</v>
      </c>
      <c r="G1562" s="1">
        <v>2378.0</v>
      </c>
      <c r="H1562" s="1">
        <v>131.0</v>
      </c>
      <c r="I1562" s="1">
        <v>1.72E7</v>
      </c>
      <c r="J1562" s="1" t="s">
        <v>2468</v>
      </c>
    </row>
    <row r="1563">
      <c r="A1563" s="1" t="s">
        <v>4715</v>
      </c>
      <c r="B1563" s="1" t="s">
        <v>4716</v>
      </c>
      <c r="C1563" s="1" t="s">
        <v>4717</v>
      </c>
      <c r="D1563" s="1" t="s">
        <v>4233</v>
      </c>
      <c r="E1563" s="1" t="s">
        <v>4234</v>
      </c>
      <c r="F1563" s="1">
        <v>183742.0</v>
      </c>
      <c r="G1563" s="1">
        <v>2313.0</v>
      </c>
      <c r="H1563" s="1">
        <v>68.0</v>
      </c>
      <c r="I1563" s="1">
        <v>1.72E7</v>
      </c>
      <c r="J1563" s="1" t="s">
        <v>2468</v>
      </c>
    </row>
    <row r="1564">
      <c r="A1564" s="1" t="s">
        <v>4718</v>
      </c>
      <c r="B1564" s="1" t="s">
        <v>4719</v>
      </c>
      <c r="C1564" s="1" t="s">
        <v>4720</v>
      </c>
      <c r="D1564" s="1" t="s">
        <v>4233</v>
      </c>
      <c r="E1564" s="1" t="s">
        <v>4234</v>
      </c>
      <c r="F1564" s="1">
        <v>108208.0</v>
      </c>
      <c r="G1564" s="1">
        <v>3848.0</v>
      </c>
      <c r="H1564" s="1">
        <v>84.0</v>
      </c>
      <c r="I1564" s="1">
        <v>1.72E7</v>
      </c>
      <c r="J1564" s="1" t="s">
        <v>2468</v>
      </c>
    </row>
    <row r="1565">
      <c r="A1565" s="1" t="s">
        <v>4721</v>
      </c>
      <c r="B1565" s="1" t="s">
        <v>4722</v>
      </c>
      <c r="C1565" s="1" t="s">
        <v>4723</v>
      </c>
      <c r="D1565" s="1" t="s">
        <v>4233</v>
      </c>
      <c r="E1565" s="1" t="s">
        <v>4234</v>
      </c>
      <c r="F1565" s="1">
        <v>94448.0</v>
      </c>
      <c r="G1565" s="1">
        <v>2465.0</v>
      </c>
      <c r="H1565" s="1">
        <v>51.0</v>
      </c>
      <c r="I1565" s="1">
        <v>1.72E7</v>
      </c>
      <c r="J1565" s="1" t="s">
        <v>2468</v>
      </c>
    </row>
    <row r="1566">
      <c r="A1566" s="1" t="s">
        <v>4724</v>
      </c>
      <c r="B1566" s="1" t="s">
        <v>4725</v>
      </c>
      <c r="C1566" s="1" t="s">
        <v>4726</v>
      </c>
      <c r="D1566" s="1" t="s">
        <v>4233</v>
      </c>
      <c r="E1566" s="1" t="s">
        <v>4234</v>
      </c>
      <c r="F1566" s="1">
        <v>99118.0</v>
      </c>
      <c r="G1566" s="1">
        <v>3120.0</v>
      </c>
      <c r="H1566" s="1">
        <v>51.0</v>
      </c>
      <c r="I1566" s="1">
        <v>1.72E7</v>
      </c>
      <c r="J1566" s="1" t="s">
        <v>2468</v>
      </c>
    </row>
    <row r="1567">
      <c r="A1567" s="1" t="s">
        <v>4727</v>
      </c>
      <c r="B1567" s="1" t="s">
        <v>4728</v>
      </c>
      <c r="C1567" s="1" t="s">
        <v>4729</v>
      </c>
      <c r="D1567" s="1" t="s">
        <v>4233</v>
      </c>
      <c r="E1567" s="1" t="s">
        <v>4234</v>
      </c>
      <c r="F1567" s="1">
        <v>84960.0</v>
      </c>
      <c r="G1567" s="1">
        <v>2175.0</v>
      </c>
      <c r="H1567" s="1">
        <v>120.0</v>
      </c>
      <c r="I1567" s="1">
        <v>1.72E7</v>
      </c>
      <c r="J1567" s="1" t="s">
        <v>2468</v>
      </c>
    </row>
    <row r="1568">
      <c r="A1568" s="1" t="s">
        <v>4730</v>
      </c>
      <c r="B1568" s="1" t="s">
        <v>4731</v>
      </c>
      <c r="C1568" s="1" t="s">
        <v>4732</v>
      </c>
      <c r="D1568" s="1" t="s">
        <v>4233</v>
      </c>
      <c r="E1568" s="1" t="s">
        <v>4234</v>
      </c>
      <c r="F1568" s="1">
        <v>51488.0</v>
      </c>
      <c r="G1568" s="1">
        <v>1752.0</v>
      </c>
      <c r="H1568" s="1">
        <v>19.0</v>
      </c>
      <c r="I1568" s="1">
        <v>1.72E7</v>
      </c>
      <c r="J1568" s="1" t="s">
        <v>2468</v>
      </c>
    </row>
    <row r="1569">
      <c r="A1569" s="1" t="s">
        <v>4733</v>
      </c>
      <c r="B1569" s="1" t="s">
        <v>4734</v>
      </c>
      <c r="C1569" s="1" t="s">
        <v>4735</v>
      </c>
      <c r="D1569" s="1" t="s">
        <v>4233</v>
      </c>
      <c r="E1569" s="1" t="s">
        <v>4234</v>
      </c>
      <c r="F1569" s="1">
        <v>133974.0</v>
      </c>
      <c r="G1569" s="1">
        <v>3954.0</v>
      </c>
      <c r="H1569" s="1">
        <v>44.0</v>
      </c>
      <c r="I1569" s="1">
        <v>1.72E7</v>
      </c>
      <c r="J1569" s="1" t="s">
        <v>2468</v>
      </c>
    </row>
    <row r="1570">
      <c r="A1570" s="1" t="s">
        <v>4736</v>
      </c>
      <c r="B1570" s="1" t="s">
        <v>4737</v>
      </c>
      <c r="C1570" s="1" t="s">
        <v>4738</v>
      </c>
      <c r="D1570" s="1" t="s">
        <v>4233</v>
      </c>
      <c r="E1570" s="1" t="s">
        <v>4234</v>
      </c>
      <c r="F1570" s="1">
        <v>159988.0</v>
      </c>
      <c r="G1570" s="1">
        <v>5943.0</v>
      </c>
      <c r="H1570" s="1">
        <v>123.0</v>
      </c>
      <c r="I1570" s="1">
        <v>1.72E7</v>
      </c>
      <c r="J1570" s="1" t="s">
        <v>2468</v>
      </c>
    </row>
    <row r="1571">
      <c r="A1571" s="1" t="s">
        <v>4739</v>
      </c>
      <c r="B1571" s="1" t="s">
        <v>4740</v>
      </c>
      <c r="C1571" s="1" t="s">
        <v>4741</v>
      </c>
      <c r="D1571" s="1" t="s">
        <v>4233</v>
      </c>
      <c r="E1571" s="1" t="s">
        <v>4234</v>
      </c>
      <c r="F1571" s="1">
        <v>94938.0</v>
      </c>
      <c r="G1571" s="1">
        <v>2421.0</v>
      </c>
      <c r="H1571" s="1">
        <v>135.0</v>
      </c>
      <c r="I1571" s="1">
        <v>1.72E7</v>
      </c>
      <c r="J1571" s="1" t="s">
        <v>2468</v>
      </c>
    </row>
    <row r="1572">
      <c r="A1572" s="1" t="s">
        <v>4742</v>
      </c>
      <c r="B1572" s="1" t="s">
        <v>4743</v>
      </c>
      <c r="C1572" s="1" t="s">
        <v>4744</v>
      </c>
      <c r="D1572" s="1" t="s">
        <v>4233</v>
      </c>
      <c r="E1572" s="1" t="s">
        <v>4234</v>
      </c>
      <c r="F1572" s="1">
        <v>43246.0</v>
      </c>
      <c r="G1572" s="1">
        <v>1294.0</v>
      </c>
      <c r="H1572" s="1">
        <v>26.0</v>
      </c>
      <c r="I1572" s="1">
        <v>1.72E7</v>
      </c>
      <c r="J1572" s="1" t="s">
        <v>2468</v>
      </c>
    </row>
    <row r="1573">
      <c r="A1573" s="1" t="s">
        <v>4745</v>
      </c>
      <c r="B1573" s="1" t="s">
        <v>4746</v>
      </c>
      <c r="C1573" s="1" t="s">
        <v>4747</v>
      </c>
      <c r="D1573" s="1" t="s">
        <v>4233</v>
      </c>
      <c r="E1573" s="1" t="s">
        <v>4234</v>
      </c>
      <c r="F1573" s="1">
        <v>52680.0</v>
      </c>
      <c r="G1573" s="1">
        <v>1561.0</v>
      </c>
      <c r="H1573" s="1">
        <v>39.0</v>
      </c>
      <c r="I1573" s="1">
        <v>1.72E7</v>
      </c>
      <c r="J1573" s="1" t="s">
        <v>2468</v>
      </c>
    </row>
    <row r="1574">
      <c r="A1574" s="1" t="s">
        <v>4748</v>
      </c>
      <c r="B1574" s="1" t="s">
        <v>4749</v>
      </c>
      <c r="C1574" s="1" t="s">
        <v>4750</v>
      </c>
      <c r="D1574" s="1" t="s">
        <v>4233</v>
      </c>
      <c r="E1574" s="1" t="s">
        <v>4234</v>
      </c>
      <c r="F1574" s="1">
        <v>183914.0</v>
      </c>
      <c r="G1574" s="1">
        <v>5447.0</v>
      </c>
      <c r="H1574" s="1">
        <v>75.0</v>
      </c>
      <c r="I1574" s="1">
        <v>1.72E7</v>
      </c>
      <c r="J1574" s="1" t="s">
        <v>2468</v>
      </c>
    </row>
    <row r="1575">
      <c r="A1575" s="1" t="s">
        <v>4751</v>
      </c>
      <c r="B1575" s="1" t="s">
        <v>4752</v>
      </c>
      <c r="C1575" s="1" t="s">
        <v>4753</v>
      </c>
      <c r="D1575" s="1" t="s">
        <v>4233</v>
      </c>
      <c r="E1575" s="1" t="s">
        <v>4234</v>
      </c>
      <c r="F1575" s="1">
        <v>136420.0</v>
      </c>
      <c r="G1575" s="1">
        <v>3823.0</v>
      </c>
      <c r="H1575" s="1">
        <v>190.0</v>
      </c>
      <c r="I1575" s="1">
        <v>1.72E7</v>
      </c>
      <c r="J1575" s="1" t="s">
        <v>2468</v>
      </c>
    </row>
    <row r="1576">
      <c r="A1576" s="1" t="s">
        <v>4754</v>
      </c>
      <c r="B1576" s="1" t="s">
        <v>4755</v>
      </c>
      <c r="C1576" s="1" t="s">
        <v>4756</v>
      </c>
      <c r="D1576" s="1" t="s">
        <v>4233</v>
      </c>
      <c r="E1576" s="1" t="s">
        <v>4234</v>
      </c>
      <c r="F1576" s="1">
        <v>114639.0</v>
      </c>
      <c r="G1576" s="1">
        <v>2910.0</v>
      </c>
      <c r="H1576" s="1">
        <v>32.0</v>
      </c>
      <c r="I1576" s="1">
        <v>1.72E7</v>
      </c>
      <c r="J1576" s="1" t="s">
        <v>2468</v>
      </c>
    </row>
    <row r="1577">
      <c r="A1577" s="1" t="s">
        <v>4757</v>
      </c>
      <c r="B1577" s="1" t="s">
        <v>4758</v>
      </c>
      <c r="C1577" s="1" t="s">
        <v>4759</v>
      </c>
      <c r="D1577" s="1" t="s">
        <v>4233</v>
      </c>
      <c r="E1577" s="1" t="s">
        <v>4234</v>
      </c>
      <c r="F1577" s="1">
        <v>142983.0</v>
      </c>
      <c r="G1577" s="1">
        <v>4600.0</v>
      </c>
      <c r="H1577" s="1">
        <v>98.0</v>
      </c>
      <c r="I1577" s="1">
        <v>1.72E7</v>
      </c>
      <c r="J1577" s="1" t="s">
        <v>2468</v>
      </c>
    </row>
    <row r="1578">
      <c r="A1578" s="1" t="s">
        <v>4760</v>
      </c>
      <c r="B1578" s="1" t="s">
        <v>4761</v>
      </c>
      <c r="C1578" s="1" t="s">
        <v>4762</v>
      </c>
      <c r="D1578" s="1" t="s">
        <v>4233</v>
      </c>
      <c r="E1578" s="1" t="s">
        <v>4234</v>
      </c>
      <c r="F1578" s="1">
        <v>81873.0</v>
      </c>
      <c r="G1578" s="1">
        <v>1853.0</v>
      </c>
      <c r="H1578" s="1">
        <v>35.0</v>
      </c>
      <c r="I1578" s="1">
        <v>1.72E7</v>
      </c>
      <c r="J1578" s="1" t="s">
        <v>2468</v>
      </c>
    </row>
    <row r="1579">
      <c r="A1579" s="1" t="s">
        <v>4763</v>
      </c>
      <c r="B1579" s="1" t="s">
        <v>4764</v>
      </c>
      <c r="C1579" s="1" t="s">
        <v>4765</v>
      </c>
      <c r="D1579" s="1" t="s">
        <v>4233</v>
      </c>
      <c r="E1579" s="1" t="s">
        <v>4234</v>
      </c>
      <c r="F1579" s="1">
        <v>265194.0</v>
      </c>
      <c r="G1579" s="1">
        <v>8611.0</v>
      </c>
      <c r="H1579" s="1">
        <v>467.0</v>
      </c>
      <c r="I1579" s="1">
        <v>1.72E7</v>
      </c>
      <c r="J1579" s="1" t="s">
        <v>2468</v>
      </c>
    </row>
    <row r="1580">
      <c r="A1580" s="1" t="s">
        <v>4766</v>
      </c>
      <c r="B1580" s="1" t="s">
        <v>4767</v>
      </c>
      <c r="C1580" s="1" t="s">
        <v>4768</v>
      </c>
      <c r="D1580" s="1" t="s">
        <v>4233</v>
      </c>
      <c r="E1580" s="1" t="s">
        <v>4234</v>
      </c>
      <c r="F1580" s="1">
        <v>69945.0</v>
      </c>
      <c r="G1580" s="1">
        <v>2328.0</v>
      </c>
      <c r="H1580" s="1">
        <v>40.0</v>
      </c>
      <c r="I1580" s="1">
        <v>1.72E7</v>
      </c>
      <c r="J1580" s="1" t="s">
        <v>2468</v>
      </c>
    </row>
    <row r="1581">
      <c r="A1581" s="1" t="s">
        <v>4769</v>
      </c>
      <c r="B1581" s="1" t="s">
        <v>4770</v>
      </c>
      <c r="C1581" s="1" t="s">
        <v>4771</v>
      </c>
      <c r="D1581" s="1" t="s">
        <v>4233</v>
      </c>
      <c r="E1581" s="1" t="s">
        <v>4234</v>
      </c>
      <c r="F1581" s="1">
        <v>192782.0</v>
      </c>
      <c r="G1581" s="1">
        <v>6685.0</v>
      </c>
      <c r="H1581" s="1">
        <v>110.0</v>
      </c>
      <c r="I1581" s="1">
        <v>1.72E7</v>
      </c>
      <c r="J1581" s="1" t="s">
        <v>2468</v>
      </c>
    </row>
    <row r="1582">
      <c r="A1582" s="1" t="s">
        <v>4772</v>
      </c>
      <c r="B1582" s="1" t="s">
        <v>4773</v>
      </c>
      <c r="C1582" s="1" t="s">
        <v>4774</v>
      </c>
      <c r="D1582" s="1" t="s">
        <v>4233</v>
      </c>
      <c r="E1582" s="1" t="s">
        <v>4234</v>
      </c>
      <c r="F1582" s="1">
        <v>119739.0</v>
      </c>
      <c r="G1582" s="1">
        <v>3837.0</v>
      </c>
      <c r="H1582" s="1">
        <v>137.0</v>
      </c>
      <c r="I1582" s="1">
        <v>1.72E7</v>
      </c>
      <c r="J1582" s="1" t="s">
        <v>2468</v>
      </c>
    </row>
    <row r="1583">
      <c r="A1583" s="1" t="s">
        <v>4775</v>
      </c>
      <c r="B1583" s="1" t="s">
        <v>4776</v>
      </c>
      <c r="C1583" s="1" t="s">
        <v>4777</v>
      </c>
      <c r="D1583" s="1" t="s">
        <v>4233</v>
      </c>
      <c r="E1583" s="1" t="s">
        <v>4234</v>
      </c>
      <c r="F1583" s="1">
        <v>176225.0</v>
      </c>
      <c r="G1583" s="1">
        <v>3850.0</v>
      </c>
      <c r="H1583" s="1">
        <v>61.0</v>
      </c>
      <c r="I1583" s="1">
        <v>1.72E7</v>
      </c>
      <c r="J1583" s="1" t="s">
        <v>2468</v>
      </c>
    </row>
    <row r="1584">
      <c r="A1584" s="1" t="s">
        <v>4778</v>
      </c>
      <c r="B1584" s="1" t="s">
        <v>4779</v>
      </c>
      <c r="C1584" s="1" t="s">
        <v>4780</v>
      </c>
      <c r="D1584" s="1" t="s">
        <v>4233</v>
      </c>
      <c r="E1584" s="1" t="s">
        <v>4234</v>
      </c>
      <c r="F1584" s="1">
        <v>335211.0</v>
      </c>
      <c r="G1584" s="1">
        <v>11382.0</v>
      </c>
      <c r="H1584" s="1">
        <v>212.0</v>
      </c>
      <c r="I1584" s="1">
        <v>1.72E7</v>
      </c>
      <c r="J1584" s="1" t="s">
        <v>2468</v>
      </c>
    </row>
    <row r="1585">
      <c r="A1585" s="1" t="s">
        <v>4781</v>
      </c>
      <c r="B1585" s="1" t="s">
        <v>4782</v>
      </c>
      <c r="C1585" s="1" t="s">
        <v>4783</v>
      </c>
      <c r="D1585" s="1" t="s">
        <v>4233</v>
      </c>
      <c r="E1585" s="1" t="s">
        <v>4234</v>
      </c>
      <c r="F1585" s="1">
        <v>105324.0</v>
      </c>
      <c r="G1585" s="1">
        <v>2626.0</v>
      </c>
      <c r="H1585" s="1">
        <v>51.0</v>
      </c>
      <c r="I1585" s="1">
        <v>1.72E7</v>
      </c>
      <c r="J1585" s="1" t="s">
        <v>2468</v>
      </c>
    </row>
    <row r="1586">
      <c r="A1586" s="1" t="s">
        <v>4784</v>
      </c>
      <c r="B1586" s="1" t="s">
        <v>4785</v>
      </c>
      <c r="C1586" s="1" t="s">
        <v>4786</v>
      </c>
      <c r="D1586" s="1" t="s">
        <v>4233</v>
      </c>
      <c r="E1586" s="1" t="s">
        <v>4234</v>
      </c>
      <c r="F1586" s="1">
        <v>217577.0</v>
      </c>
      <c r="G1586" s="1">
        <v>6791.0</v>
      </c>
      <c r="H1586" s="1">
        <v>249.0</v>
      </c>
      <c r="I1586" s="1">
        <v>1.72E7</v>
      </c>
      <c r="J1586" s="1" t="s">
        <v>2468</v>
      </c>
    </row>
    <row r="1587">
      <c r="A1587" s="1" t="s">
        <v>4787</v>
      </c>
      <c r="B1587" s="1" t="s">
        <v>4788</v>
      </c>
      <c r="C1587" s="1" t="s">
        <v>4789</v>
      </c>
      <c r="D1587" s="1" t="s">
        <v>4233</v>
      </c>
      <c r="E1587" s="1" t="s">
        <v>4234</v>
      </c>
      <c r="F1587" s="1">
        <v>199833.0</v>
      </c>
      <c r="G1587" s="1">
        <v>3343.0</v>
      </c>
      <c r="H1587" s="1">
        <v>43.0</v>
      </c>
      <c r="I1587" s="1">
        <v>1.72E7</v>
      </c>
      <c r="J1587" s="1" t="s">
        <v>2468</v>
      </c>
    </row>
    <row r="1588">
      <c r="A1588" s="1" t="s">
        <v>4790</v>
      </c>
      <c r="B1588" s="1" t="s">
        <v>4791</v>
      </c>
      <c r="C1588" s="1" t="s">
        <v>4792</v>
      </c>
      <c r="D1588" s="1" t="s">
        <v>4233</v>
      </c>
      <c r="E1588" s="1" t="s">
        <v>4234</v>
      </c>
      <c r="F1588" s="1">
        <v>187676.0</v>
      </c>
      <c r="G1588" s="1">
        <v>3839.0</v>
      </c>
      <c r="H1588" s="1">
        <v>33.0</v>
      </c>
      <c r="I1588" s="1">
        <v>1.72E7</v>
      </c>
      <c r="J1588" s="1" t="s">
        <v>2468</v>
      </c>
    </row>
    <row r="1589">
      <c r="A1589" s="1" t="s">
        <v>4793</v>
      </c>
      <c r="B1589" s="1" t="s">
        <v>4794</v>
      </c>
      <c r="C1589" s="1" t="s">
        <v>4795</v>
      </c>
      <c r="D1589" s="1" t="s">
        <v>4233</v>
      </c>
      <c r="E1589" s="1" t="s">
        <v>4234</v>
      </c>
      <c r="F1589" s="1">
        <v>3469780.0</v>
      </c>
      <c r="G1589" s="1">
        <v>130830.0</v>
      </c>
      <c r="H1589" s="1">
        <v>2536.0</v>
      </c>
      <c r="I1589" s="1">
        <v>1.72E7</v>
      </c>
      <c r="J1589" s="1" t="s">
        <v>2468</v>
      </c>
    </row>
    <row r="1590">
      <c r="A1590" s="1" t="s">
        <v>4796</v>
      </c>
      <c r="B1590" s="1" t="s">
        <v>4797</v>
      </c>
      <c r="C1590" s="1" t="s">
        <v>4798</v>
      </c>
      <c r="D1590" s="1" t="s">
        <v>4233</v>
      </c>
      <c r="E1590" s="1" t="s">
        <v>4234</v>
      </c>
      <c r="F1590" s="1">
        <v>350367.0</v>
      </c>
      <c r="G1590" s="1">
        <v>6137.0</v>
      </c>
      <c r="H1590" s="1">
        <v>40.0</v>
      </c>
      <c r="I1590" s="1">
        <v>1.72E7</v>
      </c>
      <c r="J1590" s="1" t="s">
        <v>2468</v>
      </c>
    </row>
    <row r="1591">
      <c r="A1591" s="1" t="s">
        <v>4799</v>
      </c>
      <c r="B1591" s="1" t="s">
        <v>4800</v>
      </c>
      <c r="C1591" s="1" t="s">
        <v>4801</v>
      </c>
      <c r="D1591" s="1" t="s">
        <v>4233</v>
      </c>
      <c r="E1591" s="1" t="s">
        <v>4234</v>
      </c>
      <c r="F1591" s="1">
        <v>257836.0</v>
      </c>
      <c r="G1591" s="1">
        <v>3613.0</v>
      </c>
      <c r="H1591" s="1">
        <v>47.0</v>
      </c>
      <c r="I1591" s="1">
        <v>1.72E7</v>
      </c>
      <c r="J1591" s="1" t="s">
        <v>2468</v>
      </c>
    </row>
    <row r="1592">
      <c r="A1592" s="1" t="s">
        <v>4802</v>
      </c>
      <c r="B1592" s="1" t="s">
        <v>4803</v>
      </c>
      <c r="C1592" s="1" t="s">
        <v>4804</v>
      </c>
      <c r="D1592" s="1" t="s">
        <v>4233</v>
      </c>
      <c r="E1592" s="1" t="s">
        <v>4234</v>
      </c>
      <c r="F1592" s="1">
        <v>335507.0</v>
      </c>
      <c r="G1592" s="1">
        <v>4357.0</v>
      </c>
      <c r="H1592" s="1">
        <v>48.0</v>
      </c>
      <c r="I1592" s="1">
        <v>1.72E7</v>
      </c>
      <c r="J1592" s="1" t="s">
        <v>2468</v>
      </c>
    </row>
    <row r="1593">
      <c r="A1593" s="1" t="s">
        <v>4805</v>
      </c>
      <c r="B1593" s="1" t="s">
        <v>4806</v>
      </c>
      <c r="C1593" s="1" t="s">
        <v>4807</v>
      </c>
      <c r="D1593" s="1" t="s">
        <v>4233</v>
      </c>
      <c r="E1593" s="1" t="s">
        <v>4234</v>
      </c>
      <c r="F1593" s="1">
        <v>150849.0</v>
      </c>
      <c r="G1593" s="1">
        <v>2773.0</v>
      </c>
      <c r="H1593" s="1">
        <v>43.0</v>
      </c>
      <c r="I1593" s="1">
        <v>1.72E7</v>
      </c>
      <c r="J1593" s="1" t="s">
        <v>2468</v>
      </c>
    </row>
    <row r="1594">
      <c r="A1594" s="1" t="s">
        <v>4808</v>
      </c>
      <c r="B1594" s="1" t="s">
        <v>4809</v>
      </c>
      <c r="C1594" s="1" t="s">
        <v>4810</v>
      </c>
      <c r="D1594" s="1" t="s">
        <v>4233</v>
      </c>
      <c r="E1594" s="1" t="s">
        <v>4234</v>
      </c>
      <c r="F1594" s="1">
        <v>219835.0</v>
      </c>
      <c r="G1594" s="1">
        <v>3385.0</v>
      </c>
      <c r="H1594" s="1">
        <v>35.0</v>
      </c>
      <c r="I1594" s="1">
        <v>1.72E7</v>
      </c>
      <c r="J1594" s="1" t="s">
        <v>2468</v>
      </c>
    </row>
    <row r="1595">
      <c r="A1595" s="1" t="s">
        <v>4811</v>
      </c>
      <c r="B1595" s="1" t="s">
        <v>4812</v>
      </c>
      <c r="C1595" s="1" t="s">
        <v>4813</v>
      </c>
      <c r="D1595" s="1" t="s">
        <v>4233</v>
      </c>
      <c r="E1595" s="1" t="s">
        <v>4234</v>
      </c>
      <c r="F1595" s="1">
        <v>26383.0</v>
      </c>
      <c r="G1595" s="1">
        <v>946.0</v>
      </c>
      <c r="H1595" s="1">
        <v>31.0</v>
      </c>
      <c r="I1595" s="1">
        <v>1.72E7</v>
      </c>
      <c r="J1595" s="1" t="s">
        <v>2468</v>
      </c>
    </row>
    <row r="1596">
      <c r="A1596" s="1" t="s">
        <v>4814</v>
      </c>
      <c r="B1596" s="1" t="s">
        <v>4815</v>
      </c>
      <c r="C1596" s="1" t="s">
        <v>4816</v>
      </c>
      <c r="D1596" s="1" t="s">
        <v>4233</v>
      </c>
      <c r="E1596" s="1" t="s">
        <v>4234</v>
      </c>
      <c r="F1596" s="1">
        <v>408680.0</v>
      </c>
      <c r="G1596" s="1">
        <v>6093.0</v>
      </c>
      <c r="H1596" s="1">
        <v>41.0</v>
      </c>
      <c r="I1596" s="1">
        <v>1.72E7</v>
      </c>
      <c r="J1596" s="1" t="s">
        <v>2468</v>
      </c>
    </row>
    <row r="1597">
      <c r="A1597" s="1" t="s">
        <v>4817</v>
      </c>
      <c r="B1597" s="1" t="s">
        <v>4818</v>
      </c>
      <c r="C1597" s="1" t="s">
        <v>4819</v>
      </c>
      <c r="D1597" s="1" t="s">
        <v>4233</v>
      </c>
      <c r="E1597" s="1" t="s">
        <v>4234</v>
      </c>
      <c r="F1597" s="1">
        <v>698336.0</v>
      </c>
      <c r="G1597" s="1">
        <v>9229.0</v>
      </c>
      <c r="H1597" s="1">
        <v>52.0</v>
      </c>
      <c r="I1597" s="1">
        <v>1.72E7</v>
      </c>
      <c r="J1597" s="1" t="s">
        <v>2468</v>
      </c>
    </row>
    <row r="1598">
      <c r="A1598" s="1" t="s">
        <v>4820</v>
      </c>
      <c r="B1598" s="1" t="s">
        <v>4821</v>
      </c>
      <c r="C1598" s="1" t="s">
        <v>4822</v>
      </c>
      <c r="D1598" s="1" t="s">
        <v>4233</v>
      </c>
      <c r="E1598" s="1" t="s">
        <v>4234</v>
      </c>
      <c r="F1598" s="1">
        <v>274737.0</v>
      </c>
      <c r="G1598" s="1">
        <v>3457.0</v>
      </c>
      <c r="H1598" s="1">
        <v>44.0</v>
      </c>
      <c r="I1598" s="1">
        <v>1.72E7</v>
      </c>
      <c r="J1598" s="1" t="s">
        <v>2468</v>
      </c>
    </row>
    <row r="1599">
      <c r="A1599" s="1" t="s">
        <v>4823</v>
      </c>
      <c r="B1599" s="1" t="s">
        <v>4824</v>
      </c>
      <c r="C1599" s="1" t="s">
        <v>4825</v>
      </c>
      <c r="D1599" s="1" t="s">
        <v>4233</v>
      </c>
      <c r="E1599" s="1" t="s">
        <v>4234</v>
      </c>
      <c r="F1599" s="1">
        <v>471056.0</v>
      </c>
      <c r="G1599" s="1">
        <v>7422.0</v>
      </c>
      <c r="H1599" s="1">
        <v>61.0</v>
      </c>
      <c r="I1599" s="1">
        <v>1.72E7</v>
      </c>
      <c r="J1599" s="1" t="s">
        <v>2468</v>
      </c>
    </row>
    <row r="1600">
      <c r="A1600" s="1" t="s">
        <v>4826</v>
      </c>
      <c r="B1600" s="1" t="s">
        <v>4827</v>
      </c>
      <c r="C1600" s="1" t="s">
        <v>4828</v>
      </c>
      <c r="D1600" s="1" t="s">
        <v>4233</v>
      </c>
      <c r="E1600" s="1" t="s">
        <v>4234</v>
      </c>
      <c r="F1600" s="1">
        <v>169169.0</v>
      </c>
      <c r="G1600" s="1">
        <v>2907.0</v>
      </c>
      <c r="H1600" s="1">
        <v>41.0</v>
      </c>
      <c r="I1600" s="1">
        <v>1.72E7</v>
      </c>
      <c r="J1600" s="1" t="s">
        <v>2468</v>
      </c>
    </row>
    <row r="1601">
      <c r="A1601" s="1" t="s">
        <v>4829</v>
      </c>
      <c r="B1601" s="1" t="s">
        <v>4830</v>
      </c>
      <c r="C1601" s="1" t="s">
        <v>4831</v>
      </c>
      <c r="D1601" s="1" t="s">
        <v>4233</v>
      </c>
      <c r="E1601" s="1" t="s">
        <v>4234</v>
      </c>
      <c r="F1601" s="1">
        <v>188119.0</v>
      </c>
      <c r="G1601" s="1">
        <v>3723.0</v>
      </c>
      <c r="H1601" s="1">
        <v>62.0</v>
      </c>
      <c r="I1601" s="1">
        <v>1.72E7</v>
      </c>
      <c r="J1601" s="1" t="s">
        <v>2468</v>
      </c>
    </row>
    <row r="1602">
      <c r="A1602" s="1" t="s">
        <v>4832</v>
      </c>
      <c r="B1602" s="1" t="s">
        <v>4833</v>
      </c>
      <c r="C1602" s="1" t="s">
        <v>4834</v>
      </c>
      <c r="D1602" s="1" t="s">
        <v>4835</v>
      </c>
      <c r="E1602" s="1" t="s">
        <v>4836</v>
      </c>
      <c r="F1602" s="1">
        <v>895887.0</v>
      </c>
      <c r="G1602" s="1">
        <v>30825.0</v>
      </c>
      <c r="H1602" s="1">
        <v>865.0</v>
      </c>
      <c r="I1602" s="1">
        <v>2.11E7</v>
      </c>
      <c r="J1602" s="1" t="s">
        <v>2468</v>
      </c>
    </row>
    <row r="1603">
      <c r="A1603" s="1" t="s">
        <v>4837</v>
      </c>
      <c r="B1603" s="1" t="s">
        <v>4838</v>
      </c>
      <c r="C1603" s="1" t="s">
        <v>4839</v>
      </c>
      <c r="D1603" s="1" t="s">
        <v>4835</v>
      </c>
      <c r="E1603" s="1" t="s">
        <v>4836</v>
      </c>
      <c r="F1603" s="1">
        <v>747203.0</v>
      </c>
      <c r="G1603" s="1">
        <v>24711.0</v>
      </c>
      <c r="H1603" s="1">
        <v>532.0</v>
      </c>
      <c r="I1603" s="1">
        <v>2.11E7</v>
      </c>
      <c r="J1603" s="1" t="s">
        <v>2468</v>
      </c>
    </row>
    <row r="1604">
      <c r="A1604" s="1" t="s">
        <v>4840</v>
      </c>
      <c r="B1604" s="1" t="s">
        <v>4841</v>
      </c>
      <c r="C1604" s="1" t="s">
        <v>4842</v>
      </c>
      <c r="D1604" s="1" t="s">
        <v>4835</v>
      </c>
      <c r="E1604" s="1" t="s">
        <v>4836</v>
      </c>
      <c r="F1604" s="1">
        <v>1770050.0</v>
      </c>
      <c r="G1604" s="1">
        <v>59058.0</v>
      </c>
      <c r="H1604" s="1">
        <v>2858.0</v>
      </c>
      <c r="I1604" s="1">
        <v>2.11E7</v>
      </c>
      <c r="J1604" s="1" t="s">
        <v>2468</v>
      </c>
    </row>
    <row r="1605">
      <c r="A1605" s="1" t="s">
        <v>4843</v>
      </c>
      <c r="B1605" s="1" t="s">
        <v>4844</v>
      </c>
      <c r="C1605" s="1" t="s">
        <v>4845</v>
      </c>
      <c r="D1605" s="1" t="s">
        <v>4835</v>
      </c>
      <c r="E1605" s="1" t="s">
        <v>4836</v>
      </c>
      <c r="F1605" s="1">
        <v>2243606.0</v>
      </c>
      <c r="G1605" s="1">
        <v>72472.0</v>
      </c>
      <c r="H1605" s="1">
        <v>1203.0</v>
      </c>
      <c r="I1605" s="1">
        <v>2.11E7</v>
      </c>
      <c r="J1605" s="1" t="s">
        <v>2468</v>
      </c>
    </row>
    <row r="1606">
      <c r="A1606" s="1" t="s">
        <v>4846</v>
      </c>
      <c r="B1606" s="1" t="s">
        <v>4847</v>
      </c>
      <c r="C1606" s="1" t="s">
        <v>4848</v>
      </c>
      <c r="D1606" s="1" t="s">
        <v>4835</v>
      </c>
      <c r="E1606" s="1" t="s">
        <v>4836</v>
      </c>
      <c r="F1606" s="1">
        <v>6948373.0</v>
      </c>
      <c r="G1606" s="1">
        <v>131923.0</v>
      </c>
      <c r="H1606" s="1">
        <v>5591.0</v>
      </c>
      <c r="I1606" s="1">
        <v>2.11E7</v>
      </c>
      <c r="J1606" s="1" t="s">
        <v>2468</v>
      </c>
    </row>
    <row r="1607">
      <c r="A1607" s="1" t="s">
        <v>4849</v>
      </c>
      <c r="B1607" s="1" t="s">
        <v>4850</v>
      </c>
      <c r="C1607" s="1" t="s">
        <v>4851</v>
      </c>
      <c r="D1607" s="1" t="s">
        <v>4835</v>
      </c>
      <c r="E1607" s="1" t="s">
        <v>4836</v>
      </c>
      <c r="F1607" s="1">
        <v>2413224.0</v>
      </c>
      <c r="G1607" s="1">
        <v>57248.0</v>
      </c>
      <c r="H1607" s="1">
        <v>1018.0</v>
      </c>
      <c r="I1607" s="1">
        <v>2.11E7</v>
      </c>
      <c r="J1607" s="1" t="s">
        <v>2468</v>
      </c>
    </row>
    <row r="1608">
      <c r="A1608" s="1" t="s">
        <v>4852</v>
      </c>
      <c r="B1608" s="1" t="s">
        <v>4853</v>
      </c>
      <c r="C1608" s="1" t="s">
        <v>4854</v>
      </c>
      <c r="D1608" s="1" t="s">
        <v>4835</v>
      </c>
      <c r="E1608" s="1" t="s">
        <v>4836</v>
      </c>
      <c r="F1608" s="1">
        <v>5528751.0</v>
      </c>
      <c r="G1608" s="1">
        <v>145276.0</v>
      </c>
      <c r="H1608" s="1">
        <v>10465.0</v>
      </c>
      <c r="I1608" s="1">
        <v>2.11E7</v>
      </c>
      <c r="J1608" s="1" t="s">
        <v>2468</v>
      </c>
    </row>
    <row r="1609">
      <c r="A1609" s="1" t="s">
        <v>4855</v>
      </c>
      <c r="B1609" s="1" t="s">
        <v>4856</v>
      </c>
      <c r="C1609" s="1" t="s">
        <v>4857</v>
      </c>
      <c r="D1609" s="1" t="s">
        <v>4835</v>
      </c>
      <c r="E1609" s="1" t="s">
        <v>4836</v>
      </c>
      <c r="F1609" s="1">
        <v>1349693.0</v>
      </c>
      <c r="G1609" s="1">
        <v>49226.0</v>
      </c>
      <c r="H1609" s="1">
        <v>2135.0</v>
      </c>
      <c r="I1609" s="1">
        <v>2.11E7</v>
      </c>
      <c r="J1609" s="1" t="s">
        <v>2468</v>
      </c>
    </row>
    <row r="1610">
      <c r="A1610" s="1" t="s">
        <v>4858</v>
      </c>
      <c r="B1610" s="1" t="s">
        <v>4859</v>
      </c>
      <c r="C1610" s="1" t="s">
        <v>4860</v>
      </c>
      <c r="D1610" s="1" t="s">
        <v>4835</v>
      </c>
      <c r="E1610" s="1" t="s">
        <v>4836</v>
      </c>
      <c r="F1610" s="1">
        <v>4817065.0</v>
      </c>
      <c r="G1610" s="1">
        <v>162775.0</v>
      </c>
      <c r="H1610" s="1">
        <v>962.0</v>
      </c>
      <c r="I1610" s="1">
        <v>2.11E7</v>
      </c>
      <c r="J1610" s="1" t="s">
        <v>2468</v>
      </c>
    </row>
    <row r="1611">
      <c r="A1611" s="1" t="s">
        <v>4861</v>
      </c>
      <c r="B1611" s="1" t="s">
        <v>4862</v>
      </c>
      <c r="C1611" s="1" t="s">
        <v>4863</v>
      </c>
      <c r="D1611" s="1" t="s">
        <v>4835</v>
      </c>
      <c r="E1611" s="1" t="s">
        <v>4836</v>
      </c>
      <c r="F1611" s="1">
        <v>5096408.0</v>
      </c>
      <c r="G1611" s="1">
        <v>139031.0</v>
      </c>
      <c r="H1611" s="1">
        <v>7111.0</v>
      </c>
      <c r="I1611" s="1">
        <v>2.11E7</v>
      </c>
      <c r="J1611" s="1" t="s">
        <v>2468</v>
      </c>
    </row>
    <row r="1612">
      <c r="A1612" s="1" t="s">
        <v>4864</v>
      </c>
      <c r="B1612" s="1" t="s">
        <v>4865</v>
      </c>
      <c r="C1612" s="1" t="s">
        <v>4866</v>
      </c>
      <c r="D1612" s="1" t="s">
        <v>4835</v>
      </c>
      <c r="E1612" s="1" t="s">
        <v>4836</v>
      </c>
      <c r="F1612" s="1">
        <v>1.0240816E7</v>
      </c>
      <c r="G1612" s="1">
        <v>207172.0</v>
      </c>
      <c r="H1612" s="1">
        <v>7553.0</v>
      </c>
      <c r="I1612" s="1">
        <v>2.11E7</v>
      </c>
      <c r="J1612" s="1" t="s">
        <v>2468</v>
      </c>
    </row>
    <row r="1613">
      <c r="A1613" s="1" t="s">
        <v>4867</v>
      </c>
      <c r="B1613" s="1" t="s">
        <v>4868</v>
      </c>
      <c r="C1613" s="1" t="s">
        <v>4869</v>
      </c>
      <c r="D1613" s="1" t="s">
        <v>4835</v>
      </c>
      <c r="E1613" s="1" t="s">
        <v>4836</v>
      </c>
      <c r="F1613" s="1">
        <v>3825334.0</v>
      </c>
      <c r="G1613" s="1">
        <v>131349.0</v>
      </c>
      <c r="H1613" s="1">
        <v>2476.0</v>
      </c>
      <c r="I1613" s="1">
        <v>2.11E7</v>
      </c>
      <c r="J1613" s="1" t="s">
        <v>2468</v>
      </c>
    </row>
    <row r="1614">
      <c r="A1614" s="1" t="s">
        <v>4870</v>
      </c>
      <c r="B1614" s="1" t="s">
        <v>4871</v>
      </c>
      <c r="C1614" s="1" t="s">
        <v>4872</v>
      </c>
      <c r="D1614" s="1" t="s">
        <v>4835</v>
      </c>
      <c r="E1614" s="1" t="s">
        <v>4836</v>
      </c>
      <c r="F1614" s="1">
        <v>2107665.0</v>
      </c>
      <c r="G1614" s="1">
        <v>15343.0</v>
      </c>
      <c r="H1614" s="1">
        <v>453.0</v>
      </c>
      <c r="I1614" s="1">
        <v>2.11E7</v>
      </c>
      <c r="J1614" s="1" t="s">
        <v>2468</v>
      </c>
    </row>
    <row r="1615">
      <c r="A1615" s="1" t="s">
        <v>4873</v>
      </c>
      <c r="B1615" s="1" t="s">
        <v>4874</v>
      </c>
      <c r="C1615" s="1" t="s">
        <v>4875</v>
      </c>
      <c r="D1615" s="1" t="s">
        <v>4835</v>
      </c>
      <c r="E1615" s="1" t="s">
        <v>4836</v>
      </c>
      <c r="F1615" s="1">
        <v>3780979.0</v>
      </c>
      <c r="G1615" s="1">
        <v>79822.0</v>
      </c>
      <c r="H1615" s="1">
        <v>1708.0</v>
      </c>
      <c r="I1615" s="1">
        <v>2.11E7</v>
      </c>
      <c r="J1615" s="1" t="s">
        <v>2468</v>
      </c>
    </row>
    <row r="1616">
      <c r="A1616" s="1" t="s">
        <v>4876</v>
      </c>
      <c r="B1616" s="1" t="s">
        <v>4877</v>
      </c>
      <c r="C1616" s="1" t="s">
        <v>4878</v>
      </c>
      <c r="D1616" s="1" t="s">
        <v>4835</v>
      </c>
      <c r="E1616" s="1" t="s">
        <v>4836</v>
      </c>
      <c r="F1616" s="1">
        <v>974236.0</v>
      </c>
      <c r="G1616" s="1">
        <v>28198.0</v>
      </c>
      <c r="H1616" s="1">
        <v>415.0</v>
      </c>
      <c r="I1616" s="1">
        <v>2.11E7</v>
      </c>
      <c r="J1616" s="1" t="s">
        <v>2468</v>
      </c>
    </row>
    <row r="1617">
      <c r="A1617" s="1" t="s">
        <v>4879</v>
      </c>
      <c r="B1617" s="1" t="s">
        <v>4880</v>
      </c>
      <c r="C1617" s="1" t="s">
        <v>4881</v>
      </c>
      <c r="D1617" s="1" t="s">
        <v>4835</v>
      </c>
      <c r="E1617" s="1" t="s">
        <v>4836</v>
      </c>
      <c r="F1617" s="1">
        <v>2484595.0</v>
      </c>
      <c r="G1617" s="1">
        <v>76626.0</v>
      </c>
      <c r="H1617" s="1">
        <v>4238.0</v>
      </c>
      <c r="I1617" s="1">
        <v>2.11E7</v>
      </c>
      <c r="J1617" s="1" t="s">
        <v>2468</v>
      </c>
    </row>
    <row r="1618">
      <c r="A1618" s="1" t="s">
        <v>4882</v>
      </c>
      <c r="B1618" s="1" t="s">
        <v>4883</v>
      </c>
      <c r="C1618" s="1" t="s">
        <v>4884</v>
      </c>
      <c r="D1618" s="1" t="s">
        <v>4835</v>
      </c>
      <c r="E1618" s="1" t="s">
        <v>4836</v>
      </c>
      <c r="F1618" s="1">
        <v>8472324.0</v>
      </c>
      <c r="G1618" s="1">
        <v>364659.0</v>
      </c>
      <c r="H1618" s="1">
        <v>3432.0</v>
      </c>
      <c r="I1618" s="1">
        <v>2.11E7</v>
      </c>
      <c r="J1618" s="1" t="s">
        <v>2468</v>
      </c>
    </row>
    <row r="1619">
      <c r="A1619" s="1" t="s">
        <v>4885</v>
      </c>
      <c r="B1619" s="1" t="s">
        <v>4886</v>
      </c>
      <c r="C1619" s="1" t="s">
        <v>4887</v>
      </c>
      <c r="D1619" s="1" t="s">
        <v>4835</v>
      </c>
      <c r="E1619" s="1" t="s">
        <v>4836</v>
      </c>
      <c r="F1619" s="1">
        <v>5956777.0</v>
      </c>
      <c r="G1619" s="1">
        <v>108412.0</v>
      </c>
      <c r="H1619" s="1">
        <v>5500.0</v>
      </c>
      <c r="I1619" s="1">
        <v>2.11E7</v>
      </c>
      <c r="J1619" s="1" t="s">
        <v>2468</v>
      </c>
    </row>
    <row r="1620">
      <c r="A1620" s="1" t="s">
        <v>4888</v>
      </c>
      <c r="B1620" s="1" t="s">
        <v>4889</v>
      </c>
      <c r="C1620" s="1" t="s">
        <v>4890</v>
      </c>
      <c r="D1620" s="1" t="s">
        <v>4835</v>
      </c>
      <c r="E1620" s="1" t="s">
        <v>4836</v>
      </c>
      <c r="F1620" s="1">
        <v>4451562.0</v>
      </c>
      <c r="G1620" s="1">
        <v>142002.0</v>
      </c>
      <c r="H1620" s="1">
        <v>992.0</v>
      </c>
      <c r="I1620" s="1">
        <v>2.11E7</v>
      </c>
      <c r="J1620" s="1" t="s">
        <v>2468</v>
      </c>
    </row>
    <row r="1621">
      <c r="A1621" s="1" t="s">
        <v>4891</v>
      </c>
      <c r="B1621" s="1" t="s">
        <v>4892</v>
      </c>
      <c r="C1621" s="1" t="s">
        <v>4893</v>
      </c>
      <c r="D1621" s="1" t="s">
        <v>4835</v>
      </c>
      <c r="E1621" s="1" t="s">
        <v>4836</v>
      </c>
      <c r="F1621" s="1">
        <v>3169152.0</v>
      </c>
      <c r="G1621" s="1">
        <v>107421.0</v>
      </c>
      <c r="H1621" s="1">
        <v>1544.0</v>
      </c>
      <c r="I1621" s="1">
        <v>2.11E7</v>
      </c>
      <c r="J1621" s="1" t="s">
        <v>2468</v>
      </c>
    </row>
    <row r="1622">
      <c r="A1622" s="1" t="s">
        <v>4894</v>
      </c>
      <c r="B1622" s="1" t="s">
        <v>4895</v>
      </c>
      <c r="C1622" s="1" t="s">
        <v>4896</v>
      </c>
      <c r="D1622" s="1" t="s">
        <v>4835</v>
      </c>
      <c r="E1622" s="1" t="s">
        <v>4836</v>
      </c>
      <c r="F1622" s="1">
        <v>1310331.0</v>
      </c>
      <c r="G1622" s="1">
        <v>5059.0</v>
      </c>
      <c r="H1622" s="1">
        <v>212.0</v>
      </c>
      <c r="I1622" s="1">
        <v>2.11E7</v>
      </c>
      <c r="J1622" s="1" t="s">
        <v>2468</v>
      </c>
    </row>
    <row r="1623">
      <c r="A1623" s="1" t="s">
        <v>4897</v>
      </c>
      <c r="B1623" s="1" t="s">
        <v>4898</v>
      </c>
      <c r="C1623" s="1" t="s">
        <v>4899</v>
      </c>
      <c r="D1623" s="1" t="s">
        <v>4835</v>
      </c>
      <c r="E1623" s="1" t="s">
        <v>4836</v>
      </c>
      <c r="F1623" s="1">
        <v>1.0243077E7</v>
      </c>
      <c r="G1623" s="1">
        <v>280089.0</v>
      </c>
      <c r="H1623" s="1">
        <v>19135.0</v>
      </c>
      <c r="I1623" s="1">
        <v>2.11E7</v>
      </c>
      <c r="J1623" s="1" t="s">
        <v>2468</v>
      </c>
    </row>
    <row r="1624">
      <c r="A1624" s="1" t="s">
        <v>4900</v>
      </c>
      <c r="B1624" s="1" t="s">
        <v>4901</v>
      </c>
      <c r="C1624" s="1" t="s">
        <v>4902</v>
      </c>
      <c r="D1624" s="1" t="s">
        <v>4835</v>
      </c>
      <c r="E1624" s="1" t="s">
        <v>4836</v>
      </c>
      <c r="F1624" s="1">
        <v>8023299.0</v>
      </c>
      <c r="G1624" s="1">
        <v>164753.0</v>
      </c>
      <c r="H1624" s="1">
        <v>5238.0</v>
      </c>
      <c r="I1624" s="1">
        <v>2.11E7</v>
      </c>
      <c r="J1624" s="1" t="s">
        <v>2468</v>
      </c>
    </row>
    <row r="1625">
      <c r="A1625" s="1" t="s">
        <v>4903</v>
      </c>
      <c r="B1625" s="1" t="s">
        <v>4904</v>
      </c>
      <c r="C1625" s="1" t="s">
        <v>4905</v>
      </c>
      <c r="D1625" s="1" t="s">
        <v>4835</v>
      </c>
      <c r="E1625" s="1" t="s">
        <v>4836</v>
      </c>
      <c r="F1625" s="1">
        <v>668969.0</v>
      </c>
      <c r="G1625" s="1">
        <v>16356.0</v>
      </c>
      <c r="H1625" s="1">
        <v>1037.0</v>
      </c>
      <c r="I1625" s="1">
        <v>2.11E7</v>
      </c>
      <c r="J1625" s="1" t="s">
        <v>2468</v>
      </c>
    </row>
    <row r="1626">
      <c r="A1626" s="1" t="s">
        <v>4906</v>
      </c>
      <c r="B1626" s="1" t="s">
        <v>4907</v>
      </c>
      <c r="C1626" s="1" t="s">
        <v>4908</v>
      </c>
      <c r="D1626" s="1" t="s">
        <v>4835</v>
      </c>
      <c r="E1626" s="1" t="s">
        <v>4836</v>
      </c>
      <c r="F1626" s="1">
        <v>1357018.0</v>
      </c>
      <c r="G1626" s="1">
        <v>45223.0</v>
      </c>
      <c r="H1626" s="1">
        <v>1045.0</v>
      </c>
      <c r="I1626" s="1">
        <v>2.11E7</v>
      </c>
      <c r="J1626" s="1" t="s">
        <v>2468</v>
      </c>
    </row>
    <row r="1627">
      <c r="A1627" s="1" t="s">
        <v>4909</v>
      </c>
      <c r="B1627" s="1" t="s">
        <v>4910</v>
      </c>
      <c r="C1627" s="1" t="s">
        <v>4911</v>
      </c>
      <c r="D1627" s="1" t="s">
        <v>4835</v>
      </c>
      <c r="E1627" s="1" t="s">
        <v>4836</v>
      </c>
      <c r="F1627" s="1">
        <v>382396.0</v>
      </c>
      <c r="G1627" s="1">
        <v>9361.0</v>
      </c>
      <c r="H1627" s="1">
        <v>1468.0</v>
      </c>
      <c r="I1627" s="1">
        <v>2.11E7</v>
      </c>
      <c r="J1627" s="1" t="s">
        <v>2468</v>
      </c>
    </row>
    <row r="1628">
      <c r="A1628" s="1" t="s">
        <v>4912</v>
      </c>
      <c r="B1628" s="1" t="s">
        <v>4913</v>
      </c>
      <c r="C1628" s="1" t="s">
        <v>4914</v>
      </c>
      <c r="D1628" s="1" t="s">
        <v>4835</v>
      </c>
      <c r="E1628" s="1" t="s">
        <v>4836</v>
      </c>
      <c r="F1628" s="1">
        <v>4365527.0</v>
      </c>
      <c r="G1628" s="1">
        <v>133023.0</v>
      </c>
      <c r="H1628" s="1">
        <v>1978.0</v>
      </c>
      <c r="I1628" s="1">
        <v>2.11E7</v>
      </c>
      <c r="J1628" s="1" t="s">
        <v>2468</v>
      </c>
    </row>
    <row r="1629">
      <c r="A1629" s="1" t="s">
        <v>4915</v>
      </c>
      <c r="B1629" s="1" t="s">
        <v>4916</v>
      </c>
      <c r="C1629" s="1" t="s">
        <v>4917</v>
      </c>
      <c r="D1629" s="1" t="s">
        <v>4835</v>
      </c>
      <c r="E1629" s="1" t="s">
        <v>4836</v>
      </c>
      <c r="F1629" s="1">
        <v>1076219.0</v>
      </c>
      <c r="G1629" s="1">
        <v>25163.0</v>
      </c>
      <c r="H1629" s="1">
        <v>315.0</v>
      </c>
      <c r="I1629" s="1">
        <v>2.11E7</v>
      </c>
      <c r="J1629" s="1" t="s">
        <v>2468</v>
      </c>
    </row>
    <row r="1630">
      <c r="A1630" s="1" t="s">
        <v>4918</v>
      </c>
      <c r="B1630" s="1" t="s">
        <v>4919</v>
      </c>
      <c r="C1630" s="1" t="s">
        <v>4920</v>
      </c>
      <c r="D1630" s="1" t="s">
        <v>4835</v>
      </c>
      <c r="E1630" s="1" t="s">
        <v>4836</v>
      </c>
      <c r="F1630" s="1">
        <v>2851556.0</v>
      </c>
      <c r="G1630" s="1">
        <v>80229.0</v>
      </c>
      <c r="H1630" s="1">
        <v>5900.0</v>
      </c>
      <c r="I1630" s="1">
        <v>2.11E7</v>
      </c>
      <c r="J1630" s="1" t="s">
        <v>2468</v>
      </c>
    </row>
    <row r="1631">
      <c r="A1631" s="1" t="s">
        <v>4921</v>
      </c>
      <c r="B1631" s="1" t="s">
        <v>4922</v>
      </c>
      <c r="C1631" s="1" t="s">
        <v>4923</v>
      </c>
      <c r="D1631" s="1" t="s">
        <v>4835</v>
      </c>
      <c r="E1631" s="1" t="s">
        <v>4836</v>
      </c>
      <c r="F1631" s="1">
        <v>1.0059942E7</v>
      </c>
      <c r="G1631" s="1">
        <v>245274.0</v>
      </c>
      <c r="H1631" s="1">
        <v>13955.0</v>
      </c>
      <c r="I1631" s="1">
        <v>2.11E7</v>
      </c>
      <c r="J1631" s="1" t="s">
        <v>2468</v>
      </c>
    </row>
    <row r="1632">
      <c r="A1632" s="1" t="s">
        <v>4924</v>
      </c>
      <c r="B1632" s="1" t="s">
        <v>4925</v>
      </c>
      <c r="C1632" s="1" t="s">
        <v>4926</v>
      </c>
      <c r="D1632" s="1" t="s">
        <v>4835</v>
      </c>
      <c r="E1632" s="1" t="s">
        <v>4836</v>
      </c>
      <c r="F1632" s="1">
        <v>1167449.0</v>
      </c>
      <c r="G1632" s="1">
        <v>22243.0</v>
      </c>
      <c r="H1632" s="1">
        <v>556.0</v>
      </c>
      <c r="I1632" s="1">
        <v>2.11E7</v>
      </c>
      <c r="J1632" s="1" t="s">
        <v>2468</v>
      </c>
    </row>
    <row r="1633">
      <c r="A1633" s="1" t="s">
        <v>4927</v>
      </c>
      <c r="B1633" s="1" t="s">
        <v>4928</v>
      </c>
      <c r="C1633" s="1" t="s">
        <v>4929</v>
      </c>
      <c r="D1633" s="1" t="s">
        <v>4835</v>
      </c>
      <c r="E1633" s="1" t="s">
        <v>4836</v>
      </c>
      <c r="F1633" s="1">
        <v>5960906.0</v>
      </c>
      <c r="G1633" s="1">
        <v>180053.0</v>
      </c>
      <c r="H1633" s="1">
        <v>2055.0</v>
      </c>
      <c r="I1633" s="1">
        <v>2.11E7</v>
      </c>
      <c r="J1633" s="1" t="s">
        <v>2468</v>
      </c>
    </row>
    <row r="1634">
      <c r="A1634" s="1" t="s">
        <v>4930</v>
      </c>
      <c r="B1634" s="1" t="s">
        <v>4931</v>
      </c>
      <c r="C1634" s="1" t="s">
        <v>4932</v>
      </c>
      <c r="D1634" s="1" t="s">
        <v>4835</v>
      </c>
      <c r="E1634" s="1" t="s">
        <v>4836</v>
      </c>
      <c r="F1634" s="1">
        <v>8856358.0</v>
      </c>
      <c r="G1634" s="1">
        <v>366061.0</v>
      </c>
      <c r="H1634" s="1">
        <v>7954.0</v>
      </c>
      <c r="I1634" s="1">
        <v>2.11E7</v>
      </c>
      <c r="J1634" s="1" t="s">
        <v>2468</v>
      </c>
    </row>
    <row r="1635">
      <c r="A1635" s="1" t="s">
        <v>4933</v>
      </c>
      <c r="B1635" s="1" t="s">
        <v>4934</v>
      </c>
      <c r="C1635" s="1" t="s">
        <v>4935</v>
      </c>
      <c r="D1635" s="1" t="s">
        <v>4835</v>
      </c>
      <c r="E1635" s="1" t="s">
        <v>4836</v>
      </c>
      <c r="F1635" s="1">
        <v>8213819.0</v>
      </c>
      <c r="G1635" s="1">
        <v>234251.0</v>
      </c>
      <c r="H1635" s="1">
        <v>18262.0</v>
      </c>
      <c r="I1635" s="1">
        <v>2.11E7</v>
      </c>
      <c r="J1635" s="1" t="s">
        <v>2468</v>
      </c>
    </row>
    <row r="1636">
      <c r="A1636" s="1" t="s">
        <v>4936</v>
      </c>
      <c r="B1636" s="1" t="s">
        <v>4937</v>
      </c>
      <c r="C1636" s="1" t="s">
        <v>4938</v>
      </c>
      <c r="D1636" s="1" t="s">
        <v>4835</v>
      </c>
      <c r="E1636" s="1" t="s">
        <v>4836</v>
      </c>
      <c r="F1636" s="1">
        <v>1.0854211E7</v>
      </c>
      <c r="G1636" s="1">
        <v>256890.0</v>
      </c>
      <c r="H1636" s="1">
        <v>4987.0</v>
      </c>
      <c r="I1636" s="1">
        <v>2.11E7</v>
      </c>
      <c r="J1636" s="1" t="s">
        <v>2468</v>
      </c>
    </row>
    <row r="1637">
      <c r="A1637" s="1" t="s">
        <v>4939</v>
      </c>
      <c r="B1637" s="1" t="s">
        <v>4940</v>
      </c>
      <c r="C1637" s="1" t="s">
        <v>4941</v>
      </c>
      <c r="D1637" s="1" t="s">
        <v>4835</v>
      </c>
      <c r="E1637" s="1" t="s">
        <v>4836</v>
      </c>
      <c r="F1637" s="1">
        <v>1.0884465E7</v>
      </c>
      <c r="G1637" s="1">
        <v>193681.0</v>
      </c>
      <c r="H1637" s="1">
        <v>13424.0</v>
      </c>
      <c r="I1637" s="1">
        <v>2.11E7</v>
      </c>
      <c r="J1637" s="1" t="s">
        <v>2468</v>
      </c>
    </row>
    <row r="1638">
      <c r="A1638" s="1" t="s">
        <v>4942</v>
      </c>
      <c r="B1638" s="1" t="s">
        <v>4943</v>
      </c>
      <c r="C1638" s="1" t="s">
        <v>4944</v>
      </c>
      <c r="D1638" s="1" t="s">
        <v>4835</v>
      </c>
      <c r="E1638" s="1" t="s">
        <v>4836</v>
      </c>
      <c r="F1638" s="1">
        <v>3641993.0</v>
      </c>
      <c r="G1638" s="1">
        <v>90775.0</v>
      </c>
      <c r="H1638" s="1">
        <v>1319.0</v>
      </c>
      <c r="I1638" s="1">
        <v>2.11E7</v>
      </c>
      <c r="J1638" s="1" t="s">
        <v>2468</v>
      </c>
    </row>
    <row r="1639">
      <c r="A1639" s="1" t="s">
        <v>4945</v>
      </c>
      <c r="B1639" s="1" t="s">
        <v>4946</v>
      </c>
      <c r="C1639" s="1" t="s">
        <v>4947</v>
      </c>
      <c r="D1639" s="1" t="s">
        <v>4835</v>
      </c>
      <c r="E1639" s="1" t="s">
        <v>4836</v>
      </c>
      <c r="F1639" s="1">
        <v>5896411.0</v>
      </c>
      <c r="G1639" s="1">
        <v>179302.0</v>
      </c>
      <c r="H1639" s="1">
        <v>9002.0</v>
      </c>
      <c r="I1639" s="1">
        <v>2.11E7</v>
      </c>
      <c r="J1639" s="1" t="s">
        <v>2468</v>
      </c>
    </row>
    <row r="1640">
      <c r="A1640" s="1" t="s">
        <v>4948</v>
      </c>
      <c r="B1640" s="1" t="s">
        <v>4949</v>
      </c>
      <c r="C1640" s="1" t="s">
        <v>4950</v>
      </c>
      <c r="D1640" s="1" t="s">
        <v>4835</v>
      </c>
      <c r="E1640" s="1" t="s">
        <v>4836</v>
      </c>
      <c r="F1640" s="1">
        <v>5822546.0</v>
      </c>
      <c r="G1640" s="1">
        <v>165467.0</v>
      </c>
      <c r="H1640" s="1">
        <v>2084.0</v>
      </c>
      <c r="I1640" s="1">
        <v>2.11E7</v>
      </c>
      <c r="J1640" s="1" t="s">
        <v>2468</v>
      </c>
    </row>
    <row r="1641">
      <c r="A1641" s="1" t="s">
        <v>4951</v>
      </c>
      <c r="B1641" s="1" t="s">
        <v>4952</v>
      </c>
      <c r="C1641" s="1" t="s">
        <v>4953</v>
      </c>
      <c r="D1641" s="1" t="s">
        <v>4835</v>
      </c>
      <c r="E1641" s="1" t="s">
        <v>4836</v>
      </c>
      <c r="F1641" s="1">
        <v>9288943.0</v>
      </c>
      <c r="G1641" s="1">
        <v>242369.0</v>
      </c>
      <c r="H1641" s="1">
        <v>8748.0</v>
      </c>
      <c r="I1641" s="1">
        <v>2.11E7</v>
      </c>
      <c r="J1641" s="1" t="s">
        <v>2468</v>
      </c>
    </row>
    <row r="1642">
      <c r="A1642" s="1" t="s">
        <v>4954</v>
      </c>
      <c r="B1642" s="1" t="s">
        <v>4955</v>
      </c>
      <c r="C1642" s="1" t="s">
        <v>4956</v>
      </c>
      <c r="D1642" s="1" t="s">
        <v>4835</v>
      </c>
      <c r="E1642" s="1" t="s">
        <v>4836</v>
      </c>
      <c r="F1642" s="1">
        <v>4005172.0</v>
      </c>
      <c r="G1642" s="1">
        <v>128296.0</v>
      </c>
      <c r="H1642" s="1">
        <v>1761.0</v>
      </c>
      <c r="I1642" s="1">
        <v>2.11E7</v>
      </c>
      <c r="J1642" s="1" t="s">
        <v>2468</v>
      </c>
    </row>
    <row r="1643">
      <c r="A1643" s="1" t="s">
        <v>4957</v>
      </c>
      <c r="B1643" s="1" t="s">
        <v>4958</v>
      </c>
      <c r="C1643" s="1" t="s">
        <v>4959</v>
      </c>
      <c r="D1643" s="1" t="s">
        <v>4835</v>
      </c>
      <c r="E1643" s="1" t="s">
        <v>4836</v>
      </c>
      <c r="F1643" s="1">
        <v>8570134.0</v>
      </c>
      <c r="G1643" s="1">
        <v>230796.0</v>
      </c>
      <c r="H1643" s="1">
        <v>81263.0</v>
      </c>
      <c r="I1643" s="1">
        <v>2.11E7</v>
      </c>
      <c r="J1643" s="1" t="s">
        <v>2468</v>
      </c>
    </row>
    <row r="1644">
      <c r="A1644" s="1" t="s">
        <v>4960</v>
      </c>
      <c r="B1644" s="1" t="s">
        <v>4961</v>
      </c>
      <c r="C1644" s="1" t="s">
        <v>4962</v>
      </c>
      <c r="D1644" s="1" t="s">
        <v>4835</v>
      </c>
      <c r="E1644" s="1" t="s">
        <v>4836</v>
      </c>
      <c r="F1644" s="1">
        <v>6873756.0</v>
      </c>
      <c r="G1644" s="1">
        <v>242551.0</v>
      </c>
      <c r="H1644" s="1">
        <v>2379.0</v>
      </c>
      <c r="I1644" s="1">
        <v>2.11E7</v>
      </c>
      <c r="J1644" s="1" t="s">
        <v>2468</v>
      </c>
    </row>
    <row r="1645">
      <c r="A1645" s="1" t="s">
        <v>4963</v>
      </c>
      <c r="B1645" s="1" t="s">
        <v>4964</v>
      </c>
      <c r="C1645" s="1" t="s">
        <v>4965</v>
      </c>
      <c r="D1645" s="1" t="s">
        <v>4835</v>
      </c>
      <c r="E1645" s="1" t="s">
        <v>4836</v>
      </c>
      <c r="F1645" s="1">
        <v>1.5285076E7</v>
      </c>
      <c r="G1645" s="1">
        <v>395244.0</v>
      </c>
      <c r="H1645" s="1">
        <v>26038.0</v>
      </c>
      <c r="I1645" s="1">
        <v>2.11E7</v>
      </c>
      <c r="J1645" s="1" t="s">
        <v>2468</v>
      </c>
    </row>
    <row r="1646">
      <c r="A1646" s="1" t="s">
        <v>4966</v>
      </c>
      <c r="B1646" s="1" t="s">
        <v>4967</v>
      </c>
      <c r="C1646" s="1" t="s">
        <v>4968</v>
      </c>
      <c r="D1646" s="1" t="s">
        <v>4835</v>
      </c>
      <c r="E1646" s="1" t="s">
        <v>4836</v>
      </c>
      <c r="F1646" s="1">
        <v>3480310.0</v>
      </c>
      <c r="G1646" s="1">
        <v>85829.0</v>
      </c>
      <c r="H1646" s="1">
        <v>960.0</v>
      </c>
      <c r="I1646" s="1">
        <v>2.11E7</v>
      </c>
      <c r="J1646" s="1" t="s">
        <v>2468</v>
      </c>
    </row>
    <row r="1647">
      <c r="A1647" s="1" t="s">
        <v>4969</v>
      </c>
      <c r="B1647" s="1" t="s">
        <v>4970</v>
      </c>
      <c r="C1647" s="1" t="s">
        <v>4971</v>
      </c>
      <c r="D1647" s="1" t="s">
        <v>4835</v>
      </c>
      <c r="E1647" s="1" t="s">
        <v>4836</v>
      </c>
      <c r="F1647" s="1">
        <v>1.0286981E7</v>
      </c>
      <c r="G1647" s="1">
        <v>315611.0</v>
      </c>
      <c r="H1647" s="1">
        <v>21390.0</v>
      </c>
      <c r="I1647" s="1">
        <v>2.11E7</v>
      </c>
      <c r="J1647" s="1" t="s">
        <v>2468</v>
      </c>
    </row>
    <row r="1648">
      <c r="A1648" s="1" t="s">
        <v>4972</v>
      </c>
      <c r="B1648" s="1" t="s">
        <v>4973</v>
      </c>
      <c r="C1648" s="1" t="s">
        <v>4974</v>
      </c>
      <c r="D1648" s="1" t="s">
        <v>4835</v>
      </c>
      <c r="E1648" s="1" t="s">
        <v>4836</v>
      </c>
      <c r="F1648" s="1">
        <v>7076612.0</v>
      </c>
      <c r="G1648" s="1">
        <v>231703.0</v>
      </c>
      <c r="H1648" s="1">
        <v>1767.0</v>
      </c>
      <c r="I1648" s="1">
        <v>2.11E7</v>
      </c>
      <c r="J1648" s="1" t="s">
        <v>2468</v>
      </c>
    </row>
    <row r="1649">
      <c r="A1649" s="1" t="s">
        <v>4975</v>
      </c>
      <c r="B1649" s="1" t="s">
        <v>4976</v>
      </c>
      <c r="C1649" s="1" t="s">
        <v>4977</v>
      </c>
      <c r="D1649" s="1" t="s">
        <v>4835</v>
      </c>
      <c r="E1649" s="1" t="s">
        <v>4836</v>
      </c>
      <c r="F1649" s="1">
        <v>4040336.0</v>
      </c>
      <c r="G1649" s="1">
        <v>111589.0</v>
      </c>
      <c r="H1649" s="1">
        <v>3198.0</v>
      </c>
      <c r="I1649" s="1">
        <v>2.11E7</v>
      </c>
      <c r="J1649" s="1" t="s">
        <v>2468</v>
      </c>
    </row>
    <row r="1650">
      <c r="A1650" s="1" t="s">
        <v>4978</v>
      </c>
      <c r="B1650" s="1" t="s">
        <v>4979</v>
      </c>
      <c r="C1650" s="1" t="s">
        <v>4980</v>
      </c>
      <c r="D1650" s="1" t="s">
        <v>4835</v>
      </c>
      <c r="E1650" s="1" t="s">
        <v>4836</v>
      </c>
      <c r="F1650" s="1">
        <v>9228149.0</v>
      </c>
      <c r="G1650" s="1">
        <v>256059.0</v>
      </c>
      <c r="H1650" s="1">
        <v>15495.0</v>
      </c>
      <c r="I1650" s="1">
        <v>2.11E7</v>
      </c>
      <c r="J1650" s="1" t="s">
        <v>2468</v>
      </c>
    </row>
    <row r="1651">
      <c r="A1651" s="1" t="s">
        <v>4981</v>
      </c>
      <c r="B1651" s="1" t="s">
        <v>4982</v>
      </c>
      <c r="C1651" s="1" t="s">
        <v>4983</v>
      </c>
      <c r="D1651" s="1" t="s">
        <v>4835</v>
      </c>
      <c r="E1651" s="1" t="s">
        <v>4836</v>
      </c>
      <c r="F1651" s="1">
        <v>9726921.0</v>
      </c>
      <c r="G1651" s="1">
        <v>192839.0</v>
      </c>
      <c r="H1651" s="1">
        <v>10774.0</v>
      </c>
      <c r="I1651" s="1">
        <v>2.11E7</v>
      </c>
      <c r="J1651" s="1" t="s">
        <v>2468</v>
      </c>
    </row>
    <row r="1652">
      <c r="A1652" s="1" t="s">
        <v>4984</v>
      </c>
      <c r="B1652" s="1" t="s">
        <v>4985</v>
      </c>
      <c r="C1652" s="1" t="s">
        <v>4986</v>
      </c>
      <c r="D1652" s="1" t="s">
        <v>4835</v>
      </c>
      <c r="E1652" s="1" t="s">
        <v>4836</v>
      </c>
      <c r="F1652" s="1">
        <v>4379439.0</v>
      </c>
      <c r="G1652" s="1">
        <v>130680.0</v>
      </c>
      <c r="H1652" s="1">
        <v>1978.0</v>
      </c>
      <c r="I1652" s="1">
        <v>2.11E7</v>
      </c>
      <c r="J1652" s="1" t="s">
        <v>2468</v>
      </c>
    </row>
    <row r="1653">
      <c r="A1653" s="1" t="s">
        <v>4987</v>
      </c>
      <c r="B1653" s="1" t="s">
        <v>4988</v>
      </c>
      <c r="C1653" s="1" t="s">
        <v>4989</v>
      </c>
      <c r="D1653" s="1" t="s">
        <v>4835</v>
      </c>
      <c r="E1653" s="1" t="s">
        <v>4836</v>
      </c>
      <c r="F1653" s="1">
        <v>1.0992361E7</v>
      </c>
      <c r="G1653" s="1">
        <v>197497.0</v>
      </c>
      <c r="H1653" s="1">
        <v>6432.0</v>
      </c>
      <c r="I1653" s="1">
        <v>2.11E7</v>
      </c>
      <c r="J1653" s="1" t="s">
        <v>2468</v>
      </c>
    </row>
    <row r="1654">
      <c r="A1654" s="1" t="s">
        <v>4990</v>
      </c>
      <c r="B1654" s="1" t="s">
        <v>4991</v>
      </c>
      <c r="C1654" s="1" t="s">
        <v>4992</v>
      </c>
      <c r="D1654" s="1" t="s">
        <v>4835</v>
      </c>
      <c r="E1654" s="1" t="s">
        <v>4836</v>
      </c>
      <c r="F1654" s="1">
        <v>4.3752041E7</v>
      </c>
      <c r="G1654" s="1">
        <v>583702.0</v>
      </c>
      <c r="H1654" s="1">
        <v>6804.0</v>
      </c>
      <c r="I1654" s="1">
        <v>2.11E7</v>
      </c>
      <c r="J1654" s="1" t="s">
        <v>2468</v>
      </c>
    </row>
    <row r="1655">
      <c r="A1655" s="1" t="s">
        <v>4993</v>
      </c>
      <c r="B1655" s="1" t="s">
        <v>4994</v>
      </c>
      <c r="C1655" s="1" t="s">
        <v>4995</v>
      </c>
      <c r="D1655" s="1" t="s">
        <v>4835</v>
      </c>
      <c r="E1655" s="1" t="s">
        <v>4836</v>
      </c>
      <c r="F1655" s="1">
        <v>3749051.0</v>
      </c>
      <c r="G1655" s="1">
        <v>110779.0</v>
      </c>
      <c r="H1655" s="1">
        <v>1272.0</v>
      </c>
      <c r="I1655" s="1">
        <v>2.11E7</v>
      </c>
      <c r="J1655" s="1" t="s">
        <v>2468</v>
      </c>
    </row>
    <row r="1656">
      <c r="A1656" s="1" t="s">
        <v>4996</v>
      </c>
      <c r="B1656" s="1" t="s">
        <v>4997</v>
      </c>
      <c r="C1656" s="1" t="s">
        <v>4998</v>
      </c>
      <c r="D1656" s="1" t="s">
        <v>4835</v>
      </c>
      <c r="E1656" s="1" t="s">
        <v>4836</v>
      </c>
      <c r="F1656" s="1">
        <v>3.6514513E7</v>
      </c>
      <c r="G1656" s="1">
        <v>708457.0</v>
      </c>
      <c r="H1656" s="1">
        <v>28882.0</v>
      </c>
      <c r="I1656" s="1">
        <v>2.11E7</v>
      </c>
      <c r="J1656" s="1" t="s">
        <v>2468</v>
      </c>
    </row>
    <row r="1657">
      <c r="A1657" s="1" t="s">
        <v>4999</v>
      </c>
      <c r="B1657" s="1" t="s">
        <v>5000</v>
      </c>
      <c r="C1657" s="1" t="s">
        <v>5001</v>
      </c>
      <c r="D1657" s="1" t="s">
        <v>4835</v>
      </c>
      <c r="E1657" s="1" t="s">
        <v>4836</v>
      </c>
      <c r="F1657" s="1">
        <v>5022422.0</v>
      </c>
      <c r="G1657" s="1">
        <v>433329.0</v>
      </c>
      <c r="H1657" s="1">
        <v>32136.0</v>
      </c>
      <c r="I1657" s="1">
        <v>2.11E7</v>
      </c>
      <c r="J1657" s="1" t="s">
        <v>2468</v>
      </c>
    </row>
    <row r="1658">
      <c r="A1658" s="1" t="s">
        <v>5002</v>
      </c>
      <c r="B1658" s="1" t="s">
        <v>5003</v>
      </c>
      <c r="C1658" s="1" t="s">
        <v>5004</v>
      </c>
      <c r="D1658" s="1" t="s">
        <v>4835</v>
      </c>
      <c r="E1658" s="1" t="s">
        <v>4836</v>
      </c>
      <c r="F1658" s="1">
        <v>1.5735517E7</v>
      </c>
      <c r="G1658" s="1">
        <v>291763.0</v>
      </c>
      <c r="H1658" s="1">
        <v>27405.0</v>
      </c>
      <c r="I1658" s="1">
        <v>2.11E7</v>
      </c>
      <c r="J1658" s="1" t="s">
        <v>2468</v>
      </c>
    </row>
    <row r="1659">
      <c r="A1659" s="1" t="s">
        <v>5005</v>
      </c>
      <c r="B1659" s="1" t="s">
        <v>5006</v>
      </c>
      <c r="C1659" s="1" t="s">
        <v>5007</v>
      </c>
      <c r="D1659" s="1" t="s">
        <v>4835</v>
      </c>
      <c r="E1659" s="1" t="s">
        <v>4836</v>
      </c>
      <c r="F1659" s="1">
        <v>1370372.0</v>
      </c>
      <c r="G1659" s="1">
        <v>46671.0</v>
      </c>
      <c r="H1659" s="1">
        <v>831.0</v>
      </c>
      <c r="I1659" s="1">
        <v>2.11E7</v>
      </c>
      <c r="J1659" s="1" t="s">
        <v>2468</v>
      </c>
    </row>
    <row r="1660">
      <c r="A1660" s="1" t="s">
        <v>5008</v>
      </c>
      <c r="B1660" s="1" t="s">
        <v>5009</v>
      </c>
      <c r="C1660" s="1" t="s">
        <v>5010</v>
      </c>
      <c r="D1660" s="1" t="s">
        <v>4835</v>
      </c>
      <c r="E1660" s="1" t="s">
        <v>4836</v>
      </c>
      <c r="F1660" s="1">
        <v>9454475.0</v>
      </c>
      <c r="G1660" s="1">
        <v>241369.0</v>
      </c>
      <c r="H1660" s="1">
        <v>11920.0</v>
      </c>
      <c r="I1660" s="1">
        <v>2.11E7</v>
      </c>
      <c r="J1660" s="1" t="s">
        <v>2468</v>
      </c>
    </row>
    <row r="1661">
      <c r="A1661" s="1" t="s">
        <v>5011</v>
      </c>
      <c r="B1661" s="1" t="s">
        <v>5012</v>
      </c>
      <c r="C1661" s="1" t="s">
        <v>5013</v>
      </c>
      <c r="D1661" s="1" t="s">
        <v>4835</v>
      </c>
      <c r="E1661" s="1" t="s">
        <v>4836</v>
      </c>
      <c r="F1661" s="1">
        <v>1496963.0</v>
      </c>
      <c r="G1661" s="1">
        <v>52358.0</v>
      </c>
      <c r="H1661" s="1">
        <v>935.0</v>
      </c>
      <c r="I1661" s="1">
        <v>2.11E7</v>
      </c>
      <c r="J1661" s="1" t="s">
        <v>2468</v>
      </c>
    </row>
    <row r="1662">
      <c r="A1662" s="1" t="s">
        <v>5014</v>
      </c>
      <c r="B1662" s="1" t="s">
        <v>5015</v>
      </c>
      <c r="C1662" s="1" t="s">
        <v>5016</v>
      </c>
      <c r="D1662" s="1" t="s">
        <v>4835</v>
      </c>
      <c r="E1662" s="1" t="s">
        <v>4836</v>
      </c>
      <c r="F1662" s="1">
        <v>9963894.0</v>
      </c>
      <c r="G1662" s="1">
        <v>236797.0</v>
      </c>
      <c r="H1662" s="1">
        <v>10214.0</v>
      </c>
      <c r="I1662" s="1">
        <v>2.11E7</v>
      </c>
      <c r="J1662" s="1" t="s">
        <v>2468</v>
      </c>
    </row>
    <row r="1663">
      <c r="A1663" s="1" t="s">
        <v>5017</v>
      </c>
      <c r="B1663" s="1" t="s">
        <v>5018</v>
      </c>
      <c r="C1663" s="1" t="s">
        <v>5019</v>
      </c>
      <c r="D1663" s="1" t="s">
        <v>4835</v>
      </c>
      <c r="E1663" s="1" t="s">
        <v>4836</v>
      </c>
      <c r="F1663" s="1">
        <v>4489317.0</v>
      </c>
      <c r="G1663" s="1">
        <v>91648.0</v>
      </c>
      <c r="H1663" s="1">
        <v>626.0</v>
      </c>
      <c r="I1663" s="1">
        <v>2.11E7</v>
      </c>
      <c r="J1663" s="1" t="s">
        <v>2468</v>
      </c>
    </row>
    <row r="1664">
      <c r="A1664" s="1" t="s">
        <v>5020</v>
      </c>
      <c r="B1664" s="1" t="s">
        <v>5021</v>
      </c>
      <c r="C1664" s="1" t="s">
        <v>5022</v>
      </c>
      <c r="D1664" s="1" t="s">
        <v>4835</v>
      </c>
      <c r="E1664" s="1" t="s">
        <v>4836</v>
      </c>
      <c r="F1664" s="1">
        <v>1.4518604E7</v>
      </c>
      <c r="G1664" s="1">
        <v>272326.0</v>
      </c>
      <c r="H1664" s="1">
        <v>11598.0</v>
      </c>
      <c r="I1664" s="1">
        <v>2.11E7</v>
      </c>
      <c r="J1664" s="1" t="s">
        <v>2468</v>
      </c>
    </row>
    <row r="1665">
      <c r="A1665" s="1" t="s">
        <v>5023</v>
      </c>
      <c r="B1665" s="1" t="s">
        <v>5024</v>
      </c>
      <c r="C1665" s="1" t="s">
        <v>5025</v>
      </c>
      <c r="D1665" s="1" t="s">
        <v>4835</v>
      </c>
      <c r="E1665" s="1" t="s">
        <v>4836</v>
      </c>
      <c r="F1665" s="1">
        <v>6127913.0</v>
      </c>
      <c r="G1665" s="1">
        <v>184950.0</v>
      </c>
      <c r="H1665" s="1">
        <v>11820.0</v>
      </c>
      <c r="I1665" s="1">
        <v>2.11E7</v>
      </c>
      <c r="J1665" s="1" t="s">
        <v>2468</v>
      </c>
    </row>
    <row r="1666">
      <c r="A1666" s="1" t="s">
        <v>5026</v>
      </c>
      <c r="B1666" s="1" t="s">
        <v>5027</v>
      </c>
      <c r="C1666" s="1" t="s">
        <v>5028</v>
      </c>
      <c r="D1666" s="1" t="s">
        <v>4835</v>
      </c>
      <c r="E1666" s="1" t="s">
        <v>4836</v>
      </c>
      <c r="F1666" s="1">
        <v>6730450.0</v>
      </c>
      <c r="G1666" s="1">
        <v>298560.0</v>
      </c>
      <c r="H1666" s="1">
        <v>4023.0</v>
      </c>
      <c r="I1666" s="1">
        <v>2.11E7</v>
      </c>
      <c r="J1666" s="1" t="s">
        <v>2468</v>
      </c>
    </row>
    <row r="1667">
      <c r="A1667" s="1" t="s">
        <v>5029</v>
      </c>
      <c r="B1667" s="1" t="s">
        <v>5030</v>
      </c>
      <c r="C1667" s="1" t="s">
        <v>5031</v>
      </c>
      <c r="D1667" s="1" t="s">
        <v>4835</v>
      </c>
      <c r="E1667" s="1" t="s">
        <v>4836</v>
      </c>
      <c r="F1667" s="1">
        <v>8644873.0</v>
      </c>
      <c r="G1667" s="1">
        <v>259321.0</v>
      </c>
      <c r="H1667" s="1">
        <v>20143.0</v>
      </c>
      <c r="I1667" s="1">
        <v>2.11E7</v>
      </c>
      <c r="J1667" s="1" t="s">
        <v>2468</v>
      </c>
    </row>
    <row r="1668">
      <c r="A1668" s="1" t="s">
        <v>5032</v>
      </c>
      <c r="B1668" s="1" t="s">
        <v>5033</v>
      </c>
      <c r="C1668" s="1" t="s">
        <v>5034</v>
      </c>
      <c r="D1668" s="1" t="s">
        <v>4835</v>
      </c>
      <c r="E1668" s="1" t="s">
        <v>4836</v>
      </c>
      <c r="F1668" s="1">
        <v>2589153.0</v>
      </c>
      <c r="G1668" s="1">
        <v>44986.0</v>
      </c>
      <c r="H1668" s="1">
        <v>852.0</v>
      </c>
      <c r="I1668" s="1">
        <v>2.11E7</v>
      </c>
      <c r="J1668" s="1" t="s">
        <v>2468</v>
      </c>
    </row>
    <row r="1669">
      <c r="A1669" s="1" t="s">
        <v>5035</v>
      </c>
      <c r="B1669" s="1" t="s">
        <v>5036</v>
      </c>
      <c r="C1669" s="1" t="s">
        <v>5037</v>
      </c>
      <c r="D1669" s="1" t="s">
        <v>4835</v>
      </c>
      <c r="E1669" s="1" t="s">
        <v>4836</v>
      </c>
      <c r="F1669" s="1">
        <v>4853597.0</v>
      </c>
      <c r="G1669" s="1">
        <v>155212.0</v>
      </c>
      <c r="H1669" s="1">
        <v>1896.0</v>
      </c>
      <c r="I1669" s="1">
        <v>2.11E7</v>
      </c>
      <c r="J1669" s="1" t="s">
        <v>2468</v>
      </c>
    </row>
    <row r="1670">
      <c r="A1670" s="1" t="s">
        <v>5038</v>
      </c>
      <c r="B1670" s="1" t="s">
        <v>5039</v>
      </c>
      <c r="C1670" s="1" t="s">
        <v>5040</v>
      </c>
      <c r="D1670" s="1" t="s">
        <v>4835</v>
      </c>
      <c r="E1670" s="1" t="s">
        <v>4836</v>
      </c>
      <c r="F1670" s="1">
        <v>9220735.0</v>
      </c>
      <c r="G1670" s="1">
        <v>235819.0</v>
      </c>
      <c r="H1670" s="1">
        <v>2170.0</v>
      </c>
      <c r="I1670" s="1">
        <v>2.11E7</v>
      </c>
      <c r="J1670" s="1" t="s">
        <v>2468</v>
      </c>
    </row>
    <row r="1671">
      <c r="A1671" s="1" t="s">
        <v>5041</v>
      </c>
      <c r="B1671" s="1" t="s">
        <v>5042</v>
      </c>
      <c r="C1671" s="1" t="s">
        <v>5043</v>
      </c>
      <c r="D1671" s="1" t="s">
        <v>4835</v>
      </c>
      <c r="E1671" s="1" t="s">
        <v>4836</v>
      </c>
      <c r="F1671" s="1">
        <v>1.5522978E7</v>
      </c>
      <c r="G1671" s="1">
        <v>410881.0</v>
      </c>
      <c r="H1671" s="1">
        <v>9255.0</v>
      </c>
      <c r="I1671" s="1">
        <v>2.11E7</v>
      </c>
      <c r="J1671" s="1" t="s">
        <v>2468</v>
      </c>
    </row>
    <row r="1672">
      <c r="A1672" s="1" t="s">
        <v>5044</v>
      </c>
      <c r="B1672" s="1" t="s">
        <v>5045</v>
      </c>
      <c r="C1672" s="1" t="s">
        <v>5046</v>
      </c>
      <c r="D1672" s="1" t="s">
        <v>4835</v>
      </c>
      <c r="E1672" s="1" t="s">
        <v>4836</v>
      </c>
      <c r="F1672" s="1">
        <v>1.1027851E7</v>
      </c>
      <c r="G1672" s="1">
        <v>281572.0</v>
      </c>
      <c r="H1672" s="1">
        <v>13678.0</v>
      </c>
      <c r="I1672" s="1">
        <v>2.11E7</v>
      </c>
      <c r="J1672" s="1" t="s">
        <v>2468</v>
      </c>
    </row>
    <row r="1673">
      <c r="A1673" s="1" t="s">
        <v>5047</v>
      </c>
      <c r="B1673" s="1" t="s">
        <v>5048</v>
      </c>
      <c r="C1673" s="1" t="s">
        <v>5049</v>
      </c>
      <c r="D1673" s="1" t="s">
        <v>4835</v>
      </c>
      <c r="E1673" s="1" t="s">
        <v>4836</v>
      </c>
      <c r="F1673" s="1">
        <v>1.0594933E7</v>
      </c>
      <c r="G1673" s="1">
        <v>220049.0</v>
      </c>
      <c r="H1673" s="1">
        <v>11260.0</v>
      </c>
      <c r="I1673" s="1">
        <v>2.11E7</v>
      </c>
      <c r="J1673" s="1" t="s">
        <v>2468</v>
      </c>
    </row>
    <row r="1674">
      <c r="A1674" s="1" t="s">
        <v>5050</v>
      </c>
      <c r="B1674" s="1" t="s">
        <v>5051</v>
      </c>
      <c r="C1674" s="1" t="s">
        <v>5052</v>
      </c>
      <c r="D1674" s="1" t="s">
        <v>4835</v>
      </c>
      <c r="E1674" s="1" t="s">
        <v>4836</v>
      </c>
      <c r="F1674" s="1">
        <v>9704068.0</v>
      </c>
      <c r="G1674" s="1">
        <v>399914.0</v>
      </c>
      <c r="H1674" s="1">
        <v>2571.0</v>
      </c>
      <c r="I1674" s="1">
        <v>2.11E7</v>
      </c>
      <c r="J1674" s="1" t="s">
        <v>2468</v>
      </c>
    </row>
    <row r="1675">
      <c r="A1675" s="1" t="s">
        <v>5053</v>
      </c>
      <c r="B1675" s="1" t="s">
        <v>5054</v>
      </c>
      <c r="C1675" s="1" t="s">
        <v>5055</v>
      </c>
      <c r="D1675" s="1" t="s">
        <v>4835</v>
      </c>
      <c r="E1675" s="1" t="s">
        <v>4836</v>
      </c>
      <c r="F1675" s="1">
        <v>2008427.0</v>
      </c>
      <c r="G1675" s="1">
        <v>27103.0</v>
      </c>
      <c r="H1675" s="1">
        <v>696.0</v>
      </c>
      <c r="I1675" s="1">
        <v>2.11E7</v>
      </c>
      <c r="J1675" s="1" t="s">
        <v>2468</v>
      </c>
    </row>
    <row r="1676">
      <c r="A1676" s="1" t="s">
        <v>5056</v>
      </c>
      <c r="B1676" s="1" t="s">
        <v>5057</v>
      </c>
      <c r="C1676" s="1" t="s">
        <v>5058</v>
      </c>
      <c r="D1676" s="1" t="s">
        <v>4835</v>
      </c>
      <c r="E1676" s="1" t="s">
        <v>4836</v>
      </c>
      <c r="F1676" s="1">
        <v>1.6554276E7</v>
      </c>
      <c r="G1676" s="1">
        <v>363923.0</v>
      </c>
      <c r="H1676" s="1">
        <v>16449.0</v>
      </c>
      <c r="I1676" s="1">
        <v>2.11E7</v>
      </c>
      <c r="J1676" s="1" t="s">
        <v>2468</v>
      </c>
    </row>
    <row r="1677">
      <c r="A1677" s="1" t="s">
        <v>5059</v>
      </c>
      <c r="B1677" s="1" t="s">
        <v>5060</v>
      </c>
      <c r="C1677" s="1" t="s">
        <v>5061</v>
      </c>
      <c r="D1677" s="1" t="s">
        <v>4835</v>
      </c>
      <c r="E1677" s="1" t="s">
        <v>4836</v>
      </c>
      <c r="F1677" s="1">
        <v>2.1782154E7</v>
      </c>
      <c r="G1677" s="1">
        <v>520605.0</v>
      </c>
      <c r="H1677" s="1">
        <v>40938.0</v>
      </c>
      <c r="I1677" s="1">
        <v>2.11E7</v>
      </c>
      <c r="J1677" s="1" t="s">
        <v>2468</v>
      </c>
    </row>
    <row r="1678">
      <c r="A1678" s="1" t="s">
        <v>5062</v>
      </c>
      <c r="B1678" s="1" t="s">
        <v>5063</v>
      </c>
      <c r="C1678" s="1" t="s">
        <v>5064</v>
      </c>
      <c r="D1678" s="1" t="s">
        <v>4835</v>
      </c>
      <c r="E1678" s="1" t="s">
        <v>4836</v>
      </c>
      <c r="F1678" s="1">
        <v>4917931.0</v>
      </c>
      <c r="G1678" s="1">
        <v>311338.0</v>
      </c>
      <c r="H1678" s="1">
        <v>3718.0</v>
      </c>
      <c r="I1678" s="1">
        <v>2.11E7</v>
      </c>
      <c r="J1678" s="1" t="s">
        <v>2468</v>
      </c>
    </row>
    <row r="1679">
      <c r="A1679" s="1" t="s">
        <v>5065</v>
      </c>
      <c r="B1679" s="1" t="s">
        <v>5066</v>
      </c>
      <c r="C1679" s="1" t="s">
        <v>5067</v>
      </c>
      <c r="D1679" s="1" t="s">
        <v>4835</v>
      </c>
      <c r="E1679" s="1" t="s">
        <v>4836</v>
      </c>
      <c r="F1679" s="1">
        <v>9808977.0</v>
      </c>
      <c r="G1679" s="1">
        <v>211087.0</v>
      </c>
      <c r="H1679" s="1">
        <v>12615.0</v>
      </c>
      <c r="I1679" s="1">
        <v>2.11E7</v>
      </c>
      <c r="J1679" s="1" t="s">
        <v>2468</v>
      </c>
    </row>
    <row r="1680">
      <c r="A1680" s="1" t="s">
        <v>5068</v>
      </c>
      <c r="B1680" s="1" t="s">
        <v>5069</v>
      </c>
      <c r="C1680" s="1" t="s">
        <v>5070</v>
      </c>
      <c r="D1680" s="1" t="s">
        <v>4835</v>
      </c>
      <c r="E1680" s="1" t="s">
        <v>4836</v>
      </c>
      <c r="F1680" s="1">
        <v>6.4544303E7</v>
      </c>
      <c r="G1680" s="1">
        <v>2139096.0</v>
      </c>
      <c r="H1680" s="1">
        <v>22612.0</v>
      </c>
      <c r="I1680" s="1">
        <v>2.11E7</v>
      </c>
      <c r="J1680" s="1" t="s">
        <v>2468</v>
      </c>
    </row>
    <row r="1681">
      <c r="A1681" s="1" t="s">
        <v>5071</v>
      </c>
      <c r="B1681" s="1" t="s">
        <v>5072</v>
      </c>
      <c r="C1681" s="1" t="s">
        <v>5073</v>
      </c>
      <c r="D1681" s="1" t="s">
        <v>4835</v>
      </c>
      <c r="E1681" s="1" t="s">
        <v>4836</v>
      </c>
      <c r="F1681" s="1">
        <v>2.2436187E7</v>
      </c>
      <c r="G1681" s="1">
        <v>613499.0</v>
      </c>
      <c r="H1681" s="1">
        <v>13625.0</v>
      </c>
      <c r="I1681" s="1">
        <v>2.11E7</v>
      </c>
      <c r="J1681" s="1" t="s">
        <v>2468</v>
      </c>
    </row>
    <row r="1682">
      <c r="A1682" s="1" t="s">
        <v>5074</v>
      </c>
      <c r="B1682" s="1" t="s">
        <v>5075</v>
      </c>
      <c r="C1682" s="1" t="s">
        <v>5076</v>
      </c>
      <c r="D1682" s="1" t="s">
        <v>4835</v>
      </c>
      <c r="E1682" s="1" t="s">
        <v>4836</v>
      </c>
      <c r="F1682" s="1">
        <v>1.298922E7</v>
      </c>
      <c r="G1682" s="1">
        <v>225530.0</v>
      </c>
      <c r="H1682" s="1">
        <v>9140.0</v>
      </c>
      <c r="I1682" s="1">
        <v>2.11E7</v>
      </c>
      <c r="J1682" s="1" t="s">
        <v>2468</v>
      </c>
    </row>
    <row r="1683">
      <c r="A1683" s="1" t="s">
        <v>5077</v>
      </c>
      <c r="B1683" s="1" t="s">
        <v>5078</v>
      </c>
      <c r="C1683" s="1" t="s">
        <v>5079</v>
      </c>
      <c r="D1683" s="1" t="s">
        <v>4835</v>
      </c>
      <c r="E1683" s="1" t="s">
        <v>4836</v>
      </c>
      <c r="F1683" s="1">
        <v>8227003.0</v>
      </c>
      <c r="G1683" s="1">
        <v>319349.0</v>
      </c>
      <c r="H1683" s="1">
        <v>2267.0</v>
      </c>
      <c r="I1683" s="1">
        <v>2.11E7</v>
      </c>
      <c r="J1683" s="1" t="s">
        <v>2468</v>
      </c>
    </row>
    <row r="1684">
      <c r="A1684" s="1" t="s">
        <v>5080</v>
      </c>
      <c r="B1684" s="1" t="s">
        <v>5081</v>
      </c>
      <c r="C1684" s="1" t="s">
        <v>5082</v>
      </c>
      <c r="D1684" s="1" t="s">
        <v>4835</v>
      </c>
      <c r="E1684" s="1" t="s">
        <v>4836</v>
      </c>
      <c r="F1684" s="1">
        <v>1.2500036E7</v>
      </c>
      <c r="G1684" s="1">
        <v>283358.0</v>
      </c>
      <c r="H1684" s="1">
        <v>9476.0</v>
      </c>
      <c r="I1684" s="1">
        <v>2.11E7</v>
      </c>
      <c r="J1684" s="1" t="s">
        <v>2468</v>
      </c>
    </row>
    <row r="1685">
      <c r="A1685" s="1" t="s">
        <v>5083</v>
      </c>
      <c r="B1685" s="1" t="s">
        <v>5084</v>
      </c>
      <c r="C1685" s="1" t="s">
        <v>5085</v>
      </c>
      <c r="D1685" s="1" t="s">
        <v>4835</v>
      </c>
      <c r="E1685" s="1" t="s">
        <v>4836</v>
      </c>
      <c r="F1685" s="1">
        <v>1.2413651E7</v>
      </c>
      <c r="G1685" s="1">
        <v>527008.0</v>
      </c>
      <c r="H1685" s="1">
        <v>6305.0</v>
      </c>
      <c r="I1685" s="1">
        <v>2.11E7</v>
      </c>
      <c r="J1685" s="1" t="s">
        <v>2468</v>
      </c>
    </row>
    <row r="1686">
      <c r="A1686" s="1" t="s">
        <v>5086</v>
      </c>
      <c r="B1686" s="1" t="s">
        <v>5087</v>
      </c>
      <c r="C1686" s="1" t="s">
        <v>5088</v>
      </c>
      <c r="D1686" s="1" t="s">
        <v>4835</v>
      </c>
      <c r="E1686" s="1" t="s">
        <v>4836</v>
      </c>
      <c r="F1686" s="1">
        <v>6593106.0</v>
      </c>
      <c r="G1686" s="1">
        <v>210952.0</v>
      </c>
      <c r="H1686" s="1">
        <v>7280.0</v>
      </c>
      <c r="I1686" s="1">
        <v>2.11E7</v>
      </c>
      <c r="J1686" s="1" t="s">
        <v>2468</v>
      </c>
    </row>
    <row r="1687">
      <c r="A1687" s="1" t="s">
        <v>5089</v>
      </c>
      <c r="B1687" s="1" t="s">
        <v>5090</v>
      </c>
      <c r="C1687" s="1" t="s">
        <v>5091</v>
      </c>
      <c r="D1687" s="1" t="s">
        <v>4835</v>
      </c>
      <c r="E1687" s="1" t="s">
        <v>4836</v>
      </c>
      <c r="F1687" s="1">
        <v>1.2910933E7</v>
      </c>
      <c r="G1687" s="1">
        <v>268026.0</v>
      </c>
      <c r="H1687" s="1">
        <v>11292.0</v>
      </c>
      <c r="I1687" s="1">
        <v>2.11E7</v>
      </c>
      <c r="J1687" s="1" t="s">
        <v>2468</v>
      </c>
    </row>
    <row r="1688">
      <c r="A1688" s="1" t="s">
        <v>5092</v>
      </c>
      <c r="B1688" s="1" t="s">
        <v>5093</v>
      </c>
      <c r="C1688" s="1" t="s">
        <v>5094</v>
      </c>
      <c r="D1688" s="1" t="s">
        <v>4835</v>
      </c>
      <c r="E1688" s="1" t="s">
        <v>4836</v>
      </c>
      <c r="F1688" s="1">
        <v>8426536.0</v>
      </c>
      <c r="G1688" s="1">
        <v>225347.0</v>
      </c>
      <c r="H1688" s="1">
        <v>4701.0</v>
      </c>
      <c r="I1688" s="1">
        <v>2.11E7</v>
      </c>
      <c r="J1688" s="1" t="s">
        <v>2468</v>
      </c>
    </row>
    <row r="1689">
      <c r="A1689" s="1" t="s">
        <v>5095</v>
      </c>
      <c r="B1689" s="1" t="s">
        <v>5096</v>
      </c>
      <c r="C1689" s="1" t="s">
        <v>5097</v>
      </c>
      <c r="D1689" s="1" t="s">
        <v>4835</v>
      </c>
      <c r="E1689" s="1" t="s">
        <v>4836</v>
      </c>
      <c r="F1689" s="1">
        <v>9349549.0</v>
      </c>
      <c r="G1689" s="1">
        <v>180484.0</v>
      </c>
      <c r="H1689" s="1">
        <v>11193.0</v>
      </c>
      <c r="I1689" s="1">
        <v>2.11E7</v>
      </c>
      <c r="J1689" s="1" t="s">
        <v>2468</v>
      </c>
    </row>
    <row r="1690">
      <c r="A1690" s="1" t="s">
        <v>5098</v>
      </c>
      <c r="B1690" s="1" t="s">
        <v>5099</v>
      </c>
      <c r="C1690" s="1" t="s">
        <v>5100</v>
      </c>
      <c r="D1690" s="1" t="s">
        <v>4835</v>
      </c>
      <c r="E1690" s="1" t="s">
        <v>4836</v>
      </c>
      <c r="F1690" s="1">
        <v>8855357.0</v>
      </c>
      <c r="G1690" s="1">
        <v>185149.0</v>
      </c>
      <c r="H1690" s="1">
        <v>9679.0</v>
      </c>
      <c r="I1690" s="1">
        <v>2.11E7</v>
      </c>
      <c r="J1690" s="1" t="s">
        <v>2468</v>
      </c>
    </row>
    <row r="1691">
      <c r="A1691" s="1" t="s">
        <v>5101</v>
      </c>
      <c r="B1691" s="1" t="s">
        <v>5102</v>
      </c>
      <c r="C1691" s="1" t="s">
        <v>5103</v>
      </c>
      <c r="D1691" s="1" t="s">
        <v>4835</v>
      </c>
      <c r="E1691" s="1" t="s">
        <v>4836</v>
      </c>
      <c r="F1691" s="1">
        <v>1.0722819E7</v>
      </c>
      <c r="G1691" s="1">
        <v>293681.0</v>
      </c>
      <c r="H1691" s="1">
        <v>2670.0</v>
      </c>
      <c r="I1691" s="1">
        <v>2.11E7</v>
      </c>
      <c r="J1691" s="1" t="s">
        <v>2468</v>
      </c>
    </row>
    <row r="1692">
      <c r="A1692" s="1" t="s">
        <v>5104</v>
      </c>
      <c r="B1692" s="1" t="s">
        <v>5105</v>
      </c>
      <c r="C1692" s="1" t="s">
        <v>5106</v>
      </c>
      <c r="D1692" s="1" t="s">
        <v>4835</v>
      </c>
      <c r="E1692" s="1" t="s">
        <v>4836</v>
      </c>
      <c r="F1692" s="1">
        <v>3.6029929E7</v>
      </c>
      <c r="G1692" s="1">
        <v>765615.0</v>
      </c>
      <c r="H1692" s="1">
        <v>46064.0</v>
      </c>
      <c r="I1692" s="1">
        <v>2.11E7</v>
      </c>
      <c r="J1692" s="1" t="s">
        <v>2468</v>
      </c>
    </row>
    <row r="1693">
      <c r="A1693" s="1" t="s">
        <v>5107</v>
      </c>
      <c r="B1693" s="1" t="s">
        <v>5108</v>
      </c>
      <c r="C1693" s="1" t="s">
        <v>5109</v>
      </c>
      <c r="D1693" s="1" t="s">
        <v>4835</v>
      </c>
      <c r="E1693" s="1" t="s">
        <v>4836</v>
      </c>
      <c r="F1693" s="1">
        <v>2.5531779E7</v>
      </c>
      <c r="G1693" s="1">
        <v>429386.0</v>
      </c>
      <c r="H1693" s="1">
        <v>21591.0</v>
      </c>
      <c r="I1693" s="1">
        <v>2.11E7</v>
      </c>
      <c r="J1693" s="1" t="s">
        <v>2468</v>
      </c>
    </row>
    <row r="1694">
      <c r="A1694" s="1" t="s">
        <v>5110</v>
      </c>
      <c r="B1694" s="1" t="s">
        <v>5111</v>
      </c>
      <c r="C1694" s="1" t="s">
        <v>5112</v>
      </c>
      <c r="D1694" s="1" t="s">
        <v>4835</v>
      </c>
      <c r="E1694" s="1" t="s">
        <v>4836</v>
      </c>
      <c r="F1694" s="1">
        <v>3.1588905E7</v>
      </c>
      <c r="G1694" s="1">
        <v>0.0</v>
      </c>
      <c r="H1694" s="1">
        <v>21312.0</v>
      </c>
      <c r="I1694" s="1">
        <v>2.11E7</v>
      </c>
      <c r="J1694" s="1" t="s">
        <v>2468</v>
      </c>
    </row>
    <row r="1695">
      <c r="A1695" s="1" t="s">
        <v>5113</v>
      </c>
      <c r="B1695" s="1" t="s">
        <v>5114</v>
      </c>
      <c r="C1695" s="1" t="s">
        <v>5115</v>
      </c>
      <c r="D1695" s="1" t="s">
        <v>4835</v>
      </c>
      <c r="E1695" s="1" t="s">
        <v>4836</v>
      </c>
      <c r="F1695" s="1">
        <v>1.3585357E7</v>
      </c>
      <c r="G1695" s="1">
        <v>291302.0</v>
      </c>
      <c r="H1695" s="1">
        <v>15955.0</v>
      </c>
      <c r="I1695" s="1">
        <v>2.11E7</v>
      </c>
      <c r="J1695" s="1" t="s">
        <v>2468</v>
      </c>
    </row>
    <row r="1696">
      <c r="A1696" s="1" t="s">
        <v>5116</v>
      </c>
      <c r="B1696" s="1" t="s">
        <v>5117</v>
      </c>
      <c r="C1696" s="1" t="s">
        <v>5118</v>
      </c>
      <c r="D1696" s="1" t="s">
        <v>4835</v>
      </c>
      <c r="E1696" s="1" t="s">
        <v>4836</v>
      </c>
      <c r="F1696" s="1">
        <v>1.0443806E7</v>
      </c>
      <c r="G1696" s="1">
        <v>170848.0</v>
      </c>
      <c r="H1696" s="1">
        <v>5127.0</v>
      </c>
      <c r="I1696" s="1">
        <v>2.11E7</v>
      </c>
      <c r="J1696" s="1" t="s">
        <v>2468</v>
      </c>
    </row>
    <row r="1697">
      <c r="A1697" s="1" t="s">
        <v>5119</v>
      </c>
      <c r="B1697" s="1" t="s">
        <v>5120</v>
      </c>
      <c r="C1697" s="1" t="s">
        <v>5121</v>
      </c>
      <c r="D1697" s="1" t="s">
        <v>4835</v>
      </c>
      <c r="E1697" s="1" t="s">
        <v>4836</v>
      </c>
      <c r="F1697" s="1">
        <v>1.4609723E7</v>
      </c>
      <c r="G1697" s="1">
        <v>290678.0</v>
      </c>
      <c r="H1697" s="1">
        <v>20153.0</v>
      </c>
      <c r="I1697" s="1">
        <v>2.11E7</v>
      </c>
      <c r="J1697" s="1" t="s">
        <v>2468</v>
      </c>
    </row>
    <row r="1698">
      <c r="A1698" s="1" t="s">
        <v>5122</v>
      </c>
      <c r="B1698" s="1" t="s">
        <v>5123</v>
      </c>
      <c r="C1698" s="1" t="s">
        <v>5124</v>
      </c>
      <c r="D1698" s="1" t="s">
        <v>4835</v>
      </c>
      <c r="E1698" s="1" t="s">
        <v>4836</v>
      </c>
      <c r="F1698" s="1">
        <v>7850184.0</v>
      </c>
      <c r="G1698" s="1">
        <v>213801.0</v>
      </c>
      <c r="H1698" s="1">
        <v>2950.0</v>
      </c>
      <c r="I1698" s="1">
        <v>2.11E7</v>
      </c>
      <c r="J1698" s="1" t="s">
        <v>2468</v>
      </c>
    </row>
    <row r="1699">
      <c r="A1699" s="1" t="s">
        <v>5125</v>
      </c>
      <c r="B1699" s="1" t="s">
        <v>5126</v>
      </c>
      <c r="C1699" s="1" t="s">
        <v>5127</v>
      </c>
      <c r="D1699" s="1" t="s">
        <v>4835</v>
      </c>
      <c r="E1699" s="1" t="s">
        <v>4836</v>
      </c>
      <c r="F1699" s="1">
        <v>1.1395626E7</v>
      </c>
      <c r="G1699" s="1">
        <v>188736.0</v>
      </c>
      <c r="H1699" s="1">
        <v>9293.0</v>
      </c>
      <c r="I1699" s="1">
        <v>2.11E7</v>
      </c>
      <c r="J1699" s="1" t="s">
        <v>2468</v>
      </c>
    </row>
    <row r="1700">
      <c r="A1700" s="1" t="s">
        <v>5128</v>
      </c>
      <c r="B1700" s="1" t="s">
        <v>5129</v>
      </c>
      <c r="C1700" s="1" t="s">
        <v>5130</v>
      </c>
      <c r="D1700" s="1" t="s">
        <v>4835</v>
      </c>
      <c r="E1700" s="1" t="s">
        <v>4836</v>
      </c>
      <c r="F1700" s="1">
        <v>1.9518166E7</v>
      </c>
      <c r="G1700" s="1">
        <v>405897.0</v>
      </c>
      <c r="H1700" s="1">
        <v>22883.0</v>
      </c>
      <c r="I1700" s="1">
        <v>2.11E7</v>
      </c>
      <c r="J1700" s="1" t="s">
        <v>2468</v>
      </c>
    </row>
    <row r="1701">
      <c r="A1701" s="1" t="s">
        <v>5131</v>
      </c>
      <c r="B1701" s="1" t="s">
        <v>5132</v>
      </c>
      <c r="C1701" s="1" t="s">
        <v>5133</v>
      </c>
      <c r="D1701" s="1" t="s">
        <v>4835</v>
      </c>
      <c r="E1701" s="1" t="s">
        <v>4836</v>
      </c>
      <c r="F1701" s="1">
        <v>1.023403E7</v>
      </c>
      <c r="G1701" s="1">
        <v>234757.0</v>
      </c>
      <c r="H1701" s="1">
        <v>23242.0</v>
      </c>
      <c r="I1701" s="1">
        <v>2.11E7</v>
      </c>
      <c r="J1701" s="1" t="s">
        <v>2468</v>
      </c>
    </row>
    <row r="1702">
      <c r="A1702" s="1" t="s">
        <v>5134</v>
      </c>
      <c r="B1702" s="1" t="s">
        <v>5135</v>
      </c>
      <c r="C1702" s="1" t="s">
        <v>5136</v>
      </c>
      <c r="D1702" s="1" t="s">
        <v>4835</v>
      </c>
      <c r="E1702" s="1" t="s">
        <v>4836</v>
      </c>
      <c r="F1702" s="1">
        <v>2815240.0</v>
      </c>
      <c r="G1702" s="1">
        <v>108744.0</v>
      </c>
      <c r="H1702" s="1">
        <v>883.0</v>
      </c>
      <c r="I1702" s="1">
        <v>2.11E7</v>
      </c>
      <c r="J1702" s="1" t="s">
        <v>2468</v>
      </c>
    </row>
    <row r="1703">
      <c r="A1703" s="1" t="s">
        <v>5137</v>
      </c>
      <c r="B1703" s="1" t="s">
        <v>5138</v>
      </c>
      <c r="C1703" s="1" t="s">
        <v>5139</v>
      </c>
      <c r="D1703" s="1" t="s">
        <v>4835</v>
      </c>
      <c r="E1703" s="1" t="s">
        <v>4836</v>
      </c>
      <c r="F1703" s="1">
        <v>1.084126E7</v>
      </c>
      <c r="G1703" s="1">
        <v>324067.0</v>
      </c>
      <c r="H1703" s="1">
        <v>12964.0</v>
      </c>
      <c r="I1703" s="1">
        <v>2.11E7</v>
      </c>
      <c r="J1703" s="1" t="s">
        <v>2468</v>
      </c>
    </row>
    <row r="1704">
      <c r="A1704" s="1" t="s">
        <v>5140</v>
      </c>
      <c r="B1704" s="1" t="s">
        <v>5141</v>
      </c>
      <c r="C1704" s="1" t="s">
        <v>5142</v>
      </c>
      <c r="D1704" s="1" t="s">
        <v>4835</v>
      </c>
      <c r="E1704" s="1" t="s">
        <v>4836</v>
      </c>
      <c r="F1704" s="1">
        <v>2.9132626E7</v>
      </c>
      <c r="G1704" s="1">
        <v>439813.0</v>
      </c>
      <c r="H1704" s="1">
        <v>13880.0</v>
      </c>
      <c r="I1704" s="1">
        <v>2.11E7</v>
      </c>
      <c r="J1704" s="1" t="s">
        <v>2468</v>
      </c>
    </row>
    <row r="1705">
      <c r="A1705" s="1" t="s">
        <v>5143</v>
      </c>
      <c r="B1705" s="1" t="s">
        <v>5144</v>
      </c>
      <c r="C1705" s="1" t="s">
        <v>5145</v>
      </c>
      <c r="D1705" s="1" t="s">
        <v>4835</v>
      </c>
      <c r="E1705" s="1" t="s">
        <v>4836</v>
      </c>
      <c r="F1705" s="1">
        <v>1.6987305E7</v>
      </c>
      <c r="G1705" s="1">
        <v>282453.0</v>
      </c>
      <c r="H1705" s="1">
        <v>8932.0</v>
      </c>
      <c r="I1705" s="1">
        <v>2.11E7</v>
      </c>
      <c r="J1705" s="1" t="s">
        <v>2468</v>
      </c>
    </row>
    <row r="1706">
      <c r="A1706" s="1" t="s">
        <v>5146</v>
      </c>
      <c r="B1706" s="1" t="s">
        <v>5147</v>
      </c>
      <c r="C1706" s="1" t="s">
        <v>5148</v>
      </c>
      <c r="D1706" s="1" t="s">
        <v>4835</v>
      </c>
      <c r="E1706" s="1" t="s">
        <v>4836</v>
      </c>
      <c r="F1706" s="1">
        <v>9556462.0</v>
      </c>
      <c r="G1706" s="1">
        <v>143808.0</v>
      </c>
      <c r="H1706" s="1">
        <v>5704.0</v>
      </c>
      <c r="I1706" s="1">
        <v>2.11E7</v>
      </c>
      <c r="J1706" s="1" t="s">
        <v>2468</v>
      </c>
    </row>
    <row r="1707">
      <c r="A1707" s="1" t="s">
        <v>5149</v>
      </c>
      <c r="B1707" s="1" t="s">
        <v>5150</v>
      </c>
      <c r="C1707" s="1" t="s">
        <v>5151</v>
      </c>
      <c r="D1707" s="1" t="s">
        <v>4835</v>
      </c>
      <c r="E1707" s="1" t="s">
        <v>4836</v>
      </c>
      <c r="F1707" s="1">
        <v>1.0121703E7</v>
      </c>
      <c r="G1707" s="1">
        <v>195765.0</v>
      </c>
      <c r="H1707" s="1">
        <v>6061.0</v>
      </c>
      <c r="I1707" s="1">
        <v>2.11E7</v>
      </c>
      <c r="J1707" s="1" t="s">
        <v>2468</v>
      </c>
    </row>
    <row r="1708">
      <c r="A1708" s="1" t="s">
        <v>5152</v>
      </c>
      <c r="B1708" s="1" t="s">
        <v>5153</v>
      </c>
      <c r="C1708" s="1" t="s">
        <v>5154</v>
      </c>
      <c r="D1708" s="1" t="s">
        <v>4835</v>
      </c>
      <c r="E1708" s="1" t="s">
        <v>4836</v>
      </c>
      <c r="F1708" s="1">
        <v>1.0843475E7</v>
      </c>
      <c r="G1708" s="1">
        <v>261074.0</v>
      </c>
      <c r="H1708" s="1">
        <v>11371.0</v>
      </c>
      <c r="I1708" s="1">
        <v>2.11E7</v>
      </c>
      <c r="J1708" s="1" t="s">
        <v>2468</v>
      </c>
    </row>
    <row r="1709">
      <c r="A1709" s="1" t="s">
        <v>5155</v>
      </c>
      <c r="B1709" s="1" t="s">
        <v>5156</v>
      </c>
      <c r="C1709" s="1" t="s">
        <v>5157</v>
      </c>
      <c r="D1709" s="1" t="s">
        <v>4835</v>
      </c>
      <c r="E1709" s="1" t="s">
        <v>4836</v>
      </c>
      <c r="F1709" s="1">
        <v>2008273.0</v>
      </c>
      <c r="G1709" s="1">
        <v>69190.0</v>
      </c>
      <c r="H1709" s="1">
        <v>2624.0</v>
      </c>
      <c r="I1709" s="1">
        <v>2.11E7</v>
      </c>
      <c r="J1709" s="1" t="s">
        <v>2468</v>
      </c>
    </row>
    <row r="1710">
      <c r="A1710" s="1" t="s">
        <v>5158</v>
      </c>
      <c r="B1710" s="1" t="s">
        <v>5159</v>
      </c>
      <c r="C1710" s="1" t="s">
        <v>5160</v>
      </c>
      <c r="D1710" s="1" t="s">
        <v>4835</v>
      </c>
      <c r="E1710" s="1" t="s">
        <v>4836</v>
      </c>
      <c r="F1710" s="1">
        <v>2.0070149E7</v>
      </c>
      <c r="G1710" s="1">
        <v>1012571.0</v>
      </c>
      <c r="H1710" s="1">
        <v>14454.0</v>
      </c>
      <c r="I1710" s="1">
        <v>2.11E7</v>
      </c>
      <c r="J1710" s="1" t="s">
        <v>2468</v>
      </c>
    </row>
    <row r="1711">
      <c r="A1711" s="1" t="s">
        <v>5161</v>
      </c>
      <c r="B1711" s="1" t="s">
        <v>5162</v>
      </c>
      <c r="C1711" s="1" t="s">
        <v>5163</v>
      </c>
      <c r="D1711" s="1" t="s">
        <v>4835</v>
      </c>
      <c r="E1711" s="1" t="s">
        <v>4836</v>
      </c>
      <c r="F1711" s="1">
        <v>1.0228587E7</v>
      </c>
      <c r="G1711" s="1">
        <v>187209.0</v>
      </c>
      <c r="H1711" s="1">
        <v>7934.0</v>
      </c>
      <c r="I1711" s="1">
        <v>2.11E7</v>
      </c>
      <c r="J1711" s="1" t="s">
        <v>2468</v>
      </c>
    </row>
    <row r="1712">
      <c r="A1712" s="1" t="s">
        <v>5164</v>
      </c>
      <c r="B1712" s="1" t="s">
        <v>5165</v>
      </c>
      <c r="C1712" s="1" t="s">
        <v>5166</v>
      </c>
      <c r="D1712" s="1" t="s">
        <v>4835</v>
      </c>
      <c r="E1712" s="1" t="s">
        <v>4836</v>
      </c>
      <c r="F1712" s="1">
        <v>9781162.0</v>
      </c>
      <c r="G1712" s="1">
        <v>250011.0</v>
      </c>
      <c r="H1712" s="1">
        <v>12149.0</v>
      </c>
      <c r="I1712" s="1">
        <v>2.11E7</v>
      </c>
      <c r="J1712" s="1" t="s">
        <v>2468</v>
      </c>
    </row>
    <row r="1713">
      <c r="A1713" s="1" t="s">
        <v>5167</v>
      </c>
      <c r="B1713" s="1" t="s">
        <v>5168</v>
      </c>
      <c r="C1713" s="1" t="s">
        <v>5169</v>
      </c>
      <c r="D1713" s="1" t="s">
        <v>4835</v>
      </c>
      <c r="E1713" s="1" t="s">
        <v>4836</v>
      </c>
      <c r="F1713" s="1">
        <v>1895164.0</v>
      </c>
      <c r="G1713" s="1">
        <v>55469.0</v>
      </c>
      <c r="H1713" s="1">
        <v>3004.0</v>
      </c>
      <c r="I1713" s="1">
        <v>2.11E7</v>
      </c>
      <c r="J1713" s="1" t="s">
        <v>2468</v>
      </c>
    </row>
    <row r="1714">
      <c r="A1714" s="1" t="s">
        <v>5170</v>
      </c>
      <c r="B1714" s="1" t="s">
        <v>5171</v>
      </c>
      <c r="C1714" s="1" t="s">
        <v>5172</v>
      </c>
      <c r="D1714" s="1" t="s">
        <v>4835</v>
      </c>
      <c r="E1714" s="1" t="s">
        <v>4836</v>
      </c>
      <c r="F1714" s="1">
        <v>1.4858917E7</v>
      </c>
      <c r="G1714" s="1">
        <v>251362.0</v>
      </c>
      <c r="H1714" s="1">
        <v>13735.0</v>
      </c>
      <c r="I1714" s="1">
        <v>2.11E7</v>
      </c>
      <c r="J1714" s="1" t="s">
        <v>2468</v>
      </c>
    </row>
    <row r="1715">
      <c r="A1715" s="1" t="s">
        <v>5173</v>
      </c>
      <c r="B1715" s="1" t="s">
        <v>5174</v>
      </c>
      <c r="C1715" s="1" t="s">
        <v>5175</v>
      </c>
      <c r="D1715" s="1" t="s">
        <v>4835</v>
      </c>
      <c r="E1715" s="1" t="s">
        <v>4836</v>
      </c>
      <c r="F1715" s="1">
        <v>6092022.0</v>
      </c>
      <c r="G1715" s="1">
        <v>207484.0</v>
      </c>
      <c r="H1715" s="1">
        <v>5359.0</v>
      </c>
      <c r="I1715" s="1">
        <v>2.11E7</v>
      </c>
      <c r="J1715" s="1" t="s">
        <v>2468</v>
      </c>
    </row>
    <row r="1716">
      <c r="A1716" s="1" t="s">
        <v>5176</v>
      </c>
      <c r="B1716" s="1" t="s">
        <v>5177</v>
      </c>
      <c r="C1716" s="1" t="s">
        <v>5178</v>
      </c>
      <c r="D1716" s="1" t="s">
        <v>4835</v>
      </c>
      <c r="E1716" s="1" t="s">
        <v>4836</v>
      </c>
      <c r="F1716" s="1">
        <v>9440751.0</v>
      </c>
      <c r="G1716" s="1">
        <v>221379.0</v>
      </c>
      <c r="H1716" s="1">
        <v>10541.0</v>
      </c>
      <c r="I1716" s="1">
        <v>2.11E7</v>
      </c>
      <c r="J1716" s="1" t="s">
        <v>2468</v>
      </c>
    </row>
    <row r="1717">
      <c r="A1717" s="1" t="s">
        <v>5179</v>
      </c>
      <c r="B1717" s="1" t="s">
        <v>5180</v>
      </c>
      <c r="C1717" s="1" t="s">
        <v>5181</v>
      </c>
      <c r="D1717" s="1" t="s">
        <v>4835</v>
      </c>
      <c r="E1717" s="1" t="s">
        <v>4836</v>
      </c>
      <c r="F1717" s="1">
        <v>6043094.0</v>
      </c>
      <c r="G1717" s="1">
        <v>223385.0</v>
      </c>
      <c r="H1717" s="1">
        <v>17042.0</v>
      </c>
      <c r="I1717" s="1">
        <v>2.11E7</v>
      </c>
      <c r="J1717" s="1" t="s">
        <v>2468</v>
      </c>
    </row>
    <row r="1718">
      <c r="A1718" s="1" t="s">
        <v>5182</v>
      </c>
      <c r="B1718" s="1" t="s">
        <v>5183</v>
      </c>
      <c r="C1718" s="1" t="s">
        <v>5184</v>
      </c>
      <c r="D1718" s="1" t="s">
        <v>4835</v>
      </c>
      <c r="E1718" s="1" t="s">
        <v>4836</v>
      </c>
      <c r="F1718" s="1">
        <v>1.7415839E7</v>
      </c>
      <c r="G1718" s="1">
        <v>379319.0</v>
      </c>
      <c r="H1718" s="1">
        <v>16333.0</v>
      </c>
      <c r="I1718" s="1">
        <v>2.11E7</v>
      </c>
      <c r="J1718" s="1" t="s">
        <v>2468</v>
      </c>
    </row>
    <row r="1719">
      <c r="A1719" s="1" t="s">
        <v>5185</v>
      </c>
      <c r="B1719" s="1" t="s">
        <v>5186</v>
      </c>
      <c r="C1719" s="1" t="s">
        <v>5187</v>
      </c>
      <c r="D1719" s="1" t="s">
        <v>4835</v>
      </c>
      <c r="E1719" s="1" t="s">
        <v>4836</v>
      </c>
      <c r="F1719" s="1">
        <v>3.2928699E7</v>
      </c>
      <c r="G1719" s="1">
        <v>0.0</v>
      </c>
      <c r="H1719" s="1">
        <v>16631.0</v>
      </c>
      <c r="I1719" s="1">
        <v>2.11E7</v>
      </c>
      <c r="J1719" s="1" t="s">
        <v>2468</v>
      </c>
    </row>
    <row r="1720">
      <c r="A1720" s="1" t="s">
        <v>5188</v>
      </c>
      <c r="B1720" s="1" t="s">
        <v>5189</v>
      </c>
      <c r="C1720" s="1" t="s">
        <v>5190</v>
      </c>
      <c r="D1720" s="1" t="s">
        <v>4835</v>
      </c>
      <c r="E1720" s="1" t="s">
        <v>4836</v>
      </c>
      <c r="F1720" s="1">
        <v>1.5513207E7</v>
      </c>
      <c r="G1720" s="1">
        <v>313499.0</v>
      </c>
      <c r="H1720" s="1">
        <v>11870.0</v>
      </c>
      <c r="I1720" s="1">
        <v>2.11E7</v>
      </c>
      <c r="J1720" s="1" t="s">
        <v>2468</v>
      </c>
    </row>
    <row r="1721">
      <c r="A1721" s="1" t="s">
        <v>5191</v>
      </c>
      <c r="B1721" s="1" t="s">
        <v>5192</v>
      </c>
      <c r="C1721" s="1" t="s">
        <v>5193</v>
      </c>
      <c r="D1721" s="1" t="s">
        <v>4835</v>
      </c>
      <c r="E1721" s="1" t="s">
        <v>4836</v>
      </c>
      <c r="F1721" s="1">
        <v>9857091.0</v>
      </c>
      <c r="G1721" s="1">
        <v>233459.0</v>
      </c>
      <c r="H1721" s="1">
        <v>9482.0</v>
      </c>
      <c r="I1721" s="1">
        <v>2.11E7</v>
      </c>
      <c r="J1721" s="1" t="s">
        <v>2468</v>
      </c>
    </row>
    <row r="1722">
      <c r="A1722" s="1" t="s">
        <v>5194</v>
      </c>
      <c r="B1722" s="1" t="s">
        <v>5195</v>
      </c>
      <c r="C1722" s="1" t="s">
        <v>5196</v>
      </c>
      <c r="D1722" s="1" t="s">
        <v>4835</v>
      </c>
      <c r="E1722" s="1" t="s">
        <v>4836</v>
      </c>
      <c r="F1722" s="1">
        <v>9636761.0</v>
      </c>
      <c r="G1722" s="1">
        <v>274056.0</v>
      </c>
      <c r="H1722" s="1">
        <v>11889.0</v>
      </c>
      <c r="I1722" s="1">
        <v>2.11E7</v>
      </c>
      <c r="J1722" s="1" t="s">
        <v>2468</v>
      </c>
    </row>
    <row r="1723">
      <c r="A1723" s="1" t="s">
        <v>5197</v>
      </c>
      <c r="B1723" s="1" t="s">
        <v>5198</v>
      </c>
      <c r="C1723" s="1" t="s">
        <v>5199</v>
      </c>
      <c r="D1723" s="1" t="s">
        <v>4835</v>
      </c>
      <c r="E1723" s="1" t="s">
        <v>4836</v>
      </c>
      <c r="F1723" s="1">
        <v>1.0864877E7</v>
      </c>
      <c r="G1723" s="1">
        <v>365329.0</v>
      </c>
      <c r="H1723" s="1">
        <v>14340.0</v>
      </c>
      <c r="I1723" s="1">
        <v>2.11E7</v>
      </c>
      <c r="J1723" s="1" t="s">
        <v>2468</v>
      </c>
    </row>
    <row r="1724">
      <c r="A1724" s="1" t="s">
        <v>5200</v>
      </c>
      <c r="B1724" s="1" t="s">
        <v>5201</v>
      </c>
      <c r="C1724" s="1" t="s">
        <v>5202</v>
      </c>
      <c r="D1724" s="1" t="s">
        <v>4835</v>
      </c>
      <c r="E1724" s="1" t="s">
        <v>4836</v>
      </c>
      <c r="F1724" s="1">
        <v>1.6097974E7</v>
      </c>
      <c r="G1724" s="1">
        <v>305063.0</v>
      </c>
      <c r="H1724" s="1">
        <v>10554.0</v>
      </c>
      <c r="I1724" s="1">
        <v>2.11E7</v>
      </c>
      <c r="J1724" s="1" t="s">
        <v>2468</v>
      </c>
    </row>
    <row r="1725">
      <c r="A1725" s="1" t="s">
        <v>5203</v>
      </c>
      <c r="B1725" s="1" t="s">
        <v>5204</v>
      </c>
      <c r="C1725" s="1" t="s">
        <v>5205</v>
      </c>
      <c r="D1725" s="1" t="s">
        <v>4835</v>
      </c>
      <c r="E1725" s="1" t="s">
        <v>4836</v>
      </c>
      <c r="F1725" s="1">
        <v>9519138.0</v>
      </c>
      <c r="G1725" s="1">
        <v>320069.0</v>
      </c>
      <c r="H1725" s="1">
        <v>23303.0</v>
      </c>
      <c r="I1725" s="1">
        <v>2.11E7</v>
      </c>
      <c r="J1725" s="1" t="s">
        <v>2468</v>
      </c>
    </row>
    <row r="1726">
      <c r="A1726" s="1" t="s">
        <v>5206</v>
      </c>
      <c r="B1726" s="1" t="s">
        <v>5207</v>
      </c>
      <c r="C1726" s="1" t="s">
        <v>5208</v>
      </c>
      <c r="D1726" s="1" t="s">
        <v>4835</v>
      </c>
      <c r="E1726" s="1" t="s">
        <v>4836</v>
      </c>
      <c r="F1726" s="1">
        <v>7413486.0</v>
      </c>
      <c r="G1726" s="1">
        <v>368739.0</v>
      </c>
      <c r="H1726" s="1">
        <v>11806.0</v>
      </c>
      <c r="I1726" s="1">
        <v>2.11E7</v>
      </c>
      <c r="J1726" s="1" t="s">
        <v>2468</v>
      </c>
    </row>
    <row r="1727">
      <c r="A1727" s="1" t="s">
        <v>5209</v>
      </c>
      <c r="B1727" s="1" t="s">
        <v>5210</v>
      </c>
      <c r="C1727" s="1" t="s">
        <v>5211</v>
      </c>
      <c r="D1727" s="1" t="s">
        <v>4835</v>
      </c>
      <c r="E1727" s="1" t="s">
        <v>4836</v>
      </c>
      <c r="F1727" s="1">
        <v>5341629.0</v>
      </c>
      <c r="G1727" s="1">
        <v>158420.0</v>
      </c>
      <c r="H1727" s="1">
        <v>20613.0</v>
      </c>
      <c r="I1727" s="1">
        <v>2.11E7</v>
      </c>
      <c r="J1727" s="1" t="s">
        <v>2468</v>
      </c>
    </row>
    <row r="1728">
      <c r="A1728" s="1" t="s">
        <v>5212</v>
      </c>
      <c r="B1728" s="1" t="s">
        <v>5213</v>
      </c>
      <c r="C1728" s="1" t="s">
        <v>5214</v>
      </c>
      <c r="D1728" s="1" t="s">
        <v>4835</v>
      </c>
      <c r="E1728" s="1" t="s">
        <v>4836</v>
      </c>
      <c r="F1728" s="1">
        <v>6159965.0</v>
      </c>
      <c r="G1728" s="1">
        <v>98366.0</v>
      </c>
      <c r="H1728" s="1">
        <v>4414.0</v>
      </c>
      <c r="I1728" s="1">
        <v>2.11E7</v>
      </c>
      <c r="J1728" s="1" t="s">
        <v>2468</v>
      </c>
    </row>
    <row r="1729">
      <c r="A1729" s="1" t="s">
        <v>5215</v>
      </c>
      <c r="B1729" s="1" t="s">
        <v>5216</v>
      </c>
      <c r="C1729" s="1" t="s">
        <v>5217</v>
      </c>
      <c r="D1729" s="1" t="s">
        <v>4835</v>
      </c>
      <c r="E1729" s="1" t="s">
        <v>4836</v>
      </c>
      <c r="F1729" s="1">
        <v>4929145.0</v>
      </c>
      <c r="G1729" s="1">
        <v>179462.0</v>
      </c>
      <c r="H1729" s="1">
        <v>8190.0</v>
      </c>
      <c r="I1729" s="1">
        <v>2.11E7</v>
      </c>
      <c r="J1729" s="1" t="s">
        <v>2468</v>
      </c>
    </row>
    <row r="1730">
      <c r="A1730" s="1" t="s">
        <v>5218</v>
      </c>
      <c r="B1730" s="1" t="s">
        <v>5219</v>
      </c>
      <c r="C1730" s="1" t="s">
        <v>5220</v>
      </c>
      <c r="D1730" s="1" t="s">
        <v>4835</v>
      </c>
      <c r="E1730" s="1" t="s">
        <v>4836</v>
      </c>
      <c r="F1730" s="1">
        <v>4885363.0</v>
      </c>
      <c r="G1730" s="1">
        <v>144877.0</v>
      </c>
      <c r="H1730" s="1">
        <v>9170.0</v>
      </c>
      <c r="I1730" s="1">
        <v>2.11E7</v>
      </c>
      <c r="J1730" s="1" t="s">
        <v>2468</v>
      </c>
    </row>
    <row r="1731">
      <c r="A1731" s="1" t="s">
        <v>5221</v>
      </c>
      <c r="B1731" s="1" t="s">
        <v>5222</v>
      </c>
      <c r="C1731" s="1" t="s">
        <v>5223</v>
      </c>
      <c r="D1731" s="1" t="s">
        <v>4835</v>
      </c>
      <c r="E1731" s="1" t="s">
        <v>4836</v>
      </c>
      <c r="F1731" s="1">
        <v>7553367.0</v>
      </c>
      <c r="G1731" s="1">
        <v>199479.0</v>
      </c>
      <c r="H1731" s="1">
        <v>5872.0</v>
      </c>
      <c r="I1731" s="1">
        <v>2.11E7</v>
      </c>
      <c r="J1731" s="1" t="s">
        <v>2468</v>
      </c>
    </row>
    <row r="1732">
      <c r="A1732" s="1" t="s">
        <v>5224</v>
      </c>
      <c r="B1732" s="1" t="s">
        <v>5225</v>
      </c>
      <c r="C1732" s="1" t="s">
        <v>5226</v>
      </c>
      <c r="D1732" s="1" t="s">
        <v>4835</v>
      </c>
      <c r="E1732" s="1" t="s">
        <v>4836</v>
      </c>
      <c r="F1732" s="1">
        <v>4341490.0</v>
      </c>
      <c r="G1732" s="1">
        <v>117022.0</v>
      </c>
      <c r="H1732" s="1">
        <v>3394.0</v>
      </c>
      <c r="I1732" s="1">
        <v>2.11E7</v>
      </c>
      <c r="J1732" s="1" t="s">
        <v>2468</v>
      </c>
    </row>
    <row r="1733">
      <c r="A1733" s="1" t="s">
        <v>5227</v>
      </c>
      <c r="B1733" s="1" t="s">
        <v>5228</v>
      </c>
      <c r="C1733" s="1" t="s">
        <v>5229</v>
      </c>
      <c r="D1733" s="1" t="s">
        <v>4835</v>
      </c>
      <c r="E1733" s="1" t="s">
        <v>4836</v>
      </c>
      <c r="F1733" s="1">
        <v>3.555498E7</v>
      </c>
      <c r="G1733" s="1">
        <v>579719.0</v>
      </c>
      <c r="H1733" s="1">
        <v>27622.0</v>
      </c>
      <c r="I1733" s="1">
        <v>2.11E7</v>
      </c>
      <c r="J1733" s="1" t="s">
        <v>2468</v>
      </c>
    </row>
    <row r="1734">
      <c r="A1734" s="1" t="s">
        <v>5230</v>
      </c>
      <c r="B1734" s="1" t="s">
        <v>5231</v>
      </c>
      <c r="C1734" s="1" t="s">
        <v>5232</v>
      </c>
      <c r="D1734" s="1" t="s">
        <v>4835</v>
      </c>
      <c r="E1734" s="1" t="s">
        <v>4836</v>
      </c>
      <c r="F1734" s="1">
        <v>1.7417652E7</v>
      </c>
      <c r="G1734" s="1">
        <v>701169.0</v>
      </c>
      <c r="H1734" s="1">
        <v>10999.0</v>
      </c>
      <c r="I1734" s="1">
        <v>2.11E7</v>
      </c>
      <c r="J1734" s="1" t="s">
        <v>2468</v>
      </c>
    </row>
    <row r="1735">
      <c r="A1735" s="1" t="s">
        <v>5233</v>
      </c>
      <c r="B1735" s="1" t="s">
        <v>5234</v>
      </c>
      <c r="C1735" s="1" t="s">
        <v>5235</v>
      </c>
      <c r="D1735" s="1" t="s">
        <v>4835</v>
      </c>
      <c r="E1735" s="1" t="s">
        <v>4836</v>
      </c>
      <c r="F1735" s="1">
        <v>1.5181671E7</v>
      </c>
      <c r="G1735" s="1">
        <v>660214.0</v>
      </c>
      <c r="H1735" s="1">
        <v>4367.0</v>
      </c>
      <c r="I1735" s="1">
        <v>2.11E7</v>
      </c>
      <c r="J1735" s="1" t="s">
        <v>2468</v>
      </c>
    </row>
    <row r="1736">
      <c r="A1736" s="1" t="s">
        <v>5236</v>
      </c>
      <c r="B1736" s="1" t="s">
        <v>5237</v>
      </c>
      <c r="C1736" s="1" t="s">
        <v>5238</v>
      </c>
      <c r="D1736" s="1" t="s">
        <v>4835</v>
      </c>
      <c r="E1736" s="1" t="s">
        <v>4836</v>
      </c>
      <c r="F1736" s="1">
        <v>4.3653897E7</v>
      </c>
      <c r="G1736" s="1">
        <v>1804925.0</v>
      </c>
      <c r="H1736" s="1">
        <v>7785.0</v>
      </c>
      <c r="I1736" s="1">
        <v>2.11E7</v>
      </c>
      <c r="J1736" s="1" t="s">
        <v>2468</v>
      </c>
    </row>
    <row r="1737">
      <c r="A1737" s="1" t="s">
        <v>5239</v>
      </c>
      <c r="B1737" s="1" t="s">
        <v>5240</v>
      </c>
      <c r="C1737" s="1" t="s">
        <v>5241</v>
      </c>
      <c r="D1737" s="1" t="s">
        <v>4835</v>
      </c>
      <c r="E1737" s="1" t="s">
        <v>4836</v>
      </c>
      <c r="F1737" s="1">
        <v>2.3289681E7</v>
      </c>
      <c r="G1737" s="1">
        <v>1238785.0</v>
      </c>
      <c r="H1737" s="1">
        <v>39534.0</v>
      </c>
      <c r="I1737" s="1">
        <v>2.11E7</v>
      </c>
      <c r="J1737" s="1" t="s">
        <v>2468</v>
      </c>
    </row>
    <row r="1738">
      <c r="A1738" s="1" t="s">
        <v>5242</v>
      </c>
      <c r="B1738" s="1" t="s">
        <v>5243</v>
      </c>
      <c r="C1738" s="1" t="s">
        <v>5244</v>
      </c>
      <c r="D1738" s="1" t="s">
        <v>4835</v>
      </c>
      <c r="E1738" s="1" t="s">
        <v>4836</v>
      </c>
      <c r="F1738" s="1">
        <v>1.198073E7</v>
      </c>
      <c r="G1738" s="1">
        <v>303746.0</v>
      </c>
      <c r="H1738" s="1">
        <v>35689.0</v>
      </c>
      <c r="I1738" s="1">
        <v>2.11E7</v>
      </c>
      <c r="J1738" s="1" t="s">
        <v>2468</v>
      </c>
    </row>
    <row r="1739">
      <c r="A1739" s="1" t="s">
        <v>5245</v>
      </c>
      <c r="B1739" s="1" t="s">
        <v>5246</v>
      </c>
      <c r="C1739" s="1" t="s">
        <v>5247</v>
      </c>
      <c r="D1739" s="1" t="s">
        <v>4835</v>
      </c>
      <c r="E1739" s="1" t="s">
        <v>4836</v>
      </c>
      <c r="F1739" s="1">
        <v>2.2026856E7</v>
      </c>
      <c r="G1739" s="1">
        <v>413359.0</v>
      </c>
      <c r="H1739" s="1">
        <v>11655.0</v>
      </c>
      <c r="I1739" s="1">
        <v>2.11E7</v>
      </c>
      <c r="J1739" s="1" t="s">
        <v>2468</v>
      </c>
    </row>
    <row r="1740">
      <c r="A1740" s="1" t="s">
        <v>5248</v>
      </c>
      <c r="B1740" s="1" t="s">
        <v>5249</v>
      </c>
      <c r="C1740" s="1" t="s">
        <v>5250</v>
      </c>
      <c r="D1740" s="1" t="s">
        <v>4835</v>
      </c>
      <c r="E1740" s="1" t="s">
        <v>4836</v>
      </c>
      <c r="F1740" s="1">
        <v>6764531.0</v>
      </c>
      <c r="G1740" s="1">
        <v>209706.0</v>
      </c>
      <c r="H1740" s="1">
        <v>2180.0</v>
      </c>
      <c r="I1740" s="1">
        <v>2.11E7</v>
      </c>
      <c r="J1740" s="1" t="s">
        <v>2468</v>
      </c>
    </row>
    <row r="1741">
      <c r="A1741" s="1" t="s">
        <v>5251</v>
      </c>
      <c r="B1741" s="1" t="s">
        <v>5252</v>
      </c>
      <c r="C1741" s="1" t="s">
        <v>5253</v>
      </c>
      <c r="D1741" s="1" t="s">
        <v>4835</v>
      </c>
      <c r="E1741" s="1" t="s">
        <v>4836</v>
      </c>
      <c r="F1741" s="1">
        <v>2.1245979E7</v>
      </c>
      <c r="G1741" s="1">
        <v>379367.0</v>
      </c>
      <c r="H1741" s="1">
        <v>21733.0</v>
      </c>
      <c r="I1741" s="1">
        <v>2.11E7</v>
      </c>
      <c r="J1741" s="1" t="s">
        <v>2468</v>
      </c>
    </row>
    <row r="1742">
      <c r="A1742" s="1" t="s">
        <v>5254</v>
      </c>
      <c r="B1742" s="1" t="s">
        <v>5255</v>
      </c>
      <c r="C1742" s="1" t="s">
        <v>5256</v>
      </c>
      <c r="D1742" s="1" t="s">
        <v>4835</v>
      </c>
      <c r="E1742" s="1" t="s">
        <v>4836</v>
      </c>
      <c r="F1742" s="1">
        <v>1.7437437E7</v>
      </c>
      <c r="G1742" s="1">
        <v>355503.0</v>
      </c>
      <c r="H1742" s="1">
        <v>10408.0</v>
      </c>
      <c r="I1742" s="1">
        <v>2.11E7</v>
      </c>
      <c r="J1742" s="1" t="s">
        <v>2468</v>
      </c>
    </row>
    <row r="1743">
      <c r="A1743" s="1" t="s">
        <v>5257</v>
      </c>
      <c r="B1743" s="1" t="s">
        <v>5258</v>
      </c>
      <c r="C1743" s="1" t="s">
        <v>5259</v>
      </c>
      <c r="D1743" s="1" t="s">
        <v>4835</v>
      </c>
      <c r="E1743" s="1" t="s">
        <v>4836</v>
      </c>
      <c r="F1743" s="1">
        <v>1.7923738E7</v>
      </c>
      <c r="G1743" s="1">
        <v>697367.0</v>
      </c>
      <c r="H1743" s="1">
        <v>3834.0</v>
      </c>
      <c r="I1743" s="1">
        <v>2.11E7</v>
      </c>
      <c r="J1743" s="1" t="s">
        <v>2468</v>
      </c>
    </row>
    <row r="1744">
      <c r="A1744" s="1" t="s">
        <v>5260</v>
      </c>
      <c r="B1744" s="1" t="s">
        <v>5261</v>
      </c>
      <c r="C1744" s="1" t="s">
        <v>5262</v>
      </c>
      <c r="D1744" s="1" t="s">
        <v>4835</v>
      </c>
      <c r="E1744" s="1" t="s">
        <v>4836</v>
      </c>
      <c r="F1744" s="1">
        <v>5.2567702E7</v>
      </c>
      <c r="G1744" s="1">
        <v>1040037.0</v>
      </c>
      <c r="H1744" s="1">
        <v>33910.0</v>
      </c>
      <c r="I1744" s="1">
        <v>2.11E7</v>
      </c>
      <c r="J1744" s="1" t="s">
        <v>2468</v>
      </c>
    </row>
    <row r="1745">
      <c r="A1745" s="1" t="s">
        <v>5263</v>
      </c>
      <c r="B1745" s="1" t="s">
        <v>5264</v>
      </c>
      <c r="C1745" s="1" t="s">
        <v>5265</v>
      </c>
      <c r="D1745" s="1" t="s">
        <v>4835</v>
      </c>
      <c r="E1745" s="1" t="s">
        <v>4836</v>
      </c>
      <c r="F1745" s="1">
        <v>6.3020352E7</v>
      </c>
      <c r="G1745" s="1">
        <v>2601360.0</v>
      </c>
      <c r="H1745" s="1">
        <v>20531.0</v>
      </c>
      <c r="I1745" s="1">
        <v>2.11E7</v>
      </c>
      <c r="J1745" s="1" t="s">
        <v>2468</v>
      </c>
    </row>
    <row r="1746">
      <c r="A1746" s="1" t="s">
        <v>5266</v>
      </c>
      <c r="B1746" s="1" t="s">
        <v>5267</v>
      </c>
      <c r="C1746" s="1" t="s">
        <v>5268</v>
      </c>
      <c r="D1746" s="1" t="s">
        <v>4835</v>
      </c>
      <c r="E1746" s="1" t="s">
        <v>4836</v>
      </c>
      <c r="F1746" s="1">
        <v>8123811.0</v>
      </c>
      <c r="G1746" s="1">
        <v>138426.0</v>
      </c>
      <c r="H1746" s="1">
        <v>3782.0</v>
      </c>
      <c r="I1746" s="1">
        <v>2.11E7</v>
      </c>
      <c r="J1746" s="1" t="s">
        <v>2468</v>
      </c>
    </row>
    <row r="1747">
      <c r="A1747" s="1" t="s">
        <v>5269</v>
      </c>
      <c r="B1747" s="1" t="s">
        <v>5270</v>
      </c>
      <c r="C1747" s="1" t="s">
        <v>5271</v>
      </c>
      <c r="D1747" s="1" t="s">
        <v>4835</v>
      </c>
      <c r="E1747" s="1" t="s">
        <v>4836</v>
      </c>
      <c r="F1747" s="1">
        <v>7548268.0</v>
      </c>
      <c r="G1747" s="1">
        <v>258977.0</v>
      </c>
      <c r="H1747" s="1">
        <v>44461.0</v>
      </c>
      <c r="I1747" s="1">
        <v>2.11E7</v>
      </c>
      <c r="J1747" s="1" t="s">
        <v>2468</v>
      </c>
    </row>
    <row r="1748">
      <c r="A1748" s="1" t="s">
        <v>5272</v>
      </c>
      <c r="B1748" s="1" t="s">
        <v>5273</v>
      </c>
      <c r="C1748" s="1" t="s">
        <v>5274</v>
      </c>
      <c r="D1748" s="1" t="s">
        <v>4835</v>
      </c>
      <c r="E1748" s="1" t="s">
        <v>4836</v>
      </c>
      <c r="F1748" s="1">
        <v>2.4640479E7</v>
      </c>
      <c r="G1748" s="1">
        <v>819457.0</v>
      </c>
      <c r="H1748" s="1">
        <v>24846.0</v>
      </c>
      <c r="I1748" s="1">
        <v>2.11E7</v>
      </c>
      <c r="J1748" s="1" t="s">
        <v>2468</v>
      </c>
    </row>
    <row r="1749">
      <c r="A1749" s="1" t="s">
        <v>5275</v>
      </c>
      <c r="B1749" s="1" t="s">
        <v>5276</v>
      </c>
      <c r="C1749" s="1" t="s">
        <v>5277</v>
      </c>
      <c r="D1749" s="1" t="s">
        <v>4835</v>
      </c>
      <c r="E1749" s="1" t="s">
        <v>4836</v>
      </c>
      <c r="F1749" s="1">
        <v>2387484.0</v>
      </c>
      <c r="G1749" s="1">
        <v>79419.0</v>
      </c>
      <c r="H1749" s="1">
        <v>2089.0</v>
      </c>
      <c r="I1749" s="1">
        <v>2.11E7</v>
      </c>
      <c r="J1749" s="1" t="s">
        <v>2468</v>
      </c>
    </row>
    <row r="1750">
      <c r="A1750" s="1" t="s">
        <v>5278</v>
      </c>
      <c r="B1750" s="1" t="s">
        <v>5279</v>
      </c>
      <c r="C1750" s="1" t="s">
        <v>5280</v>
      </c>
      <c r="D1750" s="1" t="s">
        <v>4835</v>
      </c>
      <c r="E1750" s="1" t="s">
        <v>4836</v>
      </c>
      <c r="F1750" s="1">
        <v>1.8475973E7</v>
      </c>
      <c r="G1750" s="1">
        <v>418573.0</v>
      </c>
      <c r="H1750" s="1">
        <v>24475.0</v>
      </c>
      <c r="I1750" s="1">
        <v>2.11E7</v>
      </c>
      <c r="J1750" s="1" t="s">
        <v>2468</v>
      </c>
    </row>
    <row r="1751">
      <c r="A1751" s="1" t="s">
        <v>5281</v>
      </c>
      <c r="B1751" s="1" t="s">
        <v>5282</v>
      </c>
      <c r="C1751" s="1" t="s">
        <v>5283</v>
      </c>
      <c r="D1751" s="1" t="s">
        <v>4835</v>
      </c>
      <c r="E1751" s="1" t="s">
        <v>4836</v>
      </c>
      <c r="F1751" s="1">
        <v>1.5254034E7</v>
      </c>
      <c r="G1751" s="1">
        <v>314009.0</v>
      </c>
      <c r="H1751" s="1">
        <v>7786.0</v>
      </c>
      <c r="I1751" s="1">
        <v>2.11E7</v>
      </c>
      <c r="J1751" s="1" t="s">
        <v>2468</v>
      </c>
    </row>
    <row r="1752">
      <c r="A1752" s="1" t="s">
        <v>5284</v>
      </c>
      <c r="B1752" s="1" t="s">
        <v>5285</v>
      </c>
      <c r="C1752" s="1" t="s">
        <v>5286</v>
      </c>
      <c r="D1752" s="1" t="s">
        <v>4835</v>
      </c>
      <c r="E1752" s="1" t="s">
        <v>4836</v>
      </c>
      <c r="F1752" s="1">
        <v>6899835.0</v>
      </c>
      <c r="G1752" s="1">
        <v>226646.0</v>
      </c>
      <c r="H1752" s="1">
        <v>12523.0</v>
      </c>
      <c r="I1752" s="1">
        <v>2.11E7</v>
      </c>
      <c r="J1752" s="1" t="s">
        <v>2468</v>
      </c>
    </row>
    <row r="1753">
      <c r="A1753" s="1" t="s">
        <v>5287</v>
      </c>
      <c r="B1753" s="1" t="s">
        <v>5288</v>
      </c>
      <c r="C1753" s="1" t="s">
        <v>5289</v>
      </c>
      <c r="D1753" s="1" t="s">
        <v>4835</v>
      </c>
      <c r="E1753" s="1" t="s">
        <v>4836</v>
      </c>
      <c r="F1753" s="1">
        <v>8183896.0</v>
      </c>
      <c r="G1753" s="1">
        <v>209840.0</v>
      </c>
      <c r="H1753" s="1">
        <v>6163.0</v>
      </c>
      <c r="I1753" s="1">
        <v>2.11E7</v>
      </c>
      <c r="J1753" s="1" t="s">
        <v>2468</v>
      </c>
    </row>
    <row r="1754">
      <c r="A1754" s="1" t="s">
        <v>5290</v>
      </c>
      <c r="B1754" s="1" t="s">
        <v>5291</v>
      </c>
      <c r="C1754" s="1" t="s">
        <v>5292</v>
      </c>
      <c r="D1754" s="1" t="s">
        <v>4835</v>
      </c>
      <c r="E1754" s="1" t="s">
        <v>4836</v>
      </c>
      <c r="F1754" s="1">
        <v>3478892.0</v>
      </c>
      <c r="G1754" s="1">
        <v>120947.0</v>
      </c>
      <c r="H1754" s="1">
        <v>4508.0</v>
      </c>
      <c r="I1754" s="1">
        <v>2.11E7</v>
      </c>
      <c r="J1754" s="1" t="s">
        <v>2468</v>
      </c>
    </row>
    <row r="1755">
      <c r="A1755" s="1" t="s">
        <v>5293</v>
      </c>
      <c r="B1755" s="1" t="s">
        <v>5294</v>
      </c>
      <c r="C1755" s="1" t="s">
        <v>5295</v>
      </c>
      <c r="D1755" s="1" t="s">
        <v>4835</v>
      </c>
      <c r="E1755" s="1" t="s">
        <v>4836</v>
      </c>
      <c r="F1755" s="1">
        <v>1.7915651E7</v>
      </c>
      <c r="G1755" s="1">
        <v>330560.0</v>
      </c>
      <c r="H1755" s="1">
        <v>13114.0</v>
      </c>
      <c r="I1755" s="1">
        <v>2.11E7</v>
      </c>
      <c r="J1755" s="1" t="s">
        <v>2468</v>
      </c>
    </row>
    <row r="1756">
      <c r="A1756" s="1" t="s">
        <v>5296</v>
      </c>
      <c r="B1756" s="1" t="s">
        <v>5297</v>
      </c>
      <c r="C1756" s="1" t="s">
        <v>5298</v>
      </c>
      <c r="D1756" s="1" t="s">
        <v>4835</v>
      </c>
      <c r="E1756" s="1" t="s">
        <v>4836</v>
      </c>
      <c r="F1756" s="1">
        <v>1.0434618E7</v>
      </c>
      <c r="G1756" s="1">
        <v>185402.0</v>
      </c>
      <c r="H1756" s="1">
        <v>5240.0</v>
      </c>
      <c r="I1756" s="1">
        <v>2.11E7</v>
      </c>
      <c r="J1756" s="1" t="s">
        <v>2468</v>
      </c>
    </row>
    <row r="1757">
      <c r="A1757" s="1" t="s">
        <v>5299</v>
      </c>
      <c r="B1757" s="1" t="s">
        <v>5300</v>
      </c>
      <c r="C1757" s="1" t="s">
        <v>5301</v>
      </c>
      <c r="D1757" s="1" t="s">
        <v>4835</v>
      </c>
      <c r="E1757" s="1" t="s">
        <v>4836</v>
      </c>
      <c r="F1757" s="1">
        <v>3976170.0</v>
      </c>
      <c r="G1757" s="1">
        <v>124462.0</v>
      </c>
      <c r="H1757" s="1">
        <v>4744.0</v>
      </c>
      <c r="I1757" s="1">
        <v>2.11E7</v>
      </c>
      <c r="J1757" s="1" t="s">
        <v>2468</v>
      </c>
    </row>
    <row r="1758">
      <c r="A1758" s="1" t="s">
        <v>5302</v>
      </c>
      <c r="B1758" s="1" t="s">
        <v>5303</v>
      </c>
      <c r="C1758" s="1" t="s">
        <v>5304</v>
      </c>
      <c r="D1758" s="1" t="s">
        <v>4835</v>
      </c>
      <c r="E1758" s="1" t="s">
        <v>4836</v>
      </c>
      <c r="F1758" s="1">
        <v>4725064.0</v>
      </c>
      <c r="G1758" s="1">
        <v>137990.0</v>
      </c>
      <c r="H1758" s="1">
        <v>4853.0</v>
      </c>
      <c r="I1758" s="1">
        <v>2.11E7</v>
      </c>
      <c r="J1758" s="1" t="s">
        <v>2468</v>
      </c>
    </row>
    <row r="1759">
      <c r="A1759" s="1" t="s">
        <v>5305</v>
      </c>
      <c r="B1759" s="1" t="s">
        <v>5306</v>
      </c>
      <c r="C1759" s="1" t="s">
        <v>5307</v>
      </c>
      <c r="D1759" s="1" t="s">
        <v>4835</v>
      </c>
      <c r="E1759" s="1" t="s">
        <v>4836</v>
      </c>
      <c r="F1759" s="1">
        <v>1.0370277E7</v>
      </c>
      <c r="G1759" s="1">
        <v>228207.0</v>
      </c>
      <c r="H1759" s="1">
        <v>10095.0</v>
      </c>
      <c r="I1759" s="1">
        <v>2.11E7</v>
      </c>
      <c r="J1759" s="1" t="s">
        <v>2468</v>
      </c>
    </row>
    <row r="1760">
      <c r="A1760" s="1" t="s">
        <v>5308</v>
      </c>
      <c r="B1760" s="1" t="s">
        <v>5309</v>
      </c>
      <c r="C1760" s="1" t="s">
        <v>5310</v>
      </c>
      <c r="D1760" s="1" t="s">
        <v>4835</v>
      </c>
      <c r="E1760" s="1" t="s">
        <v>4836</v>
      </c>
      <c r="F1760" s="1">
        <v>5606558.0</v>
      </c>
      <c r="G1760" s="1">
        <v>149251.0</v>
      </c>
      <c r="H1760" s="1">
        <v>12797.0</v>
      </c>
      <c r="I1760" s="1">
        <v>2.11E7</v>
      </c>
      <c r="J1760" s="1" t="s">
        <v>2468</v>
      </c>
    </row>
    <row r="1761">
      <c r="A1761" s="1" t="s">
        <v>5311</v>
      </c>
      <c r="B1761" s="1" t="s">
        <v>5312</v>
      </c>
      <c r="C1761" s="1" t="s">
        <v>5313</v>
      </c>
      <c r="D1761" s="1" t="s">
        <v>4835</v>
      </c>
      <c r="E1761" s="1" t="s">
        <v>4836</v>
      </c>
      <c r="F1761" s="1">
        <v>1.2815286E7</v>
      </c>
      <c r="G1761" s="1">
        <v>321489.0</v>
      </c>
      <c r="H1761" s="1">
        <v>30009.0</v>
      </c>
      <c r="I1761" s="1">
        <v>2.11E7</v>
      </c>
      <c r="J1761" s="1" t="s">
        <v>2468</v>
      </c>
    </row>
    <row r="1762">
      <c r="A1762" s="1" t="s">
        <v>5314</v>
      </c>
      <c r="B1762" s="1" t="s">
        <v>5315</v>
      </c>
      <c r="C1762" s="1" t="s">
        <v>5316</v>
      </c>
      <c r="D1762" s="1" t="s">
        <v>4835</v>
      </c>
      <c r="E1762" s="1" t="s">
        <v>4836</v>
      </c>
      <c r="F1762" s="1">
        <v>1.9441262E7</v>
      </c>
      <c r="G1762" s="1">
        <v>460331.0</v>
      </c>
      <c r="H1762" s="1">
        <v>16552.0</v>
      </c>
      <c r="I1762" s="1">
        <v>2.11E7</v>
      </c>
      <c r="J1762" s="1" t="s">
        <v>2468</v>
      </c>
    </row>
    <row r="1763">
      <c r="A1763" s="1" t="s">
        <v>5317</v>
      </c>
      <c r="B1763" s="1" t="s">
        <v>5318</v>
      </c>
      <c r="C1763" s="1" t="s">
        <v>5319</v>
      </c>
      <c r="D1763" s="1" t="s">
        <v>4835</v>
      </c>
      <c r="E1763" s="1" t="s">
        <v>4836</v>
      </c>
      <c r="F1763" s="1">
        <v>7305283.0</v>
      </c>
      <c r="G1763" s="1">
        <v>187752.0</v>
      </c>
      <c r="H1763" s="1">
        <v>5881.0</v>
      </c>
      <c r="I1763" s="1">
        <v>2.11E7</v>
      </c>
      <c r="J1763" s="1" t="s">
        <v>2468</v>
      </c>
    </row>
    <row r="1764">
      <c r="A1764" s="1" t="s">
        <v>5320</v>
      </c>
      <c r="B1764" s="1" t="s">
        <v>5321</v>
      </c>
      <c r="C1764" s="1" t="s">
        <v>5322</v>
      </c>
      <c r="D1764" s="1" t="s">
        <v>4835</v>
      </c>
      <c r="E1764" s="1" t="s">
        <v>4836</v>
      </c>
      <c r="F1764" s="1">
        <v>3.0469824E7</v>
      </c>
      <c r="G1764" s="1">
        <v>724442.0</v>
      </c>
      <c r="H1764" s="1">
        <v>26899.0</v>
      </c>
      <c r="I1764" s="1">
        <v>2.11E7</v>
      </c>
      <c r="J1764" s="1" t="s">
        <v>2468</v>
      </c>
    </row>
    <row r="1765">
      <c r="A1765" s="1" t="s">
        <v>5323</v>
      </c>
      <c r="B1765" s="1" t="s">
        <v>5324</v>
      </c>
      <c r="C1765" s="1" t="s">
        <v>5325</v>
      </c>
      <c r="D1765" s="1" t="s">
        <v>4835</v>
      </c>
      <c r="E1765" s="1" t="s">
        <v>4836</v>
      </c>
      <c r="F1765" s="1">
        <v>2852171.0</v>
      </c>
      <c r="G1765" s="1">
        <v>96324.0</v>
      </c>
      <c r="H1765" s="1">
        <v>3287.0</v>
      </c>
      <c r="I1765" s="1">
        <v>2.11E7</v>
      </c>
      <c r="J1765" s="1" t="s">
        <v>2468</v>
      </c>
    </row>
    <row r="1766">
      <c r="A1766" s="1" t="s">
        <v>5326</v>
      </c>
      <c r="B1766" s="1" t="s">
        <v>5327</v>
      </c>
      <c r="C1766" s="1" t="s">
        <v>5328</v>
      </c>
      <c r="D1766" s="1" t="s">
        <v>4835</v>
      </c>
      <c r="E1766" s="1" t="s">
        <v>4836</v>
      </c>
      <c r="F1766" s="1">
        <v>1.0107306E7</v>
      </c>
      <c r="G1766" s="1">
        <v>227278.0</v>
      </c>
      <c r="H1766" s="1">
        <v>12677.0</v>
      </c>
      <c r="I1766" s="1">
        <v>2.11E7</v>
      </c>
      <c r="J1766" s="1" t="s">
        <v>2468</v>
      </c>
    </row>
    <row r="1767">
      <c r="A1767" s="1" t="s">
        <v>5329</v>
      </c>
      <c r="B1767" s="1" t="s">
        <v>5330</v>
      </c>
      <c r="C1767" s="1" t="s">
        <v>5331</v>
      </c>
      <c r="D1767" s="1" t="s">
        <v>4835</v>
      </c>
      <c r="E1767" s="1" t="s">
        <v>4836</v>
      </c>
      <c r="F1767" s="1">
        <v>2.4571888E7</v>
      </c>
      <c r="G1767" s="1">
        <v>404235.0</v>
      </c>
      <c r="H1767" s="1">
        <v>8305.0</v>
      </c>
      <c r="I1767" s="1">
        <v>2.11E7</v>
      </c>
      <c r="J1767" s="1" t="s">
        <v>2468</v>
      </c>
    </row>
    <row r="1768">
      <c r="A1768" s="1" t="s">
        <v>5332</v>
      </c>
      <c r="B1768" s="1" t="s">
        <v>5333</v>
      </c>
      <c r="C1768" s="1" t="s">
        <v>5334</v>
      </c>
      <c r="D1768" s="1" t="s">
        <v>4835</v>
      </c>
      <c r="E1768" s="1" t="s">
        <v>4836</v>
      </c>
      <c r="F1768" s="1">
        <v>8553623.0</v>
      </c>
      <c r="G1768" s="1">
        <v>244371.0</v>
      </c>
      <c r="H1768" s="1">
        <v>7862.0</v>
      </c>
      <c r="I1768" s="1">
        <v>2.11E7</v>
      </c>
      <c r="J1768" s="1" t="s">
        <v>2468</v>
      </c>
    </row>
    <row r="1769">
      <c r="A1769" s="1" t="s">
        <v>5335</v>
      </c>
      <c r="B1769" s="1" t="s">
        <v>5336</v>
      </c>
      <c r="C1769" s="1" t="s">
        <v>5337</v>
      </c>
      <c r="D1769" s="1" t="s">
        <v>4835</v>
      </c>
      <c r="E1769" s="1" t="s">
        <v>4836</v>
      </c>
      <c r="F1769" s="1">
        <v>1.7723808E7</v>
      </c>
      <c r="G1769" s="1">
        <v>257834.0</v>
      </c>
      <c r="H1769" s="1">
        <v>8123.0</v>
      </c>
      <c r="I1769" s="1">
        <v>2.11E7</v>
      </c>
      <c r="J1769" s="1" t="s">
        <v>2468</v>
      </c>
    </row>
    <row r="1770">
      <c r="A1770" s="1" t="s">
        <v>5338</v>
      </c>
      <c r="B1770" s="1" t="s">
        <v>5339</v>
      </c>
      <c r="C1770" s="1" t="s">
        <v>5340</v>
      </c>
      <c r="D1770" s="1" t="s">
        <v>4835</v>
      </c>
      <c r="E1770" s="1" t="s">
        <v>4836</v>
      </c>
      <c r="F1770" s="1">
        <v>1.4018168E7</v>
      </c>
      <c r="G1770" s="1">
        <v>298934.0</v>
      </c>
      <c r="H1770" s="1">
        <v>11601.0</v>
      </c>
      <c r="I1770" s="1">
        <v>2.11E7</v>
      </c>
      <c r="J1770" s="1" t="s">
        <v>2468</v>
      </c>
    </row>
    <row r="1771">
      <c r="A1771" s="1" t="s">
        <v>5341</v>
      </c>
      <c r="B1771" s="1" t="s">
        <v>5342</v>
      </c>
      <c r="C1771" s="1" t="s">
        <v>5343</v>
      </c>
      <c r="D1771" s="1" t="s">
        <v>4835</v>
      </c>
      <c r="E1771" s="1" t="s">
        <v>4836</v>
      </c>
      <c r="F1771" s="1">
        <v>3051260.0</v>
      </c>
      <c r="G1771" s="1">
        <v>168585.0</v>
      </c>
      <c r="H1771" s="1">
        <v>1774.0</v>
      </c>
      <c r="I1771" s="1">
        <v>2.11E7</v>
      </c>
      <c r="J1771" s="1" t="s">
        <v>2468</v>
      </c>
    </row>
    <row r="1772">
      <c r="A1772" s="1" t="s">
        <v>5344</v>
      </c>
      <c r="B1772" s="1" t="s">
        <v>5345</v>
      </c>
      <c r="C1772" s="1" t="s">
        <v>5346</v>
      </c>
      <c r="D1772" s="1" t="s">
        <v>4835</v>
      </c>
      <c r="E1772" s="1" t="s">
        <v>4836</v>
      </c>
      <c r="F1772" s="1">
        <v>1.3526038E7</v>
      </c>
      <c r="G1772" s="1">
        <v>361413.0</v>
      </c>
      <c r="H1772" s="1">
        <v>11899.0</v>
      </c>
      <c r="I1772" s="1">
        <v>2.11E7</v>
      </c>
      <c r="J1772" s="1" t="s">
        <v>2468</v>
      </c>
    </row>
    <row r="1773">
      <c r="A1773" s="1" t="s">
        <v>5347</v>
      </c>
      <c r="B1773" s="1" t="s">
        <v>5348</v>
      </c>
      <c r="C1773" s="1" t="s">
        <v>5349</v>
      </c>
      <c r="D1773" s="1" t="s">
        <v>4835</v>
      </c>
      <c r="E1773" s="1" t="s">
        <v>4836</v>
      </c>
      <c r="F1773" s="1">
        <v>1.6266284E7</v>
      </c>
      <c r="G1773" s="1">
        <v>228539.0</v>
      </c>
      <c r="H1773" s="1">
        <v>7799.0</v>
      </c>
      <c r="I1773" s="1">
        <v>2.11E7</v>
      </c>
      <c r="J1773" s="1" t="s">
        <v>2468</v>
      </c>
    </row>
    <row r="1774">
      <c r="A1774" s="1" t="s">
        <v>5350</v>
      </c>
      <c r="B1774" s="1" t="s">
        <v>5351</v>
      </c>
      <c r="C1774" s="1" t="s">
        <v>5352</v>
      </c>
      <c r="D1774" s="1" t="s">
        <v>4835</v>
      </c>
      <c r="E1774" s="1" t="s">
        <v>4836</v>
      </c>
      <c r="F1774" s="1">
        <v>9000162.0</v>
      </c>
      <c r="G1774" s="1">
        <v>433212.0</v>
      </c>
      <c r="H1774" s="1">
        <v>10413.0</v>
      </c>
      <c r="I1774" s="1">
        <v>2.11E7</v>
      </c>
      <c r="J1774" s="1" t="s">
        <v>2468</v>
      </c>
    </row>
    <row r="1775">
      <c r="A1775" s="1" t="s">
        <v>5353</v>
      </c>
      <c r="B1775" s="1" t="s">
        <v>5354</v>
      </c>
      <c r="C1775" s="1" t="s">
        <v>5355</v>
      </c>
      <c r="D1775" s="1" t="s">
        <v>4835</v>
      </c>
      <c r="E1775" s="1" t="s">
        <v>4836</v>
      </c>
      <c r="F1775" s="1">
        <v>1543454.0</v>
      </c>
      <c r="G1775" s="1">
        <v>65383.0</v>
      </c>
      <c r="H1775" s="1">
        <v>784.0</v>
      </c>
      <c r="I1775" s="1">
        <v>2.11E7</v>
      </c>
      <c r="J1775" s="1" t="s">
        <v>2468</v>
      </c>
    </row>
    <row r="1776">
      <c r="A1776" s="1" t="s">
        <v>5356</v>
      </c>
      <c r="B1776" s="1" t="s">
        <v>5357</v>
      </c>
      <c r="C1776" s="1" t="s">
        <v>5358</v>
      </c>
      <c r="D1776" s="1" t="s">
        <v>4835</v>
      </c>
      <c r="E1776" s="1" t="s">
        <v>4836</v>
      </c>
      <c r="F1776" s="1">
        <v>2.7109891E7</v>
      </c>
      <c r="G1776" s="1">
        <v>895604.0</v>
      </c>
      <c r="H1776" s="1">
        <v>10210.0</v>
      </c>
      <c r="I1776" s="1">
        <v>2.11E7</v>
      </c>
      <c r="J1776" s="1" t="s">
        <v>2468</v>
      </c>
    </row>
    <row r="1777">
      <c r="A1777" s="1" t="s">
        <v>5359</v>
      </c>
      <c r="B1777" s="1" t="s">
        <v>5360</v>
      </c>
      <c r="C1777" s="1" t="s">
        <v>5361</v>
      </c>
      <c r="D1777" s="1" t="s">
        <v>4835</v>
      </c>
      <c r="E1777" s="1" t="s">
        <v>4836</v>
      </c>
      <c r="F1777" s="1">
        <v>5882671.0</v>
      </c>
      <c r="G1777" s="1">
        <v>332865.0</v>
      </c>
      <c r="H1777" s="1">
        <v>32915.0</v>
      </c>
      <c r="I1777" s="1">
        <v>2.11E7</v>
      </c>
      <c r="J1777" s="1" t="s">
        <v>2468</v>
      </c>
    </row>
    <row r="1778">
      <c r="A1778" s="1" t="s">
        <v>5362</v>
      </c>
      <c r="B1778" s="1" t="s">
        <v>5363</v>
      </c>
      <c r="C1778" s="1" t="s">
        <v>5364</v>
      </c>
      <c r="D1778" s="1" t="s">
        <v>4835</v>
      </c>
      <c r="E1778" s="1" t="s">
        <v>4836</v>
      </c>
      <c r="F1778" s="1">
        <v>1.4372603E7</v>
      </c>
      <c r="G1778" s="1">
        <v>732788.0</v>
      </c>
      <c r="H1778" s="1">
        <v>4121.0</v>
      </c>
      <c r="I1778" s="1">
        <v>2.11E7</v>
      </c>
      <c r="J1778" s="1" t="s">
        <v>2468</v>
      </c>
    </row>
    <row r="1779">
      <c r="A1779" s="1" t="s">
        <v>5365</v>
      </c>
      <c r="B1779" s="1" t="s">
        <v>5366</v>
      </c>
      <c r="C1779" s="1" t="s">
        <v>5367</v>
      </c>
      <c r="D1779" s="1" t="s">
        <v>4835</v>
      </c>
      <c r="E1779" s="1" t="s">
        <v>4836</v>
      </c>
      <c r="F1779" s="1">
        <v>9257757.0</v>
      </c>
      <c r="G1779" s="1">
        <v>326266.0</v>
      </c>
      <c r="H1779" s="1">
        <v>2819.0</v>
      </c>
      <c r="I1779" s="1">
        <v>2.11E7</v>
      </c>
      <c r="J1779" s="1" t="s">
        <v>2468</v>
      </c>
    </row>
    <row r="1780">
      <c r="A1780" s="1" t="s">
        <v>5368</v>
      </c>
      <c r="B1780" s="1" t="s">
        <v>5369</v>
      </c>
      <c r="C1780" s="1" t="s">
        <v>5370</v>
      </c>
      <c r="D1780" s="1" t="s">
        <v>4835</v>
      </c>
      <c r="E1780" s="1" t="s">
        <v>4836</v>
      </c>
      <c r="F1780" s="1">
        <v>7800111.0</v>
      </c>
      <c r="G1780" s="1">
        <v>189083.0</v>
      </c>
      <c r="H1780" s="1">
        <v>6380.0</v>
      </c>
      <c r="I1780" s="1">
        <v>2.11E7</v>
      </c>
      <c r="J1780" s="1" t="s">
        <v>2468</v>
      </c>
    </row>
    <row r="1781">
      <c r="A1781" s="1" t="s">
        <v>5371</v>
      </c>
      <c r="B1781" s="1" t="s">
        <v>5372</v>
      </c>
      <c r="C1781" s="1" t="s">
        <v>5373</v>
      </c>
      <c r="D1781" s="1" t="s">
        <v>4835</v>
      </c>
      <c r="E1781" s="1" t="s">
        <v>4836</v>
      </c>
      <c r="F1781" s="1">
        <v>4666869.0</v>
      </c>
      <c r="G1781" s="1">
        <v>118689.0</v>
      </c>
      <c r="H1781" s="1">
        <v>1891.0</v>
      </c>
      <c r="I1781" s="1">
        <v>2.11E7</v>
      </c>
      <c r="J1781" s="1" t="s">
        <v>2468</v>
      </c>
    </row>
    <row r="1782">
      <c r="A1782" s="1" t="s">
        <v>5374</v>
      </c>
      <c r="B1782" s="1" t="s">
        <v>5375</v>
      </c>
      <c r="C1782" s="1" t="s">
        <v>5376</v>
      </c>
      <c r="D1782" s="1" t="s">
        <v>4835</v>
      </c>
      <c r="E1782" s="1" t="s">
        <v>4836</v>
      </c>
      <c r="F1782" s="1">
        <v>5.3019278E7</v>
      </c>
      <c r="G1782" s="1">
        <v>1456551.0</v>
      </c>
      <c r="H1782" s="1">
        <v>49482.0</v>
      </c>
      <c r="I1782" s="1">
        <v>2.11E7</v>
      </c>
      <c r="J1782" s="1" t="s">
        <v>2468</v>
      </c>
    </row>
    <row r="1783">
      <c r="A1783" s="1" t="s">
        <v>5377</v>
      </c>
      <c r="B1783" s="1" t="s">
        <v>5378</v>
      </c>
      <c r="C1783" s="1" t="s">
        <v>5379</v>
      </c>
      <c r="D1783" s="1" t="s">
        <v>4835</v>
      </c>
      <c r="E1783" s="1" t="s">
        <v>4836</v>
      </c>
      <c r="F1783" s="1">
        <v>1.1887761E7</v>
      </c>
      <c r="G1783" s="1">
        <v>482853.0</v>
      </c>
      <c r="H1783" s="1">
        <v>7123.0</v>
      </c>
      <c r="I1783" s="1">
        <v>2.11E7</v>
      </c>
      <c r="J1783" s="1" t="s">
        <v>2468</v>
      </c>
    </row>
    <row r="1784">
      <c r="A1784" s="1" t="s">
        <v>5380</v>
      </c>
      <c r="B1784" s="1" t="s">
        <v>5381</v>
      </c>
      <c r="C1784" s="1" t="s">
        <v>5382</v>
      </c>
      <c r="D1784" s="1" t="s">
        <v>4835</v>
      </c>
      <c r="E1784" s="1" t="s">
        <v>4836</v>
      </c>
      <c r="F1784" s="1">
        <v>7383871.0</v>
      </c>
      <c r="G1784" s="1">
        <v>153687.0</v>
      </c>
      <c r="H1784" s="1">
        <v>5804.0</v>
      </c>
      <c r="I1784" s="1">
        <v>2.11E7</v>
      </c>
      <c r="J1784" s="1" t="s">
        <v>2468</v>
      </c>
    </row>
    <row r="1785">
      <c r="A1785" s="1" t="s">
        <v>5383</v>
      </c>
      <c r="B1785" s="1" t="s">
        <v>5384</v>
      </c>
      <c r="C1785" s="1" t="s">
        <v>5385</v>
      </c>
      <c r="D1785" s="1" t="s">
        <v>4835</v>
      </c>
      <c r="E1785" s="1" t="s">
        <v>4836</v>
      </c>
      <c r="F1785" s="1">
        <v>1.5827835E7</v>
      </c>
      <c r="G1785" s="1">
        <v>348584.0</v>
      </c>
      <c r="H1785" s="1">
        <v>30391.0</v>
      </c>
      <c r="I1785" s="1">
        <v>2.11E7</v>
      </c>
      <c r="J1785" s="1" t="s">
        <v>2468</v>
      </c>
    </row>
    <row r="1786">
      <c r="A1786" s="1" t="s">
        <v>5386</v>
      </c>
      <c r="B1786" s="1" t="s">
        <v>5387</v>
      </c>
      <c r="C1786" s="1" t="s">
        <v>5388</v>
      </c>
      <c r="D1786" s="1" t="s">
        <v>4835</v>
      </c>
      <c r="E1786" s="1" t="s">
        <v>4836</v>
      </c>
      <c r="F1786" s="1">
        <v>7809834.0</v>
      </c>
      <c r="G1786" s="1">
        <v>193820.0</v>
      </c>
      <c r="H1786" s="1">
        <v>5173.0</v>
      </c>
      <c r="I1786" s="1">
        <v>2.11E7</v>
      </c>
      <c r="J1786" s="1" t="s">
        <v>2468</v>
      </c>
    </row>
    <row r="1787">
      <c r="A1787" s="1" t="s">
        <v>5389</v>
      </c>
      <c r="B1787" s="1" t="s">
        <v>5390</v>
      </c>
      <c r="C1787" s="1" t="s">
        <v>5391</v>
      </c>
      <c r="D1787" s="1" t="s">
        <v>4835</v>
      </c>
      <c r="E1787" s="1" t="s">
        <v>4836</v>
      </c>
      <c r="F1787" s="1">
        <v>4.4860068E7</v>
      </c>
      <c r="G1787" s="1">
        <v>455364.0</v>
      </c>
      <c r="H1787" s="1">
        <v>8652.0</v>
      </c>
      <c r="I1787" s="1">
        <v>2.11E7</v>
      </c>
      <c r="J1787" s="1" t="s">
        <v>2468</v>
      </c>
    </row>
    <row r="1788">
      <c r="A1788" s="1" t="s">
        <v>5392</v>
      </c>
      <c r="B1788" s="1" t="s">
        <v>5393</v>
      </c>
      <c r="C1788" s="1" t="s">
        <v>5394</v>
      </c>
      <c r="D1788" s="1" t="s">
        <v>4835</v>
      </c>
      <c r="E1788" s="1" t="s">
        <v>4836</v>
      </c>
      <c r="F1788" s="1">
        <v>1706082.0</v>
      </c>
      <c r="G1788" s="1">
        <v>108229.0</v>
      </c>
      <c r="H1788" s="1">
        <v>823.0</v>
      </c>
      <c r="I1788" s="1">
        <v>2.11E7</v>
      </c>
      <c r="J1788" s="1" t="s">
        <v>2468</v>
      </c>
    </row>
    <row r="1789">
      <c r="A1789" s="1" t="s">
        <v>5395</v>
      </c>
      <c r="B1789" s="1" t="s">
        <v>5396</v>
      </c>
      <c r="C1789" s="1" t="s">
        <v>5397</v>
      </c>
      <c r="D1789" s="1" t="s">
        <v>4835</v>
      </c>
      <c r="E1789" s="1" t="s">
        <v>4836</v>
      </c>
      <c r="F1789" s="1">
        <v>1.2562999E7</v>
      </c>
      <c r="G1789" s="1">
        <v>252620.0</v>
      </c>
      <c r="H1789" s="1">
        <v>10710.0</v>
      </c>
      <c r="I1789" s="1">
        <v>2.11E7</v>
      </c>
      <c r="J1789" s="1" t="s">
        <v>2468</v>
      </c>
    </row>
    <row r="1790">
      <c r="A1790" s="1" t="s">
        <v>5398</v>
      </c>
      <c r="B1790" s="1" t="s">
        <v>5399</v>
      </c>
      <c r="C1790" s="1" t="s">
        <v>5400</v>
      </c>
      <c r="D1790" s="1" t="s">
        <v>4835</v>
      </c>
      <c r="E1790" s="1" t="s">
        <v>4836</v>
      </c>
      <c r="F1790" s="1">
        <v>1.3873309E7</v>
      </c>
      <c r="G1790" s="1">
        <v>248652.0</v>
      </c>
      <c r="H1790" s="1">
        <v>9268.0</v>
      </c>
      <c r="I1790" s="1">
        <v>2.11E7</v>
      </c>
      <c r="J1790" s="1" t="s">
        <v>2468</v>
      </c>
    </row>
    <row r="1791">
      <c r="A1791" s="1" t="s">
        <v>5401</v>
      </c>
      <c r="B1791" s="1" t="s">
        <v>5402</v>
      </c>
      <c r="C1791" s="1" t="s">
        <v>5403</v>
      </c>
      <c r="D1791" s="1" t="s">
        <v>4835</v>
      </c>
      <c r="E1791" s="1" t="s">
        <v>4836</v>
      </c>
      <c r="F1791" s="1">
        <v>1.0564125E7</v>
      </c>
      <c r="G1791" s="1">
        <v>301468.0</v>
      </c>
      <c r="H1791" s="1">
        <v>7820.0</v>
      </c>
      <c r="I1791" s="1">
        <v>2.11E7</v>
      </c>
      <c r="J1791" s="1" t="s">
        <v>2468</v>
      </c>
    </row>
    <row r="1792">
      <c r="A1792" s="1" t="s">
        <v>5404</v>
      </c>
      <c r="B1792" s="1" t="s">
        <v>5405</v>
      </c>
      <c r="C1792" s="1" t="s">
        <v>5406</v>
      </c>
      <c r="D1792" s="1" t="s">
        <v>4835</v>
      </c>
      <c r="E1792" s="1" t="s">
        <v>4836</v>
      </c>
      <c r="F1792" s="1">
        <v>4463228.0</v>
      </c>
      <c r="G1792" s="1">
        <v>206619.0</v>
      </c>
      <c r="H1792" s="1">
        <v>3525.0</v>
      </c>
      <c r="I1792" s="1">
        <v>2.11E7</v>
      </c>
      <c r="J1792" s="1" t="s">
        <v>2468</v>
      </c>
    </row>
    <row r="1793">
      <c r="A1793" s="1" t="s">
        <v>5407</v>
      </c>
      <c r="B1793" s="1" t="s">
        <v>5408</v>
      </c>
      <c r="C1793" s="1" t="s">
        <v>5409</v>
      </c>
      <c r="D1793" s="1" t="s">
        <v>4835</v>
      </c>
      <c r="E1793" s="1" t="s">
        <v>4836</v>
      </c>
      <c r="F1793" s="1">
        <v>1.972889E7</v>
      </c>
      <c r="G1793" s="1">
        <v>353638.0</v>
      </c>
      <c r="H1793" s="1">
        <v>13608.0</v>
      </c>
      <c r="I1793" s="1">
        <v>2.11E7</v>
      </c>
      <c r="J1793" s="1" t="s">
        <v>2468</v>
      </c>
    </row>
    <row r="1794">
      <c r="A1794" s="1" t="s">
        <v>5410</v>
      </c>
      <c r="B1794" s="1" t="s">
        <v>5411</v>
      </c>
      <c r="C1794" s="1" t="s">
        <v>5412</v>
      </c>
      <c r="D1794" s="1" t="s">
        <v>4835</v>
      </c>
      <c r="E1794" s="1" t="s">
        <v>4836</v>
      </c>
      <c r="F1794" s="1">
        <v>1.4285111E7</v>
      </c>
      <c r="G1794" s="1">
        <v>179402.0</v>
      </c>
      <c r="H1794" s="1">
        <v>5695.0</v>
      </c>
      <c r="I1794" s="1">
        <v>2.11E7</v>
      </c>
      <c r="J1794" s="1" t="s">
        <v>2468</v>
      </c>
    </row>
    <row r="1795">
      <c r="A1795" s="1" t="s">
        <v>5413</v>
      </c>
      <c r="B1795" s="1" t="s">
        <v>5414</v>
      </c>
      <c r="C1795" s="1" t="s">
        <v>5415</v>
      </c>
      <c r="D1795" s="1" t="s">
        <v>4835</v>
      </c>
      <c r="E1795" s="1" t="s">
        <v>4836</v>
      </c>
      <c r="F1795" s="1">
        <v>1.5841596E7</v>
      </c>
      <c r="G1795" s="1">
        <v>632652.0</v>
      </c>
      <c r="H1795" s="1">
        <v>14613.0</v>
      </c>
      <c r="I1795" s="1">
        <v>2.11E7</v>
      </c>
      <c r="J1795" s="1" t="s">
        <v>2468</v>
      </c>
    </row>
    <row r="1796">
      <c r="A1796" s="1" t="s">
        <v>5416</v>
      </c>
      <c r="B1796" s="1" t="s">
        <v>5417</v>
      </c>
      <c r="C1796" s="1" t="s">
        <v>5418</v>
      </c>
      <c r="D1796" s="1" t="s">
        <v>4835</v>
      </c>
      <c r="E1796" s="1" t="s">
        <v>4836</v>
      </c>
      <c r="F1796" s="1">
        <v>1.553496E7</v>
      </c>
      <c r="G1796" s="1">
        <v>565267.0</v>
      </c>
      <c r="H1796" s="1">
        <v>20154.0</v>
      </c>
      <c r="I1796" s="1">
        <v>2.11E7</v>
      </c>
      <c r="J1796" s="1" t="s">
        <v>2468</v>
      </c>
    </row>
    <row r="1797">
      <c r="A1797" s="1" t="s">
        <v>5419</v>
      </c>
      <c r="B1797" s="1" t="s">
        <v>5420</v>
      </c>
      <c r="C1797" s="1" t="s">
        <v>5421</v>
      </c>
      <c r="D1797" s="1" t="s">
        <v>4835</v>
      </c>
      <c r="E1797" s="1" t="s">
        <v>4836</v>
      </c>
      <c r="F1797" s="1">
        <v>1.882349E7</v>
      </c>
      <c r="G1797" s="1">
        <v>485924.0</v>
      </c>
      <c r="H1797" s="1">
        <v>39785.0</v>
      </c>
      <c r="I1797" s="1">
        <v>2.11E7</v>
      </c>
      <c r="J1797" s="1" t="s">
        <v>2468</v>
      </c>
    </row>
    <row r="1798">
      <c r="A1798" s="1" t="s">
        <v>5422</v>
      </c>
      <c r="B1798" s="1" t="s">
        <v>5423</v>
      </c>
      <c r="C1798" s="1" t="s">
        <v>5424</v>
      </c>
      <c r="D1798" s="1" t="s">
        <v>4835</v>
      </c>
      <c r="E1798" s="1" t="s">
        <v>4836</v>
      </c>
      <c r="F1798" s="1">
        <v>1.1134184E7</v>
      </c>
      <c r="G1798" s="1">
        <v>288103.0</v>
      </c>
      <c r="H1798" s="1">
        <v>15480.0</v>
      </c>
      <c r="I1798" s="1">
        <v>2.11E7</v>
      </c>
      <c r="J1798" s="1" t="s">
        <v>2468</v>
      </c>
    </row>
    <row r="1799">
      <c r="A1799" s="1" t="s">
        <v>5425</v>
      </c>
      <c r="B1799" s="1" t="s">
        <v>5426</v>
      </c>
      <c r="C1799" s="1" t="s">
        <v>5427</v>
      </c>
      <c r="D1799" s="1" t="s">
        <v>4835</v>
      </c>
      <c r="E1799" s="1" t="s">
        <v>4836</v>
      </c>
      <c r="F1799" s="1">
        <v>8066310.0</v>
      </c>
      <c r="G1799" s="1">
        <v>231077.0</v>
      </c>
      <c r="H1799" s="1">
        <v>10171.0</v>
      </c>
      <c r="I1799" s="1">
        <v>2.11E7</v>
      </c>
      <c r="J1799" s="1" t="s">
        <v>2468</v>
      </c>
    </row>
    <row r="1800">
      <c r="A1800" s="1" t="s">
        <v>5428</v>
      </c>
      <c r="B1800" s="1" t="s">
        <v>5429</v>
      </c>
      <c r="C1800" s="1" t="s">
        <v>5430</v>
      </c>
      <c r="D1800" s="1" t="s">
        <v>4835</v>
      </c>
      <c r="E1800" s="1" t="s">
        <v>4836</v>
      </c>
      <c r="F1800" s="1">
        <v>1.2527642E7</v>
      </c>
      <c r="G1800" s="1">
        <v>384150.0</v>
      </c>
      <c r="H1800" s="1">
        <v>24859.0</v>
      </c>
      <c r="I1800" s="1">
        <v>2.11E7</v>
      </c>
      <c r="J1800" s="1" t="s">
        <v>2468</v>
      </c>
    </row>
    <row r="1801">
      <c r="A1801" s="1" t="s">
        <v>5431</v>
      </c>
      <c r="B1801" s="1" t="s">
        <v>5432</v>
      </c>
      <c r="C1801" s="1" t="s">
        <v>5433</v>
      </c>
      <c r="D1801" s="1" t="s">
        <v>4835</v>
      </c>
      <c r="E1801" s="1" t="s">
        <v>4836</v>
      </c>
      <c r="F1801" s="1">
        <v>4.3053934E7</v>
      </c>
      <c r="G1801" s="1">
        <v>942285.0</v>
      </c>
      <c r="H1801" s="1">
        <v>46491.0</v>
      </c>
      <c r="I1801" s="1">
        <v>2.11E7</v>
      </c>
      <c r="J1801" s="1" t="s">
        <v>2468</v>
      </c>
    </row>
    <row r="1802">
      <c r="A1802" s="1" t="s">
        <v>5434</v>
      </c>
      <c r="B1802" s="1" t="s">
        <v>5435</v>
      </c>
      <c r="C1802" s="1" t="s">
        <v>5436</v>
      </c>
      <c r="D1802" s="1" t="s">
        <v>5437</v>
      </c>
      <c r="E1802" s="1" t="s">
        <v>5438</v>
      </c>
      <c r="F1802" s="1">
        <v>33323.0</v>
      </c>
      <c r="G1802" s="1">
        <v>2271.0</v>
      </c>
      <c r="H1802" s="1">
        <v>121.0</v>
      </c>
      <c r="I1802" s="1">
        <v>2.28E7</v>
      </c>
      <c r="J1802" s="1" t="s">
        <v>2468</v>
      </c>
    </row>
    <row r="1803">
      <c r="A1803" s="1" t="s">
        <v>5439</v>
      </c>
      <c r="B1803" s="1" t="s">
        <v>5440</v>
      </c>
      <c r="C1803" s="1" t="s">
        <v>5441</v>
      </c>
      <c r="D1803" s="1" t="s">
        <v>5437</v>
      </c>
      <c r="E1803" s="1" t="s">
        <v>5438</v>
      </c>
      <c r="F1803" s="1">
        <v>118297.0</v>
      </c>
      <c r="G1803" s="1">
        <v>4384.0</v>
      </c>
      <c r="H1803" s="1">
        <v>220.0</v>
      </c>
      <c r="I1803" s="1">
        <v>2.28E7</v>
      </c>
      <c r="J1803" s="1" t="s">
        <v>2468</v>
      </c>
    </row>
    <row r="1804">
      <c r="A1804" s="1" t="s">
        <v>5442</v>
      </c>
      <c r="B1804" s="1" t="s">
        <v>5443</v>
      </c>
      <c r="C1804" s="1" t="s">
        <v>5444</v>
      </c>
      <c r="D1804" s="1" t="s">
        <v>5437</v>
      </c>
      <c r="E1804" s="1" t="s">
        <v>5438</v>
      </c>
      <c r="F1804" s="1">
        <v>220401.0</v>
      </c>
      <c r="G1804" s="1">
        <v>7920.0</v>
      </c>
      <c r="H1804" s="1">
        <v>358.0</v>
      </c>
      <c r="I1804" s="1">
        <v>2.28E7</v>
      </c>
      <c r="J1804" s="1" t="s">
        <v>2468</v>
      </c>
    </row>
    <row r="1805">
      <c r="A1805" s="1" t="s">
        <v>5445</v>
      </c>
      <c r="B1805" s="1" t="s">
        <v>5446</v>
      </c>
      <c r="C1805" s="1" t="s">
        <v>5447</v>
      </c>
      <c r="D1805" s="1" t="s">
        <v>5437</v>
      </c>
      <c r="E1805" s="1" t="s">
        <v>5438</v>
      </c>
      <c r="F1805" s="1">
        <v>252171.0</v>
      </c>
      <c r="G1805" s="1">
        <v>7090.0</v>
      </c>
      <c r="H1805" s="1">
        <v>292.0</v>
      </c>
      <c r="I1805" s="1">
        <v>2.28E7</v>
      </c>
      <c r="J1805" s="1" t="s">
        <v>2468</v>
      </c>
    </row>
    <row r="1806">
      <c r="A1806" s="1" t="s">
        <v>5448</v>
      </c>
      <c r="B1806" s="1" t="s">
        <v>5449</v>
      </c>
      <c r="C1806" s="1" t="s">
        <v>5450</v>
      </c>
      <c r="D1806" s="1" t="s">
        <v>5437</v>
      </c>
      <c r="E1806" s="1" t="s">
        <v>5438</v>
      </c>
      <c r="F1806" s="1">
        <v>225565.0</v>
      </c>
      <c r="G1806" s="1">
        <v>6430.0</v>
      </c>
      <c r="H1806" s="1">
        <v>211.0</v>
      </c>
      <c r="I1806" s="1">
        <v>2.28E7</v>
      </c>
      <c r="J1806" s="1" t="s">
        <v>2468</v>
      </c>
    </row>
    <row r="1807">
      <c r="A1807" s="1" t="s">
        <v>5451</v>
      </c>
      <c r="B1807" s="1" t="s">
        <v>5452</v>
      </c>
      <c r="C1807" s="1" t="s">
        <v>5453</v>
      </c>
      <c r="D1807" s="1" t="s">
        <v>5437</v>
      </c>
      <c r="E1807" s="1" t="s">
        <v>5438</v>
      </c>
      <c r="F1807" s="1">
        <v>120869.0</v>
      </c>
      <c r="G1807" s="1">
        <v>4265.0</v>
      </c>
      <c r="H1807" s="1">
        <v>132.0</v>
      </c>
      <c r="I1807" s="1">
        <v>2.28E7</v>
      </c>
      <c r="J1807" s="1" t="s">
        <v>2468</v>
      </c>
    </row>
    <row r="1808">
      <c r="A1808" s="1" t="s">
        <v>5454</v>
      </c>
      <c r="B1808" s="1" t="s">
        <v>5455</v>
      </c>
      <c r="C1808" s="1" t="s">
        <v>5456</v>
      </c>
      <c r="D1808" s="1" t="s">
        <v>5437</v>
      </c>
      <c r="E1808" s="1" t="s">
        <v>5438</v>
      </c>
      <c r="F1808" s="1">
        <v>458576.0</v>
      </c>
      <c r="G1808" s="1">
        <v>15031.0</v>
      </c>
      <c r="H1808" s="1">
        <v>672.0</v>
      </c>
      <c r="I1808" s="1">
        <v>2.28E7</v>
      </c>
      <c r="J1808" s="1" t="s">
        <v>2468</v>
      </c>
    </row>
    <row r="1809">
      <c r="A1809" s="1" t="s">
        <v>5457</v>
      </c>
      <c r="B1809" s="1" t="s">
        <v>5458</v>
      </c>
      <c r="C1809" s="1" t="s">
        <v>5459</v>
      </c>
      <c r="D1809" s="1" t="s">
        <v>5437</v>
      </c>
      <c r="E1809" s="1" t="s">
        <v>5438</v>
      </c>
      <c r="F1809" s="1">
        <v>381509.0</v>
      </c>
      <c r="G1809" s="1">
        <v>11120.0</v>
      </c>
      <c r="H1809" s="1">
        <v>427.0</v>
      </c>
      <c r="I1809" s="1">
        <v>2.28E7</v>
      </c>
      <c r="J1809" s="1" t="s">
        <v>2468</v>
      </c>
    </row>
    <row r="1810">
      <c r="A1810" s="1" t="s">
        <v>5460</v>
      </c>
      <c r="B1810" s="1" t="s">
        <v>5461</v>
      </c>
      <c r="C1810" s="1" t="s">
        <v>5462</v>
      </c>
      <c r="D1810" s="1" t="s">
        <v>5437</v>
      </c>
      <c r="E1810" s="1" t="s">
        <v>5438</v>
      </c>
      <c r="F1810" s="1">
        <v>339021.0</v>
      </c>
      <c r="G1810" s="1">
        <v>9228.0</v>
      </c>
      <c r="H1810" s="1">
        <v>326.0</v>
      </c>
      <c r="I1810" s="1">
        <v>2.28E7</v>
      </c>
      <c r="J1810" s="1" t="s">
        <v>2468</v>
      </c>
    </row>
    <row r="1811">
      <c r="A1811" s="1" t="s">
        <v>5463</v>
      </c>
      <c r="B1811" s="1" t="s">
        <v>5464</v>
      </c>
      <c r="C1811" s="1" t="s">
        <v>5465</v>
      </c>
      <c r="D1811" s="1" t="s">
        <v>5437</v>
      </c>
      <c r="E1811" s="1" t="s">
        <v>5438</v>
      </c>
      <c r="F1811" s="1">
        <v>329888.0</v>
      </c>
      <c r="G1811" s="1">
        <v>11620.0</v>
      </c>
      <c r="H1811" s="1">
        <v>423.0</v>
      </c>
      <c r="I1811" s="1">
        <v>2.28E7</v>
      </c>
      <c r="J1811" s="1" t="s">
        <v>2468</v>
      </c>
    </row>
    <row r="1812">
      <c r="A1812" s="1" t="s">
        <v>5466</v>
      </c>
      <c r="B1812" s="1" t="s">
        <v>5467</v>
      </c>
      <c r="C1812" s="1" t="s">
        <v>5468</v>
      </c>
      <c r="D1812" s="1" t="s">
        <v>5437</v>
      </c>
      <c r="E1812" s="1" t="s">
        <v>5438</v>
      </c>
      <c r="F1812" s="1">
        <v>170077.0</v>
      </c>
      <c r="G1812" s="1">
        <v>3923.0</v>
      </c>
      <c r="H1812" s="1">
        <v>110.0</v>
      </c>
      <c r="I1812" s="1">
        <v>2.28E7</v>
      </c>
      <c r="J1812" s="1" t="s">
        <v>2468</v>
      </c>
    </row>
    <row r="1813">
      <c r="A1813" s="1" t="s">
        <v>5469</v>
      </c>
      <c r="B1813" s="1" t="s">
        <v>5470</v>
      </c>
      <c r="C1813" s="1" t="s">
        <v>5471</v>
      </c>
      <c r="D1813" s="1" t="s">
        <v>5437</v>
      </c>
      <c r="E1813" s="1" t="s">
        <v>5438</v>
      </c>
      <c r="F1813" s="1">
        <v>290294.0</v>
      </c>
      <c r="G1813" s="1">
        <v>8840.0</v>
      </c>
      <c r="H1813" s="1">
        <v>313.0</v>
      </c>
      <c r="I1813" s="1">
        <v>2.28E7</v>
      </c>
      <c r="J1813" s="1" t="s">
        <v>2468</v>
      </c>
    </row>
    <row r="1814">
      <c r="A1814" s="1" t="s">
        <v>5472</v>
      </c>
      <c r="B1814" s="1" t="s">
        <v>5473</v>
      </c>
      <c r="C1814" s="1" t="s">
        <v>5474</v>
      </c>
      <c r="D1814" s="1" t="s">
        <v>5437</v>
      </c>
      <c r="E1814" s="1" t="s">
        <v>5438</v>
      </c>
      <c r="F1814" s="1">
        <v>282486.0</v>
      </c>
      <c r="G1814" s="1">
        <v>8781.0</v>
      </c>
      <c r="H1814" s="1">
        <v>299.0</v>
      </c>
      <c r="I1814" s="1">
        <v>2.28E7</v>
      </c>
      <c r="J1814" s="1" t="s">
        <v>2468</v>
      </c>
    </row>
    <row r="1815">
      <c r="A1815" s="1" t="s">
        <v>5475</v>
      </c>
      <c r="B1815" s="1" t="s">
        <v>5476</v>
      </c>
      <c r="C1815" s="1" t="s">
        <v>5477</v>
      </c>
      <c r="D1815" s="1" t="s">
        <v>5437</v>
      </c>
      <c r="E1815" s="1" t="s">
        <v>5438</v>
      </c>
      <c r="F1815" s="1">
        <v>230386.0</v>
      </c>
      <c r="G1815" s="1">
        <v>6558.0</v>
      </c>
      <c r="H1815" s="1">
        <v>187.0</v>
      </c>
      <c r="I1815" s="1">
        <v>2.28E7</v>
      </c>
      <c r="J1815" s="1" t="s">
        <v>2468</v>
      </c>
    </row>
    <row r="1816">
      <c r="A1816" s="1" t="s">
        <v>5478</v>
      </c>
      <c r="B1816" s="1" t="s">
        <v>5479</v>
      </c>
      <c r="C1816" s="1" t="s">
        <v>5480</v>
      </c>
      <c r="D1816" s="1" t="s">
        <v>5437</v>
      </c>
      <c r="E1816" s="1" t="s">
        <v>5438</v>
      </c>
      <c r="F1816" s="1">
        <v>156843.0</v>
      </c>
      <c r="G1816" s="1">
        <v>5098.0</v>
      </c>
      <c r="H1816" s="1">
        <v>170.0</v>
      </c>
      <c r="I1816" s="1">
        <v>2.28E7</v>
      </c>
      <c r="J1816" s="1" t="s">
        <v>2468</v>
      </c>
    </row>
    <row r="1817">
      <c r="A1817" s="1" t="s">
        <v>5481</v>
      </c>
      <c r="B1817" s="1" t="s">
        <v>5482</v>
      </c>
      <c r="C1817" s="1" t="s">
        <v>5483</v>
      </c>
      <c r="D1817" s="1" t="s">
        <v>5437</v>
      </c>
      <c r="E1817" s="1" t="s">
        <v>5438</v>
      </c>
      <c r="F1817" s="1">
        <v>336035.0</v>
      </c>
      <c r="G1817" s="1">
        <v>13105.0</v>
      </c>
      <c r="H1817" s="1">
        <v>448.0</v>
      </c>
      <c r="I1817" s="1">
        <v>2.28E7</v>
      </c>
      <c r="J1817" s="1" t="s">
        <v>2468</v>
      </c>
    </row>
    <row r="1818">
      <c r="A1818" s="1" t="s">
        <v>5484</v>
      </c>
      <c r="B1818" s="1" t="s">
        <v>5485</v>
      </c>
      <c r="C1818" s="1" t="s">
        <v>5486</v>
      </c>
      <c r="D1818" s="1" t="s">
        <v>5437</v>
      </c>
      <c r="E1818" s="1" t="s">
        <v>5438</v>
      </c>
      <c r="F1818" s="1">
        <v>472167.0</v>
      </c>
      <c r="G1818" s="1">
        <v>12732.0</v>
      </c>
      <c r="H1818" s="1">
        <v>379.0</v>
      </c>
      <c r="I1818" s="1">
        <v>2.28E7</v>
      </c>
      <c r="J1818" s="1" t="s">
        <v>2468</v>
      </c>
    </row>
    <row r="1819">
      <c r="A1819" s="1" t="s">
        <v>5487</v>
      </c>
      <c r="B1819" s="1" t="s">
        <v>5488</v>
      </c>
      <c r="C1819" s="1" t="s">
        <v>5489</v>
      </c>
      <c r="D1819" s="1" t="s">
        <v>5437</v>
      </c>
      <c r="E1819" s="1" t="s">
        <v>5438</v>
      </c>
      <c r="F1819" s="1">
        <v>73619.0</v>
      </c>
      <c r="G1819" s="1">
        <v>2090.0</v>
      </c>
      <c r="H1819" s="1">
        <v>59.0</v>
      </c>
      <c r="I1819" s="1">
        <v>2.28E7</v>
      </c>
      <c r="J1819" s="1" t="s">
        <v>2468</v>
      </c>
    </row>
    <row r="1820">
      <c r="A1820" s="1" t="s">
        <v>5490</v>
      </c>
      <c r="B1820" s="1" t="s">
        <v>5491</v>
      </c>
      <c r="C1820" s="1" t="s">
        <v>5492</v>
      </c>
      <c r="D1820" s="1" t="s">
        <v>5437</v>
      </c>
      <c r="E1820" s="1" t="s">
        <v>5438</v>
      </c>
      <c r="F1820" s="1">
        <v>2107393.0</v>
      </c>
      <c r="G1820" s="1">
        <v>11735.0</v>
      </c>
      <c r="H1820" s="1">
        <v>292.0</v>
      </c>
      <c r="I1820" s="1">
        <v>2.28E7</v>
      </c>
      <c r="J1820" s="1" t="s">
        <v>2468</v>
      </c>
    </row>
    <row r="1821">
      <c r="A1821" s="1" t="s">
        <v>5493</v>
      </c>
      <c r="B1821" s="1" t="s">
        <v>5494</v>
      </c>
      <c r="C1821" s="1" t="s">
        <v>5495</v>
      </c>
      <c r="D1821" s="1" t="s">
        <v>5437</v>
      </c>
      <c r="E1821" s="1" t="s">
        <v>5438</v>
      </c>
      <c r="F1821" s="1">
        <v>171726.0</v>
      </c>
      <c r="G1821" s="1">
        <v>5337.0</v>
      </c>
      <c r="H1821" s="1">
        <v>128.0</v>
      </c>
      <c r="I1821" s="1">
        <v>2.28E7</v>
      </c>
      <c r="J1821" s="1" t="s">
        <v>2468</v>
      </c>
    </row>
    <row r="1822">
      <c r="A1822" s="1" t="s">
        <v>5496</v>
      </c>
      <c r="B1822" s="1" t="s">
        <v>5497</v>
      </c>
      <c r="C1822" s="1" t="s">
        <v>5498</v>
      </c>
      <c r="D1822" s="1" t="s">
        <v>5437</v>
      </c>
      <c r="E1822" s="1" t="s">
        <v>5438</v>
      </c>
      <c r="F1822" s="1">
        <v>750044.0</v>
      </c>
      <c r="G1822" s="1">
        <v>19585.0</v>
      </c>
      <c r="H1822" s="1">
        <v>638.0</v>
      </c>
      <c r="I1822" s="1">
        <v>2.28E7</v>
      </c>
      <c r="J1822" s="1" t="s">
        <v>2468</v>
      </c>
    </row>
    <row r="1823">
      <c r="A1823" s="1" t="s">
        <v>5499</v>
      </c>
      <c r="B1823" s="1" t="s">
        <v>5500</v>
      </c>
      <c r="C1823" s="1" t="s">
        <v>5501</v>
      </c>
      <c r="D1823" s="1" t="s">
        <v>5437</v>
      </c>
      <c r="E1823" s="1" t="s">
        <v>5438</v>
      </c>
      <c r="F1823" s="1">
        <v>130472.0</v>
      </c>
      <c r="G1823" s="1">
        <v>5140.0</v>
      </c>
      <c r="H1823" s="1">
        <v>253.0</v>
      </c>
      <c r="I1823" s="1">
        <v>2.28E7</v>
      </c>
      <c r="J1823" s="1" t="s">
        <v>2468</v>
      </c>
    </row>
    <row r="1824">
      <c r="A1824" s="1" t="s">
        <v>5502</v>
      </c>
      <c r="B1824" s="1" t="s">
        <v>5503</v>
      </c>
      <c r="C1824" s="1" t="s">
        <v>5504</v>
      </c>
      <c r="D1824" s="1" t="s">
        <v>5437</v>
      </c>
      <c r="E1824" s="1" t="s">
        <v>5438</v>
      </c>
      <c r="F1824" s="1">
        <v>823809.0</v>
      </c>
      <c r="G1824" s="1">
        <v>11862.0</v>
      </c>
      <c r="H1824" s="1">
        <v>271.0</v>
      </c>
      <c r="I1824" s="1">
        <v>2.28E7</v>
      </c>
      <c r="J1824" s="1" t="s">
        <v>2468</v>
      </c>
    </row>
    <row r="1825">
      <c r="A1825" s="1" t="s">
        <v>5505</v>
      </c>
      <c r="B1825" s="1" t="s">
        <v>5506</v>
      </c>
      <c r="C1825" s="1" t="s">
        <v>5507</v>
      </c>
      <c r="D1825" s="1" t="s">
        <v>5437</v>
      </c>
      <c r="E1825" s="1" t="s">
        <v>5438</v>
      </c>
      <c r="F1825" s="1">
        <v>145953.0</v>
      </c>
      <c r="G1825" s="1">
        <v>4400.0</v>
      </c>
      <c r="H1825" s="1">
        <v>198.0</v>
      </c>
      <c r="I1825" s="1">
        <v>2.28E7</v>
      </c>
      <c r="J1825" s="1" t="s">
        <v>2468</v>
      </c>
    </row>
    <row r="1826">
      <c r="A1826" s="1" t="s">
        <v>5508</v>
      </c>
      <c r="B1826" s="1" t="s">
        <v>5509</v>
      </c>
      <c r="C1826" s="1" t="s">
        <v>5510</v>
      </c>
      <c r="D1826" s="1" t="s">
        <v>5437</v>
      </c>
      <c r="E1826" s="1" t="s">
        <v>5438</v>
      </c>
      <c r="F1826" s="1">
        <v>190682.0</v>
      </c>
      <c r="G1826" s="1">
        <v>6152.0</v>
      </c>
      <c r="H1826" s="1">
        <v>141.0</v>
      </c>
      <c r="I1826" s="1">
        <v>2.28E7</v>
      </c>
      <c r="J1826" s="1" t="s">
        <v>2468</v>
      </c>
    </row>
    <row r="1827">
      <c r="A1827" s="1" t="s">
        <v>5511</v>
      </c>
      <c r="B1827" s="1" t="s">
        <v>5512</v>
      </c>
      <c r="C1827" s="1" t="s">
        <v>5513</v>
      </c>
      <c r="D1827" s="1" t="s">
        <v>5437</v>
      </c>
      <c r="E1827" s="1" t="s">
        <v>5438</v>
      </c>
      <c r="F1827" s="1">
        <v>1055992.0</v>
      </c>
      <c r="G1827" s="1">
        <v>12860.0</v>
      </c>
      <c r="H1827" s="1">
        <v>417.0</v>
      </c>
      <c r="I1827" s="1">
        <v>2.28E7</v>
      </c>
      <c r="J1827" s="1" t="s">
        <v>2468</v>
      </c>
    </row>
    <row r="1828">
      <c r="A1828" s="1" t="s">
        <v>5514</v>
      </c>
      <c r="B1828" s="1" t="s">
        <v>5515</v>
      </c>
      <c r="C1828" s="1" t="s">
        <v>5516</v>
      </c>
      <c r="D1828" s="1" t="s">
        <v>5437</v>
      </c>
      <c r="E1828" s="1" t="s">
        <v>5438</v>
      </c>
      <c r="F1828" s="1">
        <v>154070.0</v>
      </c>
      <c r="G1828" s="1">
        <v>5708.0</v>
      </c>
      <c r="H1828" s="1">
        <v>297.0</v>
      </c>
      <c r="I1828" s="1">
        <v>2.28E7</v>
      </c>
      <c r="J1828" s="1" t="s">
        <v>2468</v>
      </c>
    </row>
    <row r="1829">
      <c r="A1829" s="1" t="s">
        <v>5517</v>
      </c>
      <c r="B1829" s="1" t="s">
        <v>5518</v>
      </c>
      <c r="C1829" s="1" t="s">
        <v>5519</v>
      </c>
      <c r="D1829" s="1" t="s">
        <v>5437</v>
      </c>
      <c r="E1829" s="1" t="s">
        <v>5438</v>
      </c>
      <c r="F1829" s="1">
        <v>35458.0</v>
      </c>
      <c r="G1829" s="1">
        <v>483.0</v>
      </c>
      <c r="H1829" s="1">
        <v>10.0</v>
      </c>
      <c r="I1829" s="1">
        <v>2.28E7</v>
      </c>
      <c r="J1829" s="1" t="s">
        <v>2468</v>
      </c>
    </row>
    <row r="1830">
      <c r="A1830" s="1" t="s">
        <v>5520</v>
      </c>
      <c r="B1830" s="1" t="s">
        <v>5521</v>
      </c>
      <c r="C1830" s="1" t="s">
        <v>5522</v>
      </c>
      <c r="D1830" s="1" t="s">
        <v>5437</v>
      </c>
      <c r="E1830" s="1" t="s">
        <v>5438</v>
      </c>
      <c r="F1830" s="1">
        <v>71368.0</v>
      </c>
      <c r="G1830" s="1">
        <v>2258.0</v>
      </c>
      <c r="H1830" s="1">
        <v>70.0</v>
      </c>
      <c r="I1830" s="1">
        <v>2.28E7</v>
      </c>
      <c r="J1830" s="1" t="s">
        <v>2468</v>
      </c>
    </row>
    <row r="1831">
      <c r="A1831" s="1" t="s">
        <v>5523</v>
      </c>
      <c r="B1831" s="1" t="s">
        <v>5524</v>
      </c>
      <c r="C1831" s="1" t="s">
        <v>5525</v>
      </c>
      <c r="D1831" s="1" t="s">
        <v>5437</v>
      </c>
      <c r="E1831" s="1" t="s">
        <v>5438</v>
      </c>
      <c r="F1831" s="1">
        <v>151159.0</v>
      </c>
      <c r="G1831" s="1">
        <v>5650.0</v>
      </c>
      <c r="H1831" s="1">
        <v>254.0</v>
      </c>
      <c r="I1831" s="1">
        <v>2.28E7</v>
      </c>
      <c r="J1831" s="1" t="s">
        <v>2468</v>
      </c>
    </row>
    <row r="1832">
      <c r="A1832" s="1" t="s">
        <v>5526</v>
      </c>
      <c r="B1832" s="1" t="s">
        <v>5527</v>
      </c>
      <c r="C1832" s="1" t="s">
        <v>5528</v>
      </c>
      <c r="D1832" s="1" t="s">
        <v>5437</v>
      </c>
      <c r="E1832" s="1" t="s">
        <v>5438</v>
      </c>
      <c r="F1832" s="1">
        <v>1311218.0</v>
      </c>
      <c r="G1832" s="1">
        <v>21984.0</v>
      </c>
      <c r="H1832" s="1">
        <v>672.0</v>
      </c>
      <c r="I1832" s="1">
        <v>2.28E7</v>
      </c>
      <c r="J1832" s="1" t="s">
        <v>2468</v>
      </c>
    </row>
    <row r="1833">
      <c r="A1833" s="1" t="s">
        <v>5529</v>
      </c>
      <c r="B1833" s="1" t="s">
        <v>5530</v>
      </c>
      <c r="C1833" s="1" t="s">
        <v>5531</v>
      </c>
      <c r="D1833" s="1" t="s">
        <v>5437</v>
      </c>
      <c r="E1833" s="1" t="s">
        <v>5438</v>
      </c>
      <c r="F1833" s="1">
        <v>183999.0</v>
      </c>
      <c r="G1833" s="1">
        <v>6281.0</v>
      </c>
      <c r="H1833" s="1">
        <v>169.0</v>
      </c>
      <c r="I1833" s="1">
        <v>2.28E7</v>
      </c>
      <c r="J1833" s="1" t="s">
        <v>2468</v>
      </c>
    </row>
    <row r="1834">
      <c r="A1834" s="1" t="s">
        <v>5532</v>
      </c>
      <c r="B1834" s="1" t="s">
        <v>5533</v>
      </c>
      <c r="C1834" s="1" t="s">
        <v>5534</v>
      </c>
      <c r="D1834" s="1" t="s">
        <v>5437</v>
      </c>
      <c r="E1834" s="1" t="s">
        <v>5438</v>
      </c>
      <c r="F1834" s="1">
        <v>1044932.0</v>
      </c>
      <c r="G1834" s="1">
        <v>8304.0</v>
      </c>
      <c r="H1834" s="1">
        <v>707.0</v>
      </c>
      <c r="I1834" s="1">
        <v>2.28E7</v>
      </c>
      <c r="J1834" s="1" t="s">
        <v>2468</v>
      </c>
    </row>
    <row r="1835">
      <c r="A1835" s="1" t="s">
        <v>5535</v>
      </c>
      <c r="B1835" s="1" t="s">
        <v>5536</v>
      </c>
      <c r="C1835" s="1" t="s">
        <v>5537</v>
      </c>
      <c r="D1835" s="1" t="s">
        <v>5437</v>
      </c>
      <c r="E1835" s="1" t="s">
        <v>5438</v>
      </c>
      <c r="F1835" s="1">
        <v>436012.0</v>
      </c>
      <c r="G1835" s="1">
        <v>9913.0</v>
      </c>
      <c r="H1835" s="1">
        <v>362.0</v>
      </c>
      <c r="I1835" s="1">
        <v>2.28E7</v>
      </c>
      <c r="J1835" s="1" t="s">
        <v>2468</v>
      </c>
    </row>
    <row r="1836">
      <c r="A1836" s="1" t="s">
        <v>5538</v>
      </c>
      <c r="B1836" s="1" t="s">
        <v>5539</v>
      </c>
      <c r="C1836" s="1" t="s">
        <v>5540</v>
      </c>
      <c r="D1836" s="1" t="s">
        <v>5437</v>
      </c>
      <c r="E1836" s="1" t="s">
        <v>5438</v>
      </c>
      <c r="F1836" s="1">
        <v>299937.0</v>
      </c>
      <c r="G1836" s="1">
        <v>9023.0</v>
      </c>
      <c r="H1836" s="1">
        <v>229.0</v>
      </c>
      <c r="I1836" s="1">
        <v>2.28E7</v>
      </c>
      <c r="J1836" s="1" t="s">
        <v>2468</v>
      </c>
    </row>
    <row r="1837">
      <c r="A1837" s="1" t="s">
        <v>5541</v>
      </c>
      <c r="B1837" s="1" t="s">
        <v>5542</v>
      </c>
      <c r="C1837" s="1" t="s">
        <v>5543</v>
      </c>
      <c r="D1837" s="1" t="s">
        <v>5437</v>
      </c>
      <c r="E1837" s="1" t="s">
        <v>5438</v>
      </c>
      <c r="F1837" s="1">
        <v>1670275.0</v>
      </c>
      <c r="G1837" s="1">
        <v>40433.0</v>
      </c>
      <c r="H1837" s="1">
        <v>1139.0</v>
      </c>
      <c r="I1837" s="1">
        <v>2.28E7</v>
      </c>
      <c r="J1837" s="1" t="s">
        <v>2468</v>
      </c>
    </row>
    <row r="1838">
      <c r="A1838" s="1" t="s">
        <v>5544</v>
      </c>
      <c r="B1838" s="1" t="s">
        <v>5545</v>
      </c>
      <c r="C1838" s="1" t="s">
        <v>5546</v>
      </c>
      <c r="D1838" s="1" t="s">
        <v>5437</v>
      </c>
      <c r="E1838" s="1" t="s">
        <v>5438</v>
      </c>
      <c r="F1838" s="1">
        <v>86919.0</v>
      </c>
      <c r="G1838" s="1">
        <v>1826.0</v>
      </c>
      <c r="H1838" s="1">
        <v>74.0</v>
      </c>
      <c r="I1838" s="1">
        <v>2.28E7</v>
      </c>
      <c r="J1838" s="1" t="s">
        <v>2468</v>
      </c>
    </row>
    <row r="1839">
      <c r="A1839" s="1" t="s">
        <v>5547</v>
      </c>
      <c r="B1839" s="1" t="s">
        <v>5548</v>
      </c>
      <c r="C1839" s="1" t="s">
        <v>5549</v>
      </c>
      <c r="D1839" s="1" t="s">
        <v>5437</v>
      </c>
      <c r="E1839" s="1" t="s">
        <v>5438</v>
      </c>
      <c r="F1839" s="1">
        <v>282591.0</v>
      </c>
      <c r="G1839" s="1">
        <v>8390.0</v>
      </c>
      <c r="H1839" s="1">
        <v>431.0</v>
      </c>
      <c r="I1839" s="1">
        <v>2.28E7</v>
      </c>
      <c r="J1839" s="1" t="s">
        <v>2468</v>
      </c>
    </row>
    <row r="1840">
      <c r="A1840" s="1" t="s">
        <v>5550</v>
      </c>
      <c r="B1840" s="1" t="s">
        <v>5551</v>
      </c>
      <c r="C1840" s="1" t="s">
        <v>5552</v>
      </c>
      <c r="D1840" s="1" t="s">
        <v>5437</v>
      </c>
      <c r="E1840" s="1" t="s">
        <v>5438</v>
      </c>
      <c r="F1840" s="1">
        <v>178389.0</v>
      </c>
      <c r="G1840" s="1">
        <v>7265.0</v>
      </c>
      <c r="H1840" s="1">
        <v>825.0</v>
      </c>
      <c r="I1840" s="1">
        <v>2.28E7</v>
      </c>
      <c r="J1840" s="1" t="s">
        <v>2468</v>
      </c>
    </row>
    <row r="1841">
      <c r="A1841" s="1" t="s">
        <v>5553</v>
      </c>
      <c r="B1841" s="1" t="s">
        <v>5554</v>
      </c>
      <c r="C1841" s="1" t="s">
        <v>5555</v>
      </c>
      <c r="D1841" s="1" t="s">
        <v>5437</v>
      </c>
      <c r="E1841" s="1" t="s">
        <v>5438</v>
      </c>
      <c r="F1841" s="1">
        <v>258515.0</v>
      </c>
      <c r="G1841" s="1">
        <v>11090.0</v>
      </c>
      <c r="H1841" s="1">
        <v>383.0</v>
      </c>
      <c r="I1841" s="1">
        <v>2.28E7</v>
      </c>
      <c r="J1841" s="1" t="s">
        <v>2468</v>
      </c>
    </row>
    <row r="1842">
      <c r="A1842" s="1" t="s">
        <v>5556</v>
      </c>
      <c r="B1842" s="1" t="s">
        <v>5557</v>
      </c>
      <c r="C1842" s="1" t="s">
        <v>5558</v>
      </c>
      <c r="D1842" s="1" t="s">
        <v>5437</v>
      </c>
      <c r="E1842" s="1" t="s">
        <v>5438</v>
      </c>
      <c r="F1842" s="1">
        <v>749214.0</v>
      </c>
      <c r="G1842" s="1">
        <v>20938.0</v>
      </c>
      <c r="H1842" s="1">
        <v>457.0</v>
      </c>
      <c r="I1842" s="1">
        <v>2.28E7</v>
      </c>
      <c r="J1842" s="1" t="s">
        <v>2468</v>
      </c>
    </row>
    <row r="1843">
      <c r="A1843" s="1" t="s">
        <v>5559</v>
      </c>
      <c r="B1843" s="1" t="s">
        <v>5560</v>
      </c>
      <c r="C1843" s="1" t="s">
        <v>5561</v>
      </c>
      <c r="D1843" s="1" t="s">
        <v>5437</v>
      </c>
      <c r="E1843" s="1" t="s">
        <v>5438</v>
      </c>
      <c r="F1843" s="1">
        <v>382461.0</v>
      </c>
      <c r="G1843" s="1">
        <v>12481.0</v>
      </c>
      <c r="H1843" s="1">
        <v>285.0</v>
      </c>
      <c r="I1843" s="1">
        <v>2.28E7</v>
      </c>
      <c r="J1843" s="1" t="s">
        <v>2468</v>
      </c>
    </row>
    <row r="1844">
      <c r="A1844" s="1" t="s">
        <v>5562</v>
      </c>
      <c r="B1844" s="1" t="s">
        <v>5563</v>
      </c>
      <c r="C1844" s="1" t="s">
        <v>5564</v>
      </c>
      <c r="D1844" s="1" t="s">
        <v>5437</v>
      </c>
      <c r="E1844" s="1" t="s">
        <v>5438</v>
      </c>
      <c r="F1844" s="1">
        <v>174792.0</v>
      </c>
      <c r="G1844" s="1">
        <v>6988.0</v>
      </c>
      <c r="H1844" s="1">
        <v>199.0</v>
      </c>
      <c r="I1844" s="1">
        <v>2.28E7</v>
      </c>
      <c r="J1844" s="1" t="s">
        <v>2468</v>
      </c>
    </row>
    <row r="1845">
      <c r="A1845" s="1" t="s">
        <v>5565</v>
      </c>
      <c r="B1845" s="1" t="s">
        <v>5566</v>
      </c>
      <c r="C1845" s="1" t="s">
        <v>5567</v>
      </c>
      <c r="D1845" s="1" t="s">
        <v>5437</v>
      </c>
      <c r="E1845" s="1" t="s">
        <v>5438</v>
      </c>
      <c r="F1845" s="1">
        <v>150429.0</v>
      </c>
      <c r="G1845" s="1">
        <v>5047.0</v>
      </c>
      <c r="H1845" s="1">
        <v>247.0</v>
      </c>
      <c r="I1845" s="1">
        <v>2.28E7</v>
      </c>
      <c r="J1845" s="1" t="s">
        <v>2468</v>
      </c>
    </row>
    <row r="1846">
      <c r="A1846" s="1" t="s">
        <v>5568</v>
      </c>
      <c r="B1846" s="1" t="s">
        <v>5569</v>
      </c>
      <c r="C1846" s="1" t="s">
        <v>5570</v>
      </c>
      <c r="D1846" s="1" t="s">
        <v>5437</v>
      </c>
      <c r="E1846" s="1" t="s">
        <v>5438</v>
      </c>
      <c r="F1846" s="1">
        <v>535538.0</v>
      </c>
      <c r="G1846" s="1">
        <v>16356.0</v>
      </c>
      <c r="H1846" s="1">
        <v>887.0</v>
      </c>
      <c r="I1846" s="1">
        <v>2.28E7</v>
      </c>
      <c r="J1846" s="1" t="s">
        <v>2468</v>
      </c>
    </row>
    <row r="1847">
      <c r="A1847" s="1" t="s">
        <v>5571</v>
      </c>
      <c r="B1847" s="1" t="s">
        <v>5572</v>
      </c>
      <c r="C1847" s="1" t="s">
        <v>5573</v>
      </c>
      <c r="D1847" s="1" t="s">
        <v>5437</v>
      </c>
      <c r="E1847" s="1" t="s">
        <v>5438</v>
      </c>
      <c r="F1847" s="1">
        <v>317484.0</v>
      </c>
      <c r="G1847" s="1">
        <v>8462.0</v>
      </c>
      <c r="H1847" s="1">
        <v>297.0</v>
      </c>
      <c r="I1847" s="1">
        <v>2.28E7</v>
      </c>
      <c r="J1847" s="1" t="s">
        <v>2468</v>
      </c>
    </row>
    <row r="1848">
      <c r="A1848" s="1" t="s">
        <v>5574</v>
      </c>
      <c r="B1848" s="1" t="s">
        <v>5575</v>
      </c>
      <c r="C1848" s="1" t="s">
        <v>5576</v>
      </c>
      <c r="D1848" s="1" t="s">
        <v>5437</v>
      </c>
      <c r="E1848" s="1" t="s">
        <v>5438</v>
      </c>
      <c r="F1848" s="1">
        <v>82521.0</v>
      </c>
      <c r="G1848" s="1">
        <v>2691.0</v>
      </c>
      <c r="H1848" s="1">
        <v>84.0</v>
      </c>
      <c r="I1848" s="1">
        <v>2.28E7</v>
      </c>
      <c r="J1848" s="1" t="s">
        <v>2468</v>
      </c>
    </row>
    <row r="1849">
      <c r="A1849" s="1" t="s">
        <v>5577</v>
      </c>
      <c r="B1849" s="1" t="s">
        <v>5578</v>
      </c>
      <c r="C1849" s="1" t="s">
        <v>5579</v>
      </c>
      <c r="D1849" s="1" t="s">
        <v>5437</v>
      </c>
      <c r="E1849" s="1" t="s">
        <v>5438</v>
      </c>
      <c r="F1849" s="1">
        <v>485316.0</v>
      </c>
      <c r="G1849" s="1">
        <v>13690.0</v>
      </c>
      <c r="H1849" s="1">
        <v>538.0</v>
      </c>
      <c r="I1849" s="1">
        <v>2.28E7</v>
      </c>
      <c r="J1849" s="1" t="s">
        <v>2468</v>
      </c>
    </row>
    <row r="1850">
      <c r="A1850" s="1" t="s">
        <v>5580</v>
      </c>
      <c r="B1850" s="1" t="s">
        <v>5581</v>
      </c>
      <c r="C1850" s="1" t="s">
        <v>5582</v>
      </c>
      <c r="D1850" s="1" t="s">
        <v>5437</v>
      </c>
      <c r="E1850" s="1" t="s">
        <v>5438</v>
      </c>
      <c r="F1850" s="1">
        <v>483019.0</v>
      </c>
      <c r="G1850" s="1">
        <v>22057.0</v>
      </c>
      <c r="H1850" s="1">
        <v>1162.0</v>
      </c>
      <c r="I1850" s="1">
        <v>2.28E7</v>
      </c>
      <c r="J1850" s="1" t="s">
        <v>2468</v>
      </c>
    </row>
    <row r="1851">
      <c r="A1851" s="1" t="s">
        <v>5583</v>
      </c>
      <c r="B1851" s="1" t="s">
        <v>5584</v>
      </c>
      <c r="C1851" s="1" t="s">
        <v>5585</v>
      </c>
      <c r="D1851" s="1" t="s">
        <v>5437</v>
      </c>
      <c r="E1851" s="1" t="s">
        <v>5438</v>
      </c>
      <c r="F1851" s="1">
        <v>303210.0</v>
      </c>
      <c r="G1851" s="1">
        <v>9233.0</v>
      </c>
      <c r="H1851" s="1">
        <v>315.0</v>
      </c>
      <c r="I1851" s="1">
        <v>2.28E7</v>
      </c>
      <c r="J1851" s="1" t="s">
        <v>2468</v>
      </c>
    </row>
    <row r="1852">
      <c r="A1852" s="1" t="s">
        <v>5586</v>
      </c>
      <c r="B1852" s="1" t="s">
        <v>5587</v>
      </c>
      <c r="C1852" s="1" t="s">
        <v>5588</v>
      </c>
      <c r="D1852" s="1" t="s">
        <v>5437</v>
      </c>
      <c r="E1852" s="1" t="s">
        <v>5438</v>
      </c>
      <c r="F1852" s="1">
        <v>223801.0</v>
      </c>
      <c r="G1852" s="1">
        <v>9228.0</v>
      </c>
      <c r="H1852" s="1">
        <v>337.0</v>
      </c>
      <c r="I1852" s="1">
        <v>2.28E7</v>
      </c>
      <c r="J1852" s="1" t="s">
        <v>2468</v>
      </c>
    </row>
    <row r="1853">
      <c r="A1853" s="1" t="s">
        <v>5589</v>
      </c>
      <c r="B1853" s="1" t="s">
        <v>5590</v>
      </c>
      <c r="C1853" s="1" t="s">
        <v>5591</v>
      </c>
      <c r="D1853" s="1" t="s">
        <v>5437</v>
      </c>
      <c r="E1853" s="1" t="s">
        <v>5438</v>
      </c>
      <c r="F1853" s="1">
        <v>29921.0</v>
      </c>
      <c r="G1853" s="1">
        <v>688.0</v>
      </c>
      <c r="H1853" s="1">
        <v>48.0</v>
      </c>
      <c r="I1853" s="1">
        <v>2.28E7</v>
      </c>
      <c r="J1853" s="1" t="s">
        <v>2468</v>
      </c>
    </row>
    <row r="1854">
      <c r="A1854" s="1" t="s">
        <v>5592</v>
      </c>
      <c r="B1854" s="1" t="s">
        <v>5593</v>
      </c>
      <c r="C1854" s="1" t="s">
        <v>5594</v>
      </c>
      <c r="D1854" s="1" t="s">
        <v>5437</v>
      </c>
      <c r="E1854" s="1" t="s">
        <v>5438</v>
      </c>
      <c r="F1854" s="1">
        <v>221660.0</v>
      </c>
      <c r="G1854" s="1">
        <v>7627.0</v>
      </c>
      <c r="H1854" s="1">
        <v>286.0</v>
      </c>
      <c r="I1854" s="1">
        <v>2.28E7</v>
      </c>
      <c r="J1854" s="1" t="s">
        <v>2468</v>
      </c>
    </row>
    <row r="1855">
      <c r="A1855" s="1" t="s">
        <v>5595</v>
      </c>
      <c r="B1855" s="1" t="s">
        <v>5596</v>
      </c>
      <c r="C1855" s="1" t="s">
        <v>5597</v>
      </c>
      <c r="D1855" s="1" t="s">
        <v>5437</v>
      </c>
      <c r="E1855" s="1" t="s">
        <v>5438</v>
      </c>
      <c r="F1855" s="1">
        <v>456271.0</v>
      </c>
      <c r="G1855" s="1">
        <v>14315.0</v>
      </c>
      <c r="H1855" s="1">
        <v>1335.0</v>
      </c>
      <c r="I1855" s="1">
        <v>2.28E7</v>
      </c>
      <c r="J1855" s="1" t="s">
        <v>2468</v>
      </c>
    </row>
    <row r="1856">
      <c r="A1856" s="1" t="s">
        <v>5598</v>
      </c>
      <c r="B1856" s="1" t="s">
        <v>5599</v>
      </c>
      <c r="C1856" s="1" t="s">
        <v>2187</v>
      </c>
      <c r="D1856" s="1" t="s">
        <v>5437</v>
      </c>
      <c r="E1856" s="1" t="s">
        <v>5438</v>
      </c>
      <c r="F1856" s="1">
        <v>188859.0</v>
      </c>
      <c r="G1856" s="1">
        <v>5694.0</v>
      </c>
      <c r="H1856" s="1">
        <v>206.0</v>
      </c>
      <c r="I1856" s="1">
        <v>2.28E7</v>
      </c>
      <c r="J1856" s="1" t="s">
        <v>2468</v>
      </c>
    </row>
    <row r="1857">
      <c r="A1857" s="1" t="s">
        <v>5600</v>
      </c>
      <c r="B1857" s="1" t="s">
        <v>5601</v>
      </c>
      <c r="C1857" s="1" t="s">
        <v>5602</v>
      </c>
      <c r="D1857" s="1" t="s">
        <v>5437</v>
      </c>
      <c r="E1857" s="1" t="s">
        <v>5438</v>
      </c>
      <c r="F1857" s="1">
        <v>92593.0</v>
      </c>
      <c r="G1857" s="1">
        <v>2417.0</v>
      </c>
      <c r="H1857" s="1">
        <v>104.0</v>
      </c>
      <c r="I1857" s="1">
        <v>2.28E7</v>
      </c>
      <c r="J1857" s="1" t="s">
        <v>2468</v>
      </c>
    </row>
    <row r="1858">
      <c r="A1858" s="1" t="s">
        <v>5603</v>
      </c>
      <c r="B1858" s="1" t="s">
        <v>5604</v>
      </c>
      <c r="C1858" s="1" t="s">
        <v>5605</v>
      </c>
      <c r="D1858" s="1" t="s">
        <v>5437</v>
      </c>
      <c r="E1858" s="1" t="s">
        <v>5438</v>
      </c>
      <c r="F1858" s="1">
        <v>965922.0</v>
      </c>
      <c r="G1858" s="1">
        <v>47724.0</v>
      </c>
      <c r="H1858" s="1">
        <v>3733.0</v>
      </c>
      <c r="I1858" s="1">
        <v>2.28E7</v>
      </c>
      <c r="J1858" s="1" t="s">
        <v>2468</v>
      </c>
    </row>
    <row r="1859">
      <c r="A1859" s="1" t="s">
        <v>5606</v>
      </c>
      <c r="B1859" s="1" t="s">
        <v>5607</v>
      </c>
      <c r="C1859" s="1" t="s">
        <v>5608</v>
      </c>
      <c r="D1859" s="1" t="s">
        <v>5437</v>
      </c>
      <c r="E1859" s="1" t="s">
        <v>5438</v>
      </c>
      <c r="F1859" s="1">
        <v>214423.0</v>
      </c>
      <c r="G1859" s="1">
        <v>10475.0</v>
      </c>
      <c r="H1859" s="1">
        <v>521.0</v>
      </c>
      <c r="I1859" s="1">
        <v>2.28E7</v>
      </c>
      <c r="J1859" s="1" t="s">
        <v>2468</v>
      </c>
    </row>
    <row r="1860">
      <c r="A1860" s="1" t="s">
        <v>5609</v>
      </c>
      <c r="B1860" s="1" t="s">
        <v>5610</v>
      </c>
      <c r="C1860" s="1" t="s">
        <v>5611</v>
      </c>
      <c r="D1860" s="1" t="s">
        <v>5437</v>
      </c>
      <c r="E1860" s="1" t="s">
        <v>5438</v>
      </c>
      <c r="F1860" s="1">
        <v>169868.0</v>
      </c>
      <c r="G1860" s="1">
        <v>5566.0</v>
      </c>
      <c r="H1860" s="1">
        <v>236.0</v>
      </c>
      <c r="I1860" s="1">
        <v>2.28E7</v>
      </c>
      <c r="J1860" s="1" t="s">
        <v>2468</v>
      </c>
    </row>
    <row r="1861">
      <c r="A1861" s="1" t="s">
        <v>5612</v>
      </c>
      <c r="B1861" s="1" t="s">
        <v>5613</v>
      </c>
      <c r="C1861" s="1" t="s">
        <v>5614</v>
      </c>
      <c r="D1861" s="1" t="s">
        <v>5437</v>
      </c>
      <c r="E1861" s="1" t="s">
        <v>5438</v>
      </c>
      <c r="F1861" s="1">
        <v>562835.0</v>
      </c>
      <c r="G1861" s="1">
        <v>19872.0</v>
      </c>
      <c r="H1861" s="1">
        <v>402.0</v>
      </c>
      <c r="I1861" s="1">
        <v>2.28E7</v>
      </c>
      <c r="J1861" s="1" t="s">
        <v>2468</v>
      </c>
    </row>
    <row r="1862">
      <c r="A1862" s="1" t="s">
        <v>5615</v>
      </c>
      <c r="B1862" s="1" t="s">
        <v>5616</v>
      </c>
      <c r="C1862" s="1" t="s">
        <v>5617</v>
      </c>
      <c r="D1862" s="1" t="s">
        <v>5437</v>
      </c>
      <c r="E1862" s="1" t="s">
        <v>5438</v>
      </c>
      <c r="F1862" s="1">
        <v>400419.0</v>
      </c>
      <c r="G1862" s="1">
        <v>14027.0</v>
      </c>
      <c r="H1862" s="1">
        <v>344.0</v>
      </c>
      <c r="I1862" s="1">
        <v>2.28E7</v>
      </c>
      <c r="J1862" s="1" t="s">
        <v>2468</v>
      </c>
    </row>
    <row r="1863">
      <c r="A1863" s="1" t="s">
        <v>5618</v>
      </c>
      <c r="B1863" s="1" t="s">
        <v>5619</v>
      </c>
      <c r="C1863" s="1" t="s">
        <v>5620</v>
      </c>
      <c r="D1863" s="1" t="s">
        <v>5437</v>
      </c>
      <c r="E1863" s="1" t="s">
        <v>5438</v>
      </c>
      <c r="F1863" s="1">
        <v>180296.0</v>
      </c>
      <c r="G1863" s="1">
        <v>5004.0</v>
      </c>
      <c r="H1863" s="1">
        <v>242.0</v>
      </c>
      <c r="I1863" s="1">
        <v>2.28E7</v>
      </c>
      <c r="J1863" s="1" t="s">
        <v>2468</v>
      </c>
    </row>
    <row r="1864">
      <c r="A1864" s="1" t="s">
        <v>5621</v>
      </c>
      <c r="B1864" s="1" t="s">
        <v>5622</v>
      </c>
      <c r="C1864" s="1" t="s">
        <v>5623</v>
      </c>
      <c r="D1864" s="1" t="s">
        <v>5437</v>
      </c>
      <c r="E1864" s="1" t="s">
        <v>5438</v>
      </c>
      <c r="F1864" s="1">
        <v>395206.0</v>
      </c>
      <c r="G1864" s="1">
        <v>12575.0</v>
      </c>
      <c r="H1864" s="1">
        <v>926.0</v>
      </c>
      <c r="I1864" s="1">
        <v>2.28E7</v>
      </c>
      <c r="J1864" s="1" t="s">
        <v>2468</v>
      </c>
    </row>
    <row r="1865">
      <c r="A1865" s="1" t="s">
        <v>5624</v>
      </c>
      <c r="B1865" s="1" t="s">
        <v>5625</v>
      </c>
      <c r="C1865" s="1" t="s">
        <v>5626</v>
      </c>
      <c r="D1865" s="1" t="s">
        <v>5437</v>
      </c>
      <c r="E1865" s="1" t="s">
        <v>5438</v>
      </c>
      <c r="F1865" s="1">
        <v>287933.0</v>
      </c>
      <c r="G1865" s="1">
        <v>9436.0</v>
      </c>
      <c r="H1865" s="1">
        <v>376.0</v>
      </c>
      <c r="I1865" s="1">
        <v>2.28E7</v>
      </c>
      <c r="J1865" s="1" t="s">
        <v>2468</v>
      </c>
    </row>
    <row r="1866">
      <c r="A1866" s="1" t="s">
        <v>5627</v>
      </c>
      <c r="B1866" s="1" t="s">
        <v>5628</v>
      </c>
      <c r="C1866" s="1" t="s">
        <v>5629</v>
      </c>
      <c r="D1866" s="1" t="s">
        <v>5437</v>
      </c>
      <c r="E1866" s="1" t="s">
        <v>5438</v>
      </c>
      <c r="F1866" s="1">
        <v>2092404.0</v>
      </c>
      <c r="G1866" s="1">
        <v>56200.0</v>
      </c>
      <c r="H1866" s="1">
        <v>1669.0</v>
      </c>
      <c r="I1866" s="1">
        <v>2.28E7</v>
      </c>
      <c r="J1866" s="1" t="s">
        <v>2468</v>
      </c>
    </row>
    <row r="1867">
      <c r="A1867" s="1" t="s">
        <v>5630</v>
      </c>
      <c r="B1867" s="1" t="s">
        <v>5631</v>
      </c>
      <c r="C1867" s="1" t="s">
        <v>5632</v>
      </c>
      <c r="D1867" s="1" t="s">
        <v>5437</v>
      </c>
      <c r="E1867" s="1" t="s">
        <v>5438</v>
      </c>
      <c r="F1867" s="1">
        <v>594906.0</v>
      </c>
      <c r="G1867" s="1">
        <v>12961.0</v>
      </c>
      <c r="H1867" s="1">
        <v>1011.0</v>
      </c>
      <c r="I1867" s="1">
        <v>2.28E7</v>
      </c>
      <c r="J1867" s="1" t="s">
        <v>2468</v>
      </c>
    </row>
    <row r="1868">
      <c r="A1868" s="1" t="s">
        <v>5633</v>
      </c>
      <c r="B1868" s="1" t="s">
        <v>5634</v>
      </c>
      <c r="C1868" s="1" t="s">
        <v>5635</v>
      </c>
      <c r="D1868" s="1" t="s">
        <v>5437</v>
      </c>
      <c r="E1868" s="1" t="s">
        <v>5438</v>
      </c>
      <c r="F1868" s="1">
        <v>87060.0</v>
      </c>
      <c r="G1868" s="1">
        <v>2144.0</v>
      </c>
      <c r="H1868" s="1">
        <v>48.0</v>
      </c>
      <c r="I1868" s="1">
        <v>2.28E7</v>
      </c>
      <c r="J1868" s="1" t="s">
        <v>2468</v>
      </c>
    </row>
    <row r="1869">
      <c r="A1869" s="1" t="s">
        <v>5636</v>
      </c>
      <c r="B1869" s="1" t="s">
        <v>5637</v>
      </c>
      <c r="C1869" s="1" t="s">
        <v>5638</v>
      </c>
      <c r="D1869" s="1" t="s">
        <v>5437</v>
      </c>
      <c r="E1869" s="1" t="s">
        <v>5438</v>
      </c>
      <c r="F1869" s="1">
        <v>135808.0</v>
      </c>
      <c r="G1869" s="1">
        <v>5712.0</v>
      </c>
      <c r="H1869" s="1">
        <v>276.0</v>
      </c>
      <c r="I1869" s="1">
        <v>2.28E7</v>
      </c>
      <c r="J1869" s="1" t="s">
        <v>2468</v>
      </c>
    </row>
    <row r="1870">
      <c r="A1870" s="1" t="s">
        <v>5639</v>
      </c>
      <c r="B1870" s="1" t="s">
        <v>5640</v>
      </c>
      <c r="C1870" s="1" t="s">
        <v>5641</v>
      </c>
      <c r="D1870" s="1" t="s">
        <v>5437</v>
      </c>
      <c r="E1870" s="1" t="s">
        <v>5438</v>
      </c>
      <c r="F1870" s="1">
        <v>568514.0</v>
      </c>
      <c r="G1870" s="1">
        <v>13054.0</v>
      </c>
      <c r="H1870" s="1">
        <v>283.0</v>
      </c>
      <c r="I1870" s="1">
        <v>2.28E7</v>
      </c>
      <c r="J1870" s="1" t="s">
        <v>2468</v>
      </c>
    </row>
    <row r="1871">
      <c r="A1871" s="1" t="s">
        <v>5642</v>
      </c>
      <c r="B1871" s="1" t="s">
        <v>5643</v>
      </c>
      <c r="C1871" s="1" t="s">
        <v>5644</v>
      </c>
      <c r="D1871" s="1" t="s">
        <v>5437</v>
      </c>
      <c r="E1871" s="1" t="s">
        <v>5438</v>
      </c>
      <c r="F1871" s="1">
        <v>1299055.0</v>
      </c>
      <c r="G1871" s="1">
        <v>33163.0</v>
      </c>
      <c r="H1871" s="1">
        <v>1581.0</v>
      </c>
      <c r="I1871" s="1">
        <v>2.28E7</v>
      </c>
      <c r="J1871" s="1" t="s">
        <v>2468</v>
      </c>
    </row>
    <row r="1872">
      <c r="A1872" s="1" t="s">
        <v>5645</v>
      </c>
      <c r="B1872" s="1" t="s">
        <v>5646</v>
      </c>
      <c r="C1872" s="1" t="s">
        <v>5647</v>
      </c>
      <c r="D1872" s="1" t="s">
        <v>5437</v>
      </c>
      <c r="E1872" s="1" t="s">
        <v>5438</v>
      </c>
      <c r="F1872" s="1">
        <v>1852960.0</v>
      </c>
      <c r="G1872" s="1">
        <v>72831.0</v>
      </c>
      <c r="H1872" s="1">
        <v>3205.0</v>
      </c>
      <c r="I1872" s="1">
        <v>2.28E7</v>
      </c>
      <c r="J1872" s="1" t="s">
        <v>2468</v>
      </c>
    </row>
    <row r="1873">
      <c r="A1873" s="1" t="s">
        <v>5648</v>
      </c>
      <c r="B1873" s="1" t="s">
        <v>5649</v>
      </c>
      <c r="C1873" s="1" t="s">
        <v>5650</v>
      </c>
      <c r="D1873" s="1" t="s">
        <v>5437</v>
      </c>
      <c r="E1873" s="1" t="s">
        <v>5438</v>
      </c>
      <c r="F1873" s="1">
        <v>218347.0</v>
      </c>
      <c r="G1873" s="1">
        <v>7682.0</v>
      </c>
      <c r="H1873" s="1">
        <v>307.0</v>
      </c>
      <c r="I1873" s="1">
        <v>2.28E7</v>
      </c>
      <c r="J1873" s="1" t="s">
        <v>2468</v>
      </c>
    </row>
    <row r="1874">
      <c r="A1874" s="1" t="s">
        <v>5651</v>
      </c>
      <c r="B1874" s="1" t="s">
        <v>5652</v>
      </c>
      <c r="C1874" s="1" t="s">
        <v>5653</v>
      </c>
      <c r="D1874" s="1" t="s">
        <v>5437</v>
      </c>
      <c r="E1874" s="1" t="s">
        <v>5438</v>
      </c>
      <c r="F1874" s="1">
        <v>608120.0</v>
      </c>
      <c r="G1874" s="1">
        <v>13895.0</v>
      </c>
      <c r="H1874" s="1">
        <v>411.0</v>
      </c>
      <c r="I1874" s="1">
        <v>2.28E7</v>
      </c>
      <c r="J1874" s="1" t="s">
        <v>2468</v>
      </c>
    </row>
    <row r="1875">
      <c r="A1875" s="1" t="s">
        <v>5654</v>
      </c>
      <c r="B1875" s="1" t="s">
        <v>5655</v>
      </c>
      <c r="C1875" s="1" t="s">
        <v>5656</v>
      </c>
      <c r="D1875" s="1" t="s">
        <v>5437</v>
      </c>
      <c r="E1875" s="1" t="s">
        <v>5438</v>
      </c>
      <c r="F1875" s="1">
        <v>327102.0</v>
      </c>
      <c r="G1875" s="1">
        <v>7401.0</v>
      </c>
      <c r="H1875" s="1">
        <v>492.0</v>
      </c>
      <c r="I1875" s="1">
        <v>2.28E7</v>
      </c>
      <c r="J1875" s="1" t="s">
        <v>2468</v>
      </c>
    </row>
    <row r="1876">
      <c r="A1876" s="1" t="s">
        <v>5657</v>
      </c>
      <c r="B1876" s="1" t="s">
        <v>5658</v>
      </c>
      <c r="C1876" s="1" t="s">
        <v>5659</v>
      </c>
      <c r="D1876" s="1" t="s">
        <v>5437</v>
      </c>
      <c r="E1876" s="1" t="s">
        <v>5438</v>
      </c>
      <c r="F1876" s="1">
        <v>1869103.0</v>
      </c>
      <c r="G1876" s="1">
        <v>74998.0</v>
      </c>
      <c r="H1876" s="1">
        <v>1381.0</v>
      </c>
      <c r="I1876" s="1">
        <v>2.28E7</v>
      </c>
      <c r="J1876" s="1" t="s">
        <v>2468</v>
      </c>
    </row>
    <row r="1877">
      <c r="A1877" s="1" t="s">
        <v>5660</v>
      </c>
      <c r="B1877" s="1" t="s">
        <v>5661</v>
      </c>
      <c r="C1877" s="1" t="s">
        <v>5662</v>
      </c>
      <c r="D1877" s="1" t="s">
        <v>5437</v>
      </c>
      <c r="E1877" s="1" t="s">
        <v>5438</v>
      </c>
      <c r="F1877" s="1">
        <v>143451.0</v>
      </c>
      <c r="G1877" s="1">
        <v>4127.0</v>
      </c>
      <c r="H1877" s="1">
        <v>93.0</v>
      </c>
      <c r="I1877" s="1">
        <v>2.28E7</v>
      </c>
      <c r="J1877" s="1" t="s">
        <v>2468</v>
      </c>
    </row>
    <row r="1878">
      <c r="A1878" s="1" t="s">
        <v>5663</v>
      </c>
      <c r="B1878" s="1" t="s">
        <v>5664</v>
      </c>
      <c r="C1878" s="1" t="s">
        <v>5665</v>
      </c>
      <c r="D1878" s="1" t="s">
        <v>5437</v>
      </c>
      <c r="E1878" s="1" t="s">
        <v>5438</v>
      </c>
      <c r="F1878" s="1">
        <v>395568.0</v>
      </c>
      <c r="G1878" s="1">
        <v>10920.0</v>
      </c>
      <c r="H1878" s="1">
        <v>212.0</v>
      </c>
      <c r="I1878" s="1">
        <v>2.28E7</v>
      </c>
      <c r="J1878" s="1" t="s">
        <v>2468</v>
      </c>
    </row>
    <row r="1879">
      <c r="A1879" s="1" t="s">
        <v>5666</v>
      </c>
      <c r="B1879" s="1" t="s">
        <v>5667</v>
      </c>
      <c r="C1879" s="1" t="s">
        <v>5668</v>
      </c>
      <c r="D1879" s="1" t="s">
        <v>5437</v>
      </c>
      <c r="E1879" s="1" t="s">
        <v>5438</v>
      </c>
      <c r="F1879" s="1">
        <v>1075905.0</v>
      </c>
      <c r="G1879" s="1">
        <v>37082.0</v>
      </c>
      <c r="H1879" s="1">
        <v>2569.0</v>
      </c>
      <c r="I1879" s="1">
        <v>2.28E7</v>
      </c>
      <c r="J1879" s="1" t="s">
        <v>2468</v>
      </c>
    </row>
    <row r="1880">
      <c r="A1880" s="1" t="s">
        <v>5669</v>
      </c>
      <c r="B1880" s="1" t="s">
        <v>5670</v>
      </c>
      <c r="C1880" s="1" t="s">
        <v>5671</v>
      </c>
      <c r="D1880" s="1" t="s">
        <v>5437</v>
      </c>
      <c r="E1880" s="1" t="s">
        <v>5438</v>
      </c>
      <c r="F1880" s="1">
        <v>315960.0</v>
      </c>
      <c r="G1880" s="1">
        <v>10859.0</v>
      </c>
      <c r="H1880" s="1">
        <v>628.0</v>
      </c>
      <c r="I1880" s="1">
        <v>2.28E7</v>
      </c>
      <c r="J1880" s="1" t="s">
        <v>2468</v>
      </c>
    </row>
    <row r="1881">
      <c r="A1881" s="1" t="s">
        <v>5672</v>
      </c>
      <c r="B1881" s="1" t="s">
        <v>5673</v>
      </c>
      <c r="C1881" s="1" t="s">
        <v>5674</v>
      </c>
      <c r="D1881" s="1" t="s">
        <v>5437</v>
      </c>
      <c r="E1881" s="1" t="s">
        <v>5438</v>
      </c>
      <c r="F1881" s="1">
        <v>198960.0</v>
      </c>
      <c r="G1881" s="1">
        <v>5416.0</v>
      </c>
      <c r="H1881" s="1">
        <v>185.0</v>
      </c>
      <c r="I1881" s="1">
        <v>2.28E7</v>
      </c>
      <c r="J1881" s="1" t="s">
        <v>2468</v>
      </c>
    </row>
    <row r="1882">
      <c r="A1882" s="1" t="s">
        <v>5675</v>
      </c>
      <c r="B1882" s="1" t="s">
        <v>5676</v>
      </c>
      <c r="C1882" s="1" t="s">
        <v>5677</v>
      </c>
      <c r="D1882" s="1" t="s">
        <v>5437</v>
      </c>
      <c r="E1882" s="1" t="s">
        <v>5438</v>
      </c>
      <c r="F1882" s="1">
        <v>195051.0</v>
      </c>
      <c r="G1882" s="1">
        <v>5882.0</v>
      </c>
      <c r="H1882" s="1">
        <v>261.0</v>
      </c>
      <c r="I1882" s="1">
        <v>2.28E7</v>
      </c>
      <c r="J1882" s="1" t="s">
        <v>2468</v>
      </c>
    </row>
    <row r="1883">
      <c r="A1883" s="1" t="s">
        <v>5678</v>
      </c>
      <c r="B1883" s="1" t="s">
        <v>5679</v>
      </c>
      <c r="C1883" s="1" t="s">
        <v>5680</v>
      </c>
      <c r="D1883" s="1" t="s">
        <v>5437</v>
      </c>
      <c r="E1883" s="1" t="s">
        <v>5438</v>
      </c>
      <c r="F1883" s="1">
        <v>218516.0</v>
      </c>
      <c r="G1883" s="1">
        <v>6931.0</v>
      </c>
      <c r="H1883" s="1">
        <v>164.0</v>
      </c>
      <c r="I1883" s="1">
        <v>2.28E7</v>
      </c>
      <c r="J1883" s="1" t="s">
        <v>2468</v>
      </c>
    </row>
    <row r="1884">
      <c r="A1884" s="1" t="s">
        <v>5681</v>
      </c>
      <c r="B1884" s="1" t="s">
        <v>5682</v>
      </c>
      <c r="C1884" s="1" t="s">
        <v>5683</v>
      </c>
      <c r="D1884" s="1" t="s">
        <v>5437</v>
      </c>
      <c r="E1884" s="1" t="s">
        <v>5438</v>
      </c>
      <c r="F1884" s="1">
        <v>440614.0</v>
      </c>
      <c r="G1884" s="1">
        <v>10920.0</v>
      </c>
      <c r="H1884" s="1">
        <v>282.0</v>
      </c>
      <c r="I1884" s="1">
        <v>2.28E7</v>
      </c>
      <c r="J1884" s="1" t="s">
        <v>2468</v>
      </c>
    </row>
    <row r="1885">
      <c r="A1885" s="1" t="s">
        <v>5684</v>
      </c>
      <c r="B1885" s="1" t="s">
        <v>5685</v>
      </c>
      <c r="C1885" s="1" t="s">
        <v>5686</v>
      </c>
      <c r="D1885" s="1" t="s">
        <v>5437</v>
      </c>
      <c r="E1885" s="1" t="s">
        <v>5438</v>
      </c>
      <c r="F1885" s="1">
        <v>330408.0</v>
      </c>
      <c r="G1885" s="1">
        <v>9297.0</v>
      </c>
      <c r="H1885" s="1">
        <v>344.0</v>
      </c>
      <c r="I1885" s="1">
        <v>2.28E7</v>
      </c>
      <c r="J1885" s="1" t="s">
        <v>2468</v>
      </c>
    </row>
    <row r="1886">
      <c r="A1886" s="1" t="s">
        <v>5687</v>
      </c>
      <c r="B1886" s="1" t="s">
        <v>5688</v>
      </c>
      <c r="C1886" s="1" t="s">
        <v>5689</v>
      </c>
      <c r="D1886" s="1" t="s">
        <v>5437</v>
      </c>
      <c r="E1886" s="1" t="s">
        <v>5438</v>
      </c>
      <c r="F1886" s="1">
        <v>513428.0</v>
      </c>
      <c r="G1886" s="1">
        <v>12106.0</v>
      </c>
      <c r="H1886" s="1">
        <v>370.0</v>
      </c>
      <c r="I1886" s="1">
        <v>2.28E7</v>
      </c>
      <c r="J1886" s="1" t="s">
        <v>2468</v>
      </c>
    </row>
    <row r="1887">
      <c r="A1887" s="1" t="s">
        <v>5690</v>
      </c>
      <c r="B1887" s="1" t="s">
        <v>5691</v>
      </c>
      <c r="C1887" s="1" t="s">
        <v>5692</v>
      </c>
      <c r="D1887" s="1" t="s">
        <v>5437</v>
      </c>
      <c r="E1887" s="1" t="s">
        <v>5438</v>
      </c>
      <c r="F1887" s="1">
        <v>631958.0</v>
      </c>
      <c r="G1887" s="1">
        <v>13730.0</v>
      </c>
      <c r="H1887" s="1">
        <v>447.0</v>
      </c>
      <c r="I1887" s="1">
        <v>2.28E7</v>
      </c>
      <c r="J1887" s="1" t="s">
        <v>2468</v>
      </c>
    </row>
    <row r="1888">
      <c r="A1888" s="1" t="s">
        <v>5693</v>
      </c>
      <c r="B1888" s="1" t="s">
        <v>5694</v>
      </c>
      <c r="C1888" s="1" t="s">
        <v>5695</v>
      </c>
      <c r="D1888" s="1" t="s">
        <v>5437</v>
      </c>
      <c r="E1888" s="1" t="s">
        <v>5438</v>
      </c>
      <c r="F1888" s="1">
        <v>475767.0</v>
      </c>
      <c r="G1888" s="1">
        <v>10837.0</v>
      </c>
      <c r="H1888" s="1">
        <v>406.0</v>
      </c>
      <c r="I1888" s="1">
        <v>2.28E7</v>
      </c>
      <c r="J1888" s="1" t="s">
        <v>2468</v>
      </c>
    </row>
    <row r="1889">
      <c r="A1889" s="1" t="s">
        <v>5696</v>
      </c>
      <c r="B1889" s="1" t="s">
        <v>5697</v>
      </c>
      <c r="C1889" s="1" t="s">
        <v>5698</v>
      </c>
      <c r="D1889" s="1" t="s">
        <v>5437</v>
      </c>
      <c r="E1889" s="1" t="s">
        <v>5438</v>
      </c>
      <c r="F1889" s="1">
        <v>220669.0</v>
      </c>
      <c r="G1889" s="1">
        <v>5761.0</v>
      </c>
      <c r="H1889" s="1">
        <v>183.0</v>
      </c>
      <c r="I1889" s="1">
        <v>2.28E7</v>
      </c>
      <c r="J1889" s="1" t="s">
        <v>2468</v>
      </c>
    </row>
    <row r="1890">
      <c r="A1890" s="1" t="s">
        <v>5699</v>
      </c>
      <c r="B1890" s="1" t="s">
        <v>5700</v>
      </c>
      <c r="C1890" s="1" t="s">
        <v>5701</v>
      </c>
      <c r="D1890" s="1" t="s">
        <v>5437</v>
      </c>
      <c r="E1890" s="1" t="s">
        <v>5438</v>
      </c>
      <c r="F1890" s="1">
        <v>815298.0</v>
      </c>
      <c r="G1890" s="1">
        <v>10165.0</v>
      </c>
      <c r="H1890" s="1">
        <v>171.0</v>
      </c>
      <c r="I1890" s="1">
        <v>2.28E7</v>
      </c>
      <c r="J1890" s="1" t="s">
        <v>2468</v>
      </c>
    </row>
    <row r="1891">
      <c r="A1891" s="1" t="s">
        <v>5702</v>
      </c>
      <c r="B1891" s="1" t="s">
        <v>5703</v>
      </c>
      <c r="C1891" s="1" t="s">
        <v>5704</v>
      </c>
      <c r="D1891" s="1" t="s">
        <v>5437</v>
      </c>
      <c r="E1891" s="1" t="s">
        <v>5438</v>
      </c>
      <c r="F1891" s="1">
        <v>1777036.0</v>
      </c>
      <c r="G1891" s="1">
        <v>39974.0</v>
      </c>
      <c r="H1891" s="1">
        <v>5626.0</v>
      </c>
      <c r="I1891" s="1">
        <v>2.28E7</v>
      </c>
      <c r="J1891" s="1" t="s">
        <v>2468</v>
      </c>
    </row>
    <row r="1892">
      <c r="A1892" s="1" t="s">
        <v>5705</v>
      </c>
      <c r="B1892" s="1" t="s">
        <v>5706</v>
      </c>
      <c r="C1892" s="1" t="s">
        <v>5707</v>
      </c>
      <c r="D1892" s="1" t="s">
        <v>5437</v>
      </c>
      <c r="E1892" s="1" t="s">
        <v>5438</v>
      </c>
      <c r="F1892" s="1">
        <v>667962.0</v>
      </c>
      <c r="G1892" s="1">
        <v>13974.0</v>
      </c>
      <c r="H1892" s="1">
        <v>315.0</v>
      </c>
      <c r="I1892" s="1">
        <v>2.28E7</v>
      </c>
      <c r="J1892" s="1" t="s">
        <v>2468</v>
      </c>
    </row>
    <row r="1893">
      <c r="A1893" s="1" t="s">
        <v>5708</v>
      </c>
      <c r="B1893" s="1" t="s">
        <v>5709</v>
      </c>
      <c r="C1893" s="1" t="s">
        <v>5710</v>
      </c>
      <c r="D1893" s="1" t="s">
        <v>5437</v>
      </c>
      <c r="E1893" s="1" t="s">
        <v>5438</v>
      </c>
      <c r="F1893" s="1">
        <v>192518.0</v>
      </c>
      <c r="G1893" s="1">
        <v>6227.0</v>
      </c>
      <c r="H1893" s="1">
        <v>270.0</v>
      </c>
      <c r="I1893" s="1">
        <v>2.28E7</v>
      </c>
      <c r="J1893" s="1" t="s">
        <v>2468</v>
      </c>
    </row>
    <row r="1894">
      <c r="A1894" s="1" t="s">
        <v>5711</v>
      </c>
      <c r="B1894" s="1" t="s">
        <v>5712</v>
      </c>
      <c r="C1894" s="1" t="s">
        <v>5713</v>
      </c>
      <c r="D1894" s="1" t="s">
        <v>5437</v>
      </c>
      <c r="E1894" s="1" t="s">
        <v>5438</v>
      </c>
      <c r="F1894" s="1">
        <v>162134.0</v>
      </c>
      <c r="G1894" s="1">
        <v>5231.0</v>
      </c>
      <c r="H1894" s="1">
        <v>664.0</v>
      </c>
      <c r="I1894" s="1">
        <v>2.28E7</v>
      </c>
      <c r="J1894" s="1" t="s">
        <v>2468</v>
      </c>
    </row>
    <row r="1895">
      <c r="A1895" s="1" t="s">
        <v>5714</v>
      </c>
      <c r="B1895" s="1" t="s">
        <v>5715</v>
      </c>
      <c r="C1895" s="1" t="s">
        <v>5716</v>
      </c>
      <c r="D1895" s="1" t="s">
        <v>5437</v>
      </c>
      <c r="E1895" s="1" t="s">
        <v>5438</v>
      </c>
      <c r="F1895" s="1">
        <v>439797.0</v>
      </c>
      <c r="G1895" s="1">
        <v>10175.0</v>
      </c>
      <c r="H1895" s="1">
        <v>259.0</v>
      </c>
      <c r="I1895" s="1">
        <v>2.28E7</v>
      </c>
      <c r="J1895" s="1" t="s">
        <v>2468</v>
      </c>
    </row>
    <row r="1896">
      <c r="A1896" s="1" t="s">
        <v>5717</v>
      </c>
      <c r="B1896" s="1" t="s">
        <v>5718</v>
      </c>
      <c r="C1896" s="1" t="s">
        <v>5719</v>
      </c>
      <c r="D1896" s="1" t="s">
        <v>5437</v>
      </c>
      <c r="E1896" s="1" t="s">
        <v>5438</v>
      </c>
      <c r="F1896" s="1">
        <v>377449.0</v>
      </c>
      <c r="G1896" s="1">
        <v>11378.0</v>
      </c>
      <c r="H1896" s="1">
        <v>392.0</v>
      </c>
      <c r="I1896" s="1">
        <v>2.28E7</v>
      </c>
      <c r="J1896" s="1" t="s">
        <v>2468</v>
      </c>
    </row>
    <row r="1897">
      <c r="A1897" s="1" t="s">
        <v>5720</v>
      </c>
      <c r="B1897" s="1" t="s">
        <v>5721</v>
      </c>
      <c r="C1897" s="1" t="s">
        <v>5722</v>
      </c>
      <c r="D1897" s="1" t="s">
        <v>5437</v>
      </c>
      <c r="E1897" s="1" t="s">
        <v>5438</v>
      </c>
      <c r="F1897" s="1">
        <v>1896908.0</v>
      </c>
      <c r="G1897" s="1">
        <v>30950.0</v>
      </c>
      <c r="H1897" s="1">
        <v>867.0</v>
      </c>
      <c r="I1897" s="1">
        <v>2.28E7</v>
      </c>
      <c r="J1897" s="1" t="s">
        <v>2468</v>
      </c>
    </row>
    <row r="1898">
      <c r="A1898" s="1" t="s">
        <v>5723</v>
      </c>
      <c r="B1898" s="1" t="s">
        <v>5724</v>
      </c>
      <c r="C1898" s="1" t="s">
        <v>5725</v>
      </c>
      <c r="D1898" s="1" t="s">
        <v>5437</v>
      </c>
      <c r="E1898" s="1" t="s">
        <v>5438</v>
      </c>
      <c r="F1898" s="1">
        <v>138564.0</v>
      </c>
      <c r="G1898" s="1">
        <v>4675.0</v>
      </c>
      <c r="H1898" s="1">
        <v>121.0</v>
      </c>
      <c r="I1898" s="1">
        <v>2.28E7</v>
      </c>
      <c r="J1898" s="1" t="s">
        <v>2468</v>
      </c>
    </row>
    <row r="1899">
      <c r="A1899" s="1" t="s">
        <v>5726</v>
      </c>
      <c r="B1899" s="1" t="s">
        <v>5727</v>
      </c>
      <c r="C1899" s="1" t="s">
        <v>5728</v>
      </c>
      <c r="D1899" s="1" t="s">
        <v>5437</v>
      </c>
      <c r="E1899" s="1" t="s">
        <v>5438</v>
      </c>
      <c r="F1899" s="1">
        <v>1499867.0</v>
      </c>
      <c r="G1899" s="1">
        <v>37817.0</v>
      </c>
      <c r="H1899" s="1">
        <v>1188.0</v>
      </c>
      <c r="I1899" s="1">
        <v>2.28E7</v>
      </c>
      <c r="J1899" s="1" t="s">
        <v>2468</v>
      </c>
    </row>
    <row r="1900">
      <c r="A1900" s="1" t="s">
        <v>5729</v>
      </c>
      <c r="B1900" s="1" t="s">
        <v>5730</v>
      </c>
      <c r="C1900" s="1" t="s">
        <v>5731</v>
      </c>
      <c r="D1900" s="1" t="s">
        <v>5437</v>
      </c>
      <c r="E1900" s="1" t="s">
        <v>5438</v>
      </c>
      <c r="F1900" s="1">
        <v>171700.0</v>
      </c>
      <c r="G1900" s="1">
        <v>6362.0</v>
      </c>
      <c r="H1900" s="1">
        <v>230.0</v>
      </c>
      <c r="I1900" s="1">
        <v>2.28E7</v>
      </c>
      <c r="J1900" s="1" t="s">
        <v>2468</v>
      </c>
    </row>
    <row r="1901">
      <c r="A1901" s="1" t="s">
        <v>5732</v>
      </c>
      <c r="B1901" s="1" t="s">
        <v>5733</v>
      </c>
      <c r="C1901" s="1" t="s">
        <v>5734</v>
      </c>
      <c r="D1901" s="1" t="s">
        <v>5437</v>
      </c>
      <c r="E1901" s="1" t="s">
        <v>5438</v>
      </c>
      <c r="F1901" s="1">
        <v>1287647.0</v>
      </c>
      <c r="G1901" s="1">
        <v>21874.0</v>
      </c>
      <c r="H1901" s="1">
        <v>976.0</v>
      </c>
      <c r="I1901" s="1">
        <v>2.28E7</v>
      </c>
      <c r="J1901" s="1" t="s">
        <v>2468</v>
      </c>
    </row>
    <row r="1902">
      <c r="A1902" s="1" t="s">
        <v>5735</v>
      </c>
      <c r="B1902" s="1" t="s">
        <v>5736</v>
      </c>
      <c r="C1902" s="1" t="s">
        <v>5737</v>
      </c>
      <c r="D1902" s="1" t="s">
        <v>5437</v>
      </c>
      <c r="E1902" s="1" t="s">
        <v>5438</v>
      </c>
      <c r="F1902" s="1">
        <v>269365.0</v>
      </c>
      <c r="G1902" s="1">
        <v>7783.0</v>
      </c>
      <c r="H1902" s="1">
        <v>111.0</v>
      </c>
      <c r="I1902" s="1">
        <v>2.28E7</v>
      </c>
      <c r="J1902" s="1" t="s">
        <v>2468</v>
      </c>
    </row>
    <row r="1903">
      <c r="A1903" s="1" t="s">
        <v>5738</v>
      </c>
      <c r="B1903" s="1" t="s">
        <v>5739</v>
      </c>
      <c r="C1903" s="1" t="s">
        <v>5740</v>
      </c>
      <c r="D1903" s="1" t="s">
        <v>5437</v>
      </c>
      <c r="E1903" s="1" t="s">
        <v>5438</v>
      </c>
      <c r="F1903" s="1">
        <v>411351.0</v>
      </c>
      <c r="G1903" s="1">
        <v>10921.0</v>
      </c>
      <c r="H1903" s="1">
        <v>295.0</v>
      </c>
      <c r="I1903" s="1">
        <v>2.28E7</v>
      </c>
      <c r="J1903" s="1" t="s">
        <v>2468</v>
      </c>
    </row>
    <row r="1904">
      <c r="A1904" s="1" t="s">
        <v>5741</v>
      </c>
      <c r="B1904" s="1" t="s">
        <v>5742</v>
      </c>
      <c r="C1904" s="1" t="s">
        <v>5743</v>
      </c>
      <c r="D1904" s="1" t="s">
        <v>5437</v>
      </c>
      <c r="E1904" s="1" t="s">
        <v>5438</v>
      </c>
      <c r="F1904" s="1">
        <v>280094.0</v>
      </c>
      <c r="G1904" s="1">
        <v>9855.0</v>
      </c>
      <c r="H1904" s="1">
        <v>140.0</v>
      </c>
      <c r="I1904" s="1">
        <v>2.28E7</v>
      </c>
      <c r="J1904" s="1" t="s">
        <v>2468</v>
      </c>
    </row>
    <row r="1905">
      <c r="A1905" s="1" t="s">
        <v>5744</v>
      </c>
      <c r="B1905" s="1" t="s">
        <v>5745</v>
      </c>
      <c r="C1905" s="1" t="s">
        <v>5746</v>
      </c>
      <c r="D1905" s="1" t="s">
        <v>5437</v>
      </c>
      <c r="E1905" s="1" t="s">
        <v>5438</v>
      </c>
      <c r="F1905" s="1">
        <v>500454.0</v>
      </c>
      <c r="G1905" s="1">
        <v>9998.0</v>
      </c>
      <c r="H1905" s="1">
        <v>473.0</v>
      </c>
      <c r="I1905" s="1">
        <v>2.28E7</v>
      </c>
      <c r="J1905" s="1" t="s">
        <v>2468</v>
      </c>
    </row>
    <row r="1906">
      <c r="A1906" s="1" t="s">
        <v>5747</v>
      </c>
      <c r="B1906" s="1" t="s">
        <v>5748</v>
      </c>
      <c r="C1906" s="1" t="s">
        <v>5749</v>
      </c>
      <c r="D1906" s="1" t="s">
        <v>5437</v>
      </c>
      <c r="E1906" s="1" t="s">
        <v>5438</v>
      </c>
      <c r="F1906" s="1">
        <v>723275.0</v>
      </c>
      <c r="G1906" s="1">
        <v>22060.0</v>
      </c>
      <c r="H1906" s="1">
        <v>303.0</v>
      </c>
      <c r="I1906" s="1">
        <v>2.28E7</v>
      </c>
      <c r="J1906" s="1" t="s">
        <v>2468</v>
      </c>
    </row>
    <row r="1907">
      <c r="A1907" s="1" t="s">
        <v>5750</v>
      </c>
      <c r="B1907" s="1" t="s">
        <v>5751</v>
      </c>
      <c r="C1907" s="1" t="s">
        <v>5752</v>
      </c>
      <c r="D1907" s="1" t="s">
        <v>5437</v>
      </c>
      <c r="E1907" s="1" t="s">
        <v>5438</v>
      </c>
      <c r="F1907" s="1">
        <v>6753194.0</v>
      </c>
      <c r="G1907" s="1">
        <v>219024.0</v>
      </c>
      <c r="H1907" s="1">
        <v>11219.0</v>
      </c>
      <c r="I1907" s="1">
        <v>2.28E7</v>
      </c>
      <c r="J1907" s="1" t="s">
        <v>2468</v>
      </c>
    </row>
    <row r="1908">
      <c r="A1908" s="1" t="s">
        <v>5753</v>
      </c>
      <c r="B1908" s="1" t="s">
        <v>5754</v>
      </c>
      <c r="C1908" s="1" t="s">
        <v>5755</v>
      </c>
      <c r="D1908" s="1" t="s">
        <v>5437</v>
      </c>
      <c r="E1908" s="1" t="s">
        <v>5438</v>
      </c>
      <c r="F1908" s="1">
        <v>624241.0</v>
      </c>
      <c r="G1908" s="1">
        <v>24356.0</v>
      </c>
      <c r="H1908" s="1">
        <v>245.0</v>
      </c>
      <c r="I1908" s="1">
        <v>2.28E7</v>
      </c>
      <c r="J1908" s="1" t="s">
        <v>2468</v>
      </c>
    </row>
    <row r="1909">
      <c r="A1909" s="1" t="s">
        <v>5756</v>
      </c>
      <c r="B1909" s="1" t="s">
        <v>5757</v>
      </c>
      <c r="C1909" s="1" t="s">
        <v>5758</v>
      </c>
      <c r="D1909" s="1" t="s">
        <v>5437</v>
      </c>
      <c r="E1909" s="1" t="s">
        <v>5438</v>
      </c>
      <c r="F1909" s="1">
        <v>322697.0</v>
      </c>
      <c r="G1909" s="1">
        <v>6849.0</v>
      </c>
      <c r="H1909" s="1">
        <v>419.0</v>
      </c>
      <c r="I1909" s="1">
        <v>2.28E7</v>
      </c>
      <c r="J1909" s="1" t="s">
        <v>2468</v>
      </c>
    </row>
    <row r="1910">
      <c r="A1910" s="1" t="s">
        <v>5759</v>
      </c>
      <c r="B1910" s="1" t="s">
        <v>5760</v>
      </c>
      <c r="C1910" s="1" t="s">
        <v>5761</v>
      </c>
      <c r="D1910" s="1" t="s">
        <v>5437</v>
      </c>
      <c r="E1910" s="1" t="s">
        <v>5438</v>
      </c>
      <c r="F1910" s="1">
        <v>284673.0</v>
      </c>
      <c r="G1910" s="1">
        <v>6926.0</v>
      </c>
      <c r="H1910" s="1">
        <v>181.0</v>
      </c>
      <c r="I1910" s="1">
        <v>2.28E7</v>
      </c>
      <c r="J1910" s="1" t="s">
        <v>2468</v>
      </c>
    </row>
    <row r="1911">
      <c r="A1911" s="1" t="s">
        <v>5762</v>
      </c>
      <c r="B1911" s="1" t="s">
        <v>5763</v>
      </c>
      <c r="C1911" s="1" t="s">
        <v>5764</v>
      </c>
      <c r="D1911" s="1" t="s">
        <v>5437</v>
      </c>
      <c r="E1911" s="1" t="s">
        <v>5438</v>
      </c>
      <c r="F1911" s="1">
        <v>917830.0</v>
      </c>
      <c r="G1911" s="1">
        <v>17665.0</v>
      </c>
      <c r="H1911" s="1">
        <v>756.0</v>
      </c>
      <c r="I1911" s="1">
        <v>2.28E7</v>
      </c>
      <c r="J1911" s="1" t="s">
        <v>2468</v>
      </c>
    </row>
    <row r="1912">
      <c r="A1912" s="1" t="s">
        <v>5765</v>
      </c>
      <c r="B1912" s="1" t="s">
        <v>5766</v>
      </c>
      <c r="C1912" s="1" t="s">
        <v>5767</v>
      </c>
      <c r="D1912" s="1" t="s">
        <v>5437</v>
      </c>
      <c r="E1912" s="1" t="s">
        <v>5438</v>
      </c>
      <c r="F1912" s="1">
        <v>341516.0</v>
      </c>
      <c r="G1912" s="1">
        <v>8652.0</v>
      </c>
      <c r="H1912" s="1">
        <v>224.0</v>
      </c>
      <c r="I1912" s="1">
        <v>2.28E7</v>
      </c>
      <c r="J1912" s="1" t="s">
        <v>2468</v>
      </c>
    </row>
    <row r="1913">
      <c r="A1913" s="1" t="s">
        <v>5768</v>
      </c>
      <c r="B1913" s="1" t="s">
        <v>5769</v>
      </c>
      <c r="C1913" s="1" t="s">
        <v>5770</v>
      </c>
      <c r="D1913" s="1" t="s">
        <v>5437</v>
      </c>
      <c r="E1913" s="1" t="s">
        <v>5438</v>
      </c>
      <c r="F1913" s="1">
        <v>430272.0</v>
      </c>
      <c r="G1913" s="1">
        <v>10550.0</v>
      </c>
      <c r="H1913" s="1">
        <v>440.0</v>
      </c>
      <c r="I1913" s="1">
        <v>2.28E7</v>
      </c>
      <c r="J1913" s="1" t="s">
        <v>2468</v>
      </c>
    </row>
    <row r="1914">
      <c r="A1914" s="1" t="s">
        <v>5771</v>
      </c>
      <c r="B1914" s="1" t="s">
        <v>5772</v>
      </c>
      <c r="C1914" s="1" t="s">
        <v>5773</v>
      </c>
      <c r="D1914" s="1" t="s">
        <v>5437</v>
      </c>
      <c r="E1914" s="1" t="s">
        <v>5438</v>
      </c>
      <c r="F1914" s="1">
        <v>398463.0</v>
      </c>
      <c r="G1914" s="1">
        <v>11589.0</v>
      </c>
      <c r="H1914" s="1">
        <v>373.0</v>
      </c>
      <c r="I1914" s="1">
        <v>2.28E7</v>
      </c>
      <c r="J1914" s="1" t="s">
        <v>2468</v>
      </c>
    </row>
    <row r="1915">
      <c r="A1915" s="1" t="s">
        <v>5774</v>
      </c>
      <c r="B1915" s="1" t="s">
        <v>5775</v>
      </c>
      <c r="C1915" s="1" t="s">
        <v>5776</v>
      </c>
      <c r="D1915" s="1" t="s">
        <v>5437</v>
      </c>
      <c r="E1915" s="1" t="s">
        <v>5438</v>
      </c>
      <c r="F1915" s="1">
        <v>307497.0</v>
      </c>
      <c r="G1915" s="1">
        <v>9802.0</v>
      </c>
      <c r="H1915" s="1">
        <v>763.0</v>
      </c>
      <c r="I1915" s="1">
        <v>2.28E7</v>
      </c>
      <c r="J1915" s="1" t="s">
        <v>2468</v>
      </c>
    </row>
    <row r="1916">
      <c r="A1916" s="1" t="s">
        <v>5777</v>
      </c>
      <c r="B1916" s="1" t="s">
        <v>5778</v>
      </c>
      <c r="C1916" s="1" t="s">
        <v>5779</v>
      </c>
      <c r="D1916" s="1" t="s">
        <v>5437</v>
      </c>
      <c r="E1916" s="1" t="s">
        <v>5438</v>
      </c>
      <c r="F1916" s="1">
        <v>294559.0</v>
      </c>
      <c r="G1916" s="1">
        <v>6921.0</v>
      </c>
      <c r="H1916" s="1">
        <v>257.0</v>
      </c>
      <c r="I1916" s="1">
        <v>2.28E7</v>
      </c>
      <c r="J1916" s="1" t="s">
        <v>2468</v>
      </c>
    </row>
    <row r="1917">
      <c r="A1917" s="1" t="s">
        <v>5780</v>
      </c>
      <c r="B1917" s="1" t="s">
        <v>5781</v>
      </c>
      <c r="C1917" s="1" t="s">
        <v>5782</v>
      </c>
      <c r="D1917" s="1" t="s">
        <v>5437</v>
      </c>
      <c r="E1917" s="1" t="s">
        <v>5438</v>
      </c>
      <c r="F1917" s="1">
        <v>751789.0</v>
      </c>
      <c r="G1917" s="1">
        <v>16645.0</v>
      </c>
      <c r="H1917" s="1">
        <v>657.0</v>
      </c>
      <c r="I1917" s="1">
        <v>2.28E7</v>
      </c>
      <c r="J1917" s="1" t="s">
        <v>2468</v>
      </c>
    </row>
    <row r="1918">
      <c r="A1918" s="1" t="s">
        <v>5783</v>
      </c>
      <c r="B1918" s="1" t="s">
        <v>5784</v>
      </c>
      <c r="C1918" s="1" t="s">
        <v>5785</v>
      </c>
      <c r="D1918" s="1" t="s">
        <v>5437</v>
      </c>
      <c r="E1918" s="1" t="s">
        <v>5438</v>
      </c>
      <c r="F1918" s="1">
        <v>483081.0</v>
      </c>
      <c r="G1918" s="1">
        <v>13372.0</v>
      </c>
      <c r="H1918" s="1">
        <v>394.0</v>
      </c>
      <c r="I1918" s="1">
        <v>2.28E7</v>
      </c>
      <c r="J1918" s="1" t="s">
        <v>2468</v>
      </c>
    </row>
    <row r="1919">
      <c r="A1919" s="1" t="s">
        <v>5786</v>
      </c>
      <c r="B1919" s="1" t="s">
        <v>5787</v>
      </c>
      <c r="C1919" s="1" t="s">
        <v>5788</v>
      </c>
      <c r="D1919" s="1" t="s">
        <v>5437</v>
      </c>
      <c r="E1919" s="1" t="s">
        <v>5438</v>
      </c>
      <c r="F1919" s="1">
        <v>282009.0</v>
      </c>
      <c r="G1919" s="1">
        <v>8702.0</v>
      </c>
      <c r="H1919" s="1">
        <v>368.0</v>
      </c>
      <c r="I1919" s="1">
        <v>2.28E7</v>
      </c>
      <c r="J1919" s="1" t="s">
        <v>2468</v>
      </c>
    </row>
    <row r="1920">
      <c r="A1920" s="1" t="s">
        <v>5789</v>
      </c>
      <c r="B1920" s="1" t="s">
        <v>5790</v>
      </c>
      <c r="C1920" s="1" t="s">
        <v>5791</v>
      </c>
      <c r="D1920" s="1" t="s">
        <v>5437</v>
      </c>
      <c r="E1920" s="1" t="s">
        <v>5438</v>
      </c>
      <c r="F1920" s="1">
        <v>2419298.0</v>
      </c>
      <c r="G1920" s="1">
        <v>85393.0</v>
      </c>
      <c r="H1920" s="1">
        <v>2660.0</v>
      </c>
      <c r="I1920" s="1">
        <v>2.28E7</v>
      </c>
      <c r="J1920" s="1" t="s">
        <v>2468</v>
      </c>
    </row>
    <row r="1921">
      <c r="A1921" s="1" t="s">
        <v>5792</v>
      </c>
      <c r="B1921" s="1" t="s">
        <v>5793</v>
      </c>
      <c r="C1921" s="1" t="s">
        <v>5794</v>
      </c>
      <c r="D1921" s="1" t="s">
        <v>5437</v>
      </c>
      <c r="E1921" s="1" t="s">
        <v>5438</v>
      </c>
      <c r="F1921" s="1">
        <v>380530.0</v>
      </c>
      <c r="G1921" s="1">
        <v>8770.0</v>
      </c>
      <c r="H1921" s="1">
        <v>211.0</v>
      </c>
      <c r="I1921" s="1">
        <v>2.28E7</v>
      </c>
      <c r="J1921" s="1" t="s">
        <v>2468</v>
      </c>
    </row>
    <row r="1922">
      <c r="A1922" s="1" t="s">
        <v>5795</v>
      </c>
      <c r="B1922" s="1" t="s">
        <v>5796</v>
      </c>
      <c r="C1922" s="1" t="s">
        <v>5797</v>
      </c>
      <c r="D1922" s="1" t="s">
        <v>5437</v>
      </c>
      <c r="E1922" s="1" t="s">
        <v>5438</v>
      </c>
      <c r="F1922" s="1">
        <v>411392.0</v>
      </c>
      <c r="G1922" s="1">
        <v>11523.0</v>
      </c>
      <c r="H1922" s="1">
        <v>590.0</v>
      </c>
      <c r="I1922" s="1">
        <v>2.28E7</v>
      </c>
      <c r="J1922" s="1" t="s">
        <v>2468</v>
      </c>
    </row>
    <row r="1923">
      <c r="A1923" s="1" t="s">
        <v>5798</v>
      </c>
      <c r="B1923" s="1" t="s">
        <v>5799</v>
      </c>
      <c r="C1923" s="1" t="s">
        <v>5800</v>
      </c>
      <c r="D1923" s="1" t="s">
        <v>5437</v>
      </c>
      <c r="E1923" s="1" t="s">
        <v>5438</v>
      </c>
      <c r="F1923" s="1">
        <v>222032.0</v>
      </c>
      <c r="G1923" s="1">
        <v>6938.0</v>
      </c>
      <c r="H1923" s="1">
        <v>474.0</v>
      </c>
      <c r="I1923" s="1">
        <v>2.28E7</v>
      </c>
      <c r="J1923" s="1" t="s">
        <v>2468</v>
      </c>
    </row>
    <row r="1924">
      <c r="A1924" s="1" t="s">
        <v>5801</v>
      </c>
      <c r="B1924" s="1" t="s">
        <v>5802</v>
      </c>
      <c r="C1924" s="1" t="s">
        <v>5803</v>
      </c>
      <c r="D1924" s="1" t="s">
        <v>5437</v>
      </c>
      <c r="E1924" s="1" t="s">
        <v>5438</v>
      </c>
      <c r="F1924" s="1">
        <v>994298.0</v>
      </c>
      <c r="G1924" s="1">
        <v>17714.0</v>
      </c>
      <c r="H1924" s="1">
        <v>700.0</v>
      </c>
      <c r="I1924" s="1">
        <v>2.28E7</v>
      </c>
      <c r="J1924" s="1" t="s">
        <v>2468</v>
      </c>
    </row>
    <row r="1925">
      <c r="A1925" s="1" t="s">
        <v>5804</v>
      </c>
      <c r="B1925" s="1" t="s">
        <v>5805</v>
      </c>
      <c r="C1925" s="1" t="s">
        <v>5806</v>
      </c>
      <c r="D1925" s="1" t="s">
        <v>5437</v>
      </c>
      <c r="E1925" s="1" t="s">
        <v>5438</v>
      </c>
      <c r="F1925" s="1">
        <v>81625.0</v>
      </c>
      <c r="G1925" s="1">
        <v>1362.0</v>
      </c>
      <c r="H1925" s="1">
        <v>25.0</v>
      </c>
      <c r="I1925" s="1">
        <v>2.28E7</v>
      </c>
      <c r="J1925" s="1" t="s">
        <v>2468</v>
      </c>
    </row>
    <row r="1926">
      <c r="A1926" s="1" t="s">
        <v>5807</v>
      </c>
      <c r="B1926" s="1" t="s">
        <v>5808</v>
      </c>
      <c r="C1926" s="1" t="s">
        <v>5809</v>
      </c>
      <c r="D1926" s="1" t="s">
        <v>5437</v>
      </c>
      <c r="E1926" s="1" t="s">
        <v>5438</v>
      </c>
      <c r="F1926" s="1">
        <v>503458.0</v>
      </c>
      <c r="G1926" s="1">
        <v>12000.0</v>
      </c>
      <c r="H1926" s="1">
        <v>616.0</v>
      </c>
      <c r="I1926" s="1">
        <v>2.28E7</v>
      </c>
      <c r="J1926" s="1" t="s">
        <v>2468</v>
      </c>
    </row>
    <row r="1927">
      <c r="A1927" s="1" t="s">
        <v>5810</v>
      </c>
      <c r="B1927" s="1" t="s">
        <v>5811</v>
      </c>
      <c r="C1927" s="1" t="s">
        <v>5812</v>
      </c>
      <c r="D1927" s="1" t="s">
        <v>5437</v>
      </c>
      <c r="E1927" s="1" t="s">
        <v>5438</v>
      </c>
      <c r="F1927" s="1">
        <v>88034.0</v>
      </c>
      <c r="G1927" s="1">
        <v>1644.0</v>
      </c>
      <c r="H1927" s="1">
        <v>27.0</v>
      </c>
      <c r="I1927" s="1">
        <v>2.28E7</v>
      </c>
      <c r="J1927" s="1" t="s">
        <v>2468</v>
      </c>
    </row>
    <row r="1928">
      <c r="A1928" s="1" t="s">
        <v>5813</v>
      </c>
      <c r="B1928" s="1" t="s">
        <v>5814</v>
      </c>
      <c r="C1928" s="1" t="s">
        <v>5815</v>
      </c>
      <c r="D1928" s="1" t="s">
        <v>5437</v>
      </c>
      <c r="E1928" s="1" t="s">
        <v>5438</v>
      </c>
      <c r="F1928" s="1">
        <v>396959.0</v>
      </c>
      <c r="G1928" s="1">
        <v>12076.0</v>
      </c>
      <c r="H1928" s="1">
        <v>479.0</v>
      </c>
      <c r="I1928" s="1">
        <v>2.28E7</v>
      </c>
      <c r="J1928" s="1" t="s">
        <v>2468</v>
      </c>
    </row>
    <row r="1929">
      <c r="A1929" s="1" t="s">
        <v>5816</v>
      </c>
      <c r="B1929" s="1" t="s">
        <v>5817</v>
      </c>
      <c r="C1929" s="1" t="s">
        <v>5818</v>
      </c>
      <c r="D1929" s="1" t="s">
        <v>5437</v>
      </c>
      <c r="E1929" s="1" t="s">
        <v>5438</v>
      </c>
      <c r="F1929" s="1">
        <v>63634.0</v>
      </c>
      <c r="G1929" s="1">
        <v>601.0</v>
      </c>
      <c r="H1929" s="1">
        <v>9.0</v>
      </c>
      <c r="I1929" s="1">
        <v>2.28E7</v>
      </c>
      <c r="J1929" s="1" t="s">
        <v>2468</v>
      </c>
    </row>
    <row r="1930">
      <c r="A1930" s="1" t="s">
        <v>5819</v>
      </c>
      <c r="B1930" s="1" t="s">
        <v>5820</v>
      </c>
      <c r="C1930" s="1" t="s">
        <v>5821</v>
      </c>
      <c r="D1930" s="1" t="s">
        <v>5437</v>
      </c>
      <c r="E1930" s="1" t="s">
        <v>5438</v>
      </c>
      <c r="F1930" s="1">
        <v>274722.0</v>
      </c>
      <c r="G1930" s="1">
        <v>6686.0</v>
      </c>
      <c r="H1930" s="1">
        <v>310.0</v>
      </c>
      <c r="I1930" s="1">
        <v>2.28E7</v>
      </c>
      <c r="J1930" s="1" t="s">
        <v>2468</v>
      </c>
    </row>
    <row r="1931">
      <c r="A1931" s="1" t="s">
        <v>5822</v>
      </c>
      <c r="B1931" s="1" t="s">
        <v>5823</v>
      </c>
      <c r="C1931" s="1" t="s">
        <v>5824</v>
      </c>
      <c r="D1931" s="1" t="s">
        <v>5437</v>
      </c>
      <c r="E1931" s="1" t="s">
        <v>5438</v>
      </c>
      <c r="F1931" s="1">
        <v>625441.0</v>
      </c>
      <c r="G1931" s="1">
        <v>18345.0</v>
      </c>
      <c r="H1931" s="1">
        <v>1360.0</v>
      </c>
      <c r="I1931" s="1">
        <v>2.28E7</v>
      </c>
      <c r="J1931" s="1" t="s">
        <v>2468</v>
      </c>
    </row>
    <row r="1932">
      <c r="A1932" s="1" t="s">
        <v>5825</v>
      </c>
      <c r="B1932" s="1" t="s">
        <v>5826</v>
      </c>
      <c r="C1932" s="1" t="s">
        <v>5827</v>
      </c>
      <c r="D1932" s="1" t="s">
        <v>5437</v>
      </c>
      <c r="E1932" s="1" t="s">
        <v>5438</v>
      </c>
      <c r="F1932" s="1">
        <v>95243.0</v>
      </c>
      <c r="G1932" s="1">
        <v>1277.0</v>
      </c>
      <c r="H1932" s="1">
        <v>24.0</v>
      </c>
      <c r="I1932" s="1">
        <v>2.28E7</v>
      </c>
      <c r="J1932" s="1" t="s">
        <v>2468</v>
      </c>
    </row>
    <row r="1933">
      <c r="A1933" s="1" t="s">
        <v>5828</v>
      </c>
      <c r="B1933" s="1" t="s">
        <v>5829</v>
      </c>
      <c r="C1933" s="1" t="s">
        <v>5830</v>
      </c>
      <c r="D1933" s="1" t="s">
        <v>5437</v>
      </c>
      <c r="E1933" s="1" t="s">
        <v>5438</v>
      </c>
      <c r="F1933" s="1">
        <v>997264.0</v>
      </c>
      <c r="G1933" s="1">
        <v>19132.0</v>
      </c>
      <c r="H1933" s="1">
        <v>762.0</v>
      </c>
      <c r="I1933" s="1">
        <v>2.28E7</v>
      </c>
      <c r="J1933" s="1" t="s">
        <v>2468</v>
      </c>
    </row>
    <row r="1934">
      <c r="A1934" s="1" t="s">
        <v>5831</v>
      </c>
      <c r="B1934" s="1" t="s">
        <v>5832</v>
      </c>
      <c r="C1934" s="1" t="s">
        <v>5833</v>
      </c>
      <c r="D1934" s="1" t="s">
        <v>5437</v>
      </c>
      <c r="E1934" s="1" t="s">
        <v>5438</v>
      </c>
      <c r="F1934" s="1">
        <v>96013.0</v>
      </c>
      <c r="G1934" s="1">
        <v>2389.0</v>
      </c>
      <c r="H1934" s="1">
        <v>84.0</v>
      </c>
      <c r="I1934" s="1">
        <v>2.28E7</v>
      </c>
      <c r="J1934" s="1" t="s">
        <v>2468</v>
      </c>
    </row>
    <row r="1935">
      <c r="A1935" s="1" t="s">
        <v>5834</v>
      </c>
      <c r="B1935" s="1" t="s">
        <v>5835</v>
      </c>
      <c r="C1935" s="1" t="s">
        <v>5836</v>
      </c>
      <c r="D1935" s="1" t="s">
        <v>5437</v>
      </c>
      <c r="E1935" s="1" t="s">
        <v>5438</v>
      </c>
      <c r="F1935" s="1">
        <v>737335.0</v>
      </c>
      <c r="G1935" s="1">
        <v>16275.0</v>
      </c>
      <c r="H1935" s="1">
        <v>1074.0</v>
      </c>
      <c r="I1935" s="1">
        <v>2.28E7</v>
      </c>
      <c r="J1935" s="1" t="s">
        <v>2468</v>
      </c>
    </row>
    <row r="1936">
      <c r="A1936" s="1" t="s">
        <v>5837</v>
      </c>
      <c r="B1936" s="1" t="s">
        <v>5838</v>
      </c>
      <c r="C1936" s="1" t="s">
        <v>5839</v>
      </c>
      <c r="D1936" s="1" t="s">
        <v>5437</v>
      </c>
      <c r="E1936" s="1" t="s">
        <v>5438</v>
      </c>
      <c r="F1936" s="1">
        <v>338740.0</v>
      </c>
      <c r="G1936" s="1">
        <v>9869.0</v>
      </c>
      <c r="H1936" s="1">
        <v>239.0</v>
      </c>
      <c r="I1936" s="1">
        <v>2.28E7</v>
      </c>
      <c r="J1936" s="1" t="s">
        <v>2468</v>
      </c>
    </row>
    <row r="1937">
      <c r="A1937" s="1" t="s">
        <v>5840</v>
      </c>
      <c r="B1937" s="1" t="s">
        <v>5841</v>
      </c>
      <c r="C1937" s="1" t="s">
        <v>5842</v>
      </c>
      <c r="D1937" s="1" t="s">
        <v>5437</v>
      </c>
      <c r="E1937" s="1" t="s">
        <v>5438</v>
      </c>
      <c r="F1937" s="1">
        <v>481964.0</v>
      </c>
      <c r="G1937" s="1">
        <v>8306.0</v>
      </c>
      <c r="H1937" s="1">
        <v>301.0</v>
      </c>
      <c r="I1937" s="1">
        <v>2.28E7</v>
      </c>
      <c r="J1937" s="1" t="s">
        <v>2468</v>
      </c>
    </row>
    <row r="1938">
      <c r="A1938" s="1" t="s">
        <v>5843</v>
      </c>
      <c r="B1938" s="1" t="s">
        <v>5844</v>
      </c>
      <c r="C1938" s="1" t="s">
        <v>5845</v>
      </c>
      <c r="D1938" s="1" t="s">
        <v>5437</v>
      </c>
      <c r="E1938" s="1" t="s">
        <v>5438</v>
      </c>
      <c r="F1938" s="1">
        <v>518307.0</v>
      </c>
      <c r="G1938" s="1">
        <v>14786.0</v>
      </c>
      <c r="H1938" s="1">
        <v>481.0</v>
      </c>
      <c r="I1938" s="1">
        <v>2.28E7</v>
      </c>
      <c r="J1938" s="1" t="s">
        <v>2468</v>
      </c>
    </row>
    <row r="1939">
      <c r="A1939" s="1" t="s">
        <v>5846</v>
      </c>
      <c r="B1939" s="1" t="s">
        <v>5847</v>
      </c>
      <c r="C1939" s="1" t="s">
        <v>5848</v>
      </c>
      <c r="D1939" s="1" t="s">
        <v>5437</v>
      </c>
      <c r="E1939" s="1" t="s">
        <v>5438</v>
      </c>
      <c r="F1939" s="1">
        <v>393182.0</v>
      </c>
      <c r="G1939" s="1">
        <v>12015.0</v>
      </c>
      <c r="H1939" s="1">
        <v>787.0</v>
      </c>
      <c r="I1939" s="1">
        <v>2.28E7</v>
      </c>
      <c r="J1939" s="1" t="s">
        <v>2468</v>
      </c>
    </row>
    <row r="1940">
      <c r="A1940" s="1" t="s">
        <v>5849</v>
      </c>
      <c r="B1940" s="1" t="s">
        <v>5850</v>
      </c>
      <c r="C1940" s="1" t="s">
        <v>5851</v>
      </c>
      <c r="D1940" s="1" t="s">
        <v>5437</v>
      </c>
      <c r="E1940" s="1" t="s">
        <v>5438</v>
      </c>
      <c r="F1940" s="1">
        <v>1377769.0</v>
      </c>
      <c r="G1940" s="1">
        <v>24325.0</v>
      </c>
      <c r="H1940" s="1">
        <v>780.0</v>
      </c>
      <c r="I1940" s="1">
        <v>2.28E7</v>
      </c>
      <c r="J1940" s="1" t="s">
        <v>2468</v>
      </c>
    </row>
    <row r="1941">
      <c r="A1941" s="1" t="s">
        <v>5852</v>
      </c>
      <c r="B1941" s="1" t="s">
        <v>5853</v>
      </c>
      <c r="C1941" s="1" t="s">
        <v>5854</v>
      </c>
      <c r="D1941" s="1" t="s">
        <v>5437</v>
      </c>
      <c r="E1941" s="1" t="s">
        <v>5438</v>
      </c>
      <c r="F1941" s="1">
        <v>585070.0</v>
      </c>
      <c r="G1941" s="1">
        <v>13613.0</v>
      </c>
      <c r="H1941" s="1">
        <v>633.0</v>
      </c>
      <c r="I1941" s="1">
        <v>2.28E7</v>
      </c>
      <c r="J1941" s="1" t="s">
        <v>2468</v>
      </c>
    </row>
    <row r="1942">
      <c r="A1942" s="1" t="s">
        <v>5855</v>
      </c>
      <c r="B1942" s="1" t="s">
        <v>5856</v>
      </c>
      <c r="C1942" s="1" t="s">
        <v>5857</v>
      </c>
      <c r="D1942" s="1" t="s">
        <v>5437</v>
      </c>
      <c r="E1942" s="1" t="s">
        <v>5438</v>
      </c>
      <c r="F1942" s="1">
        <v>313130.0</v>
      </c>
      <c r="G1942" s="1">
        <v>10657.0</v>
      </c>
      <c r="H1942" s="1">
        <v>233.0</v>
      </c>
      <c r="I1942" s="1">
        <v>2.28E7</v>
      </c>
      <c r="J1942" s="1" t="s">
        <v>2468</v>
      </c>
    </row>
    <row r="1943">
      <c r="A1943" s="1" t="s">
        <v>5858</v>
      </c>
      <c r="B1943" s="1" t="s">
        <v>5859</v>
      </c>
      <c r="C1943" s="1" t="s">
        <v>5860</v>
      </c>
      <c r="D1943" s="1" t="s">
        <v>5437</v>
      </c>
      <c r="E1943" s="1" t="s">
        <v>5438</v>
      </c>
      <c r="F1943" s="1">
        <v>401765.0</v>
      </c>
      <c r="G1943" s="1">
        <v>12387.0</v>
      </c>
      <c r="H1943" s="1">
        <v>347.0</v>
      </c>
      <c r="I1943" s="1">
        <v>2.28E7</v>
      </c>
      <c r="J1943" s="1" t="s">
        <v>2468</v>
      </c>
    </row>
    <row r="1944">
      <c r="A1944" s="1" t="s">
        <v>5861</v>
      </c>
      <c r="B1944" s="1" t="s">
        <v>5862</v>
      </c>
      <c r="C1944" s="1" t="s">
        <v>5863</v>
      </c>
      <c r="D1944" s="1" t="s">
        <v>5437</v>
      </c>
      <c r="E1944" s="1" t="s">
        <v>5438</v>
      </c>
      <c r="F1944" s="1">
        <v>447600.0</v>
      </c>
      <c r="G1944" s="1">
        <v>12265.0</v>
      </c>
      <c r="H1944" s="1">
        <v>207.0</v>
      </c>
      <c r="I1944" s="1">
        <v>2.28E7</v>
      </c>
      <c r="J1944" s="1" t="s">
        <v>2468</v>
      </c>
    </row>
    <row r="1945">
      <c r="A1945" s="1" t="s">
        <v>5864</v>
      </c>
      <c r="B1945" s="1" t="s">
        <v>5865</v>
      </c>
      <c r="C1945" s="1" t="s">
        <v>5866</v>
      </c>
      <c r="D1945" s="1" t="s">
        <v>5437</v>
      </c>
      <c r="E1945" s="1" t="s">
        <v>5438</v>
      </c>
      <c r="F1945" s="1">
        <v>219318.0</v>
      </c>
      <c r="G1945" s="1">
        <v>5824.0</v>
      </c>
      <c r="H1945" s="1">
        <v>247.0</v>
      </c>
      <c r="I1945" s="1">
        <v>2.28E7</v>
      </c>
      <c r="J1945" s="1" t="s">
        <v>2468</v>
      </c>
    </row>
    <row r="1946">
      <c r="A1946" s="1" t="s">
        <v>5867</v>
      </c>
      <c r="B1946" s="1" t="s">
        <v>5868</v>
      </c>
      <c r="C1946" s="1" t="s">
        <v>5869</v>
      </c>
      <c r="D1946" s="1" t="s">
        <v>5437</v>
      </c>
      <c r="E1946" s="1" t="s">
        <v>5438</v>
      </c>
      <c r="F1946" s="1">
        <v>100920.0</v>
      </c>
      <c r="G1946" s="1">
        <v>1610.0</v>
      </c>
      <c r="H1946" s="1">
        <v>35.0</v>
      </c>
      <c r="I1946" s="1">
        <v>2.28E7</v>
      </c>
      <c r="J1946" s="1" t="s">
        <v>2468</v>
      </c>
    </row>
    <row r="1947">
      <c r="A1947" s="1" t="s">
        <v>5870</v>
      </c>
      <c r="B1947" s="1" t="s">
        <v>5871</v>
      </c>
      <c r="C1947" s="1" t="s">
        <v>5872</v>
      </c>
      <c r="D1947" s="1" t="s">
        <v>5437</v>
      </c>
      <c r="E1947" s="1" t="s">
        <v>5438</v>
      </c>
      <c r="F1947" s="1">
        <v>530301.0</v>
      </c>
      <c r="G1947" s="1">
        <v>14840.0</v>
      </c>
      <c r="H1947" s="1">
        <v>556.0</v>
      </c>
      <c r="I1947" s="1">
        <v>2.28E7</v>
      </c>
      <c r="J1947" s="1" t="s">
        <v>2468</v>
      </c>
    </row>
    <row r="1948">
      <c r="A1948" s="1" t="s">
        <v>5873</v>
      </c>
      <c r="B1948" s="1" t="s">
        <v>5874</v>
      </c>
      <c r="C1948" s="1" t="s">
        <v>5875</v>
      </c>
      <c r="D1948" s="1" t="s">
        <v>5437</v>
      </c>
      <c r="E1948" s="1" t="s">
        <v>5438</v>
      </c>
      <c r="F1948" s="1">
        <v>1177070.0</v>
      </c>
      <c r="G1948" s="1">
        <v>20102.0</v>
      </c>
      <c r="H1948" s="1">
        <v>543.0</v>
      </c>
      <c r="I1948" s="1">
        <v>2.28E7</v>
      </c>
      <c r="J1948" s="1" t="s">
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>
        <v>5437</v>
      </c>
      <c r="E1949" s="1" t="s">
        <v>5438</v>
      </c>
      <c r="F1949" s="1">
        <v>266810.0</v>
      </c>
      <c r="G1949" s="1">
        <v>6505.0</v>
      </c>
      <c r="H1949" s="1">
        <v>281.0</v>
      </c>
      <c r="I1949" s="1">
        <v>2.28E7</v>
      </c>
      <c r="J1949" s="1" t="s">
        <v>2468</v>
      </c>
    </row>
    <row r="1950">
      <c r="A1950" s="1" t="s">
        <v>5879</v>
      </c>
      <c r="B1950" s="1" t="s">
        <v>5880</v>
      </c>
      <c r="C1950" s="1" t="s">
        <v>5881</v>
      </c>
      <c r="D1950" s="1" t="s">
        <v>5437</v>
      </c>
      <c r="E1950" s="1" t="s">
        <v>5438</v>
      </c>
      <c r="F1950" s="1">
        <v>270888.0</v>
      </c>
      <c r="G1950" s="1">
        <v>8419.0</v>
      </c>
      <c r="H1950" s="1">
        <v>264.0</v>
      </c>
      <c r="I1950" s="1">
        <v>2.28E7</v>
      </c>
      <c r="J1950" s="1" t="s">
        <v>2468</v>
      </c>
    </row>
    <row r="1951">
      <c r="A1951" s="1" t="s">
        <v>5882</v>
      </c>
      <c r="B1951" s="1" t="s">
        <v>5883</v>
      </c>
      <c r="C1951" s="1" t="s">
        <v>5884</v>
      </c>
      <c r="D1951" s="1" t="s">
        <v>5437</v>
      </c>
      <c r="E1951" s="1" t="s">
        <v>5438</v>
      </c>
      <c r="F1951" s="1">
        <v>383935.0</v>
      </c>
      <c r="G1951" s="1">
        <v>10853.0</v>
      </c>
      <c r="H1951" s="1">
        <v>449.0</v>
      </c>
      <c r="I1951" s="1">
        <v>2.28E7</v>
      </c>
      <c r="J1951" s="1" t="s">
        <v>2468</v>
      </c>
    </row>
    <row r="1952">
      <c r="A1952" s="1" t="s">
        <v>5885</v>
      </c>
      <c r="B1952" s="1" t="s">
        <v>5886</v>
      </c>
      <c r="C1952" s="1" t="s">
        <v>5887</v>
      </c>
      <c r="D1952" s="1" t="s">
        <v>5437</v>
      </c>
      <c r="E1952" s="1" t="s">
        <v>5438</v>
      </c>
      <c r="F1952" s="1">
        <v>568803.0</v>
      </c>
      <c r="G1952" s="1">
        <v>14389.0</v>
      </c>
      <c r="H1952" s="1">
        <v>669.0</v>
      </c>
      <c r="I1952" s="1">
        <v>2.28E7</v>
      </c>
      <c r="J1952" s="1" t="s">
        <v>2468</v>
      </c>
    </row>
    <row r="1953">
      <c r="A1953" s="1" t="s">
        <v>5888</v>
      </c>
      <c r="B1953" s="1" t="s">
        <v>5889</v>
      </c>
      <c r="C1953" s="1" t="s">
        <v>5890</v>
      </c>
      <c r="D1953" s="1" t="s">
        <v>5437</v>
      </c>
      <c r="E1953" s="1" t="s">
        <v>5438</v>
      </c>
      <c r="F1953" s="1">
        <v>183681.0</v>
      </c>
      <c r="G1953" s="1">
        <v>5586.0</v>
      </c>
      <c r="H1953" s="1">
        <v>623.0</v>
      </c>
      <c r="I1953" s="1">
        <v>2.28E7</v>
      </c>
      <c r="J1953" s="1" t="s">
        <v>2468</v>
      </c>
    </row>
    <row r="1954">
      <c r="A1954" s="1" t="s">
        <v>5891</v>
      </c>
      <c r="B1954" s="1" t="s">
        <v>5892</v>
      </c>
      <c r="C1954" s="1" t="s">
        <v>5893</v>
      </c>
      <c r="D1954" s="1" t="s">
        <v>5437</v>
      </c>
      <c r="E1954" s="1" t="s">
        <v>5438</v>
      </c>
      <c r="F1954" s="1">
        <v>1001613.0</v>
      </c>
      <c r="G1954" s="1">
        <v>33735.0</v>
      </c>
      <c r="H1954" s="1">
        <v>956.0</v>
      </c>
      <c r="I1954" s="1">
        <v>2.28E7</v>
      </c>
      <c r="J1954" s="1" t="s">
        <v>2468</v>
      </c>
    </row>
    <row r="1955">
      <c r="A1955" s="1" t="s">
        <v>5894</v>
      </c>
      <c r="B1955" s="1" t="s">
        <v>5895</v>
      </c>
      <c r="C1955" s="1" t="s">
        <v>5896</v>
      </c>
      <c r="D1955" s="1" t="s">
        <v>5437</v>
      </c>
      <c r="E1955" s="1" t="s">
        <v>5438</v>
      </c>
      <c r="F1955" s="1">
        <v>229108.0</v>
      </c>
      <c r="G1955" s="1">
        <v>6870.0</v>
      </c>
      <c r="H1955" s="1">
        <v>484.0</v>
      </c>
      <c r="I1955" s="1">
        <v>2.28E7</v>
      </c>
      <c r="J1955" s="1" t="s">
        <v>2468</v>
      </c>
    </row>
    <row r="1956">
      <c r="A1956" s="1" t="s">
        <v>5897</v>
      </c>
      <c r="B1956" s="1" t="s">
        <v>5898</v>
      </c>
      <c r="C1956" s="1" t="s">
        <v>5899</v>
      </c>
      <c r="D1956" s="1" t="s">
        <v>5437</v>
      </c>
      <c r="E1956" s="1" t="s">
        <v>5438</v>
      </c>
      <c r="F1956" s="1">
        <v>2889714.0</v>
      </c>
      <c r="G1956" s="1">
        <v>69401.0</v>
      </c>
      <c r="H1956" s="1">
        <v>6236.0</v>
      </c>
      <c r="I1956" s="1">
        <v>2.28E7</v>
      </c>
      <c r="J1956" s="1" t="s">
        <v>2468</v>
      </c>
    </row>
    <row r="1957">
      <c r="A1957" s="1" t="s">
        <v>5900</v>
      </c>
      <c r="B1957" s="1" t="s">
        <v>5901</v>
      </c>
      <c r="C1957" s="1" t="s">
        <v>5902</v>
      </c>
      <c r="D1957" s="1" t="s">
        <v>5437</v>
      </c>
      <c r="E1957" s="1" t="s">
        <v>5438</v>
      </c>
      <c r="F1957" s="1">
        <v>270828.0</v>
      </c>
      <c r="G1957" s="1">
        <v>8897.0</v>
      </c>
      <c r="H1957" s="1">
        <v>1169.0</v>
      </c>
      <c r="I1957" s="1">
        <v>2.28E7</v>
      </c>
      <c r="J1957" s="1" t="s">
        <v>2468</v>
      </c>
    </row>
    <row r="1958">
      <c r="A1958" s="1" t="s">
        <v>5903</v>
      </c>
      <c r="B1958" s="1" t="s">
        <v>5904</v>
      </c>
      <c r="C1958" s="1" t="s">
        <v>5905</v>
      </c>
      <c r="D1958" s="1" t="s">
        <v>5437</v>
      </c>
      <c r="E1958" s="1" t="s">
        <v>5438</v>
      </c>
      <c r="F1958" s="1">
        <v>498388.0</v>
      </c>
      <c r="G1958" s="1">
        <v>18444.0</v>
      </c>
      <c r="H1958" s="1">
        <v>416.0</v>
      </c>
      <c r="I1958" s="1">
        <v>2.28E7</v>
      </c>
      <c r="J1958" s="1" t="s">
        <v>2468</v>
      </c>
    </row>
    <row r="1959">
      <c r="A1959" s="1" t="s">
        <v>5906</v>
      </c>
      <c r="B1959" s="1" t="s">
        <v>5907</v>
      </c>
      <c r="C1959" s="1" t="s">
        <v>5908</v>
      </c>
      <c r="D1959" s="1" t="s">
        <v>5437</v>
      </c>
      <c r="E1959" s="1" t="s">
        <v>5438</v>
      </c>
      <c r="F1959" s="1">
        <v>255845.0</v>
      </c>
      <c r="G1959" s="1">
        <v>8455.0</v>
      </c>
      <c r="H1959" s="1">
        <v>564.0</v>
      </c>
      <c r="I1959" s="1">
        <v>2.28E7</v>
      </c>
      <c r="J1959" s="1" t="s">
        <v>2468</v>
      </c>
    </row>
    <row r="1960">
      <c r="A1960" s="1" t="s">
        <v>5909</v>
      </c>
      <c r="B1960" s="1" t="s">
        <v>5910</v>
      </c>
      <c r="C1960" s="1" t="s">
        <v>5911</v>
      </c>
      <c r="D1960" s="1" t="s">
        <v>5437</v>
      </c>
      <c r="E1960" s="1" t="s">
        <v>5438</v>
      </c>
      <c r="F1960" s="1">
        <v>1607783.0</v>
      </c>
      <c r="G1960" s="1">
        <v>60587.0</v>
      </c>
      <c r="H1960" s="1">
        <v>925.0</v>
      </c>
      <c r="I1960" s="1">
        <v>2.28E7</v>
      </c>
      <c r="J1960" s="1" t="s">
        <v>2468</v>
      </c>
    </row>
    <row r="1961">
      <c r="A1961" s="1" t="s">
        <v>5912</v>
      </c>
      <c r="B1961" s="1" t="s">
        <v>5913</v>
      </c>
      <c r="C1961" s="1" t="s">
        <v>5914</v>
      </c>
      <c r="D1961" s="1" t="s">
        <v>5437</v>
      </c>
      <c r="E1961" s="1" t="s">
        <v>5438</v>
      </c>
      <c r="F1961" s="1">
        <v>259369.0</v>
      </c>
      <c r="G1961" s="1">
        <v>8498.0</v>
      </c>
      <c r="H1961" s="1">
        <v>429.0</v>
      </c>
      <c r="I1961" s="1">
        <v>2.28E7</v>
      </c>
      <c r="J1961" s="1" t="s">
        <v>2468</v>
      </c>
    </row>
    <row r="1962">
      <c r="A1962" s="1" t="s">
        <v>5915</v>
      </c>
      <c r="B1962" s="1" t="s">
        <v>5916</v>
      </c>
      <c r="C1962" s="1" t="s">
        <v>5917</v>
      </c>
      <c r="D1962" s="1" t="s">
        <v>5437</v>
      </c>
      <c r="E1962" s="1" t="s">
        <v>5438</v>
      </c>
      <c r="F1962" s="1">
        <v>308567.0</v>
      </c>
      <c r="G1962" s="1">
        <v>10452.0</v>
      </c>
      <c r="H1962" s="1">
        <v>379.0</v>
      </c>
      <c r="I1962" s="1">
        <v>2.28E7</v>
      </c>
      <c r="J1962" s="1" t="s">
        <v>2468</v>
      </c>
    </row>
    <row r="1963">
      <c r="A1963" s="1" t="s">
        <v>5918</v>
      </c>
      <c r="B1963" s="1" t="s">
        <v>5919</v>
      </c>
      <c r="C1963" s="1" t="s">
        <v>5920</v>
      </c>
      <c r="D1963" s="1" t="s">
        <v>5437</v>
      </c>
      <c r="E1963" s="1" t="s">
        <v>5438</v>
      </c>
      <c r="F1963" s="1">
        <v>360965.0</v>
      </c>
      <c r="G1963" s="1">
        <v>13949.0</v>
      </c>
      <c r="H1963" s="1">
        <v>464.0</v>
      </c>
      <c r="I1963" s="1">
        <v>2.28E7</v>
      </c>
      <c r="J1963" s="1" t="s">
        <v>2468</v>
      </c>
    </row>
    <row r="1964">
      <c r="A1964" s="1" t="s">
        <v>5921</v>
      </c>
      <c r="B1964" s="1" t="s">
        <v>5922</v>
      </c>
      <c r="C1964" s="1" t="s">
        <v>5923</v>
      </c>
      <c r="D1964" s="1" t="s">
        <v>5437</v>
      </c>
      <c r="E1964" s="1" t="s">
        <v>5438</v>
      </c>
      <c r="F1964" s="1">
        <v>1770575.0</v>
      </c>
      <c r="G1964" s="1">
        <v>49321.0</v>
      </c>
      <c r="H1964" s="1">
        <v>887.0</v>
      </c>
      <c r="I1964" s="1">
        <v>2.28E7</v>
      </c>
      <c r="J1964" s="1" t="s">
        <v>2468</v>
      </c>
    </row>
    <row r="1965">
      <c r="A1965" s="1" t="s">
        <v>5924</v>
      </c>
      <c r="B1965" s="1" t="s">
        <v>5925</v>
      </c>
      <c r="C1965" s="1" t="s">
        <v>5926</v>
      </c>
      <c r="D1965" s="1" t="s">
        <v>5437</v>
      </c>
      <c r="E1965" s="1" t="s">
        <v>5438</v>
      </c>
      <c r="F1965" s="1">
        <v>453872.0</v>
      </c>
      <c r="G1965" s="1">
        <v>13017.0</v>
      </c>
      <c r="H1965" s="1">
        <v>350.0</v>
      </c>
      <c r="I1965" s="1">
        <v>2.28E7</v>
      </c>
      <c r="J1965" s="1" t="s">
        <v>2468</v>
      </c>
    </row>
    <row r="1966">
      <c r="A1966" s="1" t="s">
        <v>5927</v>
      </c>
      <c r="B1966" s="1" t="s">
        <v>5928</v>
      </c>
      <c r="C1966" s="1" t="s">
        <v>5929</v>
      </c>
      <c r="D1966" s="1" t="s">
        <v>5437</v>
      </c>
      <c r="E1966" s="1" t="s">
        <v>5438</v>
      </c>
      <c r="F1966" s="1">
        <v>1541074.0</v>
      </c>
      <c r="G1966" s="1">
        <v>34518.0</v>
      </c>
      <c r="H1966" s="1">
        <v>1362.0</v>
      </c>
      <c r="I1966" s="1">
        <v>2.28E7</v>
      </c>
      <c r="J1966" s="1" t="s">
        <v>2468</v>
      </c>
    </row>
    <row r="1967">
      <c r="A1967" s="1" t="s">
        <v>5930</v>
      </c>
      <c r="B1967" s="1" t="s">
        <v>5931</v>
      </c>
      <c r="C1967" s="1" t="s">
        <v>5932</v>
      </c>
      <c r="D1967" s="1" t="s">
        <v>5437</v>
      </c>
      <c r="E1967" s="1" t="s">
        <v>5438</v>
      </c>
      <c r="F1967" s="1">
        <v>730743.0</v>
      </c>
      <c r="G1967" s="1">
        <v>19348.0</v>
      </c>
      <c r="H1967" s="1">
        <v>367.0</v>
      </c>
      <c r="I1967" s="1">
        <v>2.28E7</v>
      </c>
      <c r="J1967" s="1" t="s">
        <v>2468</v>
      </c>
    </row>
    <row r="1968">
      <c r="A1968" s="1" t="s">
        <v>5933</v>
      </c>
      <c r="B1968" s="1" t="s">
        <v>5934</v>
      </c>
      <c r="C1968" s="1" t="s">
        <v>5935</v>
      </c>
      <c r="D1968" s="1" t="s">
        <v>5437</v>
      </c>
      <c r="E1968" s="1" t="s">
        <v>5438</v>
      </c>
      <c r="F1968" s="1">
        <v>258118.0</v>
      </c>
      <c r="G1968" s="1">
        <v>8847.0</v>
      </c>
      <c r="H1968" s="1">
        <v>199.0</v>
      </c>
      <c r="I1968" s="1">
        <v>2.28E7</v>
      </c>
      <c r="J1968" s="1" t="s">
        <v>2468</v>
      </c>
    </row>
    <row r="1969">
      <c r="A1969" s="1" t="s">
        <v>5936</v>
      </c>
      <c r="B1969" s="1" t="s">
        <v>5937</v>
      </c>
      <c r="C1969" s="1" t="s">
        <v>5938</v>
      </c>
      <c r="D1969" s="1" t="s">
        <v>5437</v>
      </c>
      <c r="E1969" s="1" t="s">
        <v>5438</v>
      </c>
      <c r="F1969" s="1">
        <v>9719944.0</v>
      </c>
      <c r="G1969" s="1">
        <v>268241.0</v>
      </c>
      <c r="H1969" s="1">
        <v>3941.0</v>
      </c>
      <c r="I1969" s="1">
        <v>2.28E7</v>
      </c>
      <c r="J1969" s="1" t="s">
        <v>2468</v>
      </c>
    </row>
    <row r="1970">
      <c r="A1970" s="1" t="s">
        <v>5939</v>
      </c>
      <c r="B1970" s="1" t="s">
        <v>5940</v>
      </c>
      <c r="C1970" s="1" t="s">
        <v>5941</v>
      </c>
      <c r="D1970" s="1" t="s">
        <v>5437</v>
      </c>
      <c r="E1970" s="1" t="s">
        <v>5438</v>
      </c>
      <c r="F1970" s="1">
        <v>1676487.0</v>
      </c>
      <c r="G1970" s="1">
        <v>51678.0</v>
      </c>
      <c r="H1970" s="1">
        <v>890.0</v>
      </c>
      <c r="I1970" s="1">
        <v>2.28E7</v>
      </c>
      <c r="J1970" s="1" t="s">
        <v>2468</v>
      </c>
    </row>
    <row r="1971">
      <c r="A1971" s="1" t="s">
        <v>5942</v>
      </c>
      <c r="B1971" s="1" t="s">
        <v>5943</v>
      </c>
      <c r="C1971" s="1" t="s">
        <v>5944</v>
      </c>
      <c r="D1971" s="1" t="s">
        <v>5437</v>
      </c>
      <c r="E1971" s="1" t="s">
        <v>5438</v>
      </c>
      <c r="F1971" s="1">
        <v>455130.0</v>
      </c>
      <c r="G1971" s="1">
        <v>15872.0</v>
      </c>
      <c r="H1971" s="1">
        <v>383.0</v>
      </c>
      <c r="I1971" s="1">
        <v>2.28E7</v>
      </c>
      <c r="J1971" s="1" t="s">
        <v>2468</v>
      </c>
    </row>
    <row r="1972">
      <c r="A1972" s="1" t="s">
        <v>5945</v>
      </c>
      <c r="B1972" s="1" t="s">
        <v>5946</v>
      </c>
      <c r="C1972" s="1" t="s">
        <v>5947</v>
      </c>
      <c r="D1972" s="1" t="s">
        <v>5437</v>
      </c>
      <c r="E1972" s="1" t="s">
        <v>5438</v>
      </c>
      <c r="F1972" s="1">
        <v>800652.0</v>
      </c>
      <c r="G1972" s="1">
        <v>18267.0</v>
      </c>
      <c r="H1972" s="1">
        <v>386.0</v>
      </c>
      <c r="I1972" s="1">
        <v>2.28E7</v>
      </c>
      <c r="J1972" s="1" t="s">
        <v>2468</v>
      </c>
    </row>
    <row r="1973">
      <c r="A1973" s="1" t="s">
        <v>5948</v>
      </c>
      <c r="B1973" s="1" t="s">
        <v>5949</v>
      </c>
      <c r="C1973" s="1" t="s">
        <v>5950</v>
      </c>
      <c r="D1973" s="1" t="s">
        <v>5437</v>
      </c>
      <c r="E1973" s="1" t="s">
        <v>5438</v>
      </c>
      <c r="F1973" s="1">
        <v>635687.0</v>
      </c>
      <c r="G1973" s="1">
        <v>20615.0</v>
      </c>
      <c r="H1973" s="1">
        <v>327.0</v>
      </c>
      <c r="I1973" s="1">
        <v>2.28E7</v>
      </c>
      <c r="J1973" s="1" t="s">
        <v>2468</v>
      </c>
    </row>
    <row r="1974">
      <c r="A1974" s="1" t="s">
        <v>5951</v>
      </c>
      <c r="B1974" s="1" t="s">
        <v>5952</v>
      </c>
      <c r="C1974" s="1" t="s">
        <v>5953</v>
      </c>
      <c r="D1974" s="1" t="s">
        <v>5437</v>
      </c>
      <c r="E1974" s="1" t="s">
        <v>5438</v>
      </c>
      <c r="F1974" s="1">
        <v>432389.0</v>
      </c>
      <c r="G1974" s="1">
        <v>10450.0</v>
      </c>
      <c r="H1974" s="1">
        <v>352.0</v>
      </c>
      <c r="I1974" s="1">
        <v>2.28E7</v>
      </c>
      <c r="J1974" s="1" t="s">
        <v>2468</v>
      </c>
    </row>
    <row r="1975">
      <c r="A1975" s="1" t="s">
        <v>5954</v>
      </c>
      <c r="B1975" s="1" t="s">
        <v>5955</v>
      </c>
      <c r="C1975" s="1" t="s">
        <v>5956</v>
      </c>
      <c r="D1975" s="1" t="s">
        <v>5437</v>
      </c>
      <c r="E1975" s="1" t="s">
        <v>5438</v>
      </c>
      <c r="F1975" s="1">
        <v>266175.0</v>
      </c>
      <c r="G1975" s="1">
        <v>8340.0</v>
      </c>
      <c r="H1975" s="1">
        <v>256.0</v>
      </c>
      <c r="I1975" s="1">
        <v>2.28E7</v>
      </c>
      <c r="J1975" s="1" t="s">
        <v>2468</v>
      </c>
    </row>
    <row r="1976">
      <c r="A1976" s="1" t="s">
        <v>5957</v>
      </c>
      <c r="B1976" s="1" t="s">
        <v>5958</v>
      </c>
      <c r="C1976" s="1" t="s">
        <v>5959</v>
      </c>
      <c r="D1976" s="1" t="s">
        <v>5437</v>
      </c>
      <c r="E1976" s="1" t="s">
        <v>5438</v>
      </c>
      <c r="F1976" s="1">
        <v>748000.0</v>
      </c>
      <c r="G1976" s="1">
        <v>22341.0</v>
      </c>
      <c r="H1976" s="1">
        <v>1122.0</v>
      </c>
      <c r="I1976" s="1">
        <v>2.28E7</v>
      </c>
      <c r="J1976" s="1" t="s">
        <v>2468</v>
      </c>
    </row>
    <row r="1977">
      <c r="A1977" s="1" t="s">
        <v>5960</v>
      </c>
      <c r="B1977" s="1" t="s">
        <v>5961</v>
      </c>
      <c r="C1977" s="1" t="s">
        <v>5962</v>
      </c>
      <c r="D1977" s="1" t="s">
        <v>5437</v>
      </c>
      <c r="E1977" s="1" t="s">
        <v>5438</v>
      </c>
      <c r="F1977" s="1">
        <v>7043979.0</v>
      </c>
      <c r="G1977" s="1">
        <v>285147.0</v>
      </c>
      <c r="H1977" s="1">
        <v>6410.0</v>
      </c>
      <c r="I1977" s="1">
        <v>2.28E7</v>
      </c>
      <c r="J1977" s="1" t="s">
        <v>2468</v>
      </c>
    </row>
    <row r="1978">
      <c r="A1978" s="1" t="s">
        <v>5963</v>
      </c>
      <c r="B1978" s="1" t="s">
        <v>5964</v>
      </c>
      <c r="C1978" s="1" t="s">
        <v>5965</v>
      </c>
      <c r="D1978" s="1" t="s">
        <v>5437</v>
      </c>
      <c r="E1978" s="1" t="s">
        <v>5438</v>
      </c>
      <c r="F1978" s="1">
        <v>828229.0</v>
      </c>
      <c r="G1978" s="1">
        <v>18474.0</v>
      </c>
      <c r="H1978" s="1">
        <v>828.0</v>
      </c>
      <c r="I1978" s="1">
        <v>2.28E7</v>
      </c>
      <c r="J1978" s="1" t="s">
        <v>2468</v>
      </c>
    </row>
    <row r="1979">
      <c r="A1979" s="1" t="s">
        <v>5966</v>
      </c>
      <c r="B1979" s="1" t="s">
        <v>5967</v>
      </c>
      <c r="C1979" s="1" t="s">
        <v>5968</v>
      </c>
      <c r="D1979" s="1" t="s">
        <v>5437</v>
      </c>
      <c r="E1979" s="1" t="s">
        <v>5438</v>
      </c>
      <c r="F1979" s="1">
        <v>446458.0</v>
      </c>
      <c r="G1979" s="1">
        <v>13952.0</v>
      </c>
      <c r="H1979" s="1">
        <v>943.0</v>
      </c>
      <c r="I1979" s="1">
        <v>2.28E7</v>
      </c>
      <c r="J1979" s="1" t="s">
        <v>2468</v>
      </c>
    </row>
    <row r="1980">
      <c r="A1980" s="1" t="s">
        <v>5969</v>
      </c>
      <c r="B1980" s="1" t="s">
        <v>5970</v>
      </c>
      <c r="C1980" s="1" t="s">
        <v>5971</v>
      </c>
      <c r="D1980" s="1" t="s">
        <v>5437</v>
      </c>
      <c r="E1980" s="1" t="s">
        <v>5438</v>
      </c>
      <c r="F1980" s="1">
        <v>804602.0</v>
      </c>
      <c r="G1980" s="1">
        <v>28420.0</v>
      </c>
      <c r="H1980" s="1">
        <v>6257.0</v>
      </c>
      <c r="I1980" s="1">
        <v>2.28E7</v>
      </c>
      <c r="J1980" s="1" t="s">
        <v>2468</v>
      </c>
    </row>
    <row r="1981">
      <c r="A1981" s="1" t="s">
        <v>5972</v>
      </c>
      <c r="B1981" s="1" t="s">
        <v>5973</v>
      </c>
      <c r="C1981" s="1" t="s">
        <v>5974</v>
      </c>
      <c r="D1981" s="1" t="s">
        <v>5437</v>
      </c>
      <c r="E1981" s="1" t="s">
        <v>5438</v>
      </c>
      <c r="F1981" s="1">
        <v>422172.0</v>
      </c>
      <c r="G1981" s="1">
        <v>8755.0</v>
      </c>
      <c r="H1981" s="1">
        <v>326.0</v>
      </c>
      <c r="I1981" s="1">
        <v>2.28E7</v>
      </c>
      <c r="J1981" s="1" t="s">
        <v>2468</v>
      </c>
    </row>
    <row r="1982">
      <c r="A1982" s="1" t="s">
        <v>5975</v>
      </c>
      <c r="B1982" s="1" t="s">
        <v>5976</v>
      </c>
      <c r="C1982" s="1" t="s">
        <v>5977</v>
      </c>
      <c r="D1982" s="1" t="s">
        <v>5437</v>
      </c>
      <c r="E1982" s="1" t="s">
        <v>5438</v>
      </c>
      <c r="F1982" s="1">
        <v>955736.0</v>
      </c>
      <c r="G1982" s="1">
        <v>21743.0</v>
      </c>
      <c r="H1982" s="1">
        <v>1238.0</v>
      </c>
      <c r="I1982" s="1">
        <v>2.28E7</v>
      </c>
      <c r="J1982" s="1" t="s">
        <v>2468</v>
      </c>
    </row>
    <row r="1983">
      <c r="A1983" s="1" t="s">
        <v>5978</v>
      </c>
      <c r="B1983" s="1" t="s">
        <v>5979</v>
      </c>
      <c r="C1983" s="1" t="s">
        <v>5980</v>
      </c>
      <c r="D1983" s="1" t="s">
        <v>5437</v>
      </c>
      <c r="E1983" s="1" t="s">
        <v>5438</v>
      </c>
      <c r="F1983" s="1">
        <v>772596.0</v>
      </c>
      <c r="G1983" s="1">
        <v>33964.0</v>
      </c>
      <c r="H1983" s="1">
        <v>1163.0</v>
      </c>
      <c r="I1983" s="1">
        <v>2.28E7</v>
      </c>
      <c r="J1983" s="1" t="s">
        <v>2468</v>
      </c>
    </row>
    <row r="1984">
      <c r="A1984" s="1" t="s">
        <v>5981</v>
      </c>
      <c r="B1984" s="1" t="s">
        <v>5982</v>
      </c>
      <c r="C1984" s="1" t="s">
        <v>5983</v>
      </c>
      <c r="D1984" s="1" t="s">
        <v>5437</v>
      </c>
      <c r="E1984" s="1" t="s">
        <v>5438</v>
      </c>
      <c r="F1984" s="1">
        <v>1664557.0</v>
      </c>
      <c r="G1984" s="1">
        <v>43873.0</v>
      </c>
      <c r="H1984" s="1">
        <v>2180.0</v>
      </c>
      <c r="I1984" s="1">
        <v>2.28E7</v>
      </c>
      <c r="J1984" s="1" t="s">
        <v>2468</v>
      </c>
    </row>
    <row r="1985">
      <c r="A1985" s="1" t="s">
        <v>5984</v>
      </c>
      <c r="B1985" s="1" t="s">
        <v>5985</v>
      </c>
      <c r="C1985" s="1" t="s">
        <v>5986</v>
      </c>
      <c r="D1985" s="1" t="s">
        <v>5437</v>
      </c>
      <c r="E1985" s="1" t="s">
        <v>5438</v>
      </c>
      <c r="F1985" s="1">
        <v>227465.0</v>
      </c>
      <c r="G1985" s="1">
        <v>7933.0</v>
      </c>
      <c r="H1985" s="1">
        <v>499.0</v>
      </c>
      <c r="I1985" s="1">
        <v>2.28E7</v>
      </c>
      <c r="J1985" s="1" t="s">
        <v>2468</v>
      </c>
    </row>
    <row r="1986">
      <c r="A1986" s="1" t="s">
        <v>5987</v>
      </c>
      <c r="B1986" s="1" t="s">
        <v>5988</v>
      </c>
      <c r="C1986" s="1" t="s">
        <v>5989</v>
      </c>
      <c r="D1986" s="1" t="s">
        <v>5437</v>
      </c>
      <c r="E1986" s="1" t="s">
        <v>5438</v>
      </c>
      <c r="F1986" s="1">
        <v>974449.0</v>
      </c>
      <c r="G1986" s="1">
        <v>20855.0</v>
      </c>
      <c r="H1986" s="1">
        <v>1080.0</v>
      </c>
      <c r="I1986" s="1">
        <v>2.28E7</v>
      </c>
      <c r="J1986" s="1" t="s">
        <v>2468</v>
      </c>
    </row>
    <row r="1987">
      <c r="A1987" s="1" t="s">
        <v>5990</v>
      </c>
      <c r="B1987" s="1" t="s">
        <v>5991</v>
      </c>
      <c r="C1987" s="1" t="s">
        <v>5992</v>
      </c>
      <c r="D1987" s="1" t="s">
        <v>5437</v>
      </c>
      <c r="E1987" s="1" t="s">
        <v>5438</v>
      </c>
      <c r="F1987" s="1">
        <v>399930.0</v>
      </c>
      <c r="G1987" s="1">
        <v>12516.0</v>
      </c>
      <c r="H1987" s="1">
        <v>309.0</v>
      </c>
      <c r="I1987" s="1">
        <v>2.28E7</v>
      </c>
      <c r="J1987" s="1" t="s">
        <v>2468</v>
      </c>
    </row>
    <row r="1988">
      <c r="A1988" s="1" t="s">
        <v>5993</v>
      </c>
      <c r="B1988" s="1" t="s">
        <v>5994</v>
      </c>
      <c r="C1988" s="1" t="s">
        <v>5995</v>
      </c>
      <c r="D1988" s="1" t="s">
        <v>5437</v>
      </c>
      <c r="E1988" s="1" t="s">
        <v>5438</v>
      </c>
      <c r="F1988" s="1">
        <v>520602.0</v>
      </c>
      <c r="G1988" s="1">
        <v>14595.0</v>
      </c>
      <c r="H1988" s="1">
        <v>498.0</v>
      </c>
      <c r="I1988" s="1">
        <v>2.28E7</v>
      </c>
      <c r="J1988" s="1" t="s">
        <v>2468</v>
      </c>
    </row>
    <row r="1989">
      <c r="A1989" s="1" t="s">
        <v>5996</v>
      </c>
      <c r="B1989" s="1" t="s">
        <v>5997</v>
      </c>
      <c r="C1989" s="1" t="s">
        <v>5998</v>
      </c>
      <c r="D1989" s="1" t="s">
        <v>5437</v>
      </c>
      <c r="E1989" s="1" t="s">
        <v>5438</v>
      </c>
      <c r="F1989" s="1">
        <v>1080777.0</v>
      </c>
      <c r="G1989" s="1">
        <v>20487.0</v>
      </c>
      <c r="H1989" s="1">
        <v>1004.0</v>
      </c>
      <c r="I1989" s="1">
        <v>2.28E7</v>
      </c>
      <c r="J1989" s="1" t="s">
        <v>2468</v>
      </c>
    </row>
    <row r="1990">
      <c r="A1990" s="1" t="s">
        <v>5999</v>
      </c>
      <c r="B1990" s="1" t="s">
        <v>6000</v>
      </c>
      <c r="C1990" s="1" t="s">
        <v>6001</v>
      </c>
      <c r="D1990" s="1" t="s">
        <v>5437</v>
      </c>
      <c r="E1990" s="1" t="s">
        <v>5438</v>
      </c>
      <c r="F1990" s="1">
        <v>1843751.0</v>
      </c>
      <c r="G1990" s="1">
        <v>37155.0</v>
      </c>
      <c r="H1990" s="1">
        <v>1253.0</v>
      </c>
      <c r="I1990" s="1">
        <v>2.28E7</v>
      </c>
      <c r="J1990" s="1" t="s">
        <v>2468</v>
      </c>
    </row>
    <row r="1991">
      <c r="A1991" s="1" t="s">
        <v>6002</v>
      </c>
      <c r="B1991" s="1" t="s">
        <v>6003</v>
      </c>
      <c r="C1991" s="1" t="s">
        <v>6004</v>
      </c>
      <c r="D1991" s="1" t="s">
        <v>5437</v>
      </c>
      <c r="E1991" s="1" t="s">
        <v>5438</v>
      </c>
      <c r="F1991" s="1">
        <v>324962.0</v>
      </c>
      <c r="G1991" s="1">
        <v>9225.0</v>
      </c>
      <c r="H1991" s="1">
        <v>260.0</v>
      </c>
      <c r="I1991" s="1">
        <v>2.28E7</v>
      </c>
      <c r="J1991" s="1" t="s">
        <v>2468</v>
      </c>
    </row>
    <row r="1992">
      <c r="A1992" s="1" t="s">
        <v>6005</v>
      </c>
      <c r="B1992" s="1" t="s">
        <v>6006</v>
      </c>
      <c r="C1992" s="1" t="s">
        <v>6007</v>
      </c>
      <c r="D1992" s="1" t="s">
        <v>5437</v>
      </c>
      <c r="E1992" s="1" t="s">
        <v>5438</v>
      </c>
      <c r="F1992" s="1">
        <v>159628.0</v>
      </c>
      <c r="G1992" s="1">
        <v>5980.0</v>
      </c>
      <c r="H1992" s="1">
        <v>144.0</v>
      </c>
      <c r="I1992" s="1">
        <v>2.28E7</v>
      </c>
      <c r="J1992" s="1" t="s">
        <v>2468</v>
      </c>
    </row>
    <row r="1993">
      <c r="A1993" s="1" t="s">
        <v>6008</v>
      </c>
      <c r="B1993" s="1" t="s">
        <v>6009</v>
      </c>
      <c r="C1993" s="1" t="s">
        <v>6010</v>
      </c>
      <c r="D1993" s="1" t="s">
        <v>5437</v>
      </c>
      <c r="E1993" s="1" t="s">
        <v>5438</v>
      </c>
      <c r="F1993" s="1">
        <v>1176702.0</v>
      </c>
      <c r="G1993" s="1">
        <v>30059.0</v>
      </c>
      <c r="H1993" s="1">
        <v>624.0</v>
      </c>
      <c r="I1993" s="1">
        <v>2.28E7</v>
      </c>
      <c r="J1993" s="1" t="s">
        <v>2468</v>
      </c>
    </row>
    <row r="1994">
      <c r="A1994" s="1" t="s">
        <v>6011</v>
      </c>
      <c r="B1994" s="1" t="s">
        <v>6012</v>
      </c>
      <c r="C1994" s="1" t="s">
        <v>6013</v>
      </c>
      <c r="D1994" s="1" t="s">
        <v>5437</v>
      </c>
      <c r="E1994" s="1" t="s">
        <v>5438</v>
      </c>
      <c r="F1994" s="1">
        <v>566089.0</v>
      </c>
      <c r="G1994" s="1">
        <v>24002.0</v>
      </c>
      <c r="H1994" s="1">
        <v>1228.0</v>
      </c>
      <c r="I1994" s="1">
        <v>2.28E7</v>
      </c>
      <c r="J1994" s="1" t="s">
        <v>2468</v>
      </c>
    </row>
    <row r="1995">
      <c r="A1995" s="1" t="s">
        <v>6014</v>
      </c>
      <c r="B1995" s="1" t="s">
        <v>6015</v>
      </c>
      <c r="C1995" s="1" t="s">
        <v>6016</v>
      </c>
      <c r="D1995" s="1" t="s">
        <v>5437</v>
      </c>
      <c r="E1995" s="1" t="s">
        <v>5438</v>
      </c>
      <c r="F1995" s="1">
        <v>254752.0</v>
      </c>
      <c r="G1995" s="1">
        <v>8816.0</v>
      </c>
      <c r="H1995" s="1">
        <v>220.0</v>
      </c>
      <c r="I1995" s="1">
        <v>2.28E7</v>
      </c>
      <c r="J1995" s="1" t="s">
        <v>2468</v>
      </c>
    </row>
    <row r="1996">
      <c r="A1996" s="1" t="s">
        <v>6017</v>
      </c>
      <c r="B1996" s="1" t="s">
        <v>6018</v>
      </c>
      <c r="C1996" s="1" t="s">
        <v>6019</v>
      </c>
      <c r="D1996" s="1" t="s">
        <v>5437</v>
      </c>
      <c r="E1996" s="1" t="s">
        <v>5438</v>
      </c>
      <c r="F1996" s="1">
        <v>1363027.0</v>
      </c>
      <c r="G1996" s="1">
        <v>36256.0</v>
      </c>
      <c r="H1996" s="1">
        <v>1283.0</v>
      </c>
      <c r="I1996" s="1">
        <v>2.28E7</v>
      </c>
      <c r="J1996" s="1" t="s">
        <v>2468</v>
      </c>
    </row>
    <row r="1997">
      <c r="A1997" s="1" t="s">
        <v>6020</v>
      </c>
      <c r="B1997" s="1" t="s">
        <v>6021</v>
      </c>
      <c r="C1997" s="1" t="s">
        <v>6022</v>
      </c>
      <c r="D1997" s="1" t="s">
        <v>5437</v>
      </c>
      <c r="E1997" s="1" t="s">
        <v>5438</v>
      </c>
      <c r="F1997" s="1">
        <v>306686.0</v>
      </c>
      <c r="G1997" s="1">
        <v>9091.0</v>
      </c>
      <c r="H1997" s="1">
        <v>332.0</v>
      </c>
      <c r="I1997" s="1">
        <v>2.28E7</v>
      </c>
      <c r="J1997" s="1" t="s">
        <v>2468</v>
      </c>
    </row>
    <row r="1998">
      <c r="A1998" s="1" t="s">
        <v>6023</v>
      </c>
      <c r="B1998" s="1" t="s">
        <v>6024</v>
      </c>
      <c r="C1998" s="1" t="s">
        <v>6025</v>
      </c>
      <c r="D1998" s="1" t="s">
        <v>5437</v>
      </c>
      <c r="E1998" s="1" t="s">
        <v>5438</v>
      </c>
      <c r="F1998" s="1">
        <v>606440.0</v>
      </c>
      <c r="G1998" s="1">
        <v>20085.0</v>
      </c>
      <c r="H1998" s="1">
        <v>456.0</v>
      </c>
      <c r="I1998" s="1">
        <v>2.28E7</v>
      </c>
      <c r="J1998" s="1" t="s">
        <v>2468</v>
      </c>
    </row>
    <row r="1999">
      <c r="A1999" s="1" t="s">
        <v>6026</v>
      </c>
      <c r="B1999" s="1" t="s">
        <v>6027</v>
      </c>
      <c r="C1999" s="1" t="s">
        <v>6028</v>
      </c>
      <c r="D1999" s="1" t="s">
        <v>5437</v>
      </c>
      <c r="E1999" s="1" t="s">
        <v>5438</v>
      </c>
      <c r="F1999" s="1">
        <v>2634995.0</v>
      </c>
      <c r="G1999" s="1">
        <v>57835.0</v>
      </c>
      <c r="H1999" s="1">
        <v>1878.0</v>
      </c>
      <c r="I1999" s="1">
        <v>2.28E7</v>
      </c>
      <c r="J1999" s="1" t="s">
        <v>2468</v>
      </c>
    </row>
    <row r="2000">
      <c r="A2000" s="1" t="s">
        <v>6029</v>
      </c>
      <c r="B2000" s="1" t="s">
        <v>6030</v>
      </c>
      <c r="C2000" s="1" t="s">
        <v>6031</v>
      </c>
      <c r="D2000" s="1" t="s">
        <v>5437</v>
      </c>
      <c r="E2000" s="1" t="s">
        <v>5438</v>
      </c>
      <c r="F2000" s="1">
        <v>657520.0</v>
      </c>
      <c r="G2000" s="1">
        <v>15540.0</v>
      </c>
      <c r="H2000" s="1">
        <v>385.0</v>
      </c>
      <c r="I2000" s="1">
        <v>2.28E7</v>
      </c>
      <c r="J2000" s="1" t="s">
        <v>2468</v>
      </c>
    </row>
    <row r="2001">
      <c r="A2001" s="1" t="s">
        <v>6032</v>
      </c>
      <c r="B2001" s="1" t="s">
        <v>6033</v>
      </c>
      <c r="C2001" s="1" t="s">
        <v>6034</v>
      </c>
      <c r="D2001" s="1" t="s">
        <v>5437</v>
      </c>
      <c r="E2001" s="1" t="s">
        <v>5438</v>
      </c>
      <c r="F2001" s="1">
        <v>258231.0</v>
      </c>
      <c r="G2001" s="1">
        <v>8030.0</v>
      </c>
      <c r="H2001" s="1">
        <v>282.0</v>
      </c>
      <c r="I2001" s="1">
        <v>2.28E7</v>
      </c>
      <c r="J2001" s="1" t="s">
        <v>2468</v>
      </c>
    </row>
    <row r="2002">
      <c r="A2002" s="1" t="s">
        <v>6035</v>
      </c>
      <c r="B2002" s="1" t="s">
        <v>6036</v>
      </c>
      <c r="C2002" s="1" t="s">
        <v>6037</v>
      </c>
      <c r="D2002" s="1" t="s">
        <v>6038</v>
      </c>
      <c r="E2002" s="1" t="s">
        <v>6039</v>
      </c>
      <c r="F2002" s="1">
        <v>120213.0</v>
      </c>
      <c r="G2002" s="1">
        <v>4001.0</v>
      </c>
      <c r="H2002" s="1">
        <v>341.0</v>
      </c>
      <c r="I2002" s="1">
        <v>1.92E7</v>
      </c>
      <c r="J2002" s="1" t="s">
        <v>6040</v>
      </c>
    </row>
    <row r="2003">
      <c r="A2003" s="1" t="s">
        <v>6041</v>
      </c>
      <c r="B2003" s="1" t="s">
        <v>6042</v>
      </c>
      <c r="C2003" s="1" t="s">
        <v>6043</v>
      </c>
      <c r="D2003" s="1" t="s">
        <v>6038</v>
      </c>
      <c r="E2003" s="1" t="s">
        <v>6039</v>
      </c>
      <c r="F2003" s="1">
        <v>92204.0</v>
      </c>
      <c r="G2003" s="1">
        <v>962.0</v>
      </c>
      <c r="H2003" s="1">
        <v>390.0</v>
      </c>
      <c r="I2003" s="1">
        <v>1.92E7</v>
      </c>
      <c r="J2003" s="1" t="s">
        <v>6040</v>
      </c>
    </row>
    <row r="2004">
      <c r="A2004" s="1" t="s">
        <v>6044</v>
      </c>
      <c r="B2004" s="1" t="s">
        <v>6045</v>
      </c>
      <c r="C2004" s="1" t="s">
        <v>6046</v>
      </c>
      <c r="D2004" s="1" t="s">
        <v>6038</v>
      </c>
      <c r="E2004" s="1" t="s">
        <v>6039</v>
      </c>
      <c r="F2004" s="1">
        <v>57783.0</v>
      </c>
      <c r="G2004" s="1">
        <v>1317.0</v>
      </c>
      <c r="H2004" s="1">
        <v>134.0</v>
      </c>
      <c r="I2004" s="1">
        <v>1.92E7</v>
      </c>
      <c r="J2004" s="1" t="s">
        <v>6040</v>
      </c>
    </row>
    <row r="2005">
      <c r="A2005" s="1" t="s">
        <v>6047</v>
      </c>
      <c r="B2005" s="1" t="s">
        <v>6048</v>
      </c>
      <c r="C2005" s="1" t="s">
        <v>6049</v>
      </c>
      <c r="D2005" s="1" t="s">
        <v>6038</v>
      </c>
      <c r="E2005" s="1" t="s">
        <v>6039</v>
      </c>
      <c r="F2005" s="1">
        <v>164384.0</v>
      </c>
      <c r="G2005" s="1">
        <v>2813.0</v>
      </c>
      <c r="H2005" s="1">
        <v>263.0</v>
      </c>
      <c r="I2005" s="1">
        <v>1.92E7</v>
      </c>
      <c r="J2005" s="1" t="s">
        <v>6040</v>
      </c>
    </row>
    <row r="2006">
      <c r="A2006" s="1" t="s">
        <v>6050</v>
      </c>
      <c r="B2006" s="1" t="s">
        <v>6051</v>
      </c>
      <c r="C2006" s="1" t="s">
        <v>6052</v>
      </c>
      <c r="D2006" s="1" t="s">
        <v>6038</v>
      </c>
      <c r="E2006" s="1" t="s">
        <v>6039</v>
      </c>
      <c r="F2006" s="1">
        <v>230325.0</v>
      </c>
      <c r="G2006" s="1">
        <v>5760.0</v>
      </c>
      <c r="H2006" s="1">
        <v>463.0</v>
      </c>
      <c r="I2006" s="1">
        <v>1.92E7</v>
      </c>
      <c r="J2006" s="1" t="s">
        <v>6040</v>
      </c>
    </row>
    <row r="2007">
      <c r="A2007" s="1" t="s">
        <v>6053</v>
      </c>
      <c r="B2007" s="1" t="s">
        <v>6054</v>
      </c>
      <c r="C2007" s="1" t="s">
        <v>6055</v>
      </c>
      <c r="D2007" s="1" t="s">
        <v>6038</v>
      </c>
      <c r="E2007" s="1" t="s">
        <v>6039</v>
      </c>
      <c r="F2007" s="1">
        <v>27938.0</v>
      </c>
      <c r="G2007" s="1">
        <v>163.0</v>
      </c>
      <c r="H2007" s="1">
        <v>17.0</v>
      </c>
      <c r="I2007" s="1">
        <v>1.92E7</v>
      </c>
      <c r="J2007" s="1" t="s">
        <v>6040</v>
      </c>
    </row>
    <row r="2008">
      <c r="A2008" s="1" t="s">
        <v>6056</v>
      </c>
      <c r="B2008" s="1" t="s">
        <v>6057</v>
      </c>
      <c r="C2008" s="1" t="s">
        <v>6058</v>
      </c>
      <c r="D2008" s="1" t="s">
        <v>6038</v>
      </c>
      <c r="E2008" s="1" t="s">
        <v>6039</v>
      </c>
      <c r="F2008" s="1">
        <v>1288532.0</v>
      </c>
      <c r="G2008" s="1">
        <v>26820.0</v>
      </c>
      <c r="H2008" s="1">
        <v>2777.0</v>
      </c>
      <c r="I2008" s="1">
        <v>1.92E7</v>
      </c>
      <c r="J2008" s="1" t="s">
        <v>6040</v>
      </c>
    </row>
    <row r="2009">
      <c r="A2009" s="1" t="s">
        <v>6059</v>
      </c>
      <c r="B2009" s="1" t="s">
        <v>6060</v>
      </c>
      <c r="C2009" s="1" t="s">
        <v>6061</v>
      </c>
      <c r="D2009" s="1" t="s">
        <v>6038</v>
      </c>
      <c r="E2009" s="1" t="s">
        <v>6039</v>
      </c>
      <c r="F2009" s="1">
        <v>365248.0</v>
      </c>
      <c r="G2009" s="1">
        <v>7606.0</v>
      </c>
      <c r="H2009" s="1">
        <v>633.0</v>
      </c>
      <c r="I2009" s="1">
        <v>1.92E7</v>
      </c>
      <c r="J2009" s="1" t="s">
        <v>6040</v>
      </c>
    </row>
    <row r="2010">
      <c r="A2010" s="1" t="s">
        <v>6062</v>
      </c>
      <c r="B2010" s="1" t="s">
        <v>6063</v>
      </c>
      <c r="C2010" s="1" t="s">
        <v>6064</v>
      </c>
      <c r="D2010" s="1" t="s">
        <v>6038</v>
      </c>
      <c r="E2010" s="1" t="s">
        <v>6039</v>
      </c>
      <c r="F2010" s="1">
        <v>481218.0</v>
      </c>
      <c r="G2010" s="1">
        <v>13841.0</v>
      </c>
      <c r="H2010" s="1">
        <v>1142.0</v>
      </c>
      <c r="I2010" s="1">
        <v>1.92E7</v>
      </c>
      <c r="J2010" s="1" t="s">
        <v>6040</v>
      </c>
    </row>
    <row r="2011">
      <c r="A2011" s="1" t="s">
        <v>6065</v>
      </c>
      <c r="B2011" s="1" t="s">
        <v>6066</v>
      </c>
      <c r="C2011" s="1" t="s">
        <v>6067</v>
      </c>
      <c r="D2011" s="1" t="s">
        <v>6038</v>
      </c>
      <c r="E2011" s="1" t="s">
        <v>6039</v>
      </c>
      <c r="F2011" s="1">
        <v>166743.0</v>
      </c>
      <c r="G2011" s="1">
        <v>2870.0</v>
      </c>
      <c r="H2011" s="1">
        <v>189.0</v>
      </c>
      <c r="I2011" s="1">
        <v>1.92E7</v>
      </c>
      <c r="J2011" s="1" t="s">
        <v>6040</v>
      </c>
    </row>
    <row r="2012">
      <c r="A2012" s="1" t="s">
        <v>6068</v>
      </c>
      <c r="B2012" s="1" t="s">
        <v>6069</v>
      </c>
      <c r="C2012" s="1" t="s">
        <v>6070</v>
      </c>
      <c r="D2012" s="1" t="s">
        <v>6038</v>
      </c>
      <c r="E2012" s="1" t="s">
        <v>6039</v>
      </c>
      <c r="F2012" s="1">
        <v>27380.0</v>
      </c>
      <c r="G2012" s="1">
        <v>235.0</v>
      </c>
      <c r="H2012" s="1">
        <v>25.0</v>
      </c>
      <c r="I2012" s="1">
        <v>1.92E7</v>
      </c>
      <c r="J2012" s="1" t="s">
        <v>6040</v>
      </c>
    </row>
    <row r="2013">
      <c r="A2013" s="1" t="s">
        <v>6071</v>
      </c>
      <c r="B2013" s="1" t="s">
        <v>6072</v>
      </c>
      <c r="C2013" s="1" t="s">
        <v>6073</v>
      </c>
      <c r="D2013" s="1" t="s">
        <v>6038</v>
      </c>
      <c r="E2013" s="1" t="s">
        <v>6039</v>
      </c>
      <c r="F2013" s="1">
        <v>43752.0</v>
      </c>
      <c r="G2013" s="1">
        <v>742.0</v>
      </c>
      <c r="H2013" s="1">
        <v>96.0</v>
      </c>
      <c r="I2013" s="1">
        <v>1.92E7</v>
      </c>
      <c r="J2013" s="1" t="s">
        <v>6040</v>
      </c>
    </row>
    <row r="2014">
      <c r="A2014" s="1" t="s">
        <v>6074</v>
      </c>
      <c r="B2014" s="1" t="s">
        <v>6075</v>
      </c>
      <c r="C2014" s="1" t="s">
        <v>6076</v>
      </c>
      <c r="D2014" s="1" t="s">
        <v>6038</v>
      </c>
      <c r="E2014" s="1" t="s">
        <v>6039</v>
      </c>
      <c r="F2014" s="1">
        <v>33207.0</v>
      </c>
      <c r="G2014" s="1">
        <v>537.0</v>
      </c>
      <c r="H2014" s="1">
        <v>105.0</v>
      </c>
      <c r="I2014" s="1">
        <v>1.92E7</v>
      </c>
      <c r="J2014" s="1" t="s">
        <v>6040</v>
      </c>
    </row>
    <row r="2015">
      <c r="A2015" s="1" t="s">
        <v>6077</v>
      </c>
      <c r="B2015" s="1" t="s">
        <v>6078</v>
      </c>
      <c r="C2015" s="1" t="s">
        <v>6079</v>
      </c>
      <c r="D2015" s="1" t="s">
        <v>6038</v>
      </c>
      <c r="E2015" s="1" t="s">
        <v>6039</v>
      </c>
      <c r="F2015" s="1">
        <v>212897.0</v>
      </c>
      <c r="G2015" s="1">
        <v>3353.0</v>
      </c>
      <c r="H2015" s="1">
        <v>632.0</v>
      </c>
      <c r="I2015" s="1">
        <v>1.92E7</v>
      </c>
      <c r="J2015" s="1" t="s">
        <v>6040</v>
      </c>
    </row>
    <row r="2016">
      <c r="A2016" s="1" t="s">
        <v>6080</v>
      </c>
      <c r="B2016" s="1" t="s">
        <v>6081</v>
      </c>
      <c r="C2016" s="1" t="s">
        <v>6082</v>
      </c>
      <c r="D2016" s="1" t="s">
        <v>6038</v>
      </c>
      <c r="E2016" s="1" t="s">
        <v>6039</v>
      </c>
      <c r="F2016" s="1">
        <v>687710.0</v>
      </c>
      <c r="G2016" s="1">
        <v>14806.0</v>
      </c>
      <c r="H2016" s="1">
        <v>1778.0</v>
      </c>
      <c r="I2016" s="1">
        <v>1.92E7</v>
      </c>
      <c r="J2016" s="1" t="s">
        <v>6040</v>
      </c>
    </row>
    <row r="2017">
      <c r="A2017" s="1" t="s">
        <v>6083</v>
      </c>
      <c r="B2017" s="1" t="s">
        <v>6084</v>
      </c>
      <c r="C2017" s="1" t="s">
        <v>6085</v>
      </c>
      <c r="D2017" s="1" t="s">
        <v>6038</v>
      </c>
      <c r="E2017" s="1" t="s">
        <v>6039</v>
      </c>
      <c r="F2017" s="1">
        <v>32202.0</v>
      </c>
      <c r="G2017" s="1">
        <v>213.0</v>
      </c>
      <c r="H2017" s="1">
        <v>41.0</v>
      </c>
      <c r="I2017" s="1">
        <v>1.92E7</v>
      </c>
      <c r="J2017" s="1" t="s">
        <v>6040</v>
      </c>
    </row>
    <row r="2018">
      <c r="A2018" s="1" t="s">
        <v>6086</v>
      </c>
      <c r="B2018" s="1" t="s">
        <v>6087</v>
      </c>
      <c r="C2018" s="1" t="s">
        <v>6088</v>
      </c>
      <c r="D2018" s="1" t="s">
        <v>6038</v>
      </c>
      <c r="E2018" s="1" t="s">
        <v>6039</v>
      </c>
      <c r="F2018" s="1">
        <v>32726.0</v>
      </c>
      <c r="G2018" s="1">
        <v>336.0</v>
      </c>
      <c r="H2018" s="1">
        <v>19.0</v>
      </c>
      <c r="I2018" s="1">
        <v>1.92E7</v>
      </c>
      <c r="J2018" s="1" t="s">
        <v>6040</v>
      </c>
    </row>
    <row r="2019">
      <c r="A2019" s="1" t="s">
        <v>6089</v>
      </c>
      <c r="B2019" s="1" t="s">
        <v>6090</v>
      </c>
      <c r="C2019" s="1" t="s">
        <v>6091</v>
      </c>
      <c r="D2019" s="1" t="s">
        <v>6038</v>
      </c>
      <c r="E2019" s="1" t="s">
        <v>6039</v>
      </c>
      <c r="F2019" s="1">
        <v>275204.0</v>
      </c>
      <c r="G2019" s="1">
        <v>474.0</v>
      </c>
      <c r="H2019" s="1">
        <v>45.0</v>
      </c>
      <c r="I2019" s="1">
        <v>1.92E7</v>
      </c>
      <c r="J2019" s="1" t="s">
        <v>6040</v>
      </c>
    </row>
    <row r="2020">
      <c r="A2020" s="1" t="s">
        <v>6092</v>
      </c>
      <c r="B2020" s="1" t="s">
        <v>6093</v>
      </c>
      <c r="C2020" s="1" t="s">
        <v>6094</v>
      </c>
      <c r="D2020" s="1" t="s">
        <v>6038</v>
      </c>
      <c r="E2020" s="1" t="s">
        <v>6039</v>
      </c>
      <c r="F2020" s="1">
        <v>121323.0</v>
      </c>
      <c r="G2020" s="1">
        <v>1811.0</v>
      </c>
      <c r="H2020" s="1">
        <v>379.0</v>
      </c>
      <c r="I2020" s="1">
        <v>1.92E7</v>
      </c>
      <c r="J2020" s="1" t="s">
        <v>6040</v>
      </c>
    </row>
    <row r="2021">
      <c r="A2021" s="1" t="s">
        <v>6095</v>
      </c>
      <c r="B2021" s="1" t="s">
        <v>6096</v>
      </c>
      <c r="C2021" s="1" t="s">
        <v>6097</v>
      </c>
      <c r="D2021" s="1" t="s">
        <v>6038</v>
      </c>
      <c r="E2021" s="1" t="s">
        <v>6039</v>
      </c>
      <c r="F2021" s="1">
        <v>944509.0</v>
      </c>
      <c r="G2021" s="1">
        <v>13490.0</v>
      </c>
      <c r="H2021" s="1">
        <v>3218.0</v>
      </c>
      <c r="I2021" s="1">
        <v>1.92E7</v>
      </c>
      <c r="J2021" s="1" t="s">
        <v>6040</v>
      </c>
    </row>
    <row r="2022">
      <c r="A2022" s="1" t="s">
        <v>6098</v>
      </c>
      <c r="B2022" s="1" t="s">
        <v>6099</v>
      </c>
      <c r="C2022" s="1" t="s">
        <v>6100</v>
      </c>
      <c r="D2022" s="1" t="s">
        <v>6038</v>
      </c>
      <c r="E2022" s="1" t="s">
        <v>6039</v>
      </c>
      <c r="F2022" s="1">
        <v>34182.0</v>
      </c>
      <c r="G2022" s="1">
        <v>325.0</v>
      </c>
      <c r="H2022" s="1">
        <v>35.0</v>
      </c>
      <c r="I2022" s="1">
        <v>1.92E7</v>
      </c>
      <c r="J2022" s="1" t="s">
        <v>6040</v>
      </c>
    </row>
    <row r="2023">
      <c r="A2023" s="1" t="s">
        <v>6101</v>
      </c>
      <c r="B2023" s="1" t="s">
        <v>6102</v>
      </c>
      <c r="C2023" s="1" t="s">
        <v>6103</v>
      </c>
      <c r="D2023" s="1" t="s">
        <v>6038</v>
      </c>
      <c r="E2023" s="1" t="s">
        <v>6039</v>
      </c>
      <c r="F2023" s="1">
        <v>155460.0</v>
      </c>
      <c r="G2023" s="1">
        <v>3026.0</v>
      </c>
      <c r="H2023" s="1">
        <v>449.0</v>
      </c>
      <c r="I2023" s="1">
        <v>1.92E7</v>
      </c>
      <c r="J2023" s="1" t="s">
        <v>6040</v>
      </c>
    </row>
    <row r="2024">
      <c r="A2024" s="1" t="s">
        <v>6104</v>
      </c>
      <c r="B2024" s="1" t="s">
        <v>6105</v>
      </c>
      <c r="C2024" s="1" t="s">
        <v>6106</v>
      </c>
      <c r="D2024" s="1" t="s">
        <v>6038</v>
      </c>
      <c r="E2024" s="1" t="s">
        <v>6039</v>
      </c>
      <c r="F2024" s="1">
        <v>241605.0</v>
      </c>
      <c r="G2024" s="1">
        <v>4307.0</v>
      </c>
      <c r="H2024" s="1">
        <v>695.0</v>
      </c>
      <c r="I2024" s="1">
        <v>1.92E7</v>
      </c>
      <c r="J2024" s="1" t="s">
        <v>6040</v>
      </c>
    </row>
    <row r="2025">
      <c r="A2025" s="1" t="s">
        <v>6107</v>
      </c>
      <c r="B2025" s="1" t="s">
        <v>6108</v>
      </c>
      <c r="C2025" s="1" t="s">
        <v>6109</v>
      </c>
      <c r="D2025" s="1" t="s">
        <v>6038</v>
      </c>
      <c r="E2025" s="1" t="s">
        <v>6039</v>
      </c>
      <c r="F2025" s="1">
        <v>44467.0</v>
      </c>
      <c r="G2025" s="1">
        <v>346.0</v>
      </c>
      <c r="H2025" s="1">
        <v>79.0</v>
      </c>
      <c r="I2025" s="1">
        <v>1.92E7</v>
      </c>
      <c r="J2025" s="1" t="s">
        <v>6040</v>
      </c>
    </row>
    <row r="2026">
      <c r="A2026" s="1" t="s">
        <v>6110</v>
      </c>
      <c r="B2026" s="1" t="s">
        <v>6111</v>
      </c>
      <c r="C2026" s="1" t="s">
        <v>6112</v>
      </c>
      <c r="D2026" s="1" t="s">
        <v>6038</v>
      </c>
      <c r="E2026" s="1" t="s">
        <v>6039</v>
      </c>
      <c r="F2026" s="1">
        <v>370831.0</v>
      </c>
      <c r="G2026" s="1">
        <v>7267.0</v>
      </c>
      <c r="H2026" s="1">
        <v>466.0</v>
      </c>
      <c r="I2026" s="1">
        <v>1.92E7</v>
      </c>
      <c r="J2026" s="1" t="s">
        <v>6040</v>
      </c>
    </row>
    <row r="2027">
      <c r="A2027" s="1" t="s">
        <v>6113</v>
      </c>
      <c r="B2027" s="1" t="s">
        <v>6114</v>
      </c>
      <c r="C2027" s="1" t="s">
        <v>6115</v>
      </c>
      <c r="D2027" s="1" t="s">
        <v>6038</v>
      </c>
      <c r="E2027" s="1" t="s">
        <v>6039</v>
      </c>
      <c r="F2027" s="1">
        <v>421103.0</v>
      </c>
      <c r="G2027" s="1">
        <v>7522.0</v>
      </c>
      <c r="H2027" s="1">
        <v>1176.0</v>
      </c>
      <c r="I2027" s="1">
        <v>1.92E7</v>
      </c>
      <c r="J2027" s="1" t="s">
        <v>6040</v>
      </c>
    </row>
    <row r="2028">
      <c r="A2028" s="1" t="s">
        <v>6116</v>
      </c>
      <c r="B2028" s="1" t="s">
        <v>6117</v>
      </c>
      <c r="C2028" s="1" t="s">
        <v>5570</v>
      </c>
      <c r="D2028" s="1" t="s">
        <v>6038</v>
      </c>
      <c r="E2028" s="1" t="s">
        <v>6039</v>
      </c>
      <c r="F2028" s="1">
        <v>163574.0</v>
      </c>
      <c r="G2028" s="1">
        <v>4056.0</v>
      </c>
      <c r="H2028" s="1">
        <v>316.0</v>
      </c>
      <c r="I2028" s="1">
        <v>1.92E7</v>
      </c>
      <c r="J2028" s="1" t="s">
        <v>6040</v>
      </c>
    </row>
    <row r="2029">
      <c r="A2029" s="1" t="s">
        <v>6118</v>
      </c>
      <c r="B2029" s="1" t="s">
        <v>6119</v>
      </c>
      <c r="C2029" s="1" t="s">
        <v>6120</v>
      </c>
      <c r="D2029" s="1" t="s">
        <v>6038</v>
      </c>
      <c r="E2029" s="1" t="s">
        <v>6039</v>
      </c>
      <c r="F2029" s="1">
        <v>23390.0</v>
      </c>
      <c r="G2029" s="1">
        <v>253.0</v>
      </c>
      <c r="H2029" s="1">
        <v>34.0</v>
      </c>
      <c r="I2029" s="1">
        <v>1.92E7</v>
      </c>
      <c r="J2029" s="1" t="s">
        <v>6040</v>
      </c>
    </row>
    <row r="2030">
      <c r="A2030" s="1" t="s">
        <v>6121</v>
      </c>
      <c r="B2030" s="1" t="s">
        <v>6122</v>
      </c>
      <c r="C2030" s="1" t="s">
        <v>6123</v>
      </c>
      <c r="D2030" s="1" t="s">
        <v>6038</v>
      </c>
      <c r="E2030" s="1" t="s">
        <v>6039</v>
      </c>
      <c r="F2030" s="1">
        <v>113099.0</v>
      </c>
      <c r="G2030" s="1">
        <v>1850.0</v>
      </c>
      <c r="H2030" s="1">
        <v>142.0</v>
      </c>
      <c r="I2030" s="1">
        <v>1.92E7</v>
      </c>
      <c r="J2030" s="1" t="s">
        <v>6040</v>
      </c>
    </row>
    <row r="2031">
      <c r="A2031" s="1" t="s">
        <v>6124</v>
      </c>
      <c r="B2031" s="1" t="s">
        <v>6125</v>
      </c>
      <c r="C2031" s="1" t="s">
        <v>6126</v>
      </c>
      <c r="D2031" s="1" t="s">
        <v>6038</v>
      </c>
      <c r="E2031" s="1" t="s">
        <v>6039</v>
      </c>
      <c r="F2031" s="1">
        <v>79321.0</v>
      </c>
      <c r="G2031" s="1">
        <v>1429.0</v>
      </c>
      <c r="H2031" s="1">
        <v>134.0</v>
      </c>
      <c r="I2031" s="1">
        <v>1.92E7</v>
      </c>
      <c r="J2031" s="1" t="s">
        <v>6040</v>
      </c>
    </row>
    <row r="2032">
      <c r="A2032" s="1" t="s">
        <v>6127</v>
      </c>
      <c r="B2032" s="1" t="s">
        <v>6128</v>
      </c>
      <c r="C2032" s="1" t="s">
        <v>6129</v>
      </c>
      <c r="D2032" s="1" t="s">
        <v>6038</v>
      </c>
      <c r="E2032" s="1" t="s">
        <v>6039</v>
      </c>
      <c r="F2032" s="1">
        <v>87216.0</v>
      </c>
      <c r="G2032" s="1">
        <v>1014.0</v>
      </c>
      <c r="H2032" s="1">
        <v>169.0</v>
      </c>
      <c r="I2032" s="1">
        <v>1.92E7</v>
      </c>
      <c r="J2032" s="1" t="s">
        <v>6040</v>
      </c>
    </row>
    <row r="2033">
      <c r="A2033" s="1" t="s">
        <v>6130</v>
      </c>
      <c r="B2033" s="1" t="s">
        <v>6131</v>
      </c>
      <c r="C2033" s="1" t="s">
        <v>6132</v>
      </c>
      <c r="D2033" s="1" t="s">
        <v>6038</v>
      </c>
      <c r="E2033" s="1" t="s">
        <v>6039</v>
      </c>
      <c r="F2033" s="1">
        <v>39534.0</v>
      </c>
      <c r="G2033" s="1">
        <v>893.0</v>
      </c>
      <c r="H2033" s="1">
        <v>103.0</v>
      </c>
      <c r="I2033" s="1">
        <v>1.92E7</v>
      </c>
      <c r="J2033" s="1" t="s">
        <v>6040</v>
      </c>
    </row>
    <row r="2034">
      <c r="A2034" s="1" t="s">
        <v>6133</v>
      </c>
      <c r="B2034" s="1" t="s">
        <v>6134</v>
      </c>
      <c r="C2034" s="1" t="s">
        <v>6135</v>
      </c>
      <c r="D2034" s="1" t="s">
        <v>6038</v>
      </c>
      <c r="E2034" s="1" t="s">
        <v>6039</v>
      </c>
      <c r="F2034" s="1">
        <v>338644.0</v>
      </c>
      <c r="G2034" s="1">
        <v>3723.0</v>
      </c>
      <c r="H2034" s="1">
        <v>461.0</v>
      </c>
      <c r="I2034" s="1">
        <v>1.92E7</v>
      </c>
      <c r="J2034" s="1" t="s">
        <v>6040</v>
      </c>
    </row>
    <row r="2035">
      <c r="A2035" s="1" t="s">
        <v>6136</v>
      </c>
      <c r="B2035" s="1" t="s">
        <v>6137</v>
      </c>
      <c r="C2035" s="1" t="s">
        <v>6138</v>
      </c>
      <c r="D2035" s="1" t="s">
        <v>6038</v>
      </c>
      <c r="E2035" s="1" t="s">
        <v>6039</v>
      </c>
      <c r="F2035" s="1">
        <v>65745.0</v>
      </c>
      <c r="G2035" s="1">
        <v>1470.0</v>
      </c>
      <c r="H2035" s="1">
        <v>105.0</v>
      </c>
      <c r="I2035" s="1">
        <v>1.92E7</v>
      </c>
      <c r="J2035" s="1" t="s">
        <v>6040</v>
      </c>
    </row>
    <row r="2036">
      <c r="A2036" s="1" t="s">
        <v>6139</v>
      </c>
      <c r="B2036" s="1" t="s">
        <v>6140</v>
      </c>
      <c r="C2036" s="1" t="s">
        <v>6141</v>
      </c>
      <c r="D2036" s="1" t="s">
        <v>6038</v>
      </c>
      <c r="E2036" s="1" t="s">
        <v>6039</v>
      </c>
      <c r="F2036" s="1">
        <v>219577.0</v>
      </c>
      <c r="G2036" s="1">
        <v>4034.0</v>
      </c>
      <c r="H2036" s="1">
        <v>794.0</v>
      </c>
      <c r="I2036" s="1">
        <v>1.92E7</v>
      </c>
      <c r="J2036" s="1" t="s">
        <v>6040</v>
      </c>
    </row>
    <row r="2037">
      <c r="A2037" s="1" t="s">
        <v>6142</v>
      </c>
      <c r="B2037" s="1" t="s">
        <v>6143</v>
      </c>
      <c r="C2037" s="1" t="s">
        <v>6144</v>
      </c>
      <c r="D2037" s="1" t="s">
        <v>6038</v>
      </c>
      <c r="E2037" s="1" t="s">
        <v>6039</v>
      </c>
      <c r="F2037" s="1">
        <v>65174.0</v>
      </c>
      <c r="G2037" s="1">
        <v>1314.0</v>
      </c>
      <c r="H2037" s="1">
        <v>118.0</v>
      </c>
      <c r="I2037" s="1">
        <v>1.92E7</v>
      </c>
      <c r="J2037" s="1" t="s">
        <v>6040</v>
      </c>
    </row>
    <row r="2038">
      <c r="A2038" s="1" t="s">
        <v>6145</v>
      </c>
      <c r="B2038" s="1" t="s">
        <v>6146</v>
      </c>
      <c r="C2038" s="1" t="s">
        <v>6147</v>
      </c>
      <c r="D2038" s="1" t="s">
        <v>6038</v>
      </c>
      <c r="E2038" s="1" t="s">
        <v>6039</v>
      </c>
      <c r="F2038" s="1">
        <v>63135.0</v>
      </c>
      <c r="G2038" s="1">
        <v>1328.0</v>
      </c>
      <c r="H2038" s="1">
        <v>143.0</v>
      </c>
      <c r="I2038" s="1">
        <v>1.92E7</v>
      </c>
      <c r="J2038" s="1" t="s">
        <v>6040</v>
      </c>
    </row>
    <row r="2039">
      <c r="A2039" s="1" t="s">
        <v>6148</v>
      </c>
      <c r="B2039" s="1" t="s">
        <v>6149</v>
      </c>
      <c r="C2039" s="1" t="s">
        <v>6150</v>
      </c>
      <c r="D2039" s="1" t="s">
        <v>6038</v>
      </c>
      <c r="E2039" s="1" t="s">
        <v>6039</v>
      </c>
      <c r="F2039" s="1">
        <v>66216.0</v>
      </c>
      <c r="G2039" s="1">
        <v>1712.0</v>
      </c>
      <c r="H2039" s="1">
        <v>162.0</v>
      </c>
      <c r="I2039" s="1">
        <v>1.92E7</v>
      </c>
      <c r="J2039" s="1" t="s">
        <v>6040</v>
      </c>
    </row>
    <row r="2040">
      <c r="A2040" s="1" t="s">
        <v>6151</v>
      </c>
      <c r="B2040" s="1" t="s">
        <v>6152</v>
      </c>
      <c r="C2040" s="1" t="s">
        <v>6153</v>
      </c>
      <c r="D2040" s="1" t="s">
        <v>6038</v>
      </c>
      <c r="E2040" s="1" t="s">
        <v>6039</v>
      </c>
      <c r="F2040" s="1">
        <v>351441.0</v>
      </c>
      <c r="G2040" s="1">
        <v>8389.0</v>
      </c>
      <c r="H2040" s="1">
        <v>919.0</v>
      </c>
      <c r="I2040" s="1">
        <v>1.92E7</v>
      </c>
      <c r="J2040" s="1" t="s">
        <v>6040</v>
      </c>
    </row>
    <row r="2041">
      <c r="A2041" s="1" t="s">
        <v>6154</v>
      </c>
      <c r="B2041" s="1" t="s">
        <v>6155</v>
      </c>
      <c r="C2041" s="1" t="s">
        <v>6156</v>
      </c>
      <c r="D2041" s="1" t="s">
        <v>6038</v>
      </c>
      <c r="E2041" s="1" t="s">
        <v>6039</v>
      </c>
      <c r="F2041" s="1">
        <v>1413703.0</v>
      </c>
      <c r="G2041" s="1">
        <v>23273.0</v>
      </c>
      <c r="H2041" s="1">
        <v>3708.0</v>
      </c>
      <c r="I2041" s="1">
        <v>1.92E7</v>
      </c>
      <c r="J2041" s="1" t="s">
        <v>6040</v>
      </c>
    </row>
    <row r="2042">
      <c r="A2042" s="1" t="s">
        <v>6157</v>
      </c>
      <c r="B2042" s="1" t="s">
        <v>6158</v>
      </c>
      <c r="C2042" s="1" t="s">
        <v>6159</v>
      </c>
      <c r="D2042" s="1" t="s">
        <v>6038</v>
      </c>
      <c r="E2042" s="1" t="s">
        <v>6039</v>
      </c>
      <c r="F2042" s="1">
        <v>319909.0</v>
      </c>
      <c r="G2042" s="1">
        <v>5868.0</v>
      </c>
      <c r="H2042" s="1">
        <v>470.0</v>
      </c>
      <c r="I2042" s="1">
        <v>1.92E7</v>
      </c>
      <c r="J2042" s="1" t="s">
        <v>6040</v>
      </c>
    </row>
    <row r="2043">
      <c r="A2043" s="1" t="s">
        <v>6160</v>
      </c>
      <c r="B2043" s="1" t="s">
        <v>6161</v>
      </c>
      <c r="C2043" s="1" t="s">
        <v>6162</v>
      </c>
      <c r="D2043" s="1" t="s">
        <v>6038</v>
      </c>
      <c r="E2043" s="1" t="s">
        <v>6039</v>
      </c>
      <c r="F2043" s="1">
        <v>235492.0</v>
      </c>
      <c r="G2043" s="1">
        <v>3359.0</v>
      </c>
      <c r="H2043" s="1">
        <v>386.0</v>
      </c>
      <c r="I2043" s="1">
        <v>1.92E7</v>
      </c>
      <c r="J2043" s="1" t="s">
        <v>6040</v>
      </c>
    </row>
    <row r="2044">
      <c r="A2044" s="1" t="s">
        <v>6163</v>
      </c>
      <c r="B2044" s="1" t="s">
        <v>6164</v>
      </c>
      <c r="C2044" s="1" t="s">
        <v>6165</v>
      </c>
      <c r="D2044" s="1" t="s">
        <v>6038</v>
      </c>
      <c r="E2044" s="1" t="s">
        <v>6039</v>
      </c>
      <c r="F2044" s="1">
        <v>129636.0</v>
      </c>
      <c r="G2044" s="1">
        <v>2409.0</v>
      </c>
      <c r="H2044" s="1">
        <v>306.0</v>
      </c>
      <c r="I2044" s="1">
        <v>1.92E7</v>
      </c>
      <c r="J2044" s="1" t="s">
        <v>6040</v>
      </c>
    </row>
    <row r="2045">
      <c r="A2045" s="1" t="s">
        <v>6166</v>
      </c>
      <c r="B2045" s="1" t="s">
        <v>6167</v>
      </c>
      <c r="C2045" s="1" t="s">
        <v>6168</v>
      </c>
      <c r="D2045" s="1" t="s">
        <v>6038</v>
      </c>
      <c r="E2045" s="1" t="s">
        <v>6039</v>
      </c>
      <c r="F2045" s="1">
        <v>334895.0</v>
      </c>
      <c r="G2045" s="1">
        <v>6524.0</v>
      </c>
      <c r="H2045" s="1">
        <v>543.0</v>
      </c>
      <c r="I2045" s="1">
        <v>1.92E7</v>
      </c>
      <c r="J2045" s="1" t="s">
        <v>6040</v>
      </c>
    </row>
    <row r="2046">
      <c r="A2046" s="1" t="s">
        <v>6169</v>
      </c>
      <c r="B2046" s="1" t="s">
        <v>6170</v>
      </c>
      <c r="C2046" s="1" t="s">
        <v>6171</v>
      </c>
      <c r="D2046" s="1" t="s">
        <v>6038</v>
      </c>
      <c r="E2046" s="1" t="s">
        <v>6039</v>
      </c>
      <c r="F2046" s="1">
        <v>163968.0</v>
      </c>
      <c r="G2046" s="1">
        <v>2973.0</v>
      </c>
      <c r="H2046" s="1">
        <v>361.0</v>
      </c>
      <c r="I2046" s="1">
        <v>1.92E7</v>
      </c>
      <c r="J2046" s="1" t="s">
        <v>6040</v>
      </c>
    </row>
    <row r="2047">
      <c r="A2047" s="1" t="s">
        <v>6172</v>
      </c>
      <c r="B2047" s="1" t="s">
        <v>6173</v>
      </c>
      <c r="C2047" s="1" t="s">
        <v>6174</v>
      </c>
      <c r="D2047" s="1" t="s">
        <v>6038</v>
      </c>
      <c r="E2047" s="1" t="s">
        <v>6039</v>
      </c>
      <c r="F2047" s="1">
        <v>121389.0</v>
      </c>
      <c r="G2047" s="1">
        <v>3672.0</v>
      </c>
      <c r="H2047" s="1">
        <v>454.0</v>
      </c>
      <c r="I2047" s="1">
        <v>1.92E7</v>
      </c>
      <c r="J2047" s="1" t="s">
        <v>6040</v>
      </c>
    </row>
    <row r="2048">
      <c r="A2048" s="1" t="s">
        <v>6175</v>
      </c>
      <c r="B2048" s="1" t="s">
        <v>6176</v>
      </c>
      <c r="C2048" s="1" t="s">
        <v>6177</v>
      </c>
      <c r="D2048" s="1" t="s">
        <v>6038</v>
      </c>
      <c r="E2048" s="1" t="s">
        <v>6039</v>
      </c>
      <c r="F2048" s="1">
        <v>692702.0</v>
      </c>
      <c r="G2048" s="1">
        <v>7521.0</v>
      </c>
      <c r="H2048" s="1">
        <v>1442.0</v>
      </c>
      <c r="I2048" s="1">
        <v>1.92E7</v>
      </c>
      <c r="J2048" s="1" t="s">
        <v>6040</v>
      </c>
    </row>
    <row r="2049">
      <c r="A2049" s="1" t="s">
        <v>6178</v>
      </c>
      <c r="B2049" s="1" t="s">
        <v>6179</v>
      </c>
      <c r="C2049" s="1" t="s">
        <v>6180</v>
      </c>
      <c r="D2049" s="1" t="s">
        <v>6038</v>
      </c>
      <c r="E2049" s="1" t="s">
        <v>6039</v>
      </c>
      <c r="F2049" s="1">
        <v>42315.0</v>
      </c>
      <c r="G2049" s="1">
        <v>961.0</v>
      </c>
      <c r="H2049" s="1">
        <v>172.0</v>
      </c>
      <c r="I2049" s="1">
        <v>1.92E7</v>
      </c>
      <c r="J2049" s="1" t="s">
        <v>6040</v>
      </c>
    </row>
    <row r="2050">
      <c r="A2050" s="1" t="s">
        <v>6181</v>
      </c>
      <c r="B2050" s="1" t="s">
        <v>6182</v>
      </c>
      <c r="C2050" s="1" t="s">
        <v>6183</v>
      </c>
      <c r="D2050" s="1" t="s">
        <v>6038</v>
      </c>
      <c r="E2050" s="1" t="s">
        <v>6039</v>
      </c>
      <c r="F2050" s="1">
        <v>124192.0</v>
      </c>
      <c r="G2050" s="1">
        <v>1127.0</v>
      </c>
      <c r="H2050" s="1">
        <v>139.0</v>
      </c>
      <c r="I2050" s="1">
        <v>1.92E7</v>
      </c>
      <c r="J2050" s="1" t="s">
        <v>6040</v>
      </c>
    </row>
    <row r="2051">
      <c r="A2051" s="1" t="s">
        <v>6184</v>
      </c>
      <c r="B2051" s="1" t="s">
        <v>6185</v>
      </c>
      <c r="C2051" s="1" t="s">
        <v>6186</v>
      </c>
      <c r="D2051" s="1" t="s">
        <v>6038</v>
      </c>
      <c r="E2051" s="1" t="s">
        <v>6039</v>
      </c>
      <c r="F2051" s="1">
        <v>413226.0</v>
      </c>
      <c r="G2051" s="1">
        <v>5975.0</v>
      </c>
      <c r="H2051" s="1">
        <v>362.0</v>
      </c>
      <c r="I2051" s="1">
        <v>1.92E7</v>
      </c>
      <c r="J2051" s="1" t="s">
        <v>6040</v>
      </c>
    </row>
    <row r="2052">
      <c r="A2052" s="1" t="s">
        <v>6187</v>
      </c>
      <c r="B2052" s="1" t="s">
        <v>6188</v>
      </c>
      <c r="C2052" s="1" t="s">
        <v>6189</v>
      </c>
      <c r="D2052" s="1" t="s">
        <v>6038</v>
      </c>
      <c r="E2052" s="1" t="s">
        <v>6039</v>
      </c>
      <c r="F2052" s="1">
        <v>136717.0</v>
      </c>
      <c r="G2052" s="1">
        <v>3397.0</v>
      </c>
      <c r="H2052" s="1">
        <v>764.0</v>
      </c>
      <c r="I2052" s="1">
        <v>1.92E7</v>
      </c>
      <c r="J2052" s="1" t="s">
        <v>6040</v>
      </c>
    </row>
    <row r="2053">
      <c r="A2053" s="1" t="s">
        <v>6190</v>
      </c>
      <c r="B2053" s="1" t="s">
        <v>6191</v>
      </c>
      <c r="C2053" s="1" t="s">
        <v>6192</v>
      </c>
      <c r="D2053" s="1" t="s">
        <v>6038</v>
      </c>
      <c r="E2053" s="1" t="s">
        <v>6039</v>
      </c>
      <c r="F2053" s="1">
        <v>85403.0</v>
      </c>
      <c r="G2053" s="1">
        <v>964.0</v>
      </c>
      <c r="H2053" s="1">
        <v>76.0</v>
      </c>
      <c r="I2053" s="1">
        <v>1.92E7</v>
      </c>
      <c r="J2053" s="1" t="s">
        <v>6040</v>
      </c>
    </row>
    <row r="2054">
      <c r="A2054" s="1" t="s">
        <v>6193</v>
      </c>
      <c r="B2054" s="1" t="s">
        <v>6194</v>
      </c>
      <c r="C2054" s="1" t="s">
        <v>6195</v>
      </c>
      <c r="D2054" s="1" t="s">
        <v>6038</v>
      </c>
      <c r="E2054" s="1" t="s">
        <v>6039</v>
      </c>
      <c r="F2054" s="1">
        <v>162912.0</v>
      </c>
      <c r="G2054" s="1">
        <v>1687.0</v>
      </c>
      <c r="H2054" s="1">
        <v>615.0</v>
      </c>
      <c r="I2054" s="1">
        <v>1.92E7</v>
      </c>
      <c r="J2054" s="1" t="s">
        <v>6040</v>
      </c>
    </row>
    <row r="2055">
      <c r="A2055" s="1" t="s">
        <v>6196</v>
      </c>
      <c r="B2055" s="1" t="s">
        <v>6197</v>
      </c>
      <c r="C2055" s="1" t="s">
        <v>6198</v>
      </c>
      <c r="D2055" s="1" t="s">
        <v>6038</v>
      </c>
      <c r="E2055" s="1" t="s">
        <v>6039</v>
      </c>
      <c r="F2055" s="1">
        <v>121221.0</v>
      </c>
      <c r="G2055" s="1">
        <v>3154.0</v>
      </c>
      <c r="H2055" s="1">
        <v>348.0</v>
      </c>
      <c r="I2055" s="1">
        <v>1.92E7</v>
      </c>
      <c r="J2055" s="1" t="s">
        <v>6040</v>
      </c>
    </row>
    <row r="2056">
      <c r="A2056" s="1" t="s">
        <v>6199</v>
      </c>
      <c r="B2056" s="1" t="s">
        <v>6200</v>
      </c>
      <c r="C2056" s="1" t="s">
        <v>6201</v>
      </c>
      <c r="D2056" s="1" t="s">
        <v>6038</v>
      </c>
      <c r="E2056" s="1" t="s">
        <v>6039</v>
      </c>
      <c r="F2056" s="1">
        <v>60395.0</v>
      </c>
      <c r="G2056" s="1">
        <v>535.0</v>
      </c>
      <c r="H2056" s="1">
        <v>17.0</v>
      </c>
      <c r="I2056" s="1">
        <v>1.92E7</v>
      </c>
      <c r="J2056" s="1" t="s">
        <v>6040</v>
      </c>
    </row>
    <row r="2057">
      <c r="A2057" s="1" t="s">
        <v>6202</v>
      </c>
      <c r="B2057" s="1" t="s">
        <v>6203</v>
      </c>
      <c r="C2057" s="1" t="s">
        <v>6204</v>
      </c>
      <c r="D2057" s="1" t="s">
        <v>6038</v>
      </c>
      <c r="E2057" s="1" t="s">
        <v>6039</v>
      </c>
      <c r="F2057" s="1">
        <v>195444.0</v>
      </c>
      <c r="G2057" s="1">
        <v>2002.0</v>
      </c>
      <c r="H2057" s="1">
        <v>338.0</v>
      </c>
      <c r="I2057" s="1">
        <v>1.92E7</v>
      </c>
      <c r="J2057" s="1" t="s">
        <v>6040</v>
      </c>
    </row>
    <row r="2058">
      <c r="A2058" s="1" t="s">
        <v>6205</v>
      </c>
      <c r="B2058" s="1" t="s">
        <v>6206</v>
      </c>
      <c r="C2058" s="1" t="s">
        <v>6207</v>
      </c>
      <c r="D2058" s="1" t="s">
        <v>6038</v>
      </c>
      <c r="E2058" s="1" t="s">
        <v>6039</v>
      </c>
      <c r="F2058" s="1">
        <v>112850.0</v>
      </c>
      <c r="G2058" s="1">
        <v>978.0</v>
      </c>
      <c r="H2058" s="1">
        <v>60.0</v>
      </c>
      <c r="I2058" s="1">
        <v>1.92E7</v>
      </c>
      <c r="J2058" s="1" t="s">
        <v>6040</v>
      </c>
    </row>
    <row r="2059">
      <c r="A2059" s="1" t="s">
        <v>6208</v>
      </c>
      <c r="B2059" s="1" t="s">
        <v>6209</v>
      </c>
      <c r="C2059" s="1" t="s">
        <v>6210</v>
      </c>
      <c r="D2059" s="1" t="s">
        <v>6038</v>
      </c>
      <c r="E2059" s="1" t="s">
        <v>6039</v>
      </c>
      <c r="F2059" s="1">
        <v>105894.0</v>
      </c>
      <c r="G2059" s="1">
        <v>1733.0</v>
      </c>
      <c r="H2059" s="1">
        <v>146.0</v>
      </c>
      <c r="I2059" s="1">
        <v>1.92E7</v>
      </c>
      <c r="J2059" s="1" t="s">
        <v>6040</v>
      </c>
    </row>
    <row r="2060">
      <c r="A2060" s="1" t="s">
        <v>6211</v>
      </c>
      <c r="B2060" s="1" t="s">
        <v>6212</v>
      </c>
      <c r="C2060" s="1" t="s">
        <v>6213</v>
      </c>
      <c r="D2060" s="1" t="s">
        <v>6038</v>
      </c>
      <c r="E2060" s="1" t="s">
        <v>6039</v>
      </c>
      <c r="F2060" s="1">
        <v>65363.0</v>
      </c>
      <c r="G2060" s="1">
        <v>916.0</v>
      </c>
      <c r="H2060" s="1">
        <v>87.0</v>
      </c>
      <c r="I2060" s="1">
        <v>1.92E7</v>
      </c>
      <c r="J2060" s="1" t="s">
        <v>6040</v>
      </c>
    </row>
    <row r="2061">
      <c r="A2061" s="1" t="s">
        <v>6214</v>
      </c>
      <c r="B2061" s="1" t="s">
        <v>6215</v>
      </c>
      <c r="C2061" s="1" t="s">
        <v>6216</v>
      </c>
      <c r="D2061" s="1" t="s">
        <v>6038</v>
      </c>
      <c r="E2061" s="1" t="s">
        <v>6039</v>
      </c>
      <c r="F2061" s="1">
        <v>81110.0</v>
      </c>
      <c r="G2061" s="1">
        <v>1056.0</v>
      </c>
      <c r="H2061" s="1">
        <v>190.0</v>
      </c>
      <c r="I2061" s="1">
        <v>1.92E7</v>
      </c>
      <c r="J2061" s="1" t="s">
        <v>6040</v>
      </c>
    </row>
    <row r="2062">
      <c r="A2062" s="1" t="s">
        <v>6217</v>
      </c>
      <c r="B2062" s="1" t="s">
        <v>6218</v>
      </c>
      <c r="C2062" s="1" t="s">
        <v>6219</v>
      </c>
      <c r="D2062" s="1" t="s">
        <v>6038</v>
      </c>
      <c r="E2062" s="1" t="s">
        <v>6039</v>
      </c>
      <c r="F2062" s="1">
        <v>91166.0</v>
      </c>
      <c r="G2062" s="1">
        <v>1957.0</v>
      </c>
      <c r="H2062" s="1">
        <v>147.0</v>
      </c>
      <c r="I2062" s="1">
        <v>1.92E7</v>
      </c>
      <c r="J2062" s="1" t="s">
        <v>6040</v>
      </c>
    </row>
    <row r="2063">
      <c r="A2063" s="1" t="s">
        <v>6220</v>
      </c>
      <c r="B2063" s="1" t="s">
        <v>6221</v>
      </c>
      <c r="C2063" s="1" t="s">
        <v>6222</v>
      </c>
      <c r="D2063" s="1" t="s">
        <v>6038</v>
      </c>
      <c r="E2063" s="1" t="s">
        <v>6039</v>
      </c>
      <c r="F2063" s="1">
        <v>63960.0</v>
      </c>
      <c r="G2063" s="1">
        <v>568.0</v>
      </c>
      <c r="H2063" s="1">
        <v>117.0</v>
      </c>
      <c r="I2063" s="1">
        <v>1.92E7</v>
      </c>
      <c r="J2063" s="1" t="s">
        <v>6040</v>
      </c>
    </row>
    <row r="2064">
      <c r="A2064" s="1" t="s">
        <v>6223</v>
      </c>
      <c r="B2064" s="1" t="s">
        <v>6224</v>
      </c>
      <c r="C2064" s="1" t="s">
        <v>6225</v>
      </c>
      <c r="D2064" s="1" t="s">
        <v>6038</v>
      </c>
      <c r="E2064" s="1" t="s">
        <v>6039</v>
      </c>
      <c r="F2064" s="1">
        <v>2066015.0</v>
      </c>
      <c r="G2064" s="1">
        <v>10505.0</v>
      </c>
      <c r="H2064" s="1">
        <v>124.0</v>
      </c>
      <c r="I2064" s="1">
        <v>1.92E7</v>
      </c>
      <c r="J2064" s="1" t="s">
        <v>6040</v>
      </c>
    </row>
    <row r="2065">
      <c r="A2065" s="1" t="s">
        <v>6226</v>
      </c>
      <c r="B2065" s="1" t="s">
        <v>6227</v>
      </c>
      <c r="C2065" s="1" t="s">
        <v>6228</v>
      </c>
      <c r="D2065" s="1" t="s">
        <v>6038</v>
      </c>
      <c r="E2065" s="1" t="s">
        <v>6039</v>
      </c>
      <c r="F2065" s="1">
        <v>49393.0</v>
      </c>
      <c r="G2065" s="1">
        <v>699.0</v>
      </c>
      <c r="H2065" s="1">
        <v>45.0</v>
      </c>
      <c r="I2065" s="1">
        <v>1.92E7</v>
      </c>
      <c r="J2065" s="1" t="s">
        <v>6040</v>
      </c>
    </row>
    <row r="2066">
      <c r="A2066" s="1" t="s">
        <v>6229</v>
      </c>
      <c r="B2066" s="1" t="s">
        <v>6230</v>
      </c>
      <c r="C2066" s="1" t="s">
        <v>6231</v>
      </c>
      <c r="D2066" s="1" t="s">
        <v>6038</v>
      </c>
      <c r="E2066" s="1" t="s">
        <v>6039</v>
      </c>
      <c r="F2066" s="1">
        <v>45825.0</v>
      </c>
      <c r="G2066" s="1">
        <v>518.0</v>
      </c>
      <c r="H2066" s="1">
        <v>31.0</v>
      </c>
      <c r="I2066" s="1">
        <v>1.92E7</v>
      </c>
      <c r="J2066" s="1" t="s">
        <v>6040</v>
      </c>
    </row>
    <row r="2067">
      <c r="A2067" s="1" t="s">
        <v>6232</v>
      </c>
      <c r="B2067" s="1" t="s">
        <v>6233</v>
      </c>
      <c r="C2067" s="1" t="s">
        <v>6234</v>
      </c>
      <c r="D2067" s="1" t="s">
        <v>6038</v>
      </c>
      <c r="E2067" s="1" t="s">
        <v>6039</v>
      </c>
      <c r="F2067" s="1">
        <v>53217.0</v>
      </c>
      <c r="G2067" s="1">
        <v>581.0</v>
      </c>
      <c r="H2067" s="1">
        <v>14.0</v>
      </c>
      <c r="I2067" s="1">
        <v>1.92E7</v>
      </c>
      <c r="J2067" s="1" t="s">
        <v>6040</v>
      </c>
    </row>
    <row r="2068">
      <c r="A2068" s="1" t="s">
        <v>6235</v>
      </c>
      <c r="B2068" s="1" t="s">
        <v>6236</v>
      </c>
      <c r="C2068" s="1" t="s">
        <v>6237</v>
      </c>
      <c r="D2068" s="1" t="s">
        <v>6038</v>
      </c>
      <c r="E2068" s="1" t="s">
        <v>6039</v>
      </c>
      <c r="F2068" s="1">
        <v>45671.0</v>
      </c>
      <c r="G2068" s="1">
        <v>1063.0</v>
      </c>
      <c r="H2068" s="1">
        <v>190.0</v>
      </c>
      <c r="I2068" s="1">
        <v>1.92E7</v>
      </c>
      <c r="J2068" s="1" t="s">
        <v>6040</v>
      </c>
    </row>
    <row r="2069">
      <c r="A2069" s="1" t="s">
        <v>6238</v>
      </c>
      <c r="B2069" s="1" t="s">
        <v>6239</v>
      </c>
      <c r="C2069" s="1" t="s">
        <v>6240</v>
      </c>
      <c r="D2069" s="1" t="s">
        <v>6038</v>
      </c>
      <c r="E2069" s="1" t="s">
        <v>6039</v>
      </c>
      <c r="F2069" s="1">
        <v>44095.0</v>
      </c>
      <c r="G2069" s="1">
        <v>1059.0</v>
      </c>
      <c r="H2069" s="1">
        <v>50.0</v>
      </c>
      <c r="I2069" s="1">
        <v>1.92E7</v>
      </c>
      <c r="J2069" s="1" t="s">
        <v>6040</v>
      </c>
    </row>
    <row r="2070">
      <c r="A2070" s="1" t="s">
        <v>6241</v>
      </c>
      <c r="B2070" s="1" t="s">
        <v>6242</v>
      </c>
      <c r="C2070" s="1" t="s">
        <v>6243</v>
      </c>
      <c r="D2070" s="1" t="s">
        <v>6038</v>
      </c>
      <c r="E2070" s="1" t="s">
        <v>6039</v>
      </c>
      <c r="F2070" s="1">
        <v>81176.0</v>
      </c>
      <c r="G2070" s="1">
        <v>784.0</v>
      </c>
      <c r="H2070" s="1">
        <v>61.0</v>
      </c>
      <c r="I2070" s="1">
        <v>1.92E7</v>
      </c>
      <c r="J2070" s="1" t="s">
        <v>6040</v>
      </c>
    </row>
    <row r="2071">
      <c r="A2071" s="1" t="s">
        <v>6244</v>
      </c>
      <c r="B2071" s="1" t="s">
        <v>6245</v>
      </c>
      <c r="C2071" s="1" t="s">
        <v>6246</v>
      </c>
      <c r="D2071" s="1" t="s">
        <v>6038</v>
      </c>
      <c r="E2071" s="1" t="s">
        <v>6039</v>
      </c>
      <c r="F2071" s="1">
        <v>75203.0</v>
      </c>
      <c r="G2071" s="1">
        <v>703.0</v>
      </c>
      <c r="H2071" s="1">
        <v>16.0</v>
      </c>
      <c r="I2071" s="1">
        <v>1.92E7</v>
      </c>
      <c r="J2071" s="1" t="s">
        <v>6040</v>
      </c>
    </row>
    <row r="2072">
      <c r="A2072" s="1" t="s">
        <v>6247</v>
      </c>
      <c r="B2072" s="1" t="s">
        <v>6248</v>
      </c>
      <c r="C2072" s="1" t="s">
        <v>6249</v>
      </c>
      <c r="D2072" s="1" t="s">
        <v>6038</v>
      </c>
      <c r="E2072" s="1" t="s">
        <v>6039</v>
      </c>
      <c r="F2072" s="1">
        <v>1030415.0</v>
      </c>
      <c r="G2072" s="1">
        <v>10093.0</v>
      </c>
      <c r="H2072" s="1">
        <v>1046.0</v>
      </c>
      <c r="I2072" s="1">
        <v>1.92E7</v>
      </c>
      <c r="J2072" s="1" t="s">
        <v>6040</v>
      </c>
    </row>
    <row r="2073">
      <c r="A2073" s="1" t="s">
        <v>6250</v>
      </c>
      <c r="B2073" s="1" t="s">
        <v>6251</v>
      </c>
      <c r="C2073" s="1" t="s">
        <v>6252</v>
      </c>
      <c r="D2073" s="1" t="s">
        <v>6038</v>
      </c>
      <c r="E2073" s="1" t="s">
        <v>6039</v>
      </c>
      <c r="F2073" s="1">
        <v>80121.0</v>
      </c>
      <c r="G2073" s="1">
        <v>1057.0</v>
      </c>
      <c r="H2073" s="1">
        <v>88.0</v>
      </c>
      <c r="I2073" s="1">
        <v>1.92E7</v>
      </c>
      <c r="J2073" s="1" t="s">
        <v>6040</v>
      </c>
    </row>
    <row r="2074">
      <c r="A2074" s="1" t="s">
        <v>6253</v>
      </c>
      <c r="B2074" s="1" t="s">
        <v>6254</v>
      </c>
      <c r="C2074" s="1" t="s">
        <v>6255</v>
      </c>
      <c r="D2074" s="1" t="s">
        <v>6038</v>
      </c>
      <c r="E2074" s="1" t="s">
        <v>6039</v>
      </c>
      <c r="F2074" s="1">
        <v>44632.0</v>
      </c>
      <c r="G2074" s="1">
        <v>333.0</v>
      </c>
      <c r="H2074" s="1">
        <v>86.0</v>
      </c>
      <c r="I2074" s="1">
        <v>1.92E7</v>
      </c>
      <c r="J2074" s="1" t="s">
        <v>6040</v>
      </c>
    </row>
    <row r="2075">
      <c r="A2075" s="1" t="s">
        <v>6256</v>
      </c>
      <c r="B2075" s="8" t="s">
        <v>6257</v>
      </c>
      <c r="C2075" s="1" t="s">
        <v>6258</v>
      </c>
      <c r="D2075" s="1" t="s">
        <v>6038</v>
      </c>
      <c r="E2075" s="1" t="s">
        <v>6039</v>
      </c>
      <c r="F2075" s="1">
        <v>59941.0</v>
      </c>
      <c r="G2075" s="1">
        <v>894.0</v>
      </c>
      <c r="H2075" s="1">
        <v>80.0</v>
      </c>
      <c r="I2075" s="1">
        <v>1.92E7</v>
      </c>
      <c r="J2075" s="1" t="s">
        <v>6040</v>
      </c>
    </row>
    <row r="2076">
      <c r="A2076" s="1" t="s">
        <v>6259</v>
      </c>
      <c r="B2076" s="1" t="s">
        <v>6260</v>
      </c>
      <c r="C2076" s="1" t="s">
        <v>6261</v>
      </c>
      <c r="D2076" s="1" t="s">
        <v>6038</v>
      </c>
      <c r="E2076" s="1" t="s">
        <v>6039</v>
      </c>
      <c r="F2076" s="1">
        <v>128053.0</v>
      </c>
      <c r="G2076" s="1">
        <v>1051.0</v>
      </c>
      <c r="H2076" s="1">
        <v>70.0</v>
      </c>
      <c r="I2076" s="1">
        <v>1.92E7</v>
      </c>
      <c r="J2076" s="1" t="s">
        <v>6040</v>
      </c>
    </row>
    <row r="2077">
      <c r="A2077" s="1" t="s">
        <v>6262</v>
      </c>
      <c r="B2077" s="1" t="s">
        <v>6263</v>
      </c>
      <c r="C2077" s="1" t="s">
        <v>6264</v>
      </c>
      <c r="D2077" s="1" t="s">
        <v>6038</v>
      </c>
      <c r="E2077" s="1" t="s">
        <v>6039</v>
      </c>
      <c r="F2077" s="1">
        <v>49503.0</v>
      </c>
      <c r="G2077" s="1">
        <v>449.0</v>
      </c>
      <c r="H2077" s="1">
        <v>27.0</v>
      </c>
      <c r="I2077" s="1">
        <v>1.92E7</v>
      </c>
      <c r="J2077" s="1" t="s">
        <v>6040</v>
      </c>
    </row>
    <row r="2078">
      <c r="A2078" s="1" t="s">
        <v>6265</v>
      </c>
      <c r="B2078" s="1" t="s">
        <v>6266</v>
      </c>
      <c r="C2078" s="1" t="s">
        <v>6267</v>
      </c>
      <c r="D2078" s="1" t="s">
        <v>6038</v>
      </c>
      <c r="E2078" s="1" t="s">
        <v>6039</v>
      </c>
      <c r="F2078" s="1">
        <v>68749.0</v>
      </c>
      <c r="G2078" s="1">
        <v>1327.0</v>
      </c>
      <c r="H2078" s="1">
        <v>63.0</v>
      </c>
      <c r="I2078" s="1">
        <v>1.92E7</v>
      </c>
      <c r="J2078" s="1" t="s">
        <v>6040</v>
      </c>
    </row>
    <row r="2079">
      <c r="A2079" s="1" t="s">
        <v>6268</v>
      </c>
      <c r="B2079" s="1" t="s">
        <v>6269</v>
      </c>
      <c r="C2079" s="1" t="s">
        <v>6270</v>
      </c>
      <c r="D2079" s="1" t="s">
        <v>6038</v>
      </c>
      <c r="E2079" s="1" t="s">
        <v>6039</v>
      </c>
      <c r="F2079" s="1">
        <v>241819.0</v>
      </c>
      <c r="G2079" s="1">
        <v>145.0</v>
      </c>
      <c r="H2079" s="1">
        <v>12.0</v>
      </c>
      <c r="I2079" s="1">
        <v>1.92E7</v>
      </c>
      <c r="J2079" s="1" t="s">
        <v>6040</v>
      </c>
    </row>
    <row r="2080">
      <c r="A2080" s="1" t="s">
        <v>6271</v>
      </c>
      <c r="B2080" s="1" t="s">
        <v>6272</v>
      </c>
      <c r="C2080" s="1" t="s">
        <v>6273</v>
      </c>
      <c r="D2080" s="1" t="s">
        <v>6038</v>
      </c>
      <c r="E2080" s="1" t="s">
        <v>6039</v>
      </c>
      <c r="F2080" s="1">
        <v>531317.0</v>
      </c>
      <c r="G2080" s="1">
        <v>503.0</v>
      </c>
      <c r="H2080" s="1">
        <v>36.0</v>
      </c>
      <c r="I2080" s="1">
        <v>1.92E7</v>
      </c>
      <c r="J2080" s="1" t="s">
        <v>6040</v>
      </c>
    </row>
    <row r="2081">
      <c r="A2081" s="1" t="s">
        <v>6274</v>
      </c>
      <c r="B2081" s="1" t="s">
        <v>6275</v>
      </c>
      <c r="C2081" s="1" t="s">
        <v>6276</v>
      </c>
      <c r="D2081" s="1" t="s">
        <v>6038</v>
      </c>
      <c r="E2081" s="1" t="s">
        <v>6039</v>
      </c>
      <c r="F2081" s="1">
        <v>174839.0</v>
      </c>
      <c r="G2081" s="1">
        <v>133.0</v>
      </c>
      <c r="H2081" s="1">
        <v>14.0</v>
      </c>
      <c r="I2081" s="1">
        <v>1.92E7</v>
      </c>
      <c r="J2081" s="1" t="s">
        <v>6040</v>
      </c>
    </row>
    <row r="2082">
      <c r="A2082" s="1" t="s">
        <v>6277</v>
      </c>
      <c r="B2082" s="1" t="s">
        <v>6278</v>
      </c>
      <c r="C2082" s="1" t="s">
        <v>6279</v>
      </c>
      <c r="D2082" s="1" t="s">
        <v>6038</v>
      </c>
      <c r="E2082" s="1" t="s">
        <v>6039</v>
      </c>
      <c r="F2082" s="1">
        <v>49831.0</v>
      </c>
      <c r="G2082" s="1">
        <v>797.0</v>
      </c>
      <c r="H2082" s="1">
        <v>251.0</v>
      </c>
      <c r="I2082" s="1">
        <v>1.92E7</v>
      </c>
      <c r="J2082" s="1" t="s">
        <v>6040</v>
      </c>
    </row>
    <row r="2083">
      <c r="A2083" s="1" t="s">
        <v>6280</v>
      </c>
      <c r="B2083" s="1" t="s">
        <v>6281</v>
      </c>
      <c r="C2083" s="1" t="s">
        <v>6282</v>
      </c>
      <c r="D2083" s="1" t="s">
        <v>6038</v>
      </c>
      <c r="E2083" s="1" t="s">
        <v>6039</v>
      </c>
      <c r="F2083" s="1">
        <v>46844.0</v>
      </c>
      <c r="G2083" s="1">
        <v>342.0</v>
      </c>
      <c r="H2083" s="1">
        <v>26.0</v>
      </c>
      <c r="I2083" s="1">
        <v>1.92E7</v>
      </c>
      <c r="J2083" s="1" t="s">
        <v>6040</v>
      </c>
    </row>
    <row r="2084">
      <c r="A2084" s="1" t="s">
        <v>6283</v>
      </c>
      <c r="B2084" s="1" t="s">
        <v>6284</v>
      </c>
      <c r="C2084" s="1" t="s">
        <v>6285</v>
      </c>
      <c r="D2084" s="1" t="s">
        <v>6038</v>
      </c>
      <c r="E2084" s="1" t="s">
        <v>6039</v>
      </c>
      <c r="F2084" s="1">
        <v>122398.0</v>
      </c>
      <c r="G2084" s="1">
        <v>4411.0</v>
      </c>
      <c r="H2084" s="1">
        <v>1535.0</v>
      </c>
      <c r="I2084" s="1">
        <v>1.92E7</v>
      </c>
      <c r="J2084" s="1" t="s">
        <v>6040</v>
      </c>
    </row>
    <row r="2085">
      <c r="A2085" s="1" t="s">
        <v>6286</v>
      </c>
      <c r="B2085" s="1" t="s">
        <v>6287</v>
      </c>
      <c r="C2085" s="1" t="s">
        <v>6288</v>
      </c>
      <c r="D2085" s="1" t="s">
        <v>6038</v>
      </c>
      <c r="E2085" s="1" t="s">
        <v>6039</v>
      </c>
      <c r="F2085" s="1">
        <v>51366.0</v>
      </c>
      <c r="G2085" s="1">
        <v>333.0</v>
      </c>
      <c r="H2085" s="1">
        <v>46.0</v>
      </c>
      <c r="I2085" s="1">
        <v>1.92E7</v>
      </c>
      <c r="J2085" s="1" t="s">
        <v>6040</v>
      </c>
    </row>
    <row r="2086">
      <c r="A2086" s="1" t="s">
        <v>6289</v>
      </c>
      <c r="B2086" s="1" t="s">
        <v>6290</v>
      </c>
      <c r="C2086" s="1" t="s">
        <v>6291</v>
      </c>
      <c r="D2086" s="1" t="s">
        <v>6038</v>
      </c>
      <c r="E2086" s="1" t="s">
        <v>6039</v>
      </c>
      <c r="F2086" s="1">
        <v>21150.0</v>
      </c>
      <c r="G2086" s="1">
        <v>361.0</v>
      </c>
      <c r="H2086" s="1">
        <v>18.0</v>
      </c>
      <c r="I2086" s="1">
        <v>1.92E7</v>
      </c>
      <c r="J2086" s="1" t="s">
        <v>6040</v>
      </c>
    </row>
    <row r="2087">
      <c r="A2087" s="1" t="s">
        <v>6292</v>
      </c>
      <c r="B2087" s="1" t="s">
        <v>6293</v>
      </c>
      <c r="C2087" s="1" t="s">
        <v>6294</v>
      </c>
      <c r="D2087" s="1" t="s">
        <v>6038</v>
      </c>
      <c r="E2087" s="1" t="s">
        <v>6039</v>
      </c>
      <c r="F2087" s="1">
        <v>62121.0</v>
      </c>
      <c r="G2087" s="1">
        <v>425.0</v>
      </c>
      <c r="H2087" s="1">
        <v>47.0</v>
      </c>
      <c r="I2087" s="1">
        <v>1.92E7</v>
      </c>
      <c r="J2087" s="1" t="s">
        <v>6040</v>
      </c>
    </row>
    <row r="2088">
      <c r="A2088" s="1" t="s">
        <v>6295</v>
      </c>
      <c r="B2088" s="1" t="s">
        <v>6296</v>
      </c>
      <c r="C2088" s="1" t="s">
        <v>6297</v>
      </c>
      <c r="D2088" s="1" t="s">
        <v>6038</v>
      </c>
      <c r="E2088" s="1" t="s">
        <v>6039</v>
      </c>
      <c r="F2088" s="1">
        <v>127112.0</v>
      </c>
      <c r="G2088" s="1">
        <v>2425.0</v>
      </c>
      <c r="H2088" s="1">
        <v>165.0</v>
      </c>
      <c r="I2088" s="1">
        <v>1.92E7</v>
      </c>
      <c r="J2088" s="1" t="s">
        <v>6040</v>
      </c>
    </row>
    <row r="2089">
      <c r="A2089" s="1" t="s">
        <v>6298</v>
      </c>
      <c r="B2089" s="1" t="s">
        <v>6299</v>
      </c>
      <c r="C2089" s="1" t="s">
        <v>6300</v>
      </c>
      <c r="D2089" s="1" t="s">
        <v>6038</v>
      </c>
      <c r="E2089" s="1" t="s">
        <v>6039</v>
      </c>
      <c r="F2089" s="1">
        <v>63257.0</v>
      </c>
      <c r="G2089" s="1">
        <v>517.0</v>
      </c>
      <c r="H2089" s="1">
        <v>81.0</v>
      </c>
      <c r="I2089" s="1">
        <v>1.92E7</v>
      </c>
      <c r="J2089" s="1" t="s">
        <v>6040</v>
      </c>
    </row>
    <row r="2090">
      <c r="A2090" s="1" t="s">
        <v>6301</v>
      </c>
      <c r="B2090" s="1" t="s">
        <v>6302</v>
      </c>
      <c r="C2090" s="1" t="s">
        <v>6303</v>
      </c>
      <c r="D2090" s="1" t="s">
        <v>6038</v>
      </c>
      <c r="E2090" s="1" t="s">
        <v>6039</v>
      </c>
      <c r="F2090" s="1">
        <v>620340.0</v>
      </c>
      <c r="G2090" s="1">
        <v>13913.0</v>
      </c>
      <c r="H2090" s="1">
        <v>2993.0</v>
      </c>
      <c r="I2090" s="1">
        <v>1.92E7</v>
      </c>
      <c r="J2090" s="1" t="s">
        <v>6040</v>
      </c>
    </row>
    <row r="2091">
      <c r="A2091" s="1" t="s">
        <v>6304</v>
      </c>
      <c r="B2091" s="1" t="s">
        <v>6305</v>
      </c>
      <c r="C2091" s="1" t="s">
        <v>6306</v>
      </c>
      <c r="D2091" s="1" t="s">
        <v>6038</v>
      </c>
      <c r="E2091" s="1" t="s">
        <v>6039</v>
      </c>
      <c r="F2091" s="1">
        <v>43308.0</v>
      </c>
      <c r="G2091" s="1">
        <v>873.0</v>
      </c>
      <c r="H2091" s="1">
        <v>53.0</v>
      </c>
      <c r="I2091" s="1">
        <v>1.92E7</v>
      </c>
      <c r="J2091" s="1" t="s">
        <v>6040</v>
      </c>
    </row>
    <row r="2092">
      <c r="A2092" s="1" t="s">
        <v>6307</v>
      </c>
      <c r="B2092" s="1" t="s">
        <v>6308</v>
      </c>
      <c r="C2092" s="1" t="s">
        <v>6309</v>
      </c>
      <c r="D2092" s="1" t="s">
        <v>6038</v>
      </c>
      <c r="E2092" s="1" t="s">
        <v>6039</v>
      </c>
      <c r="F2092" s="1">
        <v>24121.0</v>
      </c>
      <c r="G2092" s="1">
        <v>259.0</v>
      </c>
      <c r="H2092" s="1">
        <v>5.0</v>
      </c>
      <c r="I2092" s="1">
        <v>1.92E7</v>
      </c>
      <c r="J2092" s="1" t="s">
        <v>6040</v>
      </c>
    </row>
    <row r="2093">
      <c r="A2093" s="1" t="s">
        <v>6310</v>
      </c>
      <c r="B2093" s="1" t="s">
        <v>6311</v>
      </c>
      <c r="C2093" s="1" t="s">
        <v>6312</v>
      </c>
      <c r="D2093" s="1" t="s">
        <v>6038</v>
      </c>
      <c r="E2093" s="1" t="s">
        <v>6039</v>
      </c>
      <c r="F2093" s="1">
        <v>36709.0</v>
      </c>
      <c r="G2093" s="1">
        <v>1067.0</v>
      </c>
      <c r="H2093" s="1">
        <v>71.0</v>
      </c>
      <c r="I2093" s="1">
        <v>1.92E7</v>
      </c>
      <c r="J2093" s="1" t="s">
        <v>6040</v>
      </c>
    </row>
    <row r="2094">
      <c r="A2094" s="1" t="s">
        <v>6313</v>
      </c>
      <c r="B2094" s="1" t="s">
        <v>6314</v>
      </c>
      <c r="C2094" s="1" t="s">
        <v>6315</v>
      </c>
      <c r="D2094" s="1" t="s">
        <v>6038</v>
      </c>
      <c r="E2094" s="1" t="s">
        <v>6039</v>
      </c>
      <c r="F2094" s="1">
        <v>681734.0</v>
      </c>
      <c r="G2094" s="1">
        <v>11935.0</v>
      </c>
      <c r="H2094" s="1">
        <v>1471.0</v>
      </c>
      <c r="I2094" s="1">
        <v>1.92E7</v>
      </c>
      <c r="J2094" s="1" t="s">
        <v>6040</v>
      </c>
    </row>
    <row r="2095">
      <c r="A2095" s="1" t="s">
        <v>6316</v>
      </c>
      <c r="B2095" s="1" t="s">
        <v>6317</v>
      </c>
      <c r="C2095" s="1" t="s">
        <v>6318</v>
      </c>
      <c r="D2095" s="1" t="s">
        <v>6038</v>
      </c>
      <c r="E2095" s="1" t="s">
        <v>6039</v>
      </c>
      <c r="F2095" s="1">
        <v>38375.0</v>
      </c>
      <c r="G2095" s="1">
        <v>551.0</v>
      </c>
      <c r="H2095" s="1">
        <v>3.0</v>
      </c>
      <c r="I2095" s="1">
        <v>1.92E7</v>
      </c>
      <c r="J2095" s="1" t="s">
        <v>6040</v>
      </c>
    </row>
    <row r="2096">
      <c r="A2096" s="1" t="s">
        <v>6319</v>
      </c>
      <c r="B2096" s="1" t="s">
        <v>6320</v>
      </c>
      <c r="C2096" s="1" t="s">
        <v>6321</v>
      </c>
      <c r="D2096" s="1" t="s">
        <v>6038</v>
      </c>
      <c r="E2096" s="1" t="s">
        <v>6039</v>
      </c>
      <c r="F2096" s="1">
        <v>330772.0</v>
      </c>
      <c r="G2096" s="1">
        <v>5301.0</v>
      </c>
      <c r="H2096" s="1">
        <v>322.0</v>
      </c>
      <c r="I2096" s="1">
        <v>1.92E7</v>
      </c>
      <c r="J2096" s="1" t="s">
        <v>6040</v>
      </c>
    </row>
    <row r="2097">
      <c r="A2097" s="1" t="s">
        <v>6322</v>
      </c>
      <c r="B2097" s="1" t="s">
        <v>6323</v>
      </c>
      <c r="C2097" s="1" t="s">
        <v>6324</v>
      </c>
      <c r="D2097" s="1" t="s">
        <v>6038</v>
      </c>
      <c r="E2097" s="1" t="s">
        <v>6039</v>
      </c>
      <c r="F2097" s="1">
        <v>101943.0</v>
      </c>
      <c r="G2097" s="1">
        <v>2270.0</v>
      </c>
      <c r="H2097" s="1">
        <v>243.0</v>
      </c>
      <c r="I2097" s="1">
        <v>1.92E7</v>
      </c>
      <c r="J2097" s="1" t="s">
        <v>6040</v>
      </c>
    </row>
    <row r="2098">
      <c r="A2098" s="1" t="s">
        <v>6325</v>
      </c>
      <c r="B2098" s="1" t="s">
        <v>6326</v>
      </c>
      <c r="C2098" s="1" t="s">
        <v>6327</v>
      </c>
      <c r="D2098" s="1" t="s">
        <v>6038</v>
      </c>
      <c r="E2098" s="1" t="s">
        <v>6039</v>
      </c>
      <c r="F2098" s="1">
        <v>96197.0</v>
      </c>
      <c r="G2098" s="1">
        <v>866.0</v>
      </c>
      <c r="H2098" s="1">
        <v>182.0</v>
      </c>
      <c r="I2098" s="1">
        <v>1.92E7</v>
      </c>
      <c r="J2098" s="1" t="s">
        <v>6040</v>
      </c>
    </row>
    <row r="2099">
      <c r="A2099" s="1" t="s">
        <v>6328</v>
      </c>
      <c r="B2099" s="1" t="s">
        <v>6329</v>
      </c>
      <c r="C2099" s="1" t="s">
        <v>6330</v>
      </c>
      <c r="D2099" s="1" t="s">
        <v>6038</v>
      </c>
      <c r="E2099" s="1" t="s">
        <v>6039</v>
      </c>
      <c r="F2099" s="1">
        <v>45701.0</v>
      </c>
      <c r="G2099" s="1">
        <v>552.0</v>
      </c>
      <c r="H2099" s="1">
        <v>29.0</v>
      </c>
      <c r="I2099" s="1">
        <v>1.92E7</v>
      </c>
      <c r="J2099" s="1" t="s">
        <v>6040</v>
      </c>
    </row>
    <row r="2100">
      <c r="A2100" s="1" t="s">
        <v>6331</v>
      </c>
      <c r="B2100" s="1" t="s">
        <v>6332</v>
      </c>
      <c r="C2100" s="1" t="s">
        <v>6333</v>
      </c>
      <c r="D2100" s="1" t="s">
        <v>6038</v>
      </c>
      <c r="E2100" s="1" t="s">
        <v>6039</v>
      </c>
      <c r="F2100" s="1">
        <v>45842.0</v>
      </c>
      <c r="G2100" s="1">
        <v>694.0</v>
      </c>
      <c r="H2100" s="1">
        <v>48.0</v>
      </c>
      <c r="I2100" s="1">
        <v>1.92E7</v>
      </c>
      <c r="J2100" s="1" t="s">
        <v>6040</v>
      </c>
    </row>
    <row r="2101">
      <c r="A2101" s="1" t="s">
        <v>6334</v>
      </c>
      <c r="B2101" s="1" t="s">
        <v>6335</v>
      </c>
      <c r="C2101" s="1" t="s">
        <v>6336</v>
      </c>
      <c r="D2101" s="1" t="s">
        <v>6038</v>
      </c>
      <c r="E2101" s="1" t="s">
        <v>6039</v>
      </c>
      <c r="F2101" s="1">
        <v>59043.0</v>
      </c>
      <c r="G2101" s="1">
        <v>1448.0</v>
      </c>
      <c r="H2101" s="1">
        <v>46.0</v>
      </c>
      <c r="I2101" s="1">
        <v>1.92E7</v>
      </c>
      <c r="J2101" s="1" t="s">
        <v>6040</v>
      </c>
    </row>
    <row r="2102">
      <c r="A2102" s="1" t="s">
        <v>6337</v>
      </c>
      <c r="B2102" s="1" t="s">
        <v>6338</v>
      </c>
      <c r="C2102" s="1" t="s">
        <v>6339</v>
      </c>
      <c r="D2102" s="1" t="s">
        <v>6038</v>
      </c>
      <c r="E2102" s="1" t="s">
        <v>6039</v>
      </c>
      <c r="F2102" s="1">
        <v>196615.0</v>
      </c>
      <c r="G2102" s="1">
        <v>2166.0</v>
      </c>
      <c r="H2102" s="1">
        <v>310.0</v>
      </c>
      <c r="I2102" s="1">
        <v>1.92E7</v>
      </c>
      <c r="J2102" s="1" t="s">
        <v>6040</v>
      </c>
    </row>
    <row r="2103">
      <c r="A2103" s="1" t="s">
        <v>6340</v>
      </c>
      <c r="B2103" s="1" t="s">
        <v>6341</v>
      </c>
      <c r="C2103" s="1" t="s">
        <v>6342</v>
      </c>
      <c r="D2103" s="1" t="s">
        <v>6038</v>
      </c>
      <c r="E2103" s="1" t="s">
        <v>6039</v>
      </c>
      <c r="F2103" s="1">
        <v>207376.0</v>
      </c>
      <c r="G2103" s="1">
        <v>4403.0</v>
      </c>
      <c r="H2103" s="1">
        <v>71.0</v>
      </c>
      <c r="I2103" s="1">
        <v>1.92E7</v>
      </c>
      <c r="J2103" s="1" t="s">
        <v>6040</v>
      </c>
    </row>
    <row r="2104">
      <c r="A2104" s="1" t="s">
        <v>6343</v>
      </c>
      <c r="B2104" s="1" t="s">
        <v>6344</v>
      </c>
      <c r="C2104" s="1" t="s">
        <v>6345</v>
      </c>
      <c r="D2104" s="1" t="s">
        <v>6038</v>
      </c>
      <c r="E2104" s="1" t="s">
        <v>6039</v>
      </c>
      <c r="F2104" s="1">
        <v>37270.0</v>
      </c>
      <c r="G2104" s="1">
        <v>315.0</v>
      </c>
      <c r="H2104" s="1">
        <v>32.0</v>
      </c>
      <c r="I2104" s="1">
        <v>1.92E7</v>
      </c>
      <c r="J2104" s="1" t="s">
        <v>6040</v>
      </c>
    </row>
    <row r="2105">
      <c r="A2105" s="1" t="s">
        <v>6346</v>
      </c>
      <c r="B2105" s="1" t="s">
        <v>6347</v>
      </c>
      <c r="C2105" s="1" t="s">
        <v>6348</v>
      </c>
      <c r="D2105" s="1" t="s">
        <v>6038</v>
      </c>
      <c r="E2105" s="1" t="s">
        <v>6039</v>
      </c>
      <c r="F2105" s="1">
        <v>74096.0</v>
      </c>
      <c r="G2105" s="1">
        <v>1911.0</v>
      </c>
      <c r="H2105" s="1">
        <v>146.0</v>
      </c>
      <c r="I2105" s="1">
        <v>1.92E7</v>
      </c>
      <c r="J2105" s="1" t="s">
        <v>6040</v>
      </c>
    </row>
    <row r="2106">
      <c r="A2106" s="1" t="s">
        <v>6349</v>
      </c>
      <c r="B2106" s="1" t="s">
        <v>6350</v>
      </c>
      <c r="C2106" s="1" t="s">
        <v>6351</v>
      </c>
      <c r="D2106" s="1" t="s">
        <v>6038</v>
      </c>
      <c r="E2106" s="1" t="s">
        <v>6039</v>
      </c>
      <c r="F2106" s="1">
        <v>52294.0</v>
      </c>
      <c r="G2106" s="1">
        <v>714.0</v>
      </c>
      <c r="H2106" s="1">
        <v>110.0</v>
      </c>
      <c r="I2106" s="1">
        <v>1.92E7</v>
      </c>
      <c r="J2106" s="1" t="s">
        <v>6040</v>
      </c>
    </row>
    <row r="2107">
      <c r="A2107" s="1" t="s">
        <v>6352</v>
      </c>
      <c r="B2107" s="1" t="s">
        <v>6353</v>
      </c>
      <c r="C2107" s="1" t="s">
        <v>6354</v>
      </c>
      <c r="D2107" s="1" t="s">
        <v>6038</v>
      </c>
      <c r="E2107" s="1" t="s">
        <v>6039</v>
      </c>
      <c r="F2107" s="1">
        <v>61941.0</v>
      </c>
      <c r="G2107" s="1">
        <v>1861.0</v>
      </c>
      <c r="H2107" s="1">
        <v>86.0</v>
      </c>
      <c r="I2107" s="1">
        <v>1.92E7</v>
      </c>
      <c r="J2107" s="1" t="s">
        <v>6040</v>
      </c>
    </row>
    <row r="2108">
      <c r="A2108" s="1" t="s">
        <v>6355</v>
      </c>
      <c r="B2108" s="1" t="s">
        <v>6356</v>
      </c>
      <c r="C2108" s="1" t="s">
        <v>6357</v>
      </c>
      <c r="D2108" s="1" t="s">
        <v>6038</v>
      </c>
      <c r="E2108" s="1" t="s">
        <v>6039</v>
      </c>
      <c r="F2108" s="1">
        <v>52412.0</v>
      </c>
      <c r="G2108" s="1">
        <v>500.0</v>
      </c>
      <c r="H2108" s="1">
        <v>161.0</v>
      </c>
      <c r="I2108" s="1">
        <v>1.92E7</v>
      </c>
      <c r="J2108" s="1" t="s">
        <v>6040</v>
      </c>
    </row>
    <row r="2109">
      <c r="A2109" s="1" t="s">
        <v>6358</v>
      </c>
      <c r="B2109" s="1" t="s">
        <v>6359</v>
      </c>
      <c r="C2109" s="1" t="s">
        <v>6360</v>
      </c>
      <c r="D2109" s="1" t="s">
        <v>6038</v>
      </c>
      <c r="E2109" s="1" t="s">
        <v>6039</v>
      </c>
      <c r="F2109" s="1">
        <v>36677.0</v>
      </c>
      <c r="G2109" s="1">
        <v>812.0</v>
      </c>
      <c r="H2109" s="1">
        <v>29.0</v>
      </c>
      <c r="I2109" s="1">
        <v>1.92E7</v>
      </c>
      <c r="J2109" s="1" t="s">
        <v>6040</v>
      </c>
    </row>
    <row r="2110">
      <c r="A2110" s="1" t="s">
        <v>6361</v>
      </c>
      <c r="B2110" s="1" t="s">
        <v>6362</v>
      </c>
      <c r="C2110" s="1" t="s">
        <v>6363</v>
      </c>
      <c r="D2110" s="1" t="s">
        <v>6038</v>
      </c>
      <c r="E2110" s="1" t="s">
        <v>6039</v>
      </c>
      <c r="F2110" s="1">
        <v>79965.0</v>
      </c>
      <c r="G2110" s="1">
        <v>2621.0</v>
      </c>
      <c r="H2110" s="1">
        <v>74.0</v>
      </c>
      <c r="I2110" s="1">
        <v>1.92E7</v>
      </c>
      <c r="J2110" s="1" t="s">
        <v>6040</v>
      </c>
    </row>
    <row r="2111">
      <c r="A2111" s="1" t="s">
        <v>6364</v>
      </c>
      <c r="B2111" s="1" t="s">
        <v>6365</v>
      </c>
      <c r="C2111" s="1" t="s">
        <v>6366</v>
      </c>
      <c r="D2111" s="1" t="s">
        <v>6038</v>
      </c>
      <c r="E2111" s="1" t="s">
        <v>6039</v>
      </c>
      <c r="F2111" s="1">
        <v>29594.0</v>
      </c>
      <c r="G2111" s="1">
        <v>728.0</v>
      </c>
      <c r="H2111" s="1">
        <v>89.0</v>
      </c>
      <c r="I2111" s="1">
        <v>1.92E7</v>
      </c>
      <c r="J2111" s="1" t="s">
        <v>6040</v>
      </c>
    </row>
    <row r="2112">
      <c r="A2112" s="1" t="s">
        <v>6367</v>
      </c>
      <c r="B2112" s="1" t="s">
        <v>6368</v>
      </c>
      <c r="C2112" s="1" t="s">
        <v>6369</v>
      </c>
      <c r="D2112" s="1" t="s">
        <v>6038</v>
      </c>
      <c r="E2112" s="1" t="s">
        <v>6039</v>
      </c>
      <c r="F2112" s="1">
        <v>28490.0</v>
      </c>
      <c r="G2112" s="1">
        <v>552.0</v>
      </c>
      <c r="H2112" s="1">
        <v>30.0</v>
      </c>
      <c r="I2112" s="1">
        <v>1.92E7</v>
      </c>
      <c r="J2112" s="1" t="s">
        <v>6040</v>
      </c>
    </row>
    <row r="2113">
      <c r="A2113" s="1" t="s">
        <v>6370</v>
      </c>
      <c r="B2113" s="1" t="s">
        <v>6371</v>
      </c>
      <c r="C2113" s="1" t="s">
        <v>6372</v>
      </c>
      <c r="D2113" s="1" t="s">
        <v>6038</v>
      </c>
      <c r="E2113" s="1" t="s">
        <v>6039</v>
      </c>
      <c r="F2113" s="1">
        <v>237096.0</v>
      </c>
      <c r="G2113" s="1">
        <v>2471.0</v>
      </c>
      <c r="H2113" s="1">
        <v>612.0</v>
      </c>
      <c r="I2113" s="1">
        <v>1.92E7</v>
      </c>
      <c r="J2113" s="1" t="s">
        <v>6040</v>
      </c>
    </row>
    <row r="2114">
      <c r="A2114" s="1" t="s">
        <v>6373</v>
      </c>
      <c r="B2114" s="1" t="s">
        <v>6374</v>
      </c>
      <c r="C2114" s="1" t="s">
        <v>6375</v>
      </c>
      <c r="D2114" s="1" t="s">
        <v>6038</v>
      </c>
      <c r="E2114" s="1" t="s">
        <v>6039</v>
      </c>
      <c r="F2114" s="1">
        <v>117778.0</v>
      </c>
      <c r="G2114" s="1">
        <v>1027.0</v>
      </c>
      <c r="H2114" s="1">
        <v>71.0</v>
      </c>
      <c r="I2114" s="1">
        <v>1.92E7</v>
      </c>
      <c r="J2114" s="1" t="s">
        <v>6040</v>
      </c>
    </row>
    <row r="2115">
      <c r="A2115" s="1" t="s">
        <v>6376</v>
      </c>
      <c r="B2115" s="1" t="s">
        <v>6377</v>
      </c>
      <c r="C2115" s="1" t="s">
        <v>6378</v>
      </c>
      <c r="D2115" s="1" t="s">
        <v>6038</v>
      </c>
      <c r="E2115" s="1" t="s">
        <v>6039</v>
      </c>
      <c r="F2115" s="1">
        <v>137230.0</v>
      </c>
      <c r="G2115" s="1">
        <v>3130.0</v>
      </c>
      <c r="H2115" s="1">
        <v>532.0</v>
      </c>
      <c r="I2115" s="1">
        <v>1.92E7</v>
      </c>
      <c r="J2115" s="1" t="s">
        <v>6040</v>
      </c>
    </row>
    <row r="2116">
      <c r="A2116" s="1" t="s">
        <v>6379</v>
      </c>
      <c r="B2116" s="1" t="s">
        <v>6380</v>
      </c>
      <c r="C2116" s="1" t="s">
        <v>6381</v>
      </c>
      <c r="D2116" s="1" t="s">
        <v>6038</v>
      </c>
      <c r="E2116" s="1" t="s">
        <v>6039</v>
      </c>
      <c r="F2116" s="1">
        <v>99041.0</v>
      </c>
      <c r="G2116" s="1">
        <v>1637.0</v>
      </c>
      <c r="H2116" s="1">
        <v>293.0</v>
      </c>
      <c r="I2116" s="1">
        <v>1.92E7</v>
      </c>
      <c r="J2116" s="1" t="s">
        <v>6040</v>
      </c>
    </row>
    <row r="2117">
      <c r="A2117" s="1" t="s">
        <v>6382</v>
      </c>
      <c r="B2117" s="1" t="s">
        <v>6383</v>
      </c>
      <c r="C2117" s="1" t="s">
        <v>6384</v>
      </c>
      <c r="D2117" s="1" t="s">
        <v>6038</v>
      </c>
      <c r="E2117" s="1" t="s">
        <v>6039</v>
      </c>
      <c r="F2117" s="1">
        <v>81404.0</v>
      </c>
      <c r="G2117" s="1">
        <v>1012.0</v>
      </c>
      <c r="H2117" s="1">
        <v>235.0</v>
      </c>
      <c r="I2117" s="1">
        <v>1.92E7</v>
      </c>
      <c r="J2117" s="1" t="s">
        <v>6040</v>
      </c>
    </row>
    <row r="2118">
      <c r="A2118" s="1" t="s">
        <v>6385</v>
      </c>
      <c r="B2118" s="1" t="s">
        <v>6386</v>
      </c>
      <c r="C2118" s="1" t="s">
        <v>6387</v>
      </c>
      <c r="D2118" s="1" t="s">
        <v>6038</v>
      </c>
      <c r="E2118" s="1" t="s">
        <v>6039</v>
      </c>
      <c r="F2118" s="1">
        <v>1.2644329E7</v>
      </c>
      <c r="G2118" s="1">
        <v>378723.0</v>
      </c>
      <c r="H2118" s="1">
        <v>25669.0</v>
      </c>
      <c r="I2118" s="1">
        <v>1.92E7</v>
      </c>
      <c r="J2118" s="1" t="s">
        <v>6040</v>
      </c>
    </row>
    <row r="2119">
      <c r="A2119" s="1" t="s">
        <v>6388</v>
      </c>
      <c r="B2119" s="1" t="s">
        <v>6389</v>
      </c>
      <c r="C2119" s="1" t="s">
        <v>6390</v>
      </c>
      <c r="D2119" s="1" t="s">
        <v>6038</v>
      </c>
      <c r="E2119" s="1" t="s">
        <v>6039</v>
      </c>
      <c r="F2119" s="1">
        <v>125483.0</v>
      </c>
      <c r="G2119" s="1">
        <v>2456.0</v>
      </c>
      <c r="H2119" s="1">
        <v>70.0</v>
      </c>
      <c r="I2119" s="1">
        <v>1.92E7</v>
      </c>
      <c r="J2119" s="1" t="s">
        <v>6040</v>
      </c>
    </row>
    <row r="2120">
      <c r="A2120" s="1" t="s">
        <v>6391</v>
      </c>
      <c r="B2120" s="1" t="s">
        <v>6392</v>
      </c>
      <c r="C2120" s="1" t="s">
        <v>6393</v>
      </c>
      <c r="D2120" s="1" t="s">
        <v>6038</v>
      </c>
      <c r="E2120" s="1" t="s">
        <v>6039</v>
      </c>
      <c r="F2120" s="1">
        <v>51818.0</v>
      </c>
      <c r="G2120" s="1">
        <v>1083.0</v>
      </c>
      <c r="H2120" s="1">
        <v>150.0</v>
      </c>
      <c r="I2120" s="1">
        <v>1.92E7</v>
      </c>
      <c r="J2120" s="1" t="s">
        <v>6040</v>
      </c>
    </row>
    <row r="2121">
      <c r="A2121" s="1" t="s">
        <v>6394</v>
      </c>
      <c r="B2121" s="1" t="s">
        <v>6395</v>
      </c>
      <c r="C2121" s="1" t="s">
        <v>6396</v>
      </c>
      <c r="D2121" s="1" t="s">
        <v>6038</v>
      </c>
      <c r="E2121" s="1" t="s">
        <v>6039</v>
      </c>
      <c r="F2121" s="1">
        <v>111823.0</v>
      </c>
      <c r="G2121" s="1">
        <v>2613.0</v>
      </c>
      <c r="H2121" s="1">
        <v>192.0</v>
      </c>
      <c r="I2121" s="1">
        <v>1.92E7</v>
      </c>
      <c r="J2121" s="1" t="s">
        <v>6040</v>
      </c>
    </row>
    <row r="2122">
      <c r="A2122" s="1" t="s">
        <v>6397</v>
      </c>
      <c r="B2122" s="1" t="s">
        <v>6398</v>
      </c>
      <c r="C2122" s="1" t="s">
        <v>6399</v>
      </c>
      <c r="D2122" s="1" t="s">
        <v>6038</v>
      </c>
      <c r="E2122" s="1" t="s">
        <v>6039</v>
      </c>
      <c r="F2122" s="1">
        <v>49828.0</v>
      </c>
      <c r="G2122" s="1">
        <v>1612.0</v>
      </c>
      <c r="H2122" s="1">
        <v>123.0</v>
      </c>
      <c r="I2122" s="1">
        <v>1.92E7</v>
      </c>
      <c r="J2122" s="1" t="s">
        <v>6040</v>
      </c>
    </row>
    <row r="2123">
      <c r="A2123" s="1" t="s">
        <v>6400</v>
      </c>
      <c r="B2123" s="1" t="s">
        <v>6401</v>
      </c>
      <c r="C2123" s="1" t="s">
        <v>6402</v>
      </c>
      <c r="D2123" s="1" t="s">
        <v>6038</v>
      </c>
      <c r="E2123" s="1" t="s">
        <v>6039</v>
      </c>
      <c r="F2123" s="1">
        <v>65608.0</v>
      </c>
      <c r="G2123" s="1">
        <v>809.0</v>
      </c>
      <c r="H2123" s="1">
        <v>49.0</v>
      </c>
      <c r="I2123" s="1">
        <v>1.92E7</v>
      </c>
      <c r="J2123" s="1" t="s">
        <v>6040</v>
      </c>
    </row>
    <row r="2124">
      <c r="A2124" s="1" t="s">
        <v>6403</v>
      </c>
      <c r="B2124" s="1" t="s">
        <v>6404</v>
      </c>
      <c r="C2124" s="1" t="s">
        <v>6405</v>
      </c>
      <c r="D2124" s="1" t="s">
        <v>6038</v>
      </c>
      <c r="E2124" s="1" t="s">
        <v>6039</v>
      </c>
      <c r="F2124" s="1">
        <v>1518729.0</v>
      </c>
      <c r="G2124" s="1">
        <v>25888.0</v>
      </c>
      <c r="H2124" s="1">
        <v>770.0</v>
      </c>
      <c r="I2124" s="1">
        <v>1.92E7</v>
      </c>
      <c r="J2124" s="1" t="s">
        <v>6040</v>
      </c>
    </row>
    <row r="2125">
      <c r="A2125" s="1" t="s">
        <v>6406</v>
      </c>
      <c r="B2125" s="1" t="s">
        <v>6407</v>
      </c>
      <c r="C2125" s="1" t="s">
        <v>6408</v>
      </c>
      <c r="D2125" s="1" t="s">
        <v>6038</v>
      </c>
      <c r="E2125" s="1" t="s">
        <v>6039</v>
      </c>
      <c r="F2125" s="1">
        <v>482329.0</v>
      </c>
      <c r="G2125" s="1">
        <v>24614.0</v>
      </c>
      <c r="H2125" s="1">
        <v>394.0</v>
      </c>
      <c r="I2125" s="1">
        <v>1.92E7</v>
      </c>
      <c r="J2125" s="1" t="s">
        <v>6040</v>
      </c>
    </row>
    <row r="2126">
      <c r="A2126" s="1" t="s">
        <v>6409</v>
      </c>
      <c r="B2126" s="1" t="s">
        <v>6410</v>
      </c>
      <c r="C2126" s="1" t="s">
        <v>6411</v>
      </c>
      <c r="D2126" s="1" t="s">
        <v>6038</v>
      </c>
      <c r="E2126" s="1" t="s">
        <v>6039</v>
      </c>
      <c r="F2126" s="1">
        <v>45191.0</v>
      </c>
      <c r="G2126" s="1">
        <v>868.0</v>
      </c>
      <c r="H2126" s="1">
        <v>119.0</v>
      </c>
      <c r="I2126" s="1">
        <v>1.92E7</v>
      </c>
      <c r="J2126" s="1" t="s">
        <v>6040</v>
      </c>
    </row>
    <row r="2127">
      <c r="A2127" s="1" t="s">
        <v>6412</v>
      </c>
      <c r="B2127" s="1" t="s">
        <v>6413</v>
      </c>
      <c r="C2127" s="1" t="s">
        <v>6414</v>
      </c>
      <c r="D2127" s="1" t="s">
        <v>6038</v>
      </c>
      <c r="E2127" s="1" t="s">
        <v>6039</v>
      </c>
      <c r="F2127" s="1">
        <v>49677.0</v>
      </c>
      <c r="G2127" s="1">
        <v>1312.0</v>
      </c>
      <c r="H2127" s="1">
        <v>86.0</v>
      </c>
      <c r="I2127" s="1">
        <v>1.92E7</v>
      </c>
      <c r="J2127" s="1" t="s">
        <v>6040</v>
      </c>
    </row>
    <row r="2128">
      <c r="A2128" s="1" t="s">
        <v>6415</v>
      </c>
      <c r="B2128" s="1" t="s">
        <v>6416</v>
      </c>
      <c r="C2128" s="1" t="s">
        <v>6417</v>
      </c>
      <c r="D2128" s="1" t="s">
        <v>6038</v>
      </c>
      <c r="E2128" s="1" t="s">
        <v>6039</v>
      </c>
      <c r="F2128" s="1">
        <v>41764.0</v>
      </c>
      <c r="G2128" s="1">
        <v>1041.0</v>
      </c>
      <c r="H2128" s="1">
        <v>49.0</v>
      </c>
      <c r="I2128" s="1">
        <v>1.92E7</v>
      </c>
      <c r="J2128" s="1" t="s">
        <v>6040</v>
      </c>
    </row>
    <row r="2129">
      <c r="A2129" s="1" t="s">
        <v>6418</v>
      </c>
      <c r="B2129" s="1" t="s">
        <v>6419</v>
      </c>
      <c r="C2129" s="1" t="s">
        <v>6420</v>
      </c>
      <c r="D2129" s="1" t="s">
        <v>6038</v>
      </c>
      <c r="E2129" s="1" t="s">
        <v>6039</v>
      </c>
      <c r="F2129" s="1">
        <v>2904556.0</v>
      </c>
      <c r="G2129" s="1">
        <v>64896.0</v>
      </c>
      <c r="H2129" s="1">
        <v>2530.0</v>
      </c>
      <c r="I2129" s="1">
        <v>1.92E7</v>
      </c>
      <c r="J2129" s="1" t="s">
        <v>6040</v>
      </c>
    </row>
    <row r="2130">
      <c r="A2130" s="1" t="s">
        <v>6421</v>
      </c>
      <c r="B2130" s="1" t="s">
        <v>6422</v>
      </c>
      <c r="C2130" s="1" t="s">
        <v>6423</v>
      </c>
      <c r="D2130" s="1" t="s">
        <v>6038</v>
      </c>
      <c r="E2130" s="1" t="s">
        <v>6039</v>
      </c>
      <c r="F2130" s="1">
        <v>145272.0</v>
      </c>
      <c r="G2130" s="1">
        <v>2029.0</v>
      </c>
      <c r="H2130" s="1">
        <v>248.0</v>
      </c>
      <c r="I2130" s="1">
        <v>1.92E7</v>
      </c>
      <c r="J2130" s="1" t="s">
        <v>6040</v>
      </c>
    </row>
    <row r="2131">
      <c r="A2131" s="1" t="s">
        <v>6424</v>
      </c>
      <c r="B2131" s="1" t="s">
        <v>6425</v>
      </c>
      <c r="C2131" s="1" t="s">
        <v>6426</v>
      </c>
      <c r="D2131" s="1" t="s">
        <v>6038</v>
      </c>
      <c r="E2131" s="1" t="s">
        <v>6039</v>
      </c>
      <c r="F2131" s="1">
        <v>32239.0</v>
      </c>
      <c r="G2131" s="1">
        <v>610.0</v>
      </c>
      <c r="H2131" s="1">
        <v>31.0</v>
      </c>
      <c r="I2131" s="1">
        <v>1.92E7</v>
      </c>
      <c r="J2131" s="1" t="s">
        <v>6040</v>
      </c>
    </row>
    <row r="2132">
      <c r="A2132" s="1" t="s">
        <v>6427</v>
      </c>
      <c r="B2132" s="1" t="s">
        <v>6428</v>
      </c>
      <c r="C2132" s="1" t="s">
        <v>6429</v>
      </c>
      <c r="D2132" s="1" t="s">
        <v>6038</v>
      </c>
      <c r="E2132" s="1" t="s">
        <v>6039</v>
      </c>
      <c r="F2132" s="1">
        <v>84141.0</v>
      </c>
      <c r="G2132" s="1">
        <v>2198.0</v>
      </c>
      <c r="H2132" s="1">
        <v>137.0</v>
      </c>
      <c r="I2132" s="1">
        <v>1.92E7</v>
      </c>
      <c r="J2132" s="1" t="s">
        <v>6040</v>
      </c>
    </row>
    <row r="2133">
      <c r="A2133" s="1" t="s">
        <v>6430</v>
      </c>
      <c r="B2133" s="1" t="s">
        <v>6431</v>
      </c>
      <c r="C2133" s="1" t="s">
        <v>6432</v>
      </c>
      <c r="D2133" s="1" t="s">
        <v>6038</v>
      </c>
      <c r="E2133" s="1" t="s">
        <v>6039</v>
      </c>
      <c r="F2133" s="1">
        <v>95367.0</v>
      </c>
      <c r="G2133" s="1">
        <v>1311.0</v>
      </c>
      <c r="H2133" s="1">
        <v>158.0</v>
      </c>
      <c r="I2133" s="1">
        <v>1.92E7</v>
      </c>
      <c r="J2133" s="1" t="s">
        <v>6040</v>
      </c>
    </row>
    <row r="2134">
      <c r="A2134" s="1" t="s">
        <v>6433</v>
      </c>
      <c r="B2134" s="1" t="s">
        <v>6434</v>
      </c>
      <c r="C2134" s="1" t="s">
        <v>6435</v>
      </c>
      <c r="D2134" s="1" t="s">
        <v>6038</v>
      </c>
      <c r="E2134" s="1" t="s">
        <v>6039</v>
      </c>
      <c r="F2134" s="1">
        <v>36779.0</v>
      </c>
      <c r="G2134" s="1">
        <v>542.0</v>
      </c>
      <c r="H2134" s="1">
        <v>58.0</v>
      </c>
      <c r="I2134" s="1">
        <v>1.92E7</v>
      </c>
      <c r="J2134" s="1" t="s">
        <v>6040</v>
      </c>
    </row>
    <row r="2135">
      <c r="A2135" s="1" t="s">
        <v>6436</v>
      </c>
      <c r="B2135" s="1" t="s">
        <v>6437</v>
      </c>
      <c r="C2135" s="1" t="s">
        <v>6438</v>
      </c>
      <c r="D2135" s="1" t="s">
        <v>6038</v>
      </c>
      <c r="E2135" s="1" t="s">
        <v>6039</v>
      </c>
      <c r="F2135" s="1">
        <v>36438.0</v>
      </c>
      <c r="G2135" s="1">
        <v>700.0</v>
      </c>
      <c r="H2135" s="1">
        <v>75.0</v>
      </c>
      <c r="I2135" s="1">
        <v>1.92E7</v>
      </c>
      <c r="J2135" s="1" t="s">
        <v>6040</v>
      </c>
    </row>
    <row r="2136">
      <c r="A2136" s="1" t="s">
        <v>6439</v>
      </c>
      <c r="B2136" s="1" t="s">
        <v>6440</v>
      </c>
      <c r="C2136" s="1" t="s">
        <v>6441</v>
      </c>
      <c r="D2136" s="1" t="s">
        <v>6038</v>
      </c>
      <c r="E2136" s="1" t="s">
        <v>6039</v>
      </c>
      <c r="F2136" s="1">
        <v>40059.0</v>
      </c>
      <c r="G2136" s="1">
        <v>843.0</v>
      </c>
      <c r="H2136" s="1">
        <v>66.0</v>
      </c>
      <c r="I2136" s="1">
        <v>1.92E7</v>
      </c>
      <c r="J2136" s="1" t="s">
        <v>6040</v>
      </c>
    </row>
    <row r="2137">
      <c r="A2137" s="1" t="s">
        <v>6442</v>
      </c>
      <c r="B2137" s="1" t="s">
        <v>6443</v>
      </c>
      <c r="C2137" s="1" t="s">
        <v>6444</v>
      </c>
      <c r="D2137" s="1" t="s">
        <v>6038</v>
      </c>
      <c r="E2137" s="1" t="s">
        <v>6039</v>
      </c>
      <c r="F2137" s="1">
        <v>38629.0</v>
      </c>
      <c r="G2137" s="1">
        <v>594.0</v>
      </c>
      <c r="H2137" s="1">
        <v>71.0</v>
      </c>
      <c r="I2137" s="1">
        <v>1.92E7</v>
      </c>
      <c r="J2137" s="1" t="s">
        <v>6040</v>
      </c>
    </row>
    <row r="2138">
      <c r="A2138" s="1" t="s">
        <v>6445</v>
      </c>
      <c r="B2138" s="1" t="s">
        <v>6446</v>
      </c>
      <c r="C2138" s="1" t="s">
        <v>6447</v>
      </c>
      <c r="D2138" s="1" t="s">
        <v>6038</v>
      </c>
      <c r="E2138" s="1" t="s">
        <v>6039</v>
      </c>
      <c r="F2138" s="1">
        <v>291801.0</v>
      </c>
      <c r="G2138" s="1">
        <v>4611.0</v>
      </c>
      <c r="H2138" s="1">
        <v>793.0</v>
      </c>
      <c r="I2138" s="1">
        <v>1.92E7</v>
      </c>
      <c r="J2138" s="1" t="s">
        <v>6040</v>
      </c>
    </row>
    <row r="2139">
      <c r="A2139" s="1" t="s">
        <v>6448</v>
      </c>
      <c r="B2139" s="1" t="s">
        <v>6449</v>
      </c>
      <c r="C2139" s="1" t="s">
        <v>6450</v>
      </c>
      <c r="D2139" s="1" t="s">
        <v>6038</v>
      </c>
      <c r="E2139" s="1" t="s">
        <v>6039</v>
      </c>
      <c r="F2139" s="1">
        <v>39724.0</v>
      </c>
      <c r="G2139" s="1">
        <v>882.0</v>
      </c>
      <c r="H2139" s="1">
        <v>81.0</v>
      </c>
      <c r="I2139" s="1">
        <v>1.92E7</v>
      </c>
      <c r="J2139" s="1" t="s">
        <v>6040</v>
      </c>
    </row>
    <row r="2140">
      <c r="A2140" s="1" t="s">
        <v>6451</v>
      </c>
      <c r="B2140" s="1" t="s">
        <v>6452</v>
      </c>
      <c r="C2140" s="1" t="s">
        <v>6453</v>
      </c>
      <c r="D2140" s="1" t="s">
        <v>6038</v>
      </c>
      <c r="E2140" s="1" t="s">
        <v>6039</v>
      </c>
      <c r="F2140" s="1">
        <v>47703.0</v>
      </c>
      <c r="G2140" s="1">
        <v>767.0</v>
      </c>
      <c r="H2140" s="1">
        <v>36.0</v>
      </c>
      <c r="I2140" s="1">
        <v>1.92E7</v>
      </c>
      <c r="J2140" s="1" t="s">
        <v>6040</v>
      </c>
    </row>
    <row r="2141">
      <c r="A2141" s="1" t="s">
        <v>6454</v>
      </c>
      <c r="B2141" s="1" t="s">
        <v>6455</v>
      </c>
      <c r="C2141" s="1" t="s">
        <v>6456</v>
      </c>
      <c r="D2141" s="1" t="s">
        <v>6038</v>
      </c>
      <c r="E2141" s="1" t="s">
        <v>6039</v>
      </c>
      <c r="F2141" s="1">
        <v>40307.0</v>
      </c>
      <c r="G2141" s="1">
        <v>1217.0</v>
      </c>
      <c r="H2141" s="1">
        <v>69.0</v>
      </c>
      <c r="I2141" s="1">
        <v>1.92E7</v>
      </c>
      <c r="J2141" s="1" t="s">
        <v>6040</v>
      </c>
    </row>
    <row r="2142">
      <c r="A2142" s="1" t="s">
        <v>6457</v>
      </c>
      <c r="B2142" s="1" t="s">
        <v>6458</v>
      </c>
      <c r="C2142" s="1" t="s">
        <v>6459</v>
      </c>
      <c r="D2142" s="1" t="s">
        <v>6038</v>
      </c>
      <c r="E2142" s="1" t="s">
        <v>6039</v>
      </c>
      <c r="F2142" s="1">
        <v>41846.0</v>
      </c>
      <c r="G2142" s="1">
        <v>1038.0</v>
      </c>
      <c r="H2142" s="1">
        <v>72.0</v>
      </c>
      <c r="I2142" s="1">
        <v>1.92E7</v>
      </c>
      <c r="J2142" s="1" t="s">
        <v>6040</v>
      </c>
    </row>
    <row r="2143">
      <c r="A2143" s="1" t="s">
        <v>6460</v>
      </c>
      <c r="B2143" s="1" t="s">
        <v>6461</v>
      </c>
      <c r="C2143" s="1" t="s">
        <v>6462</v>
      </c>
      <c r="D2143" s="1" t="s">
        <v>6038</v>
      </c>
      <c r="E2143" s="1" t="s">
        <v>6039</v>
      </c>
      <c r="F2143" s="1">
        <v>47447.0</v>
      </c>
      <c r="G2143" s="1">
        <v>1910.0</v>
      </c>
      <c r="H2143" s="1">
        <v>85.0</v>
      </c>
      <c r="I2143" s="1">
        <v>1.92E7</v>
      </c>
      <c r="J2143" s="1" t="s">
        <v>6040</v>
      </c>
    </row>
    <row r="2144">
      <c r="A2144" s="1" t="s">
        <v>6463</v>
      </c>
      <c r="B2144" s="1" t="s">
        <v>6464</v>
      </c>
      <c r="C2144" s="1" t="s">
        <v>6465</v>
      </c>
      <c r="D2144" s="1" t="s">
        <v>6038</v>
      </c>
      <c r="E2144" s="1" t="s">
        <v>6039</v>
      </c>
      <c r="F2144" s="1">
        <v>1159347.0</v>
      </c>
      <c r="G2144" s="1">
        <v>16348.0</v>
      </c>
      <c r="H2144" s="1">
        <v>2740.0</v>
      </c>
      <c r="I2144" s="1">
        <v>1.92E7</v>
      </c>
      <c r="J2144" s="1" t="s">
        <v>6040</v>
      </c>
    </row>
    <row r="2145">
      <c r="A2145" s="1" t="s">
        <v>6466</v>
      </c>
      <c r="B2145" s="1" t="s">
        <v>6467</v>
      </c>
      <c r="C2145" s="1" t="s">
        <v>6468</v>
      </c>
      <c r="D2145" s="1" t="s">
        <v>6038</v>
      </c>
      <c r="E2145" s="1" t="s">
        <v>6039</v>
      </c>
      <c r="F2145" s="1">
        <v>84221.0</v>
      </c>
      <c r="G2145" s="1">
        <v>2643.0</v>
      </c>
      <c r="H2145" s="1">
        <v>202.0</v>
      </c>
      <c r="I2145" s="1">
        <v>1.92E7</v>
      </c>
      <c r="J2145" s="1" t="s">
        <v>6040</v>
      </c>
    </row>
    <row r="2146">
      <c r="A2146" s="1" t="s">
        <v>6469</v>
      </c>
      <c r="B2146" s="1" t="s">
        <v>6470</v>
      </c>
      <c r="C2146" s="1" t="s">
        <v>6471</v>
      </c>
      <c r="D2146" s="1" t="s">
        <v>6038</v>
      </c>
      <c r="E2146" s="1" t="s">
        <v>6039</v>
      </c>
      <c r="F2146" s="1">
        <v>50984.0</v>
      </c>
      <c r="G2146" s="1">
        <v>891.0</v>
      </c>
      <c r="H2146" s="1">
        <v>64.0</v>
      </c>
      <c r="I2146" s="1">
        <v>1.92E7</v>
      </c>
      <c r="J2146" s="1" t="s">
        <v>6040</v>
      </c>
    </row>
    <row r="2147">
      <c r="A2147" s="1" t="s">
        <v>6472</v>
      </c>
      <c r="B2147" s="1" t="s">
        <v>6473</v>
      </c>
      <c r="C2147" s="1" t="s">
        <v>6474</v>
      </c>
      <c r="D2147" s="1" t="s">
        <v>6038</v>
      </c>
      <c r="E2147" s="1" t="s">
        <v>6039</v>
      </c>
      <c r="F2147" s="1">
        <v>37092.0</v>
      </c>
      <c r="G2147" s="1">
        <v>1186.0</v>
      </c>
      <c r="H2147" s="1">
        <v>86.0</v>
      </c>
      <c r="I2147" s="1">
        <v>1.92E7</v>
      </c>
      <c r="J2147" s="1" t="s">
        <v>6040</v>
      </c>
    </row>
    <row r="2148">
      <c r="A2148" s="1" t="s">
        <v>6475</v>
      </c>
      <c r="B2148" s="1" t="s">
        <v>6476</v>
      </c>
      <c r="C2148" s="1" t="s">
        <v>6477</v>
      </c>
      <c r="D2148" s="1" t="s">
        <v>6038</v>
      </c>
      <c r="E2148" s="1" t="s">
        <v>6039</v>
      </c>
      <c r="F2148" s="1">
        <v>22742.0</v>
      </c>
      <c r="G2148" s="1">
        <v>617.0</v>
      </c>
      <c r="H2148" s="1">
        <v>28.0</v>
      </c>
      <c r="I2148" s="1">
        <v>1.92E7</v>
      </c>
      <c r="J2148" s="1" t="s">
        <v>6040</v>
      </c>
    </row>
    <row r="2149">
      <c r="A2149" s="1" t="s">
        <v>6478</v>
      </c>
      <c r="B2149" s="1" t="s">
        <v>6479</v>
      </c>
      <c r="C2149" s="1" t="s">
        <v>6480</v>
      </c>
      <c r="D2149" s="1" t="s">
        <v>6038</v>
      </c>
      <c r="E2149" s="1" t="s">
        <v>6039</v>
      </c>
      <c r="F2149" s="1">
        <v>25487.0</v>
      </c>
      <c r="G2149" s="1">
        <v>464.0</v>
      </c>
      <c r="H2149" s="1">
        <v>12.0</v>
      </c>
      <c r="I2149" s="1">
        <v>1.92E7</v>
      </c>
      <c r="J2149" s="1" t="s">
        <v>6040</v>
      </c>
    </row>
    <row r="2150">
      <c r="A2150" s="1" t="s">
        <v>6481</v>
      </c>
      <c r="B2150" s="1" t="s">
        <v>6482</v>
      </c>
      <c r="C2150" s="1" t="s">
        <v>6483</v>
      </c>
      <c r="D2150" s="1" t="s">
        <v>6038</v>
      </c>
      <c r="E2150" s="1" t="s">
        <v>6039</v>
      </c>
      <c r="F2150" s="1">
        <v>27032.0</v>
      </c>
      <c r="G2150" s="1">
        <v>532.0</v>
      </c>
      <c r="H2150" s="1">
        <v>3.0</v>
      </c>
      <c r="I2150" s="1">
        <v>1.92E7</v>
      </c>
      <c r="J2150" s="1" t="s">
        <v>6040</v>
      </c>
    </row>
    <row r="2151">
      <c r="A2151" s="1" t="s">
        <v>6484</v>
      </c>
      <c r="B2151" s="1" t="s">
        <v>6485</v>
      </c>
      <c r="C2151" s="1" t="s">
        <v>6486</v>
      </c>
      <c r="D2151" s="1" t="s">
        <v>6038</v>
      </c>
      <c r="E2151" s="1" t="s">
        <v>6039</v>
      </c>
      <c r="F2151" s="1">
        <v>56403.0</v>
      </c>
      <c r="G2151" s="1">
        <v>946.0</v>
      </c>
      <c r="H2151" s="1">
        <v>86.0</v>
      </c>
      <c r="I2151" s="1">
        <v>1.92E7</v>
      </c>
      <c r="J2151" s="1" t="s">
        <v>6040</v>
      </c>
    </row>
    <row r="2152">
      <c r="A2152" s="1" t="s">
        <v>6487</v>
      </c>
      <c r="B2152" s="1" t="s">
        <v>6488</v>
      </c>
      <c r="C2152" s="1" t="s">
        <v>6489</v>
      </c>
      <c r="D2152" s="1" t="s">
        <v>6038</v>
      </c>
      <c r="E2152" s="1" t="s">
        <v>6039</v>
      </c>
      <c r="F2152" s="1">
        <v>30293.0</v>
      </c>
      <c r="G2152" s="1">
        <v>685.0</v>
      </c>
      <c r="H2152" s="1">
        <v>75.0</v>
      </c>
      <c r="I2152" s="1">
        <v>1.92E7</v>
      </c>
      <c r="J2152" s="1" t="s">
        <v>6040</v>
      </c>
    </row>
    <row r="2153">
      <c r="A2153" s="1" t="s">
        <v>6490</v>
      </c>
      <c r="B2153" s="1" t="s">
        <v>6491</v>
      </c>
      <c r="C2153" s="1" t="s">
        <v>6492</v>
      </c>
      <c r="D2153" s="1" t="s">
        <v>6038</v>
      </c>
      <c r="E2153" s="1" t="s">
        <v>6039</v>
      </c>
      <c r="F2153" s="1">
        <v>96755.0</v>
      </c>
      <c r="G2153" s="1">
        <v>2417.0</v>
      </c>
      <c r="H2153" s="1">
        <v>35.0</v>
      </c>
      <c r="I2153" s="1">
        <v>1.92E7</v>
      </c>
      <c r="J2153" s="1" t="s">
        <v>6040</v>
      </c>
    </row>
    <row r="2154">
      <c r="A2154" s="1" t="s">
        <v>6493</v>
      </c>
      <c r="B2154" s="1" t="s">
        <v>6494</v>
      </c>
      <c r="C2154" s="1" t="s">
        <v>6495</v>
      </c>
      <c r="D2154" s="1" t="s">
        <v>6038</v>
      </c>
      <c r="E2154" s="1" t="s">
        <v>6039</v>
      </c>
      <c r="F2154" s="1">
        <v>132845.0</v>
      </c>
      <c r="G2154" s="1">
        <v>1261.0</v>
      </c>
      <c r="H2154" s="1">
        <v>67.0</v>
      </c>
      <c r="I2154" s="1">
        <v>1.92E7</v>
      </c>
      <c r="J2154" s="1" t="s">
        <v>6040</v>
      </c>
    </row>
    <row r="2155">
      <c r="A2155" s="1" t="s">
        <v>6496</v>
      </c>
      <c r="B2155" s="1" t="s">
        <v>6497</v>
      </c>
      <c r="C2155" s="1" t="s">
        <v>6498</v>
      </c>
      <c r="D2155" s="1" t="s">
        <v>6038</v>
      </c>
      <c r="E2155" s="1" t="s">
        <v>6039</v>
      </c>
      <c r="F2155" s="1">
        <v>454812.0</v>
      </c>
      <c r="G2155" s="1">
        <v>10441.0</v>
      </c>
      <c r="H2155" s="1">
        <v>991.0</v>
      </c>
      <c r="I2155" s="1">
        <v>1.92E7</v>
      </c>
      <c r="J2155" s="1" t="s">
        <v>6040</v>
      </c>
    </row>
    <row r="2156">
      <c r="A2156" s="1" t="s">
        <v>6499</v>
      </c>
      <c r="B2156" s="1" t="s">
        <v>6500</v>
      </c>
      <c r="C2156" s="1" t="s">
        <v>6501</v>
      </c>
      <c r="D2156" s="1" t="s">
        <v>6038</v>
      </c>
      <c r="E2156" s="1" t="s">
        <v>6039</v>
      </c>
      <c r="F2156" s="1">
        <v>1001071.0</v>
      </c>
      <c r="G2156" s="1">
        <v>24055.0</v>
      </c>
      <c r="H2156" s="1">
        <v>1909.0</v>
      </c>
      <c r="I2156" s="1">
        <v>1.92E7</v>
      </c>
      <c r="J2156" s="1" t="s">
        <v>6040</v>
      </c>
    </row>
    <row r="2157">
      <c r="A2157" s="1" t="s">
        <v>6502</v>
      </c>
      <c r="B2157" s="1" t="s">
        <v>6503</v>
      </c>
      <c r="C2157" s="1" t="s">
        <v>6504</v>
      </c>
      <c r="D2157" s="1" t="s">
        <v>6038</v>
      </c>
      <c r="E2157" s="1" t="s">
        <v>6039</v>
      </c>
      <c r="F2157" s="1">
        <v>72039.0</v>
      </c>
      <c r="G2157" s="1">
        <v>954.0</v>
      </c>
      <c r="H2157" s="1">
        <v>82.0</v>
      </c>
      <c r="I2157" s="1">
        <v>1.92E7</v>
      </c>
      <c r="J2157" s="1" t="s">
        <v>6040</v>
      </c>
    </row>
    <row r="2158">
      <c r="A2158" s="1" t="s">
        <v>6505</v>
      </c>
      <c r="B2158" s="1" t="s">
        <v>6506</v>
      </c>
      <c r="C2158" s="1" t="s">
        <v>6507</v>
      </c>
      <c r="D2158" s="1" t="s">
        <v>6038</v>
      </c>
      <c r="E2158" s="1" t="s">
        <v>6039</v>
      </c>
      <c r="F2158" s="1">
        <v>54952.0</v>
      </c>
      <c r="G2158" s="1">
        <v>705.0</v>
      </c>
      <c r="H2158" s="1">
        <v>32.0</v>
      </c>
      <c r="I2158" s="1">
        <v>1.92E7</v>
      </c>
      <c r="J2158" s="1" t="s">
        <v>6040</v>
      </c>
    </row>
    <row r="2159">
      <c r="A2159" s="1" t="s">
        <v>6508</v>
      </c>
      <c r="B2159" s="1" t="s">
        <v>6509</v>
      </c>
      <c r="C2159" s="1" t="s">
        <v>6510</v>
      </c>
      <c r="D2159" s="1" t="s">
        <v>6038</v>
      </c>
      <c r="E2159" s="1" t="s">
        <v>6039</v>
      </c>
      <c r="F2159" s="1">
        <v>44892.0</v>
      </c>
      <c r="G2159" s="1">
        <v>978.0</v>
      </c>
      <c r="H2159" s="1">
        <v>41.0</v>
      </c>
      <c r="I2159" s="1">
        <v>1.92E7</v>
      </c>
      <c r="J2159" s="1" t="s">
        <v>6040</v>
      </c>
    </row>
    <row r="2160">
      <c r="A2160" s="1" t="s">
        <v>6511</v>
      </c>
      <c r="B2160" s="1" t="s">
        <v>6512</v>
      </c>
      <c r="C2160" s="1" t="s">
        <v>6513</v>
      </c>
      <c r="D2160" s="1" t="s">
        <v>6038</v>
      </c>
      <c r="E2160" s="1" t="s">
        <v>6039</v>
      </c>
      <c r="F2160" s="1">
        <v>38831.0</v>
      </c>
      <c r="G2160" s="1">
        <v>588.0</v>
      </c>
      <c r="H2160" s="1">
        <v>15.0</v>
      </c>
      <c r="I2160" s="1">
        <v>1.92E7</v>
      </c>
      <c r="J2160" s="1" t="s">
        <v>6040</v>
      </c>
    </row>
    <row r="2161">
      <c r="A2161" s="1" t="s">
        <v>6514</v>
      </c>
      <c r="B2161" s="1" t="s">
        <v>6515</v>
      </c>
      <c r="C2161" s="1" t="s">
        <v>6516</v>
      </c>
      <c r="D2161" s="1" t="s">
        <v>6038</v>
      </c>
      <c r="E2161" s="1" t="s">
        <v>6039</v>
      </c>
      <c r="F2161" s="1">
        <v>74246.0</v>
      </c>
      <c r="G2161" s="1">
        <v>718.0</v>
      </c>
      <c r="H2161" s="1">
        <v>30.0</v>
      </c>
      <c r="I2161" s="1">
        <v>1.92E7</v>
      </c>
      <c r="J2161" s="1" t="s">
        <v>6040</v>
      </c>
    </row>
    <row r="2162">
      <c r="A2162" s="1" t="s">
        <v>6517</v>
      </c>
      <c r="B2162" s="1" t="s">
        <v>6518</v>
      </c>
      <c r="C2162" s="1" t="s">
        <v>6519</v>
      </c>
      <c r="D2162" s="1" t="s">
        <v>6038</v>
      </c>
      <c r="E2162" s="1" t="s">
        <v>6039</v>
      </c>
      <c r="F2162" s="1">
        <v>156376.0</v>
      </c>
      <c r="G2162" s="1">
        <v>1434.0</v>
      </c>
      <c r="H2162" s="1">
        <v>157.0</v>
      </c>
      <c r="I2162" s="1">
        <v>1.92E7</v>
      </c>
      <c r="J2162" s="1" t="s">
        <v>6040</v>
      </c>
    </row>
    <row r="2163">
      <c r="A2163" s="1" t="s">
        <v>6520</v>
      </c>
      <c r="B2163" s="1" t="s">
        <v>6521</v>
      </c>
      <c r="C2163" s="1" t="s">
        <v>6522</v>
      </c>
      <c r="D2163" s="1" t="s">
        <v>6038</v>
      </c>
      <c r="E2163" s="1" t="s">
        <v>6039</v>
      </c>
      <c r="F2163" s="1">
        <v>80031.0</v>
      </c>
      <c r="G2163" s="1">
        <v>2082.0</v>
      </c>
      <c r="H2163" s="1">
        <v>177.0</v>
      </c>
      <c r="I2163" s="1">
        <v>1.92E7</v>
      </c>
      <c r="J2163" s="1" t="s">
        <v>6040</v>
      </c>
    </row>
    <row r="2164">
      <c r="A2164" s="1" t="s">
        <v>6523</v>
      </c>
      <c r="B2164" s="1" t="s">
        <v>6524</v>
      </c>
      <c r="C2164" s="1" t="s">
        <v>6525</v>
      </c>
      <c r="D2164" s="1" t="s">
        <v>6038</v>
      </c>
      <c r="E2164" s="1" t="s">
        <v>6039</v>
      </c>
      <c r="F2164" s="1">
        <v>71586.0</v>
      </c>
      <c r="G2164" s="1">
        <v>700.0</v>
      </c>
      <c r="H2164" s="1">
        <v>75.0</v>
      </c>
      <c r="I2164" s="1">
        <v>1.92E7</v>
      </c>
      <c r="J2164" s="1" t="s">
        <v>6040</v>
      </c>
    </row>
    <row r="2165">
      <c r="A2165" s="1" t="s">
        <v>6526</v>
      </c>
      <c r="B2165" s="1" t="s">
        <v>6527</v>
      </c>
      <c r="C2165" s="1" t="s">
        <v>6528</v>
      </c>
      <c r="D2165" s="1" t="s">
        <v>6038</v>
      </c>
      <c r="E2165" s="1" t="s">
        <v>6039</v>
      </c>
      <c r="F2165" s="1">
        <v>182738.0</v>
      </c>
      <c r="G2165" s="1">
        <v>9635.0</v>
      </c>
      <c r="H2165" s="1">
        <v>278.0</v>
      </c>
      <c r="I2165" s="1">
        <v>1.92E7</v>
      </c>
      <c r="J2165" s="1" t="s">
        <v>6040</v>
      </c>
    </row>
    <row r="2166">
      <c r="A2166" s="1" t="s">
        <v>6529</v>
      </c>
      <c r="B2166" s="1" t="s">
        <v>6530</v>
      </c>
      <c r="C2166" s="1" t="s">
        <v>6531</v>
      </c>
      <c r="D2166" s="1" t="s">
        <v>6038</v>
      </c>
      <c r="E2166" s="1" t="s">
        <v>6039</v>
      </c>
      <c r="F2166" s="1">
        <v>77250.0</v>
      </c>
      <c r="G2166" s="1">
        <v>879.0</v>
      </c>
      <c r="H2166" s="1">
        <v>52.0</v>
      </c>
      <c r="I2166" s="1">
        <v>1.92E7</v>
      </c>
      <c r="J2166" s="1" t="s">
        <v>6040</v>
      </c>
    </row>
    <row r="2167">
      <c r="A2167" s="1" t="s">
        <v>6532</v>
      </c>
      <c r="B2167" s="1" t="s">
        <v>6533</v>
      </c>
      <c r="C2167" s="1" t="s">
        <v>6534</v>
      </c>
      <c r="D2167" s="1" t="s">
        <v>6038</v>
      </c>
      <c r="E2167" s="1" t="s">
        <v>6039</v>
      </c>
      <c r="F2167" s="1">
        <v>81806.0</v>
      </c>
      <c r="G2167" s="1">
        <v>794.0</v>
      </c>
      <c r="H2167" s="1">
        <v>224.0</v>
      </c>
      <c r="I2167" s="1">
        <v>1.92E7</v>
      </c>
      <c r="J2167" s="1" t="s">
        <v>6040</v>
      </c>
    </row>
    <row r="2168">
      <c r="A2168" s="1" t="s">
        <v>6535</v>
      </c>
      <c r="B2168" s="1" t="s">
        <v>6536</v>
      </c>
      <c r="C2168" s="1" t="s">
        <v>6537</v>
      </c>
      <c r="D2168" s="1" t="s">
        <v>6038</v>
      </c>
      <c r="E2168" s="1" t="s">
        <v>6039</v>
      </c>
      <c r="F2168" s="1">
        <v>47072.0</v>
      </c>
      <c r="G2168" s="1">
        <v>821.0</v>
      </c>
      <c r="H2168" s="1">
        <v>32.0</v>
      </c>
      <c r="I2168" s="1">
        <v>1.92E7</v>
      </c>
      <c r="J2168" s="1" t="s">
        <v>6040</v>
      </c>
    </row>
    <row r="2169">
      <c r="A2169" s="1" t="s">
        <v>6538</v>
      </c>
      <c r="B2169" s="1" t="s">
        <v>6539</v>
      </c>
      <c r="C2169" s="1" t="s">
        <v>6540</v>
      </c>
      <c r="D2169" s="1" t="s">
        <v>6038</v>
      </c>
      <c r="E2169" s="1" t="s">
        <v>6039</v>
      </c>
      <c r="F2169" s="1">
        <v>74420.0</v>
      </c>
      <c r="G2169" s="1">
        <v>1379.0</v>
      </c>
      <c r="H2169" s="1">
        <v>81.0</v>
      </c>
      <c r="I2169" s="1">
        <v>1.92E7</v>
      </c>
      <c r="J2169" s="1" t="s">
        <v>6040</v>
      </c>
    </row>
    <row r="2170">
      <c r="A2170" s="1" t="s">
        <v>6541</v>
      </c>
      <c r="B2170" s="1" t="s">
        <v>6542</v>
      </c>
      <c r="C2170" s="1" t="s">
        <v>6543</v>
      </c>
      <c r="D2170" s="1" t="s">
        <v>6038</v>
      </c>
      <c r="E2170" s="1" t="s">
        <v>6039</v>
      </c>
      <c r="F2170" s="1">
        <v>750636.0</v>
      </c>
      <c r="G2170" s="1">
        <v>6032.0</v>
      </c>
      <c r="H2170" s="1">
        <v>1508.0</v>
      </c>
      <c r="I2170" s="1">
        <v>1.92E7</v>
      </c>
      <c r="J2170" s="1" t="s">
        <v>6040</v>
      </c>
    </row>
    <row r="2171">
      <c r="A2171" s="1" t="s">
        <v>6544</v>
      </c>
      <c r="B2171" s="1" t="s">
        <v>6545</v>
      </c>
      <c r="C2171" s="1" t="s">
        <v>6546</v>
      </c>
      <c r="D2171" s="1" t="s">
        <v>6038</v>
      </c>
      <c r="E2171" s="1" t="s">
        <v>6039</v>
      </c>
      <c r="F2171" s="1">
        <v>48921.0</v>
      </c>
      <c r="G2171" s="1">
        <v>1372.0</v>
      </c>
      <c r="H2171" s="1">
        <v>56.0</v>
      </c>
      <c r="I2171" s="1">
        <v>1.92E7</v>
      </c>
      <c r="J2171" s="1" t="s">
        <v>6040</v>
      </c>
    </row>
    <row r="2172">
      <c r="A2172" s="1" t="s">
        <v>6547</v>
      </c>
      <c r="B2172" s="1" t="s">
        <v>6548</v>
      </c>
      <c r="C2172" s="1" t="s">
        <v>6549</v>
      </c>
      <c r="D2172" s="1" t="s">
        <v>6038</v>
      </c>
      <c r="E2172" s="1" t="s">
        <v>6039</v>
      </c>
      <c r="F2172" s="1">
        <v>32119.0</v>
      </c>
      <c r="G2172" s="1">
        <v>435.0</v>
      </c>
      <c r="H2172" s="1">
        <v>5.0</v>
      </c>
      <c r="I2172" s="1">
        <v>1.92E7</v>
      </c>
      <c r="J2172" s="1" t="s">
        <v>6040</v>
      </c>
    </row>
    <row r="2173">
      <c r="A2173" s="1" t="s">
        <v>6550</v>
      </c>
      <c r="B2173" s="1" t="s">
        <v>6551</v>
      </c>
      <c r="C2173" s="1" t="s">
        <v>6552</v>
      </c>
      <c r="D2173" s="1" t="s">
        <v>6038</v>
      </c>
      <c r="E2173" s="1" t="s">
        <v>6039</v>
      </c>
      <c r="F2173" s="1">
        <v>64632.0</v>
      </c>
      <c r="G2173" s="1">
        <v>1198.0</v>
      </c>
      <c r="H2173" s="1">
        <v>160.0</v>
      </c>
      <c r="I2173" s="1">
        <v>1.92E7</v>
      </c>
      <c r="J2173" s="1" t="s">
        <v>6040</v>
      </c>
    </row>
    <row r="2174">
      <c r="A2174" s="1" t="s">
        <v>6553</v>
      </c>
      <c r="B2174" s="1" t="s">
        <v>6554</v>
      </c>
      <c r="C2174" s="1" t="s">
        <v>6555</v>
      </c>
      <c r="D2174" s="1" t="s">
        <v>6038</v>
      </c>
      <c r="E2174" s="1" t="s">
        <v>6039</v>
      </c>
      <c r="F2174" s="1">
        <v>38681.0</v>
      </c>
      <c r="G2174" s="1">
        <v>875.0</v>
      </c>
      <c r="H2174" s="1">
        <v>52.0</v>
      </c>
      <c r="I2174" s="1">
        <v>1.92E7</v>
      </c>
      <c r="J2174" s="1" t="s">
        <v>6040</v>
      </c>
    </row>
    <row r="2175">
      <c r="A2175" s="1" t="s">
        <v>6556</v>
      </c>
      <c r="B2175" s="1" t="s">
        <v>6557</v>
      </c>
      <c r="C2175" s="1" t="s">
        <v>6558</v>
      </c>
      <c r="D2175" s="1" t="s">
        <v>6038</v>
      </c>
      <c r="E2175" s="1" t="s">
        <v>6039</v>
      </c>
      <c r="F2175" s="1">
        <v>40704.0</v>
      </c>
      <c r="G2175" s="1">
        <v>526.0</v>
      </c>
      <c r="H2175" s="1">
        <v>25.0</v>
      </c>
      <c r="I2175" s="1">
        <v>1.92E7</v>
      </c>
      <c r="J2175" s="1" t="s">
        <v>6040</v>
      </c>
    </row>
    <row r="2176">
      <c r="A2176" s="1" t="s">
        <v>6559</v>
      </c>
      <c r="B2176" s="1" t="s">
        <v>6560</v>
      </c>
      <c r="C2176" s="1" t="s">
        <v>6561</v>
      </c>
      <c r="D2176" s="1" t="s">
        <v>6038</v>
      </c>
      <c r="E2176" s="1" t="s">
        <v>6039</v>
      </c>
      <c r="F2176" s="1">
        <v>47393.0</v>
      </c>
      <c r="G2176" s="1">
        <v>1020.0</v>
      </c>
      <c r="H2176" s="1">
        <v>41.0</v>
      </c>
      <c r="I2176" s="1">
        <v>1.92E7</v>
      </c>
      <c r="J2176" s="1" t="s">
        <v>6040</v>
      </c>
    </row>
    <row r="2177">
      <c r="A2177" s="1" t="s">
        <v>6562</v>
      </c>
      <c r="B2177" s="1" t="s">
        <v>6563</v>
      </c>
      <c r="C2177" s="1" t="s">
        <v>6564</v>
      </c>
      <c r="D2177" s="1" t="s">
        <v>6038</v>
      </c>
      <c r="E2177" s="1" t="s">
        <v>6039</v>
      </c>
      <c r="F2177" s="1">
        <v>4969524.0</v>
      </c>
      <c r="G2177" s="1">
        <v>43342.0</v>
      </c>
      <c r="H2177" s="1">
        <v>1635.0</v>
      </c>
      <c r="I2177" s="1">
        <v>1.92E7</v>
      </c>
      <c r="J2177" s="1" t="s">
        <v>6040</v>
      </c>
    </row>
    <row r="2178">
      <c r="A2178" s="1" t="s">
        <v>6565</v>
      </c>
      <c r="B2178" s="1" t="s">
        <v>6566</v>
      </c>
      <c r="C2178" s="1" t="s">
        <v>6567</v>
      </c>
      <c r="D2178" s="1" t="s">
        <v>6038</v>
      </c>
      <c r="E2178" s="1" t="s">
        <v>6039</v>
      </c>
      <c r="F2178" s="1">
        <v>178590.0</v>
      </c>
      <c r="G2178" s="1">
        <v>2364.0</v>
      </c>
      <c r="H2178" s="1">
        <v>341.0</v>
      </c>
      <c r="I2178" s="1">
        <v>1.92E7</v>
      </c>
      <c r="J2178" s="1" t="s">
        <v>6040</v>
      </c>
    </row>
    <row r="2179">
      <c r="A2179" s="1" t="s">
        <v>6568</v>
      </c>
      <c r="B2179" s="1" t="s">
        <v>6569</v>
      </c>
      <c r="C2179" s="1" t="s">
        <v>6570</v>
      </c>
      <c r="D2179" s="1" t="s">
        <v>6038</v>
      </c>
      <c r="E2179" s="1" t="s">
        <v>6039</v>
      </c>
      <c r="F2179" s="1">
        <v>680472.0</v>
      </c>
      <c r="G2179" s="1">
        <v>6057.0</v>
      </c>
      <c r="H2179" s="1">
        <v>797.0</v>
      </c>
      <c r="I2179" s="1">
        <v>1.92E7</v>
      </c>
      <c r="J2179" s="1" t="s">
        <v>6040</v>
      </c>
    </row>
    <row r="2180">
      <c r="A2180" s="1" t="s">
        <v>6571</v>
      </c>
      <c r="B2180" s="1" t="s">
        <v>6572</v>
      </c>
      <c r="C2180" s="1" t="s">
        <v>6573</v>
      </c>
      <c r="D2180" s="1" t="s">
        <v>6038</v>
      </c>
      <c r="E2180" s="1" t="s">
        <v>6039</v>
      </c>
      <c r="F2180" s="1">
        <v>37167.0</v>
      </c>
      <c r="G2180" s="1">
        <v>755.0</v>
      </c>
      <c r="H2180" s="1">
        <v>43.0</v>
      </c>
      <c r="I2180" s="1">
        <v>1.92E7</v>
      </c>
      <c r="J2180" s="1" t="s">
        <v>6040</v>
      </c>
    </row>
    <row r="2181">
      <c r="A2181" s="1" t="s">
        <v>6574</v>
      </c>
      <c r="B2181" s="1" t="s">
        <v>6575</v>
      </c>
      <c r="C2181" s="1" t="s">
        <v>6576</v>
      </c>
      <c r="D2181" s="1" t="s">
        <v>6038</v>
      </c>
      <c r="E2181" s="1" t="s">
        <v>6039</v>
      </c>
      <c r="F2181" s="1">
        <v>307438.0</v>
      </c>
      <c r="G2181" s="1">
        <v>3409.0</v>
      </c>
      <c r="H2181" s="1">
        <v>498.0</v>
      </c>
      <c r="I2181" s="1">
        <v>1.92E7</v>
      </c>
      <c r="J2181" s="1" t="s">
        <v>6040</v>
      </c>
    </row>
    <row r="2182">
      <c r="A2182" s="1" t="s">
        <v>6577</v>
      </c>
      <c r="B2182" s="1" t="s">
        <v>6578</v>
      </c>
      <c r="C2182" s="1" t="s">
        <v>6579</v>
      </c>
      <c r="D2182" s="1" t="s">
        <v>6038</v>
      </c>
      <c r="E2182" s="1" t="s">
        <v>6039</v>
      </c>
      <c r="F2182" s="1">
        <v>435339.0</v>
      </c>
      <c r="G2182" s="1">
        <v>6301.0</v>
      </c>
      <c r="H2182" s="1">
        <v>638.0</v>
      </c>
      <c r="I2182" s="1">
        <v>1.92E7</v>
      </c>
      <c r="J2182" s="1" t="s">
        <v>6040</v>
      </c>
    </row>
    <row r="2183">
      <c r="A2183" s="1" t="s">
        <v>6580</v>
      </c>
      <c r="B2183" s="1" t="s">
        <v>6581</v>
      </c>
      <c r="C2183" s="1" t="s">
        <v>6582</v>
      </c>
      <c r="D2183" s="1" t="s">
        <v>6038</v>
      </c>
      <c r="E2183" s="1" t="s">
        <v>6039</v>
      </c>
      <c r="F2183" s="1">
        <v>306465.0</v>
      </c>
      <c r="G2183" s="1">
        <v>5059.0</v>
      </c>
      <c r="H2183" s="1">
        <v>440.0</v>
      </c>
      <c r="I2183" s="1">
        <v>1.92E7</v>
      </c>
      <c r="J2183" s="1" t="s">
        <v>6040</v>
      </c>
    </row>
    <row r="2184">
      <c r="A2184" s="1" t="s">
        <v>6583</v>
      </c>
      <c r="B2184" s="1" t="s">
        <v>6584</v>
      </c>
      <c r="C2184" s="1" t="s">
        <v>6585</v>
      </c>
      <c r="D2184" s="1" t="s">
        <v>6038</v>
      </c>
      <c r="E2184" s="1" t="s">
        <v>6039</v>
      </c>
      <c r="F2184" s="1">
        <v>535858.0</v>
      </c>
      <c r="G2184" s="1">
        <v>7392.0</v>
      </c>
      <c r="H2184" s="1">
        <v>678.0</v>
      </c>
      <c r="I2184" s="1">
        <v>1.92E7</v>
      </c>
      <c r="J2184" s="1" t="s">
        <v>6040</v>
      </c>
    </row>
    <row r="2185">
      <c r="A2185" s="1" t="s">
        <v>6586</v>
      </c>
      <c r="B2185" s="1" t="s">
        <v>6587</v>
      </c>
      <c r="C2185" s="1" t="s">
        <v>6588</v>
      </c>
      <c r="D2185" s="1" t="s">
        <v>6038</v>
      </c>
      <c r="E2185" s="1" t="s">
        <v>6039</v>
      </c>
      <c r="F2185" s="1">
        <v>872591.0</v>
      </c>
      <c r="G2185" s="1">
        <v>12437.0</v>
      </c>
      <c r="H2185" s="1">
        <v>1262.0</v>
      </c>
      <c r="I2185" s="1">
        <v>1.92E7</v>
      </c>
      <c r="J2185" s="1" t="s">
        <v>6040</v>
      </c>
    </row>
    <row r="2186">
      <c r="A2186" s="1" t="s">
        <v>6589</v>
      </c>
      <c r="B2186" s="1" t="s">
        <v>6590</v>
      </c>
      <c r="C2186" s="1" t="s">
        <v>6591</v>
      </c>
      <c r="D2186" s="1" t="s">
        <v>6038</v>
      </c>
      <c r="E2186" s="1" t="s">
        <v>6039</v>
      </c>
      <c r="F2186" s="1">
        <v>1329861.0</v>
      </c>
      <c r="G2186" s="1">
        <v>14670.0</v>
      </c>
      <c r="H2186" s="1">
        <v>2478.0</v>
      </c>
      <c r="I2186" s="1">
        <v>1.92E7</v>
      </c>
      <c r="J2186" s="1" t="s">
        <v>6040</v>
      </c>
    </row>
    <row r="2187">
      <c r="A2187" s="1" t="s">
        <v>6592</v>
      </c>
      <c r="B2187" s="1" t="s">
        <v>6593</v>
      </c>
      <c r="C2187" s="1" t="s">
        <v>6594</v>
      </c>
      <c r="D2187" s="1" t="s">
        <v>6038</v>
      </c>
      <c r="E2187" s="1" t="s">
        <v>6039</v>
      </c>
      <c r="F2187" s="1">
        <v>477646.0</v>
      </c>
      <c r="G2187" s="1">
        <v>6543.0</v>
      </c>
      <c r="H2187" s="1">
        <v>1913.0</v>
      </c>
      <c r="I2187" s="1">
        <v>1.92E7</v>
      </c>
      <c r="J2187" s="1" t="s">
        <v>6040</v>
      </c>
    </row>
    <row r="2188">
      <c r="A2188" s="1" t="s">
        <v>6595</v>
      </c>
      <c r="B2188" s="1" t="s">
        <v>6596</v>
      </c>
      <c r="C2188" s="1" t="s">
        <v>6597</v>
      </c>
      <c r="D2188" s="1" t="s">
        <v>6038</v>
      </c>
      <c r="E2188" s="1" t="s">
        <v>6039</v>
      </c>
      <c r="F2188" s="1">
        <v>568813.0</v>
      </c>
      <c r="G2188" s="1">
        <v>8225.0</v>
      </c>
      <c r="H2188" s="1">
        <v>610.0</v>
      </c>
      <c r="I2188" s="1">
        <v>1.92E7</v>
      </c>
      <c r="J2188" s="1" t="s">
        <v>6040</v>
      </c>
    </row>
    <row r="2189">
      <c r="A2189" s="1" t="s">
        <v>6598</v>
      </c>
      <c r="B2189" s="1" t="s">
        <v>6599</v>
      </c>
      <c r="C2189" s="1" t="s">
        <v>6600</v>
      </c>
      <c r="D2189" s="1" t="s">
        <v>6038</v>
      </c>
      <c r="E2189" s="1" t="s">
        <v>6039</v>
      </c>
      <c r="F2189" s="1">
        <v>1572376.0</v>
      </c>
      <c r="G2189" s="1">
        <v>22652.0</v>
      </c>
      <c r="H2189" s="1">
        <v>6539.0</v>
      </c>
      <c r="I2189" s="1">
        <v>1.92E7</v>
      </c>
      <c r="J2189" s="1" t="s">
        <v>6040</v>
      </c>
    </row>
    <row r="2190">
      <c r="A2190" s="1" t="s">
        <v>6601</v>
      </c>
      <c r="B2190" s="1" t="s">
        <v>6602</v>
      </c>
      <c r="C2190" s="1" t="s">
        <v>6603</v>
      </c>
      <c r="D2190" s="1" t="s">
        <v>6038</v>
      </c>
      <c r="E2190" s="1" t="s">
        <v>6039</v>
      </c>
      <c r="F2190" s="1">
        <v>956015.0</v>
      </c>
      <c r="G2190" s="1">
        <v>30336.0</v>
      </c>
      <c r="H2190" s="1">
        <v>2195.0</v>
      </c>
      <c r="I2190" s="1">
        <v>1.92E7</v>
      </c>
      <c r="J2190" s="1" t="s">
        <v>6040</v>
      </c>
    </row>
    <row r="2191">
      <c r="A2191" s="1" t="s">
        <v>6604</v>
      </c>
      <c r="B2191" s="1" t="s">
        <v>6605</v>
      </c>
      <c r="C2191" s="1" t="s">
        <v>6606</v>
      </c>
      <c r="D2191" s="1" t="s">
        <v>6038</v>
      </c>
      <c r="E2191" s="1" t="s">
        <v>6039</v>
      </c>
      <c r="F2191" s="1">
        <v>1265072.0</v>
      </c>
      <c r="G2191" s="1">
        <v>23704.0</v>
      </c>
      <c r="H2191" s="1">
        <v>4529.0</v>
      </c>
      <c r="I2191" s="1">
        <v>1.92E7</v>
      </c>
      <c r="J2191" s="1" t="s">
        <v>6040</v>
      </c>
    </row>
    <row r="2192">
      <c r="A2192" s="1" t="s">
        <v>6607</v>
      </c>
      <c r="B2192" s="1" t="s">
        <v>6608</v>
      </c>
      <c r="C2192" s="1" t="s">
        <v>6609</v>
      </c>
      <c r="D2192" s="1" t="s">
        <v>6038</v>
      </c>
      <c r="E2192" s="1" t="s">
        <v>6039</v>
      </c>
      <c r="F2192" s="1">
        <v>250489.0</v>
      </c>
      <c r="G2192" s="1">
        <v>6716.0</v>
      </c>
      <c r="H2192" s="1">
        <v>610.0</v>
      </c>
      <c r="I2192" s="1">
        <v>1.92E7</v>
      </c>
      <c r="J2192" s="1" t="s">
        <v>6040</v>
      </c>
    </row>
    <row r="2193">
      <c r="A2193" s="1" t="s">
        <v>6610</v>
      </c>
      <c r="B2193" s="1" t="s">
        <v>6611</v>
      </c>
      <c r="C2193" s="1" t="s">
        <v>6612</v>
      </c>
      <c r="D2193" s="1" t="s">
        <v>6038</v>
      </c>
      <c r="E2193" s="1" t="s">
        <v>6039</v>
      </c>
      <c r="F2193" s="1">
        <v>63308.0</v>
      </c>
      <c r="G2193" s="1">
        <v>1339.0</v>
      </c>
      <c r="H2193" s="1">
        <v>178.0</v>
      </c>
      <c r="I2193" s="1">
        <v>1.92E7</v>
      </c>
      <c r="J2193" s="1" t="s">
        <v>6040</v>
      </c>
    </row>
    <row r="2194">
      <c r="A2194" s="1" t="s">
        <v>6613</v>
      </c>
      <c r="B2194" s="1" t="s">
        <v>6614</v>
      </c>
      <c r="C2194" s="1" t="s">
        <v>6615</v>
      </c>
      <c r="D2194" s="1" t="s">
        <v>6038</v>
      </c>
      <c r="E2194" s="1" t="s">
        <v>6039</v>
      </c>
      <c r="F2194" s="1">
        <v>1283077.0</v>
      </c>
      <c r="G2194" s="1">
        <v>25442.0</v>
      </c>
      <c r="H2194" s="1">
        <v>1613.0</v>
      </c>
      <c r="I2194" s="1">
        <v>1.92E7</v>
      </c>
      <c r="J2194" s="1" t="s">
        <v>6040</v>
      </c>
    </row>
    <row r="2195">
      <c r="A2195" s="1" t="s">
        <v>6616</v>
      </c>
      <c r="B2195" s="1" t="s">
        <v>6617</v>
      </c>
      <c r="C2195" s="1" t="s">
        <v>6618</v>
      </c>
      <c r="D2195" s="1" t="s">
        <v>6038</v>
      </c>
      <c r="E2195" s="1" t="s">
        <v>6039</v>
      </c>
      <c r="F2195" s="1">
        <v>461880.0</v>
      </c>
      <c r="G2195" s="1">
        <v>14133.0</v>
      </c>
      <c r="H2195" s="1">
        <v>975.0</v>
      </c>
      <c r="I2195" s="1">
        <v>1.92E7</v>
      </c>
      <c r="J2195" s="1" t="s">
        <v>6040</v>
      </c>
    </row>
    <row r="2196">
      <c r="A2196" s="1" t="s">
        <v>6619</v>
      </c>
      <c r="B2196" s="1" t="s">
        <v>6620</v>
      </c>
      <c r="C2196" s="1" t="s">
        <v>6621</v>
      </c>
      <c r="D2196" s="1" t="s">
        <v>6038</v>
      </c>
      <c r="E2196" s="1" t="s">
        <v>6039</v>
      </c>
      <c r="F2196" s="1">
        <v>1125253.0</v>
      </c>
      <c r="G2196" s="1">
        <v>36894.0</v>
      </c>
      <c r="H2196" s="1">
        <v>5003.0</v>
      </c>
      <c r="I2196" s="1">
        <v>1.92E7</v>
      </c>
      <c r="J2196" s="1" t="s">
        <v>6040</v>
      </c>
    </row>
    <row r="2197">
      <c r="A2197" s="1" t="s">
        <v>6622</v>
      </c>
      <c r="B2197" s="1" t="s">
        <v>6623</v>
      </c>
      <c r="C2197" s="1" t="s">
        <v>6624</v>
      </c>
      <c r="D2197" s="1" t="s">
        <v>6038</v>
      </c>
      <c r="E2197" s="1" t="s">
        <v>6039</v>
      </c>
      <c r="F2197" s="1">
        <v>59890.0</v>
      </c>
      <c r="G2197" s="1">
        <v>1413.0</v>
      </c>
      <c r="H2197" s="1">
        <v>41.0</v>
      </c>
      <c r="I2197" s="1">
        <v>1.92E7</v>
      </c>
      <c r="J2197" s="1" t="s">
        <v>6040</v>
      </c>
    </row>
    <row r="2198">
      <c r="A2198" s="1" t="s">
        <v>6625</v>
      </c>
      <c r="B2198" s="1" t="s">
        <v>6626</v>
      </c>
      <c r="C2198" s="1" t="s">
        <v>6627</v>
      </c>
      <c r="D2198" s="1" t="s">
        <v>6038</v>
      </c>
      <c r="E2198" s="1" t="s">
        <v>6039</v>
      </c>
      <c r="F2198" s="1">
        <v>1773555.0</v>
      </c>
      <c r="G2198" s="1">
        <v>54078.0</v>
      </c>
      <c r="H2198" s="1">
        <v>16656.0</v>
      </c>
      <c r="I2198" s="1">
        <v>1.92E7</v>
      </c>
      <c r="J2198" s="1" t="s">
        <v>6040</v>
      </c>
    </row>
    <row r="2199">
      <c r="A2199" s="1" t="s">
        <v>6628</v>
      </c>
      <c r="B2199" s="1" t="s">
        <v>6629</v>
      </c>
      <c r="C2199" s="1" t="s">
        <v>6630</v>
      </c>
      <c r="D2199" s="1" t="s">
        <v>6038</v>
      </c>
      <c r="E2199" s="1" t="s">
        <v>6039</v>
      </c>
      <c r="F2199" s="1">
        <v>300518.0</v>
      </c>
      <c r="G2199" s="1">
        <v>5163.0</v>
      </c>
      <c r="H2199" s="1">
        <v>585.0</v>
      </c>
      <c r="I2199" s="1">
        <v>1.92E7</v>
      </c>
      <c r="J2199" s="1" t="s">
        <v>6040</v>
      </c>
    </row>
    <row r="2200">
      <c r="A2200" s="1" t="s">
        <v>6631</v>
      </c>
      <c r="B2200" s="1" t="s">
        <v>6632</v>
      </c>
      <c r="C2200" s="1" t="s">
        <v>6633</v>
      </c>
      <c r="D2200" s="1" t="s">
        <v>6038</v>
      </c>
      <c r="E2200" s="1" t="s">
        <v>6039</v>
      </c>
      <c r="F2200" s="1">
        <v>43009.0</v>
      </c>
      <c r="G2200" s="1">
        <v>763.0</v>
      </c>
      <c r="H2200" s="1">
        <v>11.0</v>
      </c>
      <c r="I2200" s="1">
        <v>1.92E7</v>
      </c>
      <c r="J2200" s="1" t="s">
        <v>6040</v>
      </c>
    </row>
    <row r="2201">
      <c r="A2201" s="1" t="s">
        <v>6634</v>
      </c>
      <c r="B2201" s="1" t="s">
        <v>6635</v>
      </c>
      <c r="C2201" s="1" t="s">
        <v>6636</v>
      </c>
      <c r="D2201" s="1" t="s">
        <v>6038</v>
      </c>
      <c r="E2201" s="1" t="s">
        <v>6039</v>
      </c>
      <c r="F2201" s="1">
        <v>228212.0</v>
      </c>
      <c r="G2201" s="1">
        <v>3330.0</v>
      </c>
      <c r="H2201" s="1">
        <v>222.0</v>
      </c>
      <c r="I2201" s="1">
        <v>1.92E7</v>
      </c>
      <c r="J2201" s="1" t="s">
        <v>6040</v>
      </c>
    </row>
    <row r="2202">
      <c r="A2202" s="1" t="s">
        <v>6637</v>
      </c>
      <c r="B2202" s="1" t="s">
        <v>6638</v>
      </c>
      <c r="C2202" s="1" t="s">
        <v>6639</v>
      </c>
      <c r="D2202" s="1" t="s">
        <v>6640</v>
      </c>
      <c r="E2202" s="1" t="s">
        <v>6641</v>
      </c>
      <c r="F2202" s="1">
        <v>11.0</v>
      </c>
      <c r="G2202" s="1">
        <v>0.0</v>
      </c>
      <c r="H2202" s="1">
        <v>0.0</v>
      </c>
      <c r="I2202" s="1">
        <v>6740000.0</v>
      </c>
      <c r="J2202" s="1" t="s">
        <v>6040</v>
      </c>
    </row>
    <row r="2203">
      <c r="A2203" s="1" t="s">
        <v>6642</v>
      </c>
      <c r="B2203" s="1" t="s">
        <v>6643</v>
      </c>
      <c r="C2203" s="1" t="s">
        <v>6644</v>
      </c>
      <c r="D2203" s="1" t="s">
        <v>6640</v>
      </c>
      <c r="E2203" s="1" t="s">
        <v>6641</v>
      </c>
      <c r="F2203" s="1">
        <v>1909.0</v>
      </c>
      <c r="G2203" s="1">
        <v>24.0</v>
      </c>
      <c r="H2203" s="1">
        <v>6.0</v>
      </c>
      <c r="I2203" s="1">
        <v>6740000.0</v>
      </c>
      <c r="J2203" s="1" t="s">
        <v>6040</v>
      </c>
    </row>
    <row r="2204">
      <c r="A2204" s="1" t="s">
        <v>6645</v>
      </c>
      <c r="B2204" s="1" t="s">
        <v>6646</v>
      </c>
      <c r="C2204" s="1" t="s">
        <v>6647</v>
      </c>
      <c r="D2204" s="1" t="s">
        <v>6640</v>
      </c>
      <c r="E2204" s="1" t="s">
        <v>6641</v>
      </c>
      <c r="F2204" s="1">
        <v>2104.0</v>
      </c>
      <c r="G2204" s="1">
        <v>34.0</v>
      </c>
      <c r="H2204" s="1">
        <v>4.0</v>
      </c>
      <c r="I2204" s="1">
        <v>6740000.0</v>
      </c>
      <c r="J2204" s="1" t="s">
        <v>6040</v>
      </c>
    </row>
    <row r="2205">
      <c r="A2205" s="1" t="s">
        <v>6648</v>
      </c>
      <c r="B2205" s="1" t="s">
        <v>6649</v>
      </c>
      <c r="C2205" s="1" t="s">
        <v>6650</v>
      </c>
      <c r="D2205" s="1" t="s">
        <v>6640</v>
      </c>
      <c r="E2205" s="1" t="s">
        <v>6641</v>
      </c>
      <c r="F2205" s="1">
        <v>4752.0</v>
      </c>
      <c r="G2205" s="1">
        <v>114.0</v>
      </c>
      <c r="H2205" s="1">
        <v>24.0</v>
      </c>
      <c r="I2205" s="1">
        <v>6740000.0</v>
      </c>
      <c r="J2205" s="1" t="s">
        <v>6040</v>
      </c>
    </row>
    <row r="2206">
      <c r="A2206" s="1" t="s">
        <v>6651</v>
      </c>
      <c r="B2206" s="1" t="s">
        <v>6652</v>
      </c>
      <c r="C2206" s="1" t="s">
        <v>6653</v>
      </c>
      <c r="D2206" s="1" t="s">
        <v>6640</v>
      </c>
      <c r="E2206" s="1" t="s">
        <v>6641</v>
      </c>
      <c r="F2206" s="1">
        <v>2252.0</v>
      </c>
      <c r="G2206" s="1">
        <v>44.0</v>
      </c>
      <c r="H2206" s="1">
        <v>11.0</v>
      </c>
      <c r="I2206" s="1">
        <v>6740000.0</v>
      </c>
      <c r="J2206" s="1" t="s">
        <v>6040</v>
      </c>
    </row>
    <row r="2207">
      <c r="A2207" s="1" t="s">
        <v>6654</v>
      </c>
      <c r="B2207" s="1" t="s">
        <v>6655</v>
      </c>
      <c r="C2207" s="1" t="s">
        <v>6656</v>
      </c>
      <c r="D2207" s="1" t="s">
        <v>6640</v>
      </c>
      <c r="E2207" s="1" t="s">
        <v>6641</v>
      </c>
      <c r="F2207" s="1">
        <v>1220.0</v>
      </c>
      <c r="G2207" s="1">
        <v>17.0</v>
      </c>
      <c r="H2207" s="1">
        <v>2.0</v>
      </c>
      <c r="I2207" s="1">
        <v>6740000.0</v>
      </c>
      <c r="J2207" s="1" t="s">
        <v>6040</v>
      </c>
    </row>
    <row r="2208">
      <c r="A2208" s="1" t="s">
        <v>6657</v>
      </c>
      <c r="B2208" s="1" t="s">
        <v>6658</v>
      </c>
      <c r="C2208" s="1" t="s">
        <v>6659</v>
      </c>
      <c r="D2208" s="1" t="s">
        <v>6640</v>
      </c>
      <c r="E2208" s="1" t="s">
        <v>6641</v>
      </c>
      <c r="F2208" s="1">
        <v>5579.0</v>
      </c>
      <c r="G2208" s="1">
        <v>86.0</v>
      </c>
      <c r="H2208" s="1">
        <v>29.0</v>
      </c>
      <c r="I2208" s="1">
        <v>6740000.0</v>
      </c>
      <c r="J2208" s="1" t="s">
        <v>6040</v>
      </c>
    </row>
    <row r="2209">
      <c r="A2209" s="1" t="s">
        <v>6660</v>
      </c>
      <c r="B2209" s="1" t="s">
        <v>6661</v>
      </c>
      <c r="C2209" s="1" t="s">
        <v>6662</v>
      </c>
      <c r="D2209" s="1" t="s">
        <v>6640</v>
      </c>
      <c r="E2209" s="1" t="s">
        <v>6641</v>
      </c>
      <c r="F2209" s="1">
        <v>5503.0</v>
      </c>
      <c r="G2209" s="1">
        <v>136.0</v>
      </c>
      <c r="H2209" s="1">
        <v>31.0</v>
      </c>
      <c r="I2209" s="1">
        <v>6740000.0</v>
      </c>
      <c r="J2209" s="1" t="s">
        <v>6040</v>
      </c>
    </row>
    <row r="2210">
      <c r="A2210" s="1" t="s">
        <v>6663</v>
      </c>
      <c r="B2210" s="1" t="s">
        <v>6664</v>
      </c>
      <c r="C2210" s="1" t="s">
        <v>6665</v>
      </c>
      <c r="D2210" s="1" t="s">
        <v>6640</v>
      </c>
      <c r="E2210" s="1" t="s">
        <v>6641</v>
      </c>
      <c r="F2210" s="1">
        <v>709.0</v>
      </c>
      <c r="G2210" s="1">
        <v>20.0</v>
      </c>
      <c r="H2210" s="1">
        <v>6.0</v>
      </c>
      <c r="I2210" s="1">
        <v>6740000.0</v>
      </c>
      <c r="J2210" s="1" t="s">
        <v>6040</v>
      </c>
    </row>
    <row r="2211">
      <c r="A2211" s="1" t="s">
        <v>6666</v>
      </c>
      <c r="B2211" s="1" t="s">
        <v>6667</v>
      </c>
      <c r="C2211" s="1" t="s">
        <v>6668</v>
      </c>
      <c r="D2211" s="1" t="s">
        <v>6640</v>
      </c>
      <c r="E2211" s="1" t="s">
        <v>6641</v>
      </c>
      <c r="F2211" s="1">
        <v>3268.0</v>
      </c>
      <c r="G2211" s="1">
        <v>78.0</v>
      </c>
      <c r="H2211" s="1">
        <v>19.0</v>
      </c>
      <c r="I2211" s="1">
        <v>6740000.0</v>
      </c>
      <c r="J2211" s="1" t="s">
        <v>6040</v>
      </c>
    </row>
    <row r="2212">
      <c r="A2212" s="1" t="s">
        <v>6669</v>
      </c>
      <c r="B2212" s="1" t="s">
        <v>6670</v>
      </c>
      <c r="C2212" s="1" t="s">
        <v>6671</v>
      </c>
      <c r="D2212" s="1" t="s">
        <v>6640</v>
      </c>
      <c r="E2212" s="1" t="s">
        <v>6641</v>
      </c>
      <c r="F2212" s="1">
        <v>6542.0</v>
      </c>
      <c r="G2212" s="1">
        <v>160.0</v>
      </c>
      <c r="H2212" s="1">
        <v>34.0</v>
      </c>
      <c r="I2212" s="1">
        <v>6740000.0</v>
      </c>
      <c r="J2212" s="1" t="s">
        <v>6040</v>
      </c>
    </row>
    <row r="2213">
      <c r="A2213" s="1" t="s">
        <v>6672</v>
      </c>
      <c r="B2213" s="1" t="s">
        <v>6673</v>
      </c>
      <c r="C2213" s="1" t="s">
        <v>6674</v>
      </c>
      <c r="D2213" s="1" t="s">
        <v>6640</v>
      </c>
      <c r="E2213" s="1" t="s">
        <v>6641</v>
      </c>
      <c r="F2213" s="1">
        <v>69107.0</v>
      </c>
      <c r="G2213" s="1">
        <v>622.0</v>
      </c>
      <c r="H2213" s="1">
        <v>71.0</v>
      </c>
      <c r="I2213" s="1">
        <v>6740000.0</v>
      </c>
      <c r="J2213" s="1" t="s">
        <v>6040</v>
      </c>
    </row>
    <row r="2214">
      <c r="A2214" s="1" t="s">
        <v>6675</v>
      </c>
      <c r="B2214" s="1" t="s">
        <v>6676</v>
      </c>
      <c r="C2214" s="1" t="s">
        <v>6677</v>
      </c>
      <c r="D2214" s="1" t="s">
        <v>6640</v>
      </c>
      <c r="E2214" s="1" t="s">
        <v>6641</v>
      </c>
      <c r="F2214" s="1">
        <v>88475.0</v>
      </c>
      <c r="G2214" s="1">
        <v>2101.0</v>
      </c>
      <c r="H2214" s="1">
        <v>859.0</v>
      </c>
      <c r="I2214" s="1">
        <v>6740000.0</v>
      </c>
      <c r="J2214" s="1" t="s">
        <v>6040</v>
      </c>
    </row>
    <row r="2215">
      <c r="A2215" s="1" t="s">
        <v>6678</v>
      </c>
      <c r="B2215" s="1" t="s">
        <v>6679</v>
      </c>
      <c r="C2215" s="1" t="s">
        <v>6680</v>
      </c>
      <c r="D2215" s="1" t="s">
        <v>6640</v>
      </c>
      <c r="E2215" s="1" t="s">
        <v>6641</v>
      </c>
      <c r="F2215" s="1">
        <v>5907.0</v>
      </c>
      <c r="G2215" s="1">
        <v>116.0</v>
      </c>
      <c r="H2215" s="1">
        <v>20.0</v>
      </c>
      <c r="I2215" s="1">
        <v>6740000.0</v>
      </c>
      <c r="J2215" s="1" t="s">
        <v>6040</v>
      </c>
    </row>
    <row r="2216">
      <c r="A2216" s="1" t="s">
        <v>6681</v>
      </c>
      <c r="B2216" s="1" t="s">
        <v>6682</v>
      </c>
      <c r="C2216" s="1" t="s">
        <v>6683</v>
      </c>
      <c r="D2216" s="1" t="s">
        <v>6640</v>
      </c>
      <c r="E2216" s="1" t="s">
        <v>6641</v>
      </c>
      <c r="F2216" s="1">
        <v>7922.0</v>
      </c>
      <c r="G2216" s="1">
        <v>102.0</v>
      </c>
      <c r="H2216" s="1">
        <v>70.0</v>
      </c>
      <c r="I2216" s="1">
        <v>6740000.0</v>
      </c>
      <c r="J2216" s="1" t="s">
        <v>6040</v>
      </c>
    </row>
    <row r="2217">
      <c r="A2217" s="1" t="s">
        <v>6684</v>
      </c>
      <c r="B2217" s="1" t="s">
        <v>6685</v>
      </c>
      <c r="C2217" s="1" t="s">
        <v>6686</v>
      </c>
      <c r="D2217" s="1" t="s">
        <v>6640</v>
      </c>
      <c r="E2217" s="1" t="s">
        <v>6641</v>
      </c>
      <c r="F2217" s="1">
        <v>681708.0</v>
      </c>
      <c r="G2217" s="1">
        <v>14420.0</v>
      </c>
      <c r="H2217" s="1">
        <v>2459.0</v>
      </c>
      <c r="I2217" s="1">
        <v>6740000.0</v>
      </c>
      <c r="J2217" s="1" t="s">
        <v>6040</v>
      </c>
    </row>
    <row r="2218">
      <c r="A2218" s="1" t="s">
        <v>6687</v>
      </c>
      <c r="B2218" s="1" t="s">
        <v>6688</v>
      </c>
      <c r="C2218" s="1" t="s">
        <v>6689</v>
      </c>
      <c r="D2218" s="1" t="s">
        <v>6640</v>
      </c>
      <c r="E2218" s="1" t="s">
        <v>6641</v>
      </c>
      <c r="F2218" s="1">
        <v>5412.0</v>
      </c>
      <c r="G2218" s="1">
        <v>81.0</v>
      </c>
      <c r="H2218" s="1">
        <v>40.0</v>
      </c>
      <c r="I2218" s="1">
        <v>6740000.0</v>
      </c>
      <c r="J2218" s="1" t="s">
        <v>6040</v>
      </c>
    </row>
    <row r="2219">
      <c r="A2219" s="1" t="s">
        <v>6690</v>
      </c>
      <c r="B2219" s="1" t="s">
        <v>6691</v>
      </c>
      <c r="C2219" s="1" t="s">
        <v>6692</v>
      </c>
      <c r="D2219" s="1" t="s">
        <v>6640</v>
      </c>
      <c r="E2219" s="1" t="s">
        <v>6641</v>
      </c>
      <c r="F2219" s="1">
        <v>125986.0</v>
      </c>
      <c r="G2219" s="1">
        <v>1994.0</v>
      </c>
      <c r="H2219" s="1">
        <v>841.0</v>
      </c>
      <c r="I2219" s="1">
        <v>6740000.0</v>
      </c>
      <c r="J2219" s="1" t="s">
        <v>6040</v>
      </c>
    </row>
    <row r="2220">
      <c r="A2220" s="1" t="s">
        <v>6693</v>
      </c>
      <c r="B2220" s="1" t="s">
        <v>6694</v>
      </c>
      <c r="C2220" s="1" t="s">
        <v>6695</v>
      </c>
      <c r="D2220" s="1" t="s">
        <v>6640</v>
      </c>
      <c r="E2220" s="1" t="s">
        <v>6641</v>
      </c>
      <c r="F2220" s="1">
        <v>32353.0</v>
      </c>
      <c r="G2220" s="1">
        <v>298.0</v>
      </c>
      <c r="H2220" s="1">
        <v>32.0</v>
      </c>
      <c r="I2220" s="1">
        <v>6740000.0</v>
      </c>
      <c r="J2220" s="1" t="s">
        <v>6040</v>
      </c>
    </row>
    <row r="2221">
      <c r="A2221" s="1" t="s">
        <v>6696</v>
      </c>
      <c r="B2221" s="1" t="s">
        <v>6697</v>
      </c>
      <c r="C2221" s="1" t="s">
        <v>6698</v>
      </c>
      <c r="D2221" s="1" t="s">
        <v>6640</v>
      </c>
      <c r="E2221" s="1" t="s">
        <v>6641</v>
      </c>
      <c r="F2221" s="1">
        <v>8281.0</v>
      </c>
      <c r="G2221" s="1">
        <v>115.0</v>
      </c>
      <c r="H2221" s="1">
        <v>38.0</v>
      </c>
      <c r="I2221" s="1">
        <v>6740000.0</v>
      </c>
      <c r="J2221" s="1" t="s">
        <v>6040</v>
      </c>
    </row>
    <row r="2222">
      <c r="A2222" s="1" t="s">
        <v>6699</v>
      </c>
      <c r="B2222" s="1" t="s">
        <v>6700</v>
      </c>
      <c r="C2222" s="1" t="s">
        <v>6701</v>
      </c>
      <c r="D2222" s="1" t="s">
        <v>6640</v>
      </c>
      <c r="E2222" s="1" t="s">
        <v>6641</v>
      </c>
      <c r="F2222" s="1">
        <v>274095.0</v>
      </c>
      <c r="G2222" s="1">
        <v>4283.0</v>
      </c>
      <c r="H2222" s="1">
        <v>1784.0</v>
      </c>
      <c r="I2222" s="1">
        <v>6740000.0</v>
      </c>
      <c r="J2222" s="1" t="s">
        <v>6040</v>
      </c>
    </row>
    <row r="2223">
      <c r="A2223" s="1" t="s">
        <v>6702</v>
      </c>
      <c r="B2223" s="1" t="s">
        <v>6703</v>
      </c>
      <c r="C2223" s="1" t="s">
        <v>6704</v>
      </c>
      <c r="D2223" s="1" t="s">
        <v>6640</v>
      </c>
      <c r="E2223" s="1" t="s">
        <v>6641</v>
      </c>
      <c r="F2223" s="1">
        <v>4565.0</v>
      </c>
      <c r="G2223" s="1">
        <v>114.0</v>
      </c>
      <c r="H2223" s="1">
        <v>26.0</v>
      </c>
      <c r="I2223" s="1">
        <v>6740000.0</v>
      </c>
      <c r="J2223" s="1" t="s">
        <v>6040</v>
      </c>
    </row>
    <row r="2224">
      <c r="A2224" s="1" t="s">
        <v>6705</v>
      </c>
      <c r="B2224" s="1" t="s">
        <v>6706</v>
      </c>
      <c r="C2224" s="1" t="s">
        <v>6707</v>
      </c>
      <c r="D2224" s="1" t="s">
        <v>6640</v>
      </c>
      <c r="E2224" s="1" t="s">
        <v>6641</v>
      </c>
      <c r="F2224" s="1">
        <v>255241.0</v>
      </c>
      <c r="G2224" s="1">
        <v>7325.0</v>
      </c>
      <c r="H2224" s="1">
        <v>2195.0</v>
      </c>
      <c r="I2224" s="1">
        <v>6740000.0</v>
      </c>
      <c r="J2224" s="1" t="s">
        <v>6040</v>
      </c>
    </row>
    <row r="2225">
      <c r="A2225" s="1" t="s">
        <v>6708</v>
      </c>
      <c r="B2225" s="1" t="s">
        <v>6709</v>
      </c>
      <c r="C2225" s="1" t="s">
        <v>6710</v>
      </c>
      <c r="D2225" s="1" t="s">
        <v>6640</v>
      </c>
      <c r="E2225" s="1" t="s">
        <v>6641</v>
      </c>
      <c r="F2225" s="1">
        <v>78936.0</v>
      </c>
      <c r="G2225" s="1">
        <v>1294.0</v>
      </c>
      <c r="H2225" s="1">
        <v>175.0</v>
      </c>
      <c r="I2225" s="1">
        <v>6740000.0</v>
      </c>
      <c r="J2225" s="1" t="s">
        <v>6040</v>
      </c>
    </row>
    <row r="2226">
      <c r="A2226" s="1" t="s">
        <v>6711</v>
      </c>
      <c r="B2226" s="1" t="s">
        <v>6712</v>
      </c>
      <c r="C2226" s="1" t="s">
        <v>6713</v>
      </c>
      <c r="D2226" s="1" t="s">
        <v>6640</v>
      </c>
      <c r="E2226" s="1" t="s">
        <v>6641</v>
      </c>
      <c r="F2226" s="1">
        <v>53676.0</v>
      </c>
      <c r="G2226" s="1">
        <v>1008.0</v>
      </c>
      <c r="H2226" s="1">
        <v>215.0</v>
      </c>
      <c r="I2226" s="1">
        <v>6740000.0</v>
      </c>
      <c r="J2226" s="1" t="s">
        <v>6040</v>
      </c>
    </row>
    <row r="2227">
      <c r="A2227" s="1" t="s">
        <v>6714</v>
      </c>
      <c r="B2227" s="1" t="s">
        <v>6715</v>
      </c>
      <c r="C2227" s="1" t="s">
        <v>6716</v>
      </c>
      <c r="D2227" s="1" t="s">
        <v>6640</v>
      </c>
      <c r="E2227" s="1" t="s">
        <v>6641</v>
      </c>
      <c r="F2227" s="1">
        <v>194532.0</v>
      </c>
      <c r="G2227" s="1">
        <v>3484.0</v>
      </c>
      <c r="H2227" s="1">
        <v>1217.0</v>
      </c>
      <c r="I2227" s="1">
        <v>6740000.0</v>
      </c>
      <c r="J2227" s="1" t="s">
        <v>6040</v>
      </c>
    </row>
    <row r="2228">
      <c r="A2228" s="1" t="s">
        <v>6717</v>
      </c>
      <c r="B2228" s="1" t="s">
        <v>6718</v>
      </c>
      <c r="C2228" s="1" t="s">
        <v>6719</v>
      </c>
      <c r="D2228" s="1" t="s">
        <v>6640</v>
      </c>
      <c r="E2228" s="1" t="s">
        <v>6641</v>
      </c>
      <c r="F2228" s="1">
        <v>17689.0</v>
      </c>
      <c r="G2228" s="1">
        <v>201.0</v>
      </c>
      <c r="H2228" s="1">
        <v>9.0</v>
      </c>
      <c r="I2228" s="1">
        <v>6740000.0</v>
      </c>
      <c r="J2228" s="1" t="s">
        <v>6040</v>
      </c>
    </row>
    <row r="2229">
      <c r="A2229" s="1" t="s">
        <v>6720</v>
      </c>
      <c r="B2229" s="1" t="s">
        <v>6721</v>
      </c>
      <c r="C2229" s="1" t="s">
        <v>6722</v>
      </c>
      <c r="D2229" s="1" t="s">
        <v>6640</v>
      </c>
      <c r="E2229" s="1" t="s">
        <v>6641</v>
      </c>
      <c r="F2229" s="1">
        <v>223831.0</v>
      </c>
      <c r="G2229" s="1">
        <v>4145.0</v>
      </c>
      <c r="H2229" s="1">
        <v>1889.0</v>
      </c>
      <c r="I2229" s="1">
        <v>6740000.0</v>
      </c>
      <c r="J2229" s="1" t="s">
        <v>6040</v>
      </c>
    </row>
    <row r="2230">
      <c r="A2230" s="1" t="s">
        <v>6723</v>
      </c>
      <c r="B2230" s="1" t="s">
        <v>6724</v>
      </c>
      <c r="C2230" s="1" t="s">
        <v>6725</v>
      </c>
      <c r="D2230" s="1" t="s">
        <v>6640</v>
      </c>
      <c r="E2230" s="1" t="s">
        <v>6641</v>
      </c>
      <c r="F2230" s="1">
        <v>5704.0</v>
      </c>
      <c r="G2230" s="1">
        <v>100.0</v>
      </c>
      <c r="H2230" s="1">
        <v>26.0</v>
      </c>
      <c r="I2230" s="1">
        <v>6740000.0</v>
      </c>
      <c r="J2230" s="1" t="s">
        <v>6040</v>
      </c>
    </row>
    <row r="2231">
      <c r="A2231" s="1" t="s">
        <v>6726</v>
      </c>
      <c r="B2231" s="1" t="s">
        <v>6727</v>
      </c>
      <c r="C2231" s="1" t="s">
        <v>6728</v>
      </c>
      <c r="D2231" s="1" t="s">
        <v>6640</v>
      </c>
      <c r="E2231" s="1" t="s">
        <v>6641</v>
      </c>
      <c r="F2231" s="1">
        <v>279391.0</v>
      </c>
      <c r="G2231" s="1">
        <v>4581.0</v>
      </c>
      <c r="H2231" s="1">
        <v>1252.0</v>
      </c>
      <c r="I2231" s="1">
        <v>6740000.0</v>
      </c>
      <c r="J2231" s="1" t="s">
        <v>6040</v>
      </c>
    </row>
    <row r="2232">
      <c r="A2232" s="1" t="s">
        <v>6729</v>
      </c>
      <c r="B2232" s="1" t="s">
        <v>6730</v>
      </c>
      <c r="C2232" s="1" t="s">
        <v>6731</v>
      </c>
      <c r="D2232" s="1" t="s">
        <v>6640</v>
      </c>
      <c r="E2232" s="1" t="s">
        <v>6641</v>
      </c>
      <c r="F2232" s="1">
        <v>13902.0</v>
      </c>
      <c r="G2232" s="1">
        <v>179.0</v>
      </c>
      <c r="H2232" s="1">
        <v>30.0</v>
      </c>
      <c r="I2232" s="1">
        <v>6740000.0</v>
      </c>
      <c r="J2232" s="1" t="s">
        <v>6040</v>
      </c>
    </row>
    <row r="2233">
      <c r="A2233" s="1" t="s">
        <v>6732</v>
      </c>
      <c r="B2233" s="1" t="s">
        <v>6733</v>
      </c>
      <c r="C2233" s="1" t="s">
        <v>6734</v>
      </c>
      <c r="D2233" s="1" t="s">
        <v>6640</v>
      </c>
      <c r="E2233" s="1" t="s">
        <v>6641</v>
      </c>
      <c r="F2233" s="1">
        <v>328687.0</v>
      </c>
      <c r="G2233" s="1">
        <v>7539.0</v>
      </c>
      <c r="H2233" s="1">
        <v>1468.0</v>
      </c>
      <c r="I2233" s="1">
        <v>6740000.0</v>
      </c>
      <c r="J2233" s="1" t="s">
        <v>6040</v>
      </c>
    </row>
    <row r="2234">
      <c r="A2234" s="1" t="s">
        <v>6735</v>
      </c>
      <c r="B2234" s="1" t="s">
        <v>6736</v>
      </c>
      <c r="C2234" s="1" t="s">
        <v>6737</v>
      </c>
      <c r="D2234" s="1" t="s">
        <v>6640</v>
      </c>
      <c r="E2234" s="1" t="s">
        <v>6641</v>
      </c>
      <c r="F2234" s="1">
        <v>5598.0</v>
      </c>
      <c r="G2234" s="1">
        <v>204.0</v>
      </c>
      <c r="H2234" s="1">
        <v>32.0</v>
      </c>
      <c r="I2234" s="1">
        <v>6740000.0</v>
      </c>
      <c r="J2234" s="1" t="s">
        <v>6040</v>
      </c>
    </row>
    <row r="2235">
      <c r="A2235" s="1" t="s">
        <v>6738</v>
      </c>
      <c r="B2235" s="1" t="s">
        <v>6739</v>
      </c>
      <c r="C2235" s="1" t="s">
        <v>6740</v>
      </c>
      <c r="D2235" s="1" t="s">
        <v>6640</v>
      </c>
      <c r="E2235" s="1" t="s">
        <v>6641</v>
      </c>
      <c r="F2235" s="1">
        <v>342696.0</v>
      </c>
      <c r="G2235" s="1">
        <v>5729.0</v>
      </c>
      <c r="H2235" s="1">
        <v>788.0</v>
      </c>
      <c r="I2235" s="1">
        <v>6740000.0</v>
      </c>
      <c r="J2235" s="1" t="s">
        <v>6040</v>
      </c>
    </row>
    <row r="2236">
      <c r="A2236" s="1" t="s">
        <v>6741</v>
      </c>
      <c r="B2236" s="1" t="s">
        <v>6742</v>
      </c>
      <c r="C2236" s="1" t="s">
        <v>6743</v>
      </c>
      <c r="D2236" s="1" t="s">
        <v>6640</v>
      </c>
      <c r="E2236" s="1" t="s">
        <v>6641</v>
      </c>
      <c r="F2236" s="1">
        <v>2860.0</v>
      </c>
      <c r="G2236" s="1">
        <v>71.0</v>
      </c>
      <c r="H2236" s="1">
        <v>13.0</v>
      </c>
      <c r="I2236" s="1">
        <v>6740000.0</v>
      </c>
      <c r="J2236" s="1" t="s">
        <v>6040</v>
      </c>
    </row>
    <row r="2237">
      <c r="A2237" s="1" t="s">
        <v>6744</v>
      </c>
      <c r="B2237" s="1" t="s">
        <v>6745</v>
      </c>
      <c r="C2237" s="1" t="s">
        <v>6746</v>
      </c>
      <c r="D2237" s="1" t="s">
        <v>6640</v>
      </c>
      <c r="E2237" s="1" t="s">
        <v>6641</v>
      </c>
      <c r="F2237" s="1">
        <v>186701.0</v>
      </c>
      <c r="G2237" s="1">
        <v>4043.0</v>
      </c>
      <c r="H2237" s="1">
        <v>854.0</v>
      </c>
      <c r="I2237" s="1">
        <v>6740000.0</v>
      </c>
      <c r="J2237" s="1" t="s">
        <v>6040</v>
      </c>
    </row>
    <row r="2238">
      <c r="A2238" s="1" t="s">
        <v>6747</v>
      </c>
      <c r="B2238" s="1" t="s">
        <v>6748</v>
      </c>
      <c r="C2238" s="1" t="s">
        <v>6749</v>
      </c>
      <c r="D2238" s="1" t="s">
        <v>6640</v>
      </c>
      <c r="E2238" s="1" t="s">
        <v>6641</v>
      </c>
      <c r="F2238" s="1">
        <v>3978.0</v>
      </c>
      <c r="G2238" s="1">
        <v>79.0</v>
      </c>
      <c r="H2238" s="1">
        <v>7.0</v>
      </c>
      <c r="I2238" s="1">
        <v>6740000.0</v>
      </c>
      <c r="J2238" s="1" t="s">
        <v>6040</v>
      </c>
    </row>
    <row r="2239">
      <c r="A2239" s="1" t="s">
        <v>6750</v>
      </c>
      <c r="B2239" s="1" t="s">
        <v>6751</v>
      </c>
      <c r="C2239" s="1" t="s">
        <v>6752</v>
      </c>
      <c r="D2239" s="1" t="s">
        <v>6640</v>
      </c>
      <c r="E2239" s="1" t="s">
        <v>6641</v>
      </c>
      <c r="F2239" s="1">
        <v>80543.0</v>
      </c>
      <c r="G2239" s="1">
        <v>1692.0</v>
      </c>
      <c r="H2239" s="1">
        <v>544.0</v>
      </c>
      <c r="I2239" s="1">
        <v>6740000.0</v>
      </c>
      <c r="J2239" s="1" t="s">
        <v>6040</v>
      </c>
    </row>
    <row r="2240">
      <c r="A2240" s="1" t="s">
        <v>6753</v>
      </c>
      <c r="B2240" s="1" t="s">
        <v>6754</v>
      </c>
      <c r="C2240" s="1" t="s">
        <v>6755</v>
      </c>
      <c r="D2240" s="1" t="s">
        <v>6640</v>
      </c>
      <c r="E2240" s="1" t="s">
        <v>6641</v>
      </c>
      <c r="F2240" s="1">
        <v>3715.0</v>
      </c>
      <c r="G2240" s="1">
        <v>58.0</v>
      </c>
      <c r="H2240" s="1">
        <v>33.0</v>
      </c>
      <c r="I2240" s="1">
        <v>6740000.0</v>
      </c>
      <c r="J2240" s="1" t="s">
        <v>6040</v>
      </c>
    </row>
    <row r="2241">
      <c r="A2241" s="1" t="s">
        <v>6756</v>
      </c>
      <c r="B2241" s="1" t="s">
        <v>6757</v>
      </c>
      <c r="C2241" s="1" t="s">
        <v>6758</v>
      </c>
      <c r="D2241" s="1" t="s">
        <v>6640</v>
      </c>
      <c r="E2241" s="1" t="s">
        <v>6641</v>
      </c>
      <c r="F2241" s="1">
        <v>181322.0</v>
      </c>
      <c r="G2241" s="1">
        <v>3029.0</v>
      </c>
      <c r="H2241" s="1">
        <v>695.0</v>
      </c>
      <c r="I2241" s="1">
        <v>6740000.0</v>
      </c>
      <c r="J2241" s="1" t="s">
        <v>6040</v>
      </c>
    </row>
    <row r="2242">
      <c r="A2242" s="1" t="s">
        <v>6759</v>
      </c>
      <c r="B2242" s="1" t="s">
        <v>6760</v>
      </c>
      <c r="C2242" s="1" t="s">
        <v>6761</v>
      </c>
      <c r="D2242" s="1" t="s">
        <v>6640</v>
      </c>
      <c r="E2242" s="1" t="s">
        <v>6641</v>
      </c>
      <c r="F2242" s="1">
        <v>5064.0</v>
      </c>
      <c r="G2242" s="1">
        <v>78.0</v>
      </c>
      <c r="H2242" s="1">
        <v>20.0</v>
      </c>
      <c r="I2242" s="1">
        <v>6740000.0</v>
      </c>
      <c r="J2242" s="1" t="s">
        <v>6040</v>
      </c>
    </row>
    <row r="2243">
      <c r="A2243" s="1" t="s">
        <v>6762</v>
      </c>
      <c r="B2243" s="1" t="s">
        <v>6763</v>
      </c>
      <c r="C2243" s="1" t="s">
        <v>6764</v>
      </c>
      <c r="D2243" s="1" t="s">
        <v>6640</v>
      </c>
      <c r="E2243" s="1" t="s">
        <v>6641</v>
      </c>
      <c r="F2243" s="1">
        <v>453000.0</v>
      </c>
      <c r="G2243" s="1">
        <v>9038.0</v>
      </c>
      <c r="H2243" s="1">
        <v>2533.0</v>
      </c>
      <c r="I2243" s="1">
        <v>6740000.0</v>
      </c>
      <c r="J2243" s="1" t="s">
        <v>6040</v>
      </c>
    </row>
    <row r="2244">
      <c r="A2244" s="1" t="s">
        <v>6765</v>
      </c>
      <c r="B2244" s="1" t="s">
        <v>6766</v>
      </c>
      <c r="C2244" s="1" t="s">
        <v>6767</v>
      </c>
      <c r="D2244" s="1" t="s">
        <v>6640</v>
      </c>
      <c r="E2244" s="1" t="s">
        <v>6641</v>
      </c>
      <c r="F2244" s="1">
        <v>127080.0</v>
      </c>
      <c r="G2244" s="1">
        <v>1791.0</v>
      </c>
      <c r="H2244" s="1">
        <v>220.0</v>
      </c>
      <c r="I2244" s="1">
        <v>6740000.0</v>
      </c>
      <c r="J2244" s="1" t="s">
        <v>6040</v>
      </c>
    </row>
    <row r="2245">
      <c r="A2245" s="1" t="s">
        <v>6768</v>
      </c>
      <c r="B2245" s="1" t="s">
        <v>6769</v>
      </c>
      <c r="C2245" s="1" t="s">
        <v>6770</v>
      </c>
      <c r="D2245" s="1" t="s">
        <v>6640</v>
      </c>
      <c r="E2245" s="1" t="s">
        <v>6641</v>
      </c>
      <c r="F2245" s="1">
        <v>389984.0</v>
      </c>
      <c r="G2245" s="1">
        <v>9350.0</v>
      </c>
      <c r="H2245" s="1">
        <v>2413.0</v>
      </c>
      <c r="I2245" s="1">
        <v>6740000.0</v>
      </c>
      <c r="J2245" s="1" t="s">
        <v>6040</v>
      </c>
    </row>
    <row r="2246">
      <c r="A2246" s="1" t="s">
        <v>6771</v>
      </c>
      <c r="B2246" s="1" t="s">
        <v>6772</v>
      </c>
      <c r="C2246" s="1" t="s">
        <v>6773</v>
      </c>
      <c r="D2246" s="1" t="s">
        <v>6640</v>
      </c>
      <c r="E2246" s="1" t="s">
        <v>6641</v>
      </c>
      <c r="F2246" s="1">
        <v>120503.0</v>
      </c>
      <c r="G2246" s="1">
        <v>1044.0</v>
      </c>
      <c r="H2246" s="1">
        <v>73.0</v>
      </c>
      <c r="I2246" s="1">
        <v>6740000.0</v>
      </c>
      <c r="J2246" s="1" t="s">
        <v>6040</v>
      </c>
    </row>
    <row r="2247">
      <c r="A2247" s="1" t="s">
        <v>6774</v>
      </c>
      <c r="B2247" s="1" t="s">
        <v>6775</v>
      </c>
      <c r="C2247" s="1" t="s">
        <v>6776</v>
      </c>
      <c r="D2247" s="1" t="s">
        <v>6640</v>
      </c>
      <c r="E2247" s="1" t="s">
        <v>6641</v>
      </c>
      <c r="F2247" s="1">
        <v>95555.0</v>
      </c>
      <c r="G2247" s="1">
        <v>2181.0</v>
      </c>
      <c r="H2247" s="1">
        <v>1321.0</v>
      </c>
      <c r="I2247" s="1">
        <v>6740000.0</v>
      </c>
      <c r="J2247" s="1" t="s">
        <v>6040</v>
      </c>
    </row>
    <row r="2248">
      <c r="A2248" s="1" t="s">
        <v>6777</v>
      </c>
      <c r="B2248" s="1" t="s">
        <v>6778</v>
      </c>
      <c r="C2248" s="1" t="s">
        <v>6779</v>
      </c>
      <c r="D2248" s="1" t="s">
        <v>6640</v>
      </c>
      <c r="E2248" s="1" t="s">
        <v>6641</v>
      </c>
      <c r="F2248" s="1">
        <v>9676.0</v>
      </c>
      <c r="G2248" s="1">
        <v>153.0</v>
      </c>
      <c r="H2248" s="1">
        <v>20.0</v>
      </c>
      <c r="I2248" s="1">
        <v>6740000.0</v>
      </c>
      <c r="J2248" s="1" t="s">
        <v>6040</v>
      </c>
    </row>
    <row r="2249">
      <c r="A2249" s="1" t="s">
        <v>6780</v>
      </c>
      <c r="B2249" s="1" t="s">
        <v>6781</v>
      </c>
      <c r="C2249" s="1" t="s">
        <v>6782</v>
      </c>
      <c r="D2249" s="1" t="s">
        <v>6640</v>
      </c>
      <c r="E2249" s="1" t="s">
        <v>6641</v>
      </c>
      <c r="F2249" s="1">
        <v>24317.0</v>
      </c>
      <c r="G2249" s="1">
        <v>253.0</v>
      </c>
      <c r="H2249" s="1">
        <v>25.0</v>
      </c>
      <c r="I2249" s="1">
        <v>6740000.0</v>
      </c>
      <c r="J2249" s="1" t="s">
        <v>6040</v>
      </c>
    </row>
    <row r="2250">
      <c r="A2250" s="1" t="s">
        <v>6783</v>
      </c>
      <c r="B2250" s="1" t="s">
        <v>6784</v>
      </c>
      <c r="C2250" s="1" t="s">
        <v>6785</v>
      </c>
      <c r="D2250" s="1" t="s">
        <v>6640</v>
      </c>
      <c r="E2250" s="1" t="s">
        <v>6641</v>
      </c>
      <c r="F2250" s="1">
        <v>136168.0</v>
      </c>
      <c r="G2250" s="1">
        <v>2429.0</v>
      </c>
      <c r="H2250" s="1">
        <v>483.0</v>
      </c>
      <c r="I2250" s="1">
        <v>6740000.0</v>
      </c>
      <c r="J2250" s="1" t="s">
        <v>6040</v>
      </c>
    </row>
    <row r="2251">
      <c r="A2251" s="1" t="s">
        <v>6786</v>
      </c>
      <c r="B2251" s="1" t="s">
        <v>6787</v>
      </c>
      <c r="C2251" s="1" t="s">
        <v>6788</v>
      </c>
      <c r="D2251" s="1" t="s">
        <v>6640</v>
      </c>
      <c r="E2251" s="1" t="s">
        <v>6641</v>
      </c>
      <c r="F2251" s="1">
        <v>1777.0</v>
      </c>
      <c r="G2251" s="1">
        <v>37.0</v>
      </c>
      <c r="H2251" s="1">
        <v>4.0</v>
      </c>
      <c r="I2251" s="1">
        <v>6740000.0</v>
      </c>
      <c r="J2251" s="1" t="s">
        <v>6040</v>
      </c>
    </row>
    <row r="2252">
      <c r="A2252" s="1" t="s">
        <v>6789</v>
      </c>
      <c r="B2252" s="1" t="s">
        <v>6790</v>
      </c>
      <c r="C2252" s="1" t="s">
        <v>6791</v>
      </c>
      <c r="D2252" s="1" t="s">
        <v>6640</v>
      </c>
      <c r="E2252" s="1" t="s">
        <v>6641</v>
      </c>
      <c r="F2252" s="1">
        <v>499785.0</v>
      </c>
      <c r="G2252" s="1">
        <v>10764.0</v>
      </c>
      <c r="H2252" s="1">
        <v>2299.0</v>
      </c>
      <c r="I2252" s="1">
        <v>6740000.0</v>
      </c>
      <c r="J2252" s="1" t="s">
        <v>6040</v>
      </c>
    </row>
    <row r="2253">
      <c r="A2253" s="1" t="s">
        <v>6792</v>
      </c>
      <c r="B2253" s="1" t="s">
        <v>6793</v>
      </c>
      <c r="C2253" s="1" t="s">
        <v>6794</v>
      </c>
      <c r="D2253" s="1" t="s">
        <v>6640</v>
      </c>
      <c r="E2253" s="1" t="s">
        <v>6641</v>
      </c>
      <c r="F2253" s="1">
        <v>17512.0</v>
      </c>
      <c r="G2253" s="1">
        <v>383.0</v>
      </c>
      <c r="H2253" s="1">
        <v>52.0</v>
      </c>
      <c r="I2253" s="1">
        <v>6740000.0</v>
      </c>
      <c r="J2253" s="1" t="s">
        <v>6040</v>
      </c>
    </row>
    <row r="2254">
      <c r="A2254" s="1" t="s">
        <v>6795</v>
      </c>
      <c r="B2254" s="1" t="s">
        <v>6796</v>
      </c>
      <c r="C2254" s="1" t="s">
        <v>6797</v>
      </c>
      <c r="D2254" s="1" t="s">
        <v>6640</v>
      </c>
      <c r="E2254" s="1" t="s">
        <v>6641</v>
      </c>
      <c r="F2254" s="1">
        <v>416233.0</v>
      </c>
      <c r="G2254" s="1">
        <v>5434.0</v>
      </c>
      <c r="H2254" s="1">
        <v>1439.0</v>
      </c>
      <c r="I2254" s="1">
        <v>6740000.0</v>
      </c>
      <c r="J2254" s="1" t="s">
        <v>6040</v>
      </c>
    </row>
    <row r="2255">
      <c r="A2255" s="1" t="s">
        <v>6798</v>
      </c>
      <c r="B2255" s="1" t="s">
        <v>6799</v>
      </c>
      <c r="C2255" s="1" t="s">
        <v>6800</v>
      </c>
      <c r="D2255" s="1" t="s">
        <v>6640</v>
      </c>
      <c r="E2255" s="1" t="s">
        <v>6641</v>
      </c>
      <c r="F2255" s="1">
        <v>24393.0</v>
      </c>
      <c r="G2255" s="1">
        <v>548.0</v>
      </c>
      <c r="H2255" s="1">
        <v>197.0</v>
      </c>
      <c r="I2255" s="1">
        <v>6740000.0</v>
      </c>
      <c r="J2255" s="1" t="s">
        <v>6040</v>
      </c>
    </row>
    <row r="2256">
      <c r="A2256" s="1" t="s">
        <v>6801</v>
      </c>
      <c r="B2256" s="1" t="s">
        <v>6802</v>
      </c>
      <c r="C2256" s="1" t="s">
        <v>6803</v>
      </c>
      <c r="D2256" s="1" t="s">
        <v>6640</v>
      </c>
      <c r="E2256" s="1" t="s">
        <v>6641</v>
      </c>
      <c r="F2256" s="1">
        <v>859011.0</v>
      </c>
      <c r="G2256" s="1">
        <v>10477.0</v>
      </c>
      <c r="H2256" s="1">
        <v>3129.0</v>
      </c>
      <c r="I2256" s="1">
        <v>6740000.0</v>
      </c>
      <c r="J2256" s="1" t="s">
        <v>6040</v>
      </c>
    </row>
    <row r="2257">
      <c r="A2257" s="1" t="s">
        <v>6804</v>
      </c>
      <c r="B2257" s="1" t="s">
        <v>6805</v>
      </c>
      <c r="C2257" s="1" t="s">
        <v>6806</v>
      </c>
      <c r="D2257" s="1" t="s">
        <v>6640</v>
      </c>
      <c r="E2257" s="1" t="s">
        <v>6641</v>
      </c>
      <c r="F2257" s="1">
        <v>44822.0</v>
      </c>
      <c r="G2257" s="1">
        <v>775.0</v>
      </c>
      <c r="H2257" s="1">
        <v>173.0</v>
      </c>
      <c r="I2257" s="1">
        <v>6740000.0</v>
      </c>
      <c r="J2257" s="1" t="s">
        <v>6040</v>
      </c>
    </row>
    <row r="2258">
      <c r="A2258" s="1" t="s">
        <v>6807</v>
      </c>
      <c r="B2258" s="1" t="s">
        <v>6808</v>
      </c>
      <c r="C2258" s="1" t="s">
        <v>6809</v>
      </c>
      <c r="D2258" s="1" t="s">
        <v>6640</v>
      </c>
      <c r="E2258" s="1" t="s">
        <v>6641</v>
      </c>
      <c r="F2258" s="1">
        <v>11045.0</v>
      </c>
      <c r="G2258" s="1">
        <v>176.0</v>
      </c>
      <c r="H2258" s="1">
        <v>70.0</v>
      </c>
      <c r="I2258" s="1">
        <v>6740000.0</v>
      </c>
      <c r="J2258" s="1" t="s">
        <v>6040</v>
      </c>
    </row>
    <row r="2259">
      <c r="A2259" s="1" t="s">
        <v>6810</v>
      </c>
      <c r="B2259" s="1" t="s">
        <v>6811</v>
      </c>
      <c r="C2259" s="1" t="s">
        <v>6812</v>
      </c>
      <c r="D2259" s="1" t="s">
        <v>6640</v>
      </c>
      <c r="E2259" s="1" t="s">
        <v>6641</v>
      </c>
      <c r="F2259" s="1">
        <v>868247.0</v>
      </c>
      <c r="G2259" s="1">
        <v>15856.0</v>
      </c>
      <c r="H2259" s="1">
        <v>3779.0</v>
      </c>
      <c r="I2259" s="1">
        <v>6740000.0</v>
      </c>
      <c r="J2259" s="1" t="s">
        <v>6040</v>
      </c>
    </row>
    <row r="2260">
      <c r="A2260" s="1" t="s">
        <v>6813</v>
      </c>
      <c r="B2260" s="1" t="s">
        <v>6814</v>
      </c>
      <c r="C2260" s="1" t="s">
        <v>6815</v>
      </c>
      <c r="D2260" s="1" t="s">
        <v>6640</v>
      </c>
      <c r="E2260" s="1" t="s">
        <v>6641</v>
      </c>
      <c r="F2260" s="1">
        <v>4884.0</v>
      </c>
      <c r="G2260" s="1">
        <v>69.0</v>
      </c>
      <c r="H2260" s="1">
        <v>12.0</v>
      </c>
      <c r="I2260" s="1">
        <v>6740000.0</v>
      </c>
      <c r="J2260" s="1" t="s">
        <v>6040</v>
      </c>
    </row>
    <row r="2261">
      <c r="A2261" s="1" t="s">
        <v>6816</v>
      </c>
      <c r="B2261" s="1" t="s">
        <v>6817</v>
      </c>
      <c r="C2261" s="1" t="s">
        <v>6818</v>
      </c>
      <c r="D2261" s="1" t="s">
        <v>6640</v>
      </c>
      <c r="E2261" s="1" t="s">
        <v>6641</v>
      </c>
      <c r="F2261" s="1">
        <v>8906.0</v>
      </c>
      <c r="G2261" s="1">
        <v>120.0</v>
      </c>
      <c r="H2261" s="1">
        <v>84.0</v>
      </c>
      <c r="I2261" s="1">
        <v>6740000.0</v>
      </c>
      <c r="J2261" s="1" t="s">
        <v>6040</v>
      </c>
    </row>
    <row r="2262">
      <c r="A2262" s="1" t="s">
        <v>6819</v>
      </c>
      <c r="B2262" s="1" t="s">
        <v>6820</v>
      </c>
      <c r="C2262" s="1" t="s">
        <v>6821</v>
      </c>
      <c r="D2262" s="1" t="s">
        <v>6640</v>
      </c>
      <c r="E2262" s="1" t="s">
        <v>6641</v>
      </c>
      <c r="F2262" s="1">
        <v>206557.0</v>
      </c>
      <c r="G2262" s="1">
        <v>1295.0</v>
      </c>
      <c r="H2262" s="1">
        <v>223.0</v>
      </c>
      <c r="I2262" s="1">
        <v>6740000.0</v>
      </c>
      <c r="J2262" s="1" t="s">
        <v>6040</v>
      </c>
    </row>
    <row r="2263">
      <c r="A2263" s="1" t="s">
        <v>6822</v>
      </c>
      <c r="B2263" s="1" t="s">
        <v>6823</v>
      </c>
      <c r="C2263" s="1" t="s">
        <v>6824</v>
      </c>
      <c r="D2263" s="1" t="s">
        <v>6640</v>
      </c>
      <c r="E2263" s="1" t="s">
        <v>6641</v>
      </c>
      <c r="F2263" s="1">
        <v>1629.0</v>
      </c>
      <c r="G2263" s="1">
        <v>25.0</v>
      </c>
      <c r="H2263" s="1">
        <v>12.0</v>
      </c>
      <c r="I2263" s="1">
        <v>6740000.0</v>
      </c>
      <c r="J2263" s="1" t="s">
        <v>6040</v>
      </c>
    </row>
    <row r="2264">
      <c r="A2264" s="1" t="s">
        <v>6825</v>
      </c>
      <c r="B2264" s="1" t="s">
        <v>6826</v>
      </c>
      <c r="C2264" s="1" t="s">
        <v>6827</v>
      </c>
      <c r="D2264" s="1" t="s">
        <v>6640</v>
      </c>
      <c r="E2264" s="1" t="s">
        <v>6641</v>
      </c>
      <c r="F2264" s="1">
        <v>799074.0</v>
      </c>
      <c r="G2264" s="1">
        <v>11405.0</v>
      </c>
      <c r="H2264" s="1">
        <v>2978.0</v>
      </c>
      <c r="I2264" s="1">
        <v>6740000.0</v>
      </c>
      <c r="J2264" s="1" t="s">
        <v>6040</v>
      </c>
    </row>
    <row r="2265">
      <c r="A2265" s="1" t="s">
        <v>6828</v>
      </c>
      <c r="B2265" s="1" t="s">
        <v>6829</v>
      </c>
      <c r="C2265" s="1" t="s">
        <v>6830</v>
      </c>
      <c r="D2265" s="1" t="s">
        <v>6640</v>
      </c>
      <c r="E2265" s="1" t="s">
        <v>6641</v>
      </c>
      <c r="F2265" s="1">
        <v>4182.0</v>
      </c>
      <c r="G2265" s="1">
        <v>81.0</v>
      </c>
      <c r="H2265" s="1">
        <v>12.0</v>
      </c>
      <c r="I2265" s="1">
        <v>6740000.0</v>
      </c>
      <c r="J2265" s="1" t="s">
        <v>6040</v>
      </c>
    </row>
    <row r="2266">
      <c r="A2266" s="1" t="s">
        <v>6831</v>
      </c>
      <c r="B2266" s="1" t="s">
        <v>6832</v>
      </c>
      <c r="C2266" s="1" t="s">
        <v>6833</v>
      </c>
      <c r="D2266" s="1" t="s">
        <v>6640</v>
      </c>
      <c r="E2266" s="1" t="s">
        <v>6641</v>
      </c>
      <c r="F2266" s="1">
        <v>14838.0</v>
      </c>
      <c r="G2266" s="1">
        <v>378.0</v>
      </c>
      <c r="H2266" s="1">
        <v>299.0</v>
      </c>
      <c r="I2266" s="1">
        <v>6740000.0</v>
      </c>
      <c r="J2266" s="1" t="s">
        <v>6040</v>
      </c>
    </row>
    <row r="2267">
      <c r="A2267" s="1" t="s">
        <v>6834</v>
      </c>
      <c r="B2267" s="1" t="s">
        <v>6835</v>
      </c>
      <c r="C2267" s="1" t="s">
        <v>6836</v>
      </c>
      <c r="D2267" s="1" t="s">
        <v>6640</v>
      </c>
      <c r="E2267" s="1" t="s">
        <v>6641</v>
      </c>
      <c r="F2267" s="1">
        <v>19464.0</v>
      </c>
      <c r="G2267" s="1">
        <v>334.0</v>
      </c>
      <c r="H2267" s="1">
        <v>54.0</v>
      </c>
      <c r="I2267" s="1">
        <v>6740000.0</v>
      </c>
      <c r="J2267" s="1" t="s">
        <v>6040</v>
      </c>
    </row>
    <row r="2268">
      <c r="A2268" s="1" t="s">
        <v>6837</v>
      </c>
      <c r="B2268" s="1" t="s">
        <v>6838</v>
      </c>
      <c r="C2268" s="1" t="s">
        <v>6839</v>
      </c>
      <c r="D2268" s="1" t="s">
        <v>6640</v>
      </c>
      <c r="E2268" s="1" t="s">
        <v>6641</v>
      </c>
      <c r="F2268" s="1">
        <v>39263.0</v>
      </c>
      <c r="G2268" s="1">
        <v>465.0</v>
      </c>
      <c r="H2268" s="1">
        <v>194.0</v>
      </c>
      <c r="I2268" s="1">
        <v>6740000.0</v>
      </c>
      <c r="J2268" s="1" t="s">
        <v>6040</v>
      </c>
    </row>
    <row r="2269">
      <c r="A2269" s="1" t="s">
        <v>6840</v>
      </c>
      <c r="B2269" s="1" t="s">
        <v>6841</v>
      </c>
      <c r="C2269" s="1" t="s">
        <v>6842</v>
      </c>
      <c r="D2269" s="1" t="s">
        <v>6640</v>
      </c>
      <c r="E2269" s="1" t="s">
        <v>6641</v>
      </c>
      <c r="F2269" s="1">
        <v>8315.0</v>
      </c>
      <c r="G2269" s="1">
        <v>176.0</v>
      </c>
      <c r="H2269" s="1">
        <v>83.0</v>
      </c>
      <c r="I2269" s="1">
        <v>6740000.0</v>
      </c>
      <c r="J2269" s="1" t="s">
        <v>6040</v>
      </c>
    </row>
    <row r="2270">
      <c r="A2270" s="1" t="s">
        <v>6843</v>
      </c>
      <c r="B2270" s="1" t="s">
        <v>6844</v>
      </c>
      <c r="C2270" s="1" t="s">
        <v>6845</v>
      </c>
      <c r="D2270" s="1" t="s">
        <v>6640</v>
      </c>
      <c r="E2270" s="1" t="s">
        <v>6641</v>
      </c>
      <c r="F2270" s="1">
        <v>5585.0</v>
      </c>
      <c r="G2270" s="1">
        <v>111.0</v>
      </c>
      <c r="H2270" s="1">
        <v>22.0</v>
      </c>
      <c r="I2270" s="1">
        <v>6740000.0</v>
      </c>
      <c r="J2270" s="1" t="s">
        <v>6040</v>
      </c>
    </row>
    <row r="2271">
      <c r="A2271" s="1" t="s">
        <v>6846</v>
      </c>
      <c r="B2271" s="1" t="s">
        <v>6847</v>
      </c>
      <c r="C2271" s="1" t="s">
        <v>6848</v>
      </c>
      <c r="D2271" s="1" t="s">
        <v>6640</v>
      </c>
      <c r="E2271" s="1" t="s">
        <v>6641</v>
      </c>
      <c r="F2271" s="1">
        <v>3208.0</v>
      </c>
      <c r="G2271" s="1">
        <v>90.0</v>
      </c>
      <c r="H2271" s="1">
        <v>19.0</v>
      </c>
      <c r="I2271" s="1">
        <v>6740000.0</v>
      </c>
      <c r="J2271" s="1" t="s">
        <v>6040</v>
      </c>
    </row>
    <row r="2272">
      <c r="A2272" s="1" t="s">
        <v>6849</v>
      </c>
      <c r="B2272" s="1" t="s">
        <v>6850</v>
      </c>
      <c r="C2272" s="1" t="s">
        <v>6851</v>
      </c>
      <c r="D2272" s="1" t="s">
        <v>6640</v>
      </c>
      <c r="E2272" s="1" t="s">
        <v>6641</v>
      </c>
      <c r="F2272" s="1">
        <v>2468.0</v>
      </c>
      <c r="G2272" s="1">
        <v>50.0</v>
      </c>
      <c r="H2272" s="1">
        <v>12.0</v>
      </c>
      <c r="I2272" s="1">
        <v>6740000.0</v>
      </c>
      <c r="J2272" s="1" t="s">
        <v>6040</v>
      </c>
    </row>
    <row r="2273">
      <c r="A2273" s="1" t="s">
        <v>6852</v>
      </c>
      <c r="B2273" s="1" t="s">
        <v>6853</v>
      </c>
      <c r="C2273" s="1" t="s">
        <v>6854</v>
      </c>
      <c r="D2273" s="1" t="s">
        <v>6640</v>
      </c>
      <c r="E2273" s="1" t="s">
        <v>6641</v>
      </c>
      <c r="F2273" s="1">
        <v>110964.0</v>
      </c>
      <c r="G2273" s="1">
        <v>1140.0</v>
      </c>
      <c r="H2273" s="1">
        <v>199.0</v>
      </c>
      <c r="I2273" s="1">
        <v>6740000.0</v>
      </c>
      <c r="J2273" s="1" t="s">
        <v>6040</v>
      </c>
    </row>
    <row r="2274">
      <c r="A2274" s="1" t="s">
        <v>6855</v>
      </c>
      <c r="B2274" s="1" t="s">
        <v>6856</v>
      </c>
      <c r="C2274" s="1" t="s">
        <v>6857</v>
      </c>
      <c r="D2274" s="1" t="s">
        <v>6640</v>
      </c>
      <c r="E2274" s="1" t="s">
        <v>6641</v>
      </c>
      <c r="F2274" s="1">
        <v>5189.0</v>
      </c>
      <c r="G2274" s="1">
        <v>94.0</v>
      </c>
      <c r="H2274" s="1">
        <v>24.0</v>
      </c>
      <c r="I2274" s="1">
        <v>6740000.0</v>
      </c>
      <c r="J2274" s="1" t="s">
        <v>6040</v>
      </c>
    </row>
    <row r="2275">
      <c r="A2275" s="1" t="s">
        <v>6858</v>
      </c>
      <c r="B2275" s="1" t="s">
        <v>6859</v>
      </c>
      <c r="C2275" s="1" t="s">
        <v>6860</v>
      </c>
      <c r="D2275" s="1" t="s">
        <v>6640</v>
      </c>
      <c r="E2275" s="1" t="s">
        <v>6641</v>
      </c>
      <c r="F2275" s="1">
        <v>4540.0</v>
      </c>
      <c r="G2275" s="1">
        <v>133.0</v>
      </c>
      <c r="H2275" s="1">
        <v>31.0</v>
      </c>
      <c r="I2275" s="1">
        <v>6740000.0</v>
      </c>
      <c r="J2275" s="1" t="s">
        <v>6040</v>
      </c>
    </row>
    <row r="2276">
      <c r="A2276" s="1" t="s">
        <v>6861</v>
      </c>
      <c r="B2276" s="1" t="s">
        <v>6862</v>
      </c>
      <c r="C2276" s="1" t="s">
        <v>6863</v>
      </c>
      <c r="D2276" s="1" t="s">
        <v>6640</v>
      </c>
      <c r="E2276" s="1" t="s">
        <v>6641</v>
      </c>
      <c r="F2276" s="1">
        <v>1483.0</v>
      </c>
      <c r="G2276" s="1">
        <v>28.0</v>
      </c>
      <c r="H2276" s="1">
        <v>17.0</v>
      </c>
      <c r="I2276" s="1">
        <v>6740000.0</v>
      </c>
      <c r="J2276" s="1" t="s">
        <v>6040</v>
      </c>
    </row>
    <row r="2277">
      <c r="A2277" s="1" t="s">
        <v>6864</v>
      </c>
      <c r="B2277" s="1" t="s">
        <v>6865</v>
      </c>
      <c r="C2277" s="1" t="s">
        <v>6866</v>
      </c>
      <c r="D2277" s="1" t="s">
        <v>6640</v>
      </c>
      <c r="E2277" s="1" t="s">
        <v>6641</v>
      </c>
      <c r="F2277" s="1">
        <v>13191.0</v>
      </c>
      <c r="G2277" s="1">
        <v>374.0</v>
      </c>
      <c r="H2277" s="1">
        <v>217.0</v>
      </c>
      <c r="I2277" s="1">
        <v>6740000.0</v>
      </c>
      <c r="J2277" s="1" t="s">
        <v>6040</v>
      </c>
    </row>
    <row r="2278">
      <c r="A2278" s="1" t="s">
        <v>6867</v>
      </c>
      <c r="B2278" s="1" t="s">
        <v>6868</v>
      </c>
      <c r="C2278" s="1" t="s">
        <v>6869</v>
      </c>
      <c r="D2278" s="1" t="s">
        <v>6640</v>
      </c>
      <c r="E2278" s="1" t="s">
        <v>6641</v>
      </c>
      <c r="F2278" s="1">
        <v>4403.0</v>
      </c>
      <c r="G2278" s="1">
        <v>89.0</v>
      </c>
      <c r="H2278" s="1">
        <v>13.0</v>
      </c>
      <c r="I2278" s="1">
        <v>6740000.0</v>
      </c>
      <c r="J2278" s="1" t="s">
        <v>6040</v>
      </c>
    </row>
    <row r="2279">
      <c r="A2279" s="1" t="s">
        <v>6870</v>
      </c>
      <c r="B2279" s="1" t="s">
        <v>6871</v>
      </c>
      <c r="C2279" s="1" t="s">
        <v>6872</v>
      </c>
      <c r="D2279" s="1" t="s">
        <v>6640</v>
      </c>
      <c r="E2279" s="1" t="s">
        <v>6641</v>
      </c>
      <c r="F2279" s="1">
        <v>14991.0</v>
      </c>
      <c r="G2279" s="1">
        <v>195.0</v>
      </c>
      <c r="H2279" s="1">
        <v>25.0</v>
      </c>
      <c r="I2279" s="1">
        <v>6740000.0</v>
      </c>
      <c r="J2279" s="1" t="s">
        <v>6040</v>
      </c>
    </row>
    <row r="2280">
      <c r="A2280" s="1" t="s">
        <v>6873</v>
      </c>
      <c r="B2280" s="1" t="s">
        <v>6874</v>
      </c>
      <c r="C2280" s="1" t="s">
        <v>6875</v>
      </c>
      <c r="D2280" s="1" t="s">
        <v>6640</v>
      </c>
      <c r="E2280" s="1" t="s">
        <v>6641</v>
      </c>
      <c r="F2280" s="1">
        <v>3819.0</v>
      </c>
      <c r="G2280" s="1">
        <v>91.0</v>
      </c>
      <c r="H2280" s="1">
        <v>52.0</v>
      </c>
      <c r="I2280" s="1">
        <v>6740000.0</v>
      </c>
      <c r="J2280" s="1" t="s">
        <v>6040</v>
      </c>
    </row>
    <row r="2281">
      <c r="A2281" s="1" t="s">
        <v>6876</v>
      </c>
      <c r="B2281" s="1" t="s">
        <v>6877</v>
      </c>
      <c r="C2281" s="1" t="s">
        <v>6878</v>
      </c>
      <c r="D2281" s="1" t="s">
        <v>6640</v>
      </c>
      <c r="E2281" s="1" t="s">
        <v>6641</v>
      </c>
      <c r="F2281" s="1">
        <v>3157.0</v>
      </c>
      <c r="G2281" s="1">
        <v>95.0</v>
      </c>
      <c r="H2281" s="1">
        <v>7.0</v>
      </c>
      <c r="I2281" s="1">
        <v>6740000.0</v>
      </c>
      <c r="J2281" s="1" t="s">
        <v>6040</v>
      </c>
    </row>
    <row r="2282">
      <c r="A2282" s="1" t="s">
        <v>6879</v>
      </c>
      <c r="B2282" s="1" t="s">
        <v>6880</v>
      </c>
      <c r="C2282" s="1" t="s">
        <v>6881</v>
      </c>
      <c r="D2282" s="1" t="s">
        <v>6640</v>
      </c>
      <c r="E2282" s="1" t="s">
        <v>6641</v>
      </c>
      <c r="F2282" s="1">
        <v>4696.0</v>
      </c>
      <c r="G2282" s="1">
        <v>77.0</v>
      </c>
      <c r="H2282" s="1">
        <v>8.0</v>
      </c>
      <c r="I2282" s="1">
        <v>6740000.0</v>
      </c>
      <c r="J2282" s="1" t="s">
        <v>6040</v>
      </c>
    </row>
    <row r="2283">
      <c r="A2283" s="1" t="s">
        <v>6882</v>
      </c>
      <c r="B2283" s="1" t="s">
        <v>6883</v>
      </c>
      <c r="C2283" s="1" t="s">
        <v>6884</v>
      </c>
      <c r="D2283" s="1" t="s">
        <v>6640</v>
      </c>
      <c r="E2283" s="1" t="s">
        <v>6641</v>
      </c>
      <c r="F2283" s="1">
        <v>75542.0</v>
      </c>
      <c r="G2283" s="1">
        <v>900.0</v>
      </c>
      <c r="H2283" s="1">
        <v>133.0</v>
      </c>
      <c r="I2283" s="1">
        <v>6740000.0</v>
      </c>
      <c r="J2283" s="1" t="s">
        <v>6040</v>
      </c>
    </row>
    <row r="2284">
      <c r="A2284" s="1" t="s">
        <v>6885</v>
      </c>
      <c r="B2284" s="1" t="s">
        <v>6886</v>
      </c>
      <c r="C2284" s="1" t="s">
        <v>6887</v>
      </c>
      <c r="D2284" s="1" t="s">
        <v>6640</v>
      </c>
      <c r="E2284" s="1" t="s">
        <v>6641</v>
      </c>
      <c r="F2284" s="1">
        <v>10004.0</v>
      </c>
      <c r="G2284" s="1">
        <v>264.0</v>
      </c>
      <c r="H2284" s="1">
        <v>189.0</v>
      </c>
      <c r="I2284" s="1">
        <v>6740000.0</v>
      </c>
      <c r="J2284" s="1" t="s">
        <v>6040</v>
      </c>
    </row>
    <row r="2285">
      <c r="A2285" s="1" t="s">
        <v>6888</v>
      </c>
      <c r="B2285" s="1" t="s">
        <v>6889</v>
      </c>
      <c r="C2285" s="1" t="s">
        <v>6890</v>
      </c>
      <c r="D2285" s="1" t="s">
        <v>6640</v>
      </c>
      <c r="E2285" s="1" t="s">
        <v>6641</v>
      </c>
      <c r="F2285" s="1">
        <v>87862.0</v>
      </c>
      <c r="G2285" s="1">
        <v>584.0</v>
      </c>
      <c r="H2285" s="1">
        <v>105.0</v>
      </c>
      <c r="I2285" s="1">
        <v>6740000.0</v>
      </c>
      <c r="J2285" s="1" t="s">
        <v>6040</v>
      </c>
    </row>
    <row r="2286">
      <c r="A2286" s="1" t="s">
        <v>6891</v>
      </c>
      <c r="B2286" s="1" t="s">
        <v>6892</v>
      </c>
      <c r="C2286" s="1" t="s">
        <v>6893</v>
      </c>
      <c r="D2286" s="1" t="s">
        <v>6640</v>
      </c>
      <c r="E2286" s="1" t="s">
        <v>6641</v>
      </c>
      <c r="F2286" s="1">
        <v>10646.0</v>
      </c>
      <c r="G2286" s="1">
        <v>142.0</v>
      </c>
      <c r="H2286" s="1">
        <v>12.0</v>
      </c>
      <c r="I2286" s="1">
        <v>6740000.0</v>
      </c>
      <c r="J2286" s="1" t="s">
        <v>6040</v>
      </c>
    </row>
    <row r="2287">
      <c r="A2287" s="1" t="s">
        <v>6894</v>
      </c>
      <c r="B2287" s="1" t="s">
        <v>6895</v>
      </c>
      <c r="C2287" s="1" t="s">
        <v>6896</v>
      </c>
      <c r="D2287" s="1" t="s">
        <v>6640</v>
      </c>
      <c r="E2287" s="1" t="s">
        <v>6641</v>
      </c>
      <c r="F2287" s="1">
        <v>7160.0</v>
      </c>
      <c r="G2287" s="1">
        <v>130.0</v>
      </c>
      <c r="H2287" s="1">
        <v>97.0</v>
      </c>
      <c r="I2287" s="1">
        <v>6740000.0</v>
      </c>
      <c r="J2287" s="1" t="s">
        <v>6040</v>
      </c>
    </row>
    <row r="2288">
      <c r="A2288" s="1" t="s">
        <v>6897</v>
      </c>
      <c r="B2288" s="1" t="s">
        <v>6898</v>
      </c>
      <c r="C2288" s="1" t="s">
        <v>6899</v>
      </c>
      <c r="D2288" s="1" t="s">
        <v>6640</v>
      </c>
      <c r="E2288" s="1" t="s">
        <v>6641</v>
      </c>
      <c r="F2288" s="1">
        <v>3867.0</v>
      </c>
      <c r="G2288" s="1">
        <v>53.0</v>
      </c>
      <c r="H2288" s="1">
        <v>6.0</v>
      </c>
      <c r="I2288" s="1">
        <v>6740000.0</v>
      </c>
      <c r="J2288" s="1" t="s">
        <v>6040</v>
      </c>
    </row>
    <row r="2289">
      <c r="A2289" s="1" t="s">
        <v>6900</v>
      </c>
      <c r="B2289" s="1" t="s">
        <v>6901</v>
      </c>
      <c r="C2289" s="1" t="s">
        <v>6902</v>
      </c>
      <c r="D2289" s="1" t="s">
        <v>6640</v>
      </c>
      <c r="E2289" s="1" t="s">
        <v>6641</v>
      </c>
      <c r="F2289" s="1">
        <v>89253.0</v>
      </c>
      <c r="G2289" s="1">
        <v>1320.0</v>
      </c>
      <c r="H2289" s="1">
        <v>131.0</v>
      </c>
      <c r="I2289" s="1">
        <v>6740000.0</v>
      </c>
      <c r="J2289" s="1" t="s">
        <v>6040</v>
      </c>
    </row>
    <row r="2290">
      <c r="A2290" s="1" t="s">
        <v>6903</v>
      </c>
      <c r="B2290" s="1" t="s">
        <v>6904</v>
      </c>
      <c r="C2290" s="1" t="s">
        <v>6905</v>
      </c>
      <c r="D2290" s="1" t="s">
        <v>6640</v>
      </c>
      <c r="E2290" s="1" t="s">
        <v>6641</v>
      </c>
      <c r="F2290" s="1">
        <v>184565.0</v>
      </c>
      <c r="G2290" s="1">
        <v>1678.0</v>
      </c>
      <c r="H2290" s="1">
        <v>85.0</v>
      </c>
      <c r="I2290" s="1">
        <v>6740000.0</v>
      </c>
      <c r="J2290" s="1" t="s">
        <v>6040</v>
      </c>
    </row>
    <row r="2291">
      <c r="A2291" s="1" t="s">
        <v>6906</v>
      </c>
      <c r="B2291" s="1" t="s">
        <v>6907</v>
      </c>
      <c r="C2291" s="1" t="s">
        <v>6908</v>
      </c>
      <c r="D2291" s="1" t="s">
        <v>6640</v>
      </c>
      <c r="E2291" s="1" t="s">
        <v>6641</v>
      </c>
      <c r="F2291" s="1">
        <v>278096.0</v>
      </c>
      <c r="G2291" s="1">
        <v>8436.0</v>
      </c>
      <c r="H2291" s="1">
        <v>911.0</v>
      </c>
      <c r="I2291" s="1">
        <v>6740000.0</v>
      </c>
      <c r="J2291" s="1" t="s">
        <v>6040</v>
      </c>
    </row>
    <row r="2292">
      <c r="A2292" s="1" t="s">
        <v>6909</v>
      </c>
      <c r="B2292" s="1" t="s">
        <v>6910</v>
      </c>
      <c r="C2292" s="1" t="s">
        <v>6911</v>
      </c>
      <c r="D2292" s="1" t="s">
        <v>6640</v>
      </c>
      <c r="E2292" s="1" t="s">
        <v>6641</v>
      </c>
      <c r="F2292" s="1">
        <v>30634.0</v>
      </c>
      <c r="G2292" s="1">
        <v>429.0</v>
      </c>
      <c r="H2292" s="1">
        <v>9.0</v>
      </c>
      <c r="I2292" s="1">
        <v>6740000.0</v>
      </c>
      <c r="J2292" s="1" t="s">
        <v>6040</v>
      </c>
    </row>
    <row r="2293">
      <c r="A2293" s="1" t="s">
        <v>6912</v>
      </c>
      <c r="B2293" s="1" t="s">
        <v>6913</v>
      </c>
      <c r="C2293" s="1" t="s">
        <v>6914</v>
      </c>
      <c r="D2293" s="1" t="s">
        <v>6640</v>
      </c>
      <c r="E2293" s="1" t="s">
        <v>6641</v>
      </c>
      <c r="F2293" s="1">
        <v>10481.0</v>
      </c>
      <c r="G2293" s="1">
        <v>174.0</v>
      </c>
      <c r="H2293" s="1">
        <v>24.0</v>
      </c>
      <c r="I2293" s="1">
        <v>6740000.0</v>
      </c>
      <c r="J2293" s="1" t="s">
        <v>6040</v>
      </c>
    </row>
    <row r="2294">
      <c r="A2294" s="1" t="s">
        <v>6915</v>
      </c>
      <c r="B2294" s="1" t="s">
        <v>6916</v>
      </c>
      <c r="C2294" s="1" t="s">
        <v>6917</v>
      </c>
      <c r="D2294" s="1" t="s">
        <v>6640</v>
      </c>
      <c r="E2294" s="1" t="s">
        <v>6641</v>
      </c>
      <c r="F2294" s="1">
        <v>5101.0</v>
      </c>
      <c r="G2294" s="1">
        <v>118.0</v>
      </c>
      <c r="H2294" s="1">
        <v>14.0</v>
      </c>
      <c r="I2294" s="1">
        <v>6740000.0</v>
      </c>
      <c r="J2294" s="1" t="s">
        <v>6040</v>
      </c>
    </row>
    <row r="2295">
      <c r="A2295" s="1" t="s">
        <v>6918</v>
      </c>
      <c r="B2295" s="1" t="s">
        <v>6919</v>
      </c>
      <c r="C2295" s="1" t="s">
        <v>6920</v>
      </c>
      <c r="D2295" s="1" t="s">
        <v>6640</v>
      </c>
      <c r="E2295" s="1" t="s">
        <v>6641</v>
      </c>
      <c r="F2295" s="1">
        <v>41611.0</v>
      </c>
      <c r="G2295" s="1">
        <v>1018.0</v>
      </c>
      <c r="H2295" s="1">
        <v>135.0</v>
      </c>
      <c r="I2295" s="1">
        <v>6740000.0</v>
      </c>
      <c r="J2295" s="1" t="s">
        <v>6040</v>
      </c>
    </row>
    <row r="2296">
      <c r="A2296" s="1" t="s">
        <v>6921</v>
      </c>
      <c r="B2296" s="1" t="s">
        <v>6922</v>
      </c>
      <c r="C2296" s="1" t="s">
        <v>6923</v>
      </c>
      <c r="D2296" s="1" t="s">
        <v>6640</v>
      </c>
      <c r="E2296" s="1" t="s">
        <v>6641</v>
      </c>
      <c r="F2296" s="1">
        <v>6653.0</v>
      </c>
      <c r="G2296" s="1">
        <v>113.0</v>
      </c>
      <c r="H2296" s="1">
        <v>29.0</v>
      </c>
      <c r="I2296" s="1">
        <v>6740000.0</v>
      </c>
      <c r="J2296" s="1" t="s">
        <v>6040</v>
      </c>
    </row>
    <row r="2297">
      <c r="A2297" s="1" t="s">
        <v>6924</v>
      </c>
      <c r="B2297" s="1" t="s">
        <v>6925</v>
      </c>
      <c r="C2297" s="1" t="s">
        <v>6926</v>
      </c>
      <c r="D2297" s="1" t="s">
        <v>6640</v>
      </c>
      <c r="E2297" s="1" t="s">
        <v>6641</v>
      </c>
      <c r="F2297" s="1">
        <v>98499.0</v>
      </c>
      <c r="G2297" s="1">
        <v>948.0</v>
      </c>
      <c r="H2297" s="1">
        <v>161.0</v>
      </c>
      <c r="I2297" s="1">
        <v>6740000.0</v>
      </c>
      <c r="J2297" s="1" t="s">
        <v>6040</v>
      </c>
    </row>
    <row r="2298">
      <c r="A2298" s="1" t="s">
        <v>6927</v>
      </c>
      <c r="B2298" s="1" t="s">
        <v>6928</v>
      </c>
      <c r="C2298" s="1" t="s">
        <v>6929</v>
      </c>
      <c r="D2298" s="1" t="s">
        <v>6640</v>
      </c>
      <c r="E2298" s="1" t="s">
        <v>6641</v>
      </c>
      <c r="F2298" s="1">
        <v>2635.0</v>
      </c>
      <c r="G2298" s="1">
        <v>57.0</v>
      </c>
      <c r="H2298" s="1">
        <v>18.0</v>
      </c>
      <c r="I2298" s="1">
        <v>6740000.0</v>
      </c>
      <c r="J2298" s="1" t="s">
        <v>6040</v>
      </c>
    </row>
    <row r="2299">
      <c r="A2299" s="1" t="s">
        <v>6930</v>
      </c>
      <c r="B2299" s="1" t="s">
        <v>6931</v>
      </c>
      <c r="C2299" s="1" t="s">
        <v>6932</v>
      </c>
      <c r="D2299" s="1" t="s">
        <v>6640</v>
      </c>
      <c r="E2299" s="1" t="s">
        <v>6641</v>
      </c>
      <c r="F2299" s="1">
        <v>13178.0</v>
      </c>
      <c r="G2299" s="1">
        <v>384.0</v>
      </c>
      <c r="H2299" s="1">
        <v>113.0</v>
      </c>
      <c r="I2299" s="1">
        <v>6740000.0</v>
      </c>
      <c r="J2299" s="1" t="s">
        <v>6040</v>
      </c>
    </row>
    <row r="2300">
      <c r="A2300" s="1" t="s">
        <v>6933</v>
      </c>
      <c r="B2300" s="1" t="s">
        <v>6934</v>
      </c>
      <c r="C2300" s="1" t="s">
        <v>6935</v>
      </c>
      <c r="D2300" s="1" t="s">
        <v>6640</v>
      </c>
      <c r="E2300" s="1" t="s">
        <v>6641</v>
      </c>
      <c r="F2300" s="1">
        <v>13297.0</v>
      </c>
      <c r="G2300" s="1">
        <v>177.0</v>
      </c>
      <c r="H2300" s="1">
        <v>31.0</v>
      </c>
      <c r="I2300" s="1">
        <v>6740000.0</v>
      </c>
      <c r="J2300" s="1" t="s">
        <v>6040</v>
      </c>
    </row>
    <row r="2301">
      <c r="A2301" s="1" t="s">
        <v>6936</v>
      </c>
      <c r="B2301" s="1" t="s">
        <v>6937</v>
      </c>
      <c r="C2301" s="1" t="s">
        <v>6938</v>
      </c>
      <c r="D2301" s="1" t="s">
        <v>6640</v>
      </c>
      <c r="E2301" s="1" t="s">
        <v>6641</v>
      </c>
      <c r="F2301" s="1">
        <v>34708.0</v>
      </c>
      <c r="G2301" s="1">
        <v>712.0</v>
      </c>
      <c r="H2301" s="1">
        <v>131.0</v>
      </c>
      <c r="I2301" s="1">
        <v>6740000.0</v>
      </c>
      <c r="J2301" s="1" t="s">
        <v>6040</v>
      </c>
    </row>
    <row r="2302">
      <c r="A2302" s="1" t="s">
        <v>6939</v>
      </c>
      <c r="B2302" s="1" t="s">
        <v>6940</v>
      </c>
      <c r="C2302" s="1" t="s">
        <v>6941</v>
      </c>
      <c r="D2302" s="1" t="s">
        <v>6640</v>
      </c>
      <c r="E2302" s="1" t="s">
        <v>6641</v>
      </c>
      <c r="F2302" s="1">
        <v>2552.0</v>
      </c>
      <c r="G2302" s="1">
        <v>28.0</v>
      </c>
      <c r="H2302" s="1">
        <v>6.0</v>
      </c>
      <c r="I2302" s="1">
        <v>6740000.0</v>
      </c>
      <c r="J2302" s="1" t="s">
        <v>6040</v>
      </c>
    </row>
    <row r="2303">
      <c r="A2303" s="1" t="s">
        <v>6942</v>
      </c>
      <c r="B2303" s="1" t="s">
        <v>6943</v>
      </c>
      <c r="C2303" s="1" t="s">
        <v>6944</v>
      </c>
      <c r="D2303" s="1" t="s">
        <v>6640</v>
      </c>
      <c r="E2303" s="1" t="s">
        <v>6641</v>
      </c>
      <c r="F2303" s="1">
        <v>20902.0</v>
      </c>
      <c r="G2303" s="1">
        <v>321.0</v>
      </c>
      <c r="H2303" s="1">
        <v>37.0</v>
      </c>
      <c r="I2303" s="1">
        <v>6740000.0</v>
      </c>
      <c r="J2303" s="1" t="s">
        <v>6040</v>
      </c>
    </row>
    <row r="2304">
      <c r="A2304" s="1" t="s">
        <v>6945</v>
      </c>
      <c r="B2304" s="1" t="s">
        <v>6946</v>
      </c>
      <c r="C2304" s="1" t="s">
        <v>6947</v>
      </c>
      <c r="D2304" s="1" t="s">
        <v>6640</v>
      </c>
      <c r="E2304" s="1" t="s">
        <v>6641</v>
      </c>
      <c r="F2304" s="1">
        <v>10334.0</v>
      </c>
      <c r="G2304" s="1">
        <v>304.0</v>
      </c>
      <c r="H2304" s="1">
        <v>19.0</v>
      </c>
      <c r="I2304" s="1">
        <v>6740000.0</v>
      </c>
      <c r="J2304" s="1" t="s">
        <v>6040</v>
      </c>
    </row>
    <row r="2305">
      <c r="A2305" s="1" t="s">
        <v>6948</v>
      </c>
      <c r="B2305" s="1" t="s">
        <v>6949</v>
      </c>
      <c r="C2305" s="1" t="s">
        <v>6950</v>
      </c>
      <c r="D2305" s="1" t="s">
        <v>6640</v>
      </c>
      <c r="E2305" s="1" t="s">
        <v>6641</v>
      </c>
      <c r="F2305" s="1">
        <v>2005.0</v>
      </c>
      <c r="G2305" s="1">
        <v>43.0</v>
      </c>
      <c r="H2305" s="1">
        <v>4.0</v>
      </c>
      <c r="I2305" s="1">
        <v>6740000.0</v>
      </c>
      <c r="J2305" s="1" t="s">
        <v>6040</v>
      </c>
    </row>
    <row r="2306">
      <c r="A2306" s="1" t="s">
        <v>6951</v>
      </c>
      <c r="B2306" s="1" t="s">
        <v>6952</v>
      </c>
      <c r="C2306" s="1" t="s">
        <v>6953</v>
      </c>
      <c r="D2306" s="1" t="s">
        <v>6640</v>
      </c>
      <c r="E2306" s="1" t="s">
        <v>6641</v>
      </c>
      <c r="F2306" s="1">
        <v>3120.0</v>
      </c>
      <c r="G2306" s="1">
        <v>78.0</v>
      </c>
      <c r="H2306" s="1">
        <v>13.0</v>
      </c>
      <c r="I2306" s="1">
        <v>6740000.0</v>
      </c>
      <c r="J2306" s="1" t="s">
        <v>6040</v>
      </c>
    </row>
    <row r="2307">
      <c r="A2307" s="1" t="s">
        <v>6954</v>
      </c>
      <c r="B2307" s="1" t="s">
        <v>6955</v>
      </c>
      <c r="C2307" s="1" t="s">
        <v>6956</v>
      </c>
      <c r="D2307" s="1" t="s">
        <v>6640</v>
      </c>
      <c r="E2307" s="1" t="s">
        <v>6641</v>
      </c>
      <c r="F2307" s="1">
        <v>4209.0</v>
      </c>
      <c r="G2307" s="1">
        <v>45.0</v>
      </c>
      <c r="H2307" s="1">
        <v>6.0</v>
      </c>
      <c r="I2307" s="1">
        <v>6740000.0</v>
      </c>
      <c r="J2307" s="1" t="s">
        <v>6040</v>
      </c>
    </row>
    <row r="2308">
      <c r="A2308" s="1" t="s">
        <v>6957</v>
      </c>
      <c r="B2308" s="1" t="s">
        <v>6958</v>
      </c>
      <c r="C2308" s="1" t="s">
        <v>6959</v>
      </c>
      <c r="D2308" s="1" t="s">
        <v>6640</v>
      </c>
      <c r="E2308" s="1" t="s">
        <v>6641</v>
      </c>
      <c r="F2308" s="1">
        <v>15228.0</v>
      </c>
      <c r="G2308" s="1">
        <v>282.0</v>
      </c>
      <c r="H2308" s="1">
        <v>78.0</v>
      </c>
      <c r="I2308" s="1">
        <v>6740000.0</v>
      </c>
      <c r="J2308" s="1" t="s">
        <v>6040</v>
      </c>
    </row>
    <row r="2309">
      <c r="A2309" s="1" t="s">
        <v>6960</v>
      </c>
      <c r="B2309" s="1" t="s">
        <v>6961</v>
      </c>
      <c r="C2309" s="1" t="s">
        <v>6962</v>
      </c>
      <c r="D2309" s="1" t="s">
        <v>6640</v>
      </c>
      <c r="E2309" s="1" t="s">
        <v>6641</v>
      </c>
      <c r="F2309" s="1">
        <v>12350.0</v>
      </c>
      <c r="G2309" s="1">
        <v>160.0</v>
      </c>
      <c r="H2309" s="1">
        <v>50.0</v>
      </c>
      <c r="I2309" s="1">
        <v>6740000.0</v>
      </c>
      <c r="J2309" s="1" t="s">
        <v>6040</v>
      </c>
    </row>
    <row r="2310">
      <c r="A2310" s="1" t="s">
        <v>6963</v>
      </c>
      <c r="B2310" s="1" t="s">
        <v>6964</v>
      </c>
      <c r="C2310" s="1" t="s">
        <v>6965</v>
      </c>
      <c r="D2310" s="1" t="s">
        <v>6640</v>
      </c>
      <c r="E2310" s="1" t="s">
        <v>6641</v>
      </c>
      <c r="F2310" s="1">
        <v>164119.0</v>
      </c>
      <c r="G2310" s="1">
        <v>1591.0</v>
      </c>
      <c r="H2310" s="1">
        <v>217.0</v>
      </c>
      <c r="I2310" s="1">
        <v>6740000.0</v>
      </c>
      <c r="J2310" s="1" t="s">
        <v>6040</v>
      </c>
    </row>
    <row r="2311">
      <c r="A2311" s="1" t="s">
        <v>6966</v>
      </c>
      <c r="B2311" s="1" t="s">
        <v>6967</v>
      </c>
      <c r="C2311" s="1" t="s">
        <v>6968</v>
      </c>
      <c r="D2311" s="1" t="s">
        <v>6640</v>
      </c>
      <c r="E2311" s="1" t="s">
        <v>6641</v>
      </c>
      <c r="F2311" s="1">
        <v>13852.0</v>
      </c>
      <c r="G2311" s="1">
        <v>147.0</v>
      </c>
      <c r="H2311" s="1">
        <v>32.0</v>
      </c>
      <c r="I2311" s="1">
        <v>6740000.0</v>
      </c>
      <c r="J2311" s="1" t="s">
        <v>6040</v>
      </c>
    </row>
    <row r="2312">
      <c r="A2312" s="1" t="s">
        <v>6969</v>
      </c>
      <c r="B2312" s="1" t="s">
        <v>6970</v>
      </c>
      <c r="C2312" s="1" t="s">
        <v>6971</v>
      </c>
      <c r="D2312" s="1" t="s">
        <v>6640</v>
      </c>
      <c r="E2312" s="1" t="s">
        <v>6641</v>
      </c>
      <c r="F2312" s="1">
        <v>62879.0</v>
      </c>
      <c r="G2312" s="1">
        <v>520.0</v>
      </c>
      <c r="H2312" s="1">
        <v>138.0</v>
      </c>
      <c r="I2312" s="1">
        <v>6740000.0</v>
      </c>
      <c r="J2312" s="1" t="s">
        <v>6040</v>
      </c>
    </row>
    <row r="2313">
      <c r="A2313" s="1" t="s">
        <v>6972</v>
      </c>
      <c r="B2313" s="1" t="s">
        <v>6973</v>
      </c>
      <c r="C2313" s="1" t="s">
        <v>6974</v>
      </c>
      <c r="D2313" s="1" t="s">
        <v>6640</v>
      </c>
      <c r="E2313" s="1" t="s">
        <v>6641</v>
      </c>
      <c r="F2313" s="1">
        <v>149652.0</v>
      </c>
      <c r="G2313" s="1">
        <v>999.0</v>
      </c>
      <c r="H2313" s="1">
        <v>87.0</v>
      </c>
      <c r="I2313" s="1">
        <v>6740000.0</v>
      </c>
      <c r="J2313" s="1" t="s">
        <v>6040</v>
      </c>
    </row>
    <row r="2314">
      <c r="A2314" s="1" t="s">
        <v>6975</v>
      </c>
      <c r="B2314" s="1" t="s">
        <v>6976</v>
      </c>
      <c r="C2314" s="1" t="s">
        <v>6977</v>
      </c>
      <c r="D2314" s="1" t="s">
        <v>6640</v>
      </c>
      <c r="E2314" s="1" t="s">
        <v>6641</v>
      </c>
      <c r="F2314" s="1">
        <v>60206.0</v>
      </c>
      <c r="G2314" s="1">
        <v>764.0</v>
      </c>
      <c r="H2314" s="1">
        <v>171.0</v>
      </c>
      <c r="I2314" s="1">
        <v>6740000.0</v>
      </c>
      <c r="J2314" s="1" t="s">
        <v>6040</v>
      </c>
    </row>
    <row r="2315">
      <c r="A2315" s="1" t="s">
        <v>6978</v>
      </c>
      <c r="B2315" s="1" t="s">
        <v>6979</v>
      </c>
      <c r="C2315" s="1" t="s">
        <v>6980</v>
      </c>
      <c r="D2315" s="1" t="s">
        <v>6640</v>
      </c>
      <c r="E2315" s="1" t="s">
        <v>6641</v>
      </c>
      <c r="F2315" s="1">
        <v>57304.0</v>
      </c>
      <c r="G2315" s="1">
        <v>287.0</v>
      </c>
      <c r="H2315" s="1">
        <v>224.0</v>
      </c>
      <c r="I2315" s="1">
        <v>6740000.0</v>
      </c>
      <c r="J2315" s="1" t="s">
        <v>6040</v>
      </c>
    </row>
    <row r="2316">
      <c r="A2316" s="1" t="s">
        <v>6981</v>
      </c>
      <c r="B2316" s="1" t="s">
        <v>6982</v>
      </c>
      <c r="C2316" s="1" t="s">
        <v>6983</v>
      </c>
      <c r="D2316" s="1" t="s">
        <v>6640</v>
      </c>
      <c r="E2316" s="1" t="s">
        <v>6641</v>
      </c>
      <c r="F2316" s="1">
        <v>4507.0</v>
      </c>
      <c r="G2316" s="1">
        <v>86.0</v>
      </c>
      <c r="H2316" s="1">
        <v>23.0</v>
      </c>
      <c r="I2316" s="1">
        <v>6740000.0</v>
      </c>
      <c r="J2316" s="1" t="s">
        <v>6040</v>
      </c>
    </row>
    <row r="2317">
      <c r="A2317" s="1" t="s">
        <v>6984</v>
      </c>
      <c r="B2317" s="1" t="s">
        <v>6985</v>
      </c>
      <c r="C2317" s="1" t="s">
        <v>6986</v>
      </c>
      <c r="D2317" s="1" t="s">
        <v>6640</v>
      </c>
      <c r="E2317" s="1" t="s">
        <v>6641</v>
      </c>
      <c r="F2317" s="1">
        <v>6781.0</v>
      </c>
      <c r="G2317" s="1">
        <v>92.0</v>
      </c>
      <c r="H2317" s="1">
        <v>14.0</v>
      </c>
      <c r="I2317" s="1">
        <v>6740000.0</v>
      </c>
      <c r="J2317" s="1" t="s">
        <v>6040</v>
      </c>
    </row>
    <row r="2318">
      <c r="A2318" s="1" t="s">
        <v>6987</v>
      </c>
      <c r="B2318" s="1" t="s">
        <v>6988</v>
      </c>
      <c r="C2318" s="1" t="s">
        <v>6989</v>
      </c>
      <c r="D2318" s="1" t="s">
        <v>6640</v>
      </c>
      <c r="E2318" s="1" t="s">
        <v>6641</v>
      </c>
      <c r="F2318" s="1">
        <v>8079.0</v>
      </c>
      <c r="G2318" s="1">
        <v>135.0</v>
      </c>
      <c r="H2318" s="1">
        <v>16.0</v>
      </c>
      <c r="I2318" s="1">
        <v>6740000.0</v>
      </c>
      <c r="J2318" s="1" t="s">
        <v>6040</v>
      </c>
    </row>
    <row r="2319">
      <c r="A2319" s="1" t="s">
        <v>6990</v>
      </c>
      <c r="B2319" s="1" t="s">
        <v>6991</v>
      </c>
      <c r="C2319" s="1" t="s">
        <v>6992</v>
      </c>
      <c r="D2319" s="1" t="s">
        <v>6640</v>
      </c>
      <c r="E2319" s="1" t="s">
        <v>6641</v>
      </c>
      <c r="F2319" s="1">
        <v>118982.0</v>
      </c>
      <c r="G2319" s="1">
        <v>1456.0</v>
      </c>
      <c r="H2319" s="1">
        <v>608.0</v>
      </c>
      <c r="I2319" s="1">
        <v>6740000.0</v>
      </c>
      <c r="J2319" s="1" t="s">
        <v>6040</v>
      </c>
    </row>
    <row r="2320">
      <c r="A2320" s="1" t="s">
        <v>6993</v>
      </c>
      <c r="B2320" s="1" t="s">
        <v>6994</v>
      </c>
      <c r="C2320" s="1" t="s">
        <v>6995</v>
      </c>
      <c r="D2320" s="1" t="s">
        <v>6640</v>
      </c>
      <c r="E2320" s="1" t="s">
        <v>6641</v>
      </c>
      <c r="F2320" s="1">
        <v>2908.0</v>
      </c>
      <c r="G2320" s="1">
        <v>56.0</v>
      </c>
      <c r="H2320" s="1">
        <v>8.0</v>
      </c>
      <c r="I2320" s="1">
        <v>6740000.0</v>
      </c>
      <c r="J2320" s="1" t="s">
        <v>6040</v>
      </c>
    </row>
    <row r="2321">
      <c r="A2321" s="1" t="s">
        <v>6996</v>
      </c>
      <c r="B2321" s="1" t="s">
        <v>6997</v>
      </c>
      <c r="C2321" s="1" t="s">
        <v>6998</v>
      </c>
      <c r="D2321" s="1" t="s">
        <v>6640</v>
      </c>
      <c r="E2321" s="1" t="s">
        <v>6641</v>
      </c>
      <c r="F2321" s="1">
        <v>2642.0</v>
      </c>
      <c r="G2321" s="1">
        <v>49.0</v>
      </c>
      <c r="H2321" s="1">
        <v>12.0</v>
      </c>
      <c r="I2321" s="1">
        <v>6740000.0</v>
      </c>
      <c r="J2321" s="1" t="s">
        <v>6040</v>
      </c>
    </row>
    <row r="2322">
      <c r="A2322" s="1" t="s">
        <v>6999</v>
      </c>
      <c r="B2322" s="1" t="s">
        <v>7000</v>
      </c>
      <c r="C2322" s="1" t="s">
        <v>7001</v>
      </c>
      <c r="D2322" s="1" t="s">
        <v>6640</v>
      </c>
      <c r="E2322" s="1" t="s">
        <v>6641</v>
      </c>
      <c r="F2322" s="1">
        <v>570828.0</v>
      </c>
      <c r="G2322" s="1">
        <v>9721.0</v>
      </c>
      <c r="H2322" s="1">
        <v>3478.0</v>
      </c>
      <c r="I2322" s="1">
        <v>6740000.0</v>
      </c>
      <c r="J2322" s="1" t="s">
        <v>6040</v>
      </c>
    </row>
    <row r="2323">
      <c r="A2323" s="1" t="s">
        <v>7002</v>
      </c>
      <c r="B2323" s="1" t="s">
        <v>7003</v>
      </c>
      <c r="C2323" s="1" t="s">
        <v>7004</v>
      </c>
      <c r="D2323" s="1" t="s">
        <v>6640</v>
      </c>
      <c r="E2323" s="1" t="s">
        <v>6641</v>
      </c>
      <c r="F2323" s="1">
        <v>81145.0</v>
      </c>
      <c r="G2323" s="1">
        <v>763.0</v>
      </c>
      <c r="H2323" s="1">
        <v>147.0</v>
      </c>
      <c r="I2323" s="1">
        <v>6740000.0</v>
      </c>
      <c r="J2323" s="1" t="s">
        <v>6040</v>
      </c>
    </row>
    <row r="2324">
      <c r="A2324" s="1" t="s">
        <v>7005</v>
      </c>
      <c r="B2324" s="1" t="s">
        <v>7006</v>
      </c>
      <c r="C2324" s="1" t="s">
        <v>7007</v>
      </c>
      <c r="D2324" s="1" t="s">
        <v>6640</v>
      </c>
      <c r="E2324" s="1" t="s">
        <v>6641</v>
      </c>
      <c r="F2324" s="1">
        <v>257841.0</v>
      </c>
      <c r="G2324" s="1">
        <v>4886.0</v>
      </c>
      <c r="H2324" s="1">
        <v>914.0</v>
      </c>
      <c r="I2324" s="1">
        <v>6740000.0</v>
      </c>
      <c r="J2324" s="1" t="s">
        <v>6040</v>
      </c>
    </row>
    <row r="2325">
      <c r="A2325" s="1" t="s">
        <v>7008</v>
      </c>
      <c r="B2325" s="1" t="s">
        <v>7009</v>
      </c>
      <c r="C2325" s="1" t="s">
        <v>7010</v>
      </c>
      <c r="D2325" s="1" t="s">
        <v>6640</v>
      </c>
      <c r="E2325" s="1" t="s">
        <v>6641</v>
      </c>
      <c r="F2325" s="1">
        <v>67918.0</v>
      </c>
      <c r="G2325" s="1">
        <v>842.0</v>
      </c>
      <c r="H2325" s="1">
        <v>145.0</v>
      </c>
      <c r="I2325" s="1">
        <v>6740000.0</v>
      </c>
      <c r="J2325" s="1" t="s">
        <v>6040</v>
      </c>
    </row>
    <row r="2326">
      <c r="A2326" s="1" t="s">
        <v>7011</v>
      </c>
      <c r="B2326" s="1" t="s">
        <v>7012</v>
      </c>
      <c r="C2326" s="1" t="s">
        <v>7013</v>
      </c>
      <c r="D2326" s="1" t="s">
        <v>6640</v>
      </c>
      <c r="E2326" s="1" t="s">
        <v>6641</v>
      </c>
      <c r="F2326" s="1">
        <v>18066.0</v>
      </c>
      <c r="G2326" s="1">
        <v>190.0</v>
      </c>
      <c r="H2326" s="1">
        <v>21.0</v>
      </c>
      <c r="I2326" s="1">
        <v>6740000.0</v>
      </c>
      <c r="J2326" s="1" t="s">
        <v>6040</v>
      </c>
    </row>
    <row r="2327">
      <c r="A2327" s="1" t="s">
        <v>7014</v>
      </c>
      <c r="B2327" s="1" t="s">
        <v>7015</v>
      </c>
      <c r="C2327" s="1" t="s">
        <v>7016</v>
      </c>
      <c r="D2327" s="1" t="s">
        <v>6640</v>
      </c>
      <c r="E2327" s="1" t="s">
        <v>6641</v>
      </c>
      <c r="F2327" s="1">
        <v>6220.0</v>
      </c>
      <c r="G2327" s="1">
        <v>138.0</v>
      </c>
      <c r="H2327" s="1">
        <v>18.0</v>
      </c>
      <c r="I2327" s="1">
        <v>6740000.0</v>
      </c>
      <c r="J2327" s="1" t="s">
        <v>6040</v>
      </c>
    </row>
    <row r="2328">
      <c r="A2328" s="1" t="s">
        <v>7017</v>
      </c>
      <c r="B2328" s="1" t="s">
        <v>7018</v>
      </c>
      <c r="C2328" s="1" t="s">
        <v>7019</v>
      </c>
      <c r="D2328" s="1" t="s">
        <v>6640</v>
      </c>
      <c r="E2328" s="1" t="s">
        <v>6641</v>
      </c>
      <c r="F2328" s="1">
        <v>23727.0</v>
      </c>
      <c r="G2328" s="1">
        <v>304.0</v>
      </c>
      <c r="H2328" s="1">
        <v>68.0</v>
      </c>
      <c r="I2328" s="1">
        <v>6740000.0</v>
      </c>
      <c r="J2328" s="1" t="s">
        <v>6040</v>
      </c>
    </row>
    <row r="2329">
      <c r="A2329" s="1" t="s">
        <v>7020</v>
      </c>
      <c r="B2329" s="1" t="s">
        <v>7021</v>
      </c>
      <c r="C2329" s="1" t="s">
        <v>7022</v>
      </c>
      <c r="D2329" s="1" t="s">
        <v>6640</v>
      </c>
      <c r="E2329" s="1" t="s">
        <v>6641</v>
      </c>
      <c r="F2329" s="1">
        <v>65001.0</v>
      </c>
      <c r="G2329" s="1">
        <v>644.0</v>
      </c>
      <c r="H2329" s="1">
        <v>131.0</v>
      </c>
      <c r="I2329" s="1">
        <v>6740000.0</v>
      </c>
      <c r="J2329" s="1" t="s">
        <v>6040</v>
      </c>
    </row>
    <row r="2330">
      <c r="A2330" s="1" t="s">
        <v>7023</v>
      </c>
      <c r="B2330" s="1" t="s">
        <v>7024</v>
      </c>
      <c r="C2330" s="1" t="s">
        <v>7025</v>
      </c>
      <c r="D2330" s="1" t="s">
        <v>6640</v>
      </c>
      <c r="E2330" s="1" t="s">
        <v>6641</v>
      </c>
      <c r="F2330" s="1">
        <v>4556.0</v>
      </c>
      <c r="G2330" s="1">
        <v>78.0</v>
      </c>
      <c r="H2330" s="1">
        <v>12.0</v>
      </c>
      <c r="I2330" s="1">
        <v>6740000.0</v>
      </c>
      <c r="J2330" s="1" t="s">
        <v>6040</v>
      </c>
    </row>
    <row r="2331">
      <c r="A2331" s="1" t="s">
        <v>7026</v>
      </c>
      <c r="B2331" s="1" t="s">
        <v>7027</v>
      </c>
      <c r="C2331" s="1" t="s">
        <v>7028</v>
      </c>
      <c r="D2331" s="1" t="s">
        <v>6640</v>
      </c>
      <c r="E2331" s="1" t="s">
        <v>6641</v>
      </c>
      <c r="F2331" s="1">
        <v>63068.0</v>
      </c>
      <c r="G2331" s="1">
        <v>1767.0</v>
      </c>
      <c r="H2331" s="1">
        <v>398.0</v>
      </c>
      <c r="I2331" s="1">
        <v>6740000.0</v>
      </c>
      <c r="J2331" s="1" t="s">
        <v>6040</v>
      </c>
    </row>
    <row r="2332">
      <c r="A2332" s="1" t="s">
        <v>7029</v>
      </c>
      <c r="B2332" s="1" t="s">
        <v>7030</v>
      </c>
      <c r="C2332" s="1" t="s">
        <v>7031</v>
      </c>
      <c r="D2332" s="1" t="s">
        <v>6640</v>
      </c>
      <c r="E2332" s="1" t="s">
        <v>6641</v>
      </c>
      <c r="F2332" s="1">
        <v>27029.0</v>
      </c>
      <c r="G2332" s="1">
        <v>303.0</v>
      </c>
      <c r="H2332" s="1">
        <v>46.0</v>
      </c>
      <c r="I2332" s="1">
        <v>6740000.0</v>
      </c>
      <c r="J2332" s="1" t="s">
        <v>6040</v>
      </c>
    </row>
    <row r="2333">
      <c r="A2333" s="1" t="s">
        <v>7032</v>
      </c>
      <c r="B2333" s="1" t="s">
        <v>7033</v>
      </c>
      <c r="C2333" s="1" t="s">
        <v>7034</v>
      </c>
      <c r="D2333" s="1" t="s">
        <v>6640</v>
      </c>
      <c r="E2333" s="1" t="s">
        <v>6641</v>
      </c>
      <c r="F2333" s="1">
        <v>96824.0</v>
      </c>
      <c r="G2333" s="1">
        <v>1113.0</v>
      </c>
      <c r="H2333" s="1">
        <v>146.0</v>
      </c>
      <c r="I2333" s="1">
        <v>6740000.0</v>
      </c>
      <c r="J2333" s="1" t="s">
        <v>6040</v>
      </c>
    </row>
    <row r="2334">
      <c r="A2334" s="1" t="s">
        <v>7035</v>
      </c>
      <c r="B2334" s="1" t="s">
        <v>7036</v>
      </c>
      <c r="C2334" s="1" t="s">
        <v>7037</v>
      </c>
      <c r="D2334" s="1" t="s">
        <v>6640</v>
      </c>
      <c r="E2334" s="1" t="s">
        <v>6641</v>
      </c>
      <c r="F2334" s="1">
        <v>25295.0</v>
      </c>
      <c r="G2334" s="1">
        <v>338.0</v>
      </c>
      <c r="H2334" s="1">
        <v>57.0</v>
      </c>
      <c r="I2334" s="1">
        <v>6740000.0</v>
      </c>
      <c r="J2334" s="1" t="s">
        <v>6040</v>
      </c>
    </row>
    <row r="2335">
      <c r="A2335" s="1" t="s">
        <v>7038</v>
      </c>
      <c r="B2335" s="1" t="s">
        <v>7039</v>
      </c>
      <c r="C2335" s="1" t="s">
        <v>7040</v>
      </c>
      <c r="D2335" s="1" t="s">
        <v>6640</v>
      </c>
      <c r="E2335" s="1" t="s">
        <v>6641</v>
      </c>
      <c r="F2335" s="1">
        <v>192115.0</v>
      </c>
      <c r="G2335" s="1">
        <v>1085.0</v>
      </c>
      <c r="H2335" s="1">
        <v>69.0</v>
      </c>
      <c r="I2335" s="1">
        <v>6740000.0</v>
      </c>
      <c r="J2335" s="1" t="s">
        <v>6040</v>
      </c>
    </row>
    <row r="2336">
      <c r="A2336" s="1" t="s">
        <v>7041</v>
      </c>
      <c r="B2336" s="1" t="s">
        <v>7042</v>
      </c>
      <c r="C2336" s="1" t="s">
        <v>7043</v>
      </c>
      <c r="D2336" s="1" t="s">
        <v>6640</v>
      </c>
      <c r="E2336" s="1" t="s">
        <v>6641</v>
      </c>
      <c r="F2336" s="1">
        <v>19151.0</v>
      </c>
      <c r="G2336" s="1">
        <v>360.0</v>
      </c>
      <c r="H2336" s="1">
        <v>22.0</v>
      </c>
      <c r="I2336" s="1">
        <v>6740000.0</v>
      </c>
      <c r="J2336" s="1" t="s">
        <v>6040</v>
      </c>
    </row>
    <row r="2337">
      <c r="A2337" s="1" t="s">
        <v>7044</v>
      </c>
      <c r="B2337" s="1" t="s">
        <v>7045</v>
      </c>
      <c r="C2337" s="1" t="s">
        <v>7046</v>
      </c>
      <c r="D2337" s="1" t="s">
        <v>6640</v>
      </c>
      <c r="E2337" s="1" t="s">
        <v>6641</v>
      </c>
      <c r="F2337" s="1">
        <v>5592.0</v>
      </c>
      <c r="G2337" s="1">
        <v>127.0</v>
      </c>
      <c r="H2337" s="1">
        <v>15.0</v>
      </c>
      <c r="I2337" s="1">
        <v>6740000.0</v>
      </c>
      <c r="J2337" s="1" t="s">
        <v>6040</v>
      </c>
    </row>
    <row r="2338">
      <c r="A2338" s="1" t="s">
        <v>7047</v>
      </c>
      <c r="B2338" s="1" t="s">
        <v>7048</v>
      </c>
      <c r="C2338" s="1" t="s">
        <v>7049</v>
      </c>
      <c r="D2338" s="1" t="s">
        <v>6640</v>
      </c>
      <c r="E2338" s="1" t="s">
        <v>6641</v>
      </c>
      <c r="F2338" s="1">
        <v>33426.0</v>
      </c>
      <c r="G2338" s="1">
        <v>530.0</v>
      </c>
      <c r="H2338" s="1">
        <v>117.0</v>
      </c>
      <c r="I2338" s="1">
        <v>6740000.0</v>
      </c>
      <c r="J2338" s="1" t="s">
        <v>6040</v>
      </c>
    </row>
    <row r="2339">
      <c r="A2339" s="1" t="s">
        <v>7050</v>
      </c>
      <c r="B2339" s="1" t="s">
        <v>7051</v>
      </c>
      <c r="C2339" s="1" t="s">
        <v>7052</v>
      </c>
      <c r="D2339" s="1" t="s">
        <v>6640</v>
      </c>
      <c r="E2339" s="1" t="s">
        <v>6641</v>
      </c>
      <c r="F2339" s="1">
        <v>3643.0</v>
      </c>
      <c r="G2339" s="1">
        <v>68.0</v>
      </c>
      <c r="H2339" s="1">
        <v>4.0</v>
      </c>
      <c r="I2339" s="1">
        <v>6740000.0</v>
      </c>
      <c r="J2339" s="1" t="s">
        <v>6040</v>
      </c>
    </row>
    <row r="2340">
      <c r="A2340" s="1" t="s">
        <v>7053</v>
      </c>
      <c r="B2340" s="1" t="s">
        <v>7054</v>
      </c>
      <c r="C2340" s="1" t="s">
        <v>7055</v>
      </c>
      <c r="D2340" s="1" t="s">
        <v>6640</v>
      </c>
      <c r="E2340" s="1" t="s">
        <v>6641</v>
      </c>
      <c r="F2340" s="1">
        <v>10622.0</v>
      </c>
      <c r="G2340" s="1">
        <v>185.0</v>
      </c>
      <c r="H2340" s="1">
        <v>45.0</v>
      </c>
      <c r="I2340" s="1">
        <v>6740000.0</v>
      </c>
      <c r="J2340" s="1" t="s">
        <v>6040</v>
      </c>
    </row>
    <row r="2341">
      <c r="A2341" s="1" t="s">
        <v>7056</v>
      </c>
      <c r="B2341" s="1" t="s">
        <v>7057</v>
      </c>
      <c r="C2341" s="1" t="s">
        <v>7058</v>
      </c>
      <c r="D2341" s="1" t="s">
        <v>6640</v>
      </c>
      <c r="E2341" s="1" t="s">
        <v>6641</v>
      </c>
      <c r="F2341" s="1">
        <v>57599.0</v>
      </c>
      <c r="G2341" s="1">
        <v>584.0</v>
      </c>
      <c r="H2341" s="1">
        <v>67.0</v>
      </c>
      <c r="I2341" s="1">
        <v>6740000.0</v>
      </c>
      <c r="J2341" s="1" t="s">
        <v>6040</v>
      </c>
    </row>
    <row r="2342">
      <c r="A2342" s="1" t="s">
        <v>7059</v>
      </c>
      <c r="B2342" s="1" t="s">
        <v>7060</v>
      </c>
      <c r="C2342" s="1" t="s">
        <v>7061</v>
      </c>
      <c r="D2342" s="1" t="s">
        <v>6640</v>
      </c>
      <c r="E2342" s="1" t="s">
        <v>6641</v>
      </c>
      <c r="F2342" s="1">
        <v>4070.0</v>
      </c>
      <c r="G2342" s="1">
        <v>60.0</v>
      </c>
      <c r="H2342" s="1">
        <v>11.0</v>
      </c>
      <c r="I2342" s="1">
        <v>6740000.0</v>
      </c>
      <c r="J2342" s="1" t="s">
        <v>6040</v>
      </c>
    </row>
    <row r="2343">
      <c r="A2343" s="1" t="s">
        <v>7062</v>
      </c>
      <c r="B2343" s="1" t="s">
        <v>7063</v>
      </c>
      <c r="C2343" s="1" t="s">
        <v>7064</v>
      </c>
      <c r="D2343" s="1" t="s">
        <v>6640</v>
      </c>
      <c r="E2343" s="1" t="s">
        <v>6641</v>
      </c>
      <c r="F2343" s="1">
        <v>20520.0</v>
      </c>
      <c r="G2343" s="1">
        <v>184.0</v>
      </c>
      <c r="H2343" s="1">
        <v>33.0</v>
      </c>
      <c r="I2343" s="1">
        <v>6740000.0</v>
      </c>
      <c r="J2343" s="1" t="s">
        <v>6040</v>
      </c>
    </row>
    <row r="2344">
      <c r="A2344" s="1" t="s">
        <v>7065</v>
      </c>
      <c r="B2344" s="1" t="s">
        <v>7066</v>
      </c>
      <c r="C2344" s="1" t="s">
        <v>7067</v>
      </c>
      <c r="D2344" s="1" t="s">
        <v>6640</v>
      </c>
      <c r="E2344" s="1" t="s">
        <v>6641</v>
      </c>
      <c r="F2344" s="1">
        <v>3349.0</v>
      </c>
      <c r="G2344" s="1">
        <v>60.0</v>
      </c>
      <c r="H2344" s="1">
        <v>12.0</v>
      </c>
      <c r="I2344" s="1">
        <v>6740000.0</v>
      </c>
      <c r="J2344" s="1" t="s">
        <v>6040</v>
      </c>
    </row>
    <row r="2345">
      <c r="A2345" s="1" t="s">
        <v>7068</v>
      </c>
      <c r="B2345" s="1" t="s">
        <v>7069</v>
      </c>
      <c r="C2345" s="1" t="s">
        <v>7070</v>
      </c>
      <c r="D2345" s="1" t="s">
        <v>6640</v>
      </c>
      <c r="E2345" s="1" t="s">
        <v>6641</v>
      </c>
      <c r="F2345" s="1">
        <v>191986.0</v>
      </c>
      <c r="G2345" s="1">
        <v>1811.0</v>
      </c>
      <c r="H2345" s="1">
        <v>93.0</v>
      </c>
      <c r="I2345" s="1">
        <v>6740000.0</v>
      </c>
      <c r="J2345" s="1" t="s">
        <v>6040</v>
      </c>
    </row>
    <row r="2346">
      <c r="A2346" s="1" t="s">
        <v>7071</v>
      </c>
      <c r="B2346" s="1" t="s">
        <v>7072</v>
      </c>
      <c r="C2346" s="1" t="s">
        <v>7073</v>
      </c>
      <c r="D2346" s="1" t="s">
        <v>6640</v>
      </c>
      <c r="E2346" s="1" t="s">
        <v>6641</v>
      </c>
      <c r="F2346" s="1">
        <v>19817.0</v>
      </c>
      <c r="G2346" s="1">
        <v>203.0</v>
      </c>
      <c r="H2346" s="1">
        <v>39.0</v>
      </c>
      <c r="I2346" s="1">
        <v>6740000.0</v>
      </c>
      <c r="J2346" s="1" t="s">
        <v>6040</v>
      </c>
    </row>
    <row r="2347">
      <c r="A2347" s="1" t="s">
        <v>7074</v>
      </c>
      <c r="B2347" s="1" t="s">
        <v>7075</v>
      </c>
      <c r="C2347" s="1" t="s">
        <v>7076</v>
      </c>
      <c r="D2347" s="1" t="s">
        <v>6640</v>
      </c>
      <c r="E2347" s="1" t="s">
        <v>6641</v>
      </c>
      <c r="F2347" s="1">
        <v>246074.0</v>
      </c>
      <c r="G2347" s="1">
        <v>6846.0</v>
      </c>
      <c r="H2347" s="1">
        <v>513.0</v>
      </c>
      <c r="I2347" s="1">
        <v>6740000.0</v>
      </c>
      <c r="J2347" s="1" t="s">
        <v>6040</v>
      </c>
    </row>
    <row r="2348">
      <c r="A2348" s="1" t="s">
        <v>7077</v>
      </c>
      <c r="B2348" s="1" t="s">
        <v>7078</v>
      </c>
      <c r="C2348" s="1" t="s">
        <v>7079</v>
      </c>
      <c r="D2348" s="1" t="s">
        <v>6640</v>
      </c>
      <c r="E2348" s="1" t="s">
        <v>6641</v>
      </c>
      <c r="F2348" s="1">
        <v>59035.0</v>
      </c>
      <c r="G2348" s="1">
        <v>586.0</v>
      </c>
      <c r="H2348" s="1">
        <v>123.0</v>
      </c>
      <c r="I2348" s="1">
        <v>6740000.0</v>
      </c>
      <c r="J2348" s="1" t="s">
        <v>6040</v>
      </c>
    </row>
    <row r="2349">
      <c r="A2349" s="1" t="s">
        <v>7080</v>
      </c>
      <c r="B2349" s="1" t="s">
        <v>7081</v>
      </c>
      <c r="C2349" s="1" t="s">
        <v>7082</v>
      </c>
      <c r="D2349" s="1" t="s">
        <v>6640</v>
      </c>
      <c r="E2349" s="1" t="s">
        <v>6641</v>
      </c>
      <c r="F2349" s="1">
        <v>13720.0</v>
      </c>
      <c r="G2349" s="1">
        <v>210.0</v>
      </c>
      <c r="H2349" s="1">
        <v>28.0</v>
      </c>
      <c r="I2349" s="1">
        <v>6740000.0</v>
      </c>
      <c r="J2349" s="1" t="s">
        <v>6040</v>
      </c>
    </row>
    <row r="2350">
      <c r="A2350" s="1" t="s">
        <v>7083</v>
      </c>
      <c r="B2350" s="1" t="s">
        <v>7084</v>
      </c>
      <c r="C2350" s="1" t="s">
        <v>7085</v>
      </c>
      <c r="D2350" s="1" t="s">
        <v>6640</v>
      </c>
      <c r="E2350" s="1" t="s">
        <v>6641</v>
      </c>
      <c r="F2350" s="1">
        <v>337354.0</v>
      </c>
      <c r="G2350" s="1">
        <v>3591.0</v>
      </c>
      <c r="H2350" s="1">
        <v>1059.0</v>
      </c>
      <c r="I2350" s="1">
        <v>6740000.0</v>
      </c>
      <c r="J2350" s="1" t="s">
        <v>6040</v>
      </c>
    </row>
    <row r="2351">
      <c r="A2351" s="1" t="s">
        <v>7086</v>
      </c>
      <c r="B2351" s="1" t="s">
        <v>7087</v>
      </c>
      <c r="C2351" s="1" t="s">
        <v>7088</v>
      </c>
      <c r="D2351" s="1" t="s">
        <v>6640</v>
      </c>
      <c r="E2351" s="1" t="s">
        <v>6641</v>
      </c>
      <c r="F2351" s="1">
        <v>15394.0</v>
      </c>
      <c r="G2351" s="1">
        <v>215.0</v>
      </c>
      <c r="H2351" s="1">
        <v>27.0</v>
      </c>
      <c r="I2351" s="1">
        <v>6740000.0</v>
      </c>
      <c r="J2351" s="1" t="s">
        <v>6040</v>
      </c>
    </row>
    <row r="2352">
      <c r="A2352" s="1" t="s">
        <v>7089</v>
      </c>
      <c r="B2352" s="1" t="s">
        <v>7090</v>
      </c>
      <c r="C2352" s="1" t="s">
        <v>7091</v>
      </c>
      <c r="D2352" s="1" t="s">
        <v>6640</v>
      </c>
      <c r="E2352" s="1" t="s">
        <v>6641</v>
      </c>
      <c r="F2352" s="1">
        <v>6048.0</v>
      </c>
      <c r="G2352" s="1">
        <v>128.0</v>
      </c>
      <c r="H2352" s="1">
        <v>15.0</v>
      </c>
      <c r="I2352" s="1">
        <v>6740000.0</v>
      </c>
      <c r="J2352" s="1" t="s">
        <v>6040</v>
      </c>
    </row>
    <row r="2353">
      <c r="A2353" s="1" t="s">
        <v>7092</v>
      </c>
      <c r="B2353" s="1" t="s">
        <v>7093</v>
      </c>
      <c r="C2353" s="1" t="s">
        <v>7094</v>
      </c>
      <c r="D2353" s="1" t="s">
        <v>6640</v>
      </c>
      <c r="E2353" s="1" t="s">
        <v>6641</v>
      </c>
      <c r="F2353" s="1">
        <v>5921.0</v>
      </c>
      <c r="G2353" s="1">
        <v>134.0</v>
      </c>
      <c r="H2353" s="1">
        <v>8.0</v>
      </c>
      <c r="I2353" s="1">
        <v>6740000.0</v>
      </c>
      <c r="J2353" s="1" t="s">
        <v>6040</v>
      </c>
    </row>
    <row r="2354">
      <c r="A2354" s="1" t="s">
        <v>7095</v>
      </c>
      <c r="B2354" s="1" t="s">
        <v>7096</v>
      </c>
      <c r="C2354" s="1" t="s">
        <v>7097</v>
      </c>
      <c r="D2354" s="1" t="s">
        <v>6640</v>
      </c>
      <c r="E2354" s="1" t="s">
        <v>6641</v>
      </c>
      <c r="F2354" s="1">
        <v>5282.0</v>
      </c>
      <c r="G2354" s="1">
        <v>76.0</v>
      </c>
      <c r="H2354" s="1">
        <v>14.0</v>
      </c>
      <c r="I2354" s="1">
        <v>6740000.0</v>
      </c>
      <c r="J2354" s="1" t="s">
        <v>6040</v>
      </c>
    </row>
    <row r="2355">
      <c r="A2355" s="1" t="s">
        <v>7098</v>
      </c>
      <c r="B2355" s="1" t="s">
        <v>7099</v>
      </c>
      <c r="C2355" s="1" t="s">
        <v>7100</v>
      </c>
      <c r="D2355" s="1" t="s">
        <v>6640</v>
      </c>
      <c r="E2355" s="1" t="s">
        <v>6641</v>
      </c>
      <c r="F2355" s="1">
        <v>819360.0</v>
      </c>
      <c r="G2355" s="1">
        <v>10042.0</v>
      </c>
      <c r="H2355" s="1">
        <v>900.0</v>
      </c>
      <c r="I2355" s="1">
        <v>6740000.0</v>
      </c>
      <c r="J2355" s="1" t="s">
        <v>6040</v>
      </c>
    </row>
    <row r="2356">
      <c r="A2356" s="1" t="s">
        <v>7101</v>
      </c>
      <c r="B2356" s="1" t="s">
        <v>7102</v>
      </c>
      <c r="C2356" s="1" t="s">
        <v>7103</v>
      </c>
      <c r="D2356" s="1" t="s">
        <v>6640</v>
      </c>
      <c r="E2356" s="1" t="s">
        <v>6641</v>
      </c>
      <c r="F2356" s="1">
        <v>11250.0</v>
      </c>
      <c r="G2356" s="1">
        <v>197.0</v>
      </c>
      <c r="H2356" s="1">
        <v>25.0</v>
      </c>
      <c r="I2356" s="1">
        <v>6740000.0</v>
      </c>
      <c r="J2356" s="1" t="s">
        <v>6040</v>
      </c>
    </row>
    <row r="2357">
      <c r="A2357" s="1" t="s">
        <v>7104</v>
      </c>
      <c r="B2357" s="1" t="s">
        <v>7105</v>
      </c>
      <c r="C2357" s="1" t="s">
        <v>7106</v>
      </c>
      <c r="D2357" s="1" t="s">
        <v>6640</v>
      </c>
      <c r="E2357" s="1" t="s">
        <v>6641</v>
      </c>
      <c r="F2357" s="1">
        <v>3105.0</v>
      </c>
      <c r="G2357" s="1">
        <v>71.0</v>
      </c>
      <c r="H2357" s="1">
        <v>15.0</v>
      </c>
      <c r="I2357" s="1">
        <v>6740000.0</v>
      </c>
      <c r="J2357" s="1" t="s">
        <v>6040</v>
      </c>
    </row>
    <row r="2358">
      <c r="A2358" s="1" t="s">
        <v>7107</v>
      </c>
      <c r="B2358" s="1" t="s">
        <v>7108</v>
      </c>
      <c r="C2358" s="1" t="s">
        <v>7109</v>
      </c>
      <c r="D2358" s="1" t="s">
        <v>6640</v>
      </c>
      <c r="E2358" s="1" t="s">
        <v>6641</v>
      </c>
      <c r="F2358" s="1">
        <v>3730.0</v>
      </c>
      <c r="G2358" s="1">
        <v>82.0</v>
      </c>
      <c r="H2358" s="1">
        <v>59.0</v>
      </c>
      <c r="I2358" s="1">
        <v>6740000.0</v>
      </c>
      <c r="J2358" s="1" t="s">
        <v>6040</v>
      </c>
    </row>
    <row r="2359">
      <c r="A2359" s="1" t="s">
        <v>7110</v>
      </c>
      <c r="B2359" s="1" t="s">
        <v>7111</v>
      </c>
      <c r="C2359" s="1" t="s">
        <v>7112</v>
      </c>
      <c r="D2359" s="1" t="s">
        <v>6640</v>
      </c>
      <c r="E2359" s="1" t="s">
        <v>6641</v>
      </c>
      <c r="F2359" s="1">
        <v>13245.0</v>
      </c>
      <c r="G2359" s="1">
        <v>165.0</v>
      </c>
      <c r="H2359" s="1">
        <v>55.0</v>
      </c>
      <c r="I2359" s="1">
        <v>6740000.0</v>
      </c>
      <c r="J2359" s="1" t="s">
        <v>6040</v>
      </c>
    </row>
    <row r="2360">
      <c r="A2360" s="1" t="s">
        <v>7113</v>
      </c>
      <c r="B2360" s="1" t="s">
        <v>7114</v>
      </c>
      <c r="C2360" s="1" t="s">
        <v>7115</v>
      </c>
      <c r="D2360" s="1" t="s">
        <v>6640</v>
      </c>
      <c r="E2360" s="1" t="s">
        <v>6641</v>
      </c>
      <c r="F2360" s="1">
        <v>5015.0</v>
      </c>
      <c r="G2360" s="1">
        <v>65.0</v>
      </c>
      <c r="H2360" s="1">
        <v>49.0</v>
      </c>
      <c r="I2360" s="1">
        <v>6740000.0</v>
      </c>
      <c r="J2360" s="1" t="s">
        <v>6040</v>
      </c>
    </row>
    <row r="2361">
      <c r="A2361" s="1" t="s">
        <v>7116</v>
      </c>
      <c r="B2361" s="1" t="s">
        <v>7117</v>
      </c>
      <c r="C2361" s="1" t="s">
        <v>7118</v>
      </c>
      <c r="D2361" s="1" t="s">
        <v>6640</v>
      </c>
      <c r="E2361" s="1" t="s">
        <v>6641</v>
      </c>
      <c r="F2361" s="1">
        <v>3325.0</v>
      </c>
      <c r="G2361" s="1">
        <v>65.0</v>
      </c>
      <c r="H2361" s="1">
        <v>9.0</v>
      </c>
      <c r="I2361" s="1">
        <v>6740000.0</v>
      </c>
      <c r="J2361" s="1" t="s">
        <v>6040</v>
      </c>
    </row>
    <row r="2362">
      <c r="A2362" s="1" t="s">
        <v>7119</v>
      </c>
      <c r="B2362" s="1" t="s">
        <v>7120</v>
      </c>
      <c r="C2362" s="1" t="s">
        <v>7121</v>
      </c>
      <c r="D2362" s="1" t="s">
        <v>6640</v>
      </c>
      <c r="E2362" s="1" t="s">
        <v>6641</v>
      </c>
      <c r="F2362" s="1">
        <v>10224.0</v>
      </c>
      <c r="G2362" s="1">
        <v>235.0</v>
      </c>
      <c r="H2362" s="1">
        <v>13.0</v>
      </c>
      <c r="I2362" s="1">
        <v>6740000.0</v>
      </c>
      <c r="J2362" s="1" t="s">
        <v>6040</v>
      </c>
    </row>
    <row r="2363">
      <c r="A2363" s="1" t="s">
        <v>7122</v>
      </c>
      <c r="B2363" s="1" t="s">
        <v>7123</v>
      </c>
      <c r="C2363" s="1" t="s">
        <v>7124</v>
      </c>
      <c r="D2363" s="1" t="s">
        <v>6640</v>
      </c>
      <c r="E2363" s="1" t="s">
        <v>6641</v>
      </c>
      <c r="F2363" s="1">
        <v>3802727.0</v>
      </c>
      <c r="G2363" s="1">
        <v>19766.0</v>
      </c>
      <c r="H2363" s="1">
        <v>2955.0</v>
      </c>
      <c r="I2363" s="1">
        <v>6740000.0</v>
      </c>
      <c r="J2363" s="1" t="s">
        <v>6040</v>
      </c>
    </row>
    <row r="2364">
      <c r="A2364" s="1" t="s">
        <v>7125</v>
      </c>
      <c r="B2364" s="1" t="s">
        <v>7126</v>
      </c>
      <c r="C2364" s="1" t="s">
        <v>7127</v>
      </c>
      <c r="D2364" s="1" t="s">
        <v>6640</v>
      </c>
      <c r="E2364" s="1" t="s">
        <v>6641</v>
      </c>
      <c r="F2364" s="1">
        <v>744614.0</v>
      </c>
      <c r="G2364" s="1">
        <v>4754.0</v>
      </c>
      <c r="H2364" s="1">
        <v>365.0</v>
      </c>
      <c r="I2364" s="1">
        <v>6740000.0</v>
      </c>
      <c r="J2364" s="1" t="s">
        <v>6040</v>
      </c>
    </row>
    <row r="2365">
      <c r="A2365" s="1" t="s">
        <v>7128</v>
      </c>
      <c r="B2365" s="1" t="s">
        <v>7129</v>
      </c>
      <c r="C2365" s="1" t="s">
        <v>7130</v>
      </c>
      <c r="D2365" s="1" t="s">
        <v>6640</v>
      </c>
      <c r="E2365" s="1" t="s">
        <v>6641</v>
      </c>
      <c r="F2365" s="1">
        <v>18501.0</v>
      </c>
      <c r="G2365" s="1">
        <v>261.0</v>
      </c>
      <c r="H2365" s="1">
        <v>87.0</v>
      </c>
      <c r="I2365" s="1">
        <v>6740000.0</v>
      </c>
      <c r="J2365" s="1" t="s">
        <v>6040</v>
      </c>
    </row>
    <row r="2366">
      <c r="A2366" s="1" t="s">
        <v>7131</v>
      </c>
      <c r="B2366" s="1" t="s">
        <v>7132</v>
      </c>
      <c r="C2366" s="1" t="s">
        <v>7133</v>
      </c>
      <c r="D2366" s="1" t="s">
        <v>6640</v>
      </c>
      <c r="E2366" s="1" t="s">
        <v>6641</v>
      </c>
      <c r="F2366" s="1">
        <v>1237.0</v>
      </c>
      <c r="G2366" s="1">
        <v>24.0</v>
      </c>
      <c r="H2366" s="1">
        <v>12.0</v>
      </c>
      <c r="I2366" s="1">
        <v>6740000.0</v>
      </c>
      <c r="J2366" s="1" t="s">
        <v>6040</v>
      </c>
    </row>
    <row r="2367">
      <c r="A2367" s="1" t="s">
        <v>7134</v>
      </c>
      <c r="B2367" s="1" t="s">
        <v>7135</v>
      </c>
      <c r="C2367" s="1" t="s">
        <v>7136</v>
      </c>
      <c r="D2367" s="1" t="s">
        <v>6640</v>
      </c>
      <c r="E2367" s="1" t="s">
        <v>6641</v>
      </c>
      <c r="F2367" s="1">
        <v>18690.0</v>
      </c>
      <c r="G2367" s="1">
        <v>393.0</v>
      </c>
      <c r="H2367" s="1">
        <v>65.0</v>
      </c>
      <c r="I2367" s="1">
        <v>6740000.0</v>
      </c>
      <c r="J2367" s="1" t="s">
        <v>6040</v>
      </c>
    </row>
    <row r="2368">
      <c r="A2368" s="1" t="s">
        <v>7137</v>
      </c>
      <c r="B2368" s="1" t="s">
        <v>7138</v>
      </c>
      <c r="C2368" s="1" t="s">
        <v>7139</v>
      </c>
      <c r="D2368" s="1" t="s">
        <v>6640</v>
      </c>
      <c r="E2368" s="1" t="s">
        <v>6641</v>
      </c>
      <c r="F2368" s="1">
        <v>4144.0</v>
      </c>
      <c r="G2368" s="1">
        <v>57.0</v>
      </c>
      <c r="H2368" s="1">
        <v>4.0</v>
      </c>
      <c r="I2368" s="1">
        <v>6740000.0</v>
      </c>
      <c r="J2368" s="1" t="s">
        <v>6040</v>
      </c>
    </row>
    <row r="2369">
      <c r="A2369" s="1" t="s">
        <v>7140</v>
      </c>
      <c r="B2369" s="1" t="s">
        <v>7141</v>
      </c>
      <c r="C2369" s="1" t="s">
        <v>7142</v>
      </c>
      <c r="D2369" s="1" t="s">
        <v>6640</v>
      </c>
      <c r="E2369" s="1" t="s">
        <v>6641</v>
      </c>
      <c r="F2369" s="1">
        <v>2928.0</v>
      </c>
      <c r="G2369" s="1">
        <v>50.0</v>
      </c>
      <c r="H2369" s="1">
        <v>6.0</v>
      </c>
      <c r="I2369" s="1">
        <v>6740000.0</v>
      </c>
      <c r="J2369" s="1" t="s">
        <v>6040</v>
      </c>
    </row>
    <row r="2370">
      <c r="A2370" s="1" t="s">
        <v>7143</v>
      </c>
      <c r="B2370" s="1" t="s">
        <v>7144</v>
      </c>
      <c r="C2370" s="1" t="s">
        <v>7145</v>
      </c>
      <c r="D2370" s="1" t="s">
        <v>6640</v>
      </c>
      <c r="E2370" s="1" t="s">
        <v>6641</v>
      </c>
      <c r="F2370" s="1">
        <v>63782.0</v>
      </c>
      <c r="G2370" s="1">
        <v>933.0</v>
      </c>
      <c r="H2370" s="1">
        <v>181.0</v>
      </c>
      <c r="I2370" s="1">
        <v>6740000.0</v>
      </c>
      <c r="J2370" s="1" t="s">
        <v>6040</v>
      </c>
    </row>
    <row r="2371">
      <c r="A2371" s="1" t="s">
        <v>7146</v>
      </c>
      <c r="B2371" s="1" t="s">
        <v>7147</v>
      </c>
      <c r="C2371" s="1" t="s">
        <v>7148</v>
      </c>
      <c r="D2371" s="1" t="s">
        <v>6640</v>
      </c>
      <c r="E2371" s="1" t="s">
        <v>6641</v>
      </c>
      <c r="F2371" s="1">
        <v>201523.0</v>
      </c>
      <c r="G2371" s="1">
        <v>1901.0</v>
      </c>
      <c r="H2371" s="1">
        <v>176.0</v>
      </c>
      <c r="I2371" s="1">
        <v>6740000.0</v>
      </c>
      <c r="J2371" s="1" t="s">
        <v>6040</v>
      </c>
    </row>
    <row r="2372">
      <c r="A2372" s="1" t="s">
        <v>7149</v>
      </c>
      <c r="B2372" s="1" t="s">
        <v>7150</v>
      </c>
      <c r="C2372" s="1" t="s">
        <v>7151</v>
      </c>
      <c r="D2372" s="1" t="s">
        <v>6640</v>
      </c>
      <c r="E2372" s="1" t="s">
        <v>6641</v>
      </c>
      <c r="F2372" s="1">
        <v>14466.0</v>
      </c>
      <c r="G2372" s="1">
        <v>222.0</v>
      </c>
      <c r="H2372" s="1">
        <v>94.0</v>
      </c>
      <c r="I2372" s="1">
        <v>6740000.0</v>
      </c>
      <c r="J2372" s="1" t="s">
        <v>6040</v>
      </c>
    </row>
    <row r="2373">
      <c r="A2373" s="1" t="s">
        <v>7152</v>
      </c>
      <c r="B2373" s="1" t="s">
        <v>7153</v>
      </c>
      <c r="C2373" s="1" t="s">
        <v>7154</v>
      </c>
      <c r="D2373" s="1" t="s">
        <v>6640</v>
      </c>
      <c r="E2373" s="1" t="s">
        <v>6641</v>
      </c>
      <c r="F2373" s="1">
        <v>4982.0</v>
      </c>
      <c r="G2373" s="1">
        <v>98.0</v>
      </c>
      <c r="H2373" s="1">
        <v>15.0</v>
      </c>
      <c r="I2373" s="1">
        <v>6740000.0</v>
      </c>
      <c r="J2373" s="1" t="s">
        <v>6040</v>
      </c>
    </row>
    <row r="2374">
      <c r="A2374" s="1" t="s">
        <v>7155</v>
      </c>
      <c r="B2374" s="1" t="s">
        <v>7156</v>
      </c>
      <c r="C2374" s="1" t="s">
        <v>7157</v>
      </c>
      <c r="D2374" s="1" t="s">
        <v>6640</v>
      </c>
      <c r="E2374" s="1" t="s">
        <v>6641</v>
      </c>
      <c r="F2374" s="1">
        <v>6599.0</v>
      </c>
      <c r="G2374" s="1">
        <v>104.0</v>
      </c>
      <c r="H2374" s="1">
        <v>7.0</v>
      </c>
      <c r="I2374" s="1">
        <v>6740000.0</v>
      </c>
      <c r="J2374" s="1" t="s">
        <v>6040</v>
      </c>
    </row>
    <row r="2375">
      <c r="A2375" s="1" t="s">
        <v>7158</v>
      </c>
      <c r="B2375" s="1" t="s">
        <v>7159</v>
      </c>
      <c r="C2375" s="1" t="s">
        <v>7160</v>
      </c>
      <c r="D2375" s="1" t="s">
        <v>6640</v>
      </c>
      <c r="E2375" s="1" t="s">
        <v>6641</v>
      </c>
      <c r="F2375" s="1">
        <v>8158.0</v>
      </c>
      <c r="G2375" s="1">
        <v>270.0</v>
      </c>
      <c r="H2375" s="1">
        <v>40.0</v>
      </c>
      <c r="I2375" s="1">
        <v>6740000.0</v>
      </c>
      <c r="J2375" s="1" t="s">
        <v>6040</v>
      </c>
    </row>
    <row r="2376">
      <c r="A2376" s="1" t="s">
        <v>7161</v>
      </c>
      <c r="B2376" s="1" t="s">
        <v>7162</v>
      </c>
      <c r="C2376" s="1" t="s">
        <v>7163</v>
      </c>
      <c r="D2376" s="1" t="s">
        <v>6640</v>
      </c>
      <c r="E2376" s="1" t="s">
        <v>6641</v>
      </c>
      <c r="F2376" s="1">
        <v>4797.0</v>
      </c>
      <c r="G2376" s="1">
        <v>78.0</v>
      </c>
      <c r="H2376" s="1">
        <v>36.0</v>
      </c>
      <c r="I2376" s="1">
        <v>6740000.0</v>
      </c>
      <c r="J2376" s="1" t="s">
        <v>6040</v>
      </c>
    </row>
    <row r="2377">
      <c r="A2377" s="1" t="s">
        <v>7164</v>
      </c>
      <c r="B2377" s="1" t="s">
        <v>7165</v>
      </c>
      <c r="C2377" s="1" t="s">
        <v>7166</v>
      </c>
      <c r="D2377" s="1" t="s">
        <v>6640</v>
      </c>
      <c r="E2377" s="1" t="s">
        <v>6641</v>
      </c>
      <c r="F2377" s="1">
        <v>16271.0</v>
      </c>
      <c r="G2377" s="1">
        <v>265.0</v>
      </c>
      <c r="H2377" s="1">
        <v>77.0</v>
      </c>
      <c r="I2377" s="1">
        <v>6740000.0</v>
      </c>
      <c r="J2377" s="1" t="s">
        <v>6040</v>
      </c>
    </row>
    <row r="2378">
      <c r="A2378" s="1" t="s">
        <v>7167</v>
      </c>
      <c r="B2378" s="1" t="s">
        <v>7168</v>
      </c>
      <c r="C2378" s="1" t="s">
        <v>7169</v>
      </c>
      <c r="D2378" s="1" t="s">
        <v>6640</v>
      </c>
      <c r="E2378" s="1" t="s">
        <v>6641</v>
      </c>
      <c r="F2378" s="1">
        <v>2522922.0</v>
      </c>
      <c r="G2378" s="1">
        <v>26545.0</v>
      </c>
      <c r="H2378" s="1">
        <v>4907.0</v>
      </c>
      <c r="I2378" s="1">
        <v>6740000.0</v>
      </c>
      <c r="J2378" s="1" t="s">
        <v>6040</v>
      </c>
    </row>
    <row r="2379">
      <c r="A2379" s="1" t="s">
        <v>7170</v>
      </c>
      <c r="B2379" s="1" t="s">
        <v>7171</v>
      </c>
      <c r="C2379" s="1" t="s">
        <v>7172</v>
      </c>
      <c r="D2379" s="1" t="s">
        <v>6640</v>
      </c>
      <c r="E2379" s="1" t="s">
        <v>6641</v>
      </c>
      <c r="F2379" s="1">
        <v>30320.0</v>
      </c>
      <c r="G2379" s="1">
        <v>458.0</v>
      </c>
      <c r="H2379" s="1">
        <v>93.0</v>
      </c>
      <c r="I2379" s="1">
        <v>6740000.0</v>
      </c>
      <c r="J2379" s="1" t="s">
        <v>6040</v>
      </c>
    </row>
    <row r="2380">
      <c r="A2380" s="1" t="s">
        <v>7173</v>
      </c>
      <c r="B2380" s="1" t="s">
        <v>7174</v>
      </c>
      <c r="C2380" s="1" t="s">
        <v>7175</v>
      </c>
      <c r="D2380" s="1" t="s">
        <v>6640</v>
      </c>
      <c r="E2380" s="1" t="s">
        <v>6641</v>
      </c>
      <c r="F2380" s="1">
        <v>14386.0</v>
      </c>
      <c r="G2380" s="1">
        <v>170.0</v>
      </c>
      <c r="H2380" s="1">
        <v>23.0</v>
      </c>
      <c r="I2380" s="1">
        <v>6740000.0</v>
      </c>
      <c r="J2380" s="1" t="s">
        <v>6040</v>
      </c>
    </row>
    <row r="2381">
      <c r="A2381" s="1" t="s">
        <v>7176</v>
      </c>
      <c r="B2381" s="1" t="s">
        <v>7177</v>
      </c>
      <c r="C2381" s="1" t="s">
        <v>7178</v>
      </c>
      <c r="D2381" s="1" t="s">
        <v>6640</v>
      </c>
      <c r="E2381" s="1" t="s">
        <v>6641</v>
      </c>
      <c r="F2381" s="1">
        <v>18846.0</v>
      </c>
      <c r="G2381" s="1">
        <v>342.0</v>
      </c>
      <c r="H2381" s="1">
        <v>58.0</v>
      </c>
      <c r="I2381" s="1">
        <v>6740000.0</v>
      </c>
      <c r="J2381" s="1" t="s">
        <v>6040</v>
      </c>
    </row>
    <row r="2382">
      <c r="A2382" s="1" t="s">
        <v>7179</v>
      </c>
      <c r="B2382" s="1" t="s">
        <v>7180</v>
      </c>
      <c r="C2382" s="1" t="s">
        <v>7181</v>
      </c>
      <c r="D2382" s="1" t="s">
        <v>6640</v>
      </c>
      <c r="E2382" s="1" t="s">
        <v>6641</v>
      </c>
      <c r="F2382" s="1">
        <v>5017.0</v>
      </c>
      <c r="G2382" s="1">
        <v>77.0</v>
      </c>
      <c r="H2382" s="1">
        <v>7.0</v>
      </c>
      <c r="I2382" s="1">
        <v>6740000.0</v>
      </c>
      <c r="J2382" s="1" t="s">
        <v>6040</v>
      </c>
    </row>
    <row r="2383">
      <c r="A2383" s="1" t="s">
        <v>7182</v>
      </c>
      <c r="B2383" s="1" t="s">
        <v>7183</v>
      </c>
      <c r="C2383" s="1" t="s">
        <v>7184</v>
      </c>
      <c r="D2383" s="1" t="s">
        <v>6640</v>
      </c>
      <c r="E2383" s="1" t="s">
        <v>6641</v>
      </c>
      <c r="F2383" s="1">
        <v>20386.0</v>
      </c>
      <c r="G2383" s="1">
        <v>536.0</v>
      </c>
      <c r="H2383" s="1">
        <v>214.0</v>
      </c>
      <c r="I2383" s="1">
        <v>6740000.0</v>
      </c>
      <c r="J2383" s="1" t="s">
        <v>6040</v>
      </c>
    </row>
    <row r="2384">
      <c r="A2384" s="1" t="s">
        <v>7185</v>
      </c>
      <c r="B2384" s="1" t="s">
        <v>7186</v>
      </c>
      <c r="C2384" s="1" t="s">
        <v>7187</v>
      </c>
      <c r="D2384" s="1" t="s">
        <v>6640</v>
      </c>
      <c r="E2384" s="1" t="s">
        <v>6641</v>
      </c>
      <c r="F2384" s="1">
        <v>11202.0</v>
      </c>
      <c r="G2384" s="1">
        <v>193.0</v>
      </c>
      <c r="H2384" s="1">
        <v>58.0</v>
      </c>
      <c r="I2384" s="1">
        <v>6740000.0</v>
      </c>
      <c r="J2384" s="1" t="s">
        <v>6040</v>
      </c>
    </row>
    <row r="2385">
      <c r="A2385" s="1" t="s">
        <v>7188</v>
      </c>
      <c r="B2385" s="1" t="s">
        <v>7189</v>
      </c>
      <c r="C2385" s="1" t="s">
        <v>7190</v>
      </c>
      <c r="D2385" s="1" t="s">
        <v>6640</v>
      </c>
      <c r="E2385" s="1" t="s">
        <v>6641</v>
      </c>
      <c r="F2385" s="1">
        <v>156053.0</v>
      </c>
      <c r="G2385" s="1">
        <v>1649.0</v>
      </c>
      <c r="H2385" s="1">
        <v>338.0</v>
      </c>
      <c r="I2385" s="1">
        <v>6740000.0</v>
      </c>
      <c r="J2385" s="1" t="s">
        <v>6040</v>
      </c>
    </row>
    <row r="2386">
      <c r="A2386" s="1" t="s">
        <v>7191</v>
      </c>
      <c r="B2386" s="1" t="s">
        <v>7192</v>
      </c>
      <c r="C2386" s="1" t="s">
        <v>7193</v>
      </c>
      <c r="D2386" s="1" t="s">
        <v>6640</v>
      </c>
      <c r="E2386" s="1" t="s">
        <v>6641</v>
      </c>
      <c r="F2386" s="1">
        <v>8673.0</v>
      </c>
      <c r="G2386" s="1">
        <v>163.0</v>
      </c>
      <c r="H2386" s="1">
        <v>54.0</v>
      </c>
      <c r="I2386" s="1">
        <v>6740000.0</v>
      </c>
      <c r="J2386" s="1" t="s">
        <v>6040</v>
      </c>
    </row>
    <row r="2387">
      <c r="A2387" s="1" t="s">
        <v>7194</v>
      </c>
      <c r="B2387" s="1" t="s">
        <v>7195</v>
      </c>
      <c r="C2387" s="1" t="s">
        <v>7196</v>
      </c>
      <c r="D2387" s="1" t="s">
        <v>6640</v>
      </c>
      <c r="E2387" s="1" t="s">
        <v>6641</v>
      </c>
      <c r="F2387" s="1">
        <v>417262.0</v>
      </c>
      <c r="G2387" s="1">
        <v>2907.0</v>
      </c>
      <c r="H2387" s="1">
        <v>501.0</v>
      </c>
      <c r="I2387" s="1">
        <v>6740000.0</v>
      </c>
      <c r="J2387" s="1" t="s">
        <v>6040</v>
      </c>
    </row>
    <row r="2388">
      <c r="A2388" s="1" t="s">
        <v>7197</v>
      </c>
      <c r="B2388" s="1" t="s">
        <v>7198</v>
      </c>
      <c r="C2388" s="1" t="s">
        <v>7199</v>
      </c>
      <c r="D2388" s="1" t="s">
        <v>6640</v>
      </c>
      <c r="E2388" s="1" t="s">
        <v>6641</v>
      </c>
      <c r="F2388" s="1">
        <v>11702.0</v>
      </c>
      <c r="G2388" s="1">
        <v>131.0</v>
      </c>
      <c r="H2388" s="1">
        <v>16.0</v>
      </c>
      <c r="I2388" s="1">
        <v>6740000.0</v>
      </c>
      <c r="J2388" s="1" t="s">
        <v>6040</v>
      </c>
    </row>
    <row r="2389">
      <c r="A2389" s="1" t="s">
        <v>7200</v>
      </c>
      <c r="B2389" s="1" t="s">
        <v>7201</v>
      </c>
      <c r="C2389" s="1" t="s">
        <v>7202</v>
      </c>
      <c r="D2389" s="1" t="s">
        <v>6640</v>
      </c>
      <c r="E2389" s="1" t="s">
        <v>6641</v>
      </c>
      <c r="F2389" s="1">
        <v>3901.0</v>
      </c>
      <c r="G2389" s="1">
        <v>85.0</v>
      </c>
      <c r="H2389" s="1">
        <v>30.0</v>
      </c>
      <c r="I2389" s="1">
        <v>6740000.0</v>
      </c>
      <c r="J2389" s="1" t="s">
        <v>6040</v>
      </c>
    </row>
    <row r="2390">
      <c r="A2390" s="1" t="s">
        <v>7203</v>
      </c>
      <c r="B2390" s="1" t="s">
        <v>7204</v>
      </c>
      <c r="C2390" s="1" t="s">
        <v>7205</v>
      </c>
      <c r="D2390" s="1" t="s">
        <v>6640</v>
      </c>
      <c r="E2390" s="1" t="s">
        <v>6641</v>
      </c>
      <c r="F2390" s="1">
        <v>41812.0</v>
      </c>
      <c r="G2390" s="1">
        <v>442.0</v>
      </c>
      <c r="H2390" s="1">
        <v>51.0</v>
      </c>
      <c r="I2390" s="1">
        <v>6740000.0</v>
      </c>
      <c r="J2390" s="1" t="s">
        <v>6040</v>
      </c>
    </row>
    <row r="2391">
      <c r="A2391" s="1" t="s">
        <v>7206</v>
      </c>
      <c r="B2391" s="1" t="s">
        <v>7207</v>
      </c>
      <c r="C2391" s="1" t="s">
        <v>7208</v>
      </c>
      <c r="D2391" s="1" t="s">
        <v>6640</v>
      </c>
      <c r="E2391" s="1" t="s">
        <v>6641</v>
      </c>
      <c r="F2391" s="1">
        <v>3141.0</v>
      </c>
      <c r="G2391" s="1">
        <v>45.0</v>
      </c>
      <c r="H2391" s="1">
        <v>58.0</v>
      </c>
      <c r="I2391" s="1">
        <v>6740000.0</v>
      </c>
      <c r="J2391" s="1" t="s">
        <v>6040</v>
      </c>
    </row>
    <row r="2392">
      <c r="A2392" s="1" t="s">
        <v>7209</v>
      </c>
      <c r="B2392" s="1" t="s">
        <v>7210</v>
      </c>
      <c r="C2392" s="1" t="s">
        <v>7211</v>
      </c>
      <c r="D2392" s="1" t="s">
        <v>6640</v>
      </c>
      <c r="E2392" s="1" t="s">
        <v>6641</v>
      </c>
      <c r="F2392" s="1">
        <v>10135.0</v>
      </c>
      <c r="G2392" s="1">
        <v>177.0</v>
      </c>
      <c r="H2392" s="1">
        <v>65.0</v>
      </c>
      <c r="I2392" s="1">
        <v>6740000.0</v>
      </c>
      <c r="J2392" s="1" t="s">
        <v>6040</v>
      </c>
    </row>
    <row r="2393">
      <c r="A2393" s="1" t="s">
        <v>7212</v>
      </c>
      <c r="B2393" s="1" t="s">
        <v>7213</v>
      </c>
      <c r="C2393" s="1" t="s">
        <v>7214</v>
      </c>
      <c r="D2393" s="1" t="s">
        <v>6640</v>
      </c>
      <c r="E2393" s="1" t="s">
        <v>6641</v>
      </c>
      <c r="F2393" s="1">
        <v>14439.0</v>
      </c>
      <c r="G2393" s="1">
        <v>255.0</v>
      </c>
      <c r="H2393" s="1">
        <v>93.0</v>
      </c>
      <c r="I2393" s="1">
        <v>6740000.0</v>
      </c>
      <c r="J2393" s="1" t="s">
        <v>6040</v>
      </c>
    </row>
    <row r="2394">
      <c r="A2394" s="1" t="s">
        <v>7215</v>
      </c>
      <c r="B2394" s="1" t="s">
        <v>7216</v>
      </c>
      <c r="C2394" s="1" t="s">
        <v>7217</v>
      </c>
      <c r="D2394" s="1" t="s">
        <v>6640</v>
      </c>
      <c r="E2394" s="1" t="s">
        <v>6641</v>
      </c>
      <c r="F2394" s="1">
        <v>8674.0</v>
      </c>
      <c r="G2394" s="1">
        <v>172.0</v>
      </c>
      <c r="H2394" s="1">
        <v>46.0</v>
      </c>
      <c r="I2394" s="1">
        <v>6740000.0</v>
      </c>
      <c r="J2394" s="1" t="s">
        <v>6040</v>
      </c>
    </row>
    <row r="2395">
      <c r="A2395" s="1" t="s">
        <v>7218</v>
      </c>
      <c r="B2395" s="1" t="s">
        <v>7219</v>
      </c>
      <c r="C2395" s="1" t="s">
        <v>7220</v>
      </c>
      <c r="D2395" s="1" t="s">
        <v>6640</v>
      </c>
      <c r="E2395" s="1" t="s">
        <v>6641</v>
      </c>
      <c r="F2395" s="1">
        <v>4820.0</v>
      </c>
      <c r="G2395" s="1">
        <v>65.0</v>
      </c>
      <c r="H2395" s="1">
        <v>8.0</v>
      </c>
      <c r="I2395" s="1">
        <v>6740000.0</v>
      </c>
      <c r="J2395" s="1" t="s">
        <v>6040</v>
      </c>
    </row>
    <row r="2396">
      <c r="A2396" s="1" t="s">
        <v>7221</v>
      </c>
      <c r="B2396" s="1" t="s">
        <v>7222</v>
      </c>
      <c r="C2396" s="1" t="s">
        <v>7223</v>
      </c>
      <c r="D2396" s="1" t="s">
        <v>6640</v>
      </c>
      <c r="E2396" s="1" t="s">
        <v>6641</v>
      </c>
      <c r="F2396" s="1">
        <v>1611.0</v>
      </c>
      <c r="G2396" s="1">
        <v>42.0</v>
      </c>
      <c r="H2396" s="1">
        <v>7.0</v>
      </c>
      <c r="I2396" s="1">
        <v>6740000.0</v>
      </c>
      <c r="J2396" s="1" t="s">
        <v>6040</v>
      </c>
    </row>
    <row r="2397">
      <c r="A2397" s="1" t="s">
        <v>7224</v>
      </c>
      <c r="B2397" s="1" t="s">
        <v>7225</v>
      </c>
      <c r="C2397" s="1" t="s">
        <v>7226</v>
      </c>
      <c r="D2397" s="1" t="s">
        <v>6640</v>
      </c>
      <c r="E2397" s="1" t="s">
        <v>6641</v>
      </c>
      <c r="F2397" s="1">
        <v>33710.0</v>
      </c>
      <c r="G2397" s="1">
        <v>400.0</v>
      </c>
      <c r="H2397" s="1">
        <v>61.0</v>
      </c>
      <c r="I2397" s="1">
        <v>6740000.0</v>
      </c>
      <c r="J2397" s="1" t="s">
        <v>6040</v>
      </c>
    </row>
    <row r="2398">
      <c r="A2398" s="1" t="s">
        <v>7227</v>
      </c>
      <c r="B2398" s="1" t="s">
        <v>7228</v>
      </c>
      <c r="C2398" s="1" t="s">
        <v>7229</v>
      </c>
      <c r="D2398" s="1" t="s">
        <v>6640</v>
      </c>
      <c r="E2398" s="1" t="s">
        <v>6641</v>
      </c>
      <c r="F2398" s="1">
        <v>2730.0</v>
      </c>
      <c r="G2398" s="1">
        <v>53.0</v>
      </c>
      <c r="H2398" s="1">
        <v>10.0</v>
      </c>
      <c r="I2398" s="1">
        <v>6740000.0</v>
      </c>
      <c r="J2398" s="1" t="s">
        <v>6040</v>
      </c>
    </row>
    <row r="2399">
      <c r="A2399" s="1" t="s">
        <v>7230</v>
      </c>
      <c r="B2399" s="1" t="s">
        <v>7231</v>
      </c>
      <c r="C2399" s="1" t="s">
        <v>7232</v>
      </c>
      <c r="D2399" s="1" t="s">
        <v>6640</v>
      </c>
      <c r="E2399" s="1" t="s">
        <v>6641</v>
      </c>
      <c r="F2399" s="1">
        <v>7914.0</v>
      </c>
      <c r="G2399" s="1">
        <v>118.0</v>
      </c>
      <c r="H2399" s="1">
        <v>9.0</v>
      </c>
      <c r="I2399" s="1">
        <v>6740000.0</v>
      </c>
      <c r="J2399" s="1" t="s">
        <v>6040</v>
      </c>
    </row>
    <row r="2400">
      <c r="A2400" s="1" t="s">
        <v>7233</v>
      </c>
      <c r="B2400" s="1" t="s">
        <v>7234</v>
      </c>
      <c r="C2400" s="1" t="s">
        <v>7235</v>
      </c>
      <c r="D2400" s="1" t="s">
        <v>6640</v>
      </c>
      <c r="E2400" s="1" t="s">
        <v>6641</v>
      </c>
      <c r="F2400" s="1">
        <v>5178.0</v>
      </c>
      <c r="G2400" s="1">
        <v>80.0</v>
      </c>
      <c r="H2400" s="1">
        <v>17.0</v>
      </c>
      <c r="I2400" s="1">
        <v>6740000.0</v>
      </c>
      <c r="J2400" s="1" t="s">
        <v>6040</v>
      </c>
    </row>
    <row r="2401">
      <c r="A2401" s="1" t="s">
        <v>7236</v>
      </c>
      <c r="B2401" s="1" t="s">
        <v>7237</v>
      </c>
      <c r="C2401" s="1" t="s">
        <v>7238</v>
      </c>
      <c r="D2401" s="1" t="s">
        <v>6640</v>
      </c>
      <c r="E2401" s="1" t="s">
        <v>6641</v>
      </c>
      <c r="F2401" s="1">
        <v>5804.0</v>
      </c>
      <c r="G2401" s="1">
        <v>74.0</v>
      </c>
      <c r="H2401" s="1">
        <v>6.0</v>
      </c>
      <c r="I2401" s="1">
        <v>6740000.0</v>
      </c>
      <c r="J2401" s="1" t="s">
        <v>6040</v>
      </c>
    </row>
    <row r="2402">
      <c r="A2402" s="1" t="s">
        <v>7239</v>
      </c>
      <c r="B2402" s="1" t="s">
        <v>7240</v>
      </c>
      <c r="C2402" s="1" t="s">
        <v>7241</v>
      </c>
      <c r="D2402" s="1" t="s">
        <v>7242</v>
      </c>
      <c r="E2402" s="1" t="s">
        <v>7243</v>
      </c>
      <c r="F2402" s="1">
        <v>9865.0</v>
      </c>
      <c r="G2402" s="1">
        <v>215.0</v>
      </c>
      <c r="H2402" s="1">
        <v>10.0</v>
      </c>
      <c r="I2402" s="1">
        <v>5820000.0</v>
      </c>
      <c r="J2402" s="1" t="s">
        <v>6040</v>
      </c>
    </row>
    <row r="2403">
      <c r="A2403" s="1" t="s">
        <v>7244</v>
      </c>
      <c r="B2403" s="1" t="s">
        <v>7245</v>
      </c>
      <c r="C2403" s="1" t="s">
        <v>7246</v>
      </c>
      <c r="D2403" s="1" t="s">
        <v>7242</v>
      </c>
      <c r="E2403" s="1" t="s">
        <v>7243</v>
      </c>
      <c r="F2403" s="1">
        <v>7319.0</v>
      </c>
      <c r="G2403" s="1">
        <v>112.0</v>
      </c>
      <c r="H2403" s="1">
        <v>3.0</v>
      </c>
      <c r="I2403" s="1">
        <v>5820000.0</v>
      </c>
      <c r="J2403" s="1" t="s">
        <v>6040</v>
      </c>
    </row>
    <row r="2404">
      <c r="A2404" s="1" t="s">
        <v>7247</v>
      </c>
      <c r="B2404" s="1" t="s">
        <v>7248</v>
      </c>
      <c r="C2404" s="1" t="s">
        <v>7249</v>
      </c>
      <c r="D2404" s="1" t="s">
        <v>7242</v>
      </c>
      <c r="E2404" s="1" t="s">
        <v>7243</v>
      </c>
      <c r="F2404" s="1">
        <v>17617.0</v>
      </c>
      <c r="G2404" s="1">
        <v>246.0</v>
      </c>
      <c r="H2404" s="1">
        <v>21.0</v>
      </c>
      <c r="I2404" s="1">
        <v>5820000.0</v>
      </c>
      <c r="J2404" s="1" t="s">
        <v>6040</v>
      </c>
    </row>
    <row r="2405">
      <c r="A2405" s="1" t="s">
        <v>7250</v>
      </c>
      <c r="B2405" s="1" t="s">
        <v>7251</v>
      </c>
      <c r="C2405" s="1" t="s">
        <v>7252</v>
      </c>
      <c r="D2405" s="1" t="s">
        <v>7242</v>
      </c>
      <c r="E2405" s="1" t="s">
        <v>7243</v>
      </c>
      <c r="F2405" s="1">
        <v>431774.0</v>
      </c>
      <c r="G2405" s="1">
        <v>3165.0</v>
      </c>
      <c r="H2405" s="1">
        <v>578.0</v>
      </c>
      <c r="I2405" s="1">
        <v>5820000.0</v>
      </c>
      <c r="J2405" s="1" t="s">
        <v>6040</v>
      </c>
    </row>
    <row r="2406">
      <c r="A2406" s="1" t="s">
        <v>7253</v>
      </c>
      <c r="B2406" s="1" t="s">
        <v>7254</v>
      </c>
      <c r="C2406" s="1" t="s">
        <v>7255</v>
      </c>
      <c r="D2406" s="1" t="s">
        <v>7242</v>
      </c>
      <c r="E2406" s="1" t="s">
        <v>7243</v>
      </c>
      <c r="F2406" s="1">
        <v>12479.0</v>
      </c>
      <c r="G2406" s="1">
        <v>238.0</v>
      </c>
      <c r="H2406" s="1">
        <v>13.0</v>
      </c>
      <c r="I2406" s="1">
        <v>5820000.0</v>
      </c>
      <c r="J2406" s="1" t="s">
        <v>6040</v>
      </c>
    </row>
    <row r="2407">
      <c r="A2407" s="1" t="s">
        <v>7256</v>
      </c>
      <c r="B2407" s="1" t="s">
        <v>7257</v>
      </c>
      <c r="C2407" s="1" t="s">
        <v>7258</v>
      </c>
      <c r="D2407" s="1" t="s">
        <v>7242</v>
      </c>
      <c r="E2407" s="1" t="s">
        <v>7243</v>
      </c>
      <c r="F2407" s="1">
        <v>48081.0</v>
      </c>
      <c r="G2407" s="1">
        <v>726.0</v>
      </c>
      <c r="H2407" s="1">
        <v>50.0</v>
      </c>
      <c r="I2407" s="1">
        <v>5820000.0</v>
      </c>
      <c r="J2407" s="1" t="s">
        <v>6040</v>
      </c>
    </row>
    <row r="2408">
      <c r="A2408" s="1" t="s">
        <v>7259</v>
      </c>
      <c r="B2408" s="1" t="s">
        <v>7260</v>
      </c>
      <c r="C2408" s="1" t="s">
        <v>7261</v>
      </c>
      <c r="D2408" s="1" t="s">
        <v>7242</v>
      </c>
      <c r="E2408" s="1" t="s">
        <v>7243</v>
      </c>
      <c r="F2408" s="1">
        <v>36778.0</v>
      </c>
      <c r="G2408" s="1">
        <v>379.0</v>
      </c>
      <c r="H2408" s="1">
        <v>23.0</v>
      </c>
      <c r="I2408" s="1">
        <v>5820000.0</v>
      </c>
      <c r="J2408" s="1" t="s">
        <v>6040</v>
      </c>
    </row>
    <row r="2409">
      <c r="A2409" s="1" t="s">
        <v>7262</v>
      </c>
      <c r="B2409" s="1" t="s">
        <v>7263</v>
      </c>
      <c r="C2409" s="1" t="s">
        <v>7264</v>
      </c>
      <c r="D2409" s="1" t="s">
        <v>7242</v>
      </c>
      <c r="E2409" s="1" t="s">
        <v>7243</v>
      </c>
      <c r="F2409" s="1">
        <v>8205.0</v>
      </c>
      <c r="G2409" s="1">
        <v>132.0</v>
      </c>
      <c r="H2409" s="1">
        <v>9.0</v>
      </c>
      <c r="I2409" s="1">
        <v>5820000.0</v>
      </c>
      <c r="J2409" s="1" t="s">
        <v>6040</v>
      </c>
    </row>
    <row r="2410">
      <c r="A2410" s="1" t="s">
        <v>7265</v>
      </c>
      <c r="B2410" s="1" t="s">
        <v>7266</v>
      </c>
      <c r="C2410" s="1" t="s">
        <v>7267</v>
      </c>
      <c r="D2410" s="1" t="s">
        <v>7242</v>
      </c>
      <c r="E2410" s="1" t="s">
        <v>7243</v>
      </c>
      <c r="F2410" s="1">
        <v>22414.0</v>
      </c>
      <c r="G2410" s="1">
        <v>235.0</v>
      </c>
      <c r="H2410" s="1">
        <v>14.0</v>
      </c>
      <c r="I2410" s="1">
        <v>5820000.0</v>
      </c>
      <c r="J2410" s="1" t="s">
        <v>6040</v>
      </c>
    </row>
    <row r="2411">
      <c r="A2411" s="1" t="s">
        <v>7268</v>
      </c>
      <c r="B2411" s="1" t="s">
        <v>7269</v>
      </c>
      <c r="C2411" s="1" t="s">
        <v>7270</v>
      </c>
      <c r="D2411" s="1" t="s">
        <v>7242</v>
      </c>
      <c r="E2411" s="1" t="s">
        <v>7243</v>
      </c>
      <c r="F2411" s="1">
        <v>22006.0</v>
      </c>
      <c r="G2411" s="1">
        <v>318.0</v>
      </c>
      <c r="H2411" s="1">
        <v>17.0</v>
      </c>
      <c r="I2411" s="1">
        <v>5820000.0</v>
      </c>
      <c r="J2411" s="1" t="s">
        <v>6040</v>
      </c>
    </row>
    <row r="2412">
      <c r="A2412" s="1" t="s">
        <v>7271</v>
      </c>
      <c r="B2412" s="1" t="s">
        <v>7272</v>
      </c>
      <c r="C2412" s="1" t="s">
        <v>7273</v>
      </c>
      <c r="D2412" s="1" t="s">
        <v>7242</v>
      </c>
      <c r="E2412" s="1" t="s">
        <v>7243</v>
      </c>
      <c r="F2412" s="1">
        <v>13153.0</v>
      </c>
      <c r="G2412" s="1">
        <v>235.0</v>
      </c>
      <c r="H2412" s="1">
        <v>18.0</v>
      </c>
      <c r="I2412" s="1">
        <v>5820000.0</v>
      </c>
      <c r="J2412" s="1" t="s">
        <v>6040</v>
      </c>
    </row>
    <row r="2413">
      <c r="A2413" s="1" t="s">
        <v>7274</v>
      </c>
      <c r="B2413" s="1" t="s">
        <v>7275</v>
      </c>
      <c r="C2413" s="1" t="s">
        <v>7276</v>
      </c>
      <c r="D2413" s="1" t="s">
        <v>7242</v>
      </c>
      <c r="E2413" s="1" t="s">
        <v>7243</v>
      </c>
      <c r="F2413" s="1">
        <v>45492.0</v>
      </c>
      <c r="G2413" s="1">
        <v>424.0</v>
      </c>
      <c r="H2413" s="1">
        <v>17.0</v>
      </c>
      <c r="I2413" s="1">
        <v>5820000.0</v>
      </c>
      <c r="J2413" s="1" t="s">
        <v>6040</v>
      </c>
    </row>
    <row r="2414">
      <c r="A2414" s="1" t="s">
        <v>7277</v>
      </c>
      <c r="B2414" s="1" t="s">
        <v>7278</v>
      </c>
      <c r="C2414" s="1" t="s">
        <v>7279</v>
      </c>
      <c r="D2414" s="1" t="s">
        <v>7242</v>
      </c>
      <c r="E2414" s="1" t="s">
        <v>7243</v>
      </c>
      <c r="F2414" s="1">
        <v>19666.0</v>
      </c>
      <c r="G2414" s="1">
        <v>266.0</v>
      </c>
      <c r="H2414" s="1">
        <v>9.0</v>
      </c>
      <c r="I2414" s="1">
        <v>5820000.0</v>
      </c>
      <c r="J2414" s="1" t="s">
        <v>6040</v>
      </c>
    </row>
    <row r="2415">
      <c r="A2415" s="1" t="s">
        <v>7280</v>
      </c>
      <c r="B2415" s="1" t="s">
        <v>7281</v>
      </c>
      <c r="C2415" s="1" t="s">
        <v>7282</v>
      </c>
      <c r="D2415" s="1" t="s">
        <v>7242</v>
      </c>
      <c r="E2415" s="1" t="s">
        <v>7243</v>
      </c>
      <c r="F2415" s="1">
        <v>10322.0</v>
      </c>
      <c r="G2415" s="1">
        <v>152.0</v>
      </c>
      <c r="H2415" s="1">
        <v>4.0</v>
      </c>
      <c r="I2415" s="1">
        <v>5820000.0</v>
      </c>
      <c r="J2415" s="1" t="s">
        <v>6040</v>
      </c>
    </row>
    <row r="2416">
      <c r="A2416" s="1" t="s">
        <v>7283</v>
      </c>
      <c r="B2416" s="1" t="s">
        <v>7284</v>
      </c>
      <c r="C2416" s="1" t="s">
        <v>7285</v>
      </c>
      <c r="D2416" s="1" t="s">
        <v>7242</v>
      </c>
      <c r="E2416" s="1" t="s">
        <v>7243</v>
      </c>
      <c r="F2416" s="1">
        <v>18773.0</v>
      </c>
      <c r="G2416" s="1">
        <v>259.0</v>
      </c>
      <c r="H2416" s="1">
        <v>11.0</v>
      </c>
      <c r="I2416" s="1">
        <v>5820000.0</v>
      </c>
      <c r="J2416" s="1" t="s">
        <v>6040</v>
      </c>
    </row>
    <row r="2417">
      <c r="A2417" s="1" t="s">
        <v>7286</v>
      </c>
      <c r="B2417" s="1" t="s">
        <v>7287</v>
      </c>
      <c r="C2417" s="1" t="s">
        <v>7288</v>
      </c>
      <c r="D2417" s="1" t="s">
        <v>7242</v>
      </c>
      <c r="E2417" s="1" t="s">
        <v>7243</v>
      </c>
      <c r="F2417" s="1">
        <v>18887.0</v>
      </c>
      <c r="G2417" s="1">
        <v>267.0</v>
      </c>
      <c r="H2417" s="1">
        <v>33.0</v>
      </c>
      <c r="I2417" s="1">
        <v>5820000.0</v>
      </c>
      <c r="J2417" s="1" t="s">
        <v>6040</v>
      </c>
    </row>
    <row r="2418">
      <c r="A2418" s="1" t="s">
        <v>7289</v>
      </c>
      <c r="B2418" s="1" t="s">
        <v>7290</v>
      </c>
      <c r="C2418" s="1" t="s">
        <v>7291</v>
      </c>
      <c r="D2418" s="1" t="s">
        <v>7242</v>
      </c>
      <c r="E2418" s="1" t="s">
        <v>7243</v>
      </c>
      <c r="F2418" s="1">
        <v>15346.0</v>
      </c>
      <c r="G2418" s="1">
        <v>271.0</v>
      </c>
      <c r="H2418" s="1">
        <v>22.0</v>
      </c>
      <c r="I2418" s="1">
        <v>5820000.0</v>
      </c>
      <c r="J2418" s="1" t="s">
        <v>6040</v>
      </c>
    </row>
    <row r="2419">
      <c r="A2419" s="1" t="s">
        <v>7292</v>
      </c>
      <c r="B2419" s="1" t="s">
        <v>7293</v>
      </c>
      <c r="C2419" s="1" t="s">
        <v>7294</v>
      </c>
      <c r="D2419" s="1" t="s">
        <v>7242</v>
      </c>
      <c r="E2419" s="1" t="s">
        <v>7243</v>
      </c>
      <c r="F2419" s="1">
        <v>39627.0</v>
      </c>
      <c r="G2419" s="1">
        <v>632.0</v>
      </c>
      <c r="H2419" s="1">
        <v>90.0</v>
      </c>
      <c r="I2419" s="1">
        <v>5820000.0</v>
      </c>
      <c r="J2419" s="1" t="s">
        <v>6040</v>
      </c>
    </row>
    <row r="2420">
      <c r="A2420" s="1" t="s">
        <v>7295</v>
      </c>
      <c r="B2420" s="1" t="s">
        <v>7296</v>
      </c>
      <c r="C2420" s="1" t="s">
        <v>7297</v>
      </c>
      <c r="D2420" s="1" t="s">
        <v>7242</v>
      </c>
      <c r="E2420" s="1" t="s">
        <v>7243</v>
      </c>
      <c r="F2420" s="1">
        <v>26110.0</v>
      </c>
      <c r="G2420" s="1">
        <v>708.0</v>
      </c>
      <c r="H2420" s="1">
        <v>105.0</v>
      </c>
      <c r="I2420" s="1">
        <v>5820000.0</v>
      </c>
      <c r="J2420" s="1" t="s">
        <v>6040</v>
      </c>
    </row>
    <row r="2421">
      <c r="A2421" s="1" t="s">
        <v>7298</v>
      </c>
      <c r="B2421" s="1" t="s">
        <v>7299</v>
      </c>
      <c r="C2421" s="1" t="s">
        <v>7300</v>
      </c>
      <c r="D2421" s="1" t="s">
        <v>7242</v>
      </c>
      <c r="E2421" s="1" t="s">
        <v>7243</v>
      </c>
      <c r="F2421" s="1">
        <v>69146.0</v>
      </c>
      <c r="G2421" s="1">
        <v>820.0</v>
      </c>
      <c r="H2421" s="1">
        <v>73.0</v>
      </c>
      <c r="I2421" s="1">
        <v>5820000.0</v>
      </c>
      <c r="J2421" s="1" t="s">
        <v>6040</v>
      </c>
    </row>
    <row r="2422">
      <c r="A2422" s="1" t="s">
        <v>7301</v>
      </c>
      <c r="B2422" s="1" t="s">
        <v>7302</v>
      </c>
      <c r="C2422" s="1" t="s">
        <v>7303</v>
      </c>
      <c r="D2422" s="1" t="s">
        <v>7242</v>
      </c>
      <c r="E2422" s="1" t="s">
        <v>7243</v>
      </c>
      <c r="F2422" s="1">
        <v>50676.0</v>
      </c>
      <c r="G2422" s="1">
        <v>891.0</v>
      </c>
      <c r="H2422" s="1">
        <v>120.0</v>
      </c>
      <c r="I2422" s="1">
        <v>5820000.0</v>
      </c>
      <c r="J2422" s="1" t="s">
        <v>6040</v>
      </c>
    </row>
    <row r="2423">
      <c r="A2423" s="1" t="s">
        <v>7304</v>
      </c>
      <c r="B2423" s="1" t="s">
        <v>7305</v>
      </c>
      <c r="C2423" s="1" t="s">
        <v>7306</v>
      </c>
      <c r="D2423" s="1" t="s">
        <v>7242</v>
      </c>
      <c r="E2423" s="1" t="s">
        <v>7243</v>
      </c>
      <c r="F2423" s="1">
        <v>154512.0</v>
      </c>
      <c r="G2423" s="1">
        <v>2437.0</v>
      </c>
      <c r="H2423" s="1">
        <v>123.0</v>
      </c>
      <c r="I2423" s="1">
        <v>5820000.0</v>
      </c>
      <c r="J2423" s="1" t="s">
        <v>6040</v>
      </c>
    </row>
    <row r="2424">
      <c r="A2424" s="1" t="s">
        <v>7307</v>
      </c>
      <c r="B2424" s="1" t="s">
        <v>7308</v>
      </c>
      <c r="C2424" s="1" t="s">
        <v>7309</v>
      </c>
      <c r="D2424" s="1" t="s">
        <v>7242</v>
      </c>
      <c r="E2424" s="1" t="s">
        <v>7243</v>
      </c>
      <c r="F2424" s="1">
        <v>167882.0</v>
      </c>
      <c r="G2424" s="1">
        <v>1653.0</v>
      </c>
      <c r="H2424" s="1">
        <v>139.0</v>
      </c>
      <c r="I2424" s="1">
        <v>5820000.0</v>
      </c>
      <c r="J2424" s="1" t="s">
        <v>6040</v>
      </c>
    </row>
    <row r="2425">
      <c r="A2425" s="1" t="s">
        <v>7310</v>
      </c>
      <c r="B2425" s="1" t="s">
        <v>7311</v>
      </c>
      <c r="C2425" s="1" t="s">
        <v>7312</v>
      </c>
      <c r="D2425" s="1" t="s">
        <v>7242</v>
      </c>
      <c r="E2425" s="1" t="s">
        <v>7243</v>
      </c>
      <c r="F2425" s="1">
        <v>202980.0</v>
      </c>
      <c r="G2425" s="1">
        <v>1385.0</v>
      </c>
      <c r="H2425" s="1">
        <v>70.0</v>
      </c>
      <c r="I2425" s="1">
        <v>5820000.0</v>
      </c>
      <c r="J2425" s="1" t="s">
        <v>6040</v>
      </c>
    </row>
    <row r="2426">
      <c r="A2426" s="1" t="s">
        <v>7313</v>
      </c>
      <c r="B2426" s="1" t="s">
        <v>7314</v>
      </c>
      <c r="C2426" s="1" t="s">
        <v>7315</v>
      </c>
      <c r="D2426" s="1" t="s">
        <v>7242</v>
      </c>
      <c r="E2426" s="1" t="s">
        <v>7243</v>
      </c>
      <c r="F2426" s="1">
        <v>92428.0</v>
      </c>
      <c r="G2426" s="1">
        <v>1119.0</v>
      </c>
      <c r="H2426" s="1">
        <v>48.0</v>
      </c>
      <c r="I2426" s="1">
        <v>5820000.0</v>
      </c>
      <c r="J2426" s="1" t="s">
        <v>6040</v>
      </c>
    </row>
    <row r="2427">
      <c r="A2427" s="1" t="s">
        <v>7316</v>
      </c>
      <c r="B2427" s="1" t="s">
        <v>7317</v>
      </c>
      <c r="C2427" s="1" t="s">
        <v>7318</v>
      </c>
      <c r="D2427" s="1" t="s">
        <v>7242</v>
      </c>
      <c r="E2427" s="1" t="s">
        <v>7243</v>
      </c>
      <c r="F2427" s="1">
        <v>230590.0</v>
      </c>
      <c r="G2427" s="1">
        <v>3200.0</v>
      </c>
      <c r="H2427" s="1">
        <v>283.0</v>
      </c>
      <c r="I2427" s="1">
        <v>5820000.0</v>
      </c>
      <c r="J2427" s="1" t="s">
        <v>6040</v>
      </c>
    </row>
    <row r="2428">
      <c r="A2428" s="1" t="s">
        <v>7319</v>
      </c>
      <c r="B2428" s="1" t="s">
        <v>7320</v>
      </c>
      <c r="C2428" s="1" t="s">
        <v>7321</v>
      </c>
      <c r="D2428" s="1" t="s">
        <v>7242</v>
      </c>
      <c r="E2428" s="1" t="s">
        <v>7243</v>
      </c>
      <c r="F2428" s="1">
        <v>110309.0</v>
      </c>
      <c r="G2428" s="1">
        <v>880.0</v>
      </c>
      <c r="H2428" s="1">
        <v>76.0</v>
      </c>
      <c r="I2428" s="1">
        <v>5820000.0</v>
      </c>
      <c r="J2428" s="1" t="s">
        <v>6040</v>
      </c>
    </row>
    <row r="2429">
      <c r="A2429" s="1" t="s">
        <v>7322</v>
      </c>
      <c r="B2429" s="1" t="s">
        <v>7323</v>
      </c>
      <c r="C2429" s="1" t="s">
        <v>7324</v>
      </c>
      <c r="D2429" s="1" t="s">
        <v>7242</v>
      </c>
      <c r="E2429" s="1" t="s">
        <v>7243</v>
      </c>
      <c r="F2429" s="1">
        <v>37224.0</v>
      </c>
      <c r="G2429" s="1">
        <v>650.0</v>
      </c>
      <c r="H2429" s="1">
        <v>26.0</v>
      </c>
      <c r="I2429" s="1">
        <v>5820000.0</v>
      </c>
      <c r="J2429" s="1" t="s">
        <v>6040</v>
      </c>
    </row>
    <row r="2430">
      <c r="A2430" s="1" t="s">
        <v>7325</v>
      </c>
      <c r="B2430" s="1" t="s">
        <v>7326</v>
      </c>
      <c r="C2430" s="1" t="s">
        <v>7327</v>
      </c>
      <c r="D2430" s="1" t="s">
        <v>7242</v>
      </c>
      <c r="E2430" s="1" t="s">
        <v>7243</v>
      </c>
      <c r="F2430" s="1">
        <v>150633.0</v>
      </c>
      <c r="G2430" s="1">
        <v>1570.0</v>
      </c>
      <c r="H2430" s="1">
        <v>50.0</v>
      </c>
      <c r="I2430" s="1">
        <v>5820000.0</v>
      </c>
      <c r="J2430" s="1" t="s">
        <v>6040</v>
      </c>
    </row>
    <row r="2431">
      <c r="A2431" s="1" t="s">
        <v>7328</v>
      </c>
      <c r="B2431" s="1" t="s">
        <v>7329</v>
      </c>
      <c r="C2431" s="1" t="s">
        <v>7330</v>
      </c>
      <c r="D2431" s="1" t="s">
        <v>7242</v>
      </c>
      <c r="E2431" s="1" t="s">
        <v>7243</v>
      </c>
      <c r="F2431" s="1">
        <v>15105.0</v>
      </c>
      <c r="G2431" s="1">
        <v>201.0</v>
      </c>
      <c r="H2431" s="1">
        <v>4.0</v>
      </c>
      <c r="I2431" s="1">
        <v>5820000.0</v>
      </c>
      <c r="J2431" s="1" t="s">
        <v>6040</v>
      </c>
    </row>
    <row r="2432">
      <c r="A2432" s="1" t="s">
        <v>7331</v>
      </c>
      <c r="B2432" s="1" t="s">
        <v>7332</v>
      </c>
      <c r="C2432" s="1" t="s">
        <v>7333</v>
      </c>
      <c r="D2432" s="1" t="s">
        <v>7242</v>
      </c>
      <c r="E2432" s="1" t="s">
        <v>7243</v>
      </c>
      <c r="F2432" s="1">
        <v>70681.0</v>
      </c>
      <c r="G2432" s="1">
        <v>1054.0</v>
      </c>
      <c r="H2432" s="1">
        <v>0.0</v>
      </c>
      <c r="I2432" s="1">
        <v>5820000.0</v>
      </c>
      <c r="J2432" s="1" t="s">
        <v>6040</v>
      </c>
    </row>
    <row r="2433">
      <c r="A2433" s="1" t="s">
        <v>7334</v>
      </c>
      <c r="B2433" s="1" t="s">
        <v>7335</v>
      </c>
      <c r="C2433" s="1" t="s">
        <v>7336</v>
      </c>
      <c r="D2433" s="1" t="s">
        <v>7242</v>
      </c>
      <c r="E2433" s="1" t="s">
        <v>7243</v>
      </c>
      <c r="F2433" s="1">
        <v>87355.0</v>
      </c>
      <c r="G2433" s="1">
        <v>895.0</v>
      </c>
      <c r="H2433" s="1">
        <v>36.0</v>
      </c>
      <c r="I2433" s="1">
        <v>5820000.0</v>
      </c>
      <c r="J2433" s="1" t="s">
        <v>6040</v>
      </c>
    </row>
    <row r="2434">
      <c r="A2434" s="1" t="s">
        <v>7337</v>
      </c>
      <c r="B2434" s="1" t="s">
        <v>7338</v>
      </c>
      <c r="C2434" s="1" t="s">
        <v>7339</v>
      </c>
      <c r="D2434" s="1" t="s">
        <v>7242</v>
      </c>
      <c r="E2434" s="1" t="s">
        <v>7243</v>
      </c>
      <c r="F2434" s="1">
        <v>147748.0</v>
      </c>
      <c r="G2434" s="1">
        <v>1541.0</v>
      </c>
      <c r="H2434" s="1">
        <v>92.0</v>
      </c>
      <c r="I2434" s="1">
        <v>5820000.0</v>
      </c>
      <c r="J2434" s="1" t="s">
        <v>6040</v>
      </c>
    </row>
    <row r="2435">
      <c r="A2435" s="1" t="s">
        <v>7340</v>
      </c>
      <c r="B2435" s="1" t="s">
        <v>7341</v>
      </c>
      <c r="C2435" s="1" t="s">
        <v>7342</v>
      </c>
      <c r="D2435" s="1" t="s">
        <v>7242</v>
      </c>
      <c r="E2435" s="1" t="s">
        <v>7243</v>
      </c>
      <c r="F2435" s="1">
        <v>348946.0</v>
      </c>
      <c r="G2435" s="1">
        <v>2272.0</v>
      </c>
      <c r="H2435" s="1">
        <v>134.0</v>
      </c>
      <c r="I2435" s="1">
        <v>5820000.0</v>
      </c>
      <c r="J2435" s="1" t="s">
        <v>6040</v>
      </c>
    </row>
    <row r="2436">
      <c r="A2436" s="1" t="s">
        <v>7343</v>
      </c>
      <c r="B2436" s="1" t="s">
        <v>7344</v>
      </c>
      <c r="C2436" s="1" t="s">
        <v>7345</v>
      </c>
      <c r="D2436" s="1" t="s">
        <v>7242</v>
      </c>
      <c r="E2436" s="1" t="s">
        <v>7243</v>
      </c>
      <c r="F2436" s="1">
        <v>159178.0</v>
      </c>
      <c r="G2436" s="1">
        <v>1399.0</v>
      </c>
      <c r="H2436" s="1">
        <v>25.0</v>
      </c>
      <c r="I2436" s="1">
        <v>5820000.0</v>
      </c>
      <c r="J2436" s="1" t="s">
        <v>6040</v>
      </c>
    </row>
    <row r="2437">
      <c r="A2437" s="1" t="s">
        <v>7346</v>
      </c>
      <c r="B2437" s="1" t="s">
        <v>7347</v>
      </c>
      <c r="C2437" s="1" t="s">
        <v>7348</v>
      </c>
      <c r="D2437" s="1" t="s">
        <v>7242</v>
      </c>
      <c r="E2437" s="1" t="s">
        <v>7243</v>
      </c>
      <c r="F2437" s="1">
        <v>96965.0</v>
      </c>
      <c r="G2437" s="1">
        <v>795.0</v>
      </c>
      <c r="H2437" s="1">
        <v>38.0</v>
      </c>
      <c r="I2437" s="1">
        <v>5820000.0</v>
      </c>
      <c r="J2437" s="1" t="s">
        <v>6040</v>
      </c>
    </row>
    <row r="2438">
      <c r="A2438" s="1" t="s">
        <v>7349</v>
      </c>
      <c r="B2438" s="1" t="s">
        <v>7350</v>
      </c>
      <c r="C2438" s="1" t="s">
        <v>7351</v>
      </c>
      <c r="D2438" s="1" t="s">
        <v>7242</v>
      </c>
      <c r="E2438" s="1" t="s">
        <v>7243</v>
      </c>
      <c r="F2438" s="1">
        <v>427937.0</v>
      </c>
      <c r="G2438" s="1">
        <v>3182.0</v>
      </c>
      <c r="H2438" s="1">
        <v>442.0</v>
      </c>
      <c r="I2438" s="1">
        <v>5820000.0</v>
      </c>
      <c r="J2438" s="1" t="s">
        <v>6040</v>
      </c>
    </row>
    <row r="2439">
      <c r="A2439" s="1" t="s">
        <v>7352</v>
      </c>
      <c r="B2439" s="1" t="s">
        <v>7353</v>
      </c>
      <c r="C2439" s="1" t="s">
        <v>7354</v>
      </c>
      <c r="D2439" s="1" t="s">
        <v>7242</v>
      </c>
      <c r="E2439" s="1" t="s">
        <v>7243</v>
      </c>
      <c r="F2439" s="1">
        <v>102289.0</v>
      </c>
      <c r="G2439" s="1">
        <v>1008.0</v>
      </c>
      <c r="H2439" s="1">
        <v>76.0</v>
      </c>
      <c r="I2439" s="1">
        <v>5820000.0</v>
      </c>
      <c r="J2439" s="1" t="s">
        <v>6040</v>
      </c>
    </row>
    <row r="2440">
      <c r="A2440" s="1" t="s">
        <v>7355</v>
      </c>
      <c r="B2440" s="1" t="s">
        <v>7356</v>
      </c>
      <c r="C2440" s="1" t="s">
        <v>7357</v>
      </c>
      <c r="D2440" s="1" t="s">
        <v>7242</v>
      </c>
      <c r="E2440" s="1" t="s">
        <v>7243</v>
      </c>
      <c r="F2440" s="1">
        <v>293587.0</v>
      </c>
      <c r="G2440" s="1">
        <v>1987.0</v>
      </c>
      <c r="H2440" s="1">
        <v>108.0</v>
      </c>
      <c r="I2440" s="1">
        <v>5820000.0</v>
      </c>
      <c r="J2440" s="1" t="s">
        <v>6040</v>
      </c>
    </row>
    <row r="2441">
      <c r="A2441" s="1" t="s">
        <v>7358</v>
      </c>
      <c r="B2441" s="1" t="s">
        <v>7359</v>
      </c>
      <c r="C2441" s="1" t="s">
        <v>7360</v>
      </c>
      <c r="D2441" s="1" t="s">
        <v>7242</v>
      </c>
      <c r="E2441" s="1" t="s">
        <v>7243</v>
      </c>
      <c r="F2441" s="1">
        <v>63105.0</v>
      </c>
      <c r="G2441" s="1">
        <v>975.0</v>
      </c>
      <c r="H2441" s="1">
        <v>89.0</v>
      </c>
      <c r="I2441" s="1">
        <v>5820000.0</v>
      </c>
      <c r="J2441" s="1" t="s">
        <v>6040</v>
      </c>
    </row>
    <row r="2442">
      <c r="A2442" s="1" t="s">
        <v>7361</v>
      </c>
      <c r="B2442" s="1" t="s">
        <v>7362</v>
      </c>
      <c r="C2442" s="1" t="s">
        <v>7363</v>
      </c>
      <c r="D2442" s="1" t="s">
        <v>7242</v>
      </c>
      <c r="E2442" s="1" t="s">
        <v>7243</v>
      </c>
      <c r="F2442" s="1">
        <v>53172.0</v>
      </c>
      <c r="G2442" s="1">
        <v>588.0</v>
      </c>
      <c r="H2442" s="1">
        <v>48.0</v>
      </c>
      <c r="I2442" s="1">
        <v>5820000.0</v>
      </c>
      <c r="J2442" s="1" t="s">
        <v>6040</v>
      </c>
    </row>
    <row r="2443">
      <c r="A2443" s="1" t="s">
        <v>7364</v>
      </c>
      <c r="B2443" s="1" t="s">
        <v>7365</v>
      </c>
      <c r="C2443" s="1" t="s">
        <v>7366</v>
      </c>
      <c r="D2443" s="1" t="s">
        <v>7242</v>
      </c>
      <c r="E2443" s="1" t="s">
        <v>7243</v>
      </c>
      <c r="F2443" s="1">
        <v>302563.0</v>
      </c>
      <c r="G2443" s="1">
        <v>1613.0</v>
      </c>
      <c r="H2443" s="1">
        <v>76.0</v>
      </c>
      <c r="I2443" s="1">
        <v>5820000.0</v>
      </c>
      <c r="J2443" s="1" t="s">
        <v>6040</v>
      </c>
    </row>
    <row r="2444">
      <c r="A2444" s="1" t="s">
        <v>7367</v>
      </c>
      <c r="B2444" s="1" t="s">
        <v>7368</v>
      </c>
      <c r="C2444" s="1" t="s">
        <v>7369</v>
      </c>
      <c r="D2444" s="1" t="s">
        <v>7242</v>
      </c>
      <c r="E2444" s="1" t="s">
        <v>7243</v>
      </c>
      <c r="F2444" s="1">
        <v>23426.0</v>
      </c>
      <c r="G2444" s="1">
        <v>350.0</v>
      </c>
      <c r="H2444" s="1">
        <v>8.0</v>
      </c>
      <c r="I2444" s="1">
        <v>5820000.0</v>
      </c>
      <c r="J2444" s="1" t="s">
        <v>6040</v>
      </c>
    </row>
    <row r="2445">
      <c r="A2445" s="1" t="s">
        <v>7370</v>
      </c>
      <c r="B2445" s="1" t="s">
        <v>7371</v>
      </c>
      <c r="C2445" s="1" t="s">
        <v>7372</v>
      </c>
      <c r="D2445" s="1" t="s">
        <v>7242</v>
      </c>
      <c r="E2445" s="1" t="s">
        <v>7243</v>
      </c>
      <c r="F2445" s="1">
        <v>61077.0</v>
      </c>
      <c r="G2445" s="1">
        <v>942.0</v>
      </c>
      <c r="H2445" s="1">
        <v>56.0</v>
      </c>
      <c r="I2445" s="1">
        <v>5820000.0</v>
      </c>
      <c r="J2445" s="1" t="s">
        <v>6040</v>
      </c>
    </row>
    <row r="2446">
      <c r="A2446" s="1" t="s">
        <v>7373</v>
      </c>
      <c r="B2446" s="1" t="s">
        <v>7374</v>
      </c>
      <c r="C2446" s="1" t="s">
        <v>7375</v>
      </c>
      <c r="D2446" s="1" t="s">
        <v>7242</v>
      </c>
      <c r="E2446" s="1" t="s">
        <v>7243</v>
      </c>
      <c r="F2446" s="1">
        <v>26325.0</v>
      </c>
      <c r="G2446" s="1">
        <v>339.0</v>
      </c>
      <c r="H2446" s="1">
        <v>26.0</v>
      </c>
      <c r="I2446" s="1">
        <v>5820000.0</v>
      </c>
      <c r="J2446" s="1" t="s">
        <v>6040</v>
      </c>
    </row>
    <row r="2447">
      <c r="A2447" s="1" t="s">
        <v>7376</v>
      </c>
      <c r="B2447" s="1" t="s">
        <v>7377</v>
      </c>
      <c r="C2447" s="1" t="s">
        <v>7378</v>
      </c>
      <c r="D2447" s="1" t="s">
        <v>7242</v>
      </c>
      <c r="E2447" s="1" t="s">
        <v>7243</v>
      </c>
      <c r="F2447" s="1">
        <v>43515.0</v>
      </c>
      <c r="G2447" s="1">
        <v>601.0</v>
      </c>
      <c r="H2447" s="1">
        <v>59.0</v>
      </c>
      <c r="I2447" s="1">
        <v>5820000.0</v>
      </c>
      <c r="J2447" s="1" t="s">
        <v>6040</v>
      </c>
    </row>
    <row r="2448">
      <c r="A2448" s="1" t="s">
        <v>7379</v>
      </c>
      <c r="B2448" s="1" t="s">
        <v>7380</v>
      </c>
      <c r="C2448" s="1" t="s">
        <v>7381</v>
      </c>
      <c r="D2448" s="1" t="s">
        <v>7242</v>
      </c>
      <c r="E2448" s="1" t="s">
        <v>7243</v>
      </c>
      <c r="F2448" s="1">
        <v>30821.0</v>
      </c>
      <c r="G2448" s="1">
        <v>524.0</v>
      </c>
      <c r="H2448" s="1">
        <v>16.0</v>
      </c>
      <c r="I2448" s="1">
        <v>5820000.0</v>
      </c>
      <c r="J2448" s="1" t="s">
        <v>6040</v>
      </c>
    </row>
    <row r="2449">
      <c r="A2449" s="1" t="s">
        <v>7382</v>
      </c>
      <c r="B2449" s="1" t="s">
        <v>7383</v>
      </c>
      <c r="C2449" s="1" t="s">
        <v>7384</v>
      </c>
      <c r="D2449" s="1" t="s">
        <v>7242</v>
      </c>
      <c r="E2449" s="1" t="s">
        <v>7243</v>
      </c>
      <c r="F2449" s="1">
        <v>40033.0</v>
      </c>
      <c r="G2449" s="1">
        <v>440.0</v>
      </c>
      <c r="H2449" s="1">
        <v>27.0</v>
      </c>
      <c r="I2449" s="1">
        <v>5820000.0</v>
      </c>
      <c r="J2449" s="1" t="s">
        <v>6040</v>
      </c>
    </row>
    <row r="2450">
      <c r="A2450" s="1" t="s">
        <v>7385</v>
      </c>
      <c r="B2450" s="1" t="s">
        <v>7386</v>
      </c>
      <c r="C2450" s="1" t="s">
        <v>7387</v>
      </c>
      <c r="D2450" s="1" t="s">
        <v>7242</v>
      </c>
      <c r="E2450" s="1" t="s">
        <v>7243</v>
      </c>
      <c r="F2450" s="1">
        <v>39483.0</v>
      </c>
      <c r="G2450" s="1">
        <v>668.0</v>
      </c>
      <c r="H2450" s="1">
        <v>58.0</v>
      </c>
      <c r="I2450" s="1">
        <v>5820000.0</v>
      </c>
      <c r="J2450" s="1" t="s">
        <v>6040</v>
      </c>
    </row>
    <row r="2451">
      <c r="A2451" s="1" t="s">
        <v>7388</v>
      </c>
      <c r="B2451" s="1" t="s">
        <v>7389</v>
      </c>
      <c r="C2451" s="1" t="s">
        <v>7390</v>
      </c>
      <c r="D2451" s="1" t="s">
        <v>7242</v>
      </c>
      <c r="E2451" s="1" t="s">
        <v>7243</v>
      </c>
      <c r="F2451" s="1">
        <v>190002.0</v>
      </c>
      <c r="G2451" s="1">
        <v>1872.0</v>
      </c>
      <c r="H2451" s="1">
        <v>76.0</v>
      </c>
      <c r="I2451" s="1">
        <v>5820000.0</v>
      </c>
      <c r="J2451" s="1" t="s">
        <v>6040</v>
      </c>
    </row>
    <row r="2452">
      <c r="A2452" s="1" t="s">
        <v>7391</v>
      </c>
      <c r="B2452" s="1" t="s">
        <v>7392</v>
      </c>
      <c r="C2452" s="1" t="s">
        <v>7393</v>
      </c>
      <c r="D2452" s="1" t="s">
        <v>7242</v>
      </c>
      <c r="E2452" s="1" t="s">
        <v>7243</v>
      </c>
      <c r="F2452" s="1">
        <v>171356.0</v>
      </c>
      <c r="G2452" s="1">
        <v>1283.0</v>
      </c>
      <c r="H2452" s="1">
        <v>187.0</v>
      </c>
      <c r="I2452" s="1">
        <v>5820000.0</v>
      </c>
      <c r="J2452" s="1" t="s">
        <v>6040</v>
      </c>
    </row>
    <row r="2453">
      <c r="A2453" s="1" t="s">
        <v>7394</v>
      </c>
      <c r="B2453" s="1" t="s">
        <v>7395</v>
      </c>
      <c r="C2453" s="1" t="s">
        <v>7396</v>
      </c>
      <c r="D2453" s="1" t="s">
        <v>7242</v>
      </c>
      <c r="E2453" s="1" t="s">
        <v>7243</v>
      </c>
      <c r="F2453" s="1">
        <v>132843.0</v>
      </c>
      <c r="G2453" s="1">
        <v>1440.0</v>
      </c>
      <c r="H2453" s="1">
        <v>86.0</v>
      </c>
      <c r="I2453" s="1">
        <v>5820000.0</v>
      </c>
      <c r="J2453" s="1" t="s">
        <v>6040</v>
      </c>
    </row>
    <row r="2454">
      <c r="A2454" s="1" t="s">
        <v>7397</v>
      </c>
      <c r="B2454" s="1" t="s">
        <v>7398</v>
      </c>
      <c r="C2454" s="1" t="s">
        <v>7399</v>
      </c>
      <c r="D2454" s="1" t="s">
        <v>7242</v>
      </c>
      <c r="E2454" s="1" t="s">
        <v>7243</v>
      </c>
      <c r="F2454" s="1">
        <v>281124.0</v>
      </c>
      <c r="G2454" s="1">
        <v>2194.0</v>
      </c>
      <c r="H2454" s="1">
        <v>134.0</v>
      </c>
      <c r="I2454" s="1">
        <v>5820000.0</v>
      </c>
      <c r="J2454" s="1" t="s">
        <v>6040</v>
      </c>
    </row>
    <row r="2455">
      <c r="A2455" s="1" t="s">
        <v>7400</v>
      </c>
      <c r="B2455" s="1" t="s">
        <v>7401</v>
      </c>
      <c r="C2455" s="1" t="s">
        <v>7402</v>
      </c>
      <c r="D2455" s="1" t="s">
        <v>7242</v>
      </c>
      <c r="E2455" s="1" t="s">
        <v>7243</v>
      </c>
      <c r="F2455" s="1">
        <v>59414.0</v>
      </c>
      <c r="G2455" s="1">
        <v>656.0</v>
      </c>
      <c r="H2455" s="1">
        <v>50.0</v>
      </c>
      <c r="I2455" s="1">
        <v>5820000.0</v>
      </c>
      <c r="J2455" s="1" t="s">
        <v>6040</v>
      </c>
    </row>
    <row r="2456">
      <c r="A2456" s="1" t="s">
        <v>7403</v>
      </c>
      <c r="B2456" s="1" t="s">
        <v>7404</v>
      </c>
      <c r="C2456" s="1" t="s">
        <v>7405</v>
      </c>
      <c r="D2456" s="1" t="s">
        <v>7242</v>
      </c>
      <c r="E2456" s="1" t="s">
        <v>7243</v>
      </c>
      <c r="F2456" s="1">
        <v>72645.0</v>
      </c>
      <c r="G2456" s="1">
        <v>584.0</v>
      </c>
      <c r="H2456" s="1">
        <v>49.0</v>
      </c>
      <c r="I2456" s="1">
        <v>5820000.0</v>
      </c>
      <c r="J2456" s="1" t="s">
        <v>6040</v>
      </c>
    </row>
    <row r="2457">
      <c r="A2457" s="1" t="s">
        <v>7406</v>
      </c>
      <c r="B2457" s="1" t="s">
        <v>7407</v>
      </c>
      <c r="C2457" s="1" t="s">
        <v>7408</v>
      </c>
      <c r="D2457" s="1" t="s">
        <v>7242</v>
      </c>
      <c r="E2457" s="1" t="s">
        <v>7243</v>
      </c>
      <c r="F2457" s="1">
        <v>65366.0</v>
      </c>
      <c r="G2457" s="1">
        <v>1188.0</v>
      </c>
      <c r="H2457" s="1">
        <v>98.0</v>
      </c>
      <c r="I2457" s="1">
        <v>5820000.0</v>
      </c>
      <c r="J2457" s="1" t="s">
        <v>6040</v>
      </c>
    </row>
    <row r="2458">
      <c r="A2458" s="1" t="s">
        <v>7409</v>
      </c>
      <c r="B2458" s="1" t="s">
        <v>7410</v>
      </c>
      <c r="C2458" s="1" t="s">
        <v>7411</v>
      </c>
      <c r="D2458" s="1" t="s">
        <v>7242</v>
      </c>
      <c r="E2458" s="1" t="s">
        <v>7243</v>
      </c>
      <c r="F2458" s="1">
        <v>110937.0</v>
      </c>
      <c r="G2458" s="1">
        <v>1174.0</v>
      </c>
      <c r="H2458" s="1">
        <v>92.0</v>
      </c>
      <c r="I2458" s="1">
        <v>5820000.0</v>
      </c>
      <c r="J2458" s="1" t="s">
        <v>6040</v>
      </c>
    </row>
    <row r="2459">
      <c r="A2459" s="1" t="s">
        <v>7412</v>
      </c>
      <c r="B2459" s="1" t="s">
        <v>7413</v>
      </c>
      <c r="C2459" s="1" t="s">
        <v>7414</v>
      </c>
      <c r="D2459" s="1" t="s">
        <v>7242</v>
      </c>
      <c r="E2459" s="1" t="s">
        <v>7243</v>
      </c>
      <c r="F2459" s="1">
        <v>273389.0</v>
      </c>
      <c r="G2459" s="1">
        <v>2483.0</v>
      </c>
      <c r="H2459" s="1">
        <v>213.0</v>
      </c>
      <c r="I2459" s="1">
        <v>5820000.0</v>
      </c>
      <c r="J2459" s="1" t="s">
        <v>6040</v>
      </c>
    </row>
    <row r="2460">
      <c r="A2460" s="1" t="s">
        <v>7415</v>
      </c>
      <c r="B2460" s="1" t="s">
        <v>7416</v>
      </c>
      <c r="C2460" s="1" t="s">
        <v>7417</v>
      </c>
      <c r="D2460" s="1" t="s">
        <v>7242</v>
      </c>
      <c r="E2460" s="1" t="s">
        <v>7243</v>
      </c>
      <c r="F2460" s="1">
        <v>879589.0</v>
      </c>
      <c r="G2460" s="1">
        <v>4620.0</v>
      </c>
      <c r="H2460" s="1">
        <v>183.0</v>
      </c>
      <c r="I2460" s="1">
        <v>5820000.0</v>
      </c>
      <c r="J2460" s="1" t="s">
        <v>6040</v>
      </c>
    </row>
    <row r="2461">
      <c r="A2461" s="1" t="s">
        <v>7418</v>
      </c>
      <c r="B2461" s="1" t="s">
        <v>7419</v>
      </c>
      <c r="C2461" s="1" t="s">
        <v>7420</v>
      </c>
      <c r="D2461" s="1" t="s">
        <v>7242</v>
      </c>
      <c r="E2461" s="1" t="s">
        <v>7243</v>
      </c>
      <c r="F2461" s="1">
        <v>415688.0</v>
      </c>
      <c r="G2461" s="1">
        <v>4177.0</v>
      </c>
      <c r="H2461" s="1">
        <v>289.0</v>
      </c>
      <c r="I2461" s="1">
        <v>5820000.0</v>
      </c>
      <c r="J2461" s="1" t="s">
        <v>6040</v>
      </c>
    </row>
    <row r="2462">
      <c r="A2462" s="1" t="s">
        <v>7421</v>
      </c>
      <c r="B2462" s="1" t="s">
        <v>7422</v>
      </c>
      <c r="C2462" s="1" t="s">
        <v>7423</v>
      </c>
      <c r="D2462" s="1" t="s">
        <v>7242</v>
      </c>
      <c r="E2462" s="1" t="s">
        <v>7243</v>
      </c>
      <c r="F2462" s="1">
        <v>290278.0</v>
      </c>
      <c r="G2462" s="1">
        <v>3437.0</v>
      </c>
      <c r="H2462" s="1">
        <v>1019.0</v>
      </c>
      <c r="I2462" s="1">
        <v>5820000.0</v>
      </c>
      <c r="J2462" s="1" t="s">
        <v>6040</v>
      </c>
    </row>
    <row r="2463">
      <c r="A2463" s="1" t="s">
        <v>7424</v>
      </c>
      <c r="B2463" s="1" t="s">
        <v>7425</v>
      </c>
      <c r="C2463" s="1" t="s">
        <v>7426</v>
      </c>
      <c r="D2463" s="1" t="s">
        <v>7242</v>
      </c>
      <c r="E2463" s="1" t="s">
        <v>7243</v>
      </c>
      <c r="F2463" s="1">
        <v>61573.0</v>
      </c>
      <c r="G2463" s="1">
        <v>910.0</v>
      </c>
      <c r="H2463" s="1">
        <v>31.0</v>
      </c>
      <c r="I2463" s="1">
        <v>5820000.0</v>
      </c>
      <c r="J2463" s="1" t="s">
        <v>6040</v>
      </c>
    </row>
    <row r="2464">
      <c r="A2464" s="1" t="s">
        <v>7427</v>
      </c>
      <c r="B2464" s="1" t="s">
        <v>7428</v>
      </c>
      <c r="C2464" s="1" t="s">
        <v>7429</v>
      </c>
      <c r="D2464" s="1" t="s">
        <v>7242</v>
      </c>
      <c r="E2464" s="1" t="s">
        <v>7243</v>
      </c>
      <c r="F2464" s="1">
        <v>198373.0</v>
      </c>
      <c r="G2464" s="1">
        <v>1509.0</v>
      </c>
      <c r="H2464" s="1">
        <v>101.0</v>
      </c>
      <c r="I2464" s="1">
        <v>5820000.0</v>
      </c>
      <c r="J2464" s="1" t="s">
        <v>6040</v>
      </c>
    </row>
    <row r="2465">
      <c r="A2465" s="1" t="s">
        <v>7430</v>
      </c>
      <c r="B2465" s="1" t="s">
        <v>7431</v>
      </c>
      <c r="C2465" s="1" t="s">
        <v>7432</v>
      </c>
      <c r="D2465" s="1" t="s">
        <v>7242</v>
      </c>
      <c r="E2465" s="1" t="s">
        <v>7243</v>
      </c>
      <c r="F2465" s="1">
        <v>467218.0</v>
      </c>
      <c r="G2465" s="1">
        <v>3057.0</v>
      </c>
      <c r="H2465" s="1">
        <v>322.0</v>
      </c>
      <c r="I2465" s="1">
        <v>5820000.0</v>
      </c>
      <c r="J2465" s="1" t="s">
        <v>6040</v>
      </c>
    </row>
    <row r="2466">
      <c r="A2466" s="1" t="s">
        <v>7433</v>
      </c>
      <c r="B2466" s="1" t="s">
        <v>7434</v>
      </c>
      <c r="C2466" s="1" t="s">
        <v>7435</v>
      </c>
      <c r="D2466" s="1" t="s">
        <v>7242</v>
      </c>
      <c r="E2466" s="1" t="s">
        <v>7243</v>
      </c>
      <c r="F2466" s="1">
        <v>108935.0</v>
      </c>
      <c r="G2466" s="1">
        <v>1106.0</v>
      </c>
      <c r="H2466" s="1">
        <v>38.0</v>
      </c>
      <c r="I2466" s="1">
        <v>5820000.0</v>
      </c>
      <c r="J2466" s="1" t="s">
        <v>6040</v>
      </c>
    </row>
    <row r="2467">
      <c r="A2467" s="1" t="s">
        <v>7436</v>
      </c>
      <c r="B2467" s="1" t="s">
        <v>7437</v>
      </c>
      <c r="C2467" s="1" t="s">
        <v>7438</v>
      </c>
      <c r="D2467" s="1" t="s">
        <v>7242</v>
      </c>
      <c r="E2467" s="1" t="s">
        <v>7243</v>
      </c>
      <c r="F2467" s="1">
        <v>476847.0</v>
      </c>
      <c r="G2467" s="1">
        <v>5010.0</v>
      </c>
      <c r="H2467" s="1">
        <v>504.0</v>
      </c>
      <c r="I2467" s="1">
        <v>5820000.0</v>
      </c>
      <c r="J2467" s="1" t="s">
        <v>6040</v>
      </c>
    </row>
    <row r="2468">
      <c r="A2468" s="1" t="s">
        <v>7439</v>
      </c>
      <c r="B2468" s="1" t="s">
        <v>7440</v>
      </c>
      <c r="C2468" s="1" t="s">
        <v>7441</v>
      </c>
      <c r="D2468" s="1" t="s">
        <v>7242</v>
      </c>
      <c r="E2468" s="1" t="s">
        <v>7243</v>
      </c>
      <c r="F2468" s="1">
        <v>42514.0</v>
      </c>
      <c r="G2468" s="1">
        <v>424.0</v>
      </c>
      <c r="H2468" s="1">
        <v>19.0</v>
      </c>
      <c r="I2468" s="1">
        <v>5820000.0</v>
      </c>
      <c r="J2468" s="1" t="s">
        <v>6040</v>
      </c>
    </row>
    <row r="2469">
      <c r="A2469" s="1" t="s">
        <v>7442</v>
      </c>
      <c r="B2469" s="1" t="s">
        <v>7443</v>
      </c>
      <c r="C2469" s="1" t="s">
        <v>7444</v>
      </c>
      <c r="D2469" s="1" t="s">
        <v>7242</v>
      </c>
      <c r="E2469" s="1" t="s">
        <v>7243</v>
      </c>
      <c r="F2469" s="1">
        <v>56383.0</v>
      </c>
      <c r="G2469" s="1">
        <v>810.0</v>
      </c>
      <c r="H2469" s="1">
        <v>42.0</v>
      </c>
      <c r="I2469" s="1">
        <v>5820000.0</v>
      </c>
      <c r="J2469" s="1" t="s">
        <v>6040</v>
      </c>
    </row>
    <row r="2470">
      <c r="A2470" s="1" t="s">
        <v>7445</v>
      </c>
      <c r="B2470" s="1" t="s">
        <v>7446</v>
      </c>
      <c r="C2470" s="1" t="s">
        <v>7447</v>
      </c>
      <c r="D2470" s="1" t="s">
        <v>7242</v>
      </c>
      <c r="E2470" s="1" t="s">
        <v>7243</v>
      </c>
      <c r="F2470" s="1">
        <v>213992.0</v>
      </c>
      <c r="G2470" s="1">
        <v>1405.0</v>
      </c>
      <c r="H2470" s="1">
        <v>165.0</v>
      </c>
      <c r="I2470" s="1">
        <v>5820000.0</v>
      </c>
      <c r="J2470" s="1" t="s">
        <v>6040</v>
      </c>
    </row>
    <row r="2471">
      <c r="A2471" s="1" t="s">
        <v>7448</v>
      </c>
      <c r="B2471" s="1" t="s">
        <v>7449</v>
      </c>
      <c r="C2471" s="1" t="s">
        <v>7450</v>
      </c>
      <c r="D2471" s="1" t="s">
        <v>7242</v>
      </c>
      <c r="E2471" s="1" t="s">
        <v>7243</v>
      </c>
      <c r="F2471" s="1">
        <v>76971.0</v>
      </c>
      <c r="G2471" s="1">
        <v>809.0</v>
      </c>
      <c r="H2471" s="1">
        <v>31.0</v>
      </c>
      <c r="I2471" s="1">
        <v>5820000.0</v>
      </c>
      <c r="J2471" s="1" t="s">
        <v>6040</v>
      </c>
    </row>
    <row r="2472">
      <c r="A2472" s="1" t="s">
        <v>7451</v>
      </c>
      <c r="B2472" s="1" t="s">
        <v>7452</v>
      </c>
      <c r="C2472" s="1" t="s">
        <v>7453</v>
      </c>
      <c r="D2472" s="1" t="s">
        <v>7242</v>
      </c>
      <c r="E2472" s="1" t="s">
        <v>7243</v>
      </c>
      <c r="F2472" s="1">
        <v>55874.0</v>
      </c>
      <c r="G2472" s="1">
        <v>1220.0</v>
      </c>
      <c r="H2472" s="1">
        <v>62.0</v>
      </c>
      <c r="I2472" s="1">
        <v>5820000.0</v>
      </c>
      <c r="J2472" s="1" t="s">
        <v>6040</v>
      </c>
    </row>
    <row r="2473">
      <c r="A2473" s="1" t="s">
        <v>7454</v>
      </c>
      <c r="B2473" s="1" t="s">
        <v>7455</v>
      </c>
      <c r="C2473" s="1" t="s">
        <v>7456</v>
      </c>
      <c r="D2473" s="1" t="s">
        <v>7242</v>
      </c>
      <c r="E2473" s="1" t="s">
        <v>7243</v>
      </c>
      <c r="F2473" s="1">
        <v>90583.0</v>
      </c>
      <c r="G2473" s="1">
        <v>1128.0</v>
      </c>
      <c r="H2473" s="1">
        <v>112.0</v>
      </c>
      <c r="I2473" s="1">
        <v>5820000.0</v>
      </c>
      <c r="J2473" s="1" t="s">
        <v>6040</v>
      </c>
    </row>
    <row r="2474">
      <c r="A2474" s="1" t="s">
        <v>7457</v>
      </c>
      <c r="B2474" s="1" t="s">
        <v>7458</v>
      </c>
      <c r="C2474" s="1" t="s">
        <v>7459</v>
      </c>
      <c r="D2474" s="1" t="s">
        <v>7242</v>
      </c>
      <c r="E2474" s="1" t="s">
        <v>7243</v>
      </c>
      <c r="F2474" s="1">
        <v>211663.0</v>
      </c>
      <c r="G2474" s="1">
        <v>3075.0</v>
      </c>
      <c r="H2474" s="1">
        <v>226.0</v>
      </c>
      <c r="I2474" s="1">
        <v>5820000.0</v>
      </c>
      <c r="J2474" s="1" t="s">
        <v>6040</v>
      </c>
    </row>
    <row r="2475">
      <c r="A2475" s="1" t="s">
        <v>7460</v>
      </c>
      <c r="B2475" s="1" t="s">
        <v>7461</v>
      </c>
      <c r="C2475" s="1" t="s">
        <v>7462</v>
      </c>
      <c r="D2475" s="1" t="s">
        <v>7242</v>
      </c>
      <c r="E2475" s="1" t="s">
        <v>7243</v>
      </c>
      <c r="F2475" s="1">
        <v>124689.0</v>
      </c>
      <c r="G2475" s="1">
        <v>829.0</v>
      </c>
      <c r="H2475" s="1">
        <v>39.0</v>
      </c>
      <c r="I2475" s="1">
        <v>5820000.0</v>
      </c>
      <c r="J2475" s="1" t="s">
        <v>6040</v>
      </c>
    </row>
    <row r="2476">
      <c r="A2476" s="1" t="s">
        <v>7463</v>
      </c>
      <c r="B2476" s="1" t="s">
        <v>7464</v>
      </c>
      <c r="C2476" s="1" t="s">
        <v>7465</v>
      </c>
      <c r="D2476" s="1" t="s">
        <v>7242</v>
      </c>
      <c r="E2476" s="1" t="s">
        <v>7243</v>
      </c>
      <c r="F2476" s="1">
        <v>240157.0</v>
      </c>
      <c r="G2476" s="1">
        <v>1810.0</v>
      </c>
      <c r="H2476" s="1">
        <v>80.0</v>
      </c>
      <c r="I2476" s="1">
        <v>5820000.0</v>
      </c>
      <c r="J2476" s="1" t="s">
        <v>6040</v>
      </c>
    </row>
    <row r="2477">
      <c r="A2477" s="1" t="s">
        <v>7466</v>
      </c>
      <c r="B2477" s="1" t="s">
        <v>7467</v>
      </c>
      <c r="C2477" s="1" t="s">
        <v>7468</v>
      </c>
      <c r="D2477" s="1" t="s">
        <v>7242</v>
      </c>
      <c r="E2477" s="1" t="s">
        <v>7243</v>
      </c>
      <c r="F2477" s="1">
        <v>318379.0</v>
      </c>
      <c r="G2477" s="1">
        <v>2498.0</v>
      </c>
      <c r="H2477" s="1">
        <v>54.0</v>
      </c>
      <c r="I2477" s="1">
        <v>5820000.0</v>
      </c>
      <c r="J2477" s="1" t="s">
        <v>6040</v>
      </c>
    </row>
    <row r="2478">
      <c r="A2478" s="1" t="s">
        <v>7469</v>
      </c>
      <c r="B2478" s="1" t="s">
        <v>7470</v>
      </c>
      <c r="C2478" s="1" t="s">
        <v>7471</v>
      </c>
      <c r="D2478" s="1" t="s">
        <v>7242</v>
      </c>
      <c r="E2478" s="1" t="s">
        <v>7243</v>
      </c>
      <c r="F2478" s="1">
        <v>73427.0</v>
      </c>
      <c r="G2478" s="1">
        <v>752.0</v>
      </c>
      <c r="H2478" s="1">
        <v>53.0</v>
      </c>
      <c r="I2478" s="1">
        <v>5820000.0</v>
      </c>
      <c r="J2478" s="1" t="s">
        <v>6040</v>
      </c>
    </row>
    <row r="2479">
      <c r="A2479" s="1" t="s">
        <v>7472</v>
      </c>
      <c r="B2479" s="1" t="s">
        <v>7473</v>
      </c>
      <c r="C2479" s="1" t="s">
        <v>7474</v>
      </c>
      <c r="D2479" s="1" t="s">
        <v>7242</v>
      </c>
      <c r="E2479" s="1" t="s">
        <v>7243</v>
      </c>
      <c r="F2479" s="1">
        <v>354537.0</v>
      </c>
      <c r="G2479" s="1">
        <v>3155.0</v>
      </c>
      <c r="H2479" s="1">
        <v>262.0</v>
      </c>
      <c r="I2479" s="1">
        <v>5820000.0</v>
      </c>
      <c r="J2479" s="1" t="s">
        <v>6040</v>
      </c>
    </row>
    <row r="2480">
      <c r="A2480" s="1" t="s">
        <v>7475</v>
      </c>
      <c r="B2480" s="1" t="s">
        <v>7476</v>
      </c>
      <c r="C2480" s="1" t="s">
        <v>7477</v>
      </c>
      <c r="D2480" s="1" t="s">
        <v>7242</v>
      </c>
      <c r="E2480" s="1" t="s">
        <v>7243</v>
      </c>
      <c r="F2480" s="1">
        <v>40609.0</v>
      </c>
      <c r="G2480" s="1">
        <v>646.0</v>
      </c>
      <c r="H2480" s="1">
        <v>36.0</v>
      </c>
      <c r="I2480" s="1">
        <v>5820000.0</v>
      </c>
      <c r="J2480" s="1" t="s">
        <v>6040</v>
      </c>
    </row>
    <row r="2481">
      <c r="A2481" s="1" t="s">
        <v>7478</v>
      </c>
      <c r="B2481" s="1" t="s">
        <v>7479</v>
      </c>
      <c r="C2481" s="1" t="s">
        <v>7480</v>
      </c>
      <c r="D2481" s="1" t="s">
        <v>7242</v>
      </c>
      <c r="E2481" s="1" t="s">
        <v>7243</v>
      </c>
      <c r="F2481" s="1">
        <v>221375.0</v>
      </c>
      <c r="G2481" s="1">
        <v>1800.0</v>
      </c>
      <c r="H2481" s="1">
        <v>216.0</v>
      </c>
      <c r="I2481" s="1">
        <v>5820000.0</v>
      </c>
      <c r="J2481" s="1" t="s">
        <v>6040</v>
      </c>
    </row>
    <row r="2482">
      <c r="A2482" s="1" t="s">
        <v>7481</v>
      </c>
      <c r="B2482" s="1" t="s">
        <v>7482</v>
      </c>
      <c r="C2482" s="1" t="s">
        <v>7483</v>
      </c>
      <c r="D2482" s="1" t="s">
        <v>7242</v>
      </c>
      <c r="E2482" s="1" t="s">
        <v>7243</v>
      </c>
      <c r="F2482" s="1">
        <v>81488.0</v>
      </c>
      <c r="G2482" s="1">
        <v>760.0</v>
      </c>
      <c r="H2482" s="1">
        <v>114.0</v>
      </c>
      <c r="I2482" s="1">
        <v>5820000.0</v>
      </c>
      <c r="J2482" s="1" t="s">
        <v>6040</v>
      </c>
    </row>
    <row r="2483">
      <c r="A2483" s="1" t="s">
        <v>7484</v>
      </c>
      <c r="B2483" s="1" t="s">
        <v>7485</v>
      </c>
      <c r="C2483" s="1" t="s">
        <v>7486</v>
      </c>
      <c r="D2483" s="1" t="s">
        <v>7242</v>
      </c>
      <c r="E2483" s="1" t="s">
        <v>7243</v>
      </c>
      <c r="F2483" s="1">
        <v>343343.0</v>
      </c>
      <c r="G2483" s="1">
        <v>2968.0</v>
      </c>
      <c r="H2483" s="1">
        <v>151.0</v>
      </c>
      <c r="I2483" s="1">
        <v>5820000.0</v>
      </c>
      <c r="J2483" s="1" t="s">
        <v>6040</v>
      </c>
    </row>
    <row r="2484">
      <c r="A2484" s="1" t="s">
        <v>7487</v>
      </c>
      <c r="B2484" s="1" t="s">
        <v>7488</v>
      </c>
      <c r="C2484" s="1" t="s">
        <v>7489</v>
      </c>
      <c r="D2484" s="1" t="s">
        <v>7242</v>
      </c>
      <c r="E2484" s="1" t="s">
        <v>7243</v>
      </c>
      <c r="F2484" s="1">
        <v>35312.0</v>
      </c>
      <c r="G2484" s="1">
        <v>566.0</v>
      </c>
      <c r="H2484" s="1">
        <v>12.0</v>
      </c>
      <c r="I2484" s="1">
        <v>5820000.0</v>
      </c>
      <c r="J2484" s="1" t="s">
        <v>6040</v>
      </c>
    </row>
    <row r="2485">
      <c r="A2485" s="1" t="s">
        <v>7490</v>
      </c>
      <c r="B2485" s="1" t="s">
        <v>7491</v>
      </c>
      <c r="C2485" s="1" t="s">
        <v>7492</v>
      </c>
      <c r="D2485" s="1" t="s">
        <v>7242</v>
      </c>
      <c r="E2485" s="1" t="s">
        <v>7243</v>
      </c>
      <c r="F2485" s="1">
        <v>1335330.0</v>
      </c>
      <c r="G2485" s="1">
        <v>9881.0</v>
      </c>
      <c r="H2485" s="1">
        <v>1103.0</v>
      </c>
      <c r="I2485" s="1">
        <v>5820000.0</v>
      </c>
      <c r="J2485" s="1" t="s">
        <v>6040</v>
      </c>
    </row>
    <row r="2486">
      <c r="A2486" s="1" t="s">
        <v>7493</v>
      </c>
      <c r="B2486" s="1" t="s">
        <v>7494</v>
      </c>
      <c r="C2486" s="1" t="s">
        <v>7495</v>
      </c>
      <c r="D2486" s="1" t="s">
        <v>7242</v>
      </c>
      <c r="E2486" s="1" t="s">
        <v>7243</v>
      </c>
      <c r="F2486" s="1">
        <v>114365.0</v>
      </c>
      <c r="G2486" s="1">
        <v>1019.0</v>
      </c>
      <c r="H2486" s="1">
        <v>29.0</v>
      </c>
      <c r="I2486" s="1">
        <v>5820000.0</v>
      </c>
      <c r="J2486" s="1" t="s">
        <v>6040</v>
      </c>
    </row>
    <row r="2487">
      <c r="A2487" s="1" t="s">
        <v>7496</v>
      </c>
      <c r="B2487" s="1" t="s">
        <v>7497</v>
      </c>
      <c r="C2487" s="1" t="s">
        <v>7498</v>
      </c>
      <c r="D2487" s="1" t="s">
        <v>7242</v>
      </c>
      <c r="E2487" s="1" t="s">
        <v>7243</v>
      </c>
      <c r="F2487" s="1">
        <v>423068.0</v>
      </c>
      <c r="G2487" s="1">
        <v>2781.0</v>
      </c>
      <c r="H2487" s="1">
        <v>179.0</v>
      </c>
      <c r="I2487" s="1">
        <v>5820000.0</v>
      </c>
      <c r="J2487" s="1" t="s">
        <v>6040</v>
      </c>
    </row>
    <row r="2488">
      <c r="A2488" s="1" t="s">
        <v>7499</v>
      </c>
      <c r="B2488" s="1" t="s">
        <v>7500</v>
      </c>
      <c r="C2488" s="1" t="s">
        <v>7501</v>
      </c>
      <c r="D2488" s="1" t="s">
        <v>7242</v>
      </c>
      <c r="E2488" s="1" t="s">
        <v>7243</v>
      </c>
      <c r="F2488" s="1">
        <v>982054.0</v>
      </c>
      <c r="G2488" s="1">
        <v>7922.0</v>
      </c>
      <c r="H2488" s="1">
        <v>743.0</v>
      </c>
      <c r="I2488" s="1">
        <v>5820000.0</v>
      </c>
      <c r="J2488" s="1" t="s">
        <v>6040</v>
      </c>
    </row>
    <row r="2489">
      <c r="A2489" s="1" t="s">
        <v>7502</v>
      </c>
      <c r="B2489" s="1" t="s">
        <v>7503</v>
      </c>
      <c r="C2489" s="1" t="s">
        <v>7504</v>
      </c>
      <c r="D2489" s="1" t="s">
        <v>7242</v>
      </c>
      <c r="E2489" s="1" t="s">
        <v>7243</v>
      </c>
      <c r="F2489" s="1">
        <v>1292133.0</v>
      </c>
      <c r="G2489" s="1">
        <v>8398.0</v>
      </c>
      <c r="H2489" s="1">
        <v>230.0</v>
      </c>
      <c r="I2489" s="1">
        <v>5820000.0</v>
      </c>
      <c r="J2489" s="1" t="s">
        <v>6040</v>
      </c>
    </row>
    <row r="2490">
      <c r="A2490" s="1" t="s">
        <v>7505</v>
      </c>
      <c r="B2490" s="1" t="s">
        <v>7506</v>
      </c>
      <c r="C2490" s="1" t="s">
        <v>7507</v>
      </c>
      <c r="D2490" s="1" t="s">
        <v>7242</v>
      </c>
      <c r="E2490" s="1" t="s">
        <v>7243</v>
      </c>
      <c r="F2490" s="1">
        <v>211341.0</v>
      </c>
      <c r="G2490" s="1">
        <v>1485.0</v>
      </c>
      <c r="H2490" s="1">
        <v>108.0</v>
      </c>
      <c r="I2490" s="1">
        <v>5820000.0</v>
      </c>
      <c r="J2490" s="1" t="s">
        <v>6040</v>
      </c>
    </row>
    <row r="2491">
      <c r="A2491" s="1" t="s">
        <v>7508</v>
      </c>
      <c r="B2491" s="1" t="s">
        <v>7509</v>
      </c>
      <c r="C2491" s="1" t="s">
        <v>7510</v>
      </c>
      <c r="D2491" s="1" t="s">
        <v>7242</v>
      </c>
      <c r="E2491" s="1" t="s">
        <v>7243</v>
      </c>
      <c r="F2491" s="1">
        <v>2121461.0</v>
      </c>
      <c r="G2491" s="1">
        <v>16460.0</v>
      </c>
      <c r="H2491" s="1">
        <v>3309.0</v>
      </c>
      <c r="I2491" s="1">
        <v>5820000.0</v>
      </c>
      <c r="J2491" s="1" t="s">
        <v>6040</v>
      </c>
    </row>
    <row r="2492">
      <c r="A2492" s="1" t="s">
        <v>7511</v>
      </c>
      <c r="B2492" s="1" t="s">
        <v>7512</v>
      </c>
      <c r="C2492" s="1" t="s">
        <v>7513</v>
      </c>
      <c r="D2492" s="1" t="s">
        <v>7242</v>
      </c>
      <c r="E2492" s="1" t="s">
        <v>7243</v>
      </c>
      <c r="F2492" s="1">
        <v>291159.0</v>
      </c>
      <c r="G2492" s="1">
        <v>2001.0</v>
      </c>
      <c r="H2492" s="1">
        <v>86.0</v>
      </c>
      <c r="I2492" s="1">
        <v>5820000.0</v>
      </c>
      <c r="J2492" s="1" t="s">
        <v>6040</v>
      </c>
    </row>
    <row r="2493">
      <c r="A2493" s="1" t="s">
        <v>7514</v>
      </c>
      <c r="B2493" s="1" t="s">
        <v>7515</v>
      </c>
      <c r="C2493" s="1" t="s">
        <v>7516</v>
      </c>
      <c r="D2493" s="1" t="s">
        <v>7242</v>
      </c>
      <c r="E2493" s="1" t="s">
        <v>7243</v>
      </c>
      <c r="F2493" s="1">
        <v>235129.0</v>
      </c>
      <c r="G2493" s="1">
        <v>1607.0</v>
      </c>
      <c r="H2493" s="1">
        <v>159.0</v>
      </c>
      <c r="I2493" s="1">
        <v>5820000.0</v>
      </c>
      <c r="J2493" s="1" t="s">
        <v>6040</v>
      </c>
    </row>
    <row r="2494">
      <c r="A2494" s="1" t="s">
        <v>7517</v>
      </c>
      <c r="B2494" s="1" t="s">
        <v>7518</v>
      </c>
      <c r="C2494" s="1" t="s">
        <v>7519</v>
      </c>
      <c r="D2494" s="1" t="s">
        <v>7242</v>
      </c>
      <c r="E2494" s="1" t="s">
        <v>7243</v>
      </c>
      <c r="F2494" s="1">
        <v>1155260.0</v>
      </c>
      <c r="G2494" s="1">
        <v>8519.0</v>
      </c>
      <c r="H2494" s="1">
        <v>804.0</v>
      </c>
      <c r="I2494" s="1">
        <v>5820000.0</v>
      </c>
      <c r="J2494" s="1" t="s">
        <v>6040</v>
      </c>
    </row>
    <row r="2495">
      <c r="A2495" s="1" t="s">
        <v>7520</v>
      </c>
      <c r="B2495" s="1" t="s">
        <v>7521</v>
      </c>
      <c r="C2495" s="1" t="s">
        <v>7522</v>
      </c>
      <c r="D2495" s="1" t="s">
        <v>7242</v>
      </c>
      <c r="E2495" s="1" t="s">
        <v>7243</v>
      </c>
      <c r="F2495" s="1">
        <v>527299.0</v>
      </c>
      <c r="G2495" s="1">
        <v>8500.0</v>
      </c>
      <c r="H2495" s="1">
        <v>894.0</v>
      </c>
      <c r="I2495" s="1">
        <v>5820000.0</v>
      </c>
      <c r="J2495" s="1" t="s">
        <v>6040</v>
      </c>
    </row>
    <row r="2496">
      <c r="A2496" s="1" t="s">
        <v>7523</v>
      </c>
      <c r="B2496" s="1" t="s">
        <v>7524</v>
      </c>
      <c r="C2496" s="1" t="s">
        <v>7525</v>
      </c>
      <c r="D2496" s="1" t="s">
        <v>7242</v>
      </c>
      <c r="E2496" s="1" t="s">
        <v>7243</v>
      </c>
      <c r="F2496" s="1">
        <v>184572.0</v>
      </c>
      <c r="G2496" s="1">
        <v>1430.0</v>
      </c>
      <c r="H2496" s="1">
        <v>254.0</v>
      </c>
      <c r="I2496" s="1">
        <v>5820000.0</v>
      </c>
      <c r="J2496" s="1" t="s">
        <v>6040</v>
      </c>
    </row>
    <row r="2497">
      <c r="A2497" s="1" t="s">
        <v>7526</v>
      </c>
      <c r="B2497" s="1" t="s">
        <v>7527</v>
      </c>
      <c r="C2497" s="1" t="s">
        <v>7528</v>
      </c>
      <c r="D2497" s="1" t="s">
        <v>7242</v>
      </c>
      <c r="E2497" s="1" t="s">
        <v>7243</v>
      </c>
      <c r="F2497" s="1">
        <v>43684.0</v>
      </c>
      <c r="G2497" s="1">
        <v>471.0</v>
      </c>
      <c r="H2497" s="1">
        <v>20.0</v>
      </c>
      <c r="I2497" s="1">
        <v>5820000.0</v>
      </c>
      <c r="J2497" s="1" t="s">
        <v>6040</v>
      </c>
    </row>
    <row r="2498">
      <c r="A2498" s="1" t="s">
        <v>7529</v>
      </c>
      <c r="B2498" s="1" t="s">
        <v>7530</v>
      </c>
      <c r="C2498" s="1" t="s">
        <v>7531</v>
      </c>
      <c r="D2498" s="1" t="s">
        <v>7242</v>
      </c>
      <c r="E2498" s="1" t="s">
        <v>7243</v>
      </c>
      <c r="F2498" s="1">
        <v>219122.0</v>
      </c>
      <c r="G2498" s="1">
        <v>1521.0</v>
      </c>
      <c r="H2498" s="1">
        <v>143.0</v>
      </c>
      <c r="I2498" s="1">
        <v>5820000.0</v>
      </c>
      <c r="J2498" s="1" t="s">
        <v>6040</v>
      </c>
    </row>
    <row r="2499">
      <c r="A2499" s="1" t="s">
        <v>7532</v>
      </c>
      <c r="B2499" s="1" t="s">
        <v>7533</v>
      </c>
      <c r="C2499" s="1" t="s">
        <v>7534</v>
      </c>
      <c r="D2499" s="1" t="s">
        <v>7242</v>
      </c>
      <c r="E2499" s="1" t="s">
        <v>7243</v>
      </c>
      <c r="F2499" s="1">
        <v>114672.0</v>
      </c>
      <c r="G2499" s="1">
        <v>1801.0</v>
      </c>
      <c r="H2499" s="1">
        <v>246.0</v>
      </c>
      <c r="I2499" s="1">
        <v>5820000.0</v>
      </c>
      <c r="J2499" s="1" t="s">
        <v>6040</v>
      </c>
    </row>
    <row r="2500">
      <c r="A2500" s="1" t="s">
        <v>7535</v>
      </c>
      <c r="B2500" s="1" t="s">
        <v>7536</v>
      </c>
      <c r="C2500" s="1" t="s">
        <v>7537</v>
      </c>
      <c r="D2500" s="1" t="s">
        <v>7242</v>
      </c>
      <c r="E2500" s="1" t="s">
        <v>7243</v>
      </c>
      <c r="F2500" s="1">
        <v>114247.0</v>
      </c>
      <c r="G2500" s="1">
        <v>1097.0</v>
      </c>
      <c r="H2500" s="1">
        <v>41.0</v>
      </c>
      <c r="I2500" s="1">
        <v>5820000.0</v>
      </c>
      <c r="J2500" s="1" t="s">
        <v>6040</v>
      </c>
    </row>
    <row r="2501">
      <c r="A2501" s="1" t="s">
        <v>7538</v>
      </c>
      <c r="B2501" s="1" t="s">
        <v>7539</v>
      </c>
      <c r="C2501" s="1" t="s">
        <v>7540</v>
      </c>
      <c r="D2501" s="1" t="s">
        <v>7242</v>
      </c>
      <c r="E2501" s="1" t="s">
        <v>7243</v>
      </c>
      <c r="F2501" s="1">
        <v>831549.0</v>
      </c>
      <c r="G2501" s="1">
        <v>7842.0</v>
      </c>
      <c r="H2501" s="1">
        <v>444.0</v>
      </c>
      <c r="I2501" s="1">
        <v>5820000.0</v>
      </c>
      <c r="J2501" s="1" t="s">
        <v>6040</v>
      </c>
    </row>
    <row r="2502">
      <c r="A2502" s="1" t="s">
        <v>7541</v>
      </c>
      <c r="B2502" s="1" t="s">
        <v>7542</v>
      </c>
      <c r="C2502" s="1" t="s">
        <v>7543</v>
      </c>
      <c r="D2502" s="1" t="s">
        <v>7242</v>
      </c>
      <c r="E2502" s="1" t="s">
        <v>7243</v>
      </c>
      <c r="F2502" s="1">
        <v>28825.0</v>
      </c>
      <c r="G2502" s="1">
        <v>419.0</v>
      </c>
      <c r="H2502" s="1">
        <v>54.0</v>
      </c>
      <c r="I2502" s="1">
        <v>5820000.0</v>
      </c>
      <c r="J2502" s="1" t="s">
        <v>6040</v>
      </c>
    </row>
    <row r="2503">
      <c r="A2503" s="1" t="s">
        <v>7544</v>
      </c>
      <c r="B2503" s="1" t="s">
        <v>7545</v>
      </c>
      <c r="C2503" s="1" t="s">
        <v>7546</v>
      </c>
      <c r="D2503" s="1" t="s">
        <v>7242</v>
      </c>
      <c r="E2503" s="1" t="s">
        <v>7243</v>
      </c>
      <c r="F2503" s="1">
        <v>58064.0</v>
      </c>
      <c r="G2503" s="1">
        <v>819.0</v>
      </c>
      <c r="H2503" s="1">
        <v>46.0</v>
      </c>
      <c r="I2503" s="1">
        <v>5820000.0</v>
      </c>
      <c r="J2503" s="1" t="s">
        <v>6040</v>
      </c>
    </row>
    <row r="2504">
      <c r="A2504" s="1" t="s">
        <v>7547</v>
      </c>
      <c r="B2504" s="1" t="s">
        <v>7548</v>
      </c>
      <c r="C2504" s="1" t="s">
        <v>7549</v>
      </c>
      <c r="D2504" s="1" t="s">
        <v>7242</v>
      </c>
      <c r="E2504" s="1" t="s">
        <v>7243</v>
      </c>
      <c r="F2504" s="1">
        <v>25874.0</v>
      </c>
      <c r="G2504" s="1">
        <v>416.0</v>
      </c>
      <c r="H2504" s="1">
        <v>62.0</v>
      </c>
      <c r="I2504" s="1">
        <v>5820000.0</v>
      </c>
      <c r="J2504" s="1" t="s">
        <v>6040</v>
      </c>
    </row>
    <row r="2505">
      <c r="A2505" s="1" t="s">
        <v>7550</v>
      </c>
      <c r="B2505" s="1" t="s">
        <v>7551</v>
      </c>
      <c r="C2505" s="1" t="s">
        <v>7552</v>
      </c>
      <c r="D2505" s="1" t="s">
        <v>7242</v>
      </c>
      <c r="E2505" s="1" t="s">
        <v>7243</v>
      </c>
      <c r="F2505" s="1">
        <v>19776.0</v>
      </c>
      <c r="G2505" s="1">
        <v>258.0</v>
      </c>
      <c r="H2505" s="1">
        <v>17.0</v>
      </c>
      <c r="I2505" s="1">
        <v>5820000.0</v>
      </c>
      <c r="J2505" s="1" t="s">
        <v>6040</v>
      </c>
    </row>
    <row r="2506">
      <c r="A2506" s="1" t="s">
        <v>7553</v>
      </c>
      <c r="B2506" s="1" t="s">
        <v>7554</v>
      </c>
      <c r="C2506" s="1" t="s">
        <v>7555</v>
      </c>
      <c r="D2506" s="1" t="s">
        <v>7242</v>
      </c>
      <c r="E2506" s="1" t="s">
        <v>7243</v>
      </c>
      <c r="F2506" s="1">
        <v>79433.0</v>
      </c>
      <c r="G2506" s="1">
        <v>767.0</v>
      </c>
      <c r="H2506" s="1">
        <v>44.0</v>
      </c>
      <c r="I2506" s="1">
        <v>5820000.0</v>
      </c>
      <c r="J2506" s="1" t="s">
        <v>6040</v>
      </c>
    </row>
    <row r="2507">
      <c r="A2507" s="1" t="s">
        <v>7556</v>
      </c>
      <c r="B2507" s="1" t="s">
        <v>7557</v>
      </c>
      <c r="C2507" s="1" t="s">
        <v>7558</v>
      </c>
      <c r="D2507" s="1" t="s">
        <v>7242</v>
      </c>
      <c r="E2507" s="1" t="s">
        <v>7243</v>
      </c>
      <c r="F2507" s="1">
        <v>90015.0</v>
      </c>
      <c r="G2507" s="1">
        <v>769.0</v>
      </c>
      <c r="H2507" s="1">
        <v>60.0</v>
      </c>
      <c r="I2507" s="1">
        <v>5820000.0</v>
      </c>
      <c r="J2507" s="1" t="s">
        <v>6040</v>
      </c>
    </row>
    <row r="2508">
      <c r="A2508" s="1" t="s">
        <v>7559</v>
      </c>
      <c r="B2508" s="1" t="s">
        <v>7560</v>
      </c>
      <c r="C2508" s="1" t="s">
        <v>7561</v>
      </c>
      <c r="D2508" s="1" t="s">
        <v>7242</v>
      </c>
      <c r="E2508" s="1" t="s">
        <v>7243</v>
      </c>
      <c r="F2508" s="1">
        <v>20347.0</v>
      </c>
      <c r="G2508" s="1">
        <v>275.0</v>
      </c>
      <c r="H2508" s="1">
        <v>20.0</v>
      </c>
      <c r="I2508" s="1">
        <v>5820000.0</v>
      </c>
      <c r="J2508" s="1" t="s">
        <v>6040</v>
      </c>
    </row>
    <row r="2509">
      <c r="A2509" s="1" t="s">
        <v>7562</v>
      </c>
      <c r="B2509" s="1" t="s">
        <v>7563</v>
      </c>
      <c r="C2509" s="1" t="s">
        <v>7564</v>
      </c>
      <c r="D2509" s="1" t="s">
        <v>7242</v>
      </c>
      <c r="E2509" s="1" t="s">
        <v>7243</v>
      </c>
      <c r="F2509" s="1">
        <v>233469.0</v>
      </c>
      <c r="G2509" s="1">
        <v>2093.0</v>
      </c>
      <c r="H2509" s="1">
        <v>182.0</v>
      </c>
      <c r="I2509" s="1">
        <v>5820000.0</v>
      </c>
      <c r="J2509" s="1" t="s">
        <v>6040</v>
      </c>
    </row>
    <row r="2510">
      <c r="A2510" s="1" t="s">
        <v>7565</v>
      </c>
      <c r="B2510" s="1" t="s">
        <v>7566</v>
      </c>
      <c r="C2510" s="1" t="s">
        <v>7567</v>
      </c>
      <c r="D2510" s="1" t="s">
        <v>7242</v>
      </c>
      <c r="E2510" s="1" t="s">
        <v>7243</v>
      </c>
      <c r="F2510" s="1">
        <v>142503.0</v>
      </c>
      <c r="G2510" s="1">
        <v>1052.0</v>
      </c>
      <c r="H2510" s="1">
        <v>32.0</v>
      </c>
      <c r="I2510" s="1">
        <v>5820000.0</v>
      </c>
      <c r="J2510" s="1" t="s">
        <v>6040</v>
      </c>
    </row>
    <row r="2511">
      <c r="A2511" s="1" t="s">
        <v>7568</v>
      </c>
      <c r="B2511" s="1" t="s">
        <v>7569</v>
      </c>
      <c r="C2511" s="1" t="s">
        <v>7570</v>
      </c>
      <c r="D2511" s="1" t="s">
        <v>7242</v>
      </c>
      <c r="E2511" s="1" t="s">
        <v>7243</v>
      </c>
      <c r="F2511" s="1">
        <v>12633.0</v>
      </c>
      <c r="G2511" s="1">
        <v>171.0</v>
      </c>
      <c r="H2511" s="1">
        <v>8.0</v>
      </c>
      <c r="I2511" s="1">
        <v>5820000.0</v>
      </c>
      <c r="J2511" s="1" t="s">
        <v>6040</v>
      </c>
    </row>
    <row r="2512">
      <c r="A2512" s="1" t="s">
        <v>7571</v>
      </c>
      <c r="B2512" s="1" t="s">
        <v>7572</v>
      </c>
      <c r="C2512" s="1" t="s">
        <v>7573</v>
      </c>
      <c r="D2512" s="1" t="s">
        <v>7242</v>
      </c>
      <c r="E2512" s="1" t="s">
        <v>7243</v>
      </c>
      <c r="F2512" s="1">
        <v>282781.0</v>
      </c>
      <c r="G2512" s="1">
        <v>2093.0</v>
      </c>
      <c r="H2512" s="1">
        <v>162.0</v>
      </c>
      <c r="I2512" s="1">
        <v>5820000.0</v>
      </c>
      <c r="J2512" s="1" t="s">
        <v>6040</v>
      </c>
    </row>
    <row r="2513">
      <c r="A2513" s="1" t="s">
        <v>7574</v>
      </c>
      <c r="B2513" s="1" t="s">
        <v>7575</v>
      </c>
      <c r="C2513" s="1" t="s">
        <v>7576</v>
      </c>
      <c r="D2513" s="1" t="s">
        <v>7242</v>
      </c>
      <c r="E2513" s="1" t="s">
        <v>7243</v>
      </c>
      <c r="F2513" s="1">
        <v>14859.0</v>
      </c>
      <c r="G2513" s="1">
        <v>368.0</v>
      </c>
      <c r="H2513" s="1">
        <v>18.0</v>
      </c>
      <c r="I2513" s="1">
        <v>5820000.0</v>
      </c>
      <c r="J2513" s="1" t="s">
        <v>6040</v>
      </c>
    </row>
    <row r="2514">
      <c r="A2514" s="1" t="s">
        <v>7577</v>
      </c>
      <c r="B2514" s="1" t="s">
        <v>7578</v>
      </c>
      <c r="C2514" s="1" t="s">
        <v>7579</v>
      </c>
      <c r="D2514" s="1" t="s">
        <v>7242</v>
      </c>
      <c r="E2514" s="1" t="s">
        <v>7243</v>
      </c>
      <c r="F2514" s="1">
        <v>157075.0</v>
      </c>
      <c r="G2514" s="1">
        <v>1285.0</v>
      </c>
      <c r="H2514" s="1">
        <v>188.0</v>
      </c>
      <c r="I2514" s="1">
        <v>5820000.0</v>
      </c>
      <c r="J2514" s="1" t="s">
        <v>6040</v>
      </c>
    </row>
    <row r="2515">
      <c r="A2515" s="1" t="s">
        <v>7580</v>
      </c>
      <c r="B2515" s="1" t="s">
        <v>7581</v>
      </c>
      <c r="C2515" s="1" t="s">
        <v>7582</v>
      </c>
      <c r="D2515" s="1" t="s">
        <v>7242</v>
      </c>
      <c r="E2515" s="1" t="s">
        <v>7243</v>
      </c>
      <c r="F2515" s="1">
        <v>12795.0</v>
      </c>
      <c r="G2515" s="1">
        <v>168.0</v>
      </c>
      <c r="H2515" s="1">
        <v>5.0</v>
      </c>
      <c r="I2515" s="1">
        <v>5820000.0</v>
      </c>
      <c r="J2515" s="1" t="s">
        <v>6040</v>
      </c>
    </row>
    <row r="2516">
      <c r="A2516" s="1" t="s">
        <v>7583</v>
      </c>
      <c r="B2516" s="1" t="s">
        <v>7584</v>
      </c>
      <c r="C2516" s="1" t="s">
        <v>7585</v>
      </c>
      <c r="D2516" s="1" t="s">
        <v>7242</v>
      </c>
      <c r="E2516" s="1" t="s">
        <v>7243</v>
      </c>
      <c r="F2516" s="1">
        <v>79532.0</v>
      </c>
      <c r="G2516" s="1">
        <v>678.0</v>
      </c>
      <c r="H2516" s="1">
        <v>20.0</v>
      </c>
      <c r="I2516" s="1">
        <v>5820000.0</v>
      </c>
      <c r="J2516" s="1" t="s">
        <v>6040</v>
      </c>
    </row>
    <row r="2517">
      <c r="A2517" s="1" t="s">
        <v>7586</v>
      </c>
      <c r="B2517" s="1" t="s">
        <v>7587</v>
      </c>
      <c r="C2517" s="1" t="s">
        <v>7588</v>
      </c>
      <c r="D2517" s="1" t="s">
        <v>7242</v>
      </c>
      <c r="E2517" s="1" t="s">
        <v>7243</v>
      </c>
      <c r="F2517" s="1">
        <v>116638.0</v>
      </c>
      <c r="G2517" s="1">
        <v>982.0</v>
      </c>
      <c r="H2517" s="1">
        <v>115.0</v>
      </c>
      <c r="I2517" s="1">
        <v>5820000.0</v>
      </c>
      <c r="J2517" s="1" t="s">
        <v>6040</v>
      </c>
    </row>
    <row r="2518">
      <c r="A2518" s="1" t="s">
        <v>7589</v>
      </c>
      <c r="B2518" s="1" t="s">
        <v>7590</v>
      </c>
      <c r="C2518" s="1" t="s">
        <v>7591</v>
      </c>
      <c r="D2518" s="1" t="s">
        <v>7242</v>
      </c>
      <c r="E2518" s="1" t="s">
        <v>7243</v>
      </c>
      <c r="F2518" s="1">
        <v>15116.0</v>
      </c>
      <c r="G2518" s="1">
        <v>176.0</v>
      </c>
      <c r="H2518" s="1">
        <v>9.0</v>
      </c>
      <c r="I2518" s="1">
        <v>5820000.0</v>
      </c>
      <c r="J2518" s="1" t="s">
        <v>6040</v>
      </c>
    </row>
    <row r="2519">
      <c r="A2519" s="1" t="s">
        <v>7592</v>
      </c>
      <c r="B2519" s="1" t="s">
        <v>7593</v>
      </c>
      <c r="C2519" s="1" t="s">
        <v>7594</v>
      </c>
      <c r="D2519" s="1" t="s">
        <v>7242</v>
      </c>
      <c r="E2519" s="1" t="s">
        <v>7243</v>
      </c>
      <c r="F2519" s="1">
        <v>43121.0</v>
      </c>
      <c r="G2519" s="1">
        <v>534.0</v>
      </c>
      <c r="H2519" s="1">
        <v>16.0</v>
      </c>
      <c r="I2519" s="1">
        <v>5820000.0</v>
      </c>
      <c r="J2519" s="1" t="s">
        <v>6040</v>
      </c>
    </row>
    <row r="2520">
      <c r="A2520" s="1" t="s">
        <v>7595</v>
      </c>
      <c r="B2520" s="1" t="s">
        <v>7596</v>
      </c>
      <c r="C2520" s="1" t="s">
        <v>7597</v>
      </c>
      <c r="D2520" s="1" t="s">
        <v>7242</v>
      </c>
      <c r="E2520" s="1" t="s">
        <v>7243</v>
      </c>
      <c r="F2520" s="1">
        <v>37359.0</v>
      </c>
      <c r="G2520" s="1">
        <v>483.0</v>
      </c>
      <c r="H2520" s="1">
        <v>20.0</v>
      </c>
      <c r="I2520" s="1">
        <v>5820000.0</v>
      </c>
      <c r="J2520" s="1" t="s">
        <v>6040</v>
      </c>
    </row>
    <row r="2521">
      <c r="A2521" s="1" t="s">
        <v>7598</v>
      </c>
      <c r="B2521" s="1" t="s">
        <v>7599</v>
      </c>
      <c r="C2521" s="1" t="s">
        <v>7600</v>
      </c>
      <c r="D2521" s="1" t="s">
        <v>7242</v>
      </c>
      <c r="E2521" s="1" t="s">
        <v>7243</v>
      </c>
      <c r="F2521" s="1">
        <v>23833.0</v>
      </c>
      <c r="G2521" s="1">
        <v>348.0</v>
      </c>
      <c r="H2521" s="1">
        <v>26.0</v>
      </c>
      <c r="I2521" s="1">
        <v>5820000.0</v>
      </c>
      <c r="J2521" s="1" t="s">
        <v>6040</v>
      </c>
    </row>
    <row r="2522">
      <c r="A2522" s="1" t="s">
        <v>7601</v>
      </c>
      <c r="B2522" s="1" t="s">
        <v>7602</v>
      </c>
      <c r="C2522" s="1" t="s">
        <v>7603</v>
      </c>
      <c r="D2522" s="1" t="s">
        <v>7242</v>
      </c>
      <c r="E2522" s="1" t="s">
        <v>7243</v>
      </c>
      <c r="F2522" s="1">
        <v>1770906.0</v>
      </c>
      <c r="G2522" s="1">
        <v>12693.0</v>
      </c>
      <c r="H2522" s="1">
        <v>1326.0</v>
      </c>
      <c r="I2522" s="1">
        <v>5820000.0</v>
      </c>
      <c r="J2522" s="1" t="s">
        <v>6040</v>
      </c>
    </row>
    <row r="2523">
      <c r="A2523" s="1" t="s">
        <v>7604</v>
      </c>
      <c r="B2523" s="1" t="s">
        <v>7605</v>
      </c>
      <c r="C2523" s="1" t="s">
        <v>7606</v>
      </c>
      <c r="D2523" s="1" t="s">
        <v>7242</v>
      </c>
      <c r="E2523" s="1" t="s">
        <v>7243</v>
      </c>
      <c r="F2523" s="1">
        <v>171824.0</v>
      </c>
      <c r="G2523" s="1">
        <v>1456.0</v>
      </c>
      <c r="H2523" s="1">
        <v>115.0</v>
      </c>
      <c r="I2523" s="1">
        <v>5820000.0</v>
      </c>
      <c r="J2523" s="1" t="s">
        <v>6040</v>
      </c>
    </row>
    <row r="2524">
      <c r="A2524" s="1" t="s">
        <v>7607</v>
      </c>
      <c r="B2524" s="1" t="s">
        <v>7608</v>
      </c>
      <c r="C2524" s="1" t="s">
        <v>7609</v>
      </c>
      <c r="D2524" s="1" t="s">
        <v>7242</v>
      </c>
      <c r="E2524" s="1" t="s">
        <v>7243</v>
      </c>
      <c r="F2524" s="1">
        <v>34235.0</v>
      </c>
      <c r="G2524" s="1">
        <v>525.0</v>
      </c>
      <c r="H2524" s="1">
        <v>56.0</v>
      </c>
      <c r="I2524" s="1">
        <v>5820000.0</v>
      </c>
      <c r="J2524" s="1" t="s">
        <v>6040</v>
      </c>
    </row>
    <row r="2525">
      <c r="A2525" s="1" t="s">
        <v>7610</v>
      </c>
      <c r="B2525" s="1" t="s">
        <v>7611</v>
      </c>
      <c r="C2525" s="1" t="s">
        <v>7612</v>
      </c>
      <c r="D2525" s="1" t="s">
        <v>7242</v>
      </c>
      <c r="E2525" s="1" t="s">
        <v>7243</v>
      </c>
      <c r="F2525" s="1">
        <v>261129.0</v>
      </c>
      <c r="G2525" s="1">
        <v>3007.0</v>
      </c>
      <c r="H2525" s="1">
        <v>221.0</v>
      </c>
      <c r="I2525" s="1">
        <v>5820000.0</v>
      </c>
      <c r="J2525" s="1" t="s">
        <v>6040</v>
      </c>
    </row>
    <row r="2526">
      <c r="A2526" s="1" t="s">
        <v>7613</v>
      </c>
      <c r="B2526" s="1" t="s">
        <v>7614</v>
      </c>
      <c r="C2526" s="1" t="s">
        <v>7615</v>
      </c>
      <c r="D2526" s="1" t="s">
        <v>7242</v>
      </c>
      <c r="E2526" s="1" t="s">
        <v>7243</v>
      </c>
      <c r="F2526" s="1">
        <v>47810.0</v>
      </c>
      <c r="G2526" s="1">
        <v>721.0</v>
      </c>
      <c r="H2526" s="1">
        <v>31.0</v>
      </c>
      <c r="I2526" s="1">
        <v>5820000.0</v>
      </c>
      <c r="J2526" s="1" t="s">
        <v>6040</v>
      </c>
    </row>
    <row r="2527">
      <c r="A2527" s="1" t="s">
        <v>7616</v>
      </c>
      <c r="B2527" s="1" t="s">
        <v>7617</v>
      </c>
      <c r="C2527" s="1" t="s">
        <v>7618</v>
      </c>
      <c r="D2527" s="1" t="s">
        <v>7242</v>
      </c>
      <c r="E2527" s="1" t="s">
        <v>7243</v>
      </c>
      <c r="F2527" s="1">
        <v>18869.0</v>
      </c>
      <c r="G2527" s="1">
        <v>296.0</v>
      </c>
      <c r="H2527" s="1">
        <v>34.0</v>
      </c>
      <c r="I2527" s="1">
        <v>5820000.0</v>
      </c>
      <c r="J2527" s="1" t="s">
        <v>6040</v>
      </c>
    </row>
    <row r="2528">
      <c r="A2528" s="1" t="s">
        <v>7619</v>
      </c>
      <c r="B2528" s="1" t="s">
        <v>7620</v>
      </c>
      <c r="C2528" s="1" t="s">
        <v>7621</v>
      </c>
      <c r="D2528" s="1" t="s">
        <v>7242</v>
      </c>
      <c r="E2528" s="1" t="s">
        <v>7243</v>
      </c>
      <c r="F2528" s="1">
        <v>661684.0</v>
      </c>
      <c r="G2528" s="1">
        <v>6888.0</v>
      </c>
      <c r="H2528" s="1">
        <v>810.0</v>
      </c>
      <c r="I2528" s="1">
        <v>5820000.0</v>
      </c>
      <c r="J2528" s="1" t="s">
        <v>6040</v>
      </c>
    </row>
    <row r="2529">
      <c r="A2529" s="1" t="s">
        <v>7622</v>
      </c>
      <c r="B2529" s="1" t="s">
        <v>7623</v>
      </c>
      <c r="C2529" s="1" t="s">
        <v>7624</v>
      </c>
      <c r="D2529" s="1" t="s">
        <v>7242</v>
      </c>
      <c r="E2529" s="1" t="s">
        <v>7243</v>
      </c>
      <c r="F2529" s="1">
        <v>49543.0</v>
      </c>
      <c r="G2529" s="1">
        <v>520.0</v>
      </c>
      <c r="H2529" s="1">
        <v>73.0</v>
      </c>
      <c r="I2529" s="1">
        <v>5820000.0</v>
      </c>
      <c r="J2529" s="1" t="s">
        <v>6040</v>
      </c>
    </row>
    <row r="2530">
      <c r="A2530" s="1" t="s">
        <v>7625</v>
      </c>
      <c r="B2530" s="1" t="s">
        <v>7626</v>
      </c>
      <c r="C2530" s="1" t="s">
        <v>7627</v>
      </c>
      <c r="D2530" s="1" t="s">
        <v>7242</v>
      </c>
      <c r="E2530" s="1" t="s">
        <v>7243</v>
      </c>
      <c r="F2530" s="1">
        <v>34852.0</v>
      </c>
      <c r="G2530" s="1">
        <v>459.0</v>
      </c>
      <c r="H2530" s="1">
        <v>18.0</v>
      </c>
      <c r="I2530" s="1">
        <v>5820000.0</v>
      </c>
      <c r="J2530" s="1" t="s">
        <v>6040</v>
      </c>
    </row>
    <row r="2531">
      <c r="A2531" s="1" t="s">
        <v>7628</v>
      </c>
      <c r="B2531" s="1" t="s">
        <v>7629</v>
      </c>
      <c r="C2531" s="1" t="s">
        <v>7630</v>
      </c>
      <c r="D2531" s="1" t="s">
        <v>7242</v>
      </c>
      <c r="E2531" s="1" t="s">
        <v>7243</v>
      </c>
      <c r="F2531" s="1">
        <v>455355.0</v>
      </c>
      <c r="G2531" s="1">
        <v>3640.0</v>
      </c>
      <c r="H2531" s="1">
        <v>291.0</v>
      </c>
      <c r="I2531" s="1">
        <v>5820000.0</v>
      </c>
      <c r="J2531" s="1" t="s">
        <v>6040</v>
      </c>
    </row>
    <row r="2532">
      <c r="A2532" s="1" t="s">
        <v>7631</v>
      </c>
      <c r="B2532" s="1" t="s">
        <v>7632</v>
      </c>
      <c r="C2532" s="1" t="s">
        <v>7633</v>
      </c>
      <c r="D2532" s="1" t="s">
        <v>7242</v>
      </c>
      <c r="E2532" s="1" t="s">
        <v>7243</v>
      </c>
      <c r="F2532" s="1">
        <v>282148.0</v>
      </c>
      <c r="G2532" s="1">
        <v>2080.0</v>
      </c>
      <c r="H2532" s="1">
        <v>74.0</v>
      </c>
      <c r="I2532" s="1">
        <v>5820000.0</v>
      </c>
      <c r="J2532" s="1" t="s">
        <v>6040</v>
      </c>
    </row>
    <row r="2533">
      <c r="A2533" s="1" t="s">
        <v>7634</v>
      </c>
      <c r="B2533" s="1" t="s">
        <v>7635</v>
      </c>
      <c r="C2533" s="1" t="s">
        <v>7636</v>
      </c>
      <c r="D2533" s="1" t="s">
        <v>7242</v>
      </c>
      <c r="E2533" s="1" t="s">
        <v>7243</v>
      </c>
      <c r="F2533" s="1">
        <v>59982.0</v>
      </c>
      <c r="G2533" s="1">
        <v>675.0</v>
      </c>
      <c r="H2533" s="1">
        <v>59.0</v>
      </c>
      <c r="I2533" s="1">
        <v>5820000.0</v>
      </c>
      <c r="J2533" s="1" t="s">
        <v>6040</v>
      </c>
    </row>
    <row r="2534">
      <c r="A2534" s="1" t="s">
        <v>7637</v>
      </c>
      <c r="B2534" s="1" t="s">
        <v>7638</v>
      </c>
      <c r="C2534" s="1" t="s">
        <v>7639</v>
      </c>
      <c r="D2534" s="1" t="s">
        <v>7242</v>
      </c>
      <c r="E2534" s="1" t="s">
        <v>7243</v>
      </c>
      <c r="F2534" s="1">
        <v>647603.0</v>
      </c>
      <c r="G2534" s="1">
        <v>4238.0</v>
      </c>
      <c r="H2534" s="1">
        <v>379.0</v>
      </c>
      <c r="I2534" s="1">
        <v>5820000.0</v>
      </c>
      <c r="J2534" s="1" t="s">
        <v>6040</v>
      </c>
    </row>
    <row r="2535">
      <c r="A2535" s="1" t="s">
        <v>7640</v>
      </c>
      <c r="B2535" s="1" t="s">
        <v>7641</v>
      </c>
      <c r="C2535" s="1" t="s">
        <v>7642</v>
      </c>
      <c r="D2535" s="1" t="s">
        <v>7242</v>
      </c>
      <c r="E2535" s="1" t="s">
        <v>7243</v>
      </c>
      <c r="F2535" s="1">
        <v>43385.0</v>
      </c>
      <c r="G2535" s="1">
        <v>610.0</v>
      </c>
      <c r="H2535" s="1">
        <v>18.0</v>
      </c>
      <c r="I2535" s="1">
        <v>5820000.0</v>
      </c>
      <c r="J2535" s="1" t="s">
        <v>6040</v>
      </c>
    </row>
    <row r="2536">
      <c r="A2536" s="1" t="s">
        <v>7643</v>
      </c>
      <c r="B2536" s="1" t="s">
        <v>7644</v>
      </c>
      <c r="C2536" s="1" t="s">
        <v>7645</v>
      </c>
      <c r="D2536" s="1" t="s">
        <v>7242</v>
      </c>
      <c r="E2536" s="1" t="s">
        <v>7243</v>
      </c>
      <c r="F2536" s="1">
        <v>53324.0</v>
      </c>
      <c r="G2536" s="1">
        <v>654.0</v>
      </c>
      <c r="H2536" s="1">
        <v>63.0</v>
      </c>
      <c r="I2536" s="1">
        <v>5820000.0</v>
      </c>
      <c r="J2536" s="1" t="s">
        <v>6040</v>
      </c>
    </row>
    <row r="2537">
      <c r="A2537" s="1" t="s">
        <v>7646</v>
      </c>
      <c r="B2537" s="1" t="s">
        <v>7647</v>
      </c>
      <c r="C2537" s="1" t="s">
        <v>7648</v>
      </c>
      <c r="D2537" s="1" t="s">
        <v>7242</v>
      </c>
      <c r="E2537" s="1" t="s">
        <v>7243</v>
      </c>
      <c r="F2537" s="1">
        <v>77985.0</v>
      </c>
      <c r="G2537" s="1">
        <v>1022.0</v>
      </c>
      <c r="H2537" s="1">
        <v>105.0</v>
      </c>
      <c r="I2537" s="1">
        <v>5820000.0</v>
      </c>
      <c r="J2537" s="1" t="s">
        <v>6040</v>
      </c>
    </row>
    <row r="2538">
      <c r="A2538" s="1" t="s">
        <v>7649</v>
      </c>
      <c r="B2538" s="1" t="s">
        <v>7650</v>
      </c>
      <c r="C2538" s="1" t="s">
        <v>7651</v>
      </c>
      <c r="D2538" s="1" t="s">
        <v>7242</v>
      </c>
      <c r="E2538" s="1" t="s">
        <v>7243</v>
      </c>
      <c r="F2538" s="1">
        <v>300073.0</v>
      </c>
      <c r="G2538" s="1">
        <v>1085.0</v>
      </c>
      <c r="H2538" s="1">
        <v>27.0</v>
      </c>
      <c r="I2538" s="1">
        <v>5820000.0</v>
      </c>
      <c r="J2538" s="1" t="s">
        <v>6040</v>
      </c>
    </row>
    <row r="2539">
      <c r="A2539" s="1" t="s">
        <v>7652</v>
      </c>
      <c r="B2539" s="1" t="s">
        <v>7653</v>
      </c>
      <c r="C2539" s="1" t="s">
        <v>7654</v>
      </c>
      <c r="D2539" s="1" t="s">
        <v>7242</v>
      </c>
      <c r="E2539" s="1" t="s">
        <v>7243</v>
      </c>
      <c r="F2539" s="1">
        <v>57780.0</v>
      </c>
      <c r="G2539" s="1">
        <v>628.0</v>
      </c>
      <c r="H2539" s="1">
        <v>21.0</v>
      </c>
      <c r="I2539" s="1">
        <v>5820000.0</v>
      </c>
      <c r="J2539" s="1" t="s">
        <v>6040</v>
      </c>
    </row>
    <row r="2540">
      <c r="A2540" s="1" t="s">
        <v>7655</v>
      </c>
      <c r="B2540" s="1" t="s">
        <v>7656</v>
      </c>
      <c r="C2540" s="1" t="s">
        <v>7657</v>
      </c>
      <c r="D2540" s="1" t="s">
        <v>7242</v>
      </c>
      <c r="E2540" s="1" t="s">
        <v>7243</v>
      </c>
      <c r="F2540" s="1">
        <v>1079476.0</v>
      </c>
      <c r="G2540" s="1">
        <v>10221.0</v>
      </c>
      <c r="H2540" s="1">
        <v>1872.0</v>
      </c>
      <c r="I2540" s="1">
        <v>5820000.0</v>
      </c>
      <c r="J2540" s="1" t="s">
        <v>6040</v>
      </c>
    </row>
    <row r="2541">
      <c r="A2541" s="1" t="s">
        <v>7658</v>
      </c>
      <c r="B2541" s="1" t="s">
        <v>7659</v>
      </c>
      <c r="C2541" s="1" t="s">
        <v>7660</v>
      </c>
      <c r="D2541" s="1" t="s">
        <v>7242</v>
      </c>
      <c r="E2541" s="1" t="s">
        <v>7243</v>
      </c>
      <c r="F2541" s="1">
        <v>222409.0</v>
      </c>
      <c r="G2541" s="1">
        <v>1950.0</v>
      </c>
      <c r="H2541" s="1">
        <v>347.0</v>
      </c>
      <c r="I2541" s="1">
        <v>5820000.0</v>
      </c>
      <c r="J2541" s="1" t="s">
        <v>6040</v>
      </c>
    </row>
    <row r="2542">
      <c r="A2542" s="1" t="s">
        <v>7661</v>
      </c>
      <c r="B2542" s="1" t="s">
        <v>7662</v>
      </c>
      <c r="C2542" s="1" t="s">
        <v>7663</v>
      </c>
      <c r="D2542" s="1" t="s">
        <v>7242</v>
      </c>
      <c r="E2542" s="1" t="s">
        <v>7243</v>
      </c>
      <c r="F2542" s="1">
        <v>514011.0</v>
      </c>
      <c r="G2542" s="1">
        <v>2255.0</v>
      </c>
      <c r="H2542" s="1">
        <v>92.0</v>
      </c>
      <c r="I2542" s="1">
        <v>5820000.0</v>
      </c>
      <c r="J2542" s="1" t="s">
        <v>6040</v>
      </c>
    </row>
    <row r="2543">
      <c r="A2543" s="1" t="s">
        <v>7664</v>
      </c>
      <c r="B2543" s="1" t="s">
        <v>7665</v>
      </c>
      <c r="C2543" s="1" t="s">
        <v>7666</v>
      </c>
      <c r="D2543" s="1" t="s">
        <v>7242</v>
      </c>
      <c r="E2543" s="1" t="s">
        <v>7243</v>
      </c>
      <c r="F2543" s="1">
        <v>139422.0</v>
      </c>
      <c r="G2543" s="1">
        <v>1946.0</v>
      </c>
      <c r="H2543" s="1">
        <v>92.0</v>
      </c>
      <c r="I2543" s="1">
        <v>5820000.0</v>
      </c>
      <c r="J2543" s="1" t="s">
        <v>6040</v>
      </c>
    </row>
    <row r="2544">
      <c r="A2544" s="1" t="s">
        <v>7667</v>
      </c>
      <c r="B2544" s="1" t="s">
        <v>7668</v>
      </c>
      <c r="C2544" s="1" t="s">
        <v>7669</v>
      </c>
      <c r="D2544" s="1" t="s">
        <v>7242</v>
      </c>
      <c r="E2544" s="1" t="s">
        <v>7243</v>
      </c>
      <c r="F2544" s="1">
        <v>124422.0</v>
      </c>
      <c r="G2544" s="1">
        <v>1420.0</v>
      </c>
      <c r="H2544" s="1">
        <v>208.0</v>
      </c>
      <c r="I2544" s="1">
        <v>5820000.0</v>
      </c>
      <c r="J2544" s="1" t="s">
        <v>6040</v>
      </c>
    </row>
    <row r="2545">
      <c r="A2545" s="1" t="s">
        <v>7670</v>
      </c>
      <c r="B2545" s="1" t="s">
        <v>7671</v>
      </c>
      <c r="C2545" s="1" t="s">
        <v>7672</v>
      </c>
      <c r="D2545" s="1" t="s">
        <v>7242</v>
      </c>
      <c r="E2545" s="1" t="s">
        <v>7243</v>
      </c>
      <c r="F2545" s="1">
        <v>37112.0</v>
      </c>
      <c r="G2545" s="1">
        <v>528.0</v>
      </c>
      <c r="H2545" s="1">
        <v>45.0</v>
      </c>
      <c r="I2545" s="1">
        <v>5820000.0</v>
      </c>
      <c r="J2545" s="1" t="s">
        <v>6040</v>
      </c>
    </row>
    <row r="2546">
      <c r="A2546" s="1" t="s">
        <v>7673</v>
      </c>
      <c r="B2546" s="1" t="s">
        <v>7674</v>
      </c>
      <c r="C2546" s="1" t="s">
        <v>7675</v>
      </c>
      <c r="D2546" s="1" t="s">
        <v>7242</v>
      </c>
      <c r="E2546" s="1" t="s">
        <v>7243</v>
      </c>
      <c r="F2546" s="1">
        <v>1923363.0</v>
      </c>
      <c r="G2546" s="1">
        <v>14398.0</v>
      </c>
      <c r="H2546" s="1">
        <v>1998.0</v>
      </c>
      <c r="I2546" s="1">
        <v>5820000.0</v>
      </c>
      <c r="J2546" s="1" t="s">
        <v>6040</v>
      </c>
    </row>
    <row r="2547">
      <c r="A2547" s="1" t="s">
        <v>7676</v>
      </c>
      <c r="B2547" s="1" t="s">
        <v>7677</v>
      </c>
      <c r="C2547" s="1" t="s">
        <v>7678</v>
      </c>
      <c r="D2547" s="1" t="s">
        <v>7242</v>
      </c>
      <c r="E2547" s="1" t="s">
        <v>7243</v>
      </c>
      <c r="F2547" s="1">
        <v>76577.0</v>
      </c>
      <c r="G2547" s="1">
        <v>678.0</v>
      </c>
      <c r="H2547" s="1">
        <v>12.0</v>
      </c>
      <c r="I2547" s="1">
        <v>5820000.0</v>
      </c>
      <c r="J2547" s="1" t="s">
        <v>6040</v>
      </c>
    </row>
    <row r="2548">
      <c r="A2548" s="1" t="s">
        <v>7679</v>
      </c>
      <c r="B2548" s="1" t="s">
        <v>7680</v>
      </c>
      <c r="C2548" s="1" t="s">
        <v>7681</v>
      </c>
      <c r="D2548" s="1" t="s">
        <v>7242</v>
      </c>
      <c r="E2548" s="1" t="s">
        <v>7243</v>
      </c>
      <c r="F2548" s="1">
        <v>136019.0</v>
      </c>
      <c r="G2548" s="1">
        <v>1123.0</v>
      </c>
      <c r="H2548" s="1">
        <v>53.0</v>
      </c>
      <c r="I2548" s="1">
        <v>5820000.0</v>
      </c>
      <c r="J2548" s="1" t="s">
        <v>6040</v>
      </c>
    </row>
    <row r="2549">
      <c r="A2549" s="1" t="s">
        <v>7682</v>
      </c>
      <c r="B2549" s="1" t="s">
        <v>7683</v>
      </c>
      <c r="C2549" s="1" t="s">
        <v>7684</v>
      </c>
      <c r="D2549" s="1" t="s">
        <v>7242</v>
      </c>
      <c r="E2549" s="1" t="s">
        <v>7243</v>
      </c>
      <c r="F2549" s="1">
        <v>71039.0</v>
      </c>
      <c r="G2549" s="1">
        <v>1220.0</v>
      </c>
      <c r="H2549" s="1">
        <v>40.0</v>
      </c>
      <c r="I2549" s="1">
        <v>5820000.0</v>
      </c>
      <c r="J2549" s="1" t="s">
        <v>6040</v>
      </c>
    </row>
    <row r="2550">
      <c r="A2550" s="1" t="s">
        <v>7685</v>
      </c>
      <c r="B2550" s="1" t="s">
        <v>7686</v>
      </c>
      <c r="C2550" s="1" t="s">
        <v>7687</v>
      </c>
      <c r="D2550" s="1" t="s">
        <v>7242</v>
      </c>
      <c r="E2550" s="1" t="s">
        <v>7243</v>
      </c>
      <c r="F2550" s="1">
        <v>72816.0</v>
      </c>
      <c r="G2550" s="1">
        <v>647.0</v>
      </c>
      <c r="H2550" s="1">
        <v>24.0</v>
      </c>
      <c r="I2550" s="1">
        <v>5820000.0</v>
      </c>
      <c r="J2550" s="1" t="s">
        <v>6040</v>
      </c>
    </row>
    <row r="2551">
      <c r="A2551" s="1" t="s">
        <v>7688</v>
      </c>
      <c r="B2551" s="1" t="s">
        <v>7689</v>
      </c>
      <c r="C2551" s="1" t="s">
        <v>7690</v>
      </c>
      <c r="D2551" s="1" t="s">
        <v>7242</v>
      </c>
      <c r="E2551" s="1" t="s">
        <v>7243</v>
      </c>
      <c r="F2551" s="1">
        <v>70102.0</v>
      </c>
      <c r="G2551" s="1">
        <v>949.0</v>
      </c>
      <c r="H2551" s="1">
        <v>25.0</v>
      </c>
      <c r="I2551" s="1">
        <v>5820000.0</v>
      </c>
      <c r="J2551" s="1" t="s">
        <v>6040</v>
      </c>
    </row>
    <row r="2552">
      <c r="A2552" s="1" t="s">
        <v>7691</v>
      </c>
      <c r="B2552" s="1" t="s">
        <v>7692</v>
      </c>
      <c r="C2552" s="1" t="s">
        <v>7693</v>
      </c>
      <c r="D2552" s="1" t="s">
        <v>7242</v>
      </c>
      <c r="E2552" s="1" t="s">
        <v>7243</v>
      </c>
      <c r="F2552" s="1">
        <v>101749.0</v>
      </c>
      <c r="G2552" s="1">
        <v>1411.0</v>
      </c>
      <c r="H2552" s="1">
        <v>191.0</v>
      </c>
      <c r="I2552" s="1">
        <v>5820000.0</v>
      </c>
      <c r="J2552" s="1" t="s">
        <v>6040</v>
      </c>
    </row>
    <row r="2553">
      <c r="A2553" s="1" t="s">
        <v>7694</v>
      </c>
      <c r="B2553" s="1" t="s">
        <v>7695</v>
      </c>
      <c r="C2553" s="1" t="s">
        <v>7696</v>
      </c>
      <c r="D2553" s="1" t="s">
        <v>7242</v>
      </c>
      <c r="E2553" s="1" t="s">
        <v>7243</v>
      </c>
      <c r="F2553" s="1">
        <v>99315.0</v>
      </c>
      <c r="G2553" s="1">
        <v>984.0</v>
      </c>
      <c r="H2553" s="1">
        <v>69.0</v>
      </c>
      <c r="I2553" s="1">
        <v>5820000.0</v>
      </c>
      <c r="J2553" s="1" t="s">
        <v>6040</v>
      </c>
    </row>
    <row r="2554">
      <c r="A2554" s="1" t="s">
        <v>7697</v>
      </c>
      <c r="B2554" s="1" t="s">
        <v>7698</v>
      </c>
      <c r="C2554" s="1" t="s">
        <v>7699</v>
      </c>
      <c r="D2554" s="1" t="s">
        <v>7242</v>
      </c>
      <c r="E2554" s="1" t="s">
        <v>7243</v>
      </c>
      <c r="F2554" s="1">
        <v>1350961.0</v>
      </c>
      <c r="G2554" s="1">
        <v>9199.0</v>
      </c>
      <c r="H2554" s="1">
        <v>550.0</v>
      </c>
      <c r="I2554" s="1">
        <v>5820000.0</v>
      </c>
      <c r="J2554" s="1" t="s">
        <v>6040</v>
      </c>
    </row>
    <row r="2555">
      <c r="A2555" s="1" t="s">
        <v>7700</v>
      </c>
      <c r="B2555" s="1" t="s">
        <v>7701</v>
      </c>
      <c r="C2555" s="1" t="s">
        <v>7702</v>
      </c>
      <c r="D2555" s="1" t="s">
        <v>7242</v>
      </c>
      <c r="E2555" s="1" t="s">
        <v>7243</v>
      </c>
      <c r="F2555" s="1">
        <v>72976.0</v>
      </c>
      <c r="G2555" s="1">
        <v>1202.0</v>
      </c>
      <c r="H2555" s="1">
        <v>35.0</v>
      </c>
      <c r="I2555" s="1">
        <v>5820000.0</v>
      </c>
      <c r="J2555" s="1" t="s">
        <v>6040</v>
      </c>
    </row>
    <row r="2556">
      <c r="A2556" s="1" t="s">
        <v>7703</v>
      </c>
      <c r="B2556" s="1" t="s">
        <v>7704</v>
      </c>
      <c r="C2556" s="1" t="s">
        <v>7705</v>
      </c>
      <c r="D2556" s="1" t="s">
        <v>7242</v>
      </c>
      <c r="E2556" s="1" t="s">
        <v>7243</v>
      </c>
      <c r="F2556" s="1">
        <v>486440.0</v>
      </c>
      <c r="G2556" s="1">
        <v>2313.0</v>
      </c>
      <c r="H2556" s="1">
        <v>110.0</v>
      </c>
      <c r="I2556" s="1">
        <v>5820000.0</v>
      </c>
      <c r="J2556" s="1" t="s">
        <v>6040</v>
      </c>
    </row>
    <row r="2557">
      <c r="A2557" s="1" t="s">
        <v>7706</v>
      </c>
      <c r="B2557" s="1" t="s">
        <v>7707</v>
      </c>
      <c r="C2557" s="1" t="s">
        <v>7708</v>
      </c>
      <c r="D2557" s="1" t="s">
        <v>7242</v>
      </c>
      <c r="E2557" s="1" t="s">
        <v>7243</v>
      </c>
      <c r="F2557" s="1">
        <v>176217.0</v>
      </c>
      <c r="G2557" s="1">
        <v>1691.0</v>
      </c>
      <c r="H2557" s="1">
        <v>60.0</v>
      </c>
      <c r="I2557" s="1">
        <v>5820000.0</v>
      </c>
      <c r="J2557" s="1" t="s">
        <v>6040</v>
      </c>
    </row>
    <row r="2558">
      <c r="A2558" s="1" t="s">
        <v>7709</v>
      </c>
      <c r="B2558" s="1" t="s">
        <v>7710</v>
      </c>
      <c r="C2558" s="1" t="s">
        <v>7711</v>
      </c>
      <c r="D2558" s="1" t="s">
        <v>7242</v>
      </c>
      <c r="E2558" s="1" t="s">
        <v>7243</v>
      </c>
      <c r="F2558" s="1">
        <v>108004.0</v>
      </c>
      <c r="G2558" s="1">
        <v>1428.0</v>
      </c>
      <c r="H2558" s="1">
        <v>246.0</v>
      </c>
      <c r="I2558" s="1">
        <v>5820000.0</v>
      </c>
      <c r="J2558" s="1" t="s">
        <v>6040</v>
      </c>
    </row>
    <row r="2559">
      <c r="A2559" s="1" t="s">
        <v>7712</v>
      </c>
      <c r="B2559" s="1" t="s">
        <v>7713</v>
      </c>
      <c r="C2559" s="1" t="s">
        <v>7714</v>
      </c>
      <c r="D2559" s="1" t="s">
        <v>7242</v>
      </c>
      <c r="E2559" s="1" t="s">
        <v>7243</v>
      </c>
      <c r="F2559" s="1">
        <v>23958.0</v>
      </c>
      <c r="G2559" s="1">
        <v>290.0</v>
      </c>
      <c r="H2559" s="1">
        <v>31.0</v>
      </c>
      <c r="I2559" s="1">
        <v>5820000.0</v>
      </c>
      <c r="J2559" s="1" t="s">
        <v>6040</v>
      </c>
    </row>
    <row r="2560">
      <c r="A2560" s="1" t="s">
        <v>7715</v>
      </c>
      <c r="B2560" s="1" t="s">
        <v>7716</v>
      </c>
      <c r="C2560" s="1" t="s">
        <v>7717</v>
      </c>
      <c r="D2560" s="1" t="s">
        <v>7242</v>
      </c>
      <c r="E2560" s="1" t="s">
        <v>7243</v>
      </c>
      <c r="F2560" s="1">
        <v>233059.0</v>
      </c>
      <c r="G2560" s="1">
        <v>1835.0</v>
      </c>
      <c r="H2560" s="1">
        <v>65.0</v>
      </c>
      <c r="I2560" s="1">
        <v>5820000.0</v>
      </c>
      <c r="J2560" s="1" t="s">
        <v>6040</v>
      </c>
    </row>
    <row r="2561">
      <c r="A2561" s="1" t="s">
        <v>7718</v>
      </c>
      <c r="B2561" s="1" t="s">
        <v>7719</v>
      </c>
      <c r="C2561" s="1" t="s">
        <v>7720</v>
      </c>
      <c r="D2561" s="1" t="s">
        <v>7242</v>
      </c>
      <c r="E2561" s="1" t="s">
        <v>7243</v>
      </c>
      <c r="F2561" s="1">
        <v>1053164.0</v>
      </c>
      <c r="G2561" s="1">
        <v>9516.0</v>
      </c>
      <c r="H2561" s="1">
        <v>1836.0</v>
      </c>
      <c r="I2561" s="1">
        <v>5820000.0</v>
      </c>
      <c r="J2561" s="1" t="s">
        <v>6040</v>
      </c>
    </row>
    <row r="2562">
      <c r="A2562" s="1" t="s">
        <v>7721</v>
      </c>
      <c r="B2562" s="1" t="s">
        <v>7722</v>
      </c>
      <c r="C2562" s="1" t="s">
        <v>7723</v>
      </c>
      <c r="D2562" s="1" t="s">
        <v>7242</v>
      </c>
      <c r="E2562" s="1" t="s">
        <v>7243</v>
      </c>
      <c r="F2562" s="1">
        <v>165333.0</v>
      </c>
      <c r="G2562" s="1">
        <v>1877.0</v>
      </c>
      <c r="H2562" s="1">
        <v>279.0</v>
      </c>
      <c r="I2562" s="1">
        <v>5820000.0</v>
      </c>
      <c r="J2562" s="1" t="s">
        <v>6040</v>
      </c>
    </row>
    <row r="2563">
      <c r="A2563" s="1" t="s">
        <v>7724</v>
      </c>
      <c r="B2563" s="1" t="s">
        <v>7725</v>
      </c>
      <c r="C2563" s="1" t="s">
        <v>7726</v>
      </c>
      <c r="D2563" s="1" t="s">
        <v>7242</v>
      </c>
      <c r="E2563" s="1" t="s">
        <v>7243</v>
      </c>
      <c r="F2563" s="1">
        <v>174254.0</v>
      </c>
      <c r="G2563" s="1">
        <v>2212.0</v>
      </c>
      <c r="H2563" s="1">
        <v>77.0</v>
      </c>
      <c r="I2563" s="1">
        <v>5820000.0</v>
      </c>
      <c r="J2563" s="1" t="s">
        <v>6040</v>
      </c>
    </row>
    <row r="2564">
      <c r="A2564" s="1" t="s">
        <v>7727</v>
      </c>
      <c r="B2564" s="1" t="s">
        <v>7728</v>
      </c>
      <c r="C2564" s="1" t="s">
        <v>7729</v>
      </c>
      <c r="D2564" s="1" t="s">
        <v>7242</v>
      </c>
      <c r="E2564" s="1" t="s">
        <v>7243</v>
      </c>
      <c r="F2564" s="1">
        <v>240461.0</v>
      </c>
      <c r="G2564" s="1">
        <v>2684.0</v>
      </c>
      <c r="H2564" s="1">
        <v>195.0</v>
      </c>
      <c r="I2564" s="1">
        <v>5820000.0</v>
      </c>
      <c r="J2564" s="1" t="s">
        <v>6040</v>
      </c>
    </row>
    <row r="2565">
      <c r="A2565" s="1" t="s">
        <v>7730</v>
      </c>
      <c r="B2565" s="1" t="s">
        <v>7731</v>
      </c>
      <c r="C2565" s="1" t="s">
        <v>7732</v>
      </c>
      <c r="D2565" s="1" t="s">
        <v>7242</v>
      </c>
      <c r="E2565" s="1" t="s">
        <v>7243</v>
      </c>
      <c r="F2565" s="1">
        <v>1480070.0</v>
      </c>
      <c r="G2565" s="1">
        <v>13801.0</v>
      </c>
      <c r="H2565" s="1">
        <v>901.0</v>
      </c>
      <c r="I2565" s="1">
        <v>5820000.0</v>
      </c>
      <c r="J2565" s="1" t="s">
        <v>6040</v>
      </c>
    </row>
    <row r="2566">
      <c r="A2566" s="1" t="s">
        <v>7733</v>
      </c>
      <c r="B2566" s="1" t="s">
        <v>7734</v>
      </c>
      <c r="C2566" s="1" t="s">
        <v>7735</v>
      </c>
      <c r="D2566" s="1" t="s">
        <v>7242</v>
      </c>
      <c r="E2566" s="1" t="s">
        <v>7243</v>
      </c>
      <c r="F2566" s="1">
        <v>572394.0</v>
      </c>
      <c r="G2566" s="1">
        <v>2803.0</v>
      </c>
      <c r="H2566" s="1">
        <v>154.0</v>
      </c>
      <c r="I2566" s="1">
        <v>5820000.0</v>
      </c>
      <c r="J2566" s="1" t="s">
        <v>6040</v>
      </c>
    </row>
    <row r="2567">
      <c r="A2567" s="1" t="s">
        <v>7736</v>
      </c>
      <c r="B2567" s="1" t="s">
        <v>7737</v>
      </c>
      <c r="C2567" s="1" t="s">
        <v>7738</v>
      </c>
      <c r="D2567" s="1" t="s">
        <v>7242</v>
      </c>
      <c r="E2567" s="1" t="s">
        <v>7243</v>
      </c>
      <c r="F2567" s="1">
        <v>1155600.0</v>
      </c>
      <c r="G2567" s="1">
        <v>6313.0</v>
      </c>
      <c r="H2567" s="1">
        <v>377.0</v>
      </c>
      <c r="I2567" s="1">
        <v>5820000.0</v>
      </c>
      <c r="J2567" s="1" t="s">
        <v>6040</v>
      </c>
    </row>
    <row r="2568">
      <c r="A2568" s="1" t="s">
        <v>7739</v>
      </c>
      <c r="B2568" s="1" t="s">
        <v>7740</v>
      </c>
      <c r="C2568" s="1" t="s">
        <v>7741</v>
      </c>
      <c r="D2568" s="1" t="s">
        <v>7242</v>
      </c>
      <c r="E2568" s="1" t="s">
        <v>7243</v>
      </c>
      <c r="F2568" s="1">
        <v>361773.0</v>
      </c>
      <c r="G2568" s="1">
        <v>3807.0</v>
      </c>
      <c r="H2568" s="1">
        <v>272.0</v>
      </c>
      <c r="I2568" s="1">
        <v>5820000.0</v>
      </c>
      <c r="J2568" s="1" t="s">
        <v>6040</v>
      </c>
    </row>
    <row r="2569">
      <c r="A2569" s="1" t="s">
        <v>7742</v>
      </c>
      <c r="B2569" s="1" t="s">
        <v>7743</v>
      </c>
      <c r="C2569" s="1" t="s">
        <v>7744</v>
      </c>
      <c r="D2569" s="1" t="s">
        <v>7242</v>
      </c>
      <c r="E2569" s="1" t="s">
        <v>7243</v>
      </c>
      <c r="F2569" s="1">
        <v>397796.0</v>
      </c>
      <c r="G2569" s="1">
        <v>2499.0</v>
      </c>
      <c r="H2569" s="1">
        <v>124.0</v>
      </c>
      <c r="I2569" s="1">
        <v>5820000.0</v>
      </c>
      <c r="J2569" s="1" t="s">
        <v>6040</v>
      </c>
    </row>
    <row r="2570">
      <c r="A2570" s="1" t="s">
        <v>7745</v>
      </c>
      <c r="B2570" s="1" t="s">
        <v>7746</v>
      </c>
      <c r="C2570" s="1" t="s">
        <v>7747</v>
      </c>
      <c r="D2570" s="1" t="s">
        <v>7242</v>
      </c>
      <c r="E2570" s="1" t="s">
        <v>7243</v>
      </c>
      <c r="F2570" s="1">
        <v>309259.0</v>
      </c>
      <c r="G2570" s="1">
        <v>2608.0</v>
      </c>
      <c r="H2570" s="1">
        <v>262.0</v>
      </c>
      <c r="I2570" s="1">
        <v>5820000.0</v>
      </c>
      <c r="J2570" s="1" t="s">
        <v>6040</v>
      </c>
    </row>
    <row r="2571">
      <c r="A2571" s="1" t="s">
        <v>7748</v>
      </c>
      <c r="B2571" s="1" t="s">
        <v>7749</v>
      </c>
      <c r="C2571" s="1" t="s">
        <v>7750</v>
      </c>
      <c r="D2571" s="1" t="s">
        <v>7242</v>
      </c>
      <c r="E2571" s="1" t="s">
        <v>7243</v>
      </c>
      <c r="F2571" s="1">
        <v>351592.0</v>
      </c>
      <c r="G2571" s="1">
        <v>5797.0</v>
      </c>
      <c r="H2571" s="1">
        <v>352.0</v>
      </c>
      <c r="I2571" s="1">
        <v>5820000.0</v>
      </c>
      <c r="J2571" s="1" t="s">
        <v>6040</v>
      </c>
    </row>
    <row r="2572">
      <c r="A2572" s="1" t="s">
        <v>7751</v>
      </c>
      <c r="B2572" s="1" t="s">
        <v>7752</v>
      </c>
      <c r="C2572" s="1" t="s">
        <v>7753</v>
      </c>
      <c r="D2572" s="1" t="s">
        <v>7242</v>
      </c>
      <c r="E2572" s="1" t="s">
        <v>7243</v>
      </c>
      <c r="F2572" s="1">
        <v>829336.0</v>
      </c>
      <c r="G2572" s="1">
        <v>6532.0</v>
      </c>
      <c r="H2572" s="1">
        <v>416.0</v>
      </c>
      <c r="I2572" s="1">
        <v>5820000.0</v>
      </c>
      <c r="J2572" s="1" t="s">
        <v>6040</v>
      </c>
    </row>
    <row r="2573">
      <c r="A2573" s="1" t="s">
        <v>7754</v>
      </c>
      <c r="B2573" s="1" t="s">
        <v>7755</v>
      </c>
      <c r="C2573" s="1" t="s">
        <v>7756</v>
      </c>
      <c r="D2573" s="1" t="s">
        <v>7242</v>
      </c>
      <c r="E2573" s="1" t="s">
        <v>7243</v>
      </c>
      <c r="F2573" s="1">
        <v>113635.0</v>
      </c>
      <c r="G2573" s="1">
        <v>1258.0</v>
      </c>
      <c r="H2573" s="1">
        <v>102.0</v>
      </c>
      <c r="I2573" s="1">
        <v>5820000.0</v>
      </c>
      <c r="J2573" s="1" t="s">
        <v>6040</v>
      </c>
    </row>
    <row r="2574">
      <c r="A2574" s="1" t="s">
        <v>7757</v>
      </c>
      <c r="B2574" s="1" t="s">
        <v>7758</v>
      </c>
      <c r="C2574" s="1" t="s">
        <v>7759</v>
      </c>
      <c r="D2574" s="1" t="s">
        <v>7242</v>
      </c>
      <c r="E2574" s="1" t="s">
        <v>7243</v>
      </c>
      <c r="F2574" s="1">
        <v>386946.0</v>
      </c>
      <c r="G2574" s="1">
        <v>3382.0</v>
      </c>
      <c r="H2574" s="1">
        <v>210.0</v>
      </c>
      <c r="I2574" s="1">
        <v>5820000.0</v>
      </c>
      <c r="J2574" s="1" t="s">
        <v>6040</v>
      </c>
    </row>
    <row r="2575">
      <c r="A2575" s="1" t="s">
        <v>7760</v>
      </c>
      <c r="B2575" s="1" t="s">
        <v>7761</v>
      </c>
      <c r="C2575" s="1" t="s">
        <v>7762</v>
      </c>
      <c r="D2575" s="1" t="s">
        <v>7242</v>
      </c>
      <c r="E2575" s="1" t="s">
        <v>7243</v>
      </c>
      <c r="F2575" s="1">
        <v>154679.0</v>
      </c>
      <c r="G2575" s="1">
        <v>1988.0</v>
      </c>
      <c r="H2575" s="1">
        <v>84.0</v>
      </c>
      <c r="I2575" s="1">
        <v>5820000.0</v>
      </c>
      <c r="J2575" s="1" t="s">
        <v>6040</v>
      </c>
    </row>
    <row r="2576">
      <c r="A2576" s="1" t="s">
        <v>7763</v>
      </c>
      <c r="B2576" s="1" t="s">
        <v>7764</v>
      </c>
      <c r="C2576" s="1" t="s">
        <v>7765</v>
      </c>
      <c r="D2576" s="1" t="s">
        <v>7242</v>
      </c>
      <c r="E2576" s="1" t="s">
        <v>7243</v>
      </c>
      <c r="F2576" s="1">
        <v>80689.0</v>
      </c>
      <c r="G2576" s="1">
        <v>952.0</v>
      </c>
      <c r="H2576" s="1">
        <v>146.0</v>
      </c>
      <c r="I2576" s="1">
        <v>5820000.0</v>
      </c>
      <c r="J2576" s="1" t="s">
        <v>6040</v>
      </c>
    </row>
    <row r="2577">
      <c r="A2577" s="1" t="s">
        <v>7766</v>
      </c>
      <c r="B2577" s="1" t="s">
        <v>7767</v>
      </c>
      <c r="C2577" s="1" t="s">
        <v>7768</v>
      </c>
      <c r="D2577" s="1" t="s">
        <v>7242</v>
      </c>
      <c r="E2577" s="1" t="s">
        <v>7243</v>
      </c>
      <c r="F2577" s="1">
        <v>156671.0</v>
      </c>
      <c r="G2577" s="1">
        <v>1490.0</v>
      </c>
      <c r="H2577" s="1">
        <v>59.0</v>
      </c>
      <c r="I2577" s="1">
        <v>5820000.0</v>
      </c>
      <c r="J2577" s="1" t="s">
        <v>6040</v>
      </c>
    </row>
    <row r="2578">
      <c r="A2578" s="1" t="s">
        <v>7769</v>
      </c>
      <c r="B2578" s="1" t="s">
        <v>7770</v>
      </c>
      <c r="C2578" s="1" t="s">
        <v>7771</v>
      </c>
      <c r="D2578" s="1" t="s">
        <v>7242</v>
      </c>
      <c r="E2578" s="1" t="s">
        <v>7243</v>
      </c>
      <c r="F2578" s="1">
        <v>2263762.0</v>
      </c>
      <c r="G2578" s="1">
        <v>16224.0</v>
      </c>
      <c r="H2578" s="1">
        <v>778.0</v>
      </c>
      <c r="I2578" s="1">
        <v>5820000.0</v>
      </c>
      <c r="J2578" s="1" t="s">
        <v>6040</v>
      </c>
    </row>
    <row r="2579">
      <c r="A2579" s="1" t="s">
        <v>7772</v>
      </c>
      <c r="B2579" s="1" t="s">
        <v>7773</v>
      </c>
      <c r="C2579" s="1" t="s">
        <v>7774</v>
      </c>
      <c r="D2579" s="1" t="s">
        <v>7242</v>
      </c>
      <c r="E2579" s="1" t="s">
        <v>7243</v>
      </c>
      <c r="F2579" s="1">
        <v>57715.0</v>
      </c>
      <c r="G2579" s="1">
        <v>807.0</v>
      </c>
      <c r="H2579" s="1">
        <v>72.0</v>
      </c>
      <c r="I2579" s="1">
        <v>5820000.0</v>
      </c>
      <c r="J2579" s="1" t="s">
        <v>6040</v>
      </c>
    </row>
    <row r="2580">
      <c r="A2580" s="1" t="s">
        <v>7775</v>
      </c>
      <c r="B2580" s="1" t="s">
        <v>7776</v>
      </c>
      <c r="C2580" s="1" t="s">
        <v>7777</v>
      </c>
      <c r="D2580" s="1" t="s">
        <v>7242</v>
      </c>
      <c r="E2580" s="1" t="s">
        <v>7243</v>
      </c>
      <c r="F2580" s="1">
        <v>137262.0</v>
      </c>
      <c r="G2580" s="1">
        <v>1353.0</v>
      </c>
      <c r="H2580" s="1">
        <v>103.0</v>
      </c>
      <c r="I2580" s="1">
        <v>5820000.0</v>
      </c>
      <c r="J2580" s="1" t="s">
        <v>6040</v>
      </c>
    </row>
    <row r="2581">
      <c r="A2581" s="1" t="s">
        <v>7778</v>
      </c>
      <c r="B2581" s="1" t="s">
        <v>7779</v>
      </c>
      <c r="C2581" s="1" t="s">
        <v>7780</v>
      </c>
      <c r="D2581" s="1" t="s">
        <v>7242</v>
      </c>
      <c r="E2581" s="1" t="s">
        <v>7243</v>
      </c>
      <c r="F2581" s="1">
        <v>361648.0</v>
      </c>
      <c r="G2581" s="1">
        <v>4252.0</v>
      </c>
      <c r="H2581" s="1">
        <v>152.0</v>
      </c>
      <c r="I2581" s="1">
        <v>5820000.0</v>
      </c>
      <c r="J2581" s="1" t="s">
        <v>6040</v>
      </c>
    </row>
    <row r="2582">
      <c r="A2582" s="1" t="s">
        <v>7781</v>
      </c>
      <c r="B2582" s="1" t="s">
        <v>7782</v>
      </c>
      <c r="C2582" s="1" t="s">
        <v>7783</v>
      </c>
      <c r="D2582" s="1" t="s">
        <v>7242</v>
      </c>
      <c r="E2582" s="1" t="s">
        <v>7243</v>
      </c>
      <c r="F2582" s="1">
        <v>85839.0</v>
      </c>
      <c r="G2582" s="1">
        <v>912.0</v>
      </c>
      <c r="H2582" s="1">
        <v>78.0</v>
      </c>
      <c r="I2582" s="1">
        <v>5820000.0</v>
      </c>
      <c r="J2582" s="1" t="s">
        <v>6040</v>
      </c>
    </row>
    <row r="2583">
      <c r="A2583" s="1" t="s">
        <v>7784</v>
      </c>
      <c r="B2583" s="1" t="s">
        <v>7785</v>
      </c>
      <c r="C2583" s="1" t="s">
        <v>7786</v>
      </c>
      <c r="D2583" s="1" t="s">
        <v>7242</v>
      </c>
      <c r="E2583" s="1" t="s">
        <v>7243</v>
      </c>
      <c r="F2583" s="1">
        <v>156117.0</v>
      </c>
      <c r="G2583" s="1">
        <v>1478.0</v>
      </c>
      <c r="H2583" s="1">
        <v>134.0</v>
      </c>
      <c r="I2583" s="1">
        <v>5820000.0</v>
      </c>
      <c r="J2583" s="1" t="s">
        <v>6040</v>
      </c>
    </row>
    <row r="2584">
      <c r="A2584" s="1" t="s">
        <v>7787</v>
      </c>
      <c r="B2584" s="1" t="s">
        <v>7788</v>
      </c>
      <c r="C2584" s="1" t="s">
        <v>7789</v>
      </c>
      <c r="D2584" s="1" t="s">
        <v>7242</v>
      </c>
      <c r="E2584" s="1" t="s">
        <v>7243</v>
      </c>
      <c r="F2584" s="1">
        <v>216539.0</v>
      </c>
      <c r="G2584" s="1">
        <v>2547.0</v>
      </c>
      <c r="H2584" s="1">
        <v>147.0</v>
      </c>
      <c r="I2584" s="1">
        <v>5820000.0</v>
      </c>
      <c r="J2584" s="1" t="s">
        <v>6040</v>
      </c>
    </row>
    <row r="2585">
      <c r="A2585" s="1" t="s">
        <v>7790</v>
      </c>
      <c r="B2585" s="1" t="s">
        <v>7791</v>
      </c>
      <c r="C2585" s="1" t="s">
        <v>7792</v>
      </c>
      <c r="D2585" s="1" t="s">
        <v>7242</v>
      </c>
      <c r="E2585" s="1" t="s">
        <v>7243</v>
      </c>
      <c r="F2585" s="1">
        <v>830807.0</v>
      </c>
      <c r="G2585" s="1">
        <v>3413.0</v>
      </c>
      <c r="H2585" s="1">
        <v>293.0</v>
      </c>
      <c r="I2585" s="1">
        <v>5820000.0</v>
      </c>
      <c r="J2585" s="1" t="s">
        <v>6040</v>
      </c>
    </row>
    <row r="2586">
      <c r="A2586" s="1" t="s">
        <v>7793</v>
      </c>
      <c r="B2586" s="1" t="s">
        <v>7794</v>
      </c>
      <c r="C2586" s="1" t="s">
        <v>7795</v>
      </c>
      <c r="D2586" s="1" t="s">
        <v>7242</v>
      </c>
      <c r="E2586" s="1" t="s">
        <v>7243</v>
      </c>
      <c r="F2586" s="1">
        <v>421271.0</v>
      </c>
      <c r="G2586" s="1">
        <v>3554.0</v>
      </c>
      <c r="H2586" s="1">
        <v>411.0</v>
      </c>
      <c r="I2586" s="1">
        <v>5820000.0</v>
      </c>
      <c r="J2586" s="1" t="s">
        <v>6040</v>
      </c>
    </row>
    <row r="2587">
      <c r="A2587" s="1" t="s">
        <v>7796</v>
      </c>
      <c r="B2587" s="1" t="s">
        <v>7797</v>
      </c>
      <c r="C2587" s="1" t="s">
        <v>7798</v>
      </c>
      <c r="D2587" s="1" t="s">
        <v>7242</v>
      </c>
      <c r="E2587" s="1" t="s">
        <v>7243</v>
      </c>
      <c r="F2587" s="1">
        <v>640170.0</v>
      </c>
      <c r="G2587" s="1">
        <v>7289.0</v>
      </c>
      <c r="H2587" s="1">
        <v>397.0</v>
      </c>
      <c r="I2587" s="1">
        <v>5820000.0</v>
      </c>
      <c r="J2587" s="1" t="s">
        <v>6040</v>
      </c>
    </row>
    <row r="2588">
      <c r="A2588" s="1" t="s">
        <v>7799</v>
      </c>
      <c r="B2588" s="1" t="s">
        <v>7800</v>
      </c>
      <c r="C2588" s="1" t="s">
        <v>7801</v>
      </c>
      <c r="D2588" s="1" t="s">
        <v>7242</v>
      </c>
      <c r="E2588" s="1" t="s">
        <v>7243</v>
      </c>
      <c r="F2588" s="1">
        <v>92244.0</v>
      </c>
      <c r="G2588" s="1">
        <v>1039.0</v>
      </c>
      <c r="H2588" s="1">
        <v>40.0</v>
      </c>
      <c r="I2588" s="1">
        <v>5820000.0</v>
      </c>
      <c r="J2588" s="1" t="s">
        <v>6040</v>
      </c>
    </row>
    <row r="2589">
      <c r="A2589" s="1" t="s">
        <v>7802</v>
      </c>
      <c r="B2589" s="1" t="s">
        <v>7803</v>
      </c>
      <c r="C2589" s="1" t="s">
        <v>7804</v>
      </c>
      <c r="D2589" s="1" t="s">
        <v>7242</v>
      </c>
      <c r="E2589" s="1" t="s">
        <v>7243</v>
      </c>
      <c r="F2589" s="1">
        <v>76902.0</v>
      </c>
      <c r="G2589" s="1">
        <v>750.0</v>
      </c>
      <c r="H2589" s="1">
        <v>59.0</v>
      </c>
      <c r="I2589" s="1">
        <v>5820000.0</v>
      </c>
      <c r="J2589" s="1" t="s">
        <v>6040</v>
      </c>
    </row>
    <row r="2590">
      <c r="A2590" s="1" t="s">
        <v>7805</v>
      </c>
      <c r="B2590" s="1" t="s">
        <v>7806</v>
      </c>
      <c r="C2590" s="1" t="s">
        <v>7807</v>
      </c>
      <c r="D2590" s="1" t="s">
        <v>7242</v>
      </c>
      <c r="E2590" s="1" t="s">
        <v>7243</v>
      </c>
      <c r="F2590" s="1">
        <v>217439.0</v>
      </c>
      <c r="G2590" s="1">
        <v>2429.0</v>
      </c>
      <c r="H2590" s="1">
        <v>373.0</v>
      </c>
      <c r="I2590" s="1">
        <v>5820000.0</v>
      </c>
      <c r="J2590" s="1" t="s">
        <v>6040</v>
      </c>
    </row>
    <row r="2591">
      <c r="A2591" s="1" t="s">
        <v>7808</v>
      </c>
      <c r="B2591" s="1" t="s">
        <v>7809</v>
      </c>
      <c r="C2591" s="1" t="s">
        <v>7810</v>
      </c>
      <c r="D2591" s="1" t="s">
        <v>7242</v>
      </c>
      <c r="E2591" s="1" t="s">
        <v>7243</v>
      </c>
      <c r="F2591" s="1">
        <v>267120.0</v>
      </c>
      <c r="G2591" s="1">
        <v>2236.0</v>
      </c>
      <c r="H2591" s="1">
        <v>66.0</v>
      </c>
      <c r="I2591" s="1">
        <v>5820000.0</v>
      </c>
      <c r="J2591" s="1" t="s">
        <v>6040</v>
      </c>
    </row>
    <row r="2592">
      <c r="A2592" s="1" t="s">
        <v>7811</v>
      </c>
      <c r="B2592" s="1" t="s">
        <v>7812</v>
      </c>
      <c r="C2592" s="1" t="s">
        <v>7813</v>
      </c>
      <c r="D2592" s="1" t="s">
        <v>7242</v>
      </c>
      <c r="E2592" s="1" t="s">
        <v>7243</v>
      </c>
      <c r="F2592" s="1">
        <v>480167.0</v>
      </c>
      <c r="G2592" s="1">
        <v>3661.0</v>
      </c>
      <c r="H2592" s="1">
        <v>145.0</v>
      </c>
      <c r="I2592" s="1">
        <v>5820000.0</v>
      </c>
      <c r="J2592" s="1" t="s">
        <v>6040</v>
      </c>
    </row>
    <row r="2593">
      <c r="A2593" s="1" t="s">
        <v>7814</v>
      </c>
      <c r="B2593" s="1" t="s">
        <v>7815</v>
      </c>
      <c r="C2593" s="1" t="s">
        <v>7816</v>
      </c>
      <c r="D2593" s="1" t="s">
        <v>7242</v>
      </c>
      <c r="E2593" s="1" t="s">
        <v>7243</v>
      </c>
      <c r="F2593" s="1">
        <v>106060.0</v>
      </c>
      <c r="G2593" s="1">
        <v>1494.0</v>
      </c>
      <c r="H2593" s="1">
        <v>154.0</v>
      </c>
      <c r="I2593" s="1">
        <v>5820000.0</v>
      </c>
      <c r="J2593" s="1" t="s">
        <v>6040</v>
      </c>
    </row>
    <row r="2594">
      <c r="A2594" s="1" t="s">
        <v>7817</v>
      </c>
      <c r="B2594" s="1" t="s">
        <v>7818</v>
      </c>
      <c r="C2594" s="1" t="s">
        <v>7819</v>
      </c>
      <c r="D2594" s="1" t="s">
        <v>7242</v>
      </c>
      <c r="E2594" s="1" t="s">
        <v>7243</v>
      </c>
      <c r="F2594" s="1">
        <v>131259.0</v>
      </c>
      <c r="G2594" s="1">
        <v>1041.0</v>
      </c>
      <c r="H2594" s="1">
        <v>34.0</v>
      </c>
      <c r="I2594" s="1">
        <v>5820000.0</v>
      </c>
      <c r="J2594" s="1" t="s">
        <v>6040</v>
      </c>
    </row>
    <row r="2595">
      <c r="A2595" s="1" t="s">
        <v>7820</v>
      </c>
      <c r="B2595" s="1" t="s">
        <v>7821</v>
      </c>
      <c r="C2595" s="1" t="s">
        <v>7822</v>
      </c>
      <c r="D2595" s="1" t="s">
        <v>7242</v>
      </c>
      <c r="E2595" s="1" t="s">
        <v>7243</v>
      </c>
      <c r="F2595" s="1">
        <v>163235.0</v>
      </c>
      <c r="G2595" s="1">
        <v>1367.0</v>
      </c>
      <c r="H2595" s="1">
        <v>119.0</v>
      </c>
      <c r="I2595" s="1">
        <v>5820000.0</v>
      </c>
      <c r="J2595" s="1" t="s">
        <v>6040</v>
      </c>
    </row>
    <row r="2596">
      <c r="A2596" s="1" t="s">
        <v>7823</v>
      </c>
      <c r="B2596" s="1" t="s">
        <v>7824</v>
      </c>
      <c r="C2596" s="1" t="s">
        <v>7825</v>
      </c>
      <c r="D2596" s="1" t="s">
        <v>7242</v>
      </c>
      <c r="E2596" s="1" t="s">
        <v>7243</v>
      </c>
      <c r="F2596" s="1">
        <v>104930.0</v>
      </c>
      <c r="G2596" s="1">
        <v>1677.0</v>
      </c>
      <c r="H2596" s="1">
        <v>129.0</v>
      </c>
      <c r="I2596" s="1">
        <v>5820000.0</v>
      </c>
      <c r="J2596" s="1" t="s">
        <v>6040</v>
      </c>
    </row>
    <row r="2597">
      <c r="A2597" s="1" t="s">
        <v>7826</v>
      </c>
      <c r="B2597" s="1" t="s">
        <v>7827</v>
      </c>
      <c r="C2597" s="1" t="s">
        <v>7828</v>
      </c>
      <c r="D2597" s="1" t="s">
        <v>7242</v>
      </c>
      <c r="E2597" s="1" t="s">
        <v>7243</v>
      </c>
      <c r="F2597" s="1">
        <v>166899.0</v>
      </c>
      <c r="G2597" s="1">
        <v>1504.0</v>
      </c>
      <c r="H2597" s="1">
        <v>42.0</v>
      </c>
      <c r="I2597" s="1">
        <v>5820000.0</v>
      </c>
      <c r="J2597" s="1" t="s">
        <v>6040</v>
      </c>
    </row>
    <row r="2598">
      <c r="A2598" s="1" t="s">
        <v>7829</v>
      </c>
      <c r="B2598" s="1" t="s">
        <v>7830</v>
      </c>
      <c r="C2598" s="1" t="s">
        <v>7831</v>
      </c>
      <c r="D2598" s="1" t="s">
        <v>7242</v>
      </c>
      <c r="E2598" s="1" t="s">
        <v>7243</v>
      </c>
      <c r="F2598" s="1">
        <v>2070009.0</v>
      </c>
      <c r="G2598" s="1">
        <v>9726.0</v>
      </c>
      <c r="H2598" s="1">
        <v>1701.0</v>
      </c>
      <c r="I2598" s="1">
        <v>5820000.0</v>
      </c>
      <c r="J2598" s="1" t="s">
        <v>6040</v>
      </c>
    </row>
    <row r="2599">
      <c r="A2599" s="1" t="s">
        <v>7832</v>
      </c>
      <c r="B2599" s="1" t="s">
        <v>7833</v>
      </c>
      <c r="C2599" s="1" t="s">
        <v>7834</v>
      </c>
      <c r="D2599" s="1" t="s">
        <v>7242</v>
      </c>
      <c r="E2599" s="1" t="s">
        <v>7243</v>
      </c>
      <c r="F2599" s="1">
        <v>60214.0</v>
      </c>
      <c r="G2599" s="1">
        <v>687.0</v>
      </c>
      <c r="H2599" s="1">
        <v>150.0</v>
      </c>
      <c r="I2599" s="1">
        <v>5820000.0</v>
      </c>
      <c r="J2599" s="1" t="s">
        <v>6040</v>
      </c>
    </row>
    <row r="2600">
      <c r="A2600" s="1" t="s">
        <v>7835</v>
      </c>
      <c r="B2600" s="1" t="s">
        <v>7836</v>
      </c>
      <c r="C2600" s="1" t="s">
        <v>7837</v>
      </c>
      <c r="D2600" s="1" t="s">
        <v>7242</v>
      </c>
      <c r="E2600" s="1" t="s">
        <v>7243</v>
      </c>
      <c r="F2600" s="1">
        <v>126888.0</v>
      </c>
      <c r="G2600" s="1">
        <v>920.0</v>
      </c>
      <c r="H2600" s="1">
        <v>37.0</v>
      </c>
      <c r="I2600" s="1">
        <v>5820000.0</v>
      </c>
      <c r="J2600" s="1" t="s">
        <v>6040</v>
      </c>
    </row>
    <row r="2601">
      <c r="A2601" s="1" t="s">
        <v>7838</v>
      </c>
      <c r="B2601" s="1" t="s">
        <v>7839</v>
      </c>
      <c r="C2601" s="1" t="s">
        <v>7840</v>
      </c>
      <c r="D2601" s="1" t="s">
        <v>7242</v>
      </c>
      <c r="E2601" s="1" t="s">
        <v>7243</v>
      </c>
      <c r="F2601" s="1">
        <v>304407.0</v>
      </c>
      <c r="G2601" s="1">
        <v>2258.0</v>
      </c>
      <c r="H2601" s="1">
        <v>138.0</v>
      </c>
      <c r="I2601" s="1">
        <v>5820000.0</v>
      </c>
      <c r="J2601" s="1" t="s">
        <v>6040</v>
      </c>
    </row>
    <row r="2602">
      <c r="A2602" s="1" t="s">
        <v>7841</v>
      </c>
      <c r="B2602" s="1" t="s">
        <v>7842</v>
      </c>
      <c r="C2602" s="1" t="s">
        <v>7843</v>
      </c>
      <c r="D2602" s="1" t="s">
        <v>7844</v>
      </c>
      <c r="E2602" s="1" t="s">
        <v>7845</v>
      </c>
      <c r="F2602" s="1">
        <v>298304.0</v>
      </c>
      <c r="G2602" s="1">
        <v>8585.0</v>
      </c>
      <c r="H2602" s="1">
        <v>576.0</v>
      </c>
      <c r="I2602" s="1">
        <v>1030000.0</v>
      </c>
      <c r="J2602" s="1" t="s">
        <v>6040</v>
      </c>
    </row>
    <row r="2603">
      <c r="A2603" s="1" t="s">
        <v>7846</v>
      </c>
      <c r="B2603" s="1" t="s">
        <v>7847</v>
      </c>
      <c r="C2603" s="1" t="s">
        <v>7848</v>
      </c>
      <c r="D2603" s="1" t="s">
        <v>7844</v>
      </c>
      <c r="E2603" s="1" t="s">
        <v>7845</v>
      </c>
      <c r="F2603" s="1">
        <v>16543.0</v>
      </c>
      <c r="G2603" s="1">
        <v>1775.0</v>
      </c>
      <c r="H2603" s="1">
        <v>42.0</v>
      </c>
      <c r="I2603" s="1">
        <v>1030000.0</v>
      </c>
      <c r="J2603" s="1" t="s">
        <v>6040</v>
      </c>
    </row>
    <row r="2604">
      <c r="A2604" s="1" t="s">
        <v>7849</v>
      </c>
      <c r="B2604" s="1" t="s">
        <v>7850</v>
      </c>
      <c r="C2604" s="1" t="s">
        <v>7851</v>
      </c>
      <c r="D2604" s="1" t="s">
        <v>7844</v>
      </c>
      <c r="E2604" s="1" t="s">
        <v>7845</v>
      </c>
      <c r="F2604" s="1">
        <v>362119.0</v>
      </c>
      <c r="G2604" s="1">
        <v>10074.0</v>
      </c>
      <c r="H2604" s="1">
        <v>2442.0</v>
      </c>
      <c r="I2604" s="1">
        <v>1030000.0</v>
      </c>
      <c r="J2604" s="1" t="s">
        <v>6040</v>
      </c>
    </row>
    <row r="2605">
      <c r="A2605" s="1" t="s">
        <v>7852</v>
      </c>
      <c r="B2605" s="1" t="s">
        <v>7853</v>
      </c>
      <c r="C2605" s="1" t="s">
        <v>7854</v>
      </c>
      <c r="D2605" s="1" t="s">
        <v>7844</v>
      </c>
      <c r="E2605" s="1" t="s">
        <v>7845</v>
      </c>
      <c r="F2605" s="1">
        <v>454284.0</v>
      </c>
      <c r="G2605" s="1">
        <v>31734.0</v>
      </c>
      <c r="H2605" s="1">
        <v>529.0</v>
      </c>
      <c r="I2605" s="1">
        <v>1030000.0</v>
      </c>
      <c r="J2605" s="1" t="s">
        <v>6040</v>
      </c>
    </row>
    <row r="2606">
      <c r="A2606" s="1" t="s">
        <v>7855</v>
      </c>
      <c r="B2606" s="1" t="s">
        <v>7856</v>
      </c>
      <c r="C2606" s="1" t="s">
        <v>7857</v>
      </c>
      <c r="D2606" s="1" t="s">
        <v>7844</v>
      </c>
      <c r="E2606" s="1" t="s">
        <v>7845</v>
      </c>
      <c r="F2606" s="1">
        <v>1735514.0</v>
      </c>
      <c r="G2606" s="1">
        <v>42454.0</v>
      </c>
      <c r="H2606" s="1">
        <v>4329.0</v>
      </c>
      <c r="I2606" s="1">
        <v>1030000.0</v>
      </c>
      <c r="J2606" s="1" t="s">
        <v>6040</v>
      </c>
    </row>
    <row r="2607">
      <c r="A2607" s="1" t="s">
        <v>7858</v>
      </c>
      <c r="B2607" s="1" t="s">
        <v>7859</v>
      </c>
      <c r="C2607" s="1" t="s">
        <v>7860</v>
      </c>
      <c r="D2607" s="1" t="s">
        <v>7844</v>
      </c>
      <c r="E2607" s="1" t="s">
        <v>7845</v>
      </c>
      <c r="F2607" s="1">
        <v>859427.0</v>
      </c>
      <c r="G2607" s="1">
        <v>42258.0</v>
      </c>
      <c r="H2607" s="1">
        <v>3717.0</v>
      </c>
      <c r="I2607" s="1">
        <v>1030000.0</v>
      </c>
      <c r="J2607" s="1" t="s">
        <v>6040</v>
      </c>
    </row>
    <row r="2608">
      <c r="A2608" s="1" t="s">
        <v>7861</v>
      </c>
      <c r="B2608" s="1" t="s">
        <v>7862</v>
      </c>
      <c r="C2608" s="1" t="s">
        <v>7863</v>
      </c>
      <c r="D2608" s="1" t="s">
        <v>7844</v>
      </c>
      <c r="E2608" s="1" t="s">
        <v>7845</v>
      </c>
      <c r="F2608" s="1">
        <v>18586.0</v>
      </c>
      <c r="G2608" s="1">
        <v>1138.0</v>
      </c>
      <c r="H2608" s="1">
        <v>23.0</v>
      </c>
      <c r="I2608" s="1">
        <v>1030000.0</v>
      </c>
      <c r="J2608" s="1" t="s">
        <v>6040</v>
      </c>
    </row>
    <row r="2609">
      <c r="A2609" s="1" t="s">
        <v>7864</v>
      </c>
      <c r="B2609" s="1" t="s">
        <v>7865</v>
      </c>
      <c r="C2609" s="1" t="s">
        <v>7866</v>
      </c>
      <c r="D2609" s="1" t="s">
        <v>7844</v>
      </c>
      <c r="E2609" s="1" t="s">
        <v>7845</v>
      </c>
      <c r="F2609" s="1">
        <v>597483.0</v>
      </c>
      <c r="G2609" s="1">
        <v>41136.0</v>
      </c>
      <c r="H2609" s="1">
        <v>1927.0</v>
      </c>
      <c r="I2609" s="1">
        <v>1030000.0</v>
      </c>
      <c r="J2609" s="1" t="s">
        <v>6040</v>
      </c>
    </row>
    <row r="2610">
      <c r="A2610" s="1" t="s">
        <v>7867</v>
      </c>
      <c r="B2610" s="1" t="s">
        <v>7868</v>
      </c>
      <c r="C2610" s="1" t="s">
        <v>7869</v>
      </c>
      <c r="D2610" s="1" t="s">
        <v>7844</v>
      </c>
      <c r="E2610" s="1" t="s">
        <v>7845</v>
      </c>
      <c r="F2610" s="1">
        <v>214148.0</v>
      </c>
      <c r="G2610" s="1">
        <v>5348.0</v>
      </c>
      <c r="H2610" s="1">
        <v>227.0</v>
      </c>
      <c r="I2610" s="1">
        <v>1030000.0</v>
      </c>
      <c r="J2610" s="1" t="s">
        <v>6040</v>
      </c>
    </row>
    <row r="2611">
      <c r="A2611" s="1" t="s">
        <v>7870</v>
      </c>
      <c r="B2611" s="1" t="s">
        <v>7871</v>
      </c>
      <c r="C2611" s="1" t="s">
        <v>7872</v>
      </c>
      <c r="D2611" s="1" t="s">
        <v>7844</v>
      </c>
      <c r="E2611" s="1" t="s">
        <v>7845</v>
      </c>
      <c r="F2611" s="1">
        <v>762861.0</v>
      </c>
      <c r="G2611" s="1">
        <v>39005.0</v>
      </c>
      <c r="H2611" s="1">
        <v>1104.0</v>
      </c>
      <c r="I2611" s="1">
        <v>1030000.0</v>
      </c>
      <c r="J2611" s="1" t="s">
        <v>6040</v>
      </c>
    </row>
    <row r="2612">
      <c r="A2612" s="1" t="s">
        <v>7873</v>
      </c>
      <c r="B2612" s="1" t="s">
        <v>7874</v>
      </c>
      <c r="C2612" s="1" t="s">
        <v>7875</v>
      </c>
      <c r="D2612" s="1" t="s">
        <v>7844</v>
      </c>
      <c r="E2612" s="1" t="s">
        <v>7845</v>
      </c>
      <c r="F2612" s="1">
        <v>610209.0</v>
      </c>
      <c r="G2612" s="1">
        <v>15622.0</v>
      </c>
      <c r="H2612" s="1">
        <v>1980.0</v>
      </c>
      <c r="I2612" s="1">
        <v>1030000.0</v>
      </c>
      <c r="J2612" s="1" t="s">
        <v>6040</v>
      </c>
    </row>
    <row r="2613">
      <c r="A2613" s="1" t="s">
        <v>7876</v>
      </c>
      <c r="B2613" s="1" t="s">
        <v>7877</v>
      </c>
      <c r="C2613" s="1" t="s">
        <v>7878</v>
      </c>
      <c r="D2613" s="1" t="s">
        <v>7844</v>
      </c>
      <c r="E2613" s="1" t="s">
        <v>7845</v>
      </c>
      <c r="F2613" s="1">
        <v>1671429.0</v>
      </c>
      <c r="G2613" s="1">
        <v>19631.0</v>
      </c>
      <c r="H2613" s="1">
        <v>1232.0</v>
      </c>
      <c r="I2613" s="1">
        <v>1030000.0</v>
      </c>
      <c r="J2613" s="1" t="s">
        <v>6040</v>
      </c>
    </row>
    <row r="2614">
      <c r="A2614" s="1" t="s">
        <v>7879</v>
      </c>
      <c r="B2614" s="1" t="s">
        <v>7880</v>
      </c>
      <c r="C2614" s="1" t="s">
        <v>7881</v>
      </c>
      <c r="D2614" s="1" t="s">
        <v>7844</v>
      </c>
      <c r="E2614" s="1" t="s">
        <v>7845</v>
      </c>
      <c r="F2614" s="1">
        <v>71013.0</v>
      </c>
      <c r="G2614" s="1">
        <v>6119.0</v>
      </c>
      <c r="H2614" s="1">
        <v>93.0</v>
      </c>
      <c r="I2614" s="1">
        <v>1030000.0</v>
      </c>
      <c r="J2614" s="1" t="s">
        <v>6040</v>
      </c>
    </row>
    <row r="2615">
      <c r="A2615" s="1" t="s">
        <v>7882</v>
      </c>
      <c r="B2615" s="1" t="s">
        <v>7883</v>
      </c>
      <c r="C2615" s="1" t="s">
        <v>7884</v>
      </c>
      <c r="D2615" s="1" t="s">
        <v>7844</v>
      </c>
      <c r="E2615" s="1" t="s">
        <v>7845</v>
      </c>
      <c r="F2615" s="1">
        <v>38445.0</v>
      </c>
      <c r="G2615" s="1">
        <v>2625.0</v>
      </c>
      <c r="H2615" s="1">
        <v>108.0</v>
      </c>
      <c r="I2615" s="1">
        <v>1030000.0</v>
      </c>
      <c r="J2615" s="1" t="s">
        <v>6040</v>
      </c>
    </row>
    <row r="2616">
      <c r="A2616" s="1" t="s">
        <v>7885</v>
      </c>
      <c r="B2616" s="1" t="s">
        <v>7886</v>
      </c>
      <c r="C2616" s="1" t="s">
        <v>7887</v>
      </c>
      <c r="D2616" s="1" t="s">
        <v>7844</v>
      </c>
      <c r="E2616" s="1" t="s">
        <v>7845</v>
      </c>
      <c r="F2616" s="1">
        <v>451817.0</v>
      </c>
      <c r="G2616" s="1">
        <v>18741.0</v>
      </c>
      <c r="H2616" s="1">
        <v>2021.0</v>
      </c>
      <c r="I2616" s="1">
        <v>1030000.0</v>
      </c>
      <c r="J2616" s="1" t="s">
        <v>6040</v>
      </c>
    </row>
    <row r="2617">
      <c r="A2617" s="1" t="s">
        <v>7888</v>
      </c>
      <c r="B2617" s="1" t="s">
        <v>7889</v>
      </c>
      <c r="C2617" s="1" t="s">
        <v>7890</v>
      </c>
      <c r="D2617" s="1" t="s">
        <v>7844</v>
      </c>
      <c r="E2617" s="1" t="s">
        <v>7845</v>
      </c>
      <c r="F2617" s="1">
        <v>3238944.0</v>
      </c>
      <c r="G2617" s="1">
        <v>84134.0</v>
      </c>
      <c r="H2617" s="1">
        <v>17238.0</v>
      </c>
      <c r="I2617" s="1">
        <v>1030000.0</v>
      </c>
      <c r="J2617" s="1" t="s">
        <v>6040</v>
      </c>
    </row>
    <row r="2618">
      <c r="A2618" s="1" t="s">
        <v>7891</v>
      </c>
      <c r="B2618" s="1" t="s">
        <v>7892</v>
      </c>
      <c r="C2618" s="1" t="s">
        <v>7893</v>
      </c>
      <c r="D2618" s="1" t="s">
        <v>7844</v>
      </c>
      <c r="E2618" s="1" t="s">
        <v>7845</v>
      </c>
      <c r="F2618" s="1">
        <v>2067413.0</v>
      </c>
      <c r="G2618" s="1">
        <v>89871.0</v>
      </c>
      <c r="H2618" s="1">
        <v>4318.0</v>
      </c>
      <c r="I2618" s="1">
        <v>1030000.0</v>
      </c>
      <c r="J2618" s="1" t="s">
        <v>6040</v>
      </c>
    </row>
    <row r="2619">
      <c r="A2619" s="1" t="s">
        <v>7894</v>
      </c>
      <c r="B2619" s="1" t="s">
        <v>7895</v>
      </c>
      <c r="C2619" s="1" t="s">
        <v>7896</v>
      </c>
      <c r="D2619" s="1" t="s">
        <v>7844</v>
      </c>
      <c r="E2619" s="1" t="s">
        <v>7845</v>
      </c>
      <c r="F2619" s="1">
        <v>494549.0</v>
      </c>
      <c r="G2619" s="1">
        <v>11747.0</v>
      </c>
      <c r="H2619" s="1">
        <v>901.0</v>
      </c>
      <c r="I2619" s="1">
        <v>1030000.0</v>
      </c>
      <c r="J2619" s="1" t="s">
        <v>6040</v>
      </c>
    </row>
    <row r="2620">
      <c r="A2620" s="1" t="s">
        <v>7897</v>
      </c>
      <c r="B2620" s="1" t="s">
        <v>7898</v>
      </c>
      <c r="C2620" s="1" t="s">
        <v>7899</v>
      </c>
      <c r="D2620" s="1" t="s">
        <v>7844</v>
      </c>
      <c r="E2620" s="1" t="s">
        <v>7845</v>
      </c>
      <c r="F2620" s="1">
        <v>103616.0</v>
      </c>
      <c r="G2620" s="1">
        <v>5310.0</v>
      </c>
      <c r="H2620" s="1">
        <v>142.0</v>
      </c>
      <c r="I2620" s="1">
        <v>1030000.0</v>
      </c>
      <c r="J2620" s="1" t="s">
        <v>6040</v>
      </c>
    </row>
    <row r="2621">
      <c r="A2621" s="1" t="s">
        <v>7900</v>
      </c>
      <c r="B2621" s="1" t="s">
        <v>7901</v>
      </c>
      <c r="C2621" s="1" t="s">
        <v>7902</v>
      </c>
      <c r="D2621" s="1" t="s">
        <v>7844</v>
      </c>
      <c r="E2621" s="1" t="s">
        <v>7845</v>
      </c>
      <c r="F2621" s="1">
        <v>2735425.0</v>
      </c>
      <c r="G2621" s="1">
        <v>95445.0</v>
      </c>
      <c r="H2621" s="1">
        <v>858.0</v>
      </c>
      <c r="I2621" s="1">
        <v>1030000.0</v>
      </c>
      <c r="J2621" s="1" t="s">
        <v>6040</v>
      </c>
    </row>
    <row r="2622">
      <c r="A2622" s="1" t="s">
        <v>7903</v>
      </c>
      <c r="B2622" s="1" t="s">
        <v>7904</v>
      </c>
      <c r="C2622" s="1" t="s">
        <v>7905</v>
      </c>
      <c r="D2622" s="1" t="s">
        <v>7844</v>
      </c>
      <c r="E2622" s="1" t="s">
        <v>7845</v>
      </c>
      <c r="F2622" s="1">
        <v>18309.0</v>
      </c>
      <c r="G2622" s="1">
        <v>1137.0</v>
      </c>
      <c r="H2622" s="1">
        <v>34.0</v>
      </c>
      <c r="I2622" s="1">
        <v>1030000.0</v>
      </c>
      <c r="J2622" s="1" t="s">
        <v>6040</v>
      </c>
    </row>
    <row r="2623">
      <c r="A2623" s="1" t="s">
        <v>7906</v>
      </c>
      <c r="B2623" s="1" t="s">
        <v>7907</v>
      </c>
      <c r="C2623" s="1" t="s">
        <v>7908</v>
      </c>
      <c r="D2623" s="1" t="s">
        <v>7844</v>
      </c>
      <c r="E2623" s="1" t="s">
        <v>7845</v>
      </c>
      <c r="F2623" s="1">
        <v>2936675.0</v>
      </c>
      <c r="G2623" s="1">
        <v>49831.0</v>
      </c>
      <c r="H2623" s="1">
        <v>5198.0</v>
      </c>
      <c r="I2623" s="1">
        <v>1030000.0</v>
      </c>
      <c r="J2623" s="1" t="s">
        <v>6040</v>
      </c>
    </row>
    <row r="2624">
      <c r="A2624" s="1" t="s">
        <v>7909</v>
      </c>
      <c r="B2624" s="1" t="s">
        <v>7910</v>
      </c>
      <c r="C2624" s="1" t="s">
        <v>7911</v>
      </c>
      <c r="D2624" s="1" t="s">
        <v>7844</v>
      </c>
      <c r="E2624" s="1" t="s">
        <v>7845</v>
      </c>
      <c r="F2624" s="1">
        <v>23999.0</v>
      </c>
      <c r="G2624" s="1">
        <v>1478.0</v>
      </c>
      <c r="H2624" s="1">
        <v>46.0</v>
      </c>
      <c r="I2624" s="1">
        <v>1030000.0</v>
      </c>
      <c r="J2624" s="1" t="s">
        <v>6040</v>
      </c>
    </row>
    <row r="2625">
      <c r="A2625" s="1" t="s">
        <v>7912</v>
      </c>
      <c r="B2625" s="1" t="s">
        <v>7913</v>
      </c>
      <c r="C2625" s="1" t="s">
        <v>7914</v>
      </c>
      <c r="D2625" s="1" t="s">
        <v>7844</v>
      </c>
      <c r="E2625" s="1" t="s">
        <v>7845</v>
      </c>
      <c r="F2625" s="1">
        <v>1429880.0</v>
      </c>
      <c r="G2625" s="1">
        <v>49516.0</v>
      </c>
      <c r="H2625" s="1">
        <v>383.0</v>
      </c>
      <c r="I2625" s="1">
        <v>1030000.0</v>
      </c>
      <c r="J2625" s="1" t="s">
        <v>6040</v>
      </c>
    </row>
    <row r="2626">
      <c r="A2626" s="1" t="s">
        <v>7915</v>
      </c>
      <c r="B2626" s="1" t="s">
        <v>7916</v>
      </c>
      <c r="C2626" s="1" t="s">
        <v>7917</v>
      </c>
      <c r="D2626" s="1" t="s">
        <v>7844</v>
      </c>
      <c r="E2626" s="1" t="s">
        <v>7845</v>
      </c>
      <c r="F2626" s="1">
        <v>379960.0</v>
      </c>
      <c r="G2626" s="1">
        <v>15741.0</v>
      </c>
      <c r="H2626" s="1">
        <v>459.0</v>
      </c>
      <c r="I2626" s="1">
        <v>1030000.0</v>
      </c>
      <c r="J2626" s="1" t="s">
        <v>6040</v>
      </c>
    </row>
    <row r="2627">
      <c r="A2627" s="1" t="s">
        <v>7918</v>
      </c>
      <c r="B2627" s="1" t="s">
        <v>7919</v>
      </c>
      <c r="C2627" s="1" t="s">
        <v>7920</v>
      </c>
      <c r="D2627" s="1" t="s">
        <v>7844</v>
      </c>
      <c r="E2627" s="1" t="s">
        <v>7845</v>
      </c>
      <c r="F2627" s="1">
        <v>36893.0</v>
      </c>
      <c r="G2627" s="1">
        <v>2181.0</v>
      </c>
      <c r="H2627" s="1">
        <v>47.0</v>
      </c>
      <c r="I2627" s="1">
        <v>1030000.0</v>
      </c>
      <c r="J2627" s="1" t="s">
        <v>6040</v>
      </c>
    </row>
    <row r="2628">
      <c r="A2628" s="1" t="s">
        <v>7921</v>
      </c>
      <c r="B2628" s="1" t="s">
        <v>7922</v>
      </c>
      <c r="C2628" s="1" t="s">
        <v>7923</v>
      </c>
      <c r="D2628" s="1" t="s">
        <v>7844</v>
      </c>
      <c r="E2628" s="1" t="s">
        <v>7845</v>
      </c>
      <c r="F2628" s="1">
        <v>32396.0</v>
      </c>
      <c r="G2628" s="1">
        <v>2087.0</v>
      </c>
      <c r="H2628" s="1">
        <v>47.0</v>
      </c>
      <c r="I2628" s="1">
        <v>1030000.0</v>
      </c>
      <c r="J2628" s="1" t="s">
        <v>6040</v>
      </c>
    </row>
    <row r="2629">
      <c r="A2629" s="1" t="s">
        <v>7924</v>
      </c>
      <c r="B2629" s="1" t="s">
        <v>7925</v>
      </c>
      <c r="C2629" s="1" t="s">
        <v>7926</v>
      </c>
      <c r="D2629" s="1" t="s">
        <v>7844</v>
      </c>
      <c r="E2629" s="1" t="s">
        <v>7845</v>
      </c>
      <c r="F2629" s="1">
        <v>2825875.0</v>
      </c>
      <c r="G2629" s="1">
        <v>38087.0</v>
      </c>
      <c r="H2629" s="1">
        <v>3733.0</v>
      </c>
      <c r="I2629" s="1">
        <v>1030000.0</v>
      </c>
      <c r="J2629" s="1" t="s">
        <v>6040</v>
      </c>
    </row>
    <row r="2630">
      <c r="A2630" s="1" t="s">
        <v>7927</v>
      </c>
      <c r="B2630" s="1" t="s">
        <v>7928</v>
      </c>
      <c r="C2630" s="1" t="s">
        <v>7929</v>
      </c>
      <c r="D2630" s="1" t="s">
        <v>7844</v>
      </c>
      <c r="E2630" s="1" t="s">
        <v>7845</v>
      </c>
      <c r="F2630" s="1">
        <v>46845.0</v>
      </c>
      <c r="G2630" s="1">
        <v>3315.0</v>
      </c>
      <c r="H2630" s="1">
        <v>130.0</v>
      </c>
      <c r="I2630" s="1">
        <v>1030000.0</v>
      </c>
      <c r="J2630" s="1" t="s">
        <v>6040</v>
      </c>
    </row>
    <row r="2631">
      <c r="A2631" s="1" t="s">
        <v>7930</v>
      </c>
      <c r="B2631" s="1" t="s">
        <v>7931</v>
      </c>
      <c r="C2631" s="1" t="s">
        <v>7932</v>
      </c>
      <c r="D2631" s="1" t="s">
        <v>7844</v>
      </c>
      <c r="E2631" s="1" t="s">
        <v>7845</v>
      </c>
      <c r="F2631" s="1">
        <v>838337.0</v>
      </c>
      <c r="G2631" s="1">
        <v>16100.0</v>
      </c>
      <c r="H2631" s="1">
        <v>2022.0</v>
      </c>
      <c r="I2631" s="1">
        <v>1030000.0</v>
      </c>
      <c r="J2631" s="1" t="s">
        <v>6040</v>
      </c>
    </row>
    <row r="2632">
      <c r="A2632" s="1" t="s">
        <v>7933</v>
      </c>
      <c r="B2632" s="1" t="s">
        <v>7934</v>
      </c>
      <c r="C2632" s="1" t="s">
        <v>7935</v>
      </c>
      <c r="D2632" s="1" t="s">
        <v>7844</v>
      </c>
      <c r="E2632" s="1" t="s">
        <v>7845</v>
      </c>
      <c r="F2632" s="1">
        <v>1847970.0</v>
      </c>
      <c r="G2632" s="1">
        <v>89875.0</v>
      </c>
      <c r="H2632" s="1">
        <v>1509.0</v>
      </c>
      <c r="I2632" s="1">
        <v>1030000.0</v>
      </c>
      <c r="J2632" s="1" t="s">
        <v>6040</v>
      </c>
    </row>
    <row r="2633">
      <c r="A2633" s="1" t="s">
        <v>7936</v>
      </c>
      <c r="B2633" s="1" t="s">
        <v>7937</v>
      </c>
      <c r="C2633" s="1" t="s">
        <v>7938</v>
      </c>
      <c r="D2633" s="1" t="s">
        <v>7844</v>
      </c>
      <c r="E2633" s="1" t="s">
        <v>7845</v>
      </c>
      <c r="F2633" s="1">
        <v>3489631.0</v>
      </c>
      <c r="G2633" s="1">
        <v>39982.0</v>
      </c>
      <c r="H2633" s="1">
        <v>4014.0</v>
      </c>
      <c r="I2633" s="1">
        <v>1030000.0</v>
      </c>
      <c r="J2633" s="1" t="s">
        <v>6040</v>
      </c>
    </row>
    <row r="2634">
      <c r="A2634" s="1" t="s">
        <v>7939</v>
      </c>
      <c r="B2634" s="1" t="s">
        <v>7940</v>
      </c>
      <c r="C2634" s="1" t="s">
        <v>7941</v>
      </c>
      <c r="D2634" s="1" t="s">
        <v>7844</v>
      </c>
      <c r="E2634" s="1" t="s">
        <v>7845</v>
      </c>
      <c r="F2634" s="1">
        <v>4572523.0</v>
      </c>
      <c r="G2634" s="1">
        <v>319168.0</v>
      </c>
      <c r="H2634" s="1">
        <v>3725.0</v>
      </c>
      <c r="I2634" s="1">
        <v>1030000.0</v>
      </c>
      <c r="J2634" s="1" t="s">
        <v>6040</v>
      </c>
    </row>
    <row r="2635">
      <c r="A2635" s="1" t="s">
        <v>7942</v>
      </c>
      <c r="B2635" s="1" t="s">
        <v>7943</v>
      </c>
      <c r="C2635" s="1" t="s">
        <v>7944</v>
      </c>
      <c r="D2635" s="1" t="s">
        <v>7844</v>
      </c>
      <c r="E2635" s="1" t="s">
        <v>7845</v>
      </c>
      <c r="F2635" s="1">
        <v>969322.0</v>
      </c>
      <c r="G2635" s="1">
        <v>29727.0</v>
      </c>
      <c r="H2635" s="1">
        <v>3750.0</v>
      </c>
      <c r="I2635" s="1">
        <v>1030000.0</v>
      </c>
      <c r="J2635" s="1" t="s">
        <v>6040</v>
      </c>
    </row>
    <row r="2636">
      <c r="A2636" s="1" t="s">
        <v>7945</v>
      </c>
      <c r="B2636" s="1" t="s">
        <v>7946</v>
      </c>
      <c r="C2636" s="1" t="s">
        <v>7947</v>
      </c>
      <c r="D2636" s="1" t="s">
        <v>7844</v>
      </c>
      <c r="E2636" s="1" t="s">
        <v>7845</v>
      </c>
      <c r="F2636" s="1">
        <v>222470.0</v>
      </c>
      <c r="G2636" s="1">
        <v>13864.0</v>
      </c>
      <c r="H2636" s="1">
        <v>820.0</v>
      </c>
      <c r="I2636" s="1">
        <v>1030000.0</v>
      </c>
      <c r="J2636" s="1" t="s">
        <v>6040</v>
      </c>
    </row>
    <row r="2637">
      <c r="A2637" s="1" t="s">
        <v>7948</v>
      </c>
      <c r="B2637" s="1" t="s">
        <v>7949</v>
      </c>
      <c r="C2637" s="1" t="s">
        <v>7950</v>
      </c>
      <c r="D2637" s="1" t="s">
        <v>7844</v>
      </c>
      <c r="E2637" s="1" t="s">
        <v>7845</v>
      </c>
      <c r="F2637" s="1">
        <v>79865.0</v>
      </c>
      <c r="G2637" s="1">
        <v>4593.0</v>
      </c>
      <c r="H2637" s="1">
        <v>227.0</v>
      </c>
      <c r="I2637" s="1">
        <v>1030000.0</v>
      </c>
      <c r="J2637" s="1" t="s">
        <v>6040</v>
      </c>
    </row>
    <row r="2638">
      <c r="A2638" s="1" t="s">
        <v>7951</v>
      </c>
      <c r="B2638" s="1" t="s">
        <v>7952</v>
      </c>
      <c r="C2638" s="1" t="s">
        <v>7953</v>
      </c>
      <c r="D2638" s="1" t="s">
        <v>7844</v>
      </c>
      <c r="E2638" s="1" t="s">
        <v>7845</v>
      </c>
      <c r="F2638" s="1">
        <v>902199.0</v>
      </c>
      <c r="G2638" s="1">
        <v>56694.0</v>
      </c>
      <c r="H2638" s="1">
        <v>1676.0</v>
      </c>
      <c r="I2638" s="1">
        <v>1030000.0</v>
      </c>
      <c r="J2638" s="1" t="s">
        <v>6040</v>
      </c>
    </row>
    <row r="2639">
      <c r="A2639" s="1" t="s">
        <v>7954</v>
      </c>
      <c r="B2639" s="1" t="s">
        <v>7955</v>
      </c>
      <c r="C2639" s="1" t="s">
        <v>7956</v>
      </c>
      <c r="D2639" s="1" t="s">
        <v>7844</v>
      </c>
      <c r="E2639" s="1" t="s">
        <v>7845</v>
      </c>
      <c r="F2639" s="1">
        <v>254924.0</v>
      </c>
      <c r="G2639" s="1">
        <v>7676.0</v>
      </c>
      <c r="H2639" s="1">
        <v>434.0</v>
      </c>
      <c r="I2639" s="1">
        <v>1030000.0</v>
      </c>
      <c r="J2639" s="1" t="s">
        <v>6040</v>
      </c>
    </row>
    <row r="2640">
      <c r="A2640" s="1" t="s">
        <v>7957</v>
      </c>
      <c r="B2640" s="1" t="s">
        <v>7958</v>
      </c>
      <c r="C2640" s="1" t="s">
        <v>7959</v>
      </c>
      <c r="D2640" s="1" t="s">
        <v>7844</v>
      </c>
      <c r="E2640" s="1" t="s">
        <v>7845</v>
      </c>
      <c r="F2640" s="1">
        <v>268928.0</v>
      </c>
      <c r="G2640" s="1">
        <v>12496.0</v>
      </c>
      <c r="H2640" s="1">
        <v>1262.0</v>
      </c>
      <c r="I2640" s="1">
        <v>1030000.0</v>
      </c>
      <c r="J2640" s="1" t="s">
        <v>6040</v>
      </c>
    </row>
    <row r="2641">
      <c r="A2641" s="1" t="s">
        <v>7960</v>
      </c>
      <c r="B2641" s="1" t="s">
        <v>7961</v>
      </c>
      <c r="C2641" s="1" t="s">
        <v>7962</v>
      </c>
      <c r="D2641" s="1" t="s">
        <v>7844</v>
      </c>
      <c r="E2641" s="1" t="s">
        <v>7845</v>
      </c>
      <c r="F2641" s="1">
        <v>341641.0</v>
      </c>
      <c r="G2641" s="1">
        <v>17499.0</v>
      </c>
      <c r="H2641" s="1">
        <v>1805.0</v>
      </c>
      <c r="I2641" s="1">
        <v>1030000.0</v>
      </c>
      <c r="J2641" s="1" t="s">
        <v>6040</v>
      </c>
    </row>
    <row r="2642">
      <c r="A2642" s="1" t="s">
        <v>7963</v>
      </c>
      <c r="B2642" s="1" t="s">
        <v>7964</v>
      </c>
      <c r="C2642" s="1" t="s">
        <v>7965</v>
      </c>
      <c r="D2642" s="1" t="s">
        <v>7844</v>
      </c>
      <c r="E2642" s="1" t="s">
        <v>7845</v>
      </c>
      <c r="F2642" s="1">
        <v>156217.0</v>
      </c>
      <c r="G2642" s="1">
        <v>9269.0</v>
      </c>
      <c r="H2642" s="1">
        <v>158.0</v>
      </c>
      <c r="I2642" s="1">
        <v>1030000.0</v>
      </c>
      <c r="J2642" s="1" t="s">
        <v>6040</v>
      </c>
    </row>
    <row r="2643">
      <c r="A2643" s="1" t="s">
        <v>7966</v>
      </c>
      <c r="B2643" s="1" t="s">
        <v>7967</v>
      </c>
      <c r="C2643" s="1" t="s">
        <v>7968</v>
      </c>
      <c r="D2643" s="1" t="s">
        <v>7844</v>
      </c>
      <c r="E2643" s="1" t="s">
        <v>7845</v>
      </c>
      <c r="F2643" s="1">
        <v>21112.0</v>
      </c>
      <c r="G2643" s="1">
        <v>1479.0</v>
      </c>
      <c r="H2643" s="1">
        <v>40.0</v>
      </c>
      <c r="I2643" s="1">
        <v>1030000.0</v>
      </c>
      <c r="J2643" s="1" t="s">
        <v>6040</v>
      </c>
    </row>
    <row r="2644">
      <c r="A2644" s="1" t="s">
        <v>7969</v>
      </c>
      <c r="B2644" s="1" t="s">
        <v>7970</v>
      </c>
      <c r="C2644" s="1" t="s">
        <v>7971</v>
      </c>
      <c r="D2644" s="1" t="s">
        <v>7844</v>
      </c>
      <c r="E2644" s="1" t="s">
        <v>7845</v>
      </c>
      <c r="F2644" s="1">
        <v>1320196.0</v>
      </c>
      <c r="G2644" s="1">
        <v>26476.0</v>
      </c>
      <c r="H2644" s="1">
        <v>1759.0</v>
      </c>
      <c r="I2644" s="1">
        <v>1030000.0</v>
      </c>
      <c r="J2644" s="1" t="s">
        <v>6040</v>
      </c>
    </row>
    <row r="2645">
      <c r="A2645" s="1" t="s">
        <v>7972</v>
      </c>
      <c r="B2645" s="1" t="s">
        <v>7973</v>
      </c>
      <c r="C2645" s="1" t="s">
        <v>7974</v>
      </c>
      <c r="D2645" s="1" t="s">
        <v>7844</v>
      </c>
      <c r="E2645" s="1" t="s">
        <v>7845</v>
      </c>
      <c r="F2645" s="1">
        <v>99696.0</v>
      </c>
      <c r="G2645" s="1">
        <v>5924.0</v>
      </c>
      <c r="H2645" s="1">
        <v>497.0</v>
      </c>
      <c r="I2645" s="1">
        <v>1030000.0</v>
      </c>
      <c r="J2645" s="1" t="s">
        <v>6040</v>
      </c>
    </row>
    <row r="2646">
      <c r="A2646" s="1" t="s">
        <v>7975</v>
      </c>
      <c r="B2646" s="1" t="s">
        <v>7976</v>
      </c>
      <c r="C2646" s="1" t="s">
        <v>7977</v>
      </c>
      <c r="D2646" s="1" t="s">
        <v>7844</v>
      </c>
      <c r="E2646" s="1" t="s">
        <v>7845</v>
      </c>
      <c r="F2646" s="1">
        <v>155313.0</v>
      </c>
      <c r="G2646" s="1">
        <v>4896.0</v>
      </c>
      <c r="H2646" s="1">
        <v>380.0</v>
      </c>
      <c r="I2646" s="1">
        <v>1030000.0</v>
      </c>
      <c r="J2646" s="1" t="s">
        <v>6040</v>
      </c>
    </row>
    <row r="2647">
      <c r="A2647" s="1" t="s">
        <v>7978</v>
      </c>
      <c r="B2647" s="1" t="s">
        <v>7979</v>
      </c>
      <c r="C2647" s="1" t="s">
        <v>7980</v>
      </c>
      <c r="D2647" s="1" t="s">
        <v>7844</v>
      </c>
      <c r="E2647" s="1" t="s">
        <v>7845</v>
      </c>
      <c r="F2647" s="1">
        <v>43447.0</v>
      </c>
      <c r="G2647" s="1">
        <v>2763.0</v>
      </c>
      <c r="H2647" s="1">
        <v>114.0</v>
      </c>
      <c r="I2647" s="1">
        <v>1030000.0</v>
      </c>
      <c r="J2647" s="1" t="s">
        <v>6040</v>
      </c>
    </row>
    <row r="2648">
      <c r="A2648" s="1" t="s">
        <v>7981</v>
      </c>
      <c r="B2648" s="1" t="s">
        <v>7982</v>
      </c>
      <c r="C2648" s="1" t="s">
        <v>7983</v>
      </c>
      <c r="D2648" s="1" t="s">
        <v>7844</v>
      </c>
      <c r="E2648" s="1" t="s">
        <v>7845</v>
      </c>
      <c r="F2648" s="1">
        <v>1097764.0</v>
      </c>
      <c r="G2648" s="1">
        <v>38451.0</v>
      </c>
      <c r="H2648" s="1">
        <v>4631.0</v>
      </c>
      <c r="I2648" s="1">
        <v>1030000.0</v>
      </c>
      <c r="J2648" s="1" t="s">
        <v>6040</v>
      </c>
    </row>
    <row r="2649">
      <c r="A2649" s="1" t="s">
        <v>7984</v>
      </c>
      <c r="B2649" s="1" t="s">
        <v>7985</v>
      </c>
      <c r="C2649" s="1" t="s">
        <v>7986</v>
      </c>
      <c r="D2649" s="1" t="s">
        <v>7844</v>
      </c>
      <c r="E2649" s="1" t="s">
        <v>7845</v>
      </c>
      <c r="F2649" s="1">
        <v>14672.0</v>
      </c>
      <c r="G2649" s="1">
        <v>1147.0</v>
      </c>
      <c r="H2649" s="1">
        <v>14.0</v>
      </c>
      <c r="I2649" s="1">
        <v>1030000.0</v>
      </c>
      <c r="J2649" s="1" t="s">
        <v>6040</v>
      </c>
    </row>
    <row r="2650">
      <c r="A2650" s="1" t="s">
        <v>7987</v>
      </c>
      <c r="B2650" s="1" t="s">
        <v>7988</v>
      </c>
      <c r="C2650" s="1" t="s">
        <v>7989</v>
      </c>
      <c r="D2650" s="1" t="s">
        <v>7844</v>
      </c>
      <c r="E2650" s="1" t="s">
        <v>7845</v>
      </c>
      <c r="F2650" s="1">
        <v>140111.0</v>
      </c>
      <c r="G2650" s="1">
        <v>5835.0</v>
      </c>
      <c r="H2650" s="1">
        <v>784.0</v>
      </c>
      <c r="I2650" s="1">
        <v>1030000.0</v>
      </c>
      <c r="J2650" s="1" t="s">
        <v>6040</v>
      </c>
    </row>
    <row r="2651">
      <c r="A2651" s="1" t="s">
        <v>7990</v>
      </c>
      <c r="B2651" s="1" t="s">
        <v>7991</v>
      </c>
      <c r="C2651" s="1" t="s">
        <v>7992</v>
      </c>
      <c r="D2651" s="1" t="s">
        <v>7844</v>
      </c>
      <c r="E2651" s="1" t="s">
        <v>7845</v>
      </c>
      <c r="F2651" s="1">
        <v>32932.0</v>
      </c>
      <c r="G2651" s="1">
        <v>2621.0</v>
      </c>
      <c r="H2651" s="1">
        <v>164.0</v>
      </c>
      <c r="I2651" s="1">
        <v>1030000.0</v>
      </c>
      <c r="J2651" s="1" t="s">
        <v>6040</v>
      </c>
    </row>
    <row r="2652">
      <c r="A2652" s="1" t="s">
        <v>7993</v>
      </c>
      <c r="B2652" s="1" t="s">
        <v>7994</v>
      </c>
      <c r="C2652" s="1" t="s">
        <v>7995</v>
      </c>
      <c r="D2652" s="1" t="s">
        <v>7844</v>
      </c>
      <c r="E2652" s="1" t="s">
        <v>7845</v>
      </c>
      <c r="F2652" s="1">
        <v>517267.0</v>
      </c>
      <c r="G2652" s="1">
        <v>32103.0</v>
      </c>
      <c r="H2652" s="1">
        <v>411.0</v>
      </c>
      <c r="I2652" s="1">
        <v>1030000.0</v>
      </c>
      <c r="J2652" s="1" t="s">
        <v>6040</v>
      </c>
    </row>
    <row r="2653">
      <c r="A2653" s="1" t="s">
        <v>7996</v>
      </c>
      <c r="B2653" s="1" t="s">
        <v>7997</v>
      </c>
      <c r="C2653" s="1" t="s">
        <v>7998</v>
      </c>
      <c r="D2653" s="1" t="s">
        <v>7844</v>
      </c>
      <c r="E2653" s="1" t="s">
        <v>7845</v>
      </c>
      <c r="F2653" s="1">
        <v>761876.0</v>
      </c>
      <c r="G2653" s="1">
        <v>29608.0</v>
      </c>
      <c r="H2653" s="1">
        <v>1596.0</v>
      </c>
      <c r="I2653" s="1">
        <v>1030000.0</v>
      </c>
      <c r="J2653" s="1" t="s">
        <v>6040</v>
      </c>
    </row>
    <row r="2654">
      <c r="A2654" s="1" t="s">
        <v>7999</v>
      </c>
      <c r="B2654" s="1" t="s">
        <v>8000</v>
      </c>
      <c r="C2654" s="1" t="s">
        <v>8001</v>
      </c>
      <c r="D2654" s="1" t="s">
        <v>7844</v>
      </c>
      <c r="E2654" s="1" t="s">
        <v>7845</v>
      </c>
      <c r="F2654" s="1">
        <v>22901.0</v>
      </c>
      <c r="G2654" s="1">
        <v>1653.0</v>
      </c>
      <c r="H2654" s="1">
        <v>68.0</v>
      </c>
      <c r="I2654" s="1">
        <v>1030000.0</v>
      </c>
      <c r="J2654" s="1" t="s">
        <v>6040</v>
      </c>
    </row>
    <row r="2655">
      <c r="A2655" s="1" t="s">
        <v>8002</v>
      </c>
      <c r="B2655" s="1" t="s">
        <v>8003</v>
      </c>
      <c r="C2655" s="1" t="s">
        <v>8004</v>
      </c>
      <c r="D2655" s="1" t="s">
        <v>7844</v>
      </c>
      <c r="E2655" s="1" t="s">
        <v>7845</v>
      </c>
      <c r="F2655" s="1">
        <v>684231.0</v>
      </c>
      <c r="G2655" s="1">
        <v>23538.0</v>
      </c>
      <c r="H2655" s="1">
        <v>4909.0</v>
      </c>
      <c r="I2655" s="1">
        <v>1030000.0</v>
      </c>
      <c r="J2655" s="1" t="s">
        <v>6040</v>
      </c>
    </row>
    <row r="2656">
      <c r="A2656" s="1" t="s">
        <v>8005</v>
      </c>
      <c r="B2656" s="1" t="s">
        <v>8006</v>
      </c>
      <c r="C2656" s="1" t="s">
        <v>8007</v>
      </c>
      <c r="D2656" s="1" t="s">
        <v>7844</v>
      </c>
      <c r="E2656" s="1" t="s">
        <v>7845</v>
      </c>
      <c r="F2656" s="1">
        <v>252555.0</v>
      </c>
      <c r="G2656" s="1">
        <v>20792.0</v>
      </c>
      <c r="H2656" s="1">
        <v>444.0</v>
      </c>
      <c r="I2656" s="1">
        <v>1030000.0</v>
      </c>
      <c r="J2656" s="1" t="s">
        <v>6040</v>
      </c>
    </row>
    <row r="2657">
      <c r="A2657" s="1" t="s">
        <v>8008</v>
      </c>
      <c r="B2657" s="1" t="s">
        <v>8009</v>
      </c>
      <c r="C2657" s="1" t="s">
        <v>8010</v>
      </c>
      <c r="D2657" s="1" t="s">
        <v>7844</v>
      </c>
      <c r="E2657" s="1" t="s">
        <v>7845</v>
      </c>
      <c r="F2657" s="1">
        <v>164584.0</v>
      </c>
      <c r="G2657" s="1">
        <v>8432.0</v>
      </c>
      <c r="H2657" s="1">
        <v>126.0</v>
      </c>
      <c r="I2657" s="1">
        <v>1030000.0</v>
      </c>
      <c r="J2657" s="1" t="s">
        <v>6040</v>
      </c>
    </row>
    <row r="2658">
      <c r="A2658" s="1" t="s">
        <v>8011</v>
      </c>
      <c r="B2658" s="1" t="s">
        <v>8012</v>
      </c>
      <c r="C2658" s="1" t="s">
        <v>8013</v>
      </c>
      <c r="D2658" s="1" t="s">
        <v>7844</v>
      </c>
      <c r="E2658" s="1" t="s">
        <v>7845</v>
      </c>
      <c r="F2658" s="1">
        <v>821252.0</v>
      </c>
      <c r="G2658" s="1">
        <v>10293.0</v>
      </c>
      <c r="H2658" s="1">
        <v>469.0</v>
      </c>
      <c r="I2658" s="1">
        <v>1030000.0</v>
      </c>
      <c r="J2658" s="1" t="s">
        <v>6040</v>
      </c>
    </row>
    <row r="2659">
      <c r="A2659" s="1" t="s">
        <v>8014</v>
      </c>
      <c r="B2659" s="1" t="s">
        <v>8015</v>
      </c>
      <c r="C2659" s="1" t="s">
        <v>8016</v>
      </c>
      <c r="D2659" s="1" t="s">
        <v>7844</v>
      </c>
      <c r="E2659" s="1" t="s">
        <v>7845</v>
      </c>
      <c r="F2659" s="1">
        <v>1633560.0</v>
      </c>
      <c r="G2659" s="1">
        <v>43198.0</v>
      </c>
      <c r="H2659" s="1">
        <v>4008.0</v>
      </c>
      <c r="I2659" s="1">
        <v>1030000.0</v>
      </c>
      <c r="J2659" s="1" t="s">
        <v>6040</v>
      </c>
    </row>
    <row r="2660">
      <c r="A2660" s="1" t="s">
        <v>8017</v>
      </c>
      <c r="B2660" s="1" t="s">
        <v>8018</v>
      </c>
      <c r="C2660" s="1" t="s">
        <v>8019</v>
      </c>
      <c r="D2660" s="1" t="s">
        <v>7844</v>
      </c>
      <c r="E2660" s="1" t="s">
        <v>7845</v>
      </c>
      <c r="F2660" s="1">
        <v>50562.0</v>
      </c>
      <c r="G2660" s="1">
        <v>3059.0</v>
      </c>
      <c r="H2660" s="1">
        <v>46.0</v>
      </c>
      <c r="I2660" s="1">
        <v>1030000.0</v>
      </c>
      <c r="J2660" s="1" t="s">
        <v>6040</v>
      </c>
    </row>
    <row r="2661">
      <c r="A2661" s="1" t="s">
        <v>8020</v>
      </c>
      <c r="B2661" s="1" t="s">
        <v>8021</v>
      </c>
      <c r="C2661" s="1" t="s">
        <v>8022</v>
      </c>
      <c r="D2661" s="1" t="s">
        <v>7844</v>
      </c>
      <c r="E2661" s="1" t="s">
        <v>7845</v>
      </c>
      <c r="F2661" s="1">
        <v>182417.0</v>
      </c>
      <c r="G2661" s="1">
        <v>16695.0</v>
      </c>
      <c r="H2661" s="1">
        <v>222.0</v>
      </c>
      <c r="I2661" s="1">
        <v>1030000.0</v>
      </c>
      <c r="J2661" s="1" t="s">
        <v>6040</v>
      </c>
    </row>
    <row r="2662">
      <c r="A2662" s="1" t="s">
        <v>8023</v>
      </c>
      <c r="B2662" s="1" t="s">
        <v>8024</v>
      </c>
      <c r="C2662" s="1" t="s">
        <v>8025</v>
      </c>
      <c r="D2662" s="1" t="s">
        <v>7844</v>
      </c>
      <c r="E2662" s="1" t="s">
        <v>7845</v>
      </c>
      <c r="F2662" s="1">
        <v>1600991.0</v>
      </c>
      <c r="G2662" s="1">
        <v>85660.0</v>
      </c>
      <c r="H2662" s="1">
        <v>3377.0</v>
      </c>
      <c r="I2662" s="1">
        <v>1030000.0</v>
      </c>
      <c r="J2662" s="1" t="s">
        <v>6040</v>
      </c>
    </row>
    <row r="2663">
      <c r="A2663" s="1" t="s">
        <v>8026</v>
      </c>
      <c r="B2663" s="1" t="s">
        <v>8027</v>
      </c>
      <c r="C2663" s="1" t="s">
        <v>8028</v>
      </c>
      <c r="D2663" s="1" t="s">
        <v>7844</v>
      </c>
      <c r="E2663" s="1" t="s">
        <v>7845</v>
      </c>
      <c r="F2663" s="1">
        <v>5704904.0</v>
      </c>
      <c r="G2663" s="1">
        <v>122500.0</v>
      </c>
      <c r="H2663" s="1">
        <v>4075.0</v>
      </c>
      <c r="I2663" s="1">
        <v>1030000.0</v>
      </c>
      <c r="J2663" s="1" t="s">
        <v>6040</v>
      </c>
    </row>
    <row r="2664">
      <c r="A2664" s="1" t="s">
        <v>8029</v>
      </c>
      <c r="B2664" s="1" t="s">
        <v>8030</v>
      </c>
      <c r="C2664" s="1" t="s">
        <v>8031</v>
      </c>
      <c r="D2664" s="1" t="s">
        <v>7844</v>
      </c>
      <c r="E2664" s="1" t="s">
        <v>7845</v>
      </c>
      <c r="F2664" s="1">
        <v>56901.0</v>
      </c>
      <c r="G2664" s="1">
        <v>3431.0</v>
      </c>
      <c r="H2664" s="1">
        <v>95.0</v>
      </c>
      <c r="I2664" s="1">
        <v>1030000.0</v>
      </c>
      <c r="J2664" s="1" t="s">
        <v>6040</v>
      </c>
    </row>
    <row r="2665">
      <c r="A2665" s="1" t="s">
        <v>8032</v>
      </c>
      <c r="B2665" s="1" t="s">
        <v>8033</v>
      </c>
      <c r="C2665" s="1" t="s">
        <v>8034</v>
      </c>
      <c r="D2665" s="1" t="s">
        <v>7844</v>
      </c>
      <c r="E2665" s="1" t="s">
        <v>7845</v>
      </c>
      <c r="F2665" s="1">
        <v>870856.0</v>
      </c>
      <c r="G2665" s="1">
        <v>33255.0</v>
      </c>
      <c r="H2665" s="1">
        <v>4540.0</v>
      </c>
      <c r="I2665" s="1">
        <v>1030000.0</v>
      </c>
      <c r="J2665" s="1" t="s">
        <v>6040</v>
      </c>
    </row>
    <row r="2666">
      <c r="A2666" s="1" t="s">
        <v>8035</v>
      </c>
      <c r="B2666" s="1" t="s">
        <v>8036</v>
      </c>
      <c r="C2666" s="1" t="s">
        <v>8037</v>
      </c>
      <c r="D2666" s="1" t="s">
        <v>7844</v>
      </c>
      <c r="E2666" s="1" t="s">
        <v>7845</v>
      </c>
      <c r="F2666" s="1">
        <v>161997.0</v>
      </c>
      <c r="G2666" s="1">
        <v>11660.0</v>
      </c>
      <c r="H2666" s="1">
        <v>677.0</v>
      </c>
      <c r="I2666" s="1">
        <v>1030000.0</v>
      </c>
      <c r="J2666" s="1" t="s">
        <v>6040</v>
      </c>
    </row>
    <row r="2667">
      <c r="A2667" s="1" t="s">
        <v>8038</v>
      </c>
      <c r="B2667" s="1" t="s">
        <v>8039</v>
      </c>
      <c r="C2667" s="1" t="s">
        <v>8040</v>
      </c>
      <c r="D2667" s="1" t="s">
        <v>7844</v>
      </c>
      <c r="E2667" s="1" t="s">
        <v>7845</v>
      </c>
      <c r="F2667" s="1">
        <v>2929888.0</v>
      </c>
      <c r="G2667" s="1">
        <v>154885.0</v>
      </c>
      <c r="H2667" s="1">
        <v>1723.0</v>
      </c>
      <c r="I2667" s="1">
        <v>1030000.0</v>
      </c>
      <c r="J2667" s="1" t="s">
        <v>6040</v>
      </c>
    </row>
    <row r="2668">
      <c r="A2668" s="1" t="s">
        <v>8041</v>
      </c>
      <c r="B2668" s="1" t="s">
        <v>8042</v>
      </c>
      <c r="C2668" s="1" t="s">
        <v>8043</v>
      </c>
      <c r="D2668" s="1" t="s">
        <v>7844</v>
      </c>
      <c r="E2668" s="1" t="s">
        <v>7845</v>
      </c>
      <c r="F2668" s="1">
        <v>3840165.0</v>
      </c>
      <c r="G2668" s="1">
        <v>53728.0</v>
      </c>
      <c r="H2668" s="1">
        <v>3038.0</v>
      </c>
      <c r="I2668" s="1">
        <v>1030000.0</v>
      </c>
      <c r="J2668" s="1" t="s">
        <v>6040</v>
      </c>
    </row>
    <row r="2669">
      <c r="A2669" s="1" t="s">
        <v>8044</v>
      </c>
      <c r="B2669" s="1" t="s">
        <v>8045</v>
      </c>
      <c r="C2669" s="1" t="s">
        <v>8046</v>
      </c>
      <c r="D2669" s="1" t="s">
        <v>7844</v>
      </c>
      <c r="E2669" s="1" t="s">
        <v>7845</v>
      </c>
      <c r="F2669" s="1">
        <v>44711.0</v>
      </c>
      <c r="G2669" s="1">
        <v>2583.0</v>
      </c>
      <c r="H2669" s="1">
        <v>85.0</v>
      </c>
      <c r="I2669" s="1">
        <v>1030000.0</v>
      </c>
      <c r="J2669" s="1" t="s">
        <v>6040</v>
      </c>
    </row>
    <row r="2670">
      <c r="A2670" s="1" t="s">
        <v>8047</v>
      </c>
      <c r="B2670" s="1" t="s">
        <v>8048</v>
      </c>
      <c r="C2670" s="1" t="s">
        <v>8049</v>
      </c>
      <c r="D2670" s="1" t="s">
        <v>7844</v>
      </c>
      <c r="E2670" s="1" t="s">
        <v>7845</v>
      </c>
      <c r="F2670" s="1">
        <v>521099.0</v>
      </c>
      <c r="G2670" s="1">
        <v>12075.0</v>
      </c>
      <c r="H2670" s="1">
        <v>669.0</v>
      </c>
      <c r="I2670" s="1">
        <v>1030000.0</v>
      </c>
      <c r="J2670" s="1" t="s">
        <v>6040</v>
      </c>
    </row>
    <row r="2671">
      <c r="A2671" s="1" t="s">
        <v>8050</v>
      </c>
      <c r="B2671" s="1" t="s">
        <v>8051</v>
      </c>
      <c r="C2671" s="1" t="s">
        <v>8052</v>
      </c>
      <c r="D2671" s="1" t="s">
        <v>7844</v>
      </c>
      <c r="E2671" s="1" t="s">
        <v>7845</v>
      </c>
      <c r="F2671" s="1">
        <v>135897.0</v>
      </c>
      <c r="G2671" s="1">
        <v>8422.0</v>
      </c>
      <c r="H2671" s="1">
        <v>602.0</v>
      </c>
      <c r="I2671" s="1">
        <v>1030000.0</v>
      </c>
      <c r="J2671" s="1" t="s">
        <v>6040</v>
      </c>
    </row>
    <row r="2672">
      <c r="A2672" s="1" t="s">
        <v>8053</v>
      </c>
      <c r="B2672" s="1" t="s">
        <v>8054</v>
      </c>
      <c r="C2672" s="1" t="s">
        <v>8055</v>
      </c>
      <c r="D2672" s="1" t="s">
        <v>7844</v>
      </c>
      <c r="E2672" s="1" t="s">
        <v>7845</v>
      </c>
      <c r="F2672" s="1">
        <v>4903700.0</v>
      </c>
      <c r="G2672" s="1">
        <v>117245.0</v>
      </c>
      <c r="H2672" s="1">
        <v>2622.0</v>
      </c>
      <c r="I2672" s="1">
        <v>1030000.0</v>
      </c>
      <c r="J2672" s="1" t="s">
        <v>6040</v>
      </c>
    </row>
    <row r="2673">
      <c r="A2673" s="1" t="s">
        <v>8056</v>
      </c>
      <c r="B2673" s="1" t="s">
        <v>8057</v>
      </c>
      <c r="C2673" s="1" t="s">
        <v>8058</v>
      </c>
      <c r="D2673" s="1" t="s">
        <v>7844</v>
      </c>
      <c r="E2673" s="1" t="s">
        <v>7845</v>
      </c>
      <c r="F2673" s="1">
        <v>169833.0</v>
      </c>
      <c r="G2673" s="1">
        <v>7008.0</v>
      </c>
      <c r="H2673" s="1">
        <v>642.0</v>
      </c>
      <c r="I2673" s="1">
        <v>1030000.0</v>
      </c>
      <c r="J2673" s="1" t="s">
        <v>6040</v>
      </c>
    </row>
    <row r="2674">
      <c r="A2674" s="1" t="s">
        <v>8059</v>
      </c>
      <c r="B2674" s="1" t="s">
        <v>8060</v>
      </c>
      <c r="C2674" s="1" t="s">
        <v>8061</v>
      </c>
      <c r="D2674" s="1" t="s">
        <v>7844</v>
      </c>
      <c r="E2674" s="1" t="s">
        <v>7845</v>
      </c>
      <c r="F2674" s="1">
        <v>56592.0</v>
      </c>
      <c r="G2674" s="1">
        <v>2771.0</v>
      </c>
      <c r="H2674" s="1">
        <v>122.0</v>
      </c>
      <c r="I2674" s="1">
        <v>1030000.0</v>
      </c>
      <c r="J2674" s="1" t="s">
        <v>6040</v>
      </c>
    </row>
    <row r="2675">
      <c r="A2675" s="1" t="s">
        <v>8062</v>
      </c>
      <c r="B2675" s="1" t="s">
        <v>8063</v>
      </c>
      <c r="C2675" s="1" t="s">
        <v>8064</v>
      </c>
      <c r="D2675" s="1" t="s">
        <v>7844</v>
      </c>
      <c r="E2675" s="1" t="s">
        <v>7845</v>
      </c>
      <c r="F2675" s="1">
        <v>66684.0</v>
      </c>
      <c r="G2675" s="1">
        <v>4514.0</v>
      </c>
      <c r="H2675" s="1">
        <v>106.0</v>
      </c>
      <c r="I2675" s="1">
        <v>1030000.0</v>
      </c>
      <c r="J2675" s="1" t="s">
        <v>6040</v>
      </c>
    </row>
    <row r="2676">
      <c r="A2676" s="1" t="s">
        <v>8065</v>
      </c>
      <c r="B2676" s="1" t="s">
        <v>8066</v>
      </c>
      <c r="C2676" s="1" t="s">
        <v>8067</v>
      </c>
      <c r="D2676" s="1" t="s">
        <v>7844</v>
      </c>
      <c r="E2676" s="1" t="s">
        <v>7845</v>
      </c>
      <c r="F2676" s="1">
        <v>110516.0</v>
      </c>
      <c r="G2676" s="1">
        <v>4180.0</v>
      </c>
      <c r="H2676" s="1">
        <v>47.0</v>
      </c>
      <c r="I2676" s="1">
        <v>1030000.0</v>
      </c>
      <c r="J2676" s="1" t="s">
        <v>6040</v>
      </c>
    </row>
    <row r="2677">
      <c r="A2677" s="1" t="s">
        <v>8068</v>
      </c>
      <c r="B2677" s="1" t="s">
        <v>8069</v>
      </c>
      <c r="C2677" s="1" t="s">
        <v>8070</v>
      </c>
      <c r="D2677" s="1" t="s">
        <v>7844</v>
      </c>
      <c r="E2677" s="1" t="s">
        <v>7845</v>
      </c>
      <c r="F2677" s="1">
        <v>1112608.0</v>
      </c>
      <c r="G2677" s="1">
        <v>30007.0</v>
      </c>
      <c r="H2677" s="1">
        <v>1581.0</v>
      </c>
      <c r="I2677" s="1">
        <v>1030000.0</v>
      </c>
      <c r="J2677" s="1" t="s">
        <v>6040</v>
      </c>
    </row>
    <row r="2678">
      <c r="A2678" s="1" t="s">
        <v>8071</v>
      </c>
      <c r="B2678" s="1" t="s">
        <v>8072</v>
      </c>
      <c r="C2678" s="1" t="s">
        <v>8073</v>
      </c>
      <c r="D2678" s="1" t="s">
        <v>7844</v>
      </c>
      <c r="E2678" s="1" t="s">
        <v>7845</v>
      </c>
      <c r="F2678" s="1">
        <v>28890.0</v>
      </c>
      <c r="G2678" s="1">
        <v>1913.0</v>
      </c>
      <c r="H2678" s="1">
        <v>37.0</v>
      </c>
      <c r="I2678" s="1">
        <v>1030000.0</v>
      </c>
      <c r="J2678" s="1" t="s">
        <v>6040</v>
      </c>
    </row>
    <row r="2679">
      <c r="A2679" s="1" t="s">
        <v>8074</v>
      </c>
      <c r="B2679" s="1" t="s">
        <v>8075</v>
      </c>
      <c r="C2679" s="1" t="s">
        <v>8076</v>
      </c>
      <c r="D2679" s="1" t="s">
        <v>7844</v>
      </c>
      <c r="E2679" s="1" t="s">
        <v>7845</v>
      </c>
      <c r="F2679" s="1">
        <v>1118041.0</v>
      </c>
      <c r="G2679" s="1">
        <v>35758.0</v>
      </c>
      <c r="H2679" s="1">
        <v>4782.0</v>
      </c>
      <c r="I2679" s="1">
        <v>1030000.0</v>
      </c>
      <c r="J2679" s="1" t="s">
        <v>6040</v>
      </c>
    </row>
    <row r="2680">
      <c r="A2680" s="1" t="s">
        <v>8077</v>
      </c>
      <c r="B2680" s="1" t="s">
        <v>8078</v>
      </c>
      <c r="C2680" s="1" t="s">
        <v>8079</v>
      </c>
      <c r="D2680" s="1" t="s">
        <v>7844</v>
      </c>
      <c r="E2680" s="1" t="s">
        <v>7845</v>
      </c>
      <c r="F2680" s="1">
        <v>25591.0</v>
      </c>
      <c r="G2680" s="1">
        <v>1170.0</v>
      </c>
      <c r="H2680" s="1">
        <v>67.0</v>
      </c>
      <c r="I2680" s="1">
        <v>1030000.0</v>
      </c>
      <c r="J2680" s="1" t="s">
        <v>6040</v>
      </c>
    </row>
    <row r="2681">
      <c r="A2681" s="1" t="s">
        <v>8080</v>
      </c>
      <c r="B2681" s="1" t="s">
        <v>8081</v>
      </c>
      <c r="C2681" s="1" t="s">
        <v>8082</v>
      </c>
      <c r="D2681" s="1" t="s">
        <v>7844</v>
      </c>
      <c r="E2681" s="1" t="s">
        <v>7845</v>
      </c>
      <c r="F2681" s="1">
        <v>1493010.0</v>
      </c>
      <c r="G2681" s="1">
        <v>15748.0</v>
      </c>
      <c r="H2681" s="1">
        <v>1363.0</v>
      </c>
      <c r="I2681" s="1">
        <v>1030000.0</v>
      </c>
      <c r="J2681" s="1" t="s">
        <v>6040</v>
      </c>
    </row>
    <row r="2682">
      <c r="A2682" s="1" t="s">
        <v>8083</v>
      </c>
      <c r="B2682" s="1" t="s">
        <v>8084</v>
      </c>
      <c r="C2682" s="1" t="s">
        <v>8085</v>
      </c>
      <c r="D2682" s="1" t="s">
        <v>7844</v>
      </c>
      <c r="E2682" s="1" t="s">
        <v>7845</v>
      </c>
      <c r="F2682" s="1">
        <v>651769.0</v>
      </c>
      <c r="G2682" s="1">
        <v>37092.0</v>
      </c>
      <c r="H2682" s="1">
        <v>534.0</v>
      </c>
      <c r="I2682" s="1">
        <v>1030000.0</v>
      </c>
      <c r="J2682" s="1" t="s">
        <v>6040</v>
      </c>
    </row>
    <row r="2683">
      <c r="A2683" s="1" t="s">
        <v>8086</v>
      </c>
      <c r="B2683" s="1" t="s">
        <v>8087</v>
      </c>
      <c r="C2683" s="1" t="s">
        <v>8088</v>
      </c>
      <c r="D2683" s="1" t="s">
        <v>7844</v>
      </c>
      <c r="E2683" s="1" t="s">
        <v>7845</v>
      </c>
      <c r="F2683" s="1">
        <v>603038.0</v>
      </c>
      <c r="G2683" s="1">
        <v>9493.0</v>
      </c>
      <c r="H2683" s="1">
        <v>942.0</v>
      </c>
      <c r="I2683" s="1">
        <v>1030000.0</v>
      </c>
      <c r="J2683" s="1" t="s">
        <v>6040</v>
      </c>
    </row>
    <row r="2684">
      <c r="A2684" s="1" t="s">
        <v>8089</v>
      </c>
      <c r="B2684" s="1" t="s">
        <v>8090</v>
      </c>
      <c r="C2684" s="1" t="s">
        <v>8091</v>
      </c>
      <c r="D2684" s="1" t="s">
        <v>7844</v>
      </c>
      <c r="E2684" s="1" t="s">
        <v>7845</v>
      </c>
      <c r="F2684" s="1">
        <v>758135.0</v>
      </c>
      <c r="G2684" s="1">
        <v>9253.0</v>
      </c>
      <c r="H2684" s="1">
        <v>391.0</v>
      </c>
      <c r="I2684" s="1">
        <v>1030000.0</v>
      </c>
      <c r="J2684" s="1" t="s">
        <v>6040</v>
      </c>
    </row>
    <row r="2685">
      <c r="A2685" s="1" t="s">
        <v>8092</v>
      </c>
      <c r="B2685" s="1" t="s">
        <v>8093</v>
      </c>
      <c r="C2685" s="1" t="s">
        <v>8094</v>
      </c>
      <c r="D2685" s="1" t="s">
        <v>7844</v>
      </c>
      <c r="E2685" s="1" t="s">
        <v>7845</v>
      </c>
      <c r="F2685" s="1">
        <v>25212.0</v>
      </c>
      <c r="G2685" s="1">
        <v>1502.0</v>
      </c>
      <c r="H2685" s="1">
        <v>25.0</v>
      </c>
      <c r="I2685" s="1">
        <v>1030000.0</v>
      </c>
      <c r="J2685" s="1" t="s">
        <v>6040</v>
      </c>
    </row>
    <row r="2686">
      <c r="A2686" s="1" t="s">
        <v>8095</v>
      </c>
      <c r="B2686" s="1" t="s">
        <v>8096</v>
      </c>
      <c r="C2686" s="1" t="s">
        <v>8097</v>
      </c>
      <c r="D2686" s="1" t="s">
        <v>7844</v>
      </c>
      <c r="E2686" s="1" t="s">
        <v>7845</v>
      </c>
      <c r="F2686" s="1">
        <v>81458.0</v>
      </c>
      <c r="G2686" s="1">
        <v>3102.0</v>
      </c>
      <c r="H2686" s="1">
        <v>100.0</v>
      </c>
      <c r="I2686" s="1">
        <v>1030000.0</v>
      </c>
      <c r="J2686" s="1" t="s">
        <v>6040</v>
      </c>
    </row>
    <row r="2687">
      <c r="A2687" s="1" t="s">
        <v>8098</v>
      </c>
      <c r="B2687" s="1" t="s">
        <v>8099</v>
      </c>
      <c r="C2687" s="1" t="s">
        <v>8100</v>
      </c>
      <c r="D2687" s="1" t="s">
        <v>7844</v>
      </c>
      <c r="E2687" s="1" t="s">
        <v>7845</v>
      </c>
      <c r="F2687" s="1">
        <v>235865.0</v>
      </c>
      <c r="G2687" s="1">
        <v>7465.0</v>
      </c>
      <c r="H2687" s="1">
        <v>2475.0</v>
      </c>
      <c r="I2687" s="1">
        <v>1030000.0</v>
      </c>
      <c r="J2687" s="1" t="s">
        <v>6040</v>
      </c>
    </row>
    <row r="2688">
      <c r="A2688" s="1" t="s">
        <v>8101</v>
      </c>
      <c r="B2688" s="1" t="s">
        <v>8102</v>
      </c>
      <c r="C2688" s="1" t="s">
        <v>8103</v>
      </c>
      <c r="D2688" s="1" t="s">
        <v>7844</v>
      </c>
      <c r="E2688" s="1" t="s">
        <v>7845</v>
      </c>
      <c r="F2688" s="1">
        <v>216881.0</v>
      </c>
      <c r="G2688" s="1">
        <v>4722.0</v>
      </c>
      <c r="H2688" s="1">
        <v>512.0</v>
      </c>
      <c r="I2688" s="1">
        <v>1030000.0</v>
      </c>
      <c r="J2688" s="1" t="s">
        <v>6040</v>
      </c>
    </row>
    <row r="2689">
      <c r="A2689" s="1" t="s">
        <v>8104</v>
      </c>
      <c r="B2689" s="1" t="s">
        <v>8105</v>
      </c>
      <c r="C2689" s="1" t="s">
        <v>8106</v>
      </c>
      <c r="D2689" s="1" t="s">
        <v>7844</v>
      </c>
      <c r="E2689" s="1" t="s">
        <v>7845</v>
      </c>
      <c r="F2689" s="1">
        <v>746334.0</v>
      </c>
      <c r="G2689" s="1">
        <v>28460.0</v>
      </c>
      <c r="H2689" s="1">
        <v>742.0</v>
      </c>
      <c r="I2689" s="1">
        <v>1030000.0</v>
      </c>
      <c r="J2689" s="1" t="s">
        <v>6040</v>
      </c>
    </row>
    <row r="2690">
      <c r="A2690" s="1" t="s">
        <v>8107</v>
      </c>
      <c r="B2690" s="1" t="s">
        <v>8108</v>
      </c>
      <c r="C2690" s="1" t="s">
        <v>8109</v>
      </c>
      <c r="D2690" s="1" t="s">
        <v>7844</v>
      </c>
      <c r="E2690" s="1" t="s">
        <v>7845</v>
      </c>
      <c r="F2690" s="1">
        <v>20658.0</v>
      </c>
      <c r="G2690" s="1">
        <v>1061.0</v>
      </c>
      <c r="H2690" s="1">
        <v>36.0</v>
      </c>
      <c r="I2690" s="1">
        <v>1030000.0</v>
      </c>
      <c r="J2690" s="1" t="s">
        <v>6040</v>
      </c>
    </row>
    <row r="2691">
      <c r="A2691" s="1" t="s">
        <v>8110</v>
      </c>
      <c r="B2691" s="1" t="s">
        <v>8111</v>
      </c>
      <c r="C2691" s="1" t="s">
        <v>8112</v>
      </c>
      <c r="D2691" s="1" t="s">
        <v>7844</v>
      </c>
      <c r="E2691" s="1" t="s">
        <v>7845</v>
      </c>
      <c r="F2691" s="1">
        <v>21379.0</v>
      </c>
      <c r="G2691" s="1">
        <v>1719.0</v>
      </c>
      <c r="H2691" s="1">
        <v>66.0</v>
      </c>
      <c r="I2691" s="1">
        <v>1030000.0</v>
      </c>
      <c r="J2691" s="1" t="s">
        <v>6040</v>
      </c>
    </row>
    <row r="2692">
      <c r="A2692" s="1" t="s">
        <v>8113</v>
      </c>
      <c r="B2692" s="1" t="s">
        <v>8114</v>
      </c>
      <c r="C2692" s="1" t="s">
        <v>8115</v>
      </c>
      <c r="D2692" s="1" t="s">
        <v>7844</v>
      </c>
      <c r="E2692" s="1" t="s">
        <v>7845</v>
      </c>
      <c r="F2692" s="1">
        <v>2548451.0</v>
      </c>
      <c r="G2692" s="1">
        <v>16349.0</v>
      </c>
      <c r="H2692" s="1">
        <v>757.0</v>
      </c>
      <c r="I2692" s="1">
        <v>1030000.0</v>
      </c>
      <c r="J2692" s="1" t="s">
        <v>6040</v>
      </c>
    </row>
    <row r="2693">
      <c r="A2693" s="1" t="s">
        <v>8116</v>
      </c>
      <c r="B2693" s="1" t="s">
        <v>8117</v>
      </c>
      <c r="C2693" s="1" t="s">
        <v>8118</v>
      </c>
      <c r="D2693" s="1" t="s">
        <v>7844</v>
      </c>
      <c r="E2693" s="1" t="s">
        <v>7845</v>
      </c>
      <c r="F2693" s="1">
        <v>67800.0</v>
      </c>
      <c r="G2693" s="1">
        <v>3550.0</v>
      </c>
      <c r="H2693" s="1">
        <v>211.0</v>
      </c>
      <c r="I2693" s="1">
        <v>1030000.0</v>
      </c>
      <c r="J2693" s="1" t="s">
        <v>6040</v>
      </c>
    </row>
    <row r="2694">
      <c r="A2694" s="1" t="s">
        <v>8119</v>
      </c>
      <c r="B2694" s="1" t="s">
        <v>8120</v>
      </c>
      <c r="C2694" s="1" t="s">
        <v>8121</v>
      </c>
      <c r="D2694" s="1" t="s">
        <v>7844</v>
      </c>
      <c r="E2694" s="1" t="s">
        <v>7845</v>
      </c>
      <c r="F2694" s="1">
        <v>536993.0</v>
      </c>
      <c r="G2694" s="1">
        <v>14582.0</v>
      </c>
      <c r="H2694" s="1">
        <v>2556.0</v>
      </c>
      <c r="I2694" s="1">
        <v>1030000.0</v>
      </c>
      <c r="J2694" s="1" t="s">
        <v>6040</v>
      </c>
    </row>
    <row r="2695">
      <c r="A2695" s="1" t="s">
        <v>8122</v>
      </c>
      <c r="B2695" s="1" t="s">
        <v>8123</v>
      </c>
      <c r="C2695" s="1" t="s">
        <v>8124</v>
      </c>
      <c r="D2695" s="1" t="s">
        <v>7844</v>
      </c>
      <c r="E2695" s="1" t="s">
        <v>7845</v>
      </c>
      <c r="F2695" s="1">
        <v>93811.0</v>
      </c>
      <c r="G2695" s="1">
        <v>4555.0</v>
      </c>
      <c r="H2695" s="1">
        <v>251.0</v>
      </c>
      <c r="I2695" s="1">
        <v>1030000.0</v>
      </c>
      <c r="J2695" s="1" t="s">
        <v>6040</v>
      </c>
    </row>
    <row r="2696">
      <c r="A2696" s="1" t="s">
        <v>8125</v>
      </c>
      <c r="B2696" s="1" t="s">
        <v>8126</v>
      </c>
      <c r="C2696" s="1" t="s">
        <v>8127</v>
      </c>
      <c r="D2696" s="1" t="s">
        <v>7844</v>
      </c>
      <c r="E2696" s="1" t="s">
        <v>7845</v>
      </c>
      <c r="F2696" s="1">
        <v>13802.0</v>
      </c>
      <c r="G2696" s="1">
        <v>702.0</v>
      </c>
      <c r="H2696" s="1">
        <v>39.0</v>
      </c>
      <c r="I2696" s="1">
        <v>1030000.0</v>
      </c>
      <c r="J2696" s="1" t="s">
        <v>6040</v>
      </c>
    </row>
    <row r="2697">
      <c r="A2697" s="1" t="s">
        <v>8128</v>
      </c>
      <c r="B2697" s="1" t="s">
        <v>8129</v>
      </c>
      <c r="C2697" s="1" t="s">
        <v>8130</v>
      </c>
      <c r="D2697" s="1" t="s">
        <v>7844</v>
      </c>
      <c r="E2697" s="1" t="s">
        <v>7845</v>
      </c>
      <c r="F2697" s="1">
        <v>40295.0</v>
      </c>
      <c r="G2697" s="1">
        <v>2517.0</v>
      </c>
      <c r="H2697" s="1">
        <v>49.0</v>
      </c>
      <c r="I2697" s="1">
        <v>1030000.0</v>
      </c>
      <c r="J2697" s="1" t="s">
        <v>6040</v>
      </c>
    </row>
    <row r="2698">
      <c r="A2698" s="1" t="s">
        <v>8131</v>
      </c>
      <c r="B2698" s="1" t="s">
        <v>8132</v>
      </c>
      <c r="C2698" s="1" t="s">
        <v>8133</v>
      </c>
      <c r="D2698" s="1" t="s">
        <v>7844</v>
      </c>
      <c r="E2698" s="1" t="s">
        <v>7845</v>
      </c>
      <c r="F2698" s="1">
        <v>809095.0</v>
      </c>
      <c r="G2698" s="1">
        <v>10434.0</v>
      </c>
      <c r="H2698" s="1">
        <v>719.0</v>
      </c>
      <c r="I2698" s="1">
        <v>1030000.0</v>
      </c>
      <c r="J2698" s="1" t="s">
        <v>6040</v>
      </c>
    </row>
    <row r="2699">
      <c r="A2699" s="1" t="s">
        <v>8134</v>
      </c>
      <c r="B2699" s="1" t="s">
        <v>8135</v>
      </c>
      <c r="C2699" s="1" t="s">
        <v>8136</v>
      </c>
      <c r="D2699" s="1" t="s">
        <v>7844</v>
      </c>
      <c r="E2699" s="1" t="s">
        <v>7845</v>
      </c>
      <c r="F2699" s="1">
        <v>614289.0</v>
      </c>
      <c r="G2699" s="1">
        <v>11667.0</v>
      </c>
      <c r="H2699" s="1">
        <v>805.0</v>
      </c>
      <c r="I2699" s="1">
        <v>1030000.0</v>
      </c>
      <c r="J2699" s="1" t="s">
        <v>6040</v>
      </c>
    </row>
    <row r="2700">
      <c r="A2700" s="1" t="s">
        <v>8137</v>
      </c>
      <c r="B2700" s="1" t="s">
        <v>8138</v>
      </c>
      <c r="C2700" s="1" t="s">
        <v>8139</v>
      </c>
      <c r="D2700" s="1" t="s">
        <v>7844</v>
      </c>
      <c r="E2700" s="1" t="s">
        <v>7845</v>
      </c>
      <c r="F2700" s="1">
        <v>40170.0</v>
      </c>
      <c r="G2700" s="1">
        <v>2697.0</v>
      </c>
      <c r="H2700" s="1">
        <v>44.0</v>
      </c>
      <c r="I2700" s="1">
        <v>1030000.0</v>
      </c>
      <c r="J2700" s="1" t="s">
        <v>6040</v>
      </c>
    </row>
    <row r="2701">
      <c r="A2701" s="1" t="s">
        <v>8140</v>
      </c>
      <c r="B2701" s="1" t="s">
        <v>8141</v>
      </c>
      <c r="C2701" s="1" t="s">
        <v>8142</v>
      </c>
      <c r="D2701" s="1" t="s">
        <v>7844</v>
      </c>
      <c r="E2701" s="1" t="s">
        <v>7845</v>
      </c>
      <c r="F2701" s="1">
        <v>41265.0</v>
      </c>
      <c r="G2701" s="1">
        <v>2302.0</v>
      </c>
      <c r="H2701" s="1">
        <v>71.0</v>
      </c>
      <c r="I2701" s="1">
        <v>1030000.0</v>
      </c>
      <c r="J2701" s="1" t="s">
        <v>6040</v>
      </c>
    </row>
    <row r="2702">
      <c r="A2702" s="1" t="s">
        <v>8143</v>
      </c>
      <c r="B2702" s="1" t="s">
        <v>8144</v>
      </c>
      <c r="C2702" s="1" t="s">
        <v>8145</v>
      </c>
      <c r="D2702" s="1" t="s">
        <v>7844</v>
      </c>
      <c r="E2702" s="1" t="s">
        <v>7845</v>
      </c>
      <c r="F2702" s="1">
        <v>20430.0</v>
      </c>
      <c r="G2702" s="1">
        <v>1035.0</v>
      </c>
      <c r="H2702" s="1">
        <v>32.0</v>
      </c>
      <c r="I2702" s="1">
        <v>1030000.0</v>
      </c>
      <c r="J2702" s="1" t="s">
        <v>6040</v>
      </c>
    </row>
    <row r="2703">
      <c r="A2703" s="1" t="s">
        <v>8146</v>
      </c>
      <c r="B2703" s="1" t="s">
        <v>8147</v>
      </c>
      <c r="C2703" s="1" t="s">
        <v>8148</v>
      </c>
      <c r="D2703" s="1" t="s">
        <v>7844</v>
      </c>
      <c r="E2703" s="1" t="s">
        <v>7845</v>
      </c>
      <c r="F2703" s="1">
        <v>401538.0</v>
      </c>
      <c r="G2703" s="1">
        <v>2289.0</v>
      </c>
      <c r="H2703" s="1">
        <v>105.0</v>
      </c>
      <c r="I2703" s="1">
        <v>1030000.0</v>
      </c>
      <c r="J2703" s="1" t="s">
        <v>6040</v>
      </c>
    </row>
    <row r="2704">
      <c r="A2704" s="1" t="s">
        <v>8149</v>
      </c>
      <c r="B2704" s="1" t="s">
        <v>8150</v>
      </c>
      <c r="C2704" s="1" t="s">
        <v>8151</v>
      </c>
      <c r="D2704" s="1" t="s">
        <v>7844</v>
      </c>
      <c r="E2704" s="1" t="s">
        <v>7845</v>
      </c>
      <c r="F2704" s="1">
        <v>76906.0</v>
      </c>
      <c r="G2704" s="1">
        <v>3858.0</v>
      </c>
      <c r="H2704" s="1">
        <v>92.0</v>
      </c>
      <c r="I2704" s="1">
        <v>1030000.0</v>
      </c>
      <c r="J2704" s="1" t="s">
        <v>6040</v>
      </c>
    </row>
    <row r="2705">
      <c r="A2705" s="1" t="s">
        <v>8152</v>
      </c>
      <c r="B2705" s="1" t="s">
        <v>8153</v>
      </c>
      <c r="C2705" s="1" t="s">
        <v>8154</v>
      </c>
      <c r="D2705" s="1" t="s">
        <v>7844</v>
      </c>
      <c r="E2705" s="1" t="s">
        <v>7845</v>
      </c>
      <c r="F2705" s="1">
        <v>256578.0</v>
      </c>
      <c r="G2705" s="1">
        <v>6920.0</v>
      </c>
      <c r="H2705" s="1">
        <v>783.0</v>
      </c>
      <c r="I2705" s="1">
        <v>1030000.0</v>
      </c>
      <c r="J2705" s="1" t="s">
        <v>6040</v>
      </c>
    </row>
    <row r="2706">
      <c r="A2706" s="1" t="s">
        <v>8155</v>
      </c>
      <c r="B2706" s="1" t="s">
        <v>8156</v>
      </c>
      <c r="C2706" s="1" t="s">
        <v>8157</v>
      </c>
      <c r="D2706" s="1" t="s">
        <v>7844</v>
      </c>
      <c r="E2706" s="1" t="s">
        <v>7845</v>
      </c>
      <c r="F2706" s="1">
        <v>1375661.0</v>
      </c>
      <c r="G2706" s="1">
        <v>17451.0</v>
      </c>
      <c r="H2706" s="1">
        <v>1383.0</v>
      </c>
      <c r="I2706" s="1">
        <v>1030000.0</v>
      </c>
      <c r="J2706" s="1" t="s">
        <v>6040</v>
      </c>
    </row>
    <row r="2707">
      <c r="A2707" s="1" t="s">
        <v>8158</v>
      </c>
      <c r="B2707" s="1" t="s">
        <v>8159</v>
      </c>
      <c r="C2707" s="1" t="s">
        <v>8160</v>
      </c>
      <c r="D2707" s="1" t="s">
        <v>7844</v>
      </c>
      <c r="E2707" s="1" t="s">
        <v>7845</v>
      </c>
      <c r="F2707" s="1">
        <v>24658.0</v>
      </c>
      <c r="G2707" s="1">
        <v>1113.0</v>
      </c>
      <c r="H2707" s="1">
        <v>48.0</v>
      </c>
      <c r="I2707" s="1">
        <v>1030000.0</v>
      </c>
      <c r="J2707" s="1" t="s">
        <v>6040</v>
      </c>
    </row>
    <row r="2708">
      <c r="A2708" s="1" t="s">
        <v>8161</v>
      </c>
      <c r="B2708" s="1" t="s">
        <v>8162</v>
      </c>
      <c r="C2708" s="1" t="s">
        <v>8163</v>
      </c>
      <c r="D2708" s="1" t="s">
        <v>7844</v>
      </c>
      <c r="E2708" s="1" t="s">
        <v>7845</v>
      </c>
      <c r="F2708" s="1">
        <v>26353.0</v>
      </c>
      <c r="G2708" s="1">
        <v>1471.0</v>
      </c>
      <c r="H2708" s="1">
        <v>56.0</v>
      </c>
      <c r="I2708" s="1">
        <v>1030000.0</v>
      </c>
      <c r="J2708" s="1" t="s">
        <v>6040</v>
      </c>
    </row>
    <row r="2709">
      <c r="A2709" s="1" t="s">
        <v>8164</v>
      </c>
      <c r="B2709" s="1" t="s">
        <v>8165</v>
      </c>
      <c r="C2709" s="1" t="s">
        <v>8166</v>
      </c>
      <c r="D2709" s="1" t="s">
        <v>7844</v>
      </c>
      <c r="E2709" s="1" t="s">
        <v>7845</v>
      </c>
      <c r="F2709" s="1">
        <v>217897.0</v>
      </c>
      <c r="G2709" s="1">
        <v>6563.0</v>
      </c>
      <c r="H2709" s="1">
        <v>572.0</v>
      </c>
      <c r="I2709" s="1">
        <v>1030000.0</v>
      </c>
      <c r="J2709" s="1" t="s">
        <v>6040</v>
      </c>
    </row>
    <row r="2710">
      <c r="A2710" s="1" t="s">
        <v>8167</v>
      </c>
      <c r="B2710" s="1" t="s">
        <v>8168</v>
      </c>
      <c r="C2710" s="1" t="s">
        <v>8169</v>
      </c>
      <c r="D2710" s="1" t="s">
        <v>7844</v>
      </c>
      <c r="E2710" s="1" t="s">
        <v>7845</v>
      </c>
      <c r="F2710" s="1">
        <v>53744.0</v>
      </c>
      <c r="G2710" s="1">
        <v>2356.0</v>
      </c>
      <c r="H2710" s="1">
        <v>56.0</v>
      </c>
      <c r="I2710" s="1">
        <v>1030000.0</v>
      </c>
      <c r="J2710" s="1" t="s">
        <v>6040</v>
      </c>
    </row>
    <row r="2711">
      <c r="A2711" s="1" t="s">
        <v>8170</v>
      </c>
      <c r="B2711" s="1" t="s">
        <v>8171</v>
      </c>
      <c r="C2711" s="1" t="s">
        <v>8172</v>
      </c>
      <c r="D2711" s="1" t="s">
        <v>7844</v>
      </c>
      <c r="E2711" s="1" t="s">
        <v>7845</v>
      </c>
      <c r="F2711" s="1">
        <v>1592143.0</v>
      </c>
      <c r="G2711" s="1">
        <v>28634.0</v>
      </c>
      <c r="H2711" s="1">
        <v>3844.0</v>
      </c>
      <c r="I2711" s="1">
        <v>1030000.0</v>
      </c>
      <c r="J2711" s="1" t="s">
        <v>6040</v>
      </c>
    </row>
    <row r="2712">
      <c r="A2712" s="1" t="s">
        <v>8173</v>
      </c>
      <c r="B2712" s="1" t="s">
        <v>8174</v>
      </c>
      <c r="C2712" s="1" t="s">
        <v>8175</v>
      </c>
      <c r="D2712" s="1" t="s">
        <v>7844</v>
      </c>
      <c r="E2712" s="1" t="s">
        <v>7845</v>
      </c>
      <c r="F2712" s="1">
        <v>351323.0</v>
      </c>
      <c r="G2712" s="1">
        <v>16639.0</v>
      </c>
      <c r="H2712" s="1">
        <v>339.0</v>
      </c>
      <c r="I2712" s="1">
        <v>1030000.0</v>
      </c>
      <c r="J2712" s="1" t="s">
        <v>6040</v>
      </c>
    </row>
    <row r="2713">
      <c r="A2713" s="1" t="s">
        <v>8176</v>
      </c>
      <c r="B2713" s="1" t="s">
        <v>8177</v>
      </c>
      <c r="C2713" s="1" t="s">
        <v>8178</v>
      </c>
      <c r="D2713" s="1" t="s">
        <v>7844</v>
      </c>
      <c r="E2713" s="1" t="s">
        <v>7845</v>
      </c>
      <c r="F2713" s="1">
        <v>64477.0</v>
      </c>
      <c r="G2713" s="1">
        <v>2434.0</v>
      </c>
      <c r="H2713" s="1">
        <v>68.0</v>
      </c>
      <c r="I2713" s="1">
        <v>1030000.0</v>
      </c>
      <c r="J2713" s="1" t="s">
        <v>6040</v>
      </c>
    </row>
    <row r="2714">
      <c r="A2714" s="1" t="s">
        <v>8179</v>
      </c>
      <c r="B2714" s="1" t="s">
        <v>8180</v>
      </c>
      <c r="C2714" s="1" t="s">
        <v>8181</v>
      </c>
      <c r="D2714" s="1" t="s">
        <v>7844</v>
      </c>
      <c r="E2714" s="1" t="s">
        <v>7845</v>
      </c>
      <c r="F2714" s="1">
        <v>78815.0</v>
      </c>
      <c r="G2714" s="1">
        <v>2777.0</v>
      </c>
      <c r="H2714" s="1">
        <v>101.0</v>
      </c>
      <c r="I2714" s="1">
        <v>1030000.0</v>
      </c>
      <c r="J2714" s="1" t="s">
        <v>6040</v>
      </c>
    </row>
    <row r="2715">
      <c r="A2715" s="1" t="s">
        <v>8182</v>
      </c>
      <c r="B2715" s="1" t="s">
        <v>8183</v>
      </c>
      <c r="C2715" s="1" t="s">
        <v>8184</v>
      </c>
      <c r="D2715" s="1" t="s">
        <v>7844</v>
      </c>
      <c r="E2715" s="1" t="s">
        <v>7845</v>
      </c>
      <c r="F2715" s="1">
        <v>773945.0</v>
      </c>
      <c r="G2715" s="1">
        <v>26268.0</v>
      </c>
      <c r="H2715" s="1">
        <v>1380.0</v>
      </c>
      <c r="I2715" s="1">
        <v>1030000.0</v>
      </c>
      <c r="J2715" s="1" t="s">
        <v>6040</v>
      </c>
    </row>
    <row r="2716">
      <c r="A2716" s="1" t="s">
        <v>8185</v>
      </c>
      <c r="B2716" s="1" t="s">
        <v>8186</v>
      </c>
      <c r="C2716" s="1" t="s">
        <v>8187</v>
      </c>
      <c r="D2716" s="1" t="s">
        <v>7844</v>
      </c>
      <c r="E2716" s="1" t="s">
        <v>7845</v>
      </c>
      <c r="F2716" s="1">
        <v>454732.0</v>
      </c>
      <c r="G2716" s="1">
        <v>13669.0</v>
      </c>
      <c r="H2716" s="1">
        <v>1711.0</v>
      </c>
      <c r="I2716" s="1">
        <v>1030000.0</v>
      </c>
      <c r="J2716" s="1" t="s">
        <v>6040</v>
      </c>
    </row>
    <row r="2717">
      <c r="A2717" s="1" t="s">
        <v>8188</v>
      </c>
      <c r="B2717" s="1" t="s">
        <v>8189</v>
      </c>
      <c r="C2717" s="1" t="s">
        <v>8190</v>
      </c>
      <c r="D2717" s="1" t="s">
        <v>7844</v>
      </c>
      <c r="E2717" s="1" t="s">
        <v>7845</v>
      </c>
      <c r="F2717" s="1">
        <v>17401.0</v>
      </c>
      <c r="G2717" s="1">
        <v>1146.0</v>
      </c>
      <c r="H2717" s="1">
        <v>38.0</v>
      </c>
      <c r="I2717" s="1">
        <v>1030000.0</v>
      </c>
      <c r="J2717" s="1" t="s">
        <v>6040</v>
      </c>
    </row>
    <row r="2718">
      <c r="A2718" s="1" t="s">
        <v>8191</v>
      </c>
      <c r="B2718" s="1" t="s">
        <v>8192</v>
      </c>
      <c r="C2718" s="1" t="s">
        <v>8193</v>
      </c>
      <c r="D2718" s="1" t="s">
        <v>7844</v>
      </c>
      <c r="E2718" s="1" t="s">
        <v>7845</v>
      </c>
      <c r="F2718" s="1">
        <v>2662937.0</v>
      </c>
      <c r="G2718" s="1">
        <v>56121.0</v>
      </c>
      <c r="H2718" s="1">
        <v>12050.0</v>
      </c>
      <c r="I2718" s="1">
        <v>1030000.0</v>
      </c>
      <c r="J2718" s="1" t="s">
        <v>6040</v>
      </c>
    </row>
    <row r="2719">
      <c r="A2719" s="1" t="s">
        <v>8194</v>
      </c>
      <c r="B2719" s="1" t="s">
        <v>8195</v>
      </c>
      <c r="C2719" s="1" t="s">
        <v>8196</v>
      </c>
      <c r="D2719" s="1" t="s">
        <v>7844</v>
      </c>
      <c r="E2719" s="1" t="s">
        <v>7845</v>
      </c>
      <c r="F2719" s="1">
        <v>53984.0</v>
      </c>
      <c r="G2719" s="1">
        <v>2997.0</v>
      </c>
      <c r="H2719" s="1">
        <v>45.0</v>
      </c>
      <c r="I2719" s="1">
        <v>1030000.0</v>
      </c>
      <c r="J2719" s="1" t="s">
        <v>6040</v>
      </c>
    </row>
    <row r="2720">
      <c r="A2720" s="1" t="s">
        <v>8197</v>
      </c>
      <c r="B2720" s="1" t="s">
        <v>8198</v>
      </c>
      <c r="C2720" s="1" t="s">
        <v>8199</v>
      </c>
      <c r="D2720" s="1" t="s">
        <v>7844</v>
      </c>
      <c r="E2720" s="1" t="s">
        <v>7845</v>
      </c>
      <c r="F2720" s="1">
        <v>54728.0</v>
      </c>
      <c r="G2720" s="1">
        <v>2621.0</v>
      </c>
      <c r="H2720" s="1">
        <v>117.0</v>
      </c>
      <c r="I2720" s="1">
        <v>1030000.0</v>
      </c>
      <c r="J2720" s="1" t="s">
        <v>6040</v>
      </c>
    </row>
    <row r="2721">
      <c r="A2721" s="1" t="s">
        <v>8200</v>
      </c>
      <c r="B2721" s="1" t="s">
        <v>8201</v>
      </c>
      <c r="C2721" s="1" t="s">
        <v>8202</v>
      </c>
      <c r="D2721" s="1" t="s">
        <v>7844</v>
      </c>
      <c r="E2721" s="1" t="s">
        <v>7845</v>
      </c>
      <c r="F2721" s="1">
        <v>81126.0</v>
      </c>
      <c r="G2721" s="1">
        <v>3590.0</v>
      </c>
      <c r="H2721" s="1">
        <v>93.0</v>
      </c>
      <c r="I2721" s="1">
        <v>1030000.0</v>
      </c>
      <c r="J2721" s="1" t="s">
        <v>6040</v>
      </c>
    </row>
    <row r="2722">
      <c r="A2722" s="1" t="s">
        <v>8203</v>
      </c>
      <c r="B2722" s="1" t="s">
        <v>8204</v>
      </c>
      <c r="C2722" s="1" t="s">
        <v>8205</v>
      </c>
      <c r="D2722" s="1" t="s">
        <v>7844</v>
      </c>
      <c r="E2722" s="1" t="s">
        <v>7845</v>
      </c>
      <c r="F2722" s="1">
        <v>220640.0</v>
      </c>
      <c r="G2722" s="1">
        <v>11905.0</v>
      </c>
      <c r="H2722" s="1">
        <v>343.0</v>
      </c>
      <c r="I2722" s="1">
        <v>1030000.0</v>
      </c>
      <c r="J2722" s="1" t="s">
        <v>6040</v>
      </c>
    </row>
    <row r="2723">
      <c r="A2723" s="1" t="s">
        <v>8206</v>
      </c>
      <c r="B2723" s="1" t="s">
        <v>8207</v>
      </c>
      <c r="C2723" s="1" t="s">
        <v>8208</v>
      </c>
      <c r="D2723" s="1" t="s">
        <v>7844</v>
      </c>
      <c r="E2723" s="1" t="s">
        <v>7845</v>
      </c>
      <c r="F2723" s="1">
        <v>398527.0</v>
      </c>
      <c r="G2723" s="1">
        <v>13117.0</v>
      </c>
      <c r="H2723" s="1">
        <v>1852.0</v>
      </c>
      <c r="I2723" s="1">
        <v>1030000.0</v>
      </c>
      <c r="J2723" s="1" t="s">
        <v>6040</v>
      </c>
    </row>
    <row r="2724">
      <c r="A2724" s="1" t="s">
        <v>8209</v>
      </c>
      <c r="B2724" s="1" t="s">
        <v>8210</v>
      </c>
      <c r="C2724" s="1" t="s">
        <v>8211</v>
      </c>
      <c r="D2724" s="1" t="s">
        <v>7844</v>
      </c>
      <c r="E2724" s="1" t="s">
        <v>7845</v>
      </c>
      <c r="F2724" s="1">
        <v>87005.0</v>
      </c>
      <c r="G2724" s="1">
        <v>3395.0</v>
      </c>
      <c r="H2724" s="1">
        <v>204.0</v>
      </c>
      <c r="I2724" s="1">
        <v>1030000.0</v>
      </c>
      <c r="J2724" s="1" t="s">
        <v>6040</v>
      </c>
    </row>
    <row r="2725">
      <c r="A2725" s="1" t="s">
        <v>8212</v>
      </c>
      <c r="B2725" s="1" t="s">
        <v>8213</v>
      </c>
      <c r="C2725" s="1" t="s">
        <v>8214</v>
      </c>
      <c r="D2725" s="1" t="s">
        <v>7844</v>
      </c>
      <c r="E2725" s="1" t="s">
        <v>7845</v>
      </c>
      <c r="F2725" s="1">
        <v>577300.0</v>
      </c>
      <c r="G2725" s="1">
        <v>15026.0</v>
      </c>
      <c r="H2725" s="1">
        <v>6626.0</v>
      </c>
      <c r="I2725" s="1">
        <v>1030000.0</v>
      </c>
      <c r="J2725" s="1" t="s">
        <v>6040</v>
      </c>
    </row>
    <row r="2726">
      <c r="A2726" s="1" t="s">
        <v>8215</v>
      </c>
      <c r="B2726" s="1" t="s">
        <v>8216</v>
      </c>
      <c r="C2726" s="1" t="s">
        <v>8217</v>
      </c>
      <c r="D2726" s="1" t="s">
        <v>7844</v>
      </c>
      <c r="E2726" s="1" t="s">
        <v>7845</v>
      </c>
      <c r="F2726" s="1">
        <v>60850.0</v>
      </c>
      <c r="G2726" s="1">
        <v>3941.0</v>
      </c>
      <c r="H2726" s="1">
        <v>166.0</v>
      </c>
      <c r="I2726" s="1">
        <v>1030000.0</v>
      </c>
      <c r="J2726" s="1" t="s">
        <v>6040</v>
      </c>
    </row>
    <row r="2727">
      <c r="A2727" s="1" t="s">
        <v>8218</v>
      </c>
      <c r="B2727" s="1" t="s">
        <v>8219</v>
      </c>
      <c r="C2727" s="1" t="s">
        <v>8220</v>
      </c>
      <c r="D2727" s="1" t="s">
        <v>7844</v>
      </c>
      <c r="E2727" s="1" t="s">
        <v>7845</v>
      </c>
      <c r="F2727" s="1">
        <v>634003.0</v>
      </c>
      <c r="G2727" s="1">
        <v>17162.0</v>
      </c>
      <c r="H2727" s="1">
        <v>1285.0</v>
      </c>
      <c r="I2727" s="1">
        <v>1030000.0</v>
      </c>
      <c r="J2727" s="1" t="s">
        <v>6040</v>
      </c>
    </row>
    <row r="2728">
      <c r="A2728" s="1" t="s">
        <v>8221</v>
      </c>
      <c r="B2728" s="1" t="s">
        <v>8222</v>
      </c>
      <c r="C2728" s="1" t="s">
        <v>8223</v>
      </c>
      <c r="D2728" s="1" t="s">
        <v>7844</v>
      </c>
      <c r="E2728" s="1" t="s">
        <v>7845</v>
      </c>
      <c r="F2728" s="1">
        <v>68645.0</v>
      </c>
      <c r="G2728" s="1">
        <v>4328.0</v>
      </c>
      <c r="H2728" s="1">
        <v>121.0</v>
      </c>
      <c r="I2728" s="1">
        <v>1030000.0</v>
      </c>
      <c r="J2728" s="1" t="s">
        <v>6040</v>
      </c>
    </row>
    <row r="2729">
      <c r="A2729" s="1" t="s">
        <v>8224</v>
      </c>
      <c r="B2729" s="1" t="s">
        <v>8225</v>
      </c>
      <c r="C2729" s="1" t="s">
        <v>8226</v>
      </c>
      <c r="D2729" s="1" t="s">
        <v>7844</v>
      </c>
      <c r="E2729" s="1" t="s">
        <v>7845</v>
      </c>
      <c r="F2729" s="1">
        <v>655424.0</v>
      </c>
      <c r="G2729" s="1">
        <v>18099.0</v>
      </c>
      <c r="H2729" s="1">
        <v>1265.0</v>
      </c>
      <c r="I2729" s="1">
        <v>1030000.0</v>
      </c>
      <c r="J2729" s="1" t="s">
        <v>6040</v>
      </c>
    </row>
    <row r="2730">
      <c r="A2730" s="1" t="s">
        <v>8227</v>
      </c>
      <c r="B2730" s="1" t="s">
        <v>8228</v>
      </c>
      <c r="C2730" s="1" t="s">
        <v>8229</v>
      </c>
      <c r="D2730" s="1" t="s">
        <v>7844</v>
      </c>
      <c r="E2730" s="1" t="s">
        <v>7845</v>
      </c>
      <c r="F2730" s="1">
        <v>297782.0</v>
      </c>
      <c r="G2730" s="1">
        <v>11444.0</v>
      </c>
      <c r="H2730" s="1">
        <v>568.0</v>
      </c>
      <c r="I2730" s="1">
        <v>1030000.0</v>
      </c>
      <c r="J2730" s="1" t="s">
        <v>6040</v>
      </c>
    </row>
    <row r="2731">
      <c r="A2731" s="1" t="s">
        <v>8230</v>
      </c>
      <c r="B2731" s="1" t="s">
        <v>8231</v>
      </c>
      <c r="C2731" s="1" t="s">
        <v>8232</v>
      </c>
      <c r="D2731" s="1" t="s">
        <v>7844</v>
      </c>
      <c r="E2731" s="1" t="s">
        <v>7845</v>
      </c>
      <c r="F2731" s="1">
        <v>1437012.0</v>
      </c>
      <c r="G2731" s="1">
        <v>28789.0</v>
      </c>
      <c r="H2731" s="1">
        <v>1293.0</v>
      </c>
      <c r="I2731" s="1">
        <v>1030000.0</v>
      </c>
      <c r="J2731" s="1" t="s">
        <v>6040</v>
      </c>
    </row>
    <row r="2732">
      <c r="A2732" s="1" t="s">
        <v>8233</v>
      </c>
      <c r="B2732" s="1" t="s">
        <v>8234</v>
      </c>
      <c r="C2732" s="1" t="s">
        <v>8235</v>
      </c>
      <c r="D2732" s="1" t="s">
        <v>7844</v>
      </c>
      <c r="E2732" s="1" t="s">
        <v>7845</v>
      </c>
      <c r="F2732" s="1">
        <v>1172309.0</v>
      </c>
      <c r="G2732" s="1">
        <v>23176.0</v>
      </c>
      <c r="H2732" s="1">
        <v>3609.0</v>
      </c>
      <c r="I2732" s="1">
        <v>1030000.0</v>
      </c>
      <c r="J2732" s="1" t="s">
        <v>6040</v>
      </c>
    </row>
    <row r="2733">
      <c r="A2733" s="1" t="s">
        <v>8236</v>
      </c>
      <c r="B2733" s="1" t="s">
        <v>8237</v>
      </c>
      <c r="C2733" s="1" t="s">
        <v>8238</v>
      </c>
      <c r="D2733" s="1" t="s">
        <v>7844</v>
      </c>
      <c r="E2733" s="1" t="s">
        <v>7845</v>
      </c>
      <c r="F2733" s="1">
        <v>566144.0</v>
      </c>
      <c r="G2733" s="1">
        <v>7776.0</v>
      </c>
      <c r="H2733" s="1">
        <v>200.0</v>
      </c>
      <c r="I2733" s="1">
        <v>1030000.0</v>
      </c>
      <c r="J2733" s="1" t="s">
        <v>6040</v>
      </c>
    </row>
    <row r="2734">
      <c r="A2734" s="1" t="s">
        <v>8239</v>
      </c>
      <c r="B2734" s="1" t="s">
        <v>8240</v>
      </c>
      <c r="C2734" s="1" t="s">
        <v>8241</v>
      </c>
      <c r="D2734" s="1" t="s">
        <v>7844</v>
      </c>
      <c r="E2734" s="1" t="s">
        <v>7845</v>
      </c>
      <c r="F2734" s="1">
        <v>1069273.0</v>
      </c>
      <c r="G2734" s="1">
        <v>25949.0</v>
      </c>
      <c r="H2734" s="1">
        <v>788.0</v>
      </c>
      <c r="I2734" s="1">
        <v>1030000.0</v>
      </c>
      <c r="J2734" s="1" t="s">
        <v>6040</v>
      </c>
    </row>
    <row r="2735">
      <c r="A2735" s="1" t="s">
        <v>8242</v>
      </c>
      <c r="B2735" s="1" t="s">
        <v>8243</v>
      </c>
      <c r="C2735" s="1" t="s">
        <v>8244</v>
      </c>
      <c r="D2735" s="1" t="s">
        <v>7844</v>
      </c>
      <c r="E2735" s="1" t="s">
        <v>7845</v>
      </c>
      <c r="F2735" s="1">
        <v>42934.0</v>
      </c>
      <c r="G2735" s="1">
        <v>1476.0</v>
      </c>
      <c r="H2735" s="1">
        <v>22.0</v>
      </c>
      <c r="I2735" s="1">
        <v>1030000.0</v>
      </c>
      <c r="J2735" s="1" t="s">
        <v>6040</v>
      </c>
    </row>
    <row r="2736">
      <c r="A2736" s="1" t="s">
        <v>8245</v>
      </c>
      <c r="B2736" s="1" t="s">
        <v>8246</v>
      </c>
      <c r="C2736" s="1" t="s">
        <v>8247</v>
      </c>
      <c r="D2736" s="1" t="s">
        <v>7844</v>
      </c>
      <c r="E2736" s="1" t="s">
        <v>7845</v>
      </c>
      <c r="F2736" s="1">
        <v>1054691.0</v>
      </c>
      <c r="G2736" s="1">
        <v>17239.0</v>
      </c>
      <c r="H2736" s="1">
        <v>2026.0</v>
      </c>
      <c r="I2736" s="1">
        <v>1030000.0</v>
      </c>
      <c r="J2736" s="1" t="s">
        <v>6040</v>
      </c>
    </row>
    <row r="2737">
      <c r="A2737" s="1" t="s">
        <v>8248</v>
      </c>
      <c r="B2737" s="1" t="s">
        <v>8249</v>
      </c>
      <c r="C2737" s="1" t="s">
        <v>8250</v>
      </c>
      <c r="D2737" s="1" t="s">
        <v>7844</v>
      </c>
      <c r="E2737" s="1" t="s">
        <v>7845</v>
      </c>
      <c r="F2737" s="1">
        <v>50068.0</v>
      </c>
      <c r="G2737" s="1">
        <v>1964.0</v>
      </c>
      <c r="H2737" s="1">
        <v>67.0</v>
      </c>
      <c r="I2737" s="1">
        <v>1030000.0</v>
      </c>
      <c r="J2737" s="1" t="s">
        <v>6040</v>
      </c>
    </row>
    <row r="2738">
      <c r="A2738" s="1" t="s">
        <v>8251</v>
      </c>
      <c r="B2738" s="1" t="s">
        <v>8252</v>
      </c>
      <c r="C2738" s="1" t="s">
        <v>8253</v>
      </c>
      <c r="D2738" s="1" t="s">
        <v>7844</v>
      </c>
      <c r="E2738" s="1" t="s">
        <v>7845</v>
      </c>
      <c r="F2738" s="1">
        <v>606908.0</v>
      </c>
      <c r="G2738" s="1">
        <v>10039.0</v>
      </c>
      <c r="H2738" s="1">
        <v>598.0</v>
      </c>
      <c r="I2738" s="1">
        <v>1030000.0</v>
      </c>
      <c r="J2738" s="1" t="s">
        <v>6040</v>
      </c>
    </row>
    <row r="2739">
      <c r="A2739" s="1" t="s">
        <v>8254</v>
      </c>
      <c r="B2739" s="1" t="s">
        <v>8255</v>
      </c>
      <c r="C2739" s="1" t="s">
        <v>8256</v>
      </c>
      <c r="D2739" s="1" t="s">
        <v>7844</v>
      </c>
      <c r="E2739" s="1" t="s">
        <v>7845</v>
      </c>
      <c r="F2739" s="1">
        <v>25501.0</v>
      </c>
      <c r="G2739" s="1">
        <v>1294.0</v>
      </c>
      <c r="H2739" s="1">
        <v>61.0</v>
      </c>
      <c r="I2739" s="1">
        <v>1030000.0</v>
      </c>
      <c r="J2739" s="1" t="s">
        <v>6040</v>
      </c>
    </row>
    <row r="2740">
      <c r="A2740" s="1" t="s">
        <v>8257</v>
      </c>
      <c r="B2740" s="1" t="s">
        <v>8258</v>
      </c>
      <c r="C2740" s="1" t="s">
        <v>8259</v>
      </c>
      <c r="D2740" s="1" t="s">
        <v>7844</v>
      </c>
      <c r="E2740" s="1" t="s">
        <v>7845</v>
      </c>
      <c r="F2740" s="1">
        <v>400879.0</v>
      </c>
      <c r="G2740" s="1">
        <v>11035.0</v>
      </c>
      <c r="H2740" s="1">
        <v>559.0</v>
      </c>
      <c r="I2740" s="1">
        <v>1030000.0</v>
      </c>
      <c r="J2740" s="1" t="s">
        <v>6040</v>
      </c>
    </row>
    <row r="2741">
      <c r="A2741" s="1" t="s">
        <v>8260</v>
      </c>
      <c r="B2741" s="1" t="s">
        <v>8261</v>
      </c>
      <c r="C2741" s="1" t="s">
        <v>8262</v>
      </c>
      <c r="D2741" s="1" t="s">
        <v>7844</v>
      </c>
      <c r="E2741" s="1" t="s">
        <v>7845</v>
      </c>
      <c r="F2741" s="1">
        <v>16291.0</v>
      </c>
      <c r="G2741" s="1">
        <v>1355.0</v>
      </c>
      <c r="H2741" s="1">
        <v>34.0</v>
      </c>
      <c r="I2741" s="1">
        <v>1030000.0</v>
      </c>
      <c r="J2741" s="1" t="s">
        <v>6040</v>
      </c>
    </row>
    <row r="2742">
      <c r="A2742" s="1" t="s">
        <v>8263</v>
      </c>
      <c r="B2742" s="1" t="s">
        <v>8264</v>
      </c>
      <c r="C2742" s="1" t="s">
        <v>8265</v>
      </c>
      <c r="D2742" s="1" t="s">
        <v>7844</v>
      </c>
      <c r="E2742" s="1" t="s">
        <v>7845</v>
      </c>
      <c r="F2742" s="1">
        <v>908907.0</v>
      </c>
      <c r="G2742" s="1">
        <v>18393.0</v>
      </c>
      <c r="H2742" s="1">
        <v>2857.0</v>
      </c>
      <c r="I2742" s="1">
        <v>1030000.0</v>
      </c>
      <c r="J2742" s="1" t="s">
        <v>6040</v>
      </c>
    </row>
    <row r="2743">
      <c r="A2743" s="1" t="s">
        <v>8266</v>
      </c>
      <c r="B2743" s="1" t="s">
        <v>8267</v>
      </c>
      <c r="C2743" s="1" t="s">
        <v>8268</v>
      </c>
      <c r="D2743" s="1" t="s">
        <v>7844</v>
      </c>
      <c r="E2743" s="1" t="s">
        <v>7845</v>
      </c>
      <c r="F2743" s="1">
        <v>130721.0</v>
      </c>
      <c r="G2743" s="1">
        <v>8096.0</v>
      </c>
      <c r="H2743" s="1">
        <v>174.0</v>
      </c>
      <c r="I2743" s="1">
        <v>1030000.0</v>
      </c>
      <c r="J2743" s="1" t="s">
        <v>6040</v>
      </c>
    </row>
    <row r="2744">
      <c r="A2744" s="1" t="s">
        <v>8269</v>
      </c>
      <c r="B2744" s="1" t="s">
        <v>8270</v>
      </c>
      <c r="C2744" s="1" t="s">
        <v>8271</v>
      </c>
      <c r="D2744" s="1" t="s">
        <v>7844</v>
      </c>
      <c r="E2744" s="1" t="s">
        <v>7845</v>
      </c>
      <c r="F2744" s="1">
        <v>456271.0</v>
      </c>
      <c r="G2744" s="1">
        <v>29267.0</v>
      </c>
      <c r="H2744" s="1">
        <v>276.0</v>
      </c>
      <c r="I2744" s="1">
        <v>1030000.0</v>
      </c>
      <c r="J2744" s="1" t="s">
        <v>6040</v>
      </c>
    </row>
    <row r="2745">
      <c r="A2745" s="1" t="s">
        <v>8272</v>
      </c>
      <c r="B2745" s="1" t="s">
        <v>8273</v>
      </c>
      <c r="C2745" s="1" t="s">
        <v>8274</v>
      </c>
      <c r="D2745" s="1" t="s">
        <v>7844</v>
      </c>
      <c r="E2745" s="1" t="s">
        <v>7845</v>
      </c>
      <c r="F2745" s="1">
        <v>188038.0</v>
      </c>
      <c r="G2745" s="1">
        <v>11253.0</v>
      </c>
      <c r="H2745" s="1">
        <v>641.0</v>
      </c>
      <c r="I2745" s="1">
        <v>1030000.0</v>
      </c>
      <c r="J2745" s="1" t="s">
        <v>6040</v>
      </c>
    </row>
    <row r="2746">
      <c r="A2746" s="1" t="s">
        <v>8275</v>
      </c>
      <c r="B2746" s="1" t="s">
        <v>8276</v>
      </c>
      <c r="C2746" s="1" t="s">
        <v>8277</v>
      </c>
      <c r="D2746" s="1" t="s">
        <v>7844</v>
      </c>
      <c r="E2746" s="1" t="s">
        <v>7845</v>
      </c>
      <c r="F2746" s="1">
        <v>139012.0</v>
      </c>
      <c r="G2746" s="1">
        <v>4568.0</v>
      </c>
      <c r="H2746" s="1">
        <v>207.0</v>
      </c>
      <c r="I2746" s="1">
        <v>1030000.0</v>
      </c>
      <c r="J2746" s="1" t="s">
        <v>6040</v>
      </c>
    </row>
    <row r="2747">
      <c r="A2747" s="1" t="s">
        <v>8278</v>
      </c>
      <c r="B2747" s="1" t="s">
        <v>8279</v>
      </c>
      <c r="C2747" s="1" t="s">
        <v>8280</v>
      </c>
      <c r="D2747" s="1" t="s">
        <v>7844</v>
      </c>
      <c r="E2747" s="1" t="s">
        <v>7845</v>
      </c>
      <c r="F2747" s="1">
        <v>619677.0</v>
      </c>
      <c r="G2747" s="1">
        <v>23209.0</v>
      </c>
      <c r="H2747" s="1">
        <v>4307.0</v>
      </c>
      <c r="I2747" s="1">
        <v>1030000.0</v>
      </c>
      <c r="J2747" s="1" t="s">
        <v>6040</v>
      </c>
    </row>
    <row r="2748">
      <c r="A2748" s="1" t="s">
        <v>8281</v>
      </c>
      <c r="B2748" s="1" t="s">
        <v>8282</v>
      </c>
      <c r="C2748" s="1" t="s">
        <v>8283</v>
      </c>
      <c r="D2748" s="1" t="s">
        <v>7844</v>
      </c>
      <c r="E2748" s="1" t="s">
        <v>7845</v>
      </c>
      <c r="F2748" s="1">
        <v>451585.0</v>
      </c>
      <c r="G2748" s="1">
        <v>11823.0</v>
      </c>
      <c r="H2748" s="1">
        <v>2100.0</v>
      </c>
      <c r="I2748" s="1">
        <v>1030000.0</v>
      </c>
      <c r="J2748" s="1" t="s">
        <v>6040</v>
      </c>
    </row>
    <row r="2749">
      <c r="A2749" s="1" t="s">
        <v>8284</v>
      </c>
      <c r="B2749" s="1" t="s">
        <v>8285</v>
      </c>
      <c r="C2749" s="1" t="s">
        <v>8286</v>
      </c>
      <c r="D2749" s="1" t="s">
        <v>7844</v>
      </c>
      <c r="E2749" s="1" t="s">
        <v>7845</v>
      </c>
      <c r="F2749" s="1">
        <v>3202208.0</v>
      </c>
      <c r="G2749" s="1">
        <v>37141.0</v>
      </c>
      <c r="H2749" s="1">
        <v>2872.0</v>
      </c>
      <c r="I2749" s="1">
        <v>1030000.0</v>
      </c>
      <c r="J2749" s="1" t="s">
        <v>6040</v>
      </c>
    </row>
    <row r="2750">
      <c r="A2750" s="1" t="s">
        <v>8287</v>
      </c>
      <c r="B2750" s="1" t="s">
        <v>8288</v>
      </c>
      <c r="C2750" s="1" t="s">
        <v>8289</v>
      </c>
      <c r="D2750" s="1" t="s">
        <v>7844</v>
      </c>
      <c r="E2750" s="1" t="s">
        <v>7845</v>
      </c>
      <c r="F2750" s="1">
        <v>2517017.0</v>
      </c>
      <c r="G2750" s="1">
        <v>160385.0</v>
      </c>
      <c r="H2750" s="1">
        <v>7561.0</v>
      </c>
      <c r="I2750" s="1">
        <v>1030000.0</v>
      </c>
      <c r="J2750" s="1" t="s">
        <v>6040</v>
      </c>
    </row>
    <row r="2751">
      <c r="A2751" s="1" t="s">
        <v>8290</v>
      </c>
      <c r="B2751" s="1" t="s">
        <v>8291</v>
      </c>
      <c r="C2751" s="1" t="s">
        <v>8292</v>
      </c>
      <c r="D2751" s="1" t="s">
        <v>7844</v>
      </c>
      <c r="E2751" s="1" t="s">
        <v>7845</v>
      </c>
      <c r="F2751" s="1">
        <v>1006438.0</v>
      </c>
      <c r="G2751" s="1">
        <v>23806.0</v>
      </c>
      <c r="H2751" s="1">
        <v>2990.0</v>
      </c>
      <c r="I2751" s="1">
        <v>1030000.0</v>
      </c>
      <c r="J2751" s="1" t="s">
        <v>6040</v>
      </c>
    </row>
    <row r="2752">
      <c r="A2752" s="1" t="s">
        <v>8293</v>
      </c>
      <c r="B2752" s="1" t="s">
        <v>8294</v>
      </c>
      <c r="C2752" s="1" t="s">
        <v>8295</v>
      </c>
      <c r="D2752" s="1" t="s">
        <v>7844</v>
      </c>
      <c r="E2752" s="1" t="s">
        <v>7845</v>
      </c>
      <c r="F2752" s="1">
        <v>61831.0</v>
      </c>
      <c r="G2752" s="1">
        <v>3197.0</v>
      </c>
      <c r="H2752" s="1">
        <v>127.0</v>
      </c>
      <c r="I2752" s="1">
        <v>1030000.0</v>
      </c>
      <c r="J2752" s="1" t="s">
        <v>6040</v>
      </c>
    </row>
    <row r="2753">
      <c r="A2753" s="1" t="s">
        <v>8296</v>
      </c>
      <c r="B2753" s="1" t="s">
        <v>8297</v>
      </c>
      <c r="C2753" s="1" t="s">
        <v>8298</v>
      </c>
      <c r="D2753" s="1" t="s">
        <v>7844</v>
      </c>
      <c r="E2753" s="1" t="s">
        <v>7845</v>
      </c>
      <c r="F2753" s="1">
        <v>2150484.0</v>
      </c>
      <c r="G2753" s="1">
        <v>186707.0</v>
      </c>
      <c r="H2753" s="1">
        <v>1216.0</v>
      </c>
      <c r="I2753" s="1">
        <v>1030000.0</v>
      </c>
      <c r="J2753" s="1" t="s">
        <v>6040</v>
      </c>
    </row>
    <row r="2754">
      <c r="A2754" s="1" t="s">
        <v>8299</v>
      </c>
      <c r="B2754" s="1" t="s">
        <v>8300</v>
      </c>
      <c r="C2754" s="1" t="s">
        <v>8301</v>
      </c>
      <c r="D2754" s="1" t="s">
        <v>7844</v>
      </c>
      <c r="E2754" s="1" t="s">
        <v>7845</v>
      </c>
      <c r="F2754" s="1">
        <v>678573.0</v>
      </c>
      <c r="G2754" s="1">
        <v>9932.0</v>
      </c>
      <c r="H2754" s="1">
        <v>399.0</v>
      </c>
      <c r="I2754" s="1">
        <v>1030000.0</v>
      </c>
      <c r="J2754" s="1" t="s">
        <v>6040</v>
      </c>
    </row>
    <row r="2755">
      <c r="A2755" s="1" t="s">
        <v>8302</v>
      </c>
      <c r="B2755" s="1" t="s">
        <v>8303</v>
      </c>
      <c r="C2755" s="1" t="s">
        <v>8304</v>
      </c>
      <c r="D2755" s="1" t="s">
        <v>7844</v>
      </c>
      <c r="E2755" s="1" t="s">
        <v>7845</v>
      </c>
      <c r="F2755" s="1">
        <v>365651.0</v>
      </c>
      <c r="G2755" s="1">
        <v>11000.0</v>
      </c>
      <c r="H2755" s="1">
        <v>1757.0</v>
      </c>
      <c r="I2755" s="1">
        <v>1030000.0</v>
      </c>
      <c r="J2755" s="1" t="s">
        <v>6040</v>
      </c>
    </row>
    <row r="2756">
      <c r="A2756" s="1" t="s">
        <v>8305</v>
      </c>
      <c r="B2756" s="1" t="s">
        <v>8306</v>
      </c>
      <c r="C2756" s="1" t="s">
        <v>8307</v>
      </c>
      <c r="D2756" s="1" t="s">
        <v>7844</v>
      </c>
      <c r="E2756" s="1" t="s">
        <v>7845</v>
      </c>
      <c r="F2756" s="1">
        <v>27489.0</v>
      </c>
      <c r="G2756" s="1">
        <v>1643.0</v>
      </c>
      <c r="H2756" s="1">
        <v>75.0</v>
      </c>
      <c r="I2756" s="1">
        <v>1030000.0</v>
      </c>
      <c r="J2756" s="1" t="s">
        <v>6040</v>
      </c>
    </row>
    <row r="2757">
      <c r="A2757" s="1" t="s">
        <v>8308</v>
      </c>
      <c r="B2757" s="1" t="s">
        <v>8309</v>
      </c>
      <c r="C2757" s="1" t="s">
        <v>8310</v>
      </c>
      <c r="D2757" s="1" t="s">
        <v>7844</v>
      </c>
      <c r="E2757" s="1" t="s">
        <v>7845</v>
      </c>
      <c r="F2757" s="1">
        <v>6460797.0</v>
      </c>
      <c r="G2757" s="1">
        <v>82741.0</v>
      </c>
      <c r="H2757" s="1">
        <v>4793.0</v>
      </c>
      <c r="I2757" s="1">
        <v>1030000.0</v>
      </c>
      <c r="J2757" s="1" t="s">
        <v>6040</v>
      </c>
    </row>
    <row r="2758">
      <c r="A2758" s="1" t="s">
        <v>8311</v>
      </c>
      <c r="B2758" s="1" t="s">
        <v>8312</v>
      </c>
      <c r="C2758" s="1" t="s">
        <v>8313</v>
      </c>
      <c r="D2758" s="1" t="s">
        <v>7844</v>
      </c>
      <c r="E2758" s="1" t="s">
        <v>7845</v>
      </c>
      <c r="F2758" s="1">
        <v>13412.0</v>
      </c>
      <c r="G2758" s="1">
        <v>952.0</v>
      </c>
      <c r="H2758" s="1">
        <v>26.0</v>
      </c>
      <c r="I2758" s="1">
        <v>1030000.0</v>
      </c>
      <c r="J2758" s="1" t="s">
        <v>6040</v>
      </c>
    </row>
    <row r="2759">
      <c r="A2759" s="1" t="s">
        <v>8314</v>
      </c>
      <c r="B2759" s="1" t="s">
        <v>8315</v>
      </c>
      <c r="C2759" s="1" t="s">
        <v>8316</v>
      </c>
      <c r="D2759" s="1" t="s">
        <v>7844</v>
      </c>
      <c r="E2759" s="1" t="s">
        <v>7845</v>
      </c>
      <c r="F2759" s="1">
        <v>4749808.0</v>
      </c>
      <c r="G2759" s="1">
        <v>236185.0</v>
      </c>
      <c r="H2759" s="1">
        <v>3226.0</v>
      </c>
      <c r="I2759" s="1">
        <v>1030000.0</v>
      </c>
      <c r="J2759" s="1" t="s">
        <v>6040</v>
      </c>
    </row>
    <row r="2760">
      <c r="A2760" s="1" t="s">
        <v>8317</v>
      </c>
      <c r="B2760" s="1" t="s">
        <v>8318</v>
      </c>
      <c r="C2760" s="1" t="s">
        <v>8319</v>
      </c>
      <c r="D2760" s="1" t="s">
        <v>7844</v>
      </c>
      <c r="E2760" s="1" t="s">
        <v>7845</v>
      </c>
      <c r="F2760" s="1">
        <v>1220510.0</v>
      </c>
      <c r="G2760" s="1">
        <v>19103.0</v>
      </c>
      <c r="H2760" s="1">
        <v>3167.0</v>
      </c>
      <c r="I2760" s="1">
        <v>1030000.0</v>
      </c>
      <c r="J2760" s="1" t="s">
        <v>6040</v>
      </c>
    </row>
    <row r="2761">
      <c r="A2761" s="1" t="s">
        <v>8320</v>
      </c>
      <c r="B2761" s="1" t="s">
        <v>8321</v>
      </c>
      <c r="C2761" s="1" t="s">
        <v>8322</v>
      </c>
      <c r="D2761" s="1" t="s">
        <v>7844</v>
      </c>
      <c r="E2761" s="1" t="s">
        <v>7845</v>
      </c>
      <c r="F2761" s="1">
        <v>9474.0</v>
      </c>
      <c r="G2761" s="1">
        <v>768.0</v>
      </c>
      <c r="H2761" s="1">
        <v>33.0</v>
      </c>
      <c r="I2761" s="1">
        <v>1030000.0</v>
      </c>
      <c r="J2761" s="1" t="s">
        <v>6040</v>
      </c>
    </row>
    <row r="2762">
      <c r="A2762" s="1" t="s">
        <v>8323</v>
      </c>
      <c r="B2762" s="1" t="s">
        <v>8324</v>
      </c>
      <c r="C2762" s="1" t="s">
        <v>8325</v>
      </c>
      <c r="D2762" s="1" t="s">
        <v>7844</v>
      </c>
      <c r="E2762" s="1" t="s">
        <v>7845</v>
      </c>
      <c r="F2762" s="1">
        <v>122389.0</v>
      </c>
      <c r="G2762" s="1">
        <v>4297.0</v>
      </c>
      <c r="H2762" s="1">
        <v>407.0</v>
      </c>
      <c r="I2762" s="1">
        <v>1030000.0</v>
      </c>
      <c r="J2762" s="1" t="s">
        <v>6040</v>
      </c>
    </row>
    <row r="2763">
      <c r="A2763" s="1" t="s">
        <v>8326</v>
      </c>
      <c r="B2763" s="1" t="s">
        <v>8327</v>
      </c>
      <c r="C2763" s="1" t="s">
        <v>8328</v>
      </c>
      <c r="D2763" s="1" t="s">
        <v>7844</v>
      </c>
      <c r="E2763" s="1" t="s">
        <v>7845</v>
      </c>
      <c r="F2763" s="1">
        <v>96611.0</v>
      </c>
      <c r="G2763" s="1">
        <v>5866.0</v>
      </c>
      <c r="H2763" s="1">
        <v>532.0</v>
      </c>
      <c r="I2763" s="1">
        <v>1030000.0</v>
      </c>
      <c r="J2763" s="1" t="s">
        <v>6040</v>
      </c>
    </row>
    <row r="2764">
      <c r="A2764" s="1" t="s">
        <v>8329</v>
      </c>
      <c r="B2764" s="1" t="s">
        <v>8330</v>
      </c>
      <c r="C2764" s="1" t="s">
        <v>8331</v>
      </c>
      <c r="D2764" s="1" t="s">
        <v>7844</v>
      </c>
      <c r="E2764" s="1" t="s">
        <v>7845</v>
      </c>
      <c r="F2764" s="1">
        <v>19625.0</v>
      </c>
      <c r="G2764" s="1">
        <v>1612.0</v>
      </c>
      <c r="H2764" s="1">
        <v>36.0</v>
      </c>
      <c r="I2764" s="1">
        <v>1030000.0</v>
      </c>
      <c r="J2764" s="1" t="s">
        <v>6040</v>
      </c>
    </row>
    <row r="2765">
      <c r="A2765" s="1" t="s">
        <v>8332</v>
      </c>
      <c r="B2765" s="1" t="s">
        <v>8333</v>
      </c>
      <c r="C2765" s="1" t="s">
        <v>8334</v>
      </c>
      <c r="D2765" s="1" t="s">
        <v>7844</v>
      </c>
      <c r="E2765" s="1" t="s">
        <v>7845</v>
      </c>
      <c r="F2765" s="1">
        <v>16190.0</v>
      </c>
      <c r="G2765" s="1">
        <v>850.0</v>
      </c>
      <c r="H2765" s="1">
        <v>65.0</v>
      </c>
      <c r="I2765" s="1">
        <v>1030000.0</v>
      </c>
      <c r="J2765" s="1" t="s">
        <v>6040</v>
      </c>
    </row>
    <row r="2766">
      <c r="A2766" s="1" t="s">
        <v>8335</v>
      </c>
      <c r="B2766" s="1" t="s">
        <v>8336</v>
      </c>
      <c r="C2766" s="1" t="s">
        <v>8337</v>
      </c>
      <c r="D2766" s="1" t="s">
        <v>7844</v>
      </c>
      <c r="E2766" s="1" t="s">
        <v>7845</v>
      </c>
      <c r="F2766" s="1">
        <v>15778.0</v>
      </c>
      <c r="G2766" s="1">
        <v>1331.0</v>
      </c>
      <c r="H2766" s="1">
        <v>29.0</v>
      </c>
      <c r="I2766" s="1">
        <v>1030000.0</v>
      </c>
      <c r="J2766" s="1" t="s">
        <v>6040</v>
      </c>
    </row>
    <row r="2767">
      <c r="A2767" s="1" t="s">
        <v>8338</v>
      </c>
      <c r="B2767" s="1" t="s">
        <v>8339</v>
      </c>
      <c r="C2767" s="1" t="s">
        <v>8340</v>
      </c>
      <c r="D2767" s="1" t="s">
        <v>7844</v>
      </c>
      <c r="E2767" s="1" t="s">
        <v>7845</v>
      </c>
      <c r="F2767" s="1">
        <v>78639.0</v>
      </c>
      <c r="G2767" s="1">
        <v>2083.0</v>
      </c>
      <c r="H2767" s="1">
        <v>61.0</v>
      </c>
      <c r="I2767" s="1">
        <v>1030000.0</v>
      </c>
      <c r="J2767" s="1" t="s">
        <v>6040</v>
      </c>
    </row>
    <row r="2768">
      <c r="A2768" s="1" t="s">
        <v>8341</v>
      </c>
      <c r="B2768" s="1" t="s">
        <v>8342</v>
      </c>
      <c r="C2768" s="1" t="s">
        <v>8343</v>
      </c>
      <c r="D2768" s="1" t="s">
        <v>7844</v>
      </c>
      <c r="E2768" s="1" t="s">
        <v>7845</v>
      </c>
      <c r="F2768" s="1">
        <v>125250.0</v>
      </c>
      <c r="G2768" s="1">
        <v>9009.0</v>
      </c>
      <c r="H2768" s="1">
        <v>179.0</v>
      </c>
      <c r="I2768" s="1">
        <v>1030000.0</v>
      </c>
      <c r="J2768" s="1" t="s">
        <v>6040</v>
      </c>
    </row>
    <row r="2769">
      <c r="A2769" s="1" t="s">
        <v>8344</v>
      </c>
      <c r="B2769" s="1" t="s">
        <v>8345</v>
      </c>
      <c r="C2769" s="1" t="s">
        <v>8346</v>
      </c>
      <c r="D2769" s="1" t="s">
        <v>7844</v>
      </c>
      <c r="E2769" s="1" t="s">
        <v>7845</v>
      </c>
      <c r="F2769" s="1">
        <v>18503.0</v>
      </c>
      <c r="G2769" s="1">
        <v>1460.0</v>
      </c>
      <c r="H2769" s="1">
        <v>28.0</v>
      </c>
      <c r="I2769" s="1">
        <v>1030000.0</v>
      </c>
      <c r="J2769" s="1" t="s">
        <v>6040</v>
      </c>
    </row>
    <row r="2770">
      <c r="A2770" s="1" t="s">
        <v>8347</v>
      </c>
      <c r="B2770" s="1" t="s">
        <v>8348</v>
      </c>
      <c r="C2770" s="1" t="s">
        <v>8349</v>
      </c>
      <c r="D2770" s="1" t="s">
        <v>7844</v>
      </c>
      <c r="E2770" s="1" t="s">
        <v>7845</v>
      </c>
      <c r="F2770" s="1">
        <v>60938.0</v>
      </c>
      <c r="G2770" s="1">
        <v>3453.0</v>
      </c>
      <c r="H2770" s="1">
        <v>82.0</v>
      </c>
      <c r="I2770" s="1">
        <v>1030000.0</v>
      </c>
      <c r="J2770" s="1" t="s">
        <v>6040</v>
      </c>
    </row>
    <row r="2771">
      <c r="A2771" s="1" t="s">
        <v>8350</v>
      </c>
      <c r="B2771" s="1" t="s">
        <v>8351</v>
      </c>
      <c r="C2771" s="1" t="s">
        <v>8352</v>
      </c>
      <c r="D2771" s="1" t="s">
        <v>7844</v>
      </c>
      <c r="E2771" s="1" t="s">
        <v>7845</v>
      </c>
      <c r="F2771" s="1">
        <v>1426639.0</v>
      </c>
      <c r="G2771" s="1">
        <v>26033.0</v>
      </c>
      <c r="H2771" s="1">
        <v>4530.0</v>
      </c>
      <c r="I2771" s="1">
        <v>1030000.0</v>
      </c>
      <c r="J2771" s="1" t="s">
        <v>6040</v>
      </c>
    </row>
    <row r="2772">
      <c r="A2772" s="1" t="s">
        <v>8353</v>
      </c>
      <c r="B2772" s="1" t="s">
        <v>8354</v>
      </c>
      <c r="C2772" s="1" t="s">
        <v>8355</v>
      </c>
      <c r="D2772" s="1" t="s">
        <v>7844</v>
      </c>
      <c r="E2772" s="1" t="s">
        <v>7845</v>
      </c>
      <c r="F2772" s="1">
        <v>13195.0</v>
      </c>
      <c r="G2772" s="1">
        <v>1080.0</v>
      </c>
      <c r="H2772" s="1">
        <v>21.0</v>
      </c>
      <c r="I2772" s="1">
        <v>1030000.0</v>
      </c>
      <c r="J2772" s="1" t="s">
        <v>6040</v>
      </c>
    </row>
    <row r="2773">
      <c r="A2773" s="1" t="s">
        <v>8356</v>
      </c>
      <c r="B2773" s="1" t="s">
        <v>8357</v>
      </c>
      <c r="C2773" s="1" t="s">
        <v>8358</v>
      </c>
      <c r="D2773" s="1" t="s">
        <v>7844</v>
      </c>
      <c r="E2773" s="1" t="s">
        <v>7845</v>
      </c>
      <c r="F2773" s="1">
        <v>9813.0</v>
      </c>
      <c r="G2773" s="1">
        <v>886.0</v>
      </c>
      <c r="H2773" s="1">
        <v>28.0</v>
      </c>
      <c r="I2773" s="1">
        <v>1030000.0</v>
      </c>
      <c r="J2773" s="1" t="s">
        <v>6040</v>
      </c>
    </row>
    <row r="2774">
      <c r="A2774" s="1" t="s">
        <v>8359</v>
      </c>
      <c r="B2774" s="1" t="s">
        <v>8360</v>
      </c>
      <c r="C2774" s="1" t="s">
        <v>8361</v>
      </c>
      <c r="D2774" s="1" t="s">
        <v>7844</v>
      </c>
      <c r="E2774" s="1" t="s">
        <v>7845</v>
      </c>
      <c r="F2774" s="1">
        <v>14096.0</v>
      </c>
      <c r="G2774" s="1">
        <v>798.0</v>
      </c>
      <c r="H2774" s="1">
        <v>21.0</v>
      </c>
      <c r="I2774" s="1">
        <v>1030000.0</v>
      </c>
      <c r="J2774" s="1" t="s">
        <v>6040</v>
      </c>
    </row>
    <row r="2775">
      <c r="A2775" s="1" t="s">
        <v>8362</v>
      </c>
      <c r="B2775" s="1" t="s">
        <v>8363</v>
      </c>
      <c r="C2775" s="1" t="s">
        <v>8364</v>
      </c>
      <c r="D2775" s="1" t="s">
        <v>7844</v>
      </c>
      <c r="E2775" s="1" t="s">
        <v>7845</v>
      </c>
      <c r="F2775" s="1">
        <v>2168287.0</v>
      </c>
      <c r="G2775" s="1">
        <v>29267.0</v>
      </c>
      <c r="H2775" s="1">
        <v>1446.0</v>
      </c>
      <c r="I2775" s="1">
        <v>1030000.0</v>
      </c>
      <c r="J2775" s="1" t="s">
        <v>6040</v>
      </c>
    </row>
    <row r="2776">
      <c r="A2776" s="1" t="s">
        <v>8365</v>
      </c>
      <c r="B2776" s="1" t="s">
        <v>8366</v>
      </c>
      <c r="C2776" s="1" t="s">
        <v>8367</v>
      </c>
      <c r="D2776" s="1" t="s">
        <v>7844</v>
      </c>
      <c r="E2776" s="1" t="s">
        <v>7845</v>
      </c>
      <c r="F2776" s="1">
        <v>11490.0</v>
      </c>
      <c r="G2776" s="1">
        <v>1168.0</v>
      </c>
      <c r="H2776" s="1">
        <v>53.0</v>
      </c>
      <c r="I2776" s="1">
        <v>1030000.0</v>
      </c>
      <c r="J2776" s="1" t="s">
        <v>6040</v>
      </c>
    </row>
    <row r="2777">
      <c r="A2777" s="1" t="s">
        <v>8368</v>
      </c>
      <c r="B2777" s="1" t="s">
        <v>8369</v>
      </c>
      <c r="C2777" s="1" t="s">
        <v>8370</v>
      </c>
      <c r="D2777" s="1" t="s">
        <v>7844</v>
      </c>
      <c r="E2777" s="1" t="s">
        <v>7845</v>
      </c>
      <c r="F2777" s="1">
        <v>68517.0</v>
      </c>
      <c r="G2777" s="1">
        <v>4117.0</v>
      </c>
      <c r="H2777" s="1">
        <v>508.0</v>
      </c>
      <c r="I2777" s="1">
        <v>1030000.0</v>
      </c>
      <c r="J2777" s="1" t="s">
        <v>6040</v>
      </c>
    </row>
    <row r="2778">
      <c r="A2778" s="1" t="s">
        <v>8371</v>
      </c>
      <c r="B2778" s="1" t="s">
        <v>8372</v>
      </c>
      <c r="C2778" s="1" t="s">
        <v>8373</v>
      </c>
      <c r="D2778" s="1" t="s">
        <v>7844</v>
      </c>
      <c r="E2778" s="1" t="s">
        <v>7845</v>
      </c>
      <c r="F2778" s="1">
        <v>63877.0</v>
      </c>
      <c r="G2778" s="1">
        <v>1645.0</v>
      </c>
      <c r="H2778" s="1">
        <v>53.0</v>
      </c>
      <c r="I2778" s="1">
        <v>1030000.0</v>
      </c>
      <c r="J2778" s="1" t="s">
        <v>6040</v>
      </c>
    </row>
    <row r="2779">
      <c r="A2779" s="1" t="s">
        <v>8374</v>
      </c>
      <c r="B2779" s="1" t="s">
        <v>8375</v>
      </c>
      <c r="C2779" s="1" t="s">
        <v>8376</v>
      </c>
      <c r="D2779" s="1" t="s">
        <v>7844</v>
      </c>
      <c r="E2779" s="1" t="s">
        <v>7845</v>
      </c>
      <c r="F2779" s="1">
        <v>20591.0</v>
      </c>
      <c r="G2779" s="1">
        <v>1744.0</v>
      </c>
      <c r="H2779" s="1">
        <v>47.0</v>
      </c>
      <c r="I2779" s="1">
        <v>1030000.0</v>
      </c>
      <c r="J2779" s="1" t="s">
        <v>6040</v>
      </c>
    </row>
    <row r="2780">
      <c r="A2780" s="1" t="s">
        <v>8377</v>
      </c>
      <c r="B2780" s="1" t="s">
        <v>8378</v>
      </c>
      <c r="C2780" s="1" t="s">
        <v>8379</v>
      </c>
      <c r="D2780" s="1" t="s">
        <v>7844</v>
      </c>
      <c r="E2780" s="1" t="s">
        <v>7845</v>
      </c>
      <c r="F2780" s="1">
        <v>138146.0</v>
      </c>
      <c r="G2780" s="1">
        <v>5199.0</v>
      </c>
      <c r="H2780" s="1">
        <v>1363.0</v>
      </c>
      <c r="I2780" s="1">
        <v>1030000.0</v>
      </c>
      <c r="J2780" s="1" t="s">
        <v>6040</v>
      </c>
    </row>
    <row r="2781">
      <c r="A2781" s="1" t="s">
        <v>8380</v>
      </c>
      <c r="B2781" s="1" t="s">
        <v>8381</v>
      </c>
      <c r="C2781" s="1" t="s">
        <v>8382</v>
      </c>
      <c r="D2781" s="1" t="s">
        <v>7844</v>
      </c>
      <c r="E2781" s="1" t="s">
        <v>7845</v>
      </c>
      <c r="F2781" s="1">
        <v>18658.0</v>
      </c>
      <c r="G2781" s="1">
        <v>1421.0</v>
      </c>
      <c r="H2781" s="1">
        <v>59.0</v>
      </c>
      <c r="I2781" s="1">
        <v>1030000.0</v>
      </c>
      <c r="J2781" s="1" t="s">
        <v>6040</v>
      </c>
    </row>
    <row r="2782">
      <c r="A2782" s="1" t="s">
        <v>8383</v>
      </c>
      <c r="B2782" s="1" t="s">
        <v>8384</v>
      </c>
      <c r="C2782" s="1" t="s">
        <v>8385</v>
      </c>
      <c r="D2782" s="1" t="s">
        <v>7844</v>
      </c>
      <c r="E2782" s="1" t="s">
        <v>7845</v>
      </c>
      <c r="F2782" s="1">
        <v>9528.0</v>
      </c>
      <c r="G2782" s="1">
        <v>730.0</v>
      </c>
      <c r="H2782" s="1">
        <v>12.0</v>
      </c>
      <c r="I2782" s="1">
        <v>1030000.0</v>
      </c>
      <c r="J2782" s="1" t="s">
        <v>6040</v>
      </c>
    </row>
    <row r="2783">
      <c r="A2783" s="1" t="s">
        <v>8386</v>
      </c>
      <c r="B2783" s="1" t="s">
        <v>8387</v>
      </c>
      <c r="C2783" s="1" t="s">
        <v>8388</v>
      </c>
      <c r="D2783" s="1" t="s">
        <v>7844</v>
      </c>
      <c r="E2783" s="1" t="s">
        <v>7845</v>
      </c>
      <c r="F2783" s="1">
        <v>163003.0</v>
      </c>
      <c r="G2783" s="1">
        <v>4783.0</v>
      </c>
      <c r="H2783" s="1">
        <v>434.0</v>
      </c>
      <c r="I2783" s="1">
        <v>1030000.0</v>
      </c>
      <c r="J2783" s="1" t="s">
        <v>6040</v>
      </c>
    </row>
    <row r="2784">
      <c r="A2784" s="1" t="s">
        <v>8389</v>
      </c>
      <c r="B2784" s="1" t="s">
        <v>8390</v>
      </c>
      <c r="C2784" s="1" t="s">
        <v>8391</v>
      </c>
      <c r="D2784" s="1" t="s">
        <v>7844</v>
      </c>
      <c r="E2784" s="1" t="s">
        <v>7845</v>
      </c>
      <c r="F2784" s="1">
        <v>1769681.0</v>
      </c>
      <c r="G2784" s="1">
        <v>33496.0</v>
      </c>
      <c r="H2784" s="1">
        <v>2157.0</v>
      </c>
      <c r="I2784" s="1">
        <v>1030000.0</v>
      </c>
      <c r="J2784" s="1" t="s">
        <v>6040</v>
      </c>
    </row>
    <row r="2785">
      <c r="A2785" s="1" t="s">
        <v>8392</v>
      </c>
      <c r="B2785" s="1" t="s">
        <v>8393</v>
      </c>
      <c r="C2785" s="1" t="s">
        <v>8394</v>
      </c>
      <c r="D2785" s="1" t="s">
        <v>7844</v>
      </c>
      <c r="E2785" s="1" t="s">
        <v>7845</v>
      </c>
      <c r="F2785" s="1">
        <v>14455.0</v>
      </c>
      <c r="G2785" s="1">
        <v>1344.0</v>
      </c>
      <c r="H2785" s="1">
        <v>59.0</v>
      </c>
      <c r="I2785" s="1">
        <v>1030000.0</v>
      </c>
      <c r="J2785" s="1" t="s">
        <v>6040</v>
      </c>
    </row>
    <row r="2786">
      <c r="A2786" s="1" t="s">
        <v>8395</v>
      </c>
      <c r="B2786" s="1" t="s">
        <v>8396</v>
      </c>
      <c r="C2786" s="1" t="s">
        <v>8397</v>
      </c>
      <c r="D2786" s="1" t="s">
        <v>7844</v>
      </c>
      <c r="E2786" s="1" t="s">
        <v>7845</v>
      </c>
      <c r="F2786" s="1">
        <v>6818.0</v>
      </c>
      <c r="G2786" s="1">
        <v>538.0</v>
      </c>
      <c r="H2786" s="1">
        <v>42.0</v>
      </c>
      <c r="I2786" s="1">
        <v>1030000.0</v>
      </c>
      <c r="J2786" s="1" t="s">
        <v>6040</v>
      </c>
    </row>
    <row r="2787">
      <c r="A2787" s="1" t="s">
        <v>8398</v>
      </c>
      <c r="B2787" s="1" t="s">
        <v>8399</v>
      </c>
      <c r="C2787" s="1" t="s">
        <v>8400</v>
      </c>
      <c r="D2787" s="1" t="s">
        <v>7844</v>
      </c>
      <c r="E2787" s="1" t="s">
        <v>7845</v>
      </c>
      <c r="F2787" s="1">
        <v>6101.0</v>
      </c>
      <c r="G2787" s="1">
        <v>720.0</v>
      </c>
      <c r="H2787" s="1">
        <v>21.0</v>
      </c>
      <c r="I2787" s="1">
        <v>1030000.0</v>
      </c>
      <c r="J2787" s="1" t="s">
        <v>6040</v>
      </c>
    </row>
    <row r="2788">
      <c r="A2788" s="1" t="s">
        <v>8401</v>
      </c>
      <c r="B2788" s="1" t="s">
        <v>8402</v>
      </c>
      <c r="C2788" s="1" t="s">
        <v>8403</v>
      </c>
      <c r="D2788" s="1" t="s">
        <v>7844</v>
      </c>
      <c r="E2788" s="1" t="s">
        <v>7845</v>
      </c>
      <c r="F2788" s="1">
        <v>212839.0</v>
      </c>
      <c r="G2788" s="1">
        <v>6589.0</v>
      </c>
      <c r="H2788" s="1">
        <v>629.0</v>
      </c>
      <c r="I2788" s="1">
        <v>1030000.0</v>
      </c>
      <c r="J2788" s="1" t="s">
        <v>6040</v>
      </c>
    </row>
    <row r="2789">
      <c r="A2789" s="1" t="s">
        <v>8404</v>
      </c>
      <c r="B2789" s="1" t="s">
        <v>8405</v>
      </c>
      <c r="C2789" s="1" t="s">
        <v>8406</v>
      </c>
      <c r="D2789" s="1" t="s">
        <v>7844</v>
      </c>
      <c r="E2789" s="1" t="s">
        <v>7845</v>
      </c>
      <c r="F2789" s="1">
        <v>10300.0</v>
      </c>
      <c r="G2789" s="1">
        <v>1108.0</v>
      </c>
      <c r="H2789" s="1">
        <v>20.0</v>
      </c>
      <c r="I2789" s="1">
        <v>1030000.0</v>
      </c>
      <c r="J2789" s="1" t="s">
        <v>6040</v>
      </c>
    </row>
    <row r="2790">
      <c r="A2790" s="1" t="s">
        <v>8407</v>
      </c>
      <c r="B2790" s="1" t="s">
        <v>8408</v>
      </c>
      <c r="C2790" s="1" t="s">
        <v>8409</v>
      </c>
      <c r="D2790" s="1" t="s">
        <v>7844</v>
      </c>
      <c r="E2790" s="1" t="s">
        <v>7845</v>
      </c>
      <c r="F2790" s="1">
        <v>15186.0</v>
      </c>
      <c r="G2790" s="1">
        <v>1350.0</v>
      </c>
      <c r="H2790" s="1">
        <v>59.0</v>
      </c>
      <c r="I2790" s="1">
        <v>1030000.0</v>
      </c>
      <c r="J2790" s="1" t="s">
        <v>6040</v>
      </c>
    </row>
    <row r="2791">
      <c r="A2791" s="1" t="s">
        <v>8410</v>
      </c>
      <c r="B2791" s="1" t="s">
        <v>8411</v>
      </c>
      <c r="C2791" s="1" t="s">
        <v>8412</v>
      </c>
      <c r="D2791" s="1" t="s">
        <v>7844</v>
      </c>
      <c r="E2791" s="1" t="s">
        <v>7845</v>
      </c>
      <c r="F2791" s="1">
        <v>40697.0</v>
      </c>
      <c r="G2791" s="1">
        <v>2705.0</v>
      </c>
      <c r="H2791" s="1">
        <v>85.0</v>
      </c>
      <c r="I2791" s="1">
        <v>1030000.0</v>
      </c>
      <c r="J2791" s="1" t="s">
        <v>6040</v>
      </c>
    </row>
    <row r="2792">
      <c r="A2792" s="1" t="s">
        <v>8413</v>
      </c>
      <c r="B2792" s="1" t="s">
        <v>8414</v>
      </c>
      <c r="C2792" s="1" t="s">
        <v>8415</v>
      </c>
      <c r="D2792" s="1" t="s">
        <v>7844</v>
      </c>
      <c r="E2792" s="1" t="s">
        <v>7845</v>
      </c>
      <c r="F2792" s="1">
        <v>74065.0</v>
      </c>
      <c r="G2792" s="1">
        <v>3901.0</v>
      </c>
      <c r="H2792" s="1">
        <v>22.0</v>
      </c>
      <c r="I2792" s="1">
        <v>1030000.0</v>
      </c>
      <c r="J2792" s="1" t="s">
        <v>6040</v>
      </c>
    </row>
    <row r="2793">
      <c r="A2793" s="1" t="s">
        <v>8416</v>
      </c>
      <c r="B2793" s="1" t="s">
        <v>8417</v>
      </c>
      <c r="C2793" s="1" t="s">
        <v>8418</v>
      </c>
      <c r="D2793" s="1" t="s">
        <v>7844</v>
      </c>
      <c r="E2793" s="1" t="s">
        <v>7845</v>
      </c>
      <c r="F2793" s="1">
        <v>7936.0</v>
      </c>
      <c r="G2793" s="1">
        <v>781.0</v>
      </c>
      <c r="H2793" s="1">
        <v>19.0</v>
      </c>
      <c r="I2793" s="1">
        <v>1030000.0</v>
      </c>
      <c r="J2793" s="1" t="s">
        <v>6040</v>
      </c>
    </row>
    <row r="2794">
      <c r="A2794" s="1" t="s">
        <v>8419</v>
      </c>
      <c r="B2794" s="1" t="s">
        <v>8420</v>
      </c>
      <c r="C2794" s="1" t="s">
        <v>8421</v>
      </c>
      <c r="D2794" s="1" t="s">
        <v>7844</v>
      </c>
      <c r="E2794" s="1" t="s">
        <v>7845</v>
      </c>
      <c r="F2794" s="1">
        <v>16256.0</v>
      </c>
      <c r="G2794" s="1">
        <v>1329.0</v>
      </c>
      <c r="H2794" s="1">
        <v>17.0</v>
      </c>
      <c r="I2794" s="1">
        <v>1030000.0</v>
      </c>
      <c r="J2794" s="1" t="s">
        <v>6040</v>
      </c>
    </row>
    <row r="2795">
      <c r="A2795" s="1" t="s">
        <v>8422</v>
      </c>
      <c r="B2795" s="1" t="s">
        <v>8423</v>
      </c>
      <c r="C2795" s="1" t="s">
        <v>8424</v>
      </c>
      <c r="D2795" s="1" t="s">
        <v>7844</v>
      </c>
      <c r="E2795" s="1" t="s">
        <v>7845</v>
      </c>
      <c r="F2795" s="1">
        <v>286431.0</v>
      </c>
      <c r="G2795" s="1">
        <v>7961.0</v>
      </c>
      <c r="H2795" s="1">
        <v>649.0</v>
      </c>
      <c r="I2795" s="1">
        <v>1030000.0</v>
      </c>
      <c r="J2795" s="1" t="s">
        <v>6040</v>
      </c>
    </row>
    <row r="2796">
      <c r="A2796" s="1" t="s">
        <v>8425</v>
      </c>
      <c r="B2796" s="1" t="s">
        <v>8426</v>
      </c>
      <c r="C2796" s="1" t="s">
        <v>8427</v>
      </c>
      <c r="D2796" s="1" t="s">
        <v>7844</v>
      </c>
      <c r="E2796" s="1" t="s">
        <v>7845</v>
      </c>
      <c r="F2796" s="1">
        <v>11148.0</v>
      </c>
      <c r="G2796" s="1">
        <v>804.0</v>
      </c>
      <c r="H2796" s="1">
        <v>24.0</v>
      </c>
      <c r="I2796" s="1">
        <v>1030000.0</v>
      </c>
      <c r="J2796" s="1" t="s">
        <v>6040</v>
      </c>
    </row>
    <row r="2797">
      <c r="A2797" s="1" t="s">
        <v>8428</v>
      </c>
      <c r="B2797" s="1" t="s">
        <v>8429</v>
      </c>
      <c r="C2797" s="1" t="s">
        <v>8430</v>
      </c>
      <c r="D2797" s="1" t="s">
        <v>7844</v>
      </c>
      <c r="E2797" s="1" t="s">
        <v>7845</v>
      </c>
      <c r="F2797" s="1">
        <v>21722.0</v>
      </c>
      <c r="G2797" s="1">
        <v>1781.0</v>
      </c>
      <c r="H2797" s="1">
        <v>142.0</v>
      </c>
      <c r="I2797" s="1">
        <v>1030000.0</v>
      </c>
      <c r="J2797" s="1" t="s">
        <v>6040</v>
      </c>
    </row>
    <row r="2798">
      <c r="A2798" s="1" t="s">
        <v>8431</v>
      </c>
      <c r="B2798" s="1" t="s">
        <v>8432</v>
      </c>
      <c r="C2798" s="1" t="s">
        <v>8433</v>
      </c>
      <c r="D2798" s="1" t="s">
        <v>7844</v>
      </c>
      <c r="E2798" s="1" t="s">
        <v>7845</v>
      </c>
      <c r="F2798" s="1">
        <v>1224582.0</v>
      </c>
      <c r="G2798" s="1">
        <v>67229.0</v>
      </c>
      <c r="H2798" s="1">
        <v>617.0</v>
      </c>
      <c r="I2798" s="1">
        <v>1030000.0</v>
      </c>
      <c r="J2798" s="1" t="s">
        <v>6040</v>
      </c>
    </row>
    <row r="2799">
      <c r="A2799" s="1" t="s">
        <v>8434</v>
      </c>
      <c r="B2799" s="1" t="s">
        <v>8435</v>
      </c>
      <c r="C2799" s="1" t="s">
        <v>8436</v>
      </c>
      <c r="D2799" s="1" t="s">
        <v>7844</v>
      </c>
      <c r="E2799" s="1" t="s">
        <v>7845</v>
      </c>
      <c r="F2799" s="1">
        <v>74470.0</v>
      </c>
      <c r="G2799" s="1">
        <v>6799.0</v>
      </c>
      <c r="H2799" s="1">
        <v>283.0</v>
      </c>
      <c r="I2799" s="1">
        <v>1030000.0</v>
      </c>
      <c r="J2799" s="1" t="s">
        <v>6040</v>
      </c>
    </row>
    <row r="2800">
      <c r="A2800" s="1" t="s">
        <v>8437</v>
      </c>
      <c r="B2800" s="1" t="s">
        <v>8438</v>
      </c>
      <c r="C2800" s="1" t="s">
        <v>8439</v>
      </c>
      <c r="D2800" s="1" t="s">
        <v>7844</v>
      </c>
      <c r="E2800" s="1" t="s">
        <v>7845</v>
      </c>
      <c r="F2800" s="1">
        <v>3770884.0</v>
      </c>
      <c r="G2800" s="1">
        <v>47278.0</v>
      </c>
      <c r="H2800" s="1">
        <v>5973.0</v>
      </c>
      <c r="I2800" s="1">
        <v>1030000.0</v>
      </c>
      <c r="J2800" s="1" t="s">
        <v>6040</v>
      </c>
    </row>
    <row r="2801">
      <c r="A2801" s="1" t="s">
        <v>8440</v>
      </c>
      <c r="B2801" s="1" t="s">
        <v>8441</v>
      </c>
      <c r="C2801" s="1" t="s">
        <v>8442</v>
      </c>
      <c r="D2801" s="1" t="s">
        <v>7844</v>
      </c>
      <c r="E2801" s="1" t="s">
        <v>7845</v>
      </c>
      <c r="F2801" s="1">
        <v>14343.0</v>
      </c>
      <c r="G2801" s="1">
        <v>2075.0</v>
      </c>
      <c r="H2801" s="1">
        <v>55.0</v>
      </c>
      <c r="I2801" s="1">
        <v>1030000.0</v>
      </c>
      <c r="J2801" s="1" t="s">
        <v>6040</v>
      </c>
    </row>
    <row r="2802">
      <c r="A2802" s="1" t="s">
        <v>8443</v>
      </c>
      <c r="B2802" s="1" t="s">
        <v>8444</v>
      </c>
      <c r="C2802" s="1" t="s">
        <v>8445</v>
      </c>
      <c r="D2802" s="1" t="s">
        <v>8446</v>
      </c>
      <c r="E2802" s="1" t="s">
        <v>8447</v>
      </c>
      <c r="F2802" s="1">
        <v>122978.0</v>
      </c>
      <c r="G2802" s="1">
        <v>5144.0</v>
      </c>
      <c r="H2802" s="1">
        <v>448.0</v>
      </c>
      <c r="I2802" s="1">
        <v>4910000.0</v>
      </c>
      <c r="J2802" s="1" t="s">
        <v>6040</v>
      </c>
    </row>
    <row r="2803">
      <c r="A2803" s="1" t="s">
        <v>8448</v>
      </c>
      <c r="B2803" s="1" t="s">
        <v>8449</v>
      </c>
      <c r="C2803" s="1" t="s">
        <v>8450</v>
      </c>
      <c r="D2803" s="1" t="s">
        <v>8446</v>
      </c>
      <c r="E2803" s="1" t="s">
        <v>8447</v>
      </c>
      <c r="F2803" s="1">
        <v>1139034.0</v>
      </c>
      <c r="G2803" s="1">
        <v>28957.0</v>
      </c>
      <c r="H2803" s="1">
        <v>3834.0</v>
      </c>
      <c r="I2803" s="1">
        <v>4910000.0</v>
      </c>
      <c r="J2803" s="1" t="s">
        <v>6040</v>
      </c>
    </row>
    <row r="2804">
      <c r="A2804" s="1" t="s">
        <v>8451</v>
      </c>
      <c r="B2804" s="1" t="s">
        <v>8452</v>
      </c>
      <c r="C2804" s="1" t="s">
        <v>8453</v>
      </c>
      <c r="D2804" s="1" t="s">
        <v>8446</v>
      </c>
      <c r="E2804" s="1" t="s">
        <v>8447</v>
      </c>
      <c r="F2804" s="1">
        <v>484720.0</v>
      </c>
      <c r="G2804" s="1">
        <v>13325.0</v>
      </c>
      <c r="H2804" s="1">
        <v>1638.0</v>
      </c>
      <c r="I2804" s="1">
        <v>4910000.0</v>
      </c>
      <c r="J2804" s="1" t="s">
        <v>6040</v>
      </c>
    </row>
    <row r="2805">
      <c r="A2805" s="1" t="s">
        <v>8454</v>
      </c>
      <c r="B2805" s="1" t="s">
        <v>8455</v>
      </c>
      <c r="C2805" s="1" t="s">
        <v>8456</v>
      </c>
      <c r="D2805" s="1" t="s">
        <v>8446</v>
      </c>
      <c r="E2805" s="1" t="s">
        <v>8447</v>
      </c>
      <c r="F2805" s="1">
        <v>672266.0</v>
      </c>
      <c r="G2805" s="1">
        <v>20555.0</v>
      </c>
      <c r="H2805" s="1">
        <v>2559.0</v>
      </c>
      <c r="I2805" s="1">
        <v>4910000.0</v>
      </c>
      <c r="J2805" s="1" t="s">
        <v>6040</v>
      </c>
    </row>
    <row r="2806">
      <c r="A2806" s="1" t="s">
        <v>8457</v>
      </c>
      <c r="B2806" s="1" t="s">
        <v>8458</v>
      </c>
      <c r="C2806" s="1" t="s">
        <v>8459</v>
      </c>
      <c r="D2806" s="1" t="s">
        <v>8446</v>
      </c>
      <c r="E2806" s="1" t="s">
        <v>8447</v>
      </c>
      <c r="F2806" s="1">
        <v>581257.0</v>
      </c>
      <c r="G2806" s="1">
        <v>14105.0</v>
      </c>
      <c r="H2806" s="1">
        <v>1402.0</v>
      </c>
      <c r="I2806" s="1">
        <v>4910000.0</v>
      </c>
      <c r="J2806" s="1" t="s">
        <v>6040</v>
      </c>
    </row>
    <row r="2807">
      <c r="A2807" s="1" t="s">
        <v>8460</v>
      </c>
      <c r="B2807" s="1" t="s">
        <v>8461</v>
      </c>
      <c r="C2807" s="1" t="s">
        <v>8462</v>
      </c>
      <c r="D2807" s="1" t="s">
        <v>8446</v>
      </c>
      <c r="E2807" s="1" t="s">
        <v>8447</v>
      </c>
      <c r="F2807" s="1">
        <v>655153.0</v>
      </c>
      <c r="G2807" s="1">
        <v>16471.0</v>
      </c>
      <c r="H2807" s="1">
        <v>1221.0</v>
      </c>
      <c r="I2807" s="1">
        <v>4910000.0</v>
      </c>
      <c r="J2807" s="1" t="s">
        <v>6040</v>
      </c>
    </row>
    <row r="2808">
      <c r="A2808" s="1" t="s">
        <v>8463</v>
      </c>
      <c r="B2808" s="1" t="s">
        <v>8464</v>
      </c>
      <c r="C2808" s="1" t="s">
        <v>8465</v>
      </c>
      <c r="D2808" s="1" t="s">
        <v>8446</v>
      </c>
      <c r="E2808" s="1" t="s">
        <v>8447</v>
      </c>
      <c r="F2808" s="1">
        <v>1427809.0</v>
      </c>
      <c r="G2808" s="1">
        <v>32248.0</v>
      </c>
      <c r="H2808" s="1">
        <v>3547.0</v>
      </c>
      <c r="I2808" s="1">
        <v>4910000.0</v>
      </c>
      <c r="J2808" s="1" t="s">
        <v>6040</v>
      </c>
    </row>
    <row r="2809">
      <c r="A2809" s="1" t="s">
        <v>8466</v>
      </c>
      <c r="B2809" s="1" t="s">
        <v>8467</v>
      </c>
      <c r="C2809" s="1" t="s">
        <v>8468</v>
      </c>
      <c r="D2809" s="1" t="s">
        <v>8446</v>
      </c>
      <c r="E2809" s="1" t="s">
        <v>8447</v>
      </c>
      <c r="F2809" s="1">
        <v>859458.0</v>
      </c>
      <c r="G2809" s="1">
        <v>24114.0</v>
      </c>
      <c r="H2809" s="1">
        <v>5034.0</v>
      </c>
      <c r="I2809" s="1">
        <v>4910000.0</v>
      </c>
      <c r="J2809" s="1" t="s">
        <v>6040</v>
      </c>
    </row>
    <row r="2810">
      <c r="A2810" s="1" t="s">
        <v>8469</v>
      </c>
      <c r="B2810" s="1" t="s">
        <v>8470</v>
      </c>
      <c r="C2810" s="1" t="s">
        <v>8471</v>
      </c>
      <c r="D2810" s="1" t="s">
        <v>8446</v>
      </c>
      <c r="E2810" s="1" t="s">
        <v>8447</v>
      </c>
      <c r="F2810" s="1">
        <v>1106260.0</v>
      </c>
      <c r="G2810" s="1">
        <v>29527.0</v>
      </c>
      <c r="H2810" s="1">
        <v>2902.0</v>
      </c>
      <c r="I2810" s="1">
        <v>4910000.0</v>
      </c>
      <c r="J2810" s="1" t="s">
        <v>6040</v>
      </c>
    </row>
    <row r="2811">
      <c r="A2811" s="1" t="s">
        <v>8472</v>
      </c>
      <c r="B2811" s="1" t="s">
        <v>8473</v>
      </c>
      <c r="C2811" s="1" t="s">
        <v>8474</v>
      </c>
      <c r="D2811" s="1" t="s">
        <v>8446</v>
      </c>
      <c r="E2811" s="1" t="s">
        <v>8447</v>
      </c>
      <c r="F2811" s="1">
        <v>1306187.0</v>
      </c>
      <c r="G2811" s="1">
        <v>21137.0</v>
      </c>
      <c r="H2811" s="1">
        <v>1192.0</v>
      </c>
      <c r="I2811" s="1">
        <v>4910000.0</v>
      </c>
      <c r="J2811" s="1" t="s">
        <v>6040</v>
      </c>
    </row>
    <row r="2812">
      <c r="A2812" s="1" t="s">
        <v>8475</v>
      </c>
      <c r="B2812" s="1" t="s">
        <v>8476</v>
      </c>
      <c r="C2812" s="1" t="s">
        <v>8477</v>
      </c>
      <c r="D2812" s="1" t="s">
        <v>8446</v>
      </c>
      <c r="E2812" s="1" t="s">
        <v>8447</v>
      </c>
      <c r="F2812" s="1">
        <v>1075850.0</v>
      </c>
      <c r="G2812" s="1">
        <v>22788.0</v>
      </c>
      <c r="H2812" s="1">
        <v>1917.0</v>
      </c>
      <c r="I2812" s="1">
        <v>4910000.0</v>
      </c>
      <c r="J2812" s="1" t="s">
        <v>6040</v>
      </c>
    </row>
    <row r="2813">
      <c r="A2813" s="1" t="s">
        <v>8478</v>
      </c>
      <c r="B2813" s="1" t="s">
        <v>8479</v>
      </c>
      <c r="C2813" s="1" t="s">
        <v>8480</v>
      </c>
      <c r="D2813" s="1" t="s">
        <v>8446</v>
      </c>
      <c r="E2813" s="1" t="s">
        <v>8447</v>
      </c>
      <c r="F2813" s="1">
        <v>559489.0</v>
      </c>
      <c r="G2813" s="1">
        <v>23925.0</v>
      </c>
      <c r="H2813" s="1">
        <v>2720.0</v>
      </c>
      <c r="I2813" s="1">
        <v>4910000.0</v>
      </c>
      <c r="J2813" s="1" t="s">
        <v>6040</v>
      </c>
    </row>
    <row r="2814">
      <c r="A2814" s="1" t="s">
        <v>8481</v>
      </c>
      <c r="B2814" s="1" t="s">
        <v>8482</v>
      </c>
      <c r="C2814" s="1" t="s">
        <v>8483</v>
      </c>
      <c r="D2814" s="1" t="s">
        <v>8446</v>
      </c>
      <c r="E2814" s="1" t="s">
        <v>8447</v>
      </c>
      <c r="F2814" s="1">
        <v>853115.0</v>
      </c>
      <c r="G2814" s="1">
        <v>19878.0</v>
      </c>
      <c r="H2814" s="1">
        <v>1521.0</v>
      </c>
      <c r="I2814" s="1">
        <v>4910000.0</v>
      </c>
      <c r="J2814" s="1" t="s">
        <v>6040</v>
      </c>
    </row>
    <row r="2815">
      <c r="A2815" s="1" t="s">
        <v>8484</v>
      </c>
      <c r="B2815" s="1" t="s">
        <v>8485</v>
      </c>
      <c r="C2815" s="1" t="s">
        <v>8486</v>
      </c>
      <c r="D2815" s="1" t="s">
        <v>8446</v>
      </c>
      <c r="E2815" s="1" t="s">
        <v>8447</v>
      </c>
      <c r="F2815" s="1">
        <v>1677186.0</v>
      </c>
      <c r="G2815" s="1">
        <v>35785.0</v>
      </c>
      <c r="H2815" s="1">
        <v>1396.0</v>
      </c>
      <c r="I2815" s="1">
        <v>4910000.0</v>
      </c>
      <c r="J2815" s="1" t="s">
        <v>6040</v>
      </c>
    </row>
    <row r="2816">
      <c r="A2816" s="1" t="s">
        <v>8487</v>
      </c>
      <c r="B2816" s="1" t="s">
        <v>8488</v>
      </c>
      <c r="C2816" s="1" t="s">
        <v>8489</v>
      </c>
      <c r="D2816" s="1" t="s">
        <v>8446</v>
      </c>
      <c r="E2816" s="1" t="s">
        <v>8447</v>
      </c>
      <c r="F2816" s="1">
        <v>1102491.0</v>
      </c>
      <c r="G2816" s="1">
        <v>24037.0</v>
      </c>
      <c r="H2816" s="1">
        <v>1111.0</v>
      </c>
      <c r="I2816" s="1">
        <v>4910000.0</v>
      </c>
      <c r="J2816" s="1" t="s">
        <v>6040</v>
      </c>
    </row>
    <row r="2817">
      <c r="A2817" s="1" t="s">
        <v>8490</v>
      </c>
      <c r="B2817" s="1" t="s">
        <v>8491</v>
      </c>
      <c r="C2817" s="1" t="s">
        <v>8492</v>
      </c>
      <c r="D2817" s="1" t="s">
        <v>8446</v>
      </c>
      <c r="E2817" s="1" t="s">
        <v>8447</v>
      </c>
      <c r="F2817" s="1">
        <v>1088606.0</v>
      </c>
      <c r="G2817" s="1">
        <v>22238.0</v>
      </c>
      <c r="H2817" s="1">
        <v>994.0</v>
      </c>
      <c r="I2817" s="1">
        <v>4910000.0</v>
      </c>
      <c r="J2817" s="1" t="s">
        <v>6040</v>
      </c>
    </row>
    <row r="2818">
      <c r="A2818" s="1" t="s">
        <v>8493</v>
      </c>
      <c r="B2818" s="1" t="s">
        <v>8494</v>
      </c>
      <c r="C2818" s="1" t="s">
        <v>8495</v>
      </c>
      <c r="D2818" s="1" t="s">
        <v>8446</v>
      </c>
      <c r="E2818" s="1" t="s">
        <v>8447</v>
      </c>
      <c r="F2818" s="1">
        <v>1350739.0</v>
      </c>
      <c r="G2818" s="1">
        <v>24896.0</v>
      </c>
      <c r="H2818" s="1">
        <v>3324.0</v>
      </c>
      <c r="I2818" s="1">
        <v>4910000.0</v>
      </c>
      <c r="J2818" s="1" t="s">
        <v>6040</v>
      </c>
    </row>
    <row r="2819">
      <c r="A2819" s="1" t="s">
        <v>8496</v>
      </c>
      <c r="B2819" s="1" t="s">
        <v>8497</v>
      </c>
      <c r="C2819" s="1" t="s">
        <v>8498</v>
      </c>
      <c r="D2819" s="1" t="s">
        <v>8446</v>
      </c>
      <c r="E2819" s="1" t="s">
        <v>8447</v>
      </c>
      <c r="F2819" s="1">
        <v>257845.0</v>
      </c>
      <c r="G2819" s="1">
        <v>7076.0</v>
      </c>
      <c r="H2819" s="1">
        <v>477.0</v>
      </c>
      <c r="I2819" s="1">
        <v>4910000.0</v>
      </c>
      <c r="J2819" s="1" t="s">
        <v>6040</v>
      </c>
    </row>
    <row r="2820">
      <c r="A2820" s="1" t="s">
        <v>8499</v>
      </c>
      <c r="B2820" s="1" t="s">
        <v>8500</v>
      </c>
      <c r="C2820" s="1" t="s">
        <v>8501</v>
      </c>
      <c r="D2820" s="1" t="s">
        <v>8446</v>
      </c>
      <c r="E2820" s="1" t="s">
        <v>8447</v>
      </c>
      <c r="F2820" s="1">
        <v>535576.0</v>
      </c>
      <c r="G2820" s="1">
        <v>14640.0</v>
      </c>
      <c r="H2820" s="1">
        <v>934.0</v>
      </c>
      <c r="I2820" s="1">
        <v>4910000.0</v>
      </c>
      <c r="J2820" s="1" t="s">
        <v>6040</v>
      </c>
    </row>
    <row r="2821">
      <c r="A2821" s="1" t="s">
        <v>8502</v>
      </c>
      <c r="B2821" s="1" t="s">
        <v>8503</v>
      </c>
      <c r="C2821" s="1" t="s">
        <v>8504</v>
      </c>
      <c r="D2821" s="1" t="s">
        <v>8446</v>
      </c>
      <c r="E2821" s="1" t="s">
        <v>8447</v>
      </c>
      <c r="F2821" s="1">
        <v>1200849.0</v>
      </c>
      <c r="G2821" s="1">
        <v>24098.0</v>
      </c>
      <c r="H2821" s="1">
        <v>3591.0</v>
      </c>
      <c r="I2821" s="1">
        <v>4910000.0</v>
      </c>
      <c r="J2821" s="1" t="s">
        <v>6040</v>
      </c>
    </row>
    <row r="2822">
      <c r="A2822" s="1" t="s">
        <v>8505</v>
      </c>
      <c r="B2822" s="1" t="s">
        <v>8506</v>
      </c>
      <c r="C2822" s="1" t="s">
        <v>8507</v>
      </c>
      <c r="D2822" s="1" t="s">
        <v>8446</v>
      </c>
      <c r="E2822" s="1" t="s">
        <v>8447</v>
      </c>
      <c r="F2822" s="1">
        <v>754337.0</v>
      </c>
      <c r="G2822" s="1">
        <v>23535.0</v>
      </c>
      <c r="H2822" s="1">
        <v>2733.0</v>
      </c>
      <c r="I2822" s="1">
        <v>4910000.0</v>
      </c>
      <c r="J2822" s="1" t="s">
        <v>6040</v>
      </c>
    </row>
    <row r="2823">
      <c r="A2823" s="1" t="s">
        <v>8508</v>
      </c>
      <c r="B2823" s="1" t="s">
        <v>8509</v>
      </c>
      <c r="C2823" s="1" t="s">
        <v>8510</v>
      </c>
      <c r="D2823" s="1" t="s">
        <v>8446</v>
      </c>
      <c r="E2823" s="1" t="s">
        <v>8447</v>
      </c>
      <c r="F2823" s="1">
        <v>976404.0</v>
      </c>
      <c r="G2823" s="1">
        <v>23790.0</v>
      </c>
      <c r="H2823" s="1">
        <v>1918.0</v>
      </c>
      <c r="I2823" s="1">
        <v>4910000.0</v>
      </c>
      <c r="J2823" s="1" t="s">
        <v>6040</v>
      </c>
    </row>
    <row r="2824">
      <c r="A2824" s="1" t="s">
        <v>8511</v>
      </c>
      <c r="B2824" s="1" t="s">
        <v>8512</v>
      </c>
      <c r="C2824" s="1" t="s">
        <v>8513</v>
      </c>
      <c r="D2824" s="1" t="s">
        <v>8446</v>
      </c>
      <c r="E2824" s="1" t="s">
        <v>8447</v>
      </c>
      <c r="F2824" s="1">
        <v>1439034.0</v>
      </c>
      <c r="G2824" s="1">
        <v>26362.0</v>
      </c>
      <c r="H2824" s="1">
        <v>1752.0</v>
      </c>
      <c r="I2824" s="1">
        <v>4910000.0</v>
      </c>
      <c r="J2824" s="1" t="s">
        <v>6040</v>
      </c>
    </row>
    <row r="2825">
      <c r="A2825" s="1" t="s">
        <v>8514</v>
      </c>
      <c r="B2825" s="1" t="s">
        <v>8515</v>
      </c>
      <c r="C2825" s="1" t="s">
        <v>8516</v>
      </c>
      <c r="D2825" s="1" t="s">
        <v>8446</v>
      </c>
      <c r="E2825" s="1" t="s">
        <v>8447</v>
      </c>
      <c r="F2825" s="1">
        <v>1317821.0</v>
      </c>
      <c r="G2825" s="1">
        <v>34139.0</v>
      </c>
      <c r="H2825" s="1">
        <v>2985.0</v>
      </c>
      <c r="I2825" s="1">
        <v>4910000.0</v>
      </c>
      <c r="J2825" s="1" t="s">
        <v>6040</v>
      </c>
    </row>
    <row r="2826">
      <c r="A2826" s="1" t="s">
        <v>8517</v>
      </c>
      <c r="B2826" s="1" t="s">
        <v>8518</v>
      </c>
      <c r="C2826" s="1" t="s">
        <v>8519</v>
      </c>
      <c r="D2826" s="1" t="s">
        <v>8446</v>
      </c>
      <c r="E2826" s="1" t="s">
        <v>8447</v>
      </c>
      <c r="F2826" s="1">
        <v>1544926.0</v>
      </c>
      <c r="G2826" s="1">
        <v>29102.0</v>
      </c>
      <c r="H2826" s="1">
        <v>5104.0</v>
      </c>
      <c r="I2826" s="1">
        <v>4910000.0</v>
      </c>
      <c r="J2826" s="1" t="s">
        <v>6040</v>
      </c>
    </row>
    <row r="2827">
      <c r="A2827" s="1" t="s">
        <v>8520</v>
      </c>
      <c r="B2827" s="1" t="s">
        <v>8521</v>
      </c>
      <c r="C2827" s="1" t="s">
        <v>8522</v>
      </c>
      <c r="D2827" s="1" t="s">
        <v>8446</v>
      </c>
      <c r="E2827" s="1" t="s">
        <v>8447</v>
      </c>
      <c r="F2827" s="1">
        <v>489239.0</v>
      </c>
      <c r="G2827" s="1">
        <v>14530.0</v>
      </c>
      <c r="H2827" s="1">
        <v>1363.0</v>
      </c>
      <c r="I2827" s="1">
        <v>4910000.0</v>
      </c>
      <c r="J2827" s="1" t="s">
        <v>6040</v>
      </c>
    </row>
    <row r="2828">
      <c r="A2828" s="1" t="s">
        <v>8523</v>
      </c>
      <c r="B2828" s="1" t="s">
        <v>8524</v>
      </c>
      <c r="C2828" s="1" t="s">
        <v>8525</v>
      </c>
      <c r="D2828" s="1" t="s">
        <v>8446</v>
      </c>
      <c r="E2828" s="1" t="s">
        <v>8447</v>
      </c>
      <c r="F2828" s="1">
        <v>1389978.0</v>
      </c>
      <c r="G2828" s="1">
        <v>31761.0</v>
      </c>
      <c r="H2828" s="1">
        <v>2096.0</v>
      </c>
      <c r="I2828" s="1">
        <v>4910000.0</v>
      </c>
      <c r="J2828" s="1" t="s">
        <v>6040</v>
      </c>
    </row>
    <row r="2829">
      <c r="A2829" s="1" t="s">
        <v>8526</v>
      </c>
      <c r="B2829" s="1" t="s">
        <v>8527</v>
      </c>
      <c r="C2829" s="1" t="s">
        <v>8528</v>
      </c>
      <c r="D2829" s="1" t="s">
        <v>8446</v>
      </c>
      <c r="E2829" s="1" t="s">
        <v>8447</v>
      </c>
      <c r="F2829" s="1">
        <v>848235.0</v>
      </c>
      <c r="G2829" s="1">
        <v>23075.0</v>
      </c>
      <c r="H2829" s="1">
        <v>1807.0</v>
      </c>
      <c r="I2829" s="1">
        <v>4910000.0</v>
      </c>
      <c r="J2829" s="1" t="s">
        <v>6040</v>
      </c>
    </row>
    <row r="2830">
      <c r="A2830" s="1" t="s">
        <v>8529</v>
      </c>
      <c r="B2830" s="1" t="s">
        <v>8530</v>
      </c>
      <c r="C2830" s="1" t="s">
        <v>8531</v>
      </c>
      <c r="D2830" s="1" t="s">
        <v>8446</v>
      </c>
      <c r="E2830" s="1" t="s">
        <v>8447</v>
      </c>
      <c r="F2830" s="1">
        <v>1730238.0</v>
      </c>
      <c r="G2830" s="1">
        <v>33014.0</v>
      </c>
      <c r="H2830" s="1">
        <v>1088.0</v>
      </c>
      <c r="I2830" s="1">
        <v>4910000.0</v>
      </c>
      <c r="J2830" s="1" t="s">
        <v>6040</v>
      </c>
    </row>
    <row r="2831">
      <c r="A2831" s="1" t="s">
        <v>8532</v>
      </c>
      <c r="B2831" s="1" t="s">
        <v>8533</v>
      </c>
      <c r="C2831" s="1" t="s">
        <v>8534</v>
      </c>
      <c r="D2831" s="1" t="s">
        <v>8446</v>
      </c>
      <c r="E2831" s="1" t="s">
        <v>8447</v>
      </c>
      <c r="F2831" s="1">
        <v>1261695.0</v>
      </c>
      <c r="G2831" s="1">
        <v>27898.0</v>
      </c>
      <c r="H2831" s="1">
        <v>1224.0</v>
      </c>
      <c r="I2831" s="1">
        <v>4910000.0</v>
      </c>
      <c r="J2831" s="1" t="s">
        <v>6040</v>
      </c>
    </row>
    <row r="2832">
      <c r="A2832" s="1" t="s">
        <v>8535</v>
      </c>
      <c r="B2832" s="1" t="s">
        <v>8536</v>
      </c>
      <c r="C2832" s="1" t="s">
        <v>8537</v>
      </c>
      <c r="D2832" s="1" t="s">
        <v>8446</v>
      </c>
      <c r="E2832" s="1" t="s">
        <v>8447</v>
      </c>
      <c r="F2832" s="1">
        <v>3168051.0</v>
      </c>
      <c r="G2832" s="1">
        <v>54964.0</v>
      </c>
      <c r="H2832" s="1">
        <v>7369.0</v>
      </c>
      <c r="I2832" s="1">
        <v>4910000.0</v>
      </c>
      <c r="J2832" s="1" t="s">
        <v>6040</v>
      </c>
    </row>
    <row r="2833">
      <c r="A2833" s="1" t="s">
        <v>8538</v>
      </c>
      <c r="B2833" s="1" t="s">
        <v>8539</v>
      </c>
      <c r="C2833" s="1" t="s">
        <v>8540</v>
      </c>
      <c r="D2833" s="1" t="s">
        <v>8446</v>
      </c>
      <c r="E2833" s="1" t="s">
        <v>8447</v>
      </c>
      <c r="F2833" s="1">
        <v>1418438.0</v>
      </c>
      <c r="G2833" s="1">
        <v>39933.0</v>
      </c>
      <c r="H2833" s="1">
        <v>3781.0</v>
      </c>
      <c r="I2833" s="1">
        <v>4910000.0</v>
      </c>
      <c r="J2833" s="1" t="s">
        <v>6040</v>
      </c>
    </row>
    <row r="2834">
      <c r="A2834" s="1" t="s">
        <v>8541</v>
      </c>
      <c r="B2834" s="1" t="s">
        <v>8542</v>
      </c>
      <c r="C2834" s="1" t="s">
        <v>8543</v>
      </c>
      <c r="D2834" s="1" t="s">
        <v>8446</v>
      </c>
      <c r="E2834" s="1" t="s">
        <v>8447</v>
      </c>
      <c r="F2834" s="1">
        <v>2848041.0</v>
      </c>
      <c r="G2834" s="1">
        <v>51198.0</v>
      </c>
      <c r="H2834" s="1">
        <v>5370.0</v>
      </c>
      <c r="I2834" s="1">
        <v>4910000.0</v>
      </c>
      <c r="J2834" s="1" t="s">
        <v>6040</v>
      </c>
    </row>
    <row r="2835">
      <c r="A2835" s="1" t="s">
        <v>8544</v>
      </c>
      <c r="B2835" s="1" t="s">
        <v>8545</v>
      </c>
      <c r="C2835" s="1" t="s">
        <v>8546</v>
      </c>
      <c r="D2835" s="1" t="s">
        <v>8446</v>
      </c>
      <c r="E2835" s="1" t="s">
        <v>8447</v>
      </c>
      <c r="F2835" s="1">
        <v>1220128.0</v>
      </c>
      <c r="G2835" s="1">
        <v>31447.0</v>
      </c>
      <c r="H2835" s="1">
        <v>1058.0</v>
      </c>
      <c r="I2835" s="1">
        <v>4910000.0</v>
      </c>
      <c r="J2835" s="1" t="s">
        <v>6040</v>
      </c>
    </row>
    <row r="2836">
      <c r="A2836" s="1" t="s">
        <v>8547</v>
      </c>
      <c r="B2836" s="1" t="s">
        <v>8548</v>
      </c>
      <c r="C2836" s="1" t="s">
        <v>8549</v>
      </c>
      <c r="D2836" s="1" t="s">
        <v>8446</v>
      </c>
      <c r="E2836" s="1" t="s">
        <v>8447</v>
      </c>
      <c r="F2836" s="1">
        <v>1621326.0</v>
      </c>
      <c r="G2836" s="1">
        <v>30729.0</v>
      </c>
      <c r="H2836" s="1">
        <v>1059.0</v>
      </c>
      <c r="I2836" s="1">
        <v>4910000.0</v>
      </c>
      <c r="J2836" s="1" t="s">
        <v>6040</v>
      </c>
    </row>
    <row r="2837">
      <c r="A2837" s="1" t="s">
        <v>8550</v>
      </c>
      <c r="B2837" s="1" t="s">
        <v>8551</v>
      </c>
      <c r="C2837" s="1" t="s">
        <v>8552</v>
      </c>
      <c r="D2837" s="1" t="s">
        <v>8446</v>
      </c>
      <c r="E2837" s="1" t="s">
        <v>8447</v>
      </c>
      <c r="F2837" s="1">
        <v>3843733.0</v>
      </c>
      <c r="G2837" s="1">
        <v>59078.0</v>
      </c>
      <c r="H2837" s="1">
        <v>5146.0</v>
      </c>
      <c r="I2837" s="1">
        <v>4910000.0</v>
      </c>
      <c r="J2837" s="1" t="s">
        <v>6040</v>
      </c>
    </row>
    <row r="2838">
      <c r="A2838" s="1" t="s">
        <v>8553</v>
      </c>
      <c r="B2838" s="1" t="s">
        <v>8554</v>
      </c>
      <c r="C2838" s="1" t="s">
        <v>8555</v>
      </c>
      <c r="D2838" s="1" t="s">
        <v>8446</v>
      </c>
      <c r="E2838" s="1" t="s">
        <v>8447</v>
      </c>
      <c r="F2838" s="1">
        <v>1513341.0</v>
      </c>
      <c r="G2838" s="1">
        <v>33870.0</v>
      </c>
      <c r="H2838" s="1">
        <v>1889.0</v>
      </c>
      <c r="I2838" s="1">
        <v>4910000.0</v>
      </c>
      <c r="J2838" s="1" t="s">
        <v>6040</v>
      </c>
    </row>
    <row r="2839">
      <c r="A2839" s="1" t="s">
        <v>8556</v>
      </c>
      <c r="B2839" s="1" t="s">
        <v>8557</v>
      </c>
      <c r="C2839" s="1" t="s">
        <v>8558</v>
      </c>
      <c r="D2839" s="1" t="s">
        <v>8446</v>
      </c>
      <c r="E2839" s="1" t="s">
        <v>8447</v>
      </c>
      <c r="F2839" s="1">
        <v>1686538.0</v>
      </c>
      <c r="G2839" s="1">
        <v>40463.0</v>
      </c>
      <c r="H2839" s="1">
        <v>1852.0</v>
      </c>
      <c r="I2839" s="1">
        <v>4910000.0</v>
      </c>
      <c r="J2839" s="1" t="s">
        <v>6040</v>
      </c>
    </row>
    <row r="2840">
      <c r="A2840" s="1" t="s">
        <v>8559</v>
      </c>
      <c r="B2840" s="1" t="s">
        <v>8560</v>
      </c>
      <c r="C2840" s="1" t="s">
        <v>8561</v>
      </c>
      <c r="D2840" s="1" t="s">
        <v>8446</v>
      </c>
      <c r="E2840" s="1" t="s">
        <v>8447</v>
      </c>
      <c r="F2840" s="1">
        <v>819462.0</v>
      </c>
      <c r="G2840" s="1">
        <v>20990.0</v>
      </c>
      <c r="H2840" s="1">
        <v>2160.0</v>
      </c>
      <c r="I2840" s="1">
        <v>4910000.0</v>
      </c>
      <c r="J2840" s="1" t="s">
        <v>6040</v>
      </c>
    </row>
    <row r="2841">
      <c r="A2841" s="1" t="s">
        <v>8562</v>
      </c>
      <c r="B2841" s="1" t="s">
        <v>8563</v>
      </c>
      <c r="C2841" s="1" t="s">
        <v>8564</v>
      </c>
      <c r="D2841" s="1" t="s">
        <v>8446</v>
      </c>
      <c r="E2841" s="1" t="s">
        <v>8447</v>
      </c>
      <c r="F2841" s="1">
        <v>1407630.0</v>
      </c>
      <c r="G2841" s="1">
        <v>30280.0</v>
      </c>
      <c r="H2841" s="1">
        <v>1651.0</v>
      </c>
      <c r="I2841" s="1">
        <v>4910000.0</v>
      </c>
      <c r="J2841" s="1" t="s">
        <v>6040</v>
      </c>
    </row>
    <row r="2842">
      <c r="A2842" s="1" t="s">
        <v>8565</v>
      </c>
      <c r="B2842" s="1" t="s">
        <v>8566</v>
      </c>
      <c r="C2842" s="1" t="s">
        <v>8567</v>
      </c>
      <c r="D2842" s="1" t="s">
        <v>8446</v>
      </c>
      <c r="E2842" s="1" t="s">
        <v>8447</v>
      </c>
      <c r="F2842" s="1">
        <v>1827829.0</v>
      </c>
      <c r="G2842" s="1">
        <v>41828.0</v>
      </c>
      <c r="H2842" s="1">
        <v>1854.0</v>
      </c>
      <c r="I2842" s="1">
        <v>4910000.0</v>
      </c>
      <c r="J2842" s="1" t="s">
        <v>6040</v>
      </c>
    </row>
    <row r="2843">
      <c r="A2843" s="1" t="s">
        <v>8568</v>
      </c>
      <c r="B2843" s="1" t="s">
        <v>8569</v>
      </c>
      <c r="C2843" s="1" t="s">
        <v>8570</v>
      </c>
      <c r="D2843" s="1" t="s">
        <v>8446</v>
      </c>
      <c r="E2843" s="1" t="s">
        <v>8447</v>
      </c>
      <c r="F2843" s="1">
        <v>2247994.0</v>
      </c>
      <c r="G2843" s="1">
        <v>38838.0</v>
      </c>
      <c r="H2843" s="1">
        <v>1278.0</v>
      </c>
      <c r="I2843" s="1">
        <v>4910000.0</v>
      </c>
      <c r="J2843" s="1" t="s">
        <v>6040</v>
      </c>
    </row>
    <row r="2844">
      <c r="A2844" s="1" t="s">
        <v>8571</v>
      </c>
      <c r="B2844" s="1" t="s">
        <v>8572</v>
      </c>
      <c r="C2844" s="1" t="s">
        <v>8573</v>
      </c>
      <c r="D2844" s="1" t="s">
        <v>8446</v>
      </c>
      <c r="E2844" s="1" t="s">
        <v>8447</v>
      </c>
      <c r="F2844" s="1">
        <v>1773192.0</v>
      </c>
      <c r="G2844" s="1">
        <v>36537.0</v>
      </c>
      <c r="H2844" s="1">
        <v>3134.0</v>
      </c>
      <c r="I2844" s="1">
        <v>4910000.0</v>
      </c>
      <c r="J2844" s="1" t="s">
        <v>6040</v>
      </c>
    </row>
    <row r="2845">
      <c r="A2845" s="1" t="s">
        <v>8574</v>
      </c>
      <c r="B2845" s="1" t="s">
        <v>8575</v>
      </c>
      <c r="C2845" s="1" t="s">
        <v>8576</v>
      </c>
      <c r="D2845" s="1" t="s">
        <v>8446</v>
      </c>
      <c r="E2845" s="1" t="s">
        <v>8447</v>
      </c>
      <c r="F2845" s="1">
        <v>1017601.0</v>
      </c>
      <c r="G2845" s="1">
        <v>20695.0</v>
      </c>
      <c r="H2845" s="1">
        <v>870.0</v>
      </c>
      <c r="I2845" s="1">
        <v>4910000.0</v>
      </c>
      <c r="J2845" s="1" t="s">
        <v>6040</v>
      </c>
    </row>
    <row r="2846">
      <c r="A2846" s="1" t="s">
        <v>8577</v>
      </c>
      <c r="B2846" s="1" t="s">
        <v>8578</v>
      </c>
      <c r="C2846" s="1" t="s">
        <v>8579</v>
      </c>
      <c r="D2846" s="1" t="s">
        <v>8446</v>
      </c>
      <c r="E2846" s="1" t="s">
        <v>8447</v>
      </c>
      <c r="F2846" s="1">
        <v>1405010.0</v>
      </c>
      <c r="G2846" s="1">
        <v>31728.0</v>
      </c>
      <c r="H2846" s="1">
        <v>4604.0</v>
      </c>
      <c r="I2846" s="1">
        <v>4910000.0</v>
      </c>
      <c r="J2846" s="1" t="s">
        <v>6040</v>
      </c>
    </row>
    <row r="2847">
      <c r="A2847" s="1" t="s">
        <v>8580</v>
      </c>
      <c r="B2847" s="1" t="s">
        <v>8581</v>
      </c>
      <c r="C2847" s="1" t="s">
        <v>8582</v>
      </c>
      <c r="D2847" s="1" t="s">
        <v>8446</v>
      </c>
      <c r="E2847" s="1" t="s">
        <v>8447</v>
      </c>
      <c r="F2847" s="1">
        <v>3158591.0</v>
      </c>
      <c r="G2847" s="1">
        <v>75981.0</v>
      </c>
      <c r="H2847" s="1">
        <v>1568.0</v>
      </c>
      <c r="I2847" s="1">
        <v>4910000.0</v>
      </c>
      <c r="J2847" s="1" t="s">
        <v>6040</v>
      </c>
    </row>
    <row r="2848">
      <c r="A2848" s="1" t="s">
        <v>8583</v>
      </c>
      <c r="B2848" s="1" t="s">
        <v>8584</v>
      </c>
      <c r="C2848" s="1" t="s">
        <v>8585</v>
      </c>
      <c r="D2848" s="1" t="s">
        <v>8446</v>
      </c>
      <c r="E2848" s="1" t="s">
        <v>8447</v>
      </c>
      <c r="F2848" s="1">
        <v>1014398.0</v>
      </c>
      <c r="G2848" s="1">
        <v>23709.0</v>
      </c>
      <c r="H2848" s="1">
        <v>1526.0</v>
      </c>
      <c r="I2848" s="1">
        <v>4910000.0</v>
      </c>
      <c r="J2848" s="1" t="s">
        <v>6040</v>
      </c>
    </row>
    <row r="2849">
      <c r="A2849" s="1" t="s">
        <v>8586</v>
      </c>
      <c r="B2849" s="1" t="s">
        <v>8587</v>
      </c>
      <c r="C2849" s="1" t="s">
        <v>8588</v>
      </c>
      <c r="D2849" s="1" t="s">
        <v>8446</v>
      </c>
      <c r="E2849" s="1" t="s">
        <v>8447</v>
      </c>
      <c r="F2849" s="1">
        <v>1670912.0</v>
      </c>
      <c r="G2849" s="1">
        <v>33536.0</v>
      </c>
      <c r="H2849" s="1">
        <v>2356.0</v>
      </c>
      <c r="I2849" s="1">
        <v>4910000.0</v>
      </c>
      <c r="J2849" s="1" t="s">
        <v>6040</v>
      </c>
    </row>
    <row r="2850">
      <c r="A2850" s="1" t="s">
        <v>8589</v>
      </c>
      <c r="B2850" s="1" t="s">
        <v>8590</v>
      </c>
      <c r="C2850" s="1" t="s">
        <v>8591</v>
      </c>
      <c r="D2850" s="1" t="s">
        <v>8446</v>
      </c>
      <c r="E2850" s="1" t="s">
        <v>8447</v>
      </c>
      <c r="F2850" s="1">
        <v>1145561.0</v>
      </c>
      <c r="G2850" s="1">
        <v>22786.0</v>
      </c>
      <c r="H2850" s="1">
        <v>1367.0</v>
      </c>
      <c r="I2850" s="1">
        <v>4910000.0</v>
      </c>
      <c r="J2850" s="1" t="s">
        <v>6040</v>
      </c>
    </row>
    <row r="2851">
      <c r="A2851" s="1" t="s">
        <v>8592</v>
      </c>
      <c r="B2851" s="1" t="s">
        <v>8593</v>
      </c>
      <c r="C2851" s="1" t="s">
        <v>8594</v>
      </c>
      <c r="D2851" s="1" t="s">
        <v>8446</v>
      </c>
      <c r="E2851" s="1" t="s">
        <v>8447</v>
      </c>
      <c r="F2851" s="1">
        <v>2002403.0</v>
      </c>
      <c r="G2851" s="1">
        <v>39115.0</v>
      </c>
      <c r="H2851" s="1">
        <v>2184.0</v>
      </c>
      <c r="I2851" s="1">
        <v>4910000.0</v>
      </c>
      <c r="J2851" s="1" t="s">
        <v>6040</v>
      </c>
    </row>
    <row r="2852">
      <c r="A2852" s="1" t="s">
        <v>8595</v>
      </c>
      <c r="B2852" s="1" t="s">
        <v>8596</v>
      </c>
      <c r="C2852" s="1" t="s">
        <v>8597</v>
      </c>
      <c r="D2852" s="1" t="s">
        <v>8446</v>
      </c>
      <c r="E2852" s="1" t="s">
        <v>8447</v>
      </c>
      <c r="F2852" s="1">
        <v>1515562.0</v>
      </c>
      <c r="G2852" s="1">
        <v>29179.0</v>
      </c>
      <c r="H2852" s="1">
        <v>2049.0</v>
      </c>
      <c r="I2852" s="1">
        <v>4910000.0</v>
      </c>
      <c r="J2852" s="1" t="s">
        <v>6040</v>
      </c>
    </row>
    <row r="2853">
      <c r="A2853" s="1" t="s">
        <v>8598</v>
      </c>
      <c r="B2853" s="1" t="s">
        <v>8599</v>
      </c>
      <c r="C2853" s="1" t="s">
        <v>8600</v>
      </c>
      <c r="D2853" s="1" t="s">
        <v>8446</v>
      </c>
      <c r="E2853" s="1" t="s">
        <v>8447</v>
      </c>
      <c r="F2853" s="1">
        <v>1128106.0</v>
      </c>
      <c r="G2853" s="1">
        <v>30104.0</v>
      </c>
      <c r="H2853" s="1">
        <v>2347.0</v>
      </c>
      <c r="I2853" s="1">
        <v>4910000.0</v>
      </c>
      <c r="J2853" s="1" t="s">
        <v>6040</v>
      </c>
    </row>
    <row r="2854">
      <c r="A2854" s="1" t="s">
        <v>8601</v>
      </c>
      <c r="B2854" s="1" t="s">
        <v>8602</v>
      </c>
      <c r="C2854" s="1" t="s">
        <v>8603</v>
      </c>
      <c r="D2854" s="1" t="s">
        <v>8446</v>
      </c>
      <c r="E2854" s="1" t="s">
        <v>8447</v>
      </c>
      <c r="F2854" s="1">
        <v>771626.0</v>
      </c>
      <c r="G2854" s="1">
        <v>19905.0</v>
      </c>
      <c r="H2854" s="1">
        <v>1557.0</v>
      </c>
      <c r="I2854" s="1">
        <v>4910000.0</v>
      </c>
      <c r="J2854" s="1" t="s">
        <v>6040</v>
      </c>
    </row>
    <row r="2855">
      <c r="A2855" s="1" t="s">
        <v>8604</v>
      </c>
      <c r="B2855" s="1" t="s">
        <v>8605</v>
      </c>
      <c r="C2855" s="1" t="s">
        <v>8606</v>
      </c>
      <c r="D2855" s="1" t="s">
        <v>8446</v>
      </c>
      <c r="E2855" s="1" t="s">
        <v>8447</v>
      </c>
      <c r="F2855" s="1">
        <v>1924333.0</v>
      </c>
      <c r="G2855" s="1">
        <v>47379.0</v>
      </c>
      <c r="H2855" s="1">
        <v>3110.0</v>
      </c>
      <c r="I2855" s="1">
        <v>4910000.0</v>
      </c>
      <c r="J2855" s="1" t="s">
        <v>6040</v>
      </c>
    </row>
    <row r="2856">
      <c r="A2856" s="1" t="s">
        <v>8607</v>
      </c>
      <c r="B2856" s="1" t="s">
        <v>8608</v>
      </c>
      <c r="C2856" s="1" t="s">
        <v>8609</v>
      </c>
      <c r="D2856" s="1" t="s">
        <v>8446</v>
      </c>
      <c r="E2856" s="1" t="s">
        <v>8447</v>
      </c>
      <c r="F2856" s="1">
        <v>2425859.0</v>
      </c>
      <c r="G2856" s="1">
        <v>58802.0</v>
      </c>
      <c r="H2856" s="1">
        <v>5090.0</v>
      </c>
      <c r="I2856" s="1">
        <v>4910000.0</v>
      </c>
      <c r="J2856" s="1" t="s">
        <v>6040</v>
      </c>
    </row>
    <row r="2857">
      <c r="A2857" s="1" t="s">
        <v>8610</v>
      </c>
      <c r="B2857" s="1" t="s">
        <v>8611</v>
      </c>
      <c r="C2857" s="1" t="s">
        <v>8612</v>
      </c>
      <c r="D2857" s="1" t="s">
        <v>8446</v>
      </c>
      <c r="E2857" s="1" t="s">
        <v>8447</v>
      </c>
      <c r="F2857" s="1">
        <v>3758920.0</v>
      </c>
      <c r="G2857" s="1">
        <v>51711.0</v>
      </c>
      <c r="H2857" s="1">
        <v>3709.0</v>
      </c>
      <c r="I2857" s="1">
        <v>4910000.0</v>
      </c>
      <c r="J2857" s="1" t="s">
        <v>6040</v>
      </c>
    </row>
    <row r="2858">
      <c r="A2858" s="1" t="s">
        <v>8613</v>
      </c>
      <c r="B2858" s="1" t="s">
        <v>8614</v>
      </c>
      <c r="C2858" s="1" t="s">
        <v>8615</v>
      </c>
      <c r="D2858" s="1" t="s">
        <v>8446</v>
      </c>
      <c r="E2858" s="1" t="s">
        <v>8447</v>
      </c>
      <c r="F2858" s="1">
        <v>2330894.0</v>
      </c>
      <c r="G2858" s="1">
        <v>50356.0</v>
      </c>
      <c r="H2858" s="1">
        <v>3286.0</v>
      </c>
      <c r="I2858" s="1">
        <v>4910000.0</v>
      </c>
      <c r="J2858" s="1" t="s">
        <v>6040</v>
      </c>
    </row>
    <row r="2859">
      <c r="A2859" s="1" t="s">
        <v>8616</v>
      </c>
      <c r="B2859" s="1" t="s">
        <v>8617</v>
      </c>
      <c r="C2859" s="1" t="s">
        <v>8618</v>
      </c>
      <c r="D2859" s="1" t="s">
        <v>8446</v>
      </c>
      <c r="E2859" s="1" t="s">
        <v>8447</v>
      </c>
      <c r="F2859" s="1">
        <v>1975504.0</v>
      </c>
      <c r="G2859" s="1">
        <v>38044.0</v>
      </c>
      <c r="H2859" s="1">
        <v>2680.0</v>
      </c>
      <c r="I2859" s="1">
        <v>4910000.0</v>
      </c>
      <c r="J2859" s="1" t="s">
        <v>6040</v>
      </c>
    </row>
    <row r="2860">
      <c r="A2860" s="1" t="s">
        <v>8619</v>
      </c>
      <c r="B2860" s="1" t="s">
        <v>8620</v>
      </c>
      <c r="C2860" s="1" t="s">
        <v>8621</v>
      </c>
      <c r="D2860" s="1" t="s">
        <v>8446</v>
      </c>
      <c r="E2860" s="1" t="s">
        <v>8447</v>
      </c>
      <c r="F2860" s="1">
        <v>1861350.0</v>
      </c>
      <c r="G2860" s="1">
        <v>43593.0</v>
      </c>
      <c r="H2860" s="1">
        <v>1764.0</v>
      </c>
      <c r="I2860" s="1">
        <v>4910000.0</v>
      </c>
      <c r="J2860" s="1" t="s">
        <v>6040</v>
      </c>
    </row>
    <row r="2861">
      <c r="A2861" s="1" t="s">
        <v>8622</v>
      </c>
      <c r="B2861" s="1" t="s">
        <v>8623</v>
      </c>
      <c r="C2861" s="1" t="s">
        <v>8624</v>
      </c>
      <c r="D2861" s="1" t="s">
        <v>8446</v>
      </c>
      <c r="E2861" s="1" t="s">
        <v>8447</v>
      </c>
      <c r="F2861" s="1">
        <v>1368811.0</v>
      </c>
      <c r="G2861" s="1">
        <v>25745.0</v>
      </c>
      <c r="H2861" s="1">
        <v>2123.0</v>
      </c>
      <c r="I2861" s="1">
        <v>4910000.0</v>
      </c>
      <c r="J2861" s="1" t="s">
        <v>6040</v>
      </c>
    </row>
    <row r="2862">
      <c r="A2862" s="1" t="s">
        <v>8625</v>
      </c>
      <c r="B2862" s="1" t="s">
        <v>8626</v>
      </c>
      <c r="C2862" s="1" t="s">
        <v>8627</v>
      </c>
      <c r="D2862" s="1" t="s">
        <v>8446</v>
      </c>
      <c r="E2862" s="1" t="s">
        <v>8447</v>
      </c>
      <c r="F2862" s="1">
        <v>2611344.0</v>
      </c>
      <c r="G2862" s="1">
        <v>56944.0</v>
      </c>
      <c r="H2862" s="1">
        <v>2415.0</v>
      </c>
      <c r="I2862" s="1">
        <v>4910000.0</v>
      </c>
      <c r="J2862" s="1" t="s">
        <v>6040</v>
      </c>
    </row>
    <row r="2863">
      <c r="A2863" s="1" t="s">
        <v>8628</v>
      </c>
      <c r="B2863" s="1" t="s">
        <v>8629</v>
      </c>
      <c r="C2863" s="1" t="s">
        <v>8630</v>
      </c>
      <c r="D2863" s="1" t="s">
        <v>8446</v>
      </c>
      <c r="E2863" s="1" t="s">
        <v>8447</v>
      </c>
      <c r="F2863" s="1">
        <v>2598762.0</v>
      </c>
      <c r="G2863" s="1">
        <v>47178.0</v>
      </c>
      <c r="H2863" s="1">
        <v>1174.0</v>
      </c>
      <c r="I2863" s="1">
        <v>4910000.0</v>
      </c>
      <c r="J2863" s="1" t="s">
        <v>6040</v>
      </c>
    </row>
    <row r="2864">
      <c r="A2864" s="1" t="s">
        <v>8631</v>
      </c>
      <c r="B2864" s="1" t="s">
        <v>8632</v>
      </c>
      <c r="C2864" s="1" t="s">
        <v>8633</v>
      </c>
      <c r="D2864" s="1" t="s">
        <v>8446</v>
      </c>
      <c r="E2864" s="1" t="s">
        <v>8447</v>
      </c>
      <c r="F2864" s="1">
        <v>2735697.0</v>
      </c>
      <c r="G2864" s="1">
        <v>73265.0</v>
      </c>
      <c r="H2864" s="1">
        <v>7611.0</v>
      </c>
      <c r="I2864" s="1">
        <v>4910000.0</v>
      </c>
      <c r="J2864" s="1" t="s">
        <v>6040</v>
      </c>
    </row>
    <row r="2865">
      <c r="A2865" s="1" t="s">
        <v>8634</v>
      </c>
      <c r="B2865" s="1" t="s">
        <v>8635</v>
      </c>
      <c r="C2865" s="1" t="s">
        <v>8636</v>
      </c>
      <c r="D2865" s="1" t="s">
        <v>8446</v>
      </c>
      <c r="E2865" s="1" t="s">
        <v>8447</v>
      </c>
      <c r="F2865" s="1">
        <v>2288746.0</v>
      </c>
      <c r="G2865" s="1">
        <v>46620.0</v>
      </c>
      <c r="H2865" s="1">
        <v>2859.0</v>
      </c>
      <c r="I2865" s="1">
        <v>4910000.0</v>
      </c>
      <c r="J2865" s="1" t="s">
        <v>6040</v>
      </c>
    </row>
    <row r="2866">
      <c r="A2866" s="1" t="s">
        <v>8637</v>
      </c>
      <c r="B2866" s="1" t="s">
        <v>8638</v>
      </c>
      <c r="C2866" s="1" t="s">
        <v>8639</v>
      </c>
      <c r="D2866" s="1" t="s">
        <v>8446</v>
      </c>
      <c r="E2866" s="1" t="s">
        <v>8447</v>
      </c>
      <c r="F2866" s="1">
        <v>1929371.0</v>
      </c>
      <c r="G2866" s="1">
        <v>38185.0</v>
      </c>
      <c r="H2866" s="1">
        <v>2468.0</v>
      </c>
      <c r="I2866" s="1">
        <v>4910000.0</v>
      </c>
      <c r="J2866" s="1" t="s">
        <v>6040</v>
      </c>
    </row>
    <row r="2867">
      <c r="A2867" s="1" t="s">
        <v>8640</v>
      </c>
      <c r="B2867" s="1" t="s">
        <v>8641</v>
      </c>
      <c r="C2867" s="1" t="s">
        <v>8642</v>
      </c>
      <c r="D2867" s="1" t="s">
        <v>8446</v>
      </c>
      <c r="E2867" s="1" t="s">
        <v>8447</v>
      </c>
      <c r="F2867" s="1">
        <v>801598.0</v>
      </c>
      <c r="G2867" s="1">
        <v>23956.0</v>
      </c>
      <c r="H2867" s="1">
        <v>1850.0</v>
      </c>
      <c r="I2867" s="1">
        <v>4910000.0</v>
      </c>
      <c r="J2867" s="1" t="s">
        <v>6040</v>
      </c>
    </row>
    <row r="2868">
      <c r="A2868" s="1" t="s">
        <v>8643</v>
      </c>
      <c r="B2868" s="1" t="s">
        <v>8644</v>
      </c>
      <c r="C2868" s="1" t="s">
        <v>8645</v>
      </c>
      <c r="D2868" s="1" t="s">
        <v>8446</v>
      </c>
      <c r="E2868" s="1" t="s">
        <v>8447</v>
      </c>
      <c r="F2868" s="1">
        <v>2770532.0</v>
      </c>
      <c r="G2868" s="1">
        <v>64711.0</v>
      </c>
      <c r="H2868" s="1">
        <v>4610.0</v>
      </c>
      <c r="I2868" s="1">
        <v>4910000.0</v>
      </c>
      <c r="J2868" s="1" t="s">
        <v>6040</v>
      </c>
    </row>
    <row r="2869">
      <c r="A2869" s="1" t="s">
        <v>8646</v>
      </c>
      <c r="B2869" s="1" t="s">
        <v>8647</v>
      </c>
      <c r="C2869" s="1" t="s">
        <v>8648</v>
      </c>
      <c r="D2869" s="1" t="s">
        <v>8446</v>
      </c>
      <c r="E2869" s="1" t="s">
        <v>8447</v>
      </c>
      <c r="F2869" s="1">
        <v>1669715.0</v>
      </c>
      <c r="G2869" s="1">
        <v>47495.0</v>
      </c>
      <c r="H2869" s="1">
        <v>1227.0</v>
      </c>
      <c r="I2869" s="1">
        <v>4910000.0</v>
      </c>
      <c r="J2869" s="1" t="s">
        <v>6040</v>
      </c>
    </row>
    <row r="2870">
      <c r="A2870" s="1" t="s">
        <v>8649</v>
      </c>
      <c r="B2870" s="1" t="s">
        <v>8650</v>
      </c>
      <c r="C2870" s="1" t="s">
        <v>8651</v>
      </c>
      <c r="D2870" s="1" t="s">
        <v>8446</v>
      </c>
      <c r="E2870" s="1" t="s">
        <v>8447</v>
      </c>
      <c r="F2870" s="1">
        <v>1863014.0</v>
      </c>
      <c r="G2870" s="1">
        <v>40726.0</v>
      </c>
      <c r="H2870" s="1">
        <v>3555.0</v>
      </c>
      <c r="I2870" s="1">
        <v>4910000.0</v>
      </c>
      <c r="J2870" s="1" t="s">
        <v>6040</v>
      </c>
    </row>
    <row r="2871">
      <c r="A2871" s="1" t="s">
        <v>8652</v>
      </c>
      <c r="B2871" s="1" t="s">
        <v>8653</v>
      </c>
      <c r="C2871" s="1" t="s">
        <v>8654</v>
      </c>
      <c r="D2871" s="1" t="s">
        <v>8446</v>
      </c>
      <c r="E2871" s="1" t="s">
        <v>8447</v>
      </c>
      <c r="F2871" s="1">
        <v>800019.0</v>
      </c>
      <c r="G2871" s="1">
        <v>21133.0</v>
      </c>
      <c r="H2871" s="1">
        <v>578.0</v>
      </c>
      <c r="I2871" s="1">
        <v>4910000.0</v>
      </c>
      <c r="J2871" s="1" t="s">
        <v>6040</v>
      </c>
    </row>
    <row r="2872">
      <c r="A2872" s="1" t="s">
        <v>8655</v>
      </c>
      <c r="B2872" s="1" t="s">
        <v>8656</v>
      </c>
      <c r="C2872" s="1" t="s">
        <v>8657</v>
      </c>
      <c r="D2872" s="1" t="s">
        <v>8446</v>
      </c>
      <c r="E2872" s="1" t="s">
        <v>8447</v>
      </c>
      <c r="F2872" s="1">
        <v>2913125.0</v>
      </c>
      <c r="G2872" s="1">
        <v>55066.0</v>
      </c>
      <c r="H2872" s="1">
        <v>4378.0</v>
      </c>
      <c r="I2872" s="1">
        <v>4910000.0</v>
      </c>
      <c r="J2872" s="1" t="s">
        <v>6040</v>
      </c>
    </row>
    <row r="2873">
      <c r="A2873" s="1" t="s">
        <v>8658</v>
      </c>
      <c r="B2873" s="1" t="s">
        <v>8659</v>
      </c>
      <c r="C2873" s="1" t="s">
        <v>8660</v>
      </c>
      <c r="D2873" s="1" t="s">
        <v>8446</v>
      </c>
      <c r="E2873" s="1" t="s">
        <v>8447</v>
      </c>
      <c r="F2873" s="1">
        <v>1073836.0</v>
      </c>
      <c r="G2873" s="1">
        <v>23254.0</v>
      </c>
      <c r="H2873" s="1">
        <v>776.0</v>
      </c>
      <c r="I2873" s="1">
        <v>4910000.0</v>
      </c>
      <c r="J2873" s="1" t="s">
        <v>6040</v>
      </c>
    </row>
    <row r="2874">
      <c r="A2874" s="1" t="s">
        <v>8661</v>
      </c>
      <c r="B2874" s="1" t="s">
        <v>8662</v>
      </c>
      <c r="C2874" s="1" t="s">
        <v>8663</v>
      </c>
      <c r="D2874" s="1" t="s">
        <v>8446</v>
      </c>
      <c r="E2874" s="1" t="s">
        <v>8447</v>
      </c>
      <c r="F2874" s="1">
        <v>2864903.0</v>
      </c>
      <c r="G2874" s="1">
        <v>62086.0</v>
      </c>
      <c r="H2874" s="1">
        <v>3926.0</v>
      </c>
      <c r="I2874" s="1">
        <v>4910000.0</v>
      </c>
      <c r="J2874" s="1" t="s">
        <v>6040</v>
      </c>
    </row>
    <row r="2875">
      <c r="A2875" s="1" t="s">
        <v>8664</v>
      </c>
      <c r="B2875" s="1" t="s">
        <v>8665</v>
      </c>
      <c r="C2875" s="1" t="s">
        <v>8666</v>
      </c>
      <c r="D2875" s="1" t="s">
        <v>8446</v>
      </c>
      <c r="E2875" s="1" t="s">
        <v>8447</v>
      </c>
      <c r="F2875" s="1">
        <v>6864748.0</v>
      </c>
      <c r="G2875" s="1">
        <v>108742.0</v>
      </c>
      <c r="H2875" s="1">
        <v>29729.0</v>
      </c>
      <c r="I2875" s="1">
        <v>4910000.0</v>
      </c>
      <c r="J2875" s="1" t="s">
        <v>6040</v>
      </c>
    </row>
    <row r="2876">
      <c r="A2876" s="1" t="s">
        <v>8667</v>
      </c>
      <c r="B2876" s="1" t="s">
        <v>8668</v>
      </c>
      <c r="C2876" s="1" t="s">
        <v>8669</v>
      </c>
      <c r="D2876" s="1" t="s">
        <v>8446</v>
      </c>
      <c r="E2876" s="1" t="s">
        <v>8447</v>
      </c>
      <c r="F2876" s="1">
        <v>3374002.0</v>
      </c>
      <c r="G2876" s="1">
        <v>56059.0</v>
      </c>
      <c r="H2876" s="1">
        <v>5130.0</v>
      </c>
      <c r="I2876" s="1">
        <v>4910000.0</v>
      </c>
      <c r="J2876" s="1" t="s">
        <v>6040</v>
      </c>
    </row>
    <row r="2877">
      <c r="A2877" s="1" t="s">
        <v>8670</v>
      </c>
      <c r="B2877" s="1" t="s">
        <v>8671</v>
      </c>
      <c r="C2877" s="1" t="s">
        <v>8672</v>
      </c>
      <c r="D2877" s="1" t="s">
        <v>8446</v>
      </c>
      <c r="E2877" s="1" t="s">
        <v>8447</v>
      </c>
      <c r="F2877" s="1">
        <v>1832473.0</v>
      </c>
      <c r="G2877" s="1">
        <v>42526.0</v>
      </c>
      <c r="H2877" s="1">
        <v>2498.0</v>
      </c>
      <c r="I2877" s="1">
        <v>4910000.0</v>
      </c>
      <c r="J2877" s="1" t="s">
        <v>6040</v>
      </c>
    </row>
    <row r="2878">
      <c r="A2878" s="1" t="s">
        <v>8673</v>
      </c>
      <c r="B2878" s="1" t="s">
        <v>8674</v>
      </c>
      <c r="C2878" s="1" t="s">
        <v>8675</v>
      </c>
      <c r="D2878" s="1" t="s">
        <v>8446</v>
      </c>
      <c r="E2878" s="1" t="s">
        <v>8447</v>
      </c>
      <c r="F2878" s="1">
        <v>4217081.0</v>
      </c>
      <c r="G2878" s="1">
        <v>79179.0</v>
      </c>
      <c r="H2878" s="1">
        <v>6689.0</v>
      </c>
      <c r="I2878" s="1">
        <v>4910000.0</v>
      </c>
      <c r="J2878" s="1" t="s">
        <v>6040</v>
      </c>
    </row>
    <row r="2879">
      <c r="A2879" s="1" t="s">
        <v>8676</v>
      </c>
      <c r="B2879" s="1" t="s">
        <v>8677</v>
      </c>
      <c r="C2879" s="1" t="s">
        <v>8678</v>
      </c>
      <c r="D2879" s="1" t="s">
        <v>8446</v>
      </c>
      <c r="E2879" s="1" t="s">
        <v>8447</v>
      </c>
      <c r="F2879" s="1">
        <v>4398818.0</v>
      </c>
      <c r="G2879" s="1">
        <v>124851.0</v>
      </c>
      <c r="H2879" s="1">
        <v>4297.0</v>
      </c>
      <c r="I2879" s="1">
        <v>4910000.0</v>
      </c>
      <c r="J2879" s="1" t="s">
        <v>6040</v>
      </c>
    </row>
    <row r="2880">
      <c r="A2880" s="1" t="s">
        <v>8679</v>
      </c>
      <c r="B2880" s="1" t="s">
        <v>8680</v>
      </c>
      <c r="C2880" s="1" t="s">
        <v>8681</v>
      </c>
      <c r="D2880" s="1" t="s">
        <v>8446</v>
      </c>
      <c r="E2880" s="1" t="s">
        <v>8447</v>
      </c>
      <c r="F2880" s="1">
        <v>3954156.0</v>
      </c>
      <c r="G2880" s="1">
        <v>60386.0</v>
      </c>
      <c r="H2880" s="1">
        <v>2081.0</v>
      </c>
      <c r="I2880" s="1">
        <v>4910000.0</v>
      </c>
      <c r="J2880" s="1" t="s">
        <v>6040</v>
      </c>
    </row>
    <row r="2881">
      <c r="A2881" s="1" t="s">
        <v>8682</v>
      </c>
      <c r="B2881" s="1" t="s">
        <v>8683</v>
      </c>
      <c r="C2881" s="1" t="s">
        <v>8684</v>
      </c>
      <c r="D2881" s="1" t="s">
        <v>8446</v>
      </c>
      <c r="E2881" s="1" t="s">
        <v>8447</v>
      </c>
      <c r="F2881" s="1">
        <v>717187.0</v>
      </c>
      <c r="G2881" s="1">
        <v>22092.0</v>
      </c>
      <c r="H2881" s="1">
        <v>1297.0</v>
      </c>
      <c r="I2881" s="1">
        <v>4910000.0</v>
      </c>
      <c r="J2881" s="1" t="s">
        <v>6040</v>
      </c>
    </row>
    <row r="2882">
      <c r="A2882" s="1" t="s">
        <v>8685</v>
      </c>
      <c r="B2882" s="1" t="s">
        <v>8686</v>
      </c>
      <c r="C2882" s="1" t="s">
        <v>8687</v>
      </c>
      <c r="D2882" s="1" t="s">
        <v>8446</v>
      </c>
      <c r="E2882" s="1" t="s">
        <v>8447</v>
      </c>
      <c r="F2882" s="1">
        <v>2307878.0</v>
      </c>
      <c r="G2882" s="1">
        <v>44801.0</v>
      </c>
      <c r="H2882" s="1">
        <v>2719.0</v>
      </c>
      <c r="I2882" s="1">
        <v>4910000.0</v>
      </c>
      <c r="J2882" s="1" t="s">
        <v>6040</v>
      </c>
    </row>
    <row r="2883">
      <c r="A2883" s="1" t="s">
        <v>8688</v>
      </c>
      <c r="B2883" s="1" t="s">
        <v>8689</v>
      </c>
      <c r="C2883" s="1" t="s">
        <v>8690</v>
      </c>
      <c r="D2883" s="1" t="s">
        <v>8446</v>
      </c>
      <c r="E2883" s="1" t="s">
        <v>8447</v>
      </c>
      <c r="F2883" s="1">
        <v>1769223.0</v>
      </c>
      <c r="G2883" s="1">
        <v>47040.0</v>
      </c>
      <c r="H2883" s="1">
        <v>4107.0</v>
      </c>
      <c r="I2883" s="1">
        <v>4910000.0</v>
      </c>
      <c r="J2883" s="1" t="s">
        <v>6040</v>
      </c>
    </row>
    <row r="2884">
      <c r="A2884" s="1" t="s">
        <v>8691</v>
      </c>
      <c r="B2884" s="1" t="s">
        <v>8692</v>
      </c>
      <c r="C2884" s="1" t="s">
        <v>8693</v>
      </c>
      <c r="D2884" s="1" t="s">
        <v>8446</v>
      </c>
      <c r="E2884" s="1" t="s">
        <v>8447</v>
      </c>
      <c r="F2884" s="1">
        <v>1128270.0</v>
      </c>
      <c r="G2884" s="1">
        <v>54030.0</v>
      </c>
      <c r="H2884" s="1">
        <v>2607.0</v>
      </c>
      <c r="I2884" s="1">
        <v>4910000.0</v>
      </c>
      <c r="J2884" s="1" t="s">
        <v>6040</v>
      </c>
    </row>
    <row r="2885">
      <c r="A2885" s="1" t="s">
        <v>8694</v>
      </c>
      <c r="B2885" s="1" t="s">
        <v>8695</v>
      </c>
      <c r="C2885" s="1" t="s">
        <v>8696</v>
      </c>
      <c r="D2885" s="1" t="s">
        <v>8446</v>
      </c>
      <c r="E2885" s="1" t="s">
        <v>8447</v>
      </c>
      <c r="F2885" s="1">
        <v>2005975.0</v>
      </c>
      <c r="G2885" s="1">
        <v>51249.0</v>
      </c>
      <c r="H2885" s="1">
        <v>5679.0</v>
      </c>
      <c r="I2885" s="1">
        <v>4910000.0</v>
      </c>
      <c r="J2885" s="1" t="s">
        <v>6040</v>
      </c>
    </row>
    <row r="2886">
      <c r="A2886" s="1" t="s">
        <v>8697</v>
      </c>
      <c r="B2886" s="1" t="s">
        <v>8698</v>
      </c>
      <c r="C2886" s="1" t="s">
        <v>8699</v>
      </c>
      <c r="D2886" s="1" t="s">
        <v>8446</v>
      </c>
      <c r="E2886" s="1" t="s">
        <v>8447</v>
      </c>
      <c r="F2886" s="1">
        <v>4402649.0</v>
      </c>
      <c r="G2886" s="1">
        <v>124364.0</v>
      </c>
      <c r="H2886" s="1">
        <v>14832.0</v>
      </c>
      <c r="I2886" s="1">
        <v>4910000.0</v>
      </c>
      <c r="J2886" s="1" t="s">
        <v>6040</v>
      </c>
    </row>
    <row r="2887">
      <c r="A2887" s="1" t="s">
        <v>8700</v>
      </c>
      <c r="B2887" s="1" t="s">
        <v>8701</v>
      </c>
      <c r="C2887" s="1" t="s">
        <v>8702</v>
      </c>
      <c r="D2887" s="1" t="s">
        <v>8446</v>
      </c>
      <c r="E2887" s="1" t="s">
        <v>8447</v>
      </c>
      <c r="F2887" s="1">
        <v>2381786.0</v>
      </c>
      <c r="G2887" s="1">
        <v>60076.0</v>
      </c>
      <c r="H2887" s="1">
        <v>5171.0</v>
      </c>
      <c r="I2887" s="1">
        <v>4910000.0</v>
      </c>
      <c r="J2887" s="1" t="s">
        <v>6040</v>
      </c>
    </row>
    <row r="2888">
      <c r="A2888" s="1" t="s">
        <v>8703</v>
      </c>
      <c r="B2888" s="1" t="s">
        <v>8704</v>
      </c>
      <c r="C2888" s="1" t="s">
        <v>8705</v>
      </c>
      <c r="D2888" s="1" t="s">
        <v>8446</v>
      </c>
      <c r="E2888" s="1" t="s">
        <v>8447</v>
      </c>
      <c r="F2888" s="1">
        <v>3045157.0</v>
      </c>
      <c r="G2888" s="1">
        <v>51749.0</v>
      </c>
      <c r="H2888" s="1">
        <v>4562.0</v>
      </c>
      <c r="I2888" s="1">
        <v>4910000.0</v>
      </c>
      <c r="J2888" s="1" t="s">
        <v>6040</v>
      </c>
    </row>
    <row r="2889">
      <c r="A2889" s="1" t="s">
        <v>8706</v>
      </c>
      <c r="B2889" s="1" t="s">
        <v>8707</v>
      </c>
      <c r="C2889" s="1" t="s">
        <v>8708</v>
      </c>
      <c r="D2889" s="1" t="s">
        <v>8446</v>
      </c>
      <c r="E2889" s="1" t="s">
        <v>8447</v>
      </c>
      <c r="F2889" s="1">
        <v>3085135.0</v>
      </c>
      <c r="G2889" s="1">
        <v>79028.0</v>
      </c>
      <c r="H2889" s="1">
        <v>9358.0</v>
      </c>
      <c r="I2889" s="1">
        <v>4910000.0</v>
      </c>
      <c r="J2889" s="1" t="s">
        <v>6040</v>
      </c>
    </row>
    <row r="2890">
      <c r="A2890" s="1" t="s">
        <v>8709</v>
      </c>
      <c r="B2890" s="1" t="s">
        <v>8710</v>
      </c>
      <c r="C2890" s="1" t="s">
        <v>8711</v>
      </c>
      <c r="D2890" s="1" t="s">
        <v>8446</v>
      </c>
      <c r="E2890" s="1" t="s">
        <v>8447</v>
      </c>
      <c r="F2890" s="1">
        <v>768206.0</v>
      </c>
      <c r="G2890" s="1">
        <v>30153.0</v>
      </c>
      <c r="H2890" s="1">
        <v>1635.0</v>
      </c>
      <c r="I2890" s="1">
        <v>4910000.0</v>
      </c>
      <c r="J2890" s="1" t="s">
        <v>6040</v>
      </c>
    </row>
    <row r="2891">
      <c r="A2891" s="1" t="s">
        <v>8712</v>
      </c>
      <c r="B2891" s="1" t="s">
        <v>8713</v>
      </c>
      <c r="C2891" s="1" t="s">
        <v>8714</v>
      </c>
      <c r="D2891" s="1" t="s">
        <v>8446</v>
      </c>
      <c r="E2891" s="1" t="s">
        <v>8447</v>
      </c>
      <c r="F2891" s="1">
        <v>2868745.0</v>
      </c>
      <c r="G2891" s="1">
        <v>58914.0</v>
      </c>
      <c r="H2891" s="1">
        <v>2896.0</v>
      </c>
      <c r="I2891" s="1">
        <v>4910000.0</v>
      </c>
      <c r="J2891" s="1" t="s">
        <v>6040</v>
      </c>
    </row>
    <row r="2892">
      <c r="A2892" s="1" t="s">
        <v>8715</v>
      </c>
      <c r="B2892" s="1" t="s">
        <v>8716</v>
      </c>
      <c r="C2892" s="1" t="s">
        <v>8717</v>
      </c>
      <c r="D2892" s="1" t="s">
        <v>8446</v>
      </c>
      <c r="E2892" s="1" t="s">
        <v>8447</v>
      </c>
      <c r="F2892" s="1">
        <v>1934090.0</v>
      </c>
      <c r="G2892" s="1">
        <v>65845.0</v>
      </c>
      <c r="H2892" s="1">
        <v>10829.0</v>
      </c>
      <c r="I2892" s="1">
        <v>4910000.0</v>
      </c>
      <c r="J2892" s="1" t="s">
        <v>6040</v>
      </c>
    </row>
    <row r="2893">
      <c r="A2893" s="1" t="s">
        <v>8718</v>
      </c>
      <c r="B2893" s="1" t="s">
        <v>8719</v>
      </c>
      <c r="C2893" s="1" t="s">
        <v>8720</v>
      </c>
      <c r="D2893" s="1" t="s">
        <v>8446</v>
      </c>
      <c r="E2893" s="1" t="s">
        <v>8447</v>
      </c>
      <c r="F2893" s="1">
        <v>3755883.0</v>
      </c>
      <c r="G2893" s="1">
        <v>78617.0</v>
      </c>
      <c r="H2893" s="1">
        <v>3546.0</v>
      </c>
      <c r="I2893" s="1">
        <v>4910000.0</v>
      </c>
      <c r="J2893" s="1" t="s">
        <v>6040</v>
      </c>
    </row>
    <row r="2894">
      <c r="A2894" s="1" t="s">
        <v>8721</v>
      </c>
      <c r="B2894" s="1" t="s">
        <v>8722</v>
      </c>
      <c r="C2894" s="1" t="s">
        <v>8723</v>
      </c>
      <c r="D2894" s="1" t="s">
        <v>8446</v>
      </c>
      <c r="E2894" s="1" t="s">
        <v>8447</v>
      </c>
      <c r="F2894" s="1">
        <v>1821886.0</v>
      </c>
      <c r="G2894" s="1">
        <v>38196.0</v>
      </c>
      <c r="H2894" s="1">
        <v>2297.0</v>
      </c>
      <c r="I2894" s="1">
        <v>4910000.0</v>
      </c>
      <c r="J2894" s="1" t="s">
        <v>6040</v>
      </c>
    </row>
    <row r="2895">
      <c r="A2895" s="1" t="s">
        <v>8724</v>
      </c>
      <c r="B2895" s="1" t="s">
        <v>8725</v>
      </c>
      <c r="C2895" s="1" t="s">
        <v>8726</v>
      </c>
      <c r="D2895" s="1" t="s">
        <v>8446</v>
      </c>
      <c r="E2895" s="1" t="s">
        <v>8447</v>
      </c>
      <c r="F2895" s="1">
        <v>3539717.0</v>
      </c>
      <c r="G2895" s="1">
        <v>72722.0</v>
      </c>
      <c r="H2895" s="1">
        <v>7456.0</v>
      </c>
      <c r="I2895" s="1">
        <v>4910000.0</v>
      </c>
      <c r="J2895" s="1" t="s">
        <v>6040</v>
      </c>
    </row>
    <row r="2896">
      <c r="A2896" s="1" t="s">
        <v>8727</v>
      </c>
      <c r="B2896" s="1" t="s">
        <v>8728</v>
      </c>
      <c r="C2896" s="1" t="s">
        <v>8729</v>
      </c>
      <c r="D2896" s="1" t="s">
        <v>8446</v>
      </c>
      <c r="E2896" s="1" t="s">
        <v>8447</v>
      </c>
      <c r="F2896" s="1">
        <v>1469585.0</v>
      </c>
      <c r="G2896" s="1">
        <v>54059.0</v>
      </c>
      <c r="H2896" s="1">
        <v>3117.0</v>
      </c>
      <c r="I2896" s="1">
        <v>4910000.0</v>
      </c>
      <c r="J2896" s="1" t="s">
        <v>6040</v>
      </c>
    </row>
    <row r="2897">
      <c r="A2897" s="1" t="s">
        <v>8730</v>
      </c>
      <c r="B2897" s="1" t="s">
        <v>8731</v>
      </c>
      <c r="C2897" s="1" t="s">
        <v>8732</v>
      </c>
      <c r="D2897" s="1" t="s">
        <v>8446</v>
      </c>
      <c r="E2897" s="1" t="s">
        <v>8447</v>
      </c>
      <c r="F2897" s="1">
        <v>1882472.0</v>
      </c>
      <c r="G2897" s="1">
        <v>46843.0</v>
      </c>
      <c r="H2897" s="1">
        <v>3765.0</v>
      </c>
      <c r="I2897" s="1">
        <v>4910000.0</v>
      </c>
      <c r="J2897" s="1" t="s">
        <v>6040</v>
      </c>
    </row>
    <row r="2898">
      <c r="A2898" s="1" t="s">
        <v>8733</v>
      </c>
      <c r="B2898" s="1" t="s">
        <v>8734</v>
      </c>
      <c r="C2898" s="1" t="s">
        <v>8735</v>
      </c>
      <c r="D2898" s="1" t="s">
        <v>8446</v>
      </c>
      <c r="E2898" s="1" t="s">
        <v>8447</v>
      </c>
      <c r="F2898" s="1">
        <v>4214652.0</v>
      </c>
      <c r="G2898" s="1">
        <v>90519.0</v>
      </c>
      <c r="H2898" s="1">
        <v>6453.0</v>
      </c>
      <c r="I2898" s="1">
        <v>4910000.0</v>
      </c>
      <c r="J2898" s="1" t="s">
        <v>6040</v>
      </c>
    </row>
    <row r="2899">
      <c r="A2899" s="1" t="s">
        <v>8736</v>
      </c>
      <c r="B2899" s="1" t="s">
        <v>8737</v>
      </c>
      <c r="C2899" s="1" t="s">
        <v>8738</v>
      </c>
      <c r="D2899" s="1" t="s">
        <v>8446</v>
      </c>
      <c r="E2899" s="1" t="s">
        <v>8447</v>
      </c>
      <c r="F2899" s="1">
        <v>7465146.0</v>
      </c>
      <c r="G2899" s="1">
        <v>150523.0</v>
      </c>
      <c r="H2899" s="1">
        <v>7208.0</v>
      </c>
      <c r="I2899" s="1">
        <v>4910000.0</v>
      </c>
      <c r="J2899" s="1" t="s">
        <v>6040</v>
      </c>
    </row>
    <row r="2900">
      <c r="A2900" s="1" t="s">
        <v>8739</v>
      </c>
      <c r="B2900" s="1" t="s">
        <v>8740</v>
      </c>
      <c r="C2900" s="1" t="s">
        <v>8741</v>
      </c>
      <c r="D2900" s="1" t="s">
        <v>8446</v>
      </c>
      <c r="E2900" s="1" t="s">
        <v>8447</v>
      </c>
      <c r="F2900" s="1">
        <v>3541124.0</v>
      </c>
      <c r="G2900" s="1">
        <v>78744.0</v>
      </c>
      <c r="H2900" s="1">
        <v>5532.0</v>
      </c>
      <c r="I2900" s="1">
        <v>4910000.0</v>
      </c>
      <c r="J2900" s="1" t="s">
        <v>6040</v>
      </c>
    </row>
    <row r="2901">
      <c r="A2901" s="1" t="s">
        <v>8742</v>
      </c>
      <c r="B2901" s="1" t="s">
        <v>8743</v>
      </c>
      <c r="C2901" s="1" t="s">
        <v>8744</v>
      </c>
      <c r="D2901" s="1" t="s">
        <v>8446</v>
      </c>
      <c r="E2901" s="1" t="s">
        <v>8447</v>
      </c>
      <c r="F2901" s="1">
        <v>6128518.0</v>
      </c>
      <c r="G2901" s="1">
        <v>84114.0</v>
      </c>
      <c r="H2901" s="1">
        <v>5738.0</v>
      </c>
      <c r="I2901" s="1">
        <v>4910000.0</v>
      </c>
      <c r="J2901" s="1" t="s">
        <v>6040</v>
      </c>
    </row>
    <row r="2902">
      <c r="A2902" s="1" t="s">
        <v>8745</v>
      </c>
      <c r="B2902" s="1" t="s">
        <v>8746</v>
      </c>
      <c r="C2902" s="1" t="s">
        <v>8747</v>
      </c>
      <c r="D2902" s="1" t="s">
        <v>8446</v>
      </c>
      <c r="E2902" s="1" t="s">
        <v>8447</v>
      </c>
      <c r="F2902" s="1">
        <v>3151153.0</v>
      </c>
      <c r="G2902" s="1">
        <v>57595.0</v>
      </c>
      <c r="H2902" s="1">
        <v>2521.0</v>
      </c>
      <c r="I2902" s="1">
        <v>4910000.0</v>
      </c>
      <c r="J2902" s="1" t="s">
        <v>6040</v>
      </c>
    </row>
    <row r="2903">
      <c r="A2903" s="1" t="s">
        <v>8748</v>
      </c>
      <c r="B2903" s="1" t="s">
        <v>8749</v>
      </c>
      <c r="C2903" s="1" t="s">
        <v>8750</v>
      </c>
      <c r="D2903" s="1" t="s">
        <v>8446</v>
      </c>
      <c r="E2903" s="1" t="s">
        <v>8447</v>
      </c>
      <c r="F2903" s="1">
        <v>3305187.0</v>
      </c>
      <c r="G2903" s="1">
        <v>90722.0</v>
      </c>
      <c r="H2903" s="1">
        <v>2643.0</v>
      </c>
      <c r="I2903" s="1">
        <v>4910000.0</v>
      </c>
      <c r="J2903" s="1" t="s">
        <v>6040</v>
      </c>
    </row>
    <row r="2904">
      <c r="A2904" s="1" t="s">
        <v>8751</v>
      </c>
      <c r="B2904" s="1" t="s">
        <v>8752</v>
      </c>
      <c r="C2904" s="1" t="s">
        <v>8753</v>
      </c>
      <c r="D2904" s="1" t="s">
        <v>8446</v>
      </c>
      <c r="E2904" s="1" t="s">
        <v>8447</v>
      </c>
      <c r="F2904" s="1">
        <v>3739297.0</v>
      </c>
      <c r="G2904" s="1">
        <v>95907.0</v>
      </c>
      <c r="H2904" s="1">
        <v>2819.0</v>
      </c>
      <c r="I2904" s="1">
        <v>4910000.0</v>
      </c>
      <c r="J2904" s="1" t="s">
        <v>6040</v>
      </c>
    </row>
    <row r="2905">
      <c r="A2905" s="1" t="s">
        <v>8754</v>
      </c>
      <c r="B2905" s="1" t="s">
        <v>8755</v>
      </c>
      <c r="C2905" s="1" t="s">
        <v>8756</v>
      </c>
      <c r="D2905" s="1" t="s">
        <v>8446</v>
      </c>
      <c r="E2905" s="1" t="s">
        <v>8447</v>
      </c>
      <c r="F2905" s="1">
        <v>6636078.0</v>
      </c>
      <c r="G2905" s="1">
        <v>82928.0</v>
      </c>
      <c r="H2905" s="1">
        <v>4337.0</v>
      </c>
      <c r="I2905" s="1">
        <v>4910000.0</v>
      </c>
      <c r="J2905" s="1" t="s">
        <v>6040</v>
      </c>
    </row>
    <row r="2906">
      <c r="A2906" s="1" t="s">
        <v>8757</v>
      </c>
      <c r="B2906" s="1" t="s">
        <v>8758</v>
      </c>
      <c r="C2906" s="1" t="s">
        <v>8759</v>
      </c>
      <c r="D2906" s="1" t="s">
        <v>8446</v>
      </c>
      <c r="E2906" s="1" t="s">
        <v>8447</v>
      </c>
      <c r="F2906" s="1">
        <v>3741141.0</v>
      </c>
      <c r="G2906" s="1">
        <v>70370.0</v>
      </c>
      <c r="H2906" s="1">
        <v>2414.0</v>
      </c>
      <c r="I2906" s="1">
        <v>4910000.0</v>
      </c>
      <c r="J2906" s="1" t="s">
        <v>6040</v>
      </c>
    </row>
    <row r="2907">
      <c r="A2907" s="1" t="s">
        <v>8760</v>
      </c>
      <c r="B2907" s="1" t="s">
        <v>8761</v>
      </c>
      <c r="C2907" s="1" t="s">
        <v>8762</v>
      </c>
      <c r="D2907" s="1" t="s">
        <v>8446</v>
      </c>
      <c r="E2907" s="1" t="s">
        <v>8447</v>
      </c>
      <c r="F2907" s="1">
        <v>3864935.0</v>
      </c>
      <c r="G2907" s="1">
        <v>82702.0</v>
      </c>
      <c r="H2907" s="1">
        <v>5504.0</v>
      </c>
      <c r="I2907" s="1">
        <v>4910000.0</v>
      </c>
      <c r="J2907" s="1" t="s">
        <v>6040</v>
      </c>
    </row>
    <row r="2908">
      <c r="A2908" s="1" t="s">
        <v>8763</v>
      </c>
      <c r="B2908" s="1" t="s">
        <v>8764</v>
      </c>
      <c r="C2908" s="1" t="s">
        <v>8765</v>
      </c>
      <c r="D2908" s="1" t="s">
        <v>8446</v>
      </c>
      <c r="E2908" s="1" t="s">
        <v>8447</v>
      </c>
      <c r="F2908" s="1">
        <v>1413877.0</v>
      </c>
      <c r="G2908" s="1">
        <v>50804.0</v>
      </c>
      <c r="H2908" s="1">
        <v>1581.0</v>
      </c>
      <c r="I2908" s="1">
        <v>4910000.0</v>
      </c>
      <c r="J2908" s="1" t="s">
        <v>6040</v>
      </c>
    </row>
    <row r="2909">
      <c r="A2909" s="1" t="s">
        <v>8766</v>
      </c>
      <c r="B2909" s="1" t="s">
        <v>8767</v>
      </c>
      <c r="C2909" s="1" t="s">
        <v>8768</v>
      </c>
      <c r="D2909" s="1" t="s">
        <v>8446</v>
      </c>
      <c r="E2909" s="1" t="s">
        <v>8447</v>
      </c>
      <c r="F2909" s="1">
        <v>2099079.0</v>
      </c>
      <c r="G2909" s="1">
        <v>49220.0</v>
      </c>
      <c r="H2909" s="1">
        <v>1611.0</v>
      </c>
      <c r="I2909" s="1">
        <v>4910000.0</v>
      </c>
      <c r="J2909" s="1" t="s">
        <v>6040</v>
      </c>
    </row>
    <row r="2910">
      <c r="A2910" s="1" t="s">
        <v>8769</v>
      </c>
      <c r="B2910" s="1" t="s">
        <v>8770</v>
      </c>
      <c r="C2910" s="1" t="s">
        <v>8771</v>
      </c>
      <c r="D2910" s="1" t="s">
        <v>8446</v>
      </c>
      <c r="E2910" s="1" t="s">
        <v>8447</v>
      </c>
      <c r="F2910" s="1">
        <v>1284411.0</v>
      </c>
      <c r="G2910" s="1">
        <v>55416.0</v>
      </c>
      <c r="H2910" s="1">
        <v>13830.0</v>
      </c>
      <c r="I2910" s="1">
        <v>4910000.0</v>
      </c>
      <c r="J2910" s="1" t="s">
        <v>6040</v>
      </c>
    </row>
    <row r="2911">
      <c r="A2911" s="1" t="s">
        <v>8772</v>
      </c>
      <c r="B2911" s="1" t="s">
        <v>8773</v>
      </c>
      <c r="C2911" s="1" t="s">
        <v>8774</v>
      </c>
      <c r="D2911" s="1" t="s">
        <v>8446</v>
      </c>
      <c r="E2911" s="1" t="s">
        <v>8447</v>
      </c>
      <c r="F2911" s="1">
        <v>1936300.0</v>
      </c>
      <c r="G2911" s="1">
        <v>63119.0</v>
      </c>
      <c r="H2911" s="1">
        <v>4429.0</v>
      </c>
      <c r="I2911" s="1">
        <v>4910000.0</v>
      </c>
      <c r="J2911" s="1" t="s">
        <v>6040</v>
      </c>
    </row>
    <row r="2912">
      <c r="A2912" s="1" t="s">
        <v>8775</v>
      </c>
      <c r="B2912" s="1" t="s">
        <v>8776</v>
      </c>
      <c r="C2912" s="1" t="s">
        <v>8777</v>
      </c>
      <c r="D2912" s="1" t="s">
        <v>8446</v>
      </c>
      <c r="E2912" s="1" t="s">
        <v>8447</v>
      </c>
      <c r="F2912" s="1">
        <v>746736.0</v>
      </c>
      <c r="G2912" s="1">
        <v>11599.0</v>
      </c>
      <c r="H2912" s="1">
        <v>484.0</v>
      </c>
      <c r="I2912" s="1">
        <v>4910000.0</v>
      </c>
      <c r="J2912" s="1" t="s">
        <v>6040</v>
      </c>
    </row>
    <row r="2913">
      <c r="A2913" s="1" t="s">
        <v>8778</v>
      </c>
      <c r="B2913" s="1" t="s">
        <v>8779</v>
      </c>
      <c r="C2913" s="1" t="s">
        <v>8780</v>
      </c>
      <c r="D2913" s="1" t="s">
        <v>8446</v>
      </c>
      <c r="E2913" s="1" t="s">
        <v>8447</v>
      </c>
      <c r="F2913" s="1">
        <v>3811439.0</v>
      </c>
      <c r="G2913" s="1">
        <v>80545.0</v>
      </c>
      <c r="H2913" s="1">
        <v>2701.0</v>
      </c>
      <c r="I2913" s="1">
        <v>4910000.0</v>
      </c>
      <c r="J2913" s="1" t="s">
        <v>6040</v>
      </c>
    </row>
    <row r="2914">
      <c r="A2914" s="1" t="s">
        <v>8781</v>
      </c>
      <c r="B2914" s="1" t="s">
        <v>8782</v>
      </c>
      <c r="C2914" s="1" t="s">
        <v>8783</v>
      </c>
      <c r="D2914" s="1" t="s">
        <v>8446</v>
      </c>
      <c r="E2914" s="1" t="s">
        <v>8447</v>
      </c>
      <c r="F2914" s="1">
        <v>3842556.0</v>
      </c>
      <c r="G2914" s="1">
        <v>105553.0</v>
      </c>
      <c r="H2914" s="1">
        <v>8689.0</v>
      </c>
      <c r="I2914" s="1">
        <v>4910000.0</v>
      </c>
      <c r="J2914" s="1" t="s">
        <v>6040</v>
      </c>
    </row>
    <row r="2915">
      <c r="A2915" s="1" t="s">
        <v>8784</v>
      </c>
      <c r="B2915" s="1" t="s">
        <v>8785</v>
      </c>
      <c r="C2915" s="1" t="s">
        <v>8786</v>
      </c>
      <c r="D2915" s="1" t="s">
        <v>8446</v>
      </c>
      <c r="E2915" s="1" t="s">
        <v>8447</v>
      </c>
      <c r="F2915" s="1">
        <v>3297925.0</v>
      </c>
      <c r="G2915" s="1">
        <v>84895.0</v>
      </c>
      <c r="H2915" s="1">
        <v>2297.0</v>
      </c>
      <c r="I2915" s="1">
        <v>4910000.0</v>
      </c>
      <c r="J2915" s="1" t="s">
        <v>6040</v>
      </c>
    </row>
    <row r="2916">
      <c r="A2916" s="1" t="s">
        <v>8787</v>
      </c>
      <c r="B2916" s="1" t="s">
        <v>8788</v>
      </c>
      <c r="C2916" s="1" t="s">
        <v>8789</v>
      </c>
      <c r="D2916" s="1" t="s">
        <v>8446</v>
      </c>
      <c r="E2916" s="1" t="s">
        <v>8447</v>
      </c>
      <c r="F2916" s="1">
        <v>2925911.0</v>
      </c>
      <c r="G2916" s="1">
        <v>70914.0</v>
      </c>
      <c r="H2916" s="1">
        <v>2646.0</v>
      </c>
      <c r="I2916" s="1">
        <v>4910000.0</v>
      </c>
      <c r="J2916" s="1" t="s">
        <v>6040</v>
      </c>
    </row>
    <row r="2917">
      <c r="A2917" s="1" t="s">
        <v>8790</v>
      </c>
      <c r="B2917" s="1" t="s">
        <v>8791</v>
      </c>
      <c r="C2917" s="1" t="s">
        <v>8792</v>
      </c>
      <c r="D2917" s="1" t="s">
        <v>8446</v>
      </c>
      <c r="E2917" s="1" t="s">
        <v>8447</v>
      </c>
      <c r="F2917" s="1">
        <v>5439015.0</v>
      </c>
      <c r="G2917" s="1">
        <v>89788.0</v>
      </c>
      <c r="H2917" s="1">
        <v>5373.0</v>
      </c>
      <c r="I2917" s="1">
        <v>4910000.0</v>
      </c>
      <c r="J2917" s="1" t="s">
        <v>6040</v>
      </c>
    </row>
    <row r="2918">
      <c r="A2918" s="1" t="s">
        <v>8793</v>
      </c>
      <c r="B2918" s="1" t="s">
        <v>8794</v>
      </c>
      <c r="C2918" s="1" t="s">
        <v>8795</v>
      </c>
      <c r="D2918" s="1" t="s">
        <v>8446</v>
      </c>
      <c r="E2918" s="1" t="s">
        <v>8447</v>
      </c>
      <c r="F2918" s="1">
        <v>1.0846738E7</v>
      </c>
      <c r="G2918" s="1">
        <v>269035.0</v>
      </c>
      <c r="H2918" s="1">
        <v>18288.0</v>
      </c>
      <c r="I2918" s="1">
        <v>4910000.0</v>
      </c>
      <c r="J2918" s="1" t="s">
        <v>6040</v>
      </c>
    </row>
    <row r="2919">
      <c r="A2919" s="1" t="s">
        <v>8796</v>
      </c>
      <c r="B2919" s="1" t="s">
        <v>8797</v>
      </c>
      <c r="C2919" s="1" t="s">
        <v>8798</v>
      </c>
      <c r="D2919" s="1" t="s">
        <v>8446</v>
      </c>
      <c r="E2919" s="1" t="s">
        <v>8447</v>
      </c>
      <c r="F2919" s="1">
        <v>3958656.0</v>
      </c>
      <c r="G2919" s="1">
        <v>90990.0</v>
      </c>
      <c r="H2919" s="1">
        <v>7235.0</v>
      </c>
      <c r="I2919" s="1">
        <v>4910000.0</v>
      </c>
      <c r="J2919" s="1" t="s">
        <v>6040</v>
      </c>
    </row>
    <row r="2920">
      <c r="A2920" s="1" t="s">
        <v>8799</v>
      </c>
      <c r="B2920" s="1" t="s">
        <v>8800</v>
      </c>
      <c r="C2920" s="1" t="s">
        <v>8801</v>
      </c>
      <c r="D2920" s="1" t="s">
        <v>8446</v>
      </c>
      <c r="E2920" s="1" t="s">
        <v>8447</v>
      </c>
      <c r="F2920" s="1">
        <v>2827613.0</v>
      </c>
      <c r="G2920" s="1">
        <v>71911.0</v>
      </c>
      <c r="H2920" s="1">
        <v>5418.0</v>
      </c>
      <c r="I2920" s="1">
        <v>4910000.0</v>
      </c>
      <c r="J2920" s="1" t="s">
        <v>6040</v>
      </c>
    </row>
    <row r="2921">
      <c r="A2921" s="1" t="s">
        <v>8802</v>
      </c>
      <c r="B2921" s="1" t="s">
        <v>8803</v>
      </c>
      <c r="C2921" s="1" t="s">
        <v>8804</v>
      </c>
      <c r="D2921" s="1" t="s">
        <v>8446</v>
      </c>
      <c r="E2921" s="1" t="s">
        <v>8447</v>
      </c>
      <c r="F2921" s="1">
        <v>3516484.0</v>
      </c>
      <c r="G2921" s="1">
        <v>98985.0</v>
      </c>
      <c r="H2921" s="1">
        <v>2638.0</v>
      </c>
      <c r="I2921" s="1">
        <v>4910000.0</v>
      </c>
      <c r="J2921" s="1" t="s">
        <v>6040</v>
      </c>
    </row>
    <row r="2922">
      <c r="A2922" s="1" t="s">
        <v>8805</v>
      </c>
      <c r="B2922" s="1" t="s">
        <v>8806</v>
      </c>
      <c r="C2922" s="1" t="s">
        <v>8807</v>
      </c>
      <c r="D2922" s="1" t="s">
        <v>8446</v>
      </c>
      <c r="E2922" s="1" t="s">
        <v>8447</v>
      </c>
      <c r="F2922" s="1">
        <v>3238897.0</v>
      </c>
      <c r="G2922" s="1">
        <v>87590.0</v>
      </c>
      <c r="H2922" s="1">
        <v>9010.0</v>
      </c>
      <c r="I2922" s="1">
        <v>4910000.0</v>
      </c>
      <c r="J2922" s="1" t="s">
        <v>6040</v>
      </c>
    </row>
    <row r="2923">
      <c r="A2923" s="1" t="s">
        <v>8808</v>
      </c>
      <c r="B2923" s="1" t="s">
        <v>8809</v>
      </c>
      <c r="C2923" s="1" t="s">
        <v>8810</v>
      </c>
      <c r="D2923" s="1" t="s">
        <v>8446</v>
      </c>
      <c r="E2923" s="1" t="s">
        <v>8447</v>
      </c>
      <c r="F2923" s="1">
        <v>944070.0</v>
      </c>
      <c r="G2923" s="1">
        <v>17962.0</v>
      </c>
      <c r="H2923" s="1">
        <v>1174.0</v>
      </c>
      <c r="I2923" s="1">
        <v>4910000.0</v>
      </c>
      <c r="J2923" s="1" t="s">
        <v>6040</v>
      </c>
    </row>
    <row r="2924">
      <c r="A2924" s="1" t="s">
        <v>8811</v>
      </c>
      <c r="B2924" s="1" t="s">
        <v>8812</v>
      </c>
      <c r="C2924" s="1" t="s">
        <v>8813</v>
      </c>
      <c r="D2924" s="1" t="s">
        <v>8446</v>
      </c>
      <c r="E2924" s="1" t="s">
        <v>8447</v>
      </c>
      <c r="F2924" s="1">
        <v>1650115.0</v>
      </c>
      <c r="G2924" s="1">
        <v>33423.0</v>
      </c>
      <c r="H2924" s="1">
        <v>1358.0</v>
      </c>
      <c r="I2924" s="1">
        <v>4910000.0</v>
      </c>
      <c r="J2924" s="1" t="s">
        <v>6040</v>
      </c>
    </row>
    <row r="2925">
      <c r="A2925" s="1" t="s">
        <v>8814</v>
      </c>
      <c r="B2925" s="1" t="s">
        <v>8815</v>
      </c>
      <c r="C2925" s="1" t="s">
        <v>8816</v>
      </c>
      <c r="D2925" s="1" t="s">
        <v>8446</v>
      </c>
      <c r="E2925" s="1" t="s">
        <v>8447</v>
      </c>
      <c r="F2925" s="1">
        <v>7327605.0</v>
      </c>
      <c r="G2925" s="1">
        <v>122747.0</v>
      </c>
      <c r="H2925" s="1">
        <v>3934.0</v>
      </c>
      <c r="I2925" s="1">
        <v>4910000.0</v>
      </c>
      <c r="J2925" s="1" t="s">
        <v>6040</v>
      </c>
    </row>
    <row r="2926">
      <c r="A2926" s="1" t="s">
        <v>8817</v>
      </c>
      <c r="B2926" s="1" t="s">
        <v>8818</v>
      </c>
      <c r="C2926" s="1" t="s">
        <v>8819</v>
      </c>
      <c r="D2926" s="1" t="s">
        <v>8446</v>
      </c>
      <c r="E2926" s="1" t="s">
        <v>8447</v>
      </c>
      <c r="F2926" s="1">
        <v>3178479.0</v>
      </c>
      <c r="G2926" s="1">
        <v>71312.0</v>
      </c>
      <c r="H2926" s="1">
        <v>2339.0</v>
      </c>
      <c r="I2926" s="1">
        <v>4910000.0</v>
      </c>
      <c r="J2926" s="1" t="s">
        <v>6040</v>
      </c>
    </row>
    <row r="2927">
      <c r="A2927" s="1" t="s">
        <v>8820</v>
      </c>
      <c r="B2927" s="1" t="s">
        <v>8821</v>
      </c>
      <c r="C2927" s="1" t="s">
        <v>8822</v>
      </c>
      <c r="D2927" s="1" t="s">
        <v>8446</v>
      </c>
      <c r="E2927" s="1" t="s">
        <v>8447</v>
      </c>
      <c r="F2927" s="1">
        <v>4788917.0</v>
      </c>
      <c r="G2927" s="1">
        <v>104878.0</v>
      </c>
      <c r="H2927" s="1">
        <v>3170.0</v>
      </c>
      <c r="I2927" s="1">
        <v>4910000.0</v>
      </c>
      <c r="J2927" s="1" t="s">
        <v>6040</v>
      </c>
    </row>
    <row r="2928">
      <c r="A2928" s="1" t="s">
        <v>8823</v>
      </c>
      <c r="B2928" s="1" t="s">
        <v>8824</v>
      </c>
      <c r="C2928" s="1" t="s">
        <v>8825</v>
      </c>
      <c r="D2928" s="1" t="s">
        <v>8446</v>
      </c>
      <c r="E2928" s="1" t="s">
        <v>8447</v>
      </c>
      <c r="F2928" s="1">
        <v>1053336.0</v>
      </c>
      <c r="G2928" s="1">
        <v>36950.0</v>
      </c>
      <c r="H2928" s="1">
        <v>3716.0</v>
      </c>
      <c r="I2928" s="1">
        <v>4910000.0</v>
      </c>
      <c r="J2928" s="1" t="s">
        <v>6040</v>
      </c>
    </row>
    <row r="2929">
      <c r="A2929" s="1" t="s">
        <v>8826</v>
      </c>
      <c r="B2929" s="1" t="s">
        <v>8827</v>
      </c>
      <c r="C2929" s="1" t="s">
        <v>8828</v>
      </c>
      <c r="D2929" s="1" t="s">
        <v>8446</v>
      </c>
      <c r="E2929" s="1" t="s">
        <v>8447</v>
      </c>
      <c r="F2929" s="1">
        <v>765207.0</v>
      </c>
      <c r="G2929" s="1">
        <v>23150.0</v>
      </c>
      <c r="H2929" s="1">
        <v>1678.0</v>
      </c>
      <c r="I2929" s="1">
        <v>4910000.0</v>
      </c>
      <c r="J2929" s="1" t="s">
        <v>6040</v>
      </c>
    </row>
    <row r="2930">
      <c r="A2930" s="1" t="s">
        <v>8829</v>
      </c>
      <c r="B2930" s="1" t="s">
        <v>8830</v>
      </c>
      <c r="C2930" s="1" t="s">
        <v>8831</v>
      </c>
      <c r="D2930" s="1" t="s">
        <v>8446</v>
      </c>
      <c r="E2930" s="1" t="s">
        <v>8447</v>
      </c>
      <c r="F2930" s="1">
        <v>3208265.0</v>
      </c>
      <c r="G2930" s="1">
        <v>95419.0</v>
      </c>
      <c r="H2930" s="1">
        <v>5552.0</v>
      </c>
      <c r="I2930" s="1">
        <v>4910000.0</v>
      </c>
      <c r="J2930" s="1" t="s">
        <v>6040</v>
      </c>
    </row>
    <row r="2931">
      <c r="A2931" s="1" t="s">
        <v>8832</v>
      </c>
      <c r="B2931" s="1" t="s">
        <v>8833</v>
      </c>
      <c r="C2931" s="1" t="s">
        <v>8834</v>
      </c>
      <c r="D2931" s="1" t="s">
        <v>8446</v>
      </c>
      <c r="E2931" s="1" t="s">
        <v>8447</v>
      </c>
      <c r="F2931" s="1">
        <v>4141048.0</v>
      </c>
      <c r="G2931" s="1">
        <v>87175.0</v>
      </c>
      <c r="H2931" s="1">
        <v>5679.0</v>
      </c>
      <c r="I2931" s="1">
        <v>4910000.0</v>
      </c>
      <c r="J2931" s="1" t="s">
        <v>6040</v>
      </c>
    </row>
    <row r="2932">
      <c r="A2932" s="1" t="s">
        <v>8835</v>
      </c>
      <c r="B2932" s="1" t="s">
        <v>8836</v>
      </c>
      <c r="C2932" s="1" t="s">
        <v>8837</v>
      </c>
      <c r="D2932" s="1" t="s">
        <v>8446</v>
      </c>
      <c r="E2932" s="1" t="s">
        <v>8447</v>
      </c>
      <c r="F2932" s="1">
        <v>2256662.0</v>
      </c>
      <c r="G2932" s="1">
        <v>65865.0</v>
      </c>
      <c r="H2932" s="1">
        <v>4296.0</v>
      </c>
      <c r="I2932" s="1">
        <v>4910000.0</v>
      </c>
      <c r="J2932" s="1" t="s">
        <v>6040</v>
      </c>
    </row>
    <row r="2933">
      <c r="A2933" s="1" t="s">
        <v>8838</v>
      </c>
      <c r="B2933" s="1" t="s">
        <v>8839</v>
      </c>
      <c r="C2933" s="1" t="s">
        <v>8840</v>
      </c>
      <c r="D2933" s="1" t="s">
        <v>8446</v>
      </c>
      <c r="E2933" s="1" t="s">
        <v>8447</v>
      </c>
      <c r="F2933" s="1">
        <v>1153342.0</v>
      </c>
      <c r="G2933" s="1">
        <v>32340.0</v>
      </c>
      <c r="H2933" s="1">
        <v>1110.0</v>
      </c>
      <c r="I2933" s="1">
        <v>4910000.0</v>
      </c>
      <c r="J2933" s="1" t="s">
        <v>6040</v>
      </c>
    </row>
    <row r="2934">
      <c r="A2934" s="1" t="s">
        <v>8841</v>
      </c>
      <c r="B2934" s="1" t="s">
        <v>8842</v>
      </c>
      <c r="C2934" s="1" t="s">
        <v>8843</v>
      </c>
      <c r="D2934" s="1" t="s">
        <v>8446</v>
      </c>
      <c r="E2934" s="1" t="s">
        <v>8447</v>
      </c>
      <c r="F2934" s="1">
        <v>3412274.0</v>
      </c>
      <c r="G2934" s="1">
        <v>79955.0</v>
      </c>
      <c r="H2934" s="1">
        <v>5479.0</v>
      </c>
      <c r="I2934" s="1">
        <v>4910000.0</v>
      </c>
      <c r="J2934" s="1" t="s">
        <v>6040</v>
      </c>
    </row>
    <row r="2935">
      <c r="A2935" s="1" t="s">
        <v>8844</v>
      </c>
      <c r="B2935" s="1" t="s">
        <v>8845</v>
      </c>
      <c r="C2935" s="1" t="s">
        <v>8846</v>
      </c>
      <c r="D2935" s="1" t="s">
        <v>8446</v>
      </c>
      <c r="E2935" s="1" t="s">
        <v>8447</v>
      </c>
      <c r="F2935" s="1">
        <v>1465667.0</v>
      </c>
      <c r="G2935" s="1">
        <v>43982.0</v>
      </c>
      <c r="H2935" s="1">
        <v>6132.0</v>
      </c>
      <c r="I2935" s="1">
        <v>4910000.0</v>
      </c>
      <c r="J2935" s="1" t="s">
        <v>6040</v>
      </c>
    </row>
    <row r="2936">
      <c r="A2936" s="1" t="s">
        <v>8847</v>
      </c>
      <c r="B2936" s="1" t="s">
        <v>8848</v>
      </c>
      <c r="C2936" s="1" t="s">
        <v>8849</v>
      </c>
      <c r="D2936" s="1" t="s">
        <v>8446</v>
      </c>
      <c r="E2936" s="1" t="s">
        <v>8447</v>
      </c>
      <c r="F2936" s="1">
        <v>1081403.0</v>
      </c>
      <c r="G2936" s="1">
        <v>32869.0</v>
      </c>
      <c r="H2936" s="1">
        <v>1593.0</v>
      </c>
      <c r="I2936" s="1">
        <v>4910000.0</v>
      </c>
      <c r="J2936" s="1" t="s">
        <v>6040</v>
      </c>
    </row>
    <row r="2937">
      <c r="A2937" s="1" t="s">
        <v>8850</v>
      </c>
      <c r="B2937" s="1" t="s">
        <v>8851</v>
      </c>
      <c r="C2937" s="1" t="s">
        <v>8852</v>
      </c>
      <c r="D2937" s="1" t="s">
        <v>8446</v>
      </c>
      <c r="E2937" s="1" t="s">
        <v>8447</v>
      </c>
      <c r="F2937" s="1">
        <v>571874.0</v>
      </c>
      <c r="G2937" s="1">
        <v>22551.0</v>
      </c>
      <c r="H2937" s="1">
        <v>1115.0</v>
      </c>
      <c r="I2937" s="1">
        <v>4910000.0</v>
      </c>
      <c r="J2937" s="1" t="s">
        <v>6040</v>
      </c>
    </row>
    <row r="2938">
      <c r="A2938" s="1" t="s">
        <v>8853</v>
      </c>
      <c r="B2938" s="1" t="s">
        <v>8854</v>
      </c>
      <c r="C2938" s="1" t="s">
        <v>8855</v>
      </c>
      <c r="D2938" s="1" t="s">
        <v>8446</v>
      </c>
      <c r="E2938" s="1" t="s">
        <v>8447</v>
      </c>
      <c r="F2938" s="1">
        <v>1832179.0</v>
      </c>
      <c r="G2938" s="1">
        <v>47969.0</v>
      </c>
      <c r="H2938" s="1">
        <v>3341.0</v>
      </c>
      <c r="I2938" s="1">
        <v>4910000.0</v>
      </c>
      <c r="J2938" s="1" t="s">
        <v>6040</v>
      </c>
    </row>
    <row r="2939">
      <c r="A2939" s="1" t="s">
        <v>8856</v>
      </c>
      <c r="B2939" s="1" t="s">
        <v>8857</v>
      </c>
      <c r="C2939" s="1" t="s">
        <v>8858</v>
      </c>
      <c r="D2939" s="1" t="s">
        <v>8446</v>
      </c>
      <c r="E2939" s="1" t="s">
        <v>8447</v>
      </c>
      <c r="F2939" s="1">
        <v>229085.0</v>
      </c>
      <c r="G2939" s="1">
        <v>9988.0</v>
      </c>
      <c r="H2939" s="1">
        <v>395.0</v>
      </c>
      <c r="I2939" s="1">
        <v>4910000.0</v>
      </c>
      <c r="J2939" s="1" t="s">
        <v>6040</v>
      </c>
    </row>
    <row r="2940">
      <c r="A2940" s="1" t="s">
        <v>8859</v>
      </c>
      <c r="B2940" s="1" t="s">
        <v>8860</v>
      </c>
      <c r="C2940" s="1" t="s">
        <v>8861</v>
      </c>
      <c r="D2940" s="1" t="s">
        <v>8446</v>
      </c>
      <c r="E2940" s="1" t="s">
        <v>8447</v>
      </c>
      <c r="F2940" s="1">
        <v>1892586.0</v>
      </c>
      <c r="G2940" s="1">
        <v>59568.0</v>
      </c>
      <c r="H2940" s="1">
        <v>5366.0</v>
      </c>
      <c r="I2940" s="1">
        <v>4910000.0</v>
      </c>
      <c r="J2940" s="1" t="s">
        <v>6040</v>
      </c>
    </row>
    <row r="2941">
      <c r="A2941" s="1" t="s">
        <v>8862</v>
      </c>
      <c r="B2941" s="1" t="s">
        <v>8863</v>
      </c>
      <c r="C2941" s="1" t="s">
        <v>8864</v>
      </c>
      <c r="D2941" s="1" t="s">
        <v>8446</v>
      </c>
      <c r="E2941" s="1" t="s">
        <v>8447</v>
      </c>
      <c r="F2941" s="1">
        <v>7830607.0</v>
      </c>
      <c r="G2941" s="1">
        <v>165413.0</v>
      </c>
      <c r="H2941" s="1">
        <v>15744.0</v>
      </c>
      <c r="I2941" s="1">
        <v>4910000.0</v>
      </c>
      <c r="J2941" s="1" t="s">
        <v>6040</v>
      </c>
    </row>
    <row r="2942">
      <c r="A2942" s="1" t="s">
        <v>8865</v>
      </c>
      <c r="B2942" s="1" t="s">
        <v>8866</v>
      </c>
      <c r="C2942" s="1" t="s">
        <v>8867</v>
      </c>
      <c r="D2942" s="1" t="s">
        <v>8446</v>
      </c>
      <c r="E2942" s="1" t="s">
        <v>8447</v>
      </c>
      <c r="F2942" s="1">
        <v>3601964.0</v>
      </c>
      <c r="G2942" s="1">
        <v>91400.0</v>
      </c>
      <c r="H2942" s="1">
        <v>3234.0</v>
      </c>
      <c r="I2942" s="1">
        <v>4910000.0</v>
      </c>
      <c r="J2942" s="1" t="s">
        <v>6040</v>
      </c>
    </row>
    <row r="2943">
      <c r="A2943" s="1" t="s">
        <v>8868</v>
      </c>
      <c r="B2943" s="1" t="s">
        <v>8869</v>
      </c>
      <c r="C2943" s="1" t="s">
        <v>8870</v>
      </c>
      <c r="D2943" s="1" t="s">
        <v>8446</v>
      </c>
      <c r="E2943" s="1" t="s">
        <v>8447</v>
      </c>
      <c r="F2943" s="1">
        <v>3149413.0</v>
      </c>
      <c r="G2943" s="1">
        <v>66822.0</v>
      </c>
      <c r="H2943" s="1">
        <v>3704.0</v>
      </c>
      <c r="I2943" s="1">
        <v>4910000.0</v>
      </c>
      <c r="J2943" s="1" t="s">
        <v>6040</v>
      </c>
    </row>
    <row r="2944">
      <c r="A2944" s="1" t="s">
        <v>8871</v>
      </c>
      <c r="B2944" s="1" t="s">
        <v>8872</v>
      </c>
      <c r="C2944" s="1" t="s">
        <v>8873</v>
      </c>
      <c r="D2944" s="1" t="s">
        <v>8446</v>
      </c>
      <c r="E2944" s="1" t="s">
        <v>8447</v>
      </c>
      <c r="F2944" s="1">
        <v>2535898.0</v>
      </c>
      <c r="G2944" s="1">
        <v>60881.0</v>
      </c>
      <c r="H2944" s="1">
        <v>3488.0</v>
      </c>
      <c r="I2944" s="1">
        <v>4910000.0</v>
      </c>
      <c r="J2944" s="1" t="s">
        <v>6040</v>
      </c>
    </row>
    <row r="2945">
      <c r="A2945" s="1" t="s">
        <v>8874</v>
      </c>
      <c r="B2945" s="1" t="s">
        <v>8875</v>
      </c>
      <c r="C2945" s="1" t="s">
        <v>8876</v>
      </c>
      <c r="D2945" s="1" t="s">
        <v>8446</v>
      </c>
      <c r="E2945" s="1" t="s">
        <v>8447</v>
      </c>
      <c r="F2945" s="1">
        <v>932643.0</v>
      </c>
      <c r="G2945" s="1">
        <v>29490.0</v>
      </c>
      <c r="H2945" s="1">
        <v>5365.0</v>
      </c>
      <c r="I2945" s="1">
        <v>4910000.0</v>
      </c>
      <c r="J2945" s="1" t="s">
        <v>6040</v>
      </c>
    </row>
    <row r="2946">
      <c r="A2946" s="1" t="s">
        <v>8877</v>
      </c>
      <c r="B2946" s="1" t="s">
        <v>8878</v>
      </c>
      <c r="C2946" s="1" t="s">
        <v>8879</v>
      </c>
      <c r="D2946" s="1" t="s">
        <v>8446</v>
      </c>
      <c r="E2946" s="1" t="s">
        <v>8447</v>
      </c>
      <c r="F2946" s="1">
        <v>2121153.0</v>
      </c>
      <c r="G2946" s="1">
        <v>51842.0</v>
      </c>
      <c r="H2946" s="1">
        <v>5829.0</v>
      </c>
      <c r="I2946" s="1">
        <v>4910000.0</v>
      </c>
      <c r="J2946" s="1" t="s">
        <v>6040</v>
      </c>
    </row>
    <row r="2947">
      <c r="A2947" s="1" t="s">
        <v>8880</v>
      </c>
      <c r="B2947" s="1" t="s">
        <v>8881</v>
      </c>
      <c r="C2947" s="1" t="s">
        <v>8882</v>
      </c>
      <c r="D2947" s="1" t="s">
        <v>8446</v>
      </c>
      <c r="E2947" s="1" t="s">
        <v>8447</v>
      </c>
      <c r="F2947" s="1">
        <v>2496426.0</v>
      </c>
      <c r="G2947" s="1">
        <v>48274.0</v>
      </c>
      <c r="H2947" s="1">
        <v>2075.0</v>
      </c>
      <c r="I2947" s="1">
        <v>4910000.0</v>
      </c>
      <c r="J2947" s="1" t="s">
        <v>6040</v>
      </c>
    </row>
    <row r="2948">
      <c r="A2948" s="1" t="s">
        <v>8883</v>
      </c>
      <c r="B2948" s="1" t="s">
        <v>8884</v>
      </c>
      <c r="C2948" s="1" t="s">
        <v>8885</v>
      </c>
      <c r="D2948" s="1" t="s">
        <v>8446</v>
      </c>
      <c r="E2948" s="1" t="s">
        <v>8447</v>
      </c>
      <c r="F2948" s="1">
        <v>5065580.0</v>
      </c>
      <c r="G2948" s="1">
        <v>128524.0</v>
      </c>
      <c r="H2948" s="1">
        <v>25382.0</v>
      </c>
      <c r="I2948" s="1">
        <v>4910000.0</v>
      </c>
      <c r="J2948" s="1" t="s">
        <v>6040</v>
      </c>
    </row>
    <row r="2949">
      <c r="A2949" s="1" t="s">
        <v>8886</v>
      </c>
      <c r="B2949" s="1" t="s">
        <v>8887</v>
      </c>
      <c r="C2949" s="1" t="s">
        <v>8888</v>
      </c>
      <c r="D2949" s="1" t="s">
        <v>8446</v>
      </c>
      <c r="E2949" s="1" t="s">
        <v>8447</v>
      </c>
      <c r="F2949" s="1">
        <v>1525227.0</v>
      </c>
      <c r="G2949" s="1">
        <v>60319.0</v>
      </c>
      <c r="H2949" s="1">
        <v>8801.0</v>
      </c>
      <c r="I2949" s="1">
        <v>4910000.0</v>
      </c>
      <c r="J2949" s="1" t="s">
        <v>6040</v>
      </c>
    </row>
    <row r="2950">
      <c r="A2950" s="1" t="s">
        <v>8889</v>
      </c>
      <c r="B2950" s="1" t="s">
        <v>8890</v>
      </c>
      <c r="C2950" s="1" t="s">
        <v>8891</v>
      </c>
      <c r="D2950" s="1" t="s">
        <v>8446</v>
      </c>
      <c r="E2950" s="1" t="s">
        <v>8447</v>
      </c>
      <c r="F2950" s="1">
        <v>3934018.0</v>
      </c>
      <c r="G2950" s="1">
        <v>73088.0</v>
      </c>
      <c r="H2950" s="1">
        <v>3256.0</v>
      </c>
      <c r="I2950" s="1">
        <v>4910000.0</v>
      </c>
      <c r="J2950" s="1" t="s">
        <v>6040</v>
      </c>
    </row>
    <row r="2951">
      <c r="A2951" s="1" t="s">
        <v>8892</v>
      </c>
      <c r="B2951" s="1" t="s">
        <v>8893</v>
      </c>
      <c r="C2951" s="1" t="s">
        <v>8894</v>
      </c>
      <c r="D2951" s="1" t="s">
        <v>8446</v>
      </c>
      <c r="E2951" s="1" t="s">
        <v>8447</v>
      </c>
      <c r="F2951" s="1">
        <v>1426238.0</v>
      </c>
      <c r="G2951" s="1">
        <v>24862.0</v>
      </c>
      <c r="H2951" s="1">
        <v>1780.0</v>
      </c>
      <c r="I2951" s="1">
        <v>4910000.0</v>
      </c>
      <c r="J2951" s="1" t="s">
        <v>6040</v>
      </c>
    </row>
    <row r="2952">
      <c r="A2952" s="1" t="s">
        <v>8895</v>
      </c>
      <c r="B2952" s="1" t="s">
        <v>8896</v>
      </c>
      <c r="C2952" s="1" t="s">
        <v>8897</v>
      </c>
      <c r="D2952" s="1" t="s">
        <v>8446</v>
      </c>
      <c r="E2952" s="1" t="s">
        <v>8447</v>
      </c>
      <c r="F2952" s="1">
        <v>2597533.0</v>
      </c>
      <c r="G2952" s="1">
        <v>65616.0</v>
      </c>
      <c r="H2952" s="1">
        <v>5396.0</v>
      </c>
      <c r="I2952" s="1">
        <v>4910000.0</v>
      </c>
      <c r="J2952" s="1" t="s">
        <v>6040</v>
      </c>
    </row>
    <row r="2953">
      <c r="A2953" s="1" t="s">
        <v>8898</v>
      </c>
      <c r="B2953" s="1" t="s">
        <v>8899</v>
      </c>
      <c r="C2953" s="1" t="s">
        <v>8900</v>
      </c>
      <c r="D2953" s="1" t="s">
        <v>8446</v>
      </c>
      <c r="E2953" s="1" t="s">
        <v>8447</v>
      </c>
      <c r="F2953" s="1">
        <v>4551259.0</v>
      </c>
      <c r="G2953" s="1">
        <v>128345.0</v>
      </c>
      <c r="H2953" s="1">
        <v>12646.0</v>
      </c>
      <c r="I2953" s="1">
        <v>4910000.0</v>
      </c>
      <c r="J2953" s="1" t="s">
        <v>6040</v>
      </c>
    </row>
    <row r="2954">
      <c r="A2954" s="1" t="s">
        <v>8901</v>
      </c>
      <c r="B2954" s="1" t="s">
        <v>8902</v>
      </c>
      <c r="C2954" s="1" t="s">
        <v>8903</v>
      </c>
      <c r="D2954" s="1" t="s">
        <v>8446</v>
      </c>
      <c r="E2954" s="1" t="s">
        <v>8447</v>
      </c>
      <c r="F2954" s="1">
        <v>1723466.0</v>
      </c>
      <c r="G2954" s="1">
        <v>41093.0</v>
      </c>
      <c r="H2954" s="1">
        <v>2176.0</v>
      </c>
      <c r="I2954" s="1">
        <v>4910000.0</v>
      </c>
      <c r="J2954" s="1" t="s">
        <v>6040</v>
      </c>
    </row>
    <row r="2955">
      <c r="A2955" s="1" t="s">
        <v>8904</v>
      </c>
      <c r="B2955" s="1" t="s">
        <v>8905</v>
      </c>
      <c r="C2955" s="1" t="s">
        <v>8906</v>
      </c>
      <c r="D2955" s="1" t="s">
        <v>8446</v>
      </c>
      <c r="E2955" s="1" t="s">
        <v>8447</v>
      </c>
      <c r="F2955" s="1">
        <v>3022575.0</v>
      </c>
      <c r="G2955" s="1">
        <v>60305.0</v>
      </c>
      <c r="H2955" s="1">
        <v>2540.0</v>
      </c>
      <c r="I2955" s="1">
        <v>4910000.0</v>
      </c>
      <c r="J2955" s="1" t="s">
        <v>6040</v>
      </c>
    </row>
    <row r="2956">
      <c r="A2956" s="1" t="s">
        <v>8907</v>
      </c>
      <c r="B2956" s="1" t="s">
        <v>8908</v>
      </c>
      <c r="C2956" s="1" t="s">
        <v>8909</v>
      </c>
      <c r="D2956" s="1" t="s">
        <v>8446</v>
      </c>
      <c r="E2956" s="1" t="s">
        <v>8447</v>
      </c>
      <c r="F2956" s="1">
        <v>2032264.0</v>
      </c>
      <c r="G2956" s="1">
        <v>53271.0</v>
      </c>
      <c r="H2956" s="1">
        <v>4321.0</v>
      </c>
      <c r="I2956" s="1">
        <v>4910000.0</v>
      </c>
      <c r="J2956" s="1" t="s">
        <v>6040</v>
      </c>
    </row>
    <row r="2957">
      <c r="A2957" s="1" t="s">
        <v>8910</v>
      </c>
      <c r="B2957" s="1" t="s">
        <v>8911</v>
      </c>
      <c r="C2957" s="1" t="s">
        <v>8912</v>
      </c>
      <c r="D2957" s="1" t="s">
        <v>8446</v>
      </c>
      <c r="E2957" s="1" t="s">
        <v>8447</v>
      </c>
      <c r="F2957" s="1">
        <v>1461841.0</v>
      </c>
      <c r="G2957" s="1">
        <v>37005.0</v>
      </c>
      <c r="H2957" s="1">
        <v>1694.0</v>
      </c>
      <c r="I2957" s="1">
        <v>4910000.0</v>
      </c>
      <c r="J2957" s="1" t="s">
        <v>6040</v>
      </c>
    </row>
    <row r="2958">
      <c r="A2958" s="1" t="s">
        <v>8913</v>
      </c>
      <c r="B2958" s="1" t="s">
        <v>8914</v>
      </c>
      <c r="C2958" s="1" t="s">
        <v>8915</v>
      </c>
      <c r="D2958" s="1" t="s">
        <v>8446</v>
      </c>
      <c r="E2958" s="1" t="s">
        <v>8447</v>
      </c>
      <c r="F2958" s="1">
        <v>3760214.0</v>
      </c>
      <c r="G2958" s="1">
        <v>94654.0</v>
      </c>
      <c r="H2958" s="1">
        <v>3135.0</v>
      </c>
      <c r="I2958" s="1">
        <v>4910000.0</v>
      </c>
      <c r="J2958" s="1" t="s">
        <v>6040</v>
      </c>
    </row>
    <row r="2959">
      <c r="A2959" s="1" t="s">
        <v>8916</v>
      </c>
      <c r="B2959" s="1" t="s">
        <v>8917</v>
      </c>
      <c r="C2959" s="1" t="s">
        <v>8918</v>
      </c>
      <c r="D2959" s="1" t="s">
        <v>8446</v>
      </c>
      <c r="E2959" s="1" t="s">
        <v>8447</v>
      </c>
      <c r="F2959" s="1">
        <v>921725.0</v>
      </c>
      <c r="G2959" s="1">
        <v>30156.0</v>
      </c>
      <c r="H2959" s="1">
        <v>3475.0</v>
      </c>
      <c r="I2959" s="1">
        <v>4910000.0</v>
      </c>
      <c r="J2959" s="1" t="s">
        <v>6040</v>
      </c>
    </row>
    <row r="2960">
      <c r="A2960" s="1" t="s">
        <v>8919</v>
      </c>
      <c r="B2960" s="1" t="s">
        <v>8920</v>
      </c>
      <c r="C2960" s="1" t="s">
        <v>8921</v>
      </c>
      <c r="D2960" s="1" t="s">
        <v>8446</v>
      </c>
      <c r="E2960" s="1" t="s">
        <v>8447</v>
      </c>
      <c r="F2960" s="1">
        <v>1982677.0</v>
      </c>
      <c r="G2960" s="1">
        <v>59586.0</v>
      </c>
      <c r="H2960" s="1">
        <v>7637.0</v>
      </c>
      <c r="I2960" s="1">
        <v>4910000.0</v>
      </c>
      <c r="J2960" s="1" t="s">
        <v>6040</v>
      </c>
    </row>
    <row r="2961">
      <c r="A2961" s="1" t="s">
        <v>8922</v>
      </c>
      <c r="B2961" s="1" t="s">
        <v>8923</v>
      </c>
      <c r="C2961" s="1" t="s">
        <v>8924</v>
      </c>
      <c r="D2961" s="1" t="s">
        <v>8446</v>
      </c>
      <c r="E2961" s="1" t="s">
        <v>8447</v>
      </c>
      <c r="F2961" s="1">
        <v>2406730.0</v>
      </c>
      <c r="G2961" s="1">
        <v>49685.0</v>
      </c>
      <c r="H2961" s="1">
        <v>1967.0</v>
      </c>
      <c r="I2961" s="1">
        <v>4910000.0</v>
      </c>
      <c r="J2961" s="1" t="s">
        <v>6040</v>
      </c>
    </row>
    <row r="2962">
      <c r="A2962" s="1" t="s">
        <v>8925</v>
      </c>
      <c r="B2962" s="1" t="s">
        <v>8926</v>
      </c>
      <c r="C2962" s="1" t="s">
        <v>8927</v>
      </c>
      <c r="D2962" s="1" t="s">
        <v>8446</v>
      </c>
      <c r="E2962" s="1" t="s">
        <v>8447</v>
      </c>
      <c r="F2962" s="1">
        <v>660176.0</v>
      </c>
      <c r="G2962" s="1">
        <v>26294.0</v>
      </c>
      <c r="H2962" s="1">
        <v>2328.0</v>
      </c>
      <c r="I2962" s="1">
        <v>4910000.0</v>
      </c>
      <c r="J2962" s="1" t="s">
        <v>6040</v>
      </c>
    </row>
    <row r="2963">
      <c r="A2963" s="1" t="s">
        <v>8928</v>
      </c>
      <c r="B2963" s="1" t="s">
        <v>8929</v>
      </c>
      <c r="C2963" s="1" t="s">
        <v>8930</v>
      </c>
      <c r="D2963" s="1" t="s">
        <v>8446</v>
      </c>
      <c r="E2963" s="1" t="s">
        <v>8447</v>
      </c>
      <c r="F2963" s="1">
        <v>2208600.0</v>
      </c>
      <c r="G2963" s="1">
        <v>35923.0</v>
      </c>
      <c r="H2963" s="1">
        <v>2557.0</v>
      </c>
      <c r="I2963" s="1">
        <v>4910000.0</v>
      </c>
      <c r="J2963" s="1" t="s">
        <v>6040</v>
      </c>
    </row>
    <row r="2964">
      <c r="A2964" s="1" t="s">
        <v>8931</v>
      </c>
      <c r="B2964" s="1" t="s">
        <v>8932</v>
      </c>
      <c r="C2964" s="1" t="s">
        <v>8933</v>
      </c>
      <c r="D2964" s="1" t="s">
        <v>8446</v>
      </c>
      <c r="E2964" s="1" t="s">
        <v>8447</v>
      </c>
      <c r="F2964" s="1">
        <v>543198.0</v>
      </c>
      <c r="G2964" s="1">
        <v>21109.0</v>
      </c>
      <c r="H2964" s="1">
        <v>1259.0</v>
      </c>
      <c r="I2964" s="1">
        <v>4910000.0</v>
      </c>
      <c r="J2964" s="1" t="s">
        <v>6040</v>
      </c>
    </row>
    <row r="2965">
      <c r="A2965" s="1" t="s">
        <v>8934</v>
      </c>
      <c r="B2965" s="1" t="s">
        <v>8935</v>
      </c>
      <c r="C2965" s="1" t="s">
        <v>8936</v>
      </c>
      <c r="D2965" s="1" t="s">
        <v>8446</v>
      </c>
      <c r="E2965" s="1" t="s">
        <v>8447</v>
      </c>
      <c r="F2965" s="1">
        <v>2143671.0</v>
      </c>
      <c r="G2965" s="1">
        <v>59093.0</v>
      </c>
      <c r="H2965" s="1">
        <v>2518.0</v>
      </c>
      <c r="I2965" s="1">
        <v>4910000.0</v>
      </c>
      <c r="J2965" s="1" t="s">
        <v>6040</v>
      </c>
    </row>
    <row r="2966">
      <c r="A2966" s="1" t="s">
        <v>8937</v>
      </c>
      <c r="B2966" s="1" t="s">
        <v>8938</v>
      </c>
      <c r="C2966" s="1" t="s">
        <v>8939</v>
      </c>
      <c r="D2966" s="1" t="s">
        <v>8446</v>
      </c>
      <c r="E2966" s="1" t="s">
        <v>8447</v>
      </c>
      <c r="F2966" s="1">
        <v>868654.0</v>
      </c>
      <c r="G2966" s="1">
        <v>30593.0</v>
      </c>
      <c r="H2966" s="1">
        <v>2651.0</v>
      </c>
      <c r="I2966" s="1">
        <v>4910000.0</v>
      </c>
      <c r="J2966" s="1" t="s">
        <v>6040</v>
      </c>
    </row>
    <row r="2967">
      <c r="A2967" s="1" t="s">
        <v>8940</v>
      </c>
      <c r="B2967" s="1" t="s">
        <v>8941</v>
      </c>
      <c r="C2967" s="1" t="s">
        <v>8942</v>
      </c>
      <c r="D2967" s="1" t="s">
        <v>8446</v>
      </c>
      <c r="E2967" s="1" t="s">
        <v>8447</v>
      </c>
      <c r="F2967" s="1">
        <v>2738785.0</v>
      </c>
      <c r="G2967" s="1">
        <v>60277.0</v>
      </c>
      <c r="H2967" s="1">
        <v>4287.0</v>
      </c>
      <c r="I2967" s="1">
        <v>4910000.0</v>
      </c>
      <c r="J2967" s="1" t="s">
        <v>6040</v>
      </c>
    </row>
    <row r="2968">
      <c r="A2968" s="1" t="s">
        <v>8943</v>
      </c>
      <c r="B2968" s="1" t="s">
        <v>8944</v>
      </c>
      <c r="C2968" s="1" t="s">
        <v>8945</v>
      </c>
      <c r="D2968" s="1" t="s">
        <v>8446</v>
      </c>
      <c r="E2968" s="1" t="s">
        <v>8447</v>
      </c>
      <c r="F2968" s="1">
        <v>1805868.0</v>
      </c>
      <c r="G2968" s="1">
        <v>44301.0</v>
      </c>
      <c r="H2968" s="1">
        <v>1829.0</v>
      </c>
      <c r="I2968" s="1">
        <v>4910000.0</v>
      </c>
      <c r="J2968" s="1" t="s">
        <v>6040</v>
      </c>
    </row>
    <row r="2969">
      <c r="A2969" s="1" t="s">
        <v>8946</v>
      </c>
      <c r="B2969" s="1" t="s">
        <v>8947</v>
      </c>
      <c r="C2969" s="1" t="s">
        <v>8948</v>
      </c>
      <c r="D2969" s="1" t="s">
        <v>8446</v>
      </c>
      <c r="E2969" s="1" t="s">
        <v>8447</v>
      </c>
      <c r="F2969" s="1">
        <v>1217176.0</v>
      </c>
      <c r="G2969" s="1">
        <v>45560.0</v>
      </c>
      <c r="H2969" s="1">
        <v>3297.0</v>
      </c>
      <c r="I2969" s="1">
        <v>4910000.0</v>
      </c>
      <c r="J2969" s="1" t="s">
        <v>6040</v>
      </c>
    </row>
    <row r="2970">
      <c r="A2970" s="1" t="s">
        <v>8949</v>
      </c>
      <c r="B2970" s="1" t="s">
        <v>8950</v>
      </c>
      <c r="C2970" s="1" t="s">
        <v>8951</v>
      </c>
      <c r="D2970" s="1" t="s">
        <v>8446</v>
      </c>
      <c r="E2970" s="1" t="s">
        <v>8447</v>
      </c>
      <c r="F2970" s="1">
        <v>1200879.0</v>
      </c>
      <c r="G2970" s="1">
        <v>32051.0</v>
      </c>
      <c r="H2970" s="1">
        <v>1265.0</v>
      </c>
      <c r="I2970" s="1">
        <v>4910000.0</v>
      </c>
      <c r="J2970" s="1" t="s">
        <v>6040</v>
      </c>
    </row>
    <row r="2971">
      <c r="A2971" s="1" t="s">
        <v>8952</v>
      </c>
      <c r="B2971" s="1" t="s">
        <v>8953</v>
      </c>
      <c r="C2971" s="1" t="s">
        <v>8954</v>
      </c>
      <c r="D2971" s="1" t="s">
        <v>8446</v>
      </c>
      <c r="E2971" s="1" t="s">
        <v>8447</v>
      </c>
      <c r="F2971" s="1">
        <v>3069661.0</v>
      </c>
      <c r="G2971" s="1">
        <v>60433.0</v>
      </c>
      <c r="H2971" s="1">
        <v>2129.0</v>
      </c>
      <c r="I2971" s="1">
        <v>4910000.0</v>
      </c>
      <c r="J2971" s="1" t="s">
        <v>6040</v>
      </c>
    </row>
    <row r="2972">
      <c r="A2972" s="1" t="s">
        <v>8955</v>
      </c>
      <c r="B2972" s="1" t="s">
        <v>8956</v>
      </c>
      <c r="C2972" s="1" t="s">
        <v>8957</v>
      </c>
      <c r="D2972" s="1" t="s">
        <v>8446</v>
      </c>
      <c r="E2972" s="1" t="s">
        <v>8447</v>
      </c>
      <c r="F2972" s="1">
        <v>1693878.0</v>
      </c>
      <c r="G2972" s="1">
        <v>39125.0</v>
      </c>
      <c r="H2972" s="1">
        <v>1830.0</v>
      </c>
      <c r="I2972" s="1">
        <v>4910000.0</v>
      </c>
      <c r="J2972" s="1" t="s">
        <v>6040</v>
      </c>
    </row>
    <row r="2973">
      <c r="A2973" s="1" t="s">
        <v>8958</v>
      </c>
      <c r="B2973" s="1" t="s">
        <v>8959</v>
      </c>
      <c r="C2973" s="1" t="s">
        <v>8960</v>
      </c>
      <c r="D2973" s="1" t="s">
        <v>8446</v>
      </c>
      <c r="E2973" s="1" t="s">
        <v>8447</v>
      </c>
      <c r="F2973" s="1">
        <v>1368677.0</v>
      </c>
      <c r="G2973" s="1">
        <v>39968.0</v>
      </c>
      <c r="H2973" s="1">
        <v>3034.0</v>
      </c>
      <c r="I2973" s="1">
        <v>4910000.0</v>
      </c>
      <c r="J2973" s="1" t="s">
        <v>6040</v>
      </c>
    </row>
    <row r="2974">
      <c r="A2974" s="1" t="s">
        <v>8961</v>
      </c>
      <c r="B2974" s="1" t="s">
        <v>8962</v>
      </c>
      <c r="C2974" s="1" t="s">
        <v>8963</v>
      </c>
      <c r="D2974" s="1" t="s">
        <v>8446</v>
      </c>
      <c r="E2974" s="1" t="s">
        <v>8447</v>
      </c>
      <c r="F2974" s="1">
        <v>947037.0</v>
      </c>
      <c r="G2974" s="1">
        <v>23323.0</v>
      </c>
      <c r="H2974" s="1">
        <v>1427.0</v>
      </c>
      <c r="I2974" s="1">
        <v>4910000.0</v>
      </c>
      <c r="J2974" s="1" t="s">
        <v>6040</v>
      </c>
    </row>
    <row r="2975">
      <c r="A2975" s="1" t="s">
        <v>8964</v>
      </c>
      <c r="B2975" s="1" t="s">
        <v>8965</v>
      </c>
      <c r="C2975" s="1" t="s">
        <v>8966</v>
      </c>
      <c r="D2975" s="1" t="s">
        <v>8446</v>
      </c>
      <c r="E2975" s="1" t="s">
        <v>8447</v>
      </c>
      <c r="F2975" s="1">
        <v>1283892.0</v>
      </c>
      <c r="G2975" s="1">
        <v>29243.0</v>
      </c>
      <c r="H2975" s="1">
        <v>3864.0</v>
      </c>
      <c r="I2975" s="1">
        <v>4910000.0</v>
      </c>
      <c r="J2975" s="1" t="s">
        <v>6040</v>
      </c>
    </row>
    <row r="2976">
      <c r="A2976" s="1" t="s">
        <v>8967</v>
      </c>
      <c r="B2976" s="1" t="s">
        <v>8968</v>
      </c>
      <c r="C2976" s="1" t="s">
        <v>8969</v>
      </c>
      <c r="D2976" s="1" t="s">
        <v>8446</v>
      </c>
      <c r="E2976" s="1" t="s">
        <v>8447</v>
      </c>
      <c r="F2976" s="1">
        <v>2900031.0</v>
      </c>
      <c r="G2976" s="1">
        <v>69176.0</v>
      </c>
      <c r="H2976" s="1">
        <v>10241.0</v>
      </c>
      <c r="I2976" s="1">
        <v>4910000.0</v>
      </c>
      <c r="J2976" s="1" t="s">
        <v>6040</v>
      </c>
    </row>
    <row r="2977">
      <c r="A2977" s="1" t="s">
        <v>8970</v>
      </c>
      <c r="B2977" s="1" t="s">
        <v>8971</v>
      </c>
      <c r="C2977" s="1" t="s">
        <v>8972</v>
      </c>
      <c r="D2977" s="1" t="s">
        <v>8446</v>
      </c>
      <c r="E2977" s="1" t="s">
        <v>8447</v>
      </c>
      <c r="F2977" s="1">
        <v>2676975.0</v>
      </c>
      <c r="G2977" s="1">
        <v>55585.0</v>
      </c>
      <c r="H2977" s="1">
        <v>2936.0</v>
      </c>
      <c r="I2977" s="1">
        <v>4910000.0</v>
      </c>
      <c r="J2977" s="1" t="s">
        <v>6040</v>
      </c>
    </row>
    <row r="2978">
      <c r="A2978" s="1" t="s">
        <v>8973</v>
      </c>
      <c r="B2978" s="1" t="s">
        <v>8974</v>
      </c>
      <c r="C2978" s="1" t="s">
        <v>8975</v>
      </c>
      <c r="D2978" s="1" t="s">
        <v>8446</v>
      </c>
      <c r="E2978" s="1" t="s">
        <v>8447</v>
      </c>
      <c r="F2978" s="1">
        <v>504950.0</v>
      </c>
      <c r="G2978" s="1">
        <v>13749.0</v>
      </c>
      <c r="H2978" s="1">
        <v>1123.0</v>
      </c>
      <c r="I2978" s="1">
        <v>4910000.0</v>
      </c>
      <c r="J2978" s="1" t="s">
        <v>6040</v>
      </c>
    </row>
    <row r="2979">
      <c r="A2979" s="1" t="s">
        <v>8976</v>
      </c>
      <c r="B2979" s="1" t="s">
        <v>8977</v>
      </c>
      <c r="C2979" s="1" t="s">
        <v>8978</v>
      </c>
      <c r="D2979" s="1" t="s">
        <v>8446</v>
      </c>
      <c r="E2979" s="1" t="s">
        <v>8447</v>
      </c>
      <c r="F2979" s="1">
        <v>9931468.0</v>
      </c>
      <c r="G2979" s="1">
        <v>111414.0</v>
      </c>
      <c r="H2979" s="1">
        <v>5703.0</v>
      </c>
      <c r="I2979" s="1">
        <v>4910000.0</v>
      </c>
      <c r="J2979" s="1" t="s">
        <v>6040</v>
      </c>
    </row>
    <row r="2980">
      <c r="A2980" s="1" t="s">
        <v>8979</v>
      </c>
      <c r="B2980" s="1" t="s">
        <v>8980</v>
      </c>
      <c r="C2980" s="1" t="s">
        <v>8981</v>
      </c>
      <c r="D2980" s="1" t="s">
        <v>8446</v>
      </c>
      <c r="E2980" s="1" t="s">
        <v>8447</v>
      </c>
      <c r="F2980" s="1">
        <v>865618.0</v>
      </c>
      <c r="G2980" s="1">
        <v>22021.0</v>
      </c>
      <c r="H2980" s="1">
        <v>1765.0</v>
      </c>
      <c r="I2980" s="1">
        <v>4910000.0</v>
      </c>
      <c r="J2980" s="1" t="s">
        <v>6040</v>
      </c>
    </row>
    <row r="2981">
      <c r="A2981" s="1" t="s">
        <v>8982</v>
      </c>
      <c r="B2981" s="1" t="s">
        <v>8983</v>
      </c>
      <c r="C2981" s="1" t="s">
        <v>8984</v>
      </c>
      <c r="D2981" s="1" t="s">
        <v>8446</v>
      </c>
      <c r="E2981" s="1" t="s">
        <v>8447</v>
      </c>
      <c r="F2981" s="1">
        <v>1590339.0</v>
      </c>
      <c r="G2981" s="1">
        <v>40090.0</v>
      </c>
      <c r="H2981" s="1">
        <v>4857.0</v>
      </c>
      <c r="I2981" s="1">
        <v>4910000.0</v>
      </c>
      <c r="J2981" s="1" t="s">
        <v>6040</v>
      </c>
    </row>
    <row r="2982">
      <c r="A2982" s="1" t="s">
        <v>8985</v>
      </c>
      <c r="B2982" s="1" t="s">
        <v>8986</v>
      </c>
      <c r="C2982" s="1" t="s">
        <v>8987</v>
      </c>
      <c r="D2982" s="1" t="s">
        <v>8446</v>
      </c>
      <c r="E2982" s="1" t="s">
        <v>8447</v>
      </c>
      <c r="F2982" s="1">
        <v>6929944.0</v>
      </c>
      <c r="G2982" s="1">
        <v>127168.0</v>
      </c>
      <c r="H2982" s="1">
        <v>19628.0</v>
      </c>
      <c r="I2982" s="1">
        <v>4910000.0</v>
      </c>
      <c r="J2982" s="1" t="s">
        <v>6040</v>
      </c>
    </row>
    <row r="2983">
      <c r="A2983" s="1" t="s">
        <v>8988</v>
      </c>
      <c r="B2983" s="1" t="s">
        <v>8989</v>
      </c>
      <c r="C2983" s="1" t="s">
        <v>8990</v>
      </c>
      <c r="D2983" s="1" t="s">
        <v>8446</v>
      </c>
      <c r="E2983" s="1" t="s">
        <v>8447</v>
      </c>
      <c r="F2983" s="1">
        <v>948897.0</v>
      </c>
      <c r="G2983" s="1">
        <v>23179.0</v>
      </c>
      <c r="H2983" s="1">
        <v>1613.0</v>
      </c>
      <c r="I2983" s="1">
        <v>4910000.0</v>
      </c>
      <c r="J2983" s="1" t="s">
        <v>6040</v>
      </c>
    </row>
    <row r="2984">
      <c r="A2984" s="1" t="s">
        <v>8991</v>
      </c>
      <c r="B2984" s="1" t="s">
        <v>8992</v>
      </c>
      <c r="C2984" s="1" t="s">
        <v>8993</v>
      </c>
      <c r="D2984" s="1" t="s">
        <v>8446</v>
      </c>
      <c r="E2984" s="1" t="s">
        <v>8447</v>
      </c>
      <c r="F2984" s="1">
        <v>1017116.0</v>
      </c>
      <c r="G2984" s="1">
        <v>32298.0</v>
      </c>
      <c r="H2984" s="1">
        <v>1006.0</v>
      </c>
      <c r="I2984" s="1">
        <v>4910000.0</v>
      </c>
      <c r="J2984" s="1" t="s">
        <v>6040</v>
      </c>
    </row>
    <row r="2985">
      <c r="A2985" s="1" t="s">
        <v>8994</v>
      </c>
      <c r="B2985" s="1" t="s">
        <v>8995</v>
      </c>
      <c r="C2985" s="1" t="s">
        <v>8996</v>
      </c>
      <c r="D2985" s="1" t="s">
        <v>8446</v>
      </c>
      <c r="E2985" s="1" t="s">
        <v>8447</v>
      </c>
      <c r="F2985" s="1">
        <v>3019306.0</v>
      </c>
      <c r="G2985" s="1">
        <v>64003.0</v>
      </c>
      <c r="H2985" s="1">
        <v>4212.0</v>
      </c>
      <c r="I2985" s="1">
        <v>4910000.0</v>
      </c>
      <c r="J2985" s="1" t="s">
        <v>6040</v>
      </c>
    </row>
    <row r="2986">
      <c r="A2986" s="1" t="s">
        <v>8997</v>
      </c>
      <c r="B2986" s="1" t="s">
        <v>8998</v>
      </c>
      <c r="C2986" s="1" t="s">
        <v>8999</v>
      </c>
      <c r="D2986" s="1" t="s">
        <v>8446</v>
      </c>
      <c r="E2986" s="1" t="s">
        <v>8447</v>
      </c>
      <c r="F2986" s="1">
        <v>1583600.0</v>
      </c>
      <c r="G2986" s="1">
        <v>46230.0</v>
      </c>
      <c r="H2986" s="1">
        <v>1343.0</v>
      </c>
      <c r="I2986" s="1">
        <v>4910000.0</v>
      </c>
      <c r="J2986" s="1" t="s">
        <v>6040</v>
      </c>
    </row>
    <row r="2987">
      <c r="A2987" s="1" t="s">
        <v>9000</v>
      </c>
      <c r="B2987" s="1" t="s">
        <v>9001</v>
      </c>
      <c r="C2987" s="1" t="s">
        <v>9002</v>
      </c>
      <c r="D2987" s="1" t="s">
        <v>8446</v>
      </c>
      <c r="E2987" s="1" t="s">
        <v>8447</v>
      </c>
      <c r="F2987" s="1">
        <v>3528239.0</v>
      </c>
      <c r="G2987" s="1">
        <v>51086.0</v>
      </c>
      <c r="H2987" s="1">
        <v>4031.0</v>
      </c>
      <c r="I2987" s="1">
        <v>4910000.0</v>
      </c>
      <c r="J2987" s="1" t="s">
        <v>6040</v>
      </c>
    </row>
    <row r="2988">
      <c r="A2988" s="1" t="s">
        <v>9003</v>
      </c>
      <c r="B2988" s="1" t="s">
        <v>9004</v>
      </c>
      <c r="C2988" s="1" t="s">
        <v>9005</v>
      </c>
      <c r="D2988" s="1" t="s">
        <v>8446</v>
      </c>
      <c r="E2988" s="1" t="s">
        <v>8447</v>
      </c>
      <c r="F2988" s="1">
        <v>3894073.0</v>
      </c>
      <c r="G2988" s="1">
        <v>73121.0</v>
      </c>
      <c r="H2988" s="1">
        <v>5613.0</v>
      </c>
      <c r="I2988" s="1">
        <v>4910000.0</v>
      </c>
      <c r="J2988" s="1" t="s">
        <v>6040</v>
      </c>
    </row>
    <row r="2989">
      <c r="A2989" s="1" t="s">
        <v>9006</v>
      </c>
      <c r="B2989" s="1" t="s">
        <v>9007</v>
      </c>
      <c r="C2989" s="1" t="s">
        <v>9008</v>
      </c>
      <c r="D2989" s="1" t="s">
        <v>8446</v>
      </c>
      <c r="E2989" s="1" t="s">
        <v>8447</v>
      </c>
      <c r="F2989" s="1">
        <v>2331001.0</v>
      </c>
      <c r="G2989" s="1">
        <v>62663.0</v>
      </c>
      <c r="H2989" s="1">
        <v>5889.0</v>
      </c>
      <c r="I2989" s="1">
        <v>4910000.0</v>
      </c>
      <c r="J2989" s="1" t="s">
        <v>6040</v>
      </c>
    </row>
    <row r="2990">
      <c r="A2990" s="1" t="s">
        <v>9009</v>
      </c>
      <c r="B2990" s="1" t="s">
        <v>9010</v>
      </c>
      <c r="C2990" s="1" t="s">
        <v>9011</v>
      </c>
      <c r="D2990" s="1" t="s">
        <v>8446</v>
      </c>
      <c r="E2990" s="1" t="s">
        <v>8447</v>
      </c>
      <c r="F2990" s="1">
        <v>2564287.0</v>
      </c>
      <c r="G2990" s="1">
        <v>45385.0</v>
      </c>
      <c r="H2990" s="1">
        <v>3727.0</v>
      </c>
      <c r="I2990" s="1">
        <v>4910000.0</v>
      </c>
      <c r="J2990" s="1" t="s">
        <v>6040</v>
      </c>
    </row>
    <row r="2991">
      <c r="A2991" s="1" t="s">
        <v>9012</v>
      </c>
      <c r="B2991" s="1" t="s">
        <v>9013</v>
      </c>
      <c r="C2991" s="1" t="s">
        <v>9014</v>
      </c>
      <c r="D2991" s="1" t="s">
        <v>8446</v>
      </c>
      <c r="E2991" s="1" t="s">
        <v>8447</v>
      </c>
      <c r="F2991" s="1">
        <v>4680586.0</v>
      </c>
      <c r="G2991" s="1">
        <v>91736.0</v>
      </c>
      <c r="H2991" s="1">
        <v>3652.0</v>
      </c>
      <c r="I2991" s="1">
        <v>4910000.0</v>
      </c>
      <c r="J2991" s="1" t="s">
        <v>6040</v>
      </c>
    </row>
    <row r="2992">
      <c r="A2992" s="1" t="s">
        <v>9015</v>
      </c>
      <c r="B2992" s="1" t="s">
        <v>9016</v>
      </c>
      <c r="C2992" s="1" t="s">
        <v>9017</v>
      </c>
      <c r="D2992" s="1" t="s">
        <v>8446</v>
      </c>
      <c r="E2992" s="1" t="s">
        <v>8447</v>
      </c>
      <c r="F2992" s="1">
        <v>4651574.0</v>
      </c>
      <c r="G2992" s="1">
        <v>65697.0</v>
      </c>
      <c r="H2992" s="1">
        <v>2195.0</v>
      </c>
      <c r="I2992" s="1">
        <v>4910000.0</v>
      </c>
      <c r="J2992" s="1" t="s">
        <v>6040</v>
      </c>
    </row>
    <row r="2993">
      <c r="A2993" s="1" t="s">
        <v>9018</v>
      </c>
      <c r="B2993" s="1" t="s">
        <v>9019</v>
      </c>
      <c r="C2993" s="1" t="s">
        <v>9020</v>
      </c>
      <c r="D2993" s="1" t="s">
        <v>8446</v>
      </c>
      <c r="E2993" s="1" t="s">
        <v>8447</v>
      </c>
      <c r="F2993" s="1">
        <v>5042609.0</v>
      </c>
      <c r="G2993" s="1">
        <v>74762.0</v>
      </c>
      <c r="H2993" s="1">
        <v>2556.0</v>
      </c>
      <c r="I2993" s="1">
        <v>4910000.0</v>
      </c>
      <c r="J2993" s="1" t="s">
        <v>6040</v>
      </c>
    </row>
    <row r="2994">
      <c r="A2994" s="1" t="s">
        <v>9021</v>
      </c>
      <c r="B2994" s="1" t="s">
        <v>9022</v>
      </c>
      <c r="C2994" s="1" t="s">
        <v>9023</v>
      </c>
      <c r="D2994" s="1" t="s">
        <v>8446</v>
      </c>
      <c r="E2994" s="1" t="s">
        <v>8447</v>
      </c>
      <c r="F2994" s="1">
        <v>195004.0</v>
      </c>
      <c r="G2994" s="1">
        <v>6906.0</v>
      </c>
      <c r="H2994" s="1">
        <v>457.0</v>
      </c>
      <c r="I2994" s="1">
        <v>4910000.0</v>
      </c>
      <c r="J2994" s="1" t="s">
        <v>6040</v>
      </c>
    </row>
    <row r="2995">
      <c r="A2995" s="1" t="s">
        <v>9024</v>
      </c>
      <c r="B2995" s="1" t="s">
        <v>9025</v>
      </c>
      <c r="C2995" s="1" t="s">
        <v>9026</v>
      </c>
      <c r="D2995" s="1" t="s">
        <v>8446</v>
      </c>
      <c r="E2995" s="1" t="s">
        <v>8447</v>
      </c>
      <c r="F2995" s="1">
        <v>1340095.0</v>
      </c>
      <c r="G2995" s="1">
        <v>30153.0</v>
      </c>
      <c r="H2995" s="1">
        <v>1719.0</v>
      </c>
      <c r="I2995" s="1">
        <v>4910000.0</v>
      </c>
      <c r="J2995" s="1" t="s">
        <v>6040</v>
      </c>
    </row>
    <row r="2996">
      <c r="A2996" s="1" t="s">
        <v>9027</v>
      </c>
      <c r="B2996" s="1" t="s">
        <v>9028</v>
      </c>
      <c r="C2996" s="1" t="s">
        <v>9029</v>
      </c>
      <c r="D2996" s="1" t="s">
        <v>8446</v>
      </c>
      <c r="E2996" s="1" t="s">
        <v>8447</v>
      </c>
      <c r="F2996" s="1">
        <v>6418177.0</v>
      </c>
      <c r="G2996" s="1">
        <v>100091.0</v>
      </c>
      <c r="H2996" s="1">
        <v>3063.0</v>
      </c>
      <c r="I2996" s="1">
        <v>4910000.0</v>
      </c>
      <c r="J2996" s="1" t="s">
        <v>6040</v>
      </c>
    </row>
    <row r="2997">
      <c r="A2997" s="1" t="s">
        <v>9030</v>
      </c>
      <c r="B2997" s="1" t="s">
        <v>9031</v>
      </c>
      <c r="C2997" s="1" t="s">
        <v>9032</v>
      </c>
      <c r="D2997" s="1" t="s">
        <v>8446</v>
      </c>
      <c r="E2997" s="1" t="s">
        <v>8447</v>
      </c>
      <c r="F2997" s="1">
        <v>2502016.0</v>
      </c>
      <c r="G2997" s="1">
        <v>49397.0</v>
      </c>
      <c r="H2997" s="1">
        <v>3708.0</v>
      </c>
      <c r="I2997" s="1">
        <v>4910000.0</v>
      </c>
      <c r="J2997" s="1" t="s">
        <v>6040</v>
      </c>
    </row>
    <row r="2998">
      <c r="A2998" s="1" t="s">
        <v>9033</v>
      </c>
      <c r="B2998" s="1" t="s">
        <v>9034</v>
      </c>
      <c r="C2998" s="1" t="s">
        <v>9035</v>
      </c>
      <c r="D2998" s="1" t="s">
        <v>8446</v>
      </c>
      <c r="E2998" s="1" t="s">
        <v>8447</v>
      </c>
      <c r="F2998" s="1">
        <v>3388723.0</v>
      </c>
      <c r="G2998" s="1">
        <v>63430.0</v>
      </c>
      <c r="H2998" s="1">
        <v>2378.0</v>
      </c>
      <c r="I2998" s="1">
        <v>4910000.0</v>
      </c>
      <c r="J2998" s="1" t="s">
        <v>6040</v>
      </c>
    </row>
    <row r="2999">
      <c r="A2999" s="1" t="s">
        <v>9036</v>
      </c>
      <c r="B2999" s="1" t="s">
        <v>9037</v>
      </c>
      <c r="C2999" s="1" t="s">
        <v>9038</v>
      </c>
      <c r="D2999" s="1" t="s">
        <v>8446</v>
      </c>
      <c r="E2999" s="1" t="s">
        <v>8447</v>
      </c>
      <c r="F2999" s="1">
        <v>2913421.0</v>
      </c>
      <c r="G2999" s="1">
        <v>46246.0</v>
      </c>
      <c r="H2999" s="1">
        <v>2209.0</v>
      </c>
      <c r="I2999" s="1">
        <v>4910000.0</v>
      </c>
      <c r="J2999" s="1" t="s">
        <v>6040</v>
      </c>
    </row>
    <row r="3000">
      <c r="A3000" s="1" t="s">
        <v>9039</v>
      </c>
      <c r="B3000" s="1" t="s">
        <v>9040</v>
      </c>
      <c r="C3000" s="1" t="s">
        <v>9041</v>
      </c>
      <c r="D3000" s="1" t="s">
        <v>8446</v>
      </c>
      <c r="E3000" s="1" t="s">
        <v>8447</v>
      </c>
      <c r="F3000" s="1">
        <v>6864508.0</v>
      </c>
      <c r="G3000" s="1">
        <v>119593.0</v>
      </c>
      <c r="H3000" s="1">
        <v>13010.0</v>
      </c>
      <c r="I3000" s="1">
        <v>4910000.0</v>
      </c>
      <c r="J3000" s="1" t="s">
        <v>6040</v>
      </c>
    </row>
    <row r="3001">
      <c r="A3001" s="1" t="s">
        <v>9042</v>
      </c>
      <c r="B3001" s="1" t="s">
        <v>9043</v>
      </c>
      <c r="C3001" s="1" t="s">
        <v>9044</v>
      </c>
      <c r="D3001" s="1" t="s">
        <v>8446</v>
      </c>
      <c r="E3001" s="1" t="s">
        <v>8447</v>
      </c>
      <c r="F3001" s="1">
        <v>2519003.0</v>
      </c>
      <c r="G3001" s="1">
        <v>50954.0</v>
      </c>
      <c r="H3001" s="1">
        <v>2733.0</v>
      </c>
      <c r="I3001" s="1">
        <v>4910000.0</v>
      </c>
      <c r="J3001" s="1" t="s">
        <v>6040</v>
      </c>
    </row>
    <row r="3002">
      <c r="A3002" s="1" t="s">
        <v>9045</v>
      </c>
      <c r="B3002" s="1" t="s">
        <v>9046</v>
      </c>
      <c r="C3002" s="1" t="s">
        <v>9047</v>
      </c>
      <c r="D3002" s="1" t="s">
        <v>9048</v>
      </c>
      <c r="E3002" s="1" t="s">
        <v>9049</v>
      </c>
      <c r="F3002" s="1">
        <v>4919654.0</v>
      </c>
      <c r="G3002" s="1">
        <v>138575.0</v>
      </c>
      <c r="H3002" s="1">
        <v>6909.0</v>
      </c>
      <c r="I3002" s="1">
        <v>5.14E8</v>
      </c>
      <c r="J3002" s="1" t="s">
        <v>9050</v>
      </c>
    </row>
    <row r="3003">
      <c r="A3003" s="1" t="s">
        <v>9051</v>
      </c>
      <c r="B3003" s="1" t="s">
        <v>9052</v>
      </c>
      <c r="C3003" s="1" t="s">
        <v>9053</v>
      </c>
      <c r="D3003" s="1" t="s">
        <v>9048</v>
      </c>
      <c r="E3003" s="1" t="s">
        <v>9049</v>
      </c>
      <c r="F3003" s="1">
        <v>5.5050365E7</v>
      </c>
      <c r="G3003" s="1">
        <v>1529568.0</v>
      </c>
      <c r="H3003" s="1">
        <v>67657.0</v>
      </c>
      <c r="I3003" s="1">
        <v>5.14E8</v>
      </c>
      <c r="J3003" s="1" t="s">
        <v>9050</v>
      </c>
    </row>
    <row r="3004">
      <c r="A3004" s="1" t="s">
        <v>9054</v>
      </c>
      <c r="B3004" s="1" t="s">
        <v>9055</v>
      </c>
      <c r="C3004" s="1" t="s">
        <v>9056</v>
      </c>
      <c r="D3004" s="1" t="s">
        <v>9048</v>
      </c>
      <c r="E3004" s="1" t="s">
        <v>9049</v>
      </c>
      <c r="F3004" s="1">
        <v>4.0687563E7</v>
      </c>
      <c r="G3004" s="1">
        <v>1348031.0</v>
      </c>
      <c r="H3004" s="1">
        <v>50317.0</v>
      </c>
      <c r="I3004" s="1">
        <v>5.14E8</v>
      </c>
      <c r="J3004" s="1" t="s">
        <v>9050</v>
      </c>
    </row>
    <row r="3005">
      <c r="A3005" s="1" t="s">
        <v>9057</v>
      </c>
      <c r="B3005" s="1" t="s">
        <v>9058</v>
      </c>
      <c r="C3005" s="1" t="s">
        <v>9059</v>
      </c>
      <c r="D3005" s="1" t="s">
        <v>9048</v>
      </c>
      <c r="E3005" s="1" t="s">
        <v>9049</v>
      </c>
      <c r="F3005" s="1">
        <v>9.7850373E7</v>
      </c>
      <c r="G3005" s="1">
        <v>2126068.0</v>
      </c>
      <c r="H3005" s="1">
        <v>168025.0</v>
      </c>
      <c r="I3005" s="1">
        <v>5.14E8</v>
      </c>
      <c r="J3005" s="1" t="s">
        <v>9050</v>
      </c>
    </row>
    <row r="3006">
      <c r="A3006" s="1" t="s">
        <v>9060</v>
      </c>
      <c r="B3006" s="1" t="s">
        <v>9061</v>
      </c>
      <c r="C3006" s="1" t="s">
        <v>9062</v>
      </c>
      <c r="D3006" s="1" t="s">
        <v>9048</v>
      </c>
      <c r="E3006" s="1" t="s">
        <v>9049</v>
      </c>
      <c r="F3006" s="1">
        <v>5.0144168E7</v>
      </c>
      <c r="G3006" s="1">
        <v>1766269.0</v>
      </c>
      <c r="H3006" s="1">
        <v>22268.0</v>
      </c>
      <c r="I3006" s="1">
        <v>5.14E8</v>
      </c>
      <c r="J3006" s="1" t="s">
        <v>9050</v>
      </c>
    </row>
    <row r="3007">
      <c r="A3007" s="1" t="s">
        <v>9063</v>
      </c>
      <c r="B3007" s="1" t="s">
        <v>9064</v>
      </c>
      <c r="C3007" s="1" t="s">
        <v>9065</v>
      </c>
      <c r="D3007" s="1" t="s">
        <v>9048</v>
      </c>
      <c r="E3007" s="1" t="s">
        <v>9049</v>
      </c>
      <c r="F3007" s="1">
        <v>5.7485778E7</v>
      </c>
      <c r="G3007" s="1">
        <v>1658693.0</v>
      </c>
      <c r="H3007" s="1">
        <v>85073.0</v>
      </c>
      <c r="I3007" s="1">
        <v>5.14E8</v>
      </c>
      <c r="J3007" s="1" t="s">
        <v>9050</v>
      </c>
    </row>
    <row r="3008">
      <c r="A3008" s="1" t="s">
        <v>9066</v>
      </c>
      <c r="B3008" s="1" t="s">
        <v>9067</v>
      </c>
      <c r="C3008" s="1" t="s">
        <v>9068</v>
      </c>
      <c r="D3008" s="1" t="s">
        <v>9048</v>
      </c>
      <c r="E3008" s="1" t="s">
        <v>9049</v>
      </c>
      <c r="F3008" s="1">
        <v>2.236089E7</v>
      </c>
      <c r="G3008" s="1">
        <v>586350.0</v>
      </c>
      <c r="H3008" s="1">
        <v>20989.0</v>
      </c>
      <c r="I3008" s="1">
        <v>5.14E8</v>
      </c>
      <c r="J3008" s="1" t="s">
        <v>9050</v>
      </c>
    </row>
    <row r="3009">
      <c r="A3009" s="1" t="s">
        <v>9069</v>
      </c>
      <c r="B3009" s="1" t="s">
        <v>9070</v>
      </c>
      <c r="C3009" s="1" t="s">
        <v>9071</v>
      </c>
      <c r="D3009" s="1" t="s">
        <v>9048</v>
      </c>
      <c r="E3009" s="1" t="s">
        <v>9049</v>
      </c>
      <c r="F3009" s="1">
        <v>1.356081E8</v>
      </c>
      <c r="G3009" s="1">
        <v>3127978.0</v>
      </c>
      <c r="H3009" s="1">
        <v>20973.0</v>
      </c>
      <c r="I3009" s="1">
        <v>5.14E8</v>
      </c>
      <c r="J3009" s="1" t="s">
        <v>9050</v>
      </c>
    </row>
    <row r="3010">
      <c r="A3010" s="1" t="s">
        <v>9072</v>
      </c>
      <c r="B3010" s="1" t="s">
        <v>9073</v>
      </c>
      <c r="C3010" s="1" t="s">
        <v>9074</v>
      </c>
      <c r="D3010" s="1" t="s">
        <v>9048</v>
      </c>
      <c r="E3010" s="1" t="s">
        <v>9049</v>
      </c>
      <c r="F3010" s="1">
        <v>1.28668617E8</v>
      </c>
      <c r="G3010" s="1">
        <v>2826587.0</v>
      </c>
      <c r="H3010" s="1">
        <v>17922.0</v>
      </c>
      <c r="I3010" s="1">
        <v>5.14E8</v>
      </c>
      <c r="J3010" s="1" t="s">
        <v>9050</v>
      </c>
    </row>
    <row r="3011">
      <c r="A3011" s="1" t="s">
        <v>9075</v>
      </c>
      <c r="B3011" s="1" t="s">
        <v>9076</v>
      </c>
      <c r="C3011" s="1" t="s">
        <v>9077</v>
      </c>
      <c r="D3011" s="1" t="s">
        <v>9048</v>
      </c>
      <c r="E3011" s="1" t="s">
        <v>9049</v>
      </c>
      <c r="F3011" s="1">
        <v>9.0369304E7</v>
      </c>
      <c r="G3011" s="1">
        <v>1659502.0</v>
      </c>
      <c r="H3011" s="1">
        <v>95242.0</v>
      </c>
      <c r="I3011" s="1">
        <v>5.14E8</v>
      </c>
      <c r="J3011" s="1" t="s">
        <v>9050</v>
      </c>
    </row>
    <row r="3012">
      <c r="A3012" s="1" t="s">
        <v>9078</v>
      </c>
      <c r="B3012" s="1" t="s">
        <v>9079</v>
      </c>
      <c r="C3012" s="1" t="s">
        <v>9080</v>
      </c>
      <c r="D3012" s="1" t="s">
        <v>9048</v>
      </c>
      <c r="E3012" s="1" t="s">
        <v>9049</v>
      </c>
      <c r="F3012" s="1">
        <v>3.9569866E7</v>
      </c>
      <c r="G3012" s="1">
        <v>1162778.0</v>
      </c>
      <c r="H3012" s="1">
        <v>20412.0</v>
      </c>
      <c r="I3012" s="1">
        <v>5.14E8</v>
      </c>
      <c r="J3012" s="1" t="s">
        <v>9050</v>
      </c>
    </row>
    <row r="3013">
      <c r="A3013" s="1" t="s">
        <v>9081</v>
      </c>
      <c r="B3013" s="1" t="s">
        <v>9082</v>
      </c>
      <c r="C3013" s="1" t="s">
        <v>9083</v>
      </c>
      <c r="D3013" s="1" t="s">
        <v>9048</v>
      </c>
      <c r="E3013" s="1" t="s">
        <v>9049</v>
      </c>
      <c r="F3013" s="1">
        <v>1.31963776E8</v>
      </c>
      <c r="G3013" s="1">
        <v>2929379.0</v>
      </c>
      <c r="H3013" s="1">
        <v>19939.0</v>
      </c>
      <c r="I3013" s="1">
        <v>5.14E8</v>
      </c>
      <c r="J3013" s="1" t="s">
        <v>9050</v>
      </c>
    </row>
    <row r="3014">
      <c r="A3014" s="1" t="s">
        <v>9084</v>
      </c>
      <c r="B3014" s="1" t="s">
        <v>9085</v>
      </c>
      <c r="C3014" s="1" t="s">
        <v>9086</v>
      </c>
      <c r="D3014" s="1" t="s">
        <v>9048</v>
      </c>
      <c r="E3014" s="1" t="s">
        <v>9049</v>
      </c>
      <c r="F3014" s="1">
        <v>1.9223427E7</v>
      </c>
      <c r="G3014" s="1">
        <v>686241.0</v>
      </c>
      <c r="H3014" s="1">
        <v>21722.0</v>
      </c>
      <c r="I3014" s="1">
        <v>5.14E8</v>
      </c>
      <c r="J3014" s="1" t="s">
        <v>9050</v>
      </c>
    </row>
    <row r="3015">
      <c r="A3015" s="1" t="s">
        <v>9087</v>
      </c>
      <c r="B3015" s="1" t="s">
        <v>9088</v>
      </c>
      <c r="C3015" s="1" t="s">
        <v>9089</v>
      </c>
      <c r="D3015" s="1" t="s">
        <v>9048</v>
      </c>
      <c r="E3015" s="1" t="s">
        <v>9049</v>
      </c>
      <c r="F3015" s="1">
        <v>1.97962113E8</v>
      </c>
      <c r="G3015" s="1">
        <v>3437144.0</v>
      </c>
      <c r="H3015" s="1">
        <v>27003.0</v>
      </c>
      <c r="I3015" s="1">
        <v>5.14E8</v>
      </c>
      <c r="J3015" s="1" t="s">
        <v>9050</v>
      </c>
    </row>
    <row r="3016">
      <c r="A3016" s="1" t="s">
        <v>9090</v>
      </c>
      <c r="B3016" s="1" t="s">
        <v>9091</v>
      </c>
      <c r="C3016" s="1" t="s">
        <v>9092</v>
      </c>
      <c r="D3016" s="1" t="s">
        <v>9048</v>
      </c>
      <c r="E3016" s="1" t="s">
        <v>9049</v>
      </c>
      <c r="F3016" s="1">
        <v>8.1335954E7</v>
      </c>
      <c r="G3016" s="1">
        <v>2247430.0</v>
      </c>
      <c r="H3016" s="1">
        <v>144399.0</v>
      </c>
      <c r="I3016" s="1">
        <v>5.14E8</v>
      </c>
      <c r="J3016" s="1" t="s">
        <v>9050</v>
      </c>
    </row>
    <row r="3017">
      <c r="A3017" s="1" t="s">
        <v>9093</v>
      </c>
      <c r="B3017" s="1" t="s">
        <v>9094</v>
      </c>
      <c r="C3017" s="1" t="s">
        <v>9095</v>
      </c>
      <c r="D3017" s="1" t="s">
        <v>9048</v>
      </c>
      <c r="E3017" s="1" t="s">
        <v>9049</v>
      </c>
      <c r="F3017" s="1">
        <v>1.7039522E7</v>
      </c>
      <c r="G3017" s="1">
        <v>531211.0</v>
      </c>
      <c r="H3017" s="1">
        <v>22189.0</v>
      </c>
      <c r="I3017" s="1">
        <v>5.14E8</v>
      </c>
      <c r="J3017" s="1" t="s">
        <v>9050</v>
      </c>
    </row>
    <row r="3018">
      <c r="A3018" s="1" t="s">
        <v>9096</v>
      </c>
      <c r="B3018" s="1" t="s">
        <v>9097</v>
      </c>
      <c r="C3018" s="1" t="s">
        <v>9098</v>
      </c>
      <c r="D3018" s="1" t="s">
        <v>9048</v>
      </c>
      <c r="E3018" s="1" t="s">
        <v>9049</v>
      </c>
      <c r="F3018" s="1">
        <v>1.17425591E8</v>
      </c>
      <c r="G3018" s="1">
        <v>2662296.0</v>
      </c>
      <c r="H3018" s="1">
        <v>102805.0</v>
      </c>
      <c r="I3018" s="1">
        <v>5.14E8</v>
      </c>
      <c r="J3018" s="1" t="s">
        <v>9050</v>
      </c>
    </row>
    <row r="3019">
      <c r="A3019" s="1" t="s">
        <v>9099</v>
      </c>
      <c r="B3019" s="1" t="s">
        <v>9100</v>
      </c>
      <c r="C3019" s="1" t="s">
        <v>9101</v>
      </c>
      <c r="D3019" s="1" t="s">
        <v>9048</v>
      </c>
      <c r="E3019" s="1" t="s">
        <v>9049</v>
      </c>
      <c r="F3019" s="1">
        <v>3.10704994E8</v>
      </c>
      <c r="G3019" s="1">
        <v>6512187.0</v>
      </c>
      <c r="H3019" s="1">
        <v>72537.0</v>
      </c>
      <c r="I3019" s="1">
        <v>5.14E8</v>
      </c>
      <c r="J3019" s="1" t="s">
        <v>9050</v>
      </c>
    </row>
    <row r="3020">
      <c r="A3020" s="1" t="s">
        <v>9102</v>
      </c>
      <c r="B3020" s="1" t="s">
        <v>9103</v>
      </c>
      <c r="C3020" s="1" t="s">
        <v>9104</v>
      </c>
      <c r="D3020" s="1" t="s">
        <v>9048</v>
      </c>
      <c r="E3020" s="1" t="s">
        <v>9049</v>
      </c>
      <c r="F3020" s="1">
        <v>5.32719034E8</v>
      </c>
      <c r="G3020" s="1">
        <v>5800617.0</v>
      </c>
      <c r="H3020" s="1">
        <v>51671.0</v>
      </c>
      <c r="I3020" s="1">
        <v>5.14E8</v>
      </c>
      <c r="J3020" s="1" t="s">
        <v>9050</v>
      </c>
    </row>
    <row r="3021">
      <c r="A3021" s="1" t="s">
        <v>9105</v>
      </c>
      <c r="B3021" s="1" t="s">
        <v>9106</v>
      </c>
      <c r="C3021" s="1" t="s">
        <v>9107</v>
      </c>
      <c r="D3021" s="1" t="s">
        <v>9048</v>
      </c>
      <c r="E3021" s="1" t="s">
        <v>9049</v>
      </c>
      <c r="F3021" s="1">
        <v>3.9369204E8</v>
      </c>
      <c r="G3021" s="1">
        <v>3071831.0</v>
      </c>
      <c r="H3021" s="1">
        <v>39559.0</v>
      </c>
      <c r="I3021" s="1">
        <v>5.14E8</v>
      </c>
      <c r="J3021" s="1" t="s">
        <v>9050</v>
      </c>
    </row>
    <row r="3022">
      <c r="A3022" s="1" t="s">
        <v>9108</v>
      </c>
      <c r="B3022" s="1" t="s">
        <v>9109</v>
      </c>
      <c r="C3022" s="1" t="s">
        <v>9110</v>
      </c>
      <c r="D3022" s="1" t="s">
        <v>9048</v>
      </c>
      <c r="E3022" s="1" t="s">
        <v>9049</v>
      </c>
      <c r="F3022" s="1">
        <v>4.28391014E8</v>
      </c>
      <c r="G3022" s="1">
        <v>2986642.0</v>
      </c>
      <c r="H3022" s="1">
        <v>26476.0</v>
      </c>
      <c r="I3022" s="1">
        <v>5.14E8</v>
      </c>
      <c r="J3022" s="1" t="s">
        <v>9050</v>
      </c>
    </row>
    <row r="3023">
      <c r="A3023" s="1" t="s">
        <v>9111</v>
      </c>
      <c r="B3023" s="1" t="s">
        <v>9112</v>
      </c>
      <c r="C3023" s="1" t="s">
        <v>9113</v>
      </c>
      <c r="D3023" s="1" t="s">
        <v>9048</v>
      </c>
      <c r="E3023" s="1" t="s">
        <v>9049</v>
      </c>
      <c r="F3023" s="1">
        <v>1.02018112E8</v>
      </c>
      <c r="G3023" s="1">
        <v>1998901.0</v>
      </c>
      <c r="H3023" s="1">
        <v>139834.0</v>
      </c>
      <c r="I3023" s="1">
        <v>5.14E8</v>
      </c>
      <c r="J3023" s="1" t="s">
        <v>9050</v>
      </c>
    </row>
    <row r="3024">
      <c r="A3024" s="1" t="s">
        <v>9114</v>
      </c>
      <c r="B3024" s="1" t="s">
        <v>9115</v>
      </c>
      <c r="C3024" s="1" t="s">
        <v>9116</v>
      </c>
      <c r="D3024" s="1" t="s">
        <v>9048</v>
      </c>
      <c r="E3024" s="1" t="s">
        <v>9049</v>
      </c>
      <c r="F3024" s="1">
        <v>6.5517591E8</v>
      </c>
      <c r="G3024" s="1">
        <v>3718055.0</v>
      </c>
      <c r="H3024" s="1">
        <v>89648.0</v>
      </c>
      <c r="I3024" s="1">
        <v>5.14E8</v>
      </c>
      <c r="J3024" s="1" t="s">
        <v>9050</v>
      </c>
    </row>
    <row r="3025">
      <c r="A3025" s="1" t="s">
        <v>9117</v>
      </c>
      <c r="B3025" s="1" t="s">
        <v>9118</v>
      </c>
      <c r="C3025" s="1" t="s">
        <v>9119</v>
      </c>
      <c r="D3025" s="1" t="s">
        <v>9048</v>
      </c>
      <c r="E3025" s="1" t="s">
        <v>9049</v>
      </c>
      <c r="F3025" s="1">
        <v>4.69466861E8</v>
      </c>
      <c r="G3025" s="1">
        <v>6323779.0</v>
      </c>
      <c r="H3025" s="1">
        <v>23504.0</v>
      </c>
      <c r="I3025" s="1">
        <v>5.14E8</v>
      </c>
      <c r="J3025" s="1" t="s">
        <v>9050</v>
      </c>
    </row>
    <row r="3026">
      <c r="A3026" s="1" t="s">
        <v>9120</v>
      </c>
      <c r="B3026" s="1" t="s">
        <v>9121</v>
      </c>
      <c r="C3026" s="1" t="s">
        <v>9122</v>
      </c>
      <c r="D3026" s="1" t="s">
        <v>9048</v>
      </c>
      <c r="E3026" s="1" t="s">
        <v>9049</v>
      </c>
      <c r="F3026" s="1">
        <v>7.01435228E8</v>
      </c>
      <c r="G3026" s="1">
        <v>6066733.0</v>
      </c>
      <c r="H3026" s="1">
        <v>1104238.0</v>
      </c>
      <c r="I3026" s="1">
        <v>5.14E8</v>
      </c>
      <c r="J3026" s="1" t="s">
        <v>9050</v>
      </c>
    </row>
    <row r="3027">
      <c r="A3027" s="1" t="s">
        <v>9123</v>
      </c>
      <c r="B3027" s="1" t="s">
        <v>9124</v>
      </c>
      <c r="C3027" s="1" t="s">
        <v>9125</v>
      </c>
      <c r="D3027" s="1" t="s">
        <v>9048</v>
      </c>
      <c r="E3027" s="1" t="s">
        <v>9049</v>
      </c>
      <c r="F3027" s="1">
        <v>8.18322412E8</v>
      </c>
      <c r="G3027" s="1">
        <v>7139441.0</v>
      </c>
      <c r="H3027" s="1">
        <v>20372.0</v>
      </c>
      <c r="I3027" s="1">
        <v>5.14E8</v>
      </c>
      <c r="J3027" s="1" t="s">
        <v>9050</v>
      </c>
    </row>
    <row r="3028">
      <c r="A3028" s="1" t="s">
        <v>9126</v>
      </c>
      <c r="B3028" s="1" t="s">
        <v>9127</v>
      </c>
      <c r="C3028" s="1" t="s">
        <v>9128</v>
      </c>
      <c r="D3028" s="1" t="s">
        <v>9048</v>
      </c>
      <c r="E3028" s="1" t="s">
        <v>9049</v>
      </c>
      <c r="F3028" s="1">
        <v>1.9572077E7</v>
      </c>
      <c r="G3028" s="1">
        <v>496370.0</v>
      </c>
      <c r="H3028" s="1">
        <v>12573.0</v>
      </c>
      <c r="I3028" s="1">
        <v>5.14E8</v>
      </c>
      <c r="J3028" s="1" t="s">
        <v>9050</v>
      </c>
    </row>
    <row r="3029">
      <c r="A3029" s="1" t="s">
        <v>9129</v>
      </c>
      <c r="B3029" s="1" t="s">
        <v>9130</v>
      </c>
      <c r="C3029" s="1" t="s">
        <v>9131</v>
      </c>
      <c r="D3029" s="1" t="s">
        <v>9048</v>
      </c>
      <c r="E3029" s="1" t="s">
        <v>9049</v>
      </c>
      <c r="F3029" s="1">
        <v>1.56036043E8</v>
      </c>
      <c r="G3029" s="1">
        <v>2785314.0</v>
      </c>
      <c r="H3029" s="1">
        <v>1411026.0</v>
      </c>
      <c r="I3029" s="1">
        <v>5.14E8</v>
      </c>
      <c r="J3029" s="1" t="s">
        <v>9050</v>
      </c>
    </row>
    <row r="3030">
      <c r="A3030" s="1" t="s">
        <v>9132</v>
      </c>
      <c r="B3030" s="1" t="s">
        <v>9133</v>
      </c>
      <c r="C3030" s="1" t="s">
        <v>9134</v>
      </c>
      <c r="D3030" s="1" t="s">
        <v>9048</v>
      </c>
      <c r="E3030" s="1" t="s">
        <v>9049</v>
      </c>
      <c r="F3030" s="1">
        <v>8.8803862E7</v>
      </c>
      <c r="G3030" s="1">
        <v>1692256.0</v>
      </c>
      <c r="H3030" s="1">
        <v>13036.0</v>
      </c>
      <c r="I3030" s="1">
        <v>5.14E8</v>
      </c>
      <c r="J3030" s="1" t="s">
        <v>9050</v>
      </c>
    </row>
    <row r="3031">
      <c r="A3031" s="1" t="s">
        <v>9135</v>
      </c>
      <c r="B3031" s="1" t="s">
        <v>9136</v>
      </c>
      <c r="C3031" s="1" t="s">
        <v>9137</v>
      </c>
      <c r="D3031" s="1" t="s">
        <v>9048</v>
      </c>
      <c r="E3031" s="1" t="s">
        <v>9049</v>
      </c>
      <c r="F3031" s="1">
        <v>2.2115531E7</v>
      </c>
      <c r="G3031" s="1">
        <v>647390.0</v>
      </c>
      <c r="H3031" s="1">
        <v>17062.0</v>
      </c>
      <c r="I3031" s="1">
        <v>5.14E8</v>
      </c>
      <c r="J3031" s="1" t="s">
        <v>9050</v>
      </c>
    </row>
    <row r="3032">
      <c r="A3032" s="1" t="s">
        <v>9138</v>
      </c>
      <c r="B3032" s="1" t="s">
        <v>9139</v>
      </c>
      <c r="C3032" s="1" t="s">
        <v>9140</v>
      </c>
      <c r="D3032" s="1" t="s">
        <v>9048</v>
      </c>
      <c r="E3032" s="1" t="s">
        <v>9049</v>
      </c>
      <c r="F3032" s="1">
        <v>2.3521365E7</v>
      </c>
      <c r="G3032" s="1">
        <v>505458.0</v>
      </c>
      <c r="H3032" s="1">
        <v>10091.0</v>
      </c>
      <c r="I3032" s="1">
        <v>5.14E8</v>
      </c>
      <c r="J3032" s="1" t="s">
        <v>9050</v>
      </c>
    </row>
    <row r="3033">
      <c r="A3033" s="1" t="s">
        <v>9141</v>
      </c>
      <c r="B3033" s="1" t="s">
        <v>9142</v>
      </c>
      <c r="C3033" s="1" t="s">
        <v>9143</v>
      </c>
      <c r="D3033" s="1" t="s">
        <v>9048</v>
      </c>
      <c r="E3033" s="1" t="s">
        <v>9049</v>
      </c>
      <c r="F3033" s="1">
        <v>1.66113314E8</v>
      </c>
      <c r="G3033" s="1">
        <v>1689122.0</v>
      </c>
      <c r="H3033" s="1">
        <v>14397.0</v>
      </c>
      <c r="I3033" s="1">
        <v>5.14E8</v>
      </c>
      <c r="J3033" s="1" t="s">
        <v>9050</v>
      </c>
    </row>
    <row r="3034">
      <c r="A3034" s="1" t="s">
        <v>9144</v>
      </c>
      <c r="B3034" s="1" t="s">
        <v>9145</v>
      </c>
      <c r="C3034" s="1" t="s">
        <v>9146</v>
      </c>
      <c r="D3034" s="1" t="s">
        <v>9048</v>
      </c>
      <c r="E3034" s="1" t="s">
        <v>9049</v>
      </c>
      <c r="F3034" s="1">
        <v>1.88288681E8</v>
      </c>
      <c r="G3034" s="1">
        <v>2805380.0</v>
      </c>
      <c r="H3034" s="1">
        <v>21275.0</v>
      </c>
      <c r="I3034" s="1">
        <v>5.14E8</v>
      </c>
      <c r="J3034" s="1" t="s">
        <v>9050</v>
      </c>
    </row>
    <row r="3035">
      <c r="A3035" s="1" t="s">
        <v>9147</v>
      </c>
      <c r="B3035" s="1" t="s">
        <v>9148</v>
      </c>
      <c r="C3035" s="1" t="s">
        <v>9149</v>
      </c>
      <c r="D3035" s="1" t="s">
        <v>9048</v>
      </c>
      <c r="E3035" s="1" t="s">
        <v>9049</v>
      </c>
      <c r="F3035" s="1">
        <v>1.85846325E8</v>
      </c>
      <c r="G3035" s="1">
        <v>3391372.0</v>
      </c>
      <c r="H3035" s="1">
        <v>173226.0</v>
      </c>
      <c r="I3035" s="1">
        <v>5.14E8</v>
      </c>
      <c r="J3035" s="1" t="s">
        <v>9050</v>
      </c>
    </row>
    <row r="3036">
      <c r="A3036" s="1" t="s">
        <v>9150</v>
      </c>
      <c r="B3036" s="1" t="s">
        <v>9124</v>
      </c>
      <c r="C3036" s="1" t="s">
        <v>9151</v>
      </c>
      <c r="D3036" s="1" t="s">
        <v>9048</v>
      </c>
      <c r="E3036" s="1" t="s">
        <v>9049</v>
      </c>
      <c r="F3036" s="1">
        <v>2.43445157E8</v>
      </c>
      <c r="G3036" s="1">
        <v>3452153.0</v>
      </c>
      <c r="H3036" s="1">
        <v>14241.0</v>
      </c>
      <c r="I3036" s="1">
        <v>5.14E8</v>
      </c>
      <c r="J3036" s="1" t="s">
        <v>9050</v>
      </c>
    </row>
    <row r="3037">
      <c r="A3037" s="1" t="s">
        <v>9152</v>
      </c>
      <c r="B3037" s="1" t="s">
        <v>9153</v>
      </c>
      <c r="C3037" s="1" t="s">
        <v>9154</v>
      </c>
      <c r="D3037" s="1" t="s">
        <v>9048</v>
      </c>
      <c r="E3037" s="1" t="s">
        <v>9049</v>
      </c>
      <c r="F3037" s="1">
        <v>1.17929434E8</v>
      </c>
      <c r="G3037" s="1">
        <v>2191264.0</v>
      </c>
      <c r="H3037" s="1">
        <v>12456.0</v>
      </c>
      <c r="I3037" s="1">
        <v>5.14E8</v>
      </c>
      <c r="J3037" s="1" t="s">
        <v>9050</v>
      </c>
    </row>
    <row r="3038">
      <c r="A3038" s="1" t="s">
        <v>9155</v>
      </c>
      <c r="B3038" s="1" t="s">
        <v>9156</v>
      </c>
      <c r="C3038" s="1" t="s">
        <v>9157</v>
      </c>
      <c r="D3038" s="1" t="s">
        <v>9048</v>
      </c>
      <c r="E3038" s="1" t="s">
        <v>9049</v>
      </c>
      <c r="F3038" s="1">
        <v>1.74627734E8</v>
      </c>
      <c r="G3038" s="1">
        <v>2867222.0</v>
      </c>
      <c r="H3038" s="1">
        <v>14468.0</v>
      </c>
      <c r="I3038" s="1">
        <v>5.14E8</v>
      </c>
      <c r="J3038" s="1" t="s">
        <v>9050</v>
      </c>
    </row>
    <row r="3039">
      <c r="A3039" s="1" t="s">
        <v>9158</v>
      </c>
      <c r="B3039" s="1" t="s">
        <v>9159</v>
      </c>
      <c r="C3039" s="1" t="s">
        <v>9160</v>
      </c>
      <c r="D3039" s="1" t="s">
        <v>9048</v>
      </c>
      <c r="E3039" s="1" t="s">
        <v>9049</v>
      </c>
      <c r="F3039" s="1">
        <v>6.4394699E7</v>
      </c>
      <c r="G3039" s="1">
        <v>1778267.0</v>
      </c>
      <c r="H3039" s="1">
        <v>15943.0</v>
      </c>
      <c r="I3039" s="1">
        <v>5.14E8</v>
      </c>
      <c r="J3039" s="1" t="s">
        <v>9050</v>
      </c>
    </row>
    <row r="3040">
      <c r="A3040" s="1" t="s">
        <v>9161</v>
      </c>
      <c r="B3040" s="1" t="s">
        <v>9162</v>
      </c>
      <c r="C3040" s="1" t="s">
        <v>9163</v>
      </c>
      <c r="D3040" s="1" t="s">
        <v>9048</v>
      </c>
      <c r="E3040" s="1" t="s">
        <v>9049</v>
      </c>
      <c r="F3040" s="1">
        <v>1.21301326E8</v>
      </c>
      <c r="G3040" s="1">
        <v>2705581.0</v>
      </c>
      <c r="H3040" s="1">
        <v>173764.0</v>
      </c>
      <c r="I3040" s="1">
        <v>5.14E8</v>
      </c>
      <c r="J3040" s="1" t="s">
        <v>9050</v>
      </c>
    </row>
    <row r="3041">
      <c r="A3041" s="1" t="s">
        <v>9164</v>
      </c>
      <c r="B3041" s="1" t="s">
        <v>9165</v>
      </c>
      <c r="C3041" s="1" t="s">
        <v>9166</v>
      </c>
      <c r="D3041" s="1" t="s">
        <v>9048</v>
      </c>
      <c r="E3041" s="1" t="s">
        <v>9049</v>
      </c>
      <c r="F3041" s="1">
        <v>9.17443423E8</v>
      </c>
      <c r="G3041" s="1">
        <v>9856639.0</v>
      </c>
      <c r="H3041" s="1">
        <v>22938.0</v>
      </c>
      <c r="I3041" s="1">
        <v>5.14E8</v>
      </c>
      <c r="J3041" s="1" t="s">
        <v>9050</v>
      </c>
    </row>
    <row r="3042">
      <c r="A3042" s="1" t="s">
        <v>9167</v>
      </c>
      <c r="B3042" s="1" t="s">
        <v>9168</v>
      </c>
      <c r="C3042" s="1" t="s">
        <v>6944</v>
      </c>
      <c r="D3042" s="1" t="s">
        <v>9048</v>
      </c>
      <c r="E3042" s="1" t="s">
        <v>9049</v>
      </c>
      <c r="F3042" s="1">
        <v>1.8843367E7</v>
      </c>
      <c r="G3042" s="1">
        <v>491520.0</v>
      </c>
      <c r="H3042" s="1">
        <v>8159.0</v>
      </c>
      <c r="I3042" s="1">
        <v>5.14E8</v>
      </c>
      <c r="J3042" s="1" t="s">
        <v>9050</v>
      </c>
    </row>
    <row r="3043">
      <c r="A3043" s="1" t="s">
        <v>9169</v>
      </c>
      <c r="B3043" s="1" t="s">
        <v>9170</v>
      </c>
      <c r="C3043" s="1" t="s">
        <v>9171</v>
      </c>
      <c r="D3043" s="1" t="s">
        <v>9048</v>
      </c>
      <c r="E3043" s="1" t="s">
        <v>9049</v>
      </c>
      <c r="F3043" s="1">
        <v>7.86204202E8</v>
      </c>
      <c r="G3043" s="1">
        <v>3745151.0</v>
      </c>
      <c r="H3043" s="1">
        <v>24098.0</v>
      </c>
      <c r="I3043" s="1">
        <v>5.14E8</v>
      </c>
      <c r="J3043" s="1" t="s">
        <v>9050</v>
      </c>
    </row>
    <row r="3044">
      <c r="A3044" s="1" t="s">
        <v>9172</v>
      </c>
      <c r="B3044" s="1" t="s">
        <v>9173</v>
      </c>
      <c r="C3044" s="1" t="s">
        <v>9174</v>
      </c>
      <c r="D3044" s="1" t="s">
        <v>9048</v>
      </c>
      <c r="E3044" s="1" t="s">
        <v>9049</v>
      </c>
      <c r="F3044" s="1">
        <v>5.2314355E7</v>
      </c>
      <c r="G3044" s="1">
        <v>1408316.0</v>
      </c>
      <c r="H3044" s="1">
        <v>16072.0</v>
      </c>
      <c r="I3044" s="1">
        <v>5.14E8</v>
      </c>
      <c r="J3044" s="1" t="s">
        <v>9050</v>
      </c>
    </row>
    <row r="3045">
      <c r="A3045" s="1" t="s">
        <v>9175</v>
      </c>
      <c r="B3045" s="1" t="s">
        <v>9176</v>
      </c>
      <c r="C3045" s="1" t="s">
        <v>9177</v>
      </c>
      <c r="D3045" s="1" t="s">
        <v>9048</v>
      </c>
      <c r="E3045" s="1" t="s">
        <v>9049</v>
      </c>
      <c r="F3045" s="1">
        <v>1.59621547E8</v>
      </c>
      <c r="G3045" s="1">
        <v>3066077.0</v>
      </c>
      <c r="H3045" s="1">
        <v>120870.0</v>
      </c>
      <c r="I3045" s="1">
        <v>5.14E8</v>
      </c>
      <c r="J3045" s="1" t="s">
        <v>9050</v>
      </c>
    </row>
    <row r="3046">
      <c r="A3046" s="1" t="s">
        <v>9178</v>
      </c>
      <c r="B3046" s="1" t="s">
        <v>9179</v>
      </c>
      <c r="C3046" s="1" t="s">
        <v>9180</v>
      </c>
      <c r="D3046" s="1" t="s">
        <v>9048</v>
      </c>
      <c r="E3046" s="1" t="s">
        <v>9049</v>
      </c>
      <c r="F3046" s="1">
        <v>1.41166854E8</v>
      </c>
      <c r="G3046" s="1">
        <v>2653367.0</v>
      </c>
      <c r="H3046" s="1">
        <v>22299.0</v>
      </c>
      <c r="I3046" s="1">
        <v>5.14E8</v>
      </c>
      <c r="J3046" s="1" t="s">
        <v>9050</v>
      </c>
    </row>
    <row r="3047">
      <c r="A3047" s="1" t="s">
        <v>9181</v>
      </c>
      <c r="B3047" s="1" t="s">
        <v>9182</v>
      </c>
      <c r="C3047" s="1" t="s">
        <v>9183</v>
      </c>
      <c r="D3047" s="1" t="s">
        <v>9048</v>
      </c>
      <c r="E3047" s="1" t="s">
        <v>9049</v>
      </c>
      <c r="F3047" s="1">
        <v>1.25992565E8</v>
      </c>
      <c r="G3047" s="1">
        <v>2336997.0</v>
      </c>
      <c r="H3047" s="1">
        <v>14613.0</v>
      </c>
      <c r="I3047" s="1">
        <v>5.14E8</v>
      </c>
      <c r="J3047" s="1" t="s">
        <v>9050</v>
      </c>
    </row>
    <row r="3048">
      <c r="A3048" s="1" t="s">
        <v>9184</v>
      </c>
      <c r="B3048" s="1" t="s">
        <v>9185</v>
      </c>
      <c r="C3048" s="1" t="s">
        <v>9186</v>
      </c>
      <c r="D3048" s="1" t="s">
        <v>9048</v>
      </c>
      <c r="E3048" s="1" t="s">
        <v>9049</v>
      </c>
      <c r="F3048" s="1">
        <v>1.04215228E8</v>
      </c>
      <c r="G3048" s="1">
        <v>2652915.0</v>
      </c>
      <c r="H3048" s="1">
        <v>22955.0</v>
      </c>
      <c r="I3048" s="1">
        <v>5.14E8</v>
      </c>
      <c r="J3048" s="1" t="s">
        <v>9050</v>
      </c>
    </row>
    <row r="3049">
      <c r="A3049" s="1" t="s">
        <v>9187</v>
      </c>
      <c r="B3049" s="1" t="s">
        <v>9188</v>
      </c>
      <c r="C3049" s="1" t="s">
        <v>9189</v>
      </c>
      <c r="D3049" s="1" t="s">
        <v>9048</v>
      </c>
      <c r="E3049" s="1" t="s">
        <v>9049</v>
      </c>
      <c r="F3049" s="1">
        <v>2.0636137E7</v>
      </c>
      <c r="G3049" s="1">
        <v>999414.0</v>
      </c>
      <c r="H3049" s="1">
        <v>20414.0</v>
      </c>
      <c r="I3049" s="1">
        <v>5.14E8</v>
      </c>
      <c r="J3049" s="1" t="s">
        <v>9050</v>
      </c>
    </row>
    <row r="3050">
      <c r="A3050" s="1" t="s">
        <v>9190</v>
      </c>
      <c r="B3050" s="1" t="s">
        <v>9191</v>
      </c>
      <c r="C3050" s="1" t="s">
        <v>9192</v>
      </c>
      <c r="D3050" s="1" t="s">
        <v>9048</v>
      </c>
      <c r="E3050" s="1" t="s">
        <v>9049</v>
      </c>
      <c r="F3050" s="1">
        <v>1.35341529E8</v>
      </c>
      <c r="G3050" s="1">
        <v>2539215.0</v>
      </c>
      <c r="H3050" s="1">
        <v>152613.0</v>
      </c>
      <c r="I3050" s="1">
        <v>5.14E8</v>
      </c>
      <c r="J3050" s="1" t="s">
        <v>9050</v>
      </c>
    </row>
    <row r="3051">
      <c r="A3051" s="1" t="s">
        <v>9193</v>
      </c>
      <c r="B3051" s="1" t="s">
        <v>9194</v>
      </c>
      <c r="C3051" s="1" t="s">
        <v>9195</v>
      </c>
      <c r="D3051" s="1" t="s">
        <v>9048</v>
      </c>
      <c r="E3051" s="1" t="s">
        <v>9049</v>
      </c>
      <c r="F3051" s="1">
        <v>1.07851816E8</v>
      </c>
      <c r="G3051" s="1">
        <v>2607589.0</v>
      </c>
      <c r="H3051" s="1">
        <v>12106.0</v>
      </c>
      <c r="I3051" s="1">
        <v>5.14E8</v>
      </c>
      <c r="J3051" s="1" t="s">
        <v>9050</v>
      </c>
    </row>
    <row r="3052">
      <c r="A3052" s="1" t="s">
        <v>9196</v>
      </c>
      <c r="B3052" s="1" t="s">
        <v>9197</v>
      </c>
      <c r="C3052" s="1" t="s">
        <v>9198</v>
      </c>
      <c r="D3052" s="1" t="s">
        <v>9048</v>
      </c>
      <c r="E3052" s="1" t="s">
        <v>9049</v>
      </c>
      <c r="F3052" s="1">
        <v>3.71985446E8</v>
      </c>
      <c r="G3052" s="1">
        <v>3323179.0</v>
      </c>
      <c r="H3052" s="1">
        <v>27735.0</v>
      </c>
      <c r="I3052" s="1">
        <v>5.14E8</v>
      </c>
      <c r="J3052" s="1" t="s">
        <v>9050</v>
      </c>
    </row>
    <row r="3053">
      <c r="A3053" s="1" t="s">
        <v>9199</v>
      </c>
      <c r="B3053" s="1" t="s">
        <v>9200</v>
      </c>
      <c r="C3053" s="1" t="s">
        <v>9201</v>
      </c>
      <c r="D3053" s="1" t="s">
        <v>9048</v>
      </c>
      <c r="E3053" s="1" t="s">
        <v>9049</v>
      </c>
      <c r="F3053" s="1">
        <v>3.0522715E7</v>
      </c>
      <c r="G3053" s="1">
        <v>1106353.0</v>
      </c>
      <c r="H3053" s="1">
        <v>17128.0</v>
      </c>
      <c r="I3053" s="1">
        <v>5.14E8</v>
      </c>
      <c r="J3053" s="1" t="s">
        <v>9050</v>
      </c>
    </row>
    <row r="3054">
      <c r="A3054" s="1" t="s">
        <v>9202</v>
      </c>
      <c r="B3054" s="1" t="s">
        <v>9203</v>
      </c>
      <c r="C3054" s="1" t="s">
        <v>9204</v>
      </c>
      <c r="D3054" s="1" t="s">
        <v>9048</v>
      </c>
      <c r="E3054" s="1" t="s">
        <v>9049</v>
      </c>
      <c r="F3054" s="1">
        <v>7.9679296E7</v>
      </c>
      <c r="G3054" s="1">
        <v>2472288.0</v>
      </c>
      <c r="H3054" s="1">
        <v>97713.0</v>
      </c>
      <c r="I3054" s="1">
        <v>5.14E8</v>
      </c>
      <c r="J3054" s="1" t="s">
        <v>9050</v>
      </c>
    </row>
    <row r="3055">
      <c r="A3055" s="1" t="s">
        <v>9205</v>
      </c>
      <c r="B3055" s="1" t="s">
        <v>9206</v>
      </c>
      <c r="C3055" s="1" t="s">
        <v>9207</v>
      </c>
      <c r="D3055" s="1" t="s">
        <v>9048</v>
      </c>
      <c r="E3055" s="1" t="s">
        <v>9049</v>
      </c>
      <c r="F3055" s="1">
        <v>1.61966592E8</v>
      </c>
      <c r="G3055" s="1">
        <v>1995446.0</v>
      </c>
      <c r="H3055" s="1">
        <v>9884.0</v>
      </c>
      <c r="I3055" s="1">
        <v>5.14E8</v>
      </c>
      <c r="J3055" s="1" t="s">
        <v>9050</v>
      </c>
    </row>
    <row r="3056">
      <c r="A3056" s="1" t="s">
        <v>9208</v>
      </c>
      <c r="B3056" s="1" t="s">
        <v>9209</v>
      </c>
      <c r="C3056" s="1" t="s">
        <v>9210</v>
      </c>
      <c r="D3056" s="1" t="s">
        <v>9048</v>
      </c>
      <c r="E3056" s="1" t="s">
        <v>9049</v>
      </c>
      <c r="F3056" s="1">
        <v>1.31061291E8</v>
      </c>
      <c r="G3056" s="1">
        <v>2843621.0</v>
      </c>
      <c r="H3056" s="1">
        <v>19225.0</v>
      </c>
      <c r="I3056" s="1">
        <v>5.14E8</v>
      </c>
      <c r="J3056" s="1" t="s">
        <v>9050</v>
      </c>
    </row>
    <row r="3057">
      <c r="A3057" s="1" t="s">
        <v>9211</v>
      </c>
      <c r="B3057" s="1" t="s">
        <v>9212</v>
      </c>
      <c r="C3057" s="1" t="s">
        <v>9213</v>
      </c>
      <c r="D3057" s="1" t="s">
        <v>9048</v>
      </c>
      <c r="E3057" s="1" t="s">
        <v>9049</v>
      </c>
      <c r="F3057" s="1">
        <v>4.71521071E8</v>
      </c>
      <c r="G3057" s="1">
        <v>5921075.0</v>
      </c>
      <c r="H3057" s="1">
        <v>35606.0</v>
      </c>
      <c r="I3057" s="1">
        <v>5.14E8</v>
      </c>
      <c r="J3057" s="1" t="s">
        <v>9050</v>
      </c>
    </row>
    <row r="3058">
      <c r="A3058" s="1" t="s">
        <v>9214</v>
      </c>
      <c r="B3058" s="1" t="s">
        <v>9215</v>
      </c>
      <c r="C3058" s="1" t="s">
        <v>9216</v>
      </c>
      <c r="D3058" s="1" t="s">
        <v>9048</v>
      </c>
      <c r="E3058" s="1" t="s">
        <v>9049</v>
      </c>
      <c r="F3058" s="1">
        <v>1.5222203E8</v>
      </c>
      <c r="G3058" s="1">
        <v>1841531.0</v>
      </c>
      <c r="H3058" s="1">
        <v>89222.0</v>
      </c>
      <c r="I3058" s="1">
        <v>5.14E8</v>
      </c>
      <c r="J3058" s="1" t="s">
        <v>9050</v>
      </c>
    </row>
    <row r="3059">
      <c r="A3059" s="1" t="s">
        <v>9217</v>
      </c>
      <c r="B3059" s="1" t="s">
        <v>9218</v>
      </c>
      <c r="C3059" s="1" t="s">
        <v>9219</v>
      </c>
      <c r="D3059" s="1" t="s">
        <v>9048</v>
      </c>
      <c r="E3059" s="1" t="s">
        <v>9049</v>
      </c>
      <c r="F3059" s="1">
        <v>1.83256674E8</v>
      </c>
      <c r="G3059" s="1">
        <v>3082303.0</v>
      </c>
      <c r="H3059" s="1">
        <v>11551.0</v>
      </c>
      <c r="I3059" s="1">
        <v>5.14E8</v>
      </c>
      <c r="J3059" s="1" t="s">
        <v>9050</v>
      </c>
    </row>
    <row r="3060">
      <c r="A3060" s="1" t="s">
        <v>9220</v>
      </c>
      <c r="B3060" s="1" t="s">
        <v>9221</v>
      </c>
      <c r="C3060" s="1" t="s">
        <v>9222</v>
      </c>
      <c r="D3060" s="1" t="s">
        <v>9048</v>
      </c>
      <c r="E3060" s="1" t="s">
        <v>9049</v>
      </c>
      <c r="F3060" s="1">
        <v>1.178898866E9</v>
      </c>
      <c r="G3060" s="1">
        <v>9393018.0</v>
      </c>
      <c r="H3060" s="1">
        <v>41252.0</v>
      </c>
      <c r="I3060" s="1">
        <v>5.14E8</v>
      </c>
      <c r="J3060" s="1" t="s">
        <v>9050</v>
      </c>
    </row>
    <row r="3061">
      <c r="A3061" s="1" t="s">
        <v>9223</v>
      </c>
      <c r="B3061" s="1" t="s">
        <v>9224</v>
      </c>
      <c r="C3061" s="1" t="s">
        <v>9225</v>
      </c>
      <c r="D3061" s="1" t="s">
        <v>9048</v>
      </c>
      <c r="E3061" s="1" t="s">
        <v>9049</v>
      </c>
      <c r="F3061" s="1">
        <v>2.0254743E8</v>
      </c>
      <c r="G3061" s="1">
        <v>4275686.0</v>
      </c>
      <c r="H3061" s="1">
        <v>35895.0</v>
      </c>
      <c r="I3061" s="1">
        <v>5.14E8</v>
      </c>
      <c r="J3061" s="1" t="s">
        <v>9050</v>
      </c>
    </row>
    <row r="3062">
      <c r="A3062" s="1" t="s">
        <v>9226</v>
      </c>
      <c r="B3062" s="1" t="s">
        <v>9227</v>
      </c>
      <c r="C3062" s="1" t="s">
        <v>9228</v>
      </c>
      <c r="D3062" s="1" t="s">
        <v>9048</v>
      </c>
      <c r="E3062" s="1" t="s">
        <v>9049</v>
      </c>
      <c r="F3062" s="1">
        <v>1.72665375E8</v>
      </c>
      <c r="G3062" s="1">
        <v>3286497.0</v>
      </c>
      <c r="H3062" s="1">
        <v>91950.0</v>
      </c>
      <c r="I3062" s="1">
        <v>5.14E8</v>
      </c>
      <c r="J3062" s="1" t="s">
        <v>9050</v>
      </c>
    </row>
    <row r="3063">
      <c r="A3063" s="1" t="s">
        <v>9229</v>
      </c>
      <c r="B3063" s="1" t="s">
        <v>9230</v>
      </c>
      <c r="C3063" s="1" t="s">
        <v>9231</v>
      </c>
      <c r="D3063" s="1" t="s">
        <v>9048</v>
      </c>
      <c r="E3063" s="1" t="s">
        <v>9049</v>
      </c>
      <c r="F3063" s="1">
        <v>3.9234289E7</v>
      </c>
      <c r="G3063" s="1">
        <v>912528.0</v>
      </c>
      <c r="H3063" s="1">
        <v>14588.0</v>
      </c>
      <c r="I3063" s="1">
        <v>5.14E8</v>
      </c>
      <c r="J3063" s="1" t="s">
        <v>9050</v>
      </c>
    </row>
    <row r="3064">
      <c r="A3064" s="1" t="s">
        <v>9232</v>
      </c>
      <c r="B3064" s="1" t="s">
        <v>9233</v>
      </c>
      <c r="C3064" s="1" t="s">
        <v>9234</v>
      </c>
      <c r="D3064" s="1" t="s">
        <v>9048</v>
      </c>
      <c r="E3064" s="1" t="s">
        <v>9049</v>
      </c>
      <c r="F3064" s="1">
        <v>1.224006091E9</v>
      </c>
      <c r="G3064" s="1">
        <v>6823068.0</v>
      </c>
      <c r="H3064" s="1">
        <v>181999.0</v>
      </c>
      <c r="I3064" s="1">
        <v>5.14E8</v>
      </c>
      <c r="J3064" s="1" t="s">
        <v>9050</v>
      </c>
    </row>
    <row r="3065">
      <c r="A3065" s="1" t="s">
        <v>9235</v>
      </c>
      <c r="B3065" s="1" t="s">
        <v>9236</v>
      </c>
      <c r="C3065" s="1" t="s">
        <v>9237</v>
      </c>
      <c r="D3065" s="1" t="s">
        <v>9048</v>
      </c>
      <c r="E3065" s="1" t="s">
        <v>9049</v>
      </c>
      <c r="F3065" s="1">
        <v>1.21807786E8</v>
      </c>
      <c r="G3065" s="1">
        <v>2235945.0</v>
      </c>
      <c r="H3065" s="1">
        <v>14355.0</v>
      </c>
      <c r="I3065" s="1">
        <v>5.14E8</v>
      </c>
      <c r="J3065" s="1" t="s">
        <v>9050</v>
      </c>
    </row>
    <row r="3066">
      <c r="A3066" s="1" t="s">
        <v>9238</v>
      </c>
      <c r="B3066" s="1" t="s">
        <v>9239</v>
      </c>
      <c r="C3066" s="1" t="s">
        <v>9240</v>
      </c>
      <c r="D3066" s="1" t="s">
        <v>9048</v>
      </c>
      <c r="E3066" s="1" t="s">
        <v>9049</v>
      </c>
      <c r="F3066" s="1">
        <v>1.35911937E8</v>
      </c>
      <c r="G3066" s="1">
        <v>2702853.0</v>
      </c>
      <c r="H3066" s="1">
        <v>119633.0</v>
      </c>
      <c r="I3066" s="1">
        <v>5.14E8</v>
      </c>
      <c r="J3066" s="1" t="s">
        <v>9050</v>
      </c>
    </row>
    <row r="3067">
      <c r="A3067" s="1" t="s">
        <v>9241</v>
      </c>
      <c r="B3067" s="1" t="s">
        <v>9242</v>
      </c>
      <c r="C3067" s="1" t="s">
        <v>9243</v>
      </c>
      <c r="D3067" s="1" t="s">
        <v>9048</v>
      </c>
      <c r="E3067" s="1" t="s">
        <v>9049</v>
      </c>
      <c r="F3067" s="1">
        <v>5.62067376E8</v>
      </c>
      <c r="G3067" s="1">
        <v>6790048.0</v>
      </c>
      <c r="H3067" s="1">
        <v>21651.0</v>
      </c>
      <c r="I3067" s="1">
        <v>5.14E8</v>
      </c>
      <c r="J3067" s="1" t="s">
        <v>9050</v>
      </c>
    </row>
    <row r="3068">
      <c r="A3068" s="1" t="s">
        <v>9244</v>
      </c>
      <c r="B3068" s="1" t="s">
        <v>9245</v>
      </c>
      <c r="C3068" s="1" t="s">
        <v>9246</v>
      </c>
      <c r="D3068" s="1" t="s">
        <v>9048</v>
      </c>
      <c r="E3068" s="1" t="s">
        <v>9049</v>
      </c>
      <c r="F3068" s="1">
        <v>1.02499531E8</v>
      </c>
      <c r="G3068" s="1">
        <v>2845816.0</v>
      </c>
      <c r="H3068" s="1">
        <v>41657.0</v>
      </c>
      <c r="I3068" s="1">
        <v>5.14E8</v>
      </c>
      <c r="J3068" s="1" t="s">
        <v>9050</v>
      </c>
    </row>
    <row r="3069">
      <c r="A3069" s="1" t="s">
        <v>9247</v>
      </c>
      <c r="B3069" s="1" t="s">
        <v>9248</v>
      </c>
      <c r="C3069" s="1" t="s">
        <v>9249</v>
      </c>
      <c r="D3069" s="1" t="s">
        <v>9048</v>
      </c>
      <c r="E3069" s="1" t="s">
        <v>9049</v>
      </c>
      <c r="F3069" s="1">
        <v>1.222472141E9</v>
      </c>
      <c r="G3069" s="1">
        <v>8480490.0</v>
      </c>
      <c r="H3069" s="1">
        <v>192666.0</v>
      </c>
      <c r="I3069" s="1">
        <v>5.14E8</v>
      </c>
      <c r="J3069" s="1" t="s">
        <v>9050</v>
      </c>
    </row>
    <row r="3070">
      <c r="A3070" s="1" t="s">
        <v>9250</v>
      </c>
      <c r="B3070" s="1" t="s">
        <v>9251</v>
      </c>
      <c r="C3070" s="1" t="s">
        <v>9252</v>
      </c>
      <c r="D3070" s="1" t="s">
        <v>9048</v>
      </c>
      <c r="E3070" s="1" t="s">
        <v>9049</v>
      </c>
      <c r="F3070" s="1">
        <v>2.11604199E8</v>
      </c>
      <c r="G3070" s="1">
        <v>3149661.0</v>
      </c>
      <c r="H3070" s="1">
        <v>115205.0</v>
      </c>
      <c r="I3070" s="1">
        <v>5.14E8</v>
      </c>
      <c r="J3070" s="1" t="s">
        <v>9050</v>
      </c>
    </row>
    <row r="3071">
      <c r="A3071" s="1" t="s">
        <v>9253</v>
      </c>
      <c r="B3071" s="1" t="s">
        <v>9254</v>
      </c>
      <c r="C3071" s="1" t="s">
        <v>9255</v>
      </c>
      <c r="D3071" s="1" t="s">
        <v>9048</v>
      </c>
      <c r="E3071" s="1" t="s">
        <v>9049</v>
      </c>
      <c r="F3071" s="1">
        <v>2.76107813E8</v>
      </c>
      <c r="G3071" s="1">
        <v>4833496.0</v>
      </c>
      <c r="H3071" s="1">
        <v>16325.0</v>
      </c>
      <c r="I3071" s="1">
        <v>5.14E8</v>
      </c>
      <c r="J3071" s="1" t="s">
        <v>9050</v>
      </c>
    </row>
    <row r="3072">
      <c r="A3072" s="1" t="s">
        <v>9256</v>
      </c>
      <c r="B3072" s="1" t="s">
        <v>9257</v>
      </c>
      <c r="C3072" s="1" t="s">
        <v>9258</v>
      </c>
      <c r="D3072" s="1" t="s">
        <v>9048</v>
      </c>
      <c r="E3072" s="1" t="s">
        <v>9049</v>
      </c>
      <c r="F3072" s="1">
        <v>1.87182379E8</v>
      </c>
      <c r="G3072" s="1">
        <v>4244013.0</v>
      </c>
      <c r="H3072" s="1">
        <v>27069.0</v>
      </c>
      <c r="I3072" s="1">
        <v>5.14E8</v>
      </c>
      <c r="J3072" s="1" t="s">
        <v>9050</v>
      </c>
    </row>
    <row r="3073">
      <c r="A3073" s="1" t="s">
        <v>9259</v>
      </c>
      <c r="B3073" s="1" t="s">
        <v>9260</v>
      </c>
      <c r="C3073" s="1" t="s">
        <v>9261</v>
      </c>
      <c r="D3073" s="1" t="s">
        <v>9048</v>
      </c>
      <c r="E3073" s="1" t="s">
        <v>9049</v>
      </c>
      <c r="F3073" s="1">
        <v>5.1442898E7</v>
      </c>
      <c r="G3073" s="1">
        <v>1016200.0</v>
      </c>
      <c r="H3073" s="1">
        <v>14530.0</v>
      </c>
      <c r="I3073" s="1">
        <v>5.14E8</v>
      </c>
      <c r="J3073" s="1" t="s">
        <v>9050</v>
      </c>
    </row>
    <row r="3074">
      <c r="A3074" s="1" t="s">
        <v>9262</v>
      </c>
      <c r="B3074" s="1" t="s">
        <v>9263</v>
      </c>
      <c r="C3074" s="1" t="s">
        <v>9264</v>
      </c>
      <c r="D3074" s="1" t="s">
        <v>9048</v>
      </c>
      <c r="E3074" s="1" t="s">
        <v>9049</v>
      </c>
      <c r="F3074" s="1">
        <v>1.63780883E8</v>
      </c>
      <c r="G3074" s="1">
        <v>1998335.0</v>
      </c>
      <c r="H3074" s="1">
        <v>74726.0</v>
      </c>
      <c r="I3074" s="1">
        <v>5.14E8</v>
      </c>
      <c r="J3074" s="1" t="s">
        <v>9050</v>
      </c>
    </row>
    <row r="3075">
      <c r="A3075" s="1" t="s">
        <v>9265</v>
      </c>
      <c r="B3075" s="1" t="s">
        <v>9266</v>
      </c>
      <c r="C3075" s="1" t="s">
        <v>9267</v>
      </c>
      <c r="D3075" s="1" t="s">
        <v>9048</v>
      </c>
      <c r="E3075" s="1" t="s">
        <v>9049</v>
      </c>
      <c r="F3075" s="1">
        <v>6.2676582E7</v>
      </c>
      <c r="G3075" s="1">
        <v>1355669.0</v>
      </c>
      <c r="H3075" s="1">
        <v>10723.0</v>
      </c>
      <c r="I3075" s="1">
        <v>5.14E8</v>
      </c>
      <c r="J3075" s="1" t="s">
        <v>9050</v>
      </c>
    </row>
    <row r="3076">
      <c r="A3076" s="1" t="s">
        <v>9268</v>
      </c>
      <c r="B3076" s="1" t="s">
        <v>9269</v>
      </c>
      <c r="C3076" s="1" t="s">
        <v>9270</v>
      </c>
      <c r="D3076" s="1" t="s">
        <v>9048</v>
      </c>
      <c r="E3076" s="1" t="s">
        <v>9049</v>
      </c>
      <c r="F3076" s="1">
        <v>9.8723249E7</v>
      </c>
      <c r="G3076" s="1">
        <v>1230699.0</v>
      </c>
      <c r="H3076" s="1">
        <v>13985.0</v>
      </c>
      <c r="I3076" s="1">
        <v>5.14E8</v>
      </c>
      <c r="J3076" s="1" t="s">
        <v>9050</v>
      </c>
    </row>
    <row r="3077">
      <c r="A3077" s="1" t="s">
        <v>9271</v>
      </c>
      <c r="B3077" s="1" t="s">
        <v>9272</v>
      </c>
      <c r="C3077" s="1" t="s">
        <v>9273</v>
      </c>
      <c r="D3077" s="1" t="s">
        <v>9048</v>
      </c>
      <c r="E3077" s="1" t="s">
        <v>9049</v>
      </c>
      <c r="F3077" s="1">
        <v>3.69777403E8</v>
      </c>
      <c r="G3077" s="1">
        <v>6461118.0</v>
      </c>
      <c r="H3077" s="1">
        <v>32311.0</v>
      </c>
      <c r="I3077" s="1">
        <v>5.14E8</v>
      </c>
      <c r="J3077" s="1" t="s">
        <v>9050</v>
      </c>
    </row>
    <row r="3078">
      <c r="A3078" s="1" t="s">
        <v>9274</v>
      </c>
      <c r="B3078" s="1" t="s">
        <v>9275</v>
      </c>
      <c r="C3078" s="1" t="s">
        <v>9276</v>
      </c>
      <c r="D3078" s="1" t="s">
        <v>9048</v>
      </c>
      <c r="E3078" s="1" t="s">
        <v>9049</v>
      </c>
      <c r="F3078" s="1">
        <v>9.8384783E7</v>
      </c>
      <c r="G3078" s="1">
        <v>1950567.0</v>
      </c>
      <c r="H3078" s="1">
        <v>8841.0</v>
      </c>
      <c r="I3078" s="1">
        <v>5.14E8</v>
      </c>
      <c r="J3078" s="1" t="s">
        <v>9050</v>
      </c>
    </row>
    <row r="3079">
      <c r="A3079" s="1" t="s">
        <v>9277</v>
      </c>
      <c r="B3079" s="1" t="s">
        <v>9278</v>
      </c>
      <c r="C3079" s="1" t="s">
        <v>9279</v>
      </c>
      <c r="D3079" s="1" t="s">
        <v>9048</v>
      </c>
      <c r="E3079" s="1" t="s">
        <v>9049</v>
      </c>
      <c r="F3079" s="1">
        <v>1.39268416E8</v>
      </c>
      <c r="G3079" s="1">
        <v>2188204.0</v>
      </c>
      <c r="H3079" s="1">
        <v>68002.0</v>
      </c>
      <c r="I3079" s="1">
        <v>5.14E8</v>
      </c>
      <c r="J3079" s="1" t="s">
        <v>9050</v>
      </c>
    </row>
    <row r="3080">
      <c r="A3080" s="1" t="s">
        <v>9280</v>
      </c>
      <c r="B3080" s="1" t="s">
        <v>9281</v>
      </c>
      <c r="C3080" s="1" t="s">
        <v>9282</v>
      </c>
      <c r="D3080" s="1" t="s">
        <v>9048</v>
      </c>
      <c r="E3080" s="1" t="s">
        <v>9049</v>
      </c>
      <c r="F3080" s="1">
        <v>5.1444375E7</v>
      </c>
      <c r="G3080" s="1">
        <v>1117746.0</v>
      </c>
      <c r="H3080" s="1">
        <v>13730.0</v>
      </c>
      <c r="I3080" s="1">
        <v>5.14E8</v>
      </c>
      <c r="J3080" s="1" t="s">
        <v>9050</v>
      </c>
    </row>
    <row r="3081">
      <c r="A3081" s="1" t="s">
        <v>9283</v>
      </c>
      <c r="B3081" s="1" t="s">
        <v>9284</v>
      </c>
      <c r="C3081" s="1" t="s">
        <v>4387</v>
      </c>
      <c r="D3081" s="1" t="s">
        <v>9048</v>
      </c>
      <c r="E3081" s="1" t="s">
        <v>9049</v>
      </c>
      <c r="F3081" s="1">
        <v>4.53611526E8</v>
      </c>
      <c r="G3081" s="1">
        <v>3607267.0</v>
      </c>
      <c r="H3081" s="1">
        <v>14737.0</v>
      </c>
      <c r="I3081" s="1">
        <v>5.14E8</v>
      </c>
      <c r="J3081" s="1" t="s">
        <v>9050</v>
      </c>
    </row>
    <row r="3082">
      <c r="A3082" s="1" t="s">
        <v>9285</v>
      </c>
      <c r="B3082" s="1" t="s">
        <v>9286</v>
      </c>
      <c r="C3082" s="1" t="s">
        <v>9287</v>
      </c>
      <c r="D3082" s="1" t="s">
        <v>9048</v>
      </c>
      <c r="E3082" s="1" t="s">
        <v>9049</v>
      </c>
      <c r="F3082" s="1">
        <v>4.4896014E7</v>
      </c>
      <c r="G3082" s="1">
        <v>1643362.0</v>
      </c>
      <c r="H3082" s="1">
        <v>20415.0</v>
      </c>
      <c r="I3082" s="1">
        <v>5.14E8</v>
      </c>
      <c r="J3082" s="1" t="s">
        <v>9050</v>
      </c>
    </row>
    <row r="3083">
      <c r="A3083" s="1" t="s">
        <v>9288</v>
      </c>
      <c r="B3083" s="1" t="s">
        <v>9289</v>
      </c>
      <c r="C3083" s="1" t="s">
        <v>9290</v>
      </c>
      <c r="D3083" s="1" t="s">
        <v>9048</v>
      </c>
      <c r="E3083" s="1" t="s">
        <v>9049</v>
      </c>
      <c r="F3083" s="1">
        <v>4.81999112E8</v>
      </c>
      <c r="G3083" s="1">
        <v>5100532.0</v>
      </c>
      <c r="H3083" s="1">
        <v>12462.0</v>
      </c>
      <c r="I3083" s="1">
        <v>5.14E8</v>
      </c>
      <c r="J3083" s="1" t="s">
        <v>9050</v>
      </c>
    </row>
    <row r="3084">
      <c r="A3084" s="1" t="s">
        <v>9291</v>
      </c>
      <c r="B3084" s="1" t="s">
        <v>9292</v>
      </c>
      <c r="C3084" s="1" t="s">
        <v>9293</v>
      </c>
      <c r="D3084" s="1" t="s">
        <v>9048</v>
      </c>
      <c r="E3084" s="1" t="s">
        <v>9049</v>
      </c>
      <c r="F3084" s="1">
        <v>1.30291643E8</v>
      </c>
      <c r="G3084" s="1">
        <v>2047663.0</v>
      </c>
      <c r="H3084" s="1">
        <v>85475.0</v>
      </c>
      <c r="I3084" s="1">
        <v>5.14E8</v>
      </c>
      <c r="J3084" s="1" t="s">
        <v>9050</v>
      </c>
    </row>
    <row r="3085">
      <c r="A3085" s="1" t="s">
        <v>9294</v>
      </c>
      <c r="B3085" s="1" t="s">
        <v>9295</v>
      </c>
      <c r="C3085" s="1" t="s">
        <v>9296</v>
      </c>
      <c r="D3085" s="1" t="s">
        <v>9048</v>
      </c>
      <c r="E3085" s="1" t="s">
        <v>9049</v>
      </c>
      <c r="F3085" s="1">
        <v>2.91495639E8</v>
      </c>
      <c r="G3085" s="1">
        <v>2439629.0</v>
      </c>
      <c r="H3085" s="1">
        <v>14879.0</v>
      </c>
      <c r="I3085" s="1">
        <v>5.14E8</v>
      </c>
      <c r="J3085" s="1" t="s">
        <v>9050</v>
      </c>
    </row>
    <row r="3086">
      <c r="A3086" s="1" t="s">
        <v>9297</v>
      </c>
      <c r="B3086" s="1" t="s">
        <v>9298</v>
      </c>
      <c r="C3086" s="1" t="s">
        <v>9299</v>
      </c>
      <c r="D3086" s="1" t="s">
        <v>9048</v>
      </c>
      <c r="E3086" s="1" t="s">
        <v>9049</v>
      </c>
      <c r="F3086" s="1">
        <v>4.1422132E7</v>
      </c>
      <c r="G3086" s="1">
        <v>1497218.0</v>
      </c>
      <c r="H3086" s="1">
        <v>17365.0</v>
      </c>
      <c r="I3086" s="1">
        <v>5.14E8</v>
      </c>
      <c r="J3086" s="1" t="s">
        <v>9050</v>
      </c>
    </row>
    <row r="3087">
      <c r="A3087" s="1" t="s">
        <v>9300</v>
      </c>
      <c r="B3087" s="1" t="s">
        <v>9301</v>
      </c>
      <c r="C3087" s="1" t="s">
        <v>9302</v>
      </c>
      <c r="D3087" s="1" t="s">
        <v>9048</v>
      </c>
      <c r="E3087" s="1" t="s">
        <v>9049</v>
      </c>
      <c r="F3087" s="1">
        <v>1.28965208E8</v>
      </c>
      <c r="G3087" s="1">
        <v>1775325.0</v>
      </c>
      <c r="H3087" s="1">
        <v>13055.0</v>
      </c>
      <c r="I3087" s="1">
        <v>5.14E8</v>
      </c>
      <c r="J3087" s="1" t="s">
        <v>9050</v>
      </c>
    </row>
    <row r="3088">
      <c r="A3088" s="1" t="s">
        <v>9303</v>
      </c>
      <c r="B3088" s="1" t="s">
        <v>9304</v>
      </c>
      <c r="C3088" s="1" t="s">
        <v>9305</v>
      </c>
      <c r="D3088" s="1" t="s">
        <v>9048</v>
      </c>
      <c r="E3088" s="1" t="s">
        <v>9049</v>
      </c>
      <c r="F3088" s="1">
        <v>2.27787644E8</v>
      </c>
      <c r="G3088" s="1">
        <v>3585052.0</v>
      </c>
      <c r="H3088" s="1">
        <v>63109.0</v>
      </c>
      <c r="I3088" s="1">
        <v>5.14E8</v>
      </c>
      <c r="J3088" s="1" t="s">
        <v>9050</v>
      </c>
    </row>
    <row r="3089">
      <c r="A3089" s="1" t="s">
        <v>9306</v>
      </c>
      <c r="B3089" s="1" t="s">
        <v>9307</v>
      </c>
      <c r="C3089" s="1" t="s">
        <v>9308</v>
      </c>
      <c r="D3089" s="1" t="s">
        <v>9048</v>
      </c>
      <c r="E3089" s="1" t="s">
        <v>9049</v>
      </c>
      <c r="F3089" s="1">
        <v>5.0192205E7</v>
      </c>
      <c r="G3089" s="1">
        <v>881866.0</v>
      </c>
      <c r="H3089" s="1">
        <v>8110.0</v>
      </c>
      <c r="I3089" s="1">
        <v>5.14E8</v>
      </c>
      <c r="J3089" s="1" t="s">
        <v>9050</v>
      </c>
    </row>
    <row r="3090">
      <c r="A3090" s="1" t="s">
        <v>9309</v>
      </c>
      <c r="B3090" s="1" t="s">
        <v>9310</v>
      </c>
      <c r="C3090" s="1" t="s">
        <v>9311</v>
      </c>
      <c r="D3090" s="1" t="s">
        <v>9048</v>
      </c>
      <c r="E3090" s="1" t="s">
        <v>9049</v>
      </c>
      <c r="F3090" s="1">
        <v>1.92663721E8</v>
      </c>
      <c r="G3090" s="1">
        <v>2885697.0</v>
      </c>
      <c r="H3090" s="1">
        <v>12116.0</v>
      </c>
      <c r="I3090" s="1">
        <v>5.14E8</v>
      </c>
      <c r="J3090" s="1" t="s">
        <v>9050</v>
      </c>
    </row>
    <row r="3091">
      <c r="A3091" s="1" t="s">
        <v>9312</v>
      </c>
      <c r="B3091" s="1" t="s">
        <v>9313</v>
      </c>
      <c r="C3091" s="1" t="s">
        <v>9314</v>
      </c>
      <c r="D3091" s="1" t="s">
        <v>9048</v>
      </c>
      <c r="E3091" s="1" t="s">
        <v>9049</v>
      </c>
      <c r="F3091" s="1">
        <v>1.26857277E8</v>
      </c>
      <c r="G3091" s="1">
        <v>3292784.0</v>
      </c>
      <c r="H3091" s="1">
        <v>78392.0</v>
      </c>
      <c r="I3091" s="1">
        <v>5.14E8</v>
      </c>
      <c r="J3091" s="1" t="s">
        <v>9050</v>
      </c>
    </row>
    <row r="3092">
      <c r="A3092" s="1" t="s">
        <v>9315</v>
      </c>
      <c r="B3092" s="1" t="s">
        <v>9316</v>
      </c>
      <c r="C3092" s="1" t="s">
        <v>9317</v>
      </c>
      <c r="D3092" s="1" t="s">
        <v>9048</v>
      </c>
      <c r="E3092" s="1" t="s">
        <v>9049</v>
      </c>
      <c r="F3092" s="1">
        <v>1.92537457E8</v>
      </c>
      <c r="G3092" s="1">
        <v>2968227.0</v>
      </c>
      <c r="H3092" s="1">
        <v>53957.0</v>
      </c>
      <c r="I3092" s="1">
        <v>5.14E8</v>
      </c>
      <c r="J3092" s="1" t="s">
        <v>9050</v>
      </c>
    </row>
    <row r="3093">
      <c r="A3093" s="1" t="s">
        <v>9318</v>
      </c>
      <c r="B3093" s="1" t="s">
        <v>9319</v>
      </c>
      <c r="C3093" s="1" t="s">
        <v>9320</v>
      </c>
      <c r="D3093" s="1" t="s">
        <v>9048</v>
      </c>
      <c r="E3093" s="1" t="s">
        <v>9049</v>
      </c>
      <c r="F3093" s="1">
        <v>1.04652659E8</v>
      </c>
      <c r="G3093" s="1">
        <v>2601221.0</v>
      </c>
      <c r="H3093" s="1">
        <v>13847.0</v>
      </c>
      <c r="I3093" s="1">
        <v>5.14E8</v>
      </c>
      <c r="J3093" s="1" t="s">
        <v>9050</v>
      </c>
    </row>
    <row r="3094">
      <c r="A3094" s="1" t="s">
        <v>9321</v>
      </c>
      <c r="B3094" s="1" t="s">
        <v>9322</v>
      </c>
      <c r="C3094" s="1" t="s">
        <v>4417</v>
      </c>
      <c r="D3094" s="1" t="s">
        <v>9048</v>
      </c>
      <c r="E3094" s="1" t="s">
        <v>9049</v>
      </c>
      <c r="F3094" s="1">
        <v>1.70808626E8</v>
      </c>
      <c r="G3094" s="1">
        <v>3817600.0</v>
      </c>
      <c r="H3094" s="1">
        <v>14199.0</v>
      </c>
      <c r="I3094" s="1">
        <v>5.14E8</v>
      </c>
      <c r="J3094" s="1" t="s">
        <v>9050</v>
      </c>
    </row>
    <row r="3095">
      <c r="A3095" s="1" t="s">
        <v>9323</v>
      </c>
      <c r="B3095" s="1" t="s">
        <v>9324</v>
      </c>
      <c r="C3095" s="1" t="s">
        <v>9325</v>
      </c>
      <c r="D3095" s="1" t="s">
        <v>9048</v>
      </c>
      <c r="E3095" s="1" t="s">
        <v>9049</v>
      </c>
      <c r="F3095" s="1">
        <v>6.7047827E7</v>
      </c>
      <c r="G3095" s="1">
        <v>3804763.0</v>
      </c>
      <c r="H3095" s="1">
        <v>117435.0</v>
      </c>
      <c r="I3095" s="1">
        <v>5.14E8</v>
      </c>
      <c r="J3095" s="1" t="s">
        <v>9050</v>
      </c>
    </row>
    <row r="3096">
      <c r="A3096" s="1" t="s">
        <v>9326</v>
      </c>
      <c r="B3096" s="1" t="s">
        <v>9327</v>
      </c>
      <c r="C3096" s="1" t="s">
        <v>9328</v>
      </c>
      <c r="D3096" s="1" t="s">
        <v>9048</v>
      </c>
      <c r="E3096" s="1" t="s">
        <v>9049</v>
      </c>
      <c r="F3096" s="1">
        <v>4.16482143E8</v>
      </c>
      <c r="G3096" s="1">
        <v>4856030.0</v>
      </c>
      <c r="H3096" s="1">
        <v>18260.0</v>
      </c>
      <c r="I3096" s="1">
        <v>5.14E8</v>
      </c>
      <c r="J3096" s="1" t="s">
        <v>9050</v>
      </c>
    </row>
    <row r="3097">
      <c r="A3097" s="1" t="s">
        <v>9329</v>
      </c>
      <c r="B3097" s="1" t="s">
        <v>9330</v>
      </c>
      <c r="C3097" s="1" t="s">
        <v>9331</v>
      </c>
      <c r="D3097" s="1" t="s">
        <v>9048</v>
      </c>
      <c r="E3097" s="1" t="s">
        <v>9049</v>
      </c>
      <c r="F3097" s="1">
        <v>1.50744131E8</v>
      </c>
      <c r="G3097" s="1">
        <v>2377610.0</v>
      </c>
      <c r="H3097" s="1">
        <v>32956.0</v>
      </c>
      <c r="I3097" s="1">
        <v>5.14E8</v>
      </c>
      <c r="J3097" s="1" t="s">
        <v>9050</v>
      </c>
    </row>
    <row r="3098">
      <c r="A3098" s="1" t="s">
        <v>9332</v>
      </c>
      <c r="B3098" s="1" t="s">
        <v>9333</v>
      </c>
      <c r="C3098" s="1" t="s">
        <v>9334</v>
      </c>
      <c r="D3098" s="1" t="s">
        <v>9048</v>
      </c>
      <c r="E3098" s="1" t="s">
        <v>9049</v>
      </c>
      <c r="F3098" s="1">
        <v>1.01462512E8</v>
      </c>
      <c r="G3098" s="1">
        <v>2638081.0</v>
      </c>
      <c r="H3098" s="1">
        <v>9705.0</v>
      </c>
      <c r="I3098" s="1">
        <v>5.14E8</v>
      </c>
      <c r="J3098" s="1" t="s">
        <v>9050</v>
      </c>
    </row>
    <row r="3099">
      <c r="A3099" s="1" t="s">
        <v>9335</v>
      </c>
      <c r="B3099" s="1" t="s">
        <v>9336</v>
      </c>
      <c r="C3099" s="1" t="s">
        <v>9337</v>
      </c>
      <c r="D3099" s="1" t="s">
        <v>9048</v>
      </c>
      <c r="E3099" s="1" t="s">
        <v>9049</v>
      </c>
      <c r="F3099" s="1">
        <v>9.26763042E8</v>
      </c>
      <c r="G3099" s="1">
        <v>1.3991603E7</v>
      </c>
      <c r="H3099" s="1">
        <v>74804.0</v>
      </c>
      <c r="I3099" s="1">
        <v>5.14E8</v>
      </c>
      <c r="J3099" s="1" t="s">
        <v>9050</v>
      </c>
    </row>
    <row r="3100">
      <c r="A3100" s="1" t="s">
        <v>9338</v>
      </c>
      <c r="B3100" s="1" t="s">
        <v>9339</v>
      </c>
      <c r="C3100" s="1" t="s">
        <v>9340</v>
      </c>
      <c r="D3100" s="1" t="s">
        <v>9048</v>
      </c>
      <c r="E3100" s="1" t="s">
        <v>9049</v>
      </c>
      <c r="F3100" s="1">
        <v>2.16832703E8</v>
      </c>
      <c r="G3100" s="1">
        <v>3883962.0</v>
      </c>
      <c r="H3100" s="1">
        <v>11635.0</v>
      </c>
      <c r="I3100" s="1">
        <v>5.14E8</v>
      </c>
      <c r="J3100" s="1" t="s">
        <v>9050</v>
      </c>
    </row>
    <row r="3101">
      <c r="A3101" s="1" t="s">
        <v>9341</v>
      </c>
      <c r="B3101" s="1" t="s">
        <v>9342</v>
      </c>
      <c r="C3101" s="1" t="s">
        <v>9343</v>
      </c>
      <c r="D3101" s="1" t="s">
        <v>9048</v>
      </c>
      <c r="E3101" s="1" t="s">
        <v>9049</v>
      </c>
      <c r="F3101" s="1">
        <v>1.292915195E9</v>
      </c>
      <c r="G3101" s="1">
        <v>1.228443E7</v>
      </c>
      <c r="H3101" s="1">
        <v>38146.0</v>
      </c>
      <c r="I3101" s="1">
        <v>5.14E8</v>
      </c>
      <c r="J3101" s="1" t="s">
        <v>9050</v>
      </c>
    </row>
    <row r="3102">
      <c r="A3102" s="1" t="s">
        <v>9344</v>
      </c>
      <c r="B3102" s="1" t="s">
        <v>9345</v>
      </c>
      <c r="C3102" s="1" t="s">
        <v>9346</v>
      </c>
      <c r="D3102" s="1" t="s">
        <v>9048</v>
      </c>
      <c r="E3102" s="1" t="s">
        <v>9049</v>
      </c>
      <c r="F3102" s="1">
        <v>2.50286904E8</v>
      </c>
      <c r="G3102" s="1">
        <v>4287278.0</v>
      </c>
      <c r="H3102" s="1">
        <v>71934.0</v>
      </c>
      <c r="I3102" s="1">
        <v>5.14E8</v>
      </c>
      <c r="J3102" s="1" t="s">
        <v>9050</v>
      </c>
    </row>
    <row r="3103">
      <c r="A3103" s="1" t="s">
        <v>9347</v>
      </c>
      <c r="B3103" s="1" t="s">
        <v>9348</v>
      </c>
      <c r="C3103" s="1" t="s">
        <v>9349</v>
      </c>
      <c r="D3103" s="1" t="s">
        <v>9048</v>
      </c>
      <c r="E3103" s="1" t="s">
        <v>9049</v>
      </c>
      <c r="F3103" s="1">
        <v>1.26986954E8</v>
      </c>
      <c r="G3103" s="1">
        <v>3042047.0</v>
      </c>
      <c r="H3103" s="1">
        <v>8621.0</v>
      </c>
      <c r="I3103" s="1">
        <v>5.14E8</v>
      </c>
      <c r="J3103" s="1" t="s">
        <v>9050</v>
      </c>
    </row>
    <row r="3104">
      <c r="A3104" s="1" t="s">
        <v>9350</v>
      </c>
      <c r="B3104" s="1" t="s">
        <v>9351</v>
      </c>
      <c r="C3104" s="1" t="s">
        <v>9352</v>
      </c>
      <c r="D3104" s="1" t="s">
        <v>9048</v>
      </c>
      <c r="E3104" s="1" t="s">
        <v>9049</v>
      </c>
      <c r="F3104" s="1">
        <v>6.71007308E8</v>
      </c>
      <c r="G3104" s="1">
        <v>1.0273163E7</v>
      </c>
      <c r="H3104" s="1">
        <v>13765.0</v>
      </c>
      <c r="I3104" s="1">
        <v>5.14E8</v>
      </c>
      <c r="J3104" s="1" t="s">
        <v>9050</v>
      </c>
    </row>
    <row r="3105">
      <c r="A3105" s="1" t="s">
        <v>9353</v>
      </c>
      <c r="B3105" s="1" t="s">
        <v>9354</v>
      </c>
      <c r="C3105" s="1" t="s">
        <v>9355</v>
      </c>
      <c r="D3105" s="1" t="s">
        <v>9048</v>
      </c>
      <c r="E3105" s="1" t="s">
        <v>9049</v>
      </c>
      <c r="F3105" s="1">
        <v>1.88585935E8</v>
      </c>
      <c r="G3105" s="1">
        <v>3057446.0</v>
      </c>
      <c r="H3105" s="1">
        <v>39414.0</v>
      </c>
      <c r="I3105" s="1">
        <v>5.14E8</v>
      </c>
      <c r="J3105" s="1" t="s">
        <v>9050</v>
      </c>
    </row>
    <row r="3106">
      <c r="A3106" s="1" t="s">
        <v>9356</v>
      </c>
      <c r="B3106" s="1" t="s">
        <v>9357</v>
      </c>
      <c r="C3106" s="1" t="s">
        <v>9358</v>
      </c>
      <c r="D3106" s="1" t="s">
        <v>9048</v>
      </c>
      <c r="E3106" s="1" t="s">
        <v>9049</v>
      </c>
      <c r="F3106" s="1">
        <v>6.844441E8</v>
      </c>
      <c r="G3106" s="1">
        <v>2.4117266E7</v>
      </c>
      <c r="H3106" s="1">
        <v>35430.0</v>
      </c>
      <c r="I3106" s="1">
        <v>5.14E8</v>
      </c>
      <c r="J3106" s="1" t="s">
        <v>9050</v>
      </c>
    </row>
    <row r="3107">
      <c r="A3107" s="1" t="s">
        <v>9359</v>
      </c>
      <c r="B3107" s="1" t="s">
        <v>9360</v>
      </c>
      <c r="C3107" s="1" t="s">
        <v>9361</v>
      </c>
      <c r="D3107" s="1" t="s">
        <v>9048</v>
      </c>
      <c r="E3107" s="1" t="s">
        <v>9049</v>
      </c>
      <c r="F3107" s="1">
        <v>1.87782688E8</v>
      </c>
      <c r="G3107" s="1">
        <v>3709977.0</v>
      </c>
      <c r="H3107" s="1">
        <v>10952.0</v>
      </c>
      <c r="I3107" s="1">
        <v>5.14E8</v>
      </c>
      <c r="J3107" s="1" t="s">
        <v>9050</v>
      </c>
    </row>
    <row r="3108">
      <c r="A3108" s="1" t="s">
        <v>9362</v>
      </c>
      <c r="B3108" s="1" t="s">
        <v>9363</v>
      </c>
      <c r="C3108" s="1" t="s">
        <v>9364</v>
      </c>
      <c r="D3108" s="1" t="s">
        <v>9048</v>
      </c>
      <c r="E3108" s="1" t="s">
        <v>9049</v>
      </c>
      <c r="F3108" s="1">
        <v>2.01268157E8</v>
      </c>
      <c r="G3108" s="1">
        <v>2598153.0</v>
      </c>
      <c r="H3108" s="1">
        <v>11655.0</v>
      </c>
      <c r="I3108" s="1">
        <v>5.14E8</v>
      </c>
      <c r="J3108" s="1" t="s">
        <v>9050</v>
      </c>
    </row>
    <row r="3109">
      <c r="A3109" s="1" t="s">
        <v>9365</v>
      </c>
      <c r="B3109" s="1" t="s">
        <v>9366</v>
      </c>
      <c r="C3109" s="1" t="s">
        <v>9367</v>
      </c>
      <c r="D3109" s="1" t="s">
        <v>9048</v>
      </c>
      <c r="E3109" s="1" t="s">
        <v>9049</v>
      </c>
      <c r="F3109" s="1">
        <v>1.69800836E8</v>
      </c>
      <c r="G3109" s="1">
        <v>3220857.0</v>
      </c>
      <c r="H3109" s="1">
        <v>43970.0</v>
      </c>
      <c r="I3109" s="1">
        <v>5.14E8</v>
      </c>
      <c r="J3109" s="1" t="s">
        <v>9050</v>
      </c>
    </row>
    <row r="3110">
      <c r="A3110" s="1" t="s">
        <v>9368</v>
      </c>
      <c r="B3110" s="1" t="s">
        <v>9369</v>
      </c>
      <c r="C3110" s="1" t="s">
        <v>9370</v>
      </c>
      <c r="D3110" s="1" t="s">
        <v>9048</v>
      </c>
      <c r="E3110" s="1" t="s">
        <v>9049</v>
      </c>
      <c r="F3110" s="1">
        <v>5.53841648E8</v>
      </c>
      <c r="G3110" s="1">
        <v>5541036.0</v>
      </c>
      <c r="H3110" s="1">
        <v>31155.0</v>
      </c>
      <c r="I3110" s="1">
        <v>5.14E8</v>
      </c>
      <c r="J3110" s="1" t="s">
        <v>9050</v>
      </c>
    </row>
    <row r="3111">
      <c r="A3111" s="1" t="s">
        <v>9371</v>
      </c>
      <c r="B3111" s="1" t="s">
        <v>9372</v>
      </c>
      <c r="C3111" s="1" t="s">
        <v>9373</v>
      </c>
      <c r="D3111" s="1" t="s">
        <v>9048</v>
      </c>
      <c r="E3111" s="1" t="s">
        <v>9049</v>
      </c>
      <c r="F3111" s="1">
        <v>1.10242483E8</v>
      </c>
      <c r="G3111" s="1">
        <v>2955335.0</v>
      </c>
      <c r="H3111" s="1">
        <v>12824.0</v>
      </c>
      <c r="I3111" s="1">
        <v>5.14E8</v>
      </c>
      <c r="J3111" s="1" t="s">
        <v>9050</v>
      </c>
    </row>
    <row r="3112">
      <c r="A3112" s="1" t="s">
        <v>9374</v>
      </c>
      <c r="B3112" s="1" t="s">
        <v>9375</v>
      </c>
      <c r="C3112" s="1" t="s">
        <v>9376</v>
      </c>
      <c r="D3112" s="1" t="s">
        <v>9048</v>
      </c>
      <c r="E3112" s="1" t="s">
        <v>9049</v>
      </c>
      <c r="F3112" s="1">
        <v>1.18169448E8</v>
      </c>
      <c r="G3112" s="1">
        <v>1748785.0</v>
      </c>
      <c r="H3112" s="1">
        <v>7265.0</v>
      </c>
      <c r="I3112" s="1">
        <v>5.14E8</v>
      </c>
      <c r="J3112" s="1" t="s">
        <v>9050</v>
      </c>
    </row>
    <row r="3113">
      <c r="A3113" s="1" t="s">
        <v>9377</v>
      </c>
      <c r="B3113" s="1" t="s">
        <v>9378</v>
      </c>
      <c r="C3113" s="1" t="s">
        <v>9379</v>
      </c>
      <c r="D3113" s="1" t="s">
        <v>9048</v>
      </c>
      <c r="E3113" s="1" t="s">
        <v>9049</v>
      </c>
      <c r="F3113" s="1">
        <v>2.00709161E8</v>
      </c>
      <c r="G3113" s="1">
        <v>5116250.0</v>
      </c>
      <c r="H3113" s="1">
        <v>21970.0</v>
      </c>
      <c r="I3113" s="1">
        <v>5.14E8</v>
      </c>
      <c r="J3113" s="1" t="s">
        <v>9050</v>
      </c>
    </row>
    <row r="3114">
      <c r="A3114" s="1" t="s">
        <v>9380</v>
      </c>
      <c r="B3114" s="1" t="s">
        <v>9381</v>
      </c>
      <c r="C3114" s="1" t="s">
        <v>9382</v>
      </c>
      <c r="D3114" s="1" t="s">
        <v>9048</v>
      </c>
      <c r="E3114" s="1" t="s">
        <v>9049</v>
      </c>
      <c r="F3114" s="1">
        <v>1.2772657E8</v>
      </c>
      <c r="G3114" s="1">
        <v>2452779.0</v>
      </c>
      <c r="H3114" s="1">
        <v>47314.0</v>
      </c>
      <c r="I3114" s="1">
        <v>5.14E8</v>
      </c>
      <c r="J3114" s="1" t="s">
        <v>9050</v>
      </c>
    </row>
    <row r="3115">
      <c r="A3115" s="1" t="s">
        <v>9383</v>
      </c>
      <c r="B3115" s="1" t="s">
        <v>9384</v>
      </c>
      <c r="C3115" s="1" t="s">
        <v>9385</v>
      </c>
      <c r="D3115" s="1" t="s">
        <v>9048</v>
      </c>
      <c r="E3115" s="1" t="s">
        <v>9049</v>
      </c>
      <c r="F3115" s="1">
        <v>5.68888577E8</v>
      </c>
      <c r="G3115" s="1">
        <v>8924600.0</v>
      </c>
      <c r="H3115" s="1">
        <v>14914.0</v>
      </c>
      <c r="I3115" s="1">
        <v>5.14E8</v>
      </c>
      <c r="J3115" s="1" t="s">
        <v>9050</v>
      </c>
    </row>
    <row r="3116">
      <c r="A3116" s="1" t="s">
        <v>9386</v>
      </c>
      <c r="B3116" s="1" t="s">
        <v>9387</v>
      </c>
      <c r="C3116" s="1" t="s">
        <v>9388</v>
      </c>
      <c r="D3116" s="1" t="s">
        <v>9048</v>
      </c>
      <c r="E3116" s="1" t="s">
        <v>9049</v>
      </c>
      <c r="F3116" s="1">
        <v>4.049975E8</v>
      </c>
      <c r="G3116" s="1">
        <v>5529346.0</v>
      </c>
      <c r="H3116" s="1">
        <v>14768.0</v>
      </c>
      <c r="I3116" s="1">
        <v>5.14E8</v>
      </c>
      <c r="J3116" s="1" t="s">
        <v>9050</v>
      </c>
    </row>
    <row r="3117">
      <c r="A3117" s="1" t="s">
        <v>9389</v>
      </c>
      <c r="B3117" s="1" t="s">
        <v>9390</v>
      </c>
      <c r="C3117" s="1" t="s">
        <v>9391</v>
      </c>
      <c r="D3117" s="1" t="s">
        <v>9048</v>
      </c>
      <c r="E3117" s="1" t="s">
        <v>9049</v>
      </c>
      <c r="F3117" s="1">
        <v>3.00812762E8</v>
      </c>
      <c r="G3117" s="1">
        <v>6995852.0</v>
      </c>
      <c r="H3117" s="1">
        <v>21678.0</v>
      </c>
      <c r="I3117" s="1">
        <v>5.14E8</v>
      </c>
      <c r="J3117" s="1" t="s">
        <v>9050</v>
      </c>
    </row>
    <row r="3118">
      <c r="A3118" s="1" t="s">
        <v>9392</v>
      </c>
      <c r="B3118" s="1" t="s">
        <v>9393</v>
      </c>
      <c r="C3118" s="1" t="s">
        <v>9394</v>
      </c>
      <c r="D3118" s="1" t="s">
        <v>9048</v>
      </c>
      <c r="E3118" s="1" t="s">
        <v>9049</v>
      </c>
      <c r="F3118" s="1">
        <v>1.82929806E8</v>
      </c>
      <c r="G3118" s="1">
        <v>2645120.0</v>
      </c>
      <c r="H3118" s="1">
        <v>7926.0</v>
      </c>
      <c r="I3118" s="1">
        <v>5.14E8</v>
      </c>
      <c r="J3118" s="1" t="s">
        <v>9050</v>
      </c>
    </row>
    <row r="3119">
      <c r="A3119" s="1" t="s">
        <v>9395</v>
      </c>
      <c r="B3119" s="1" t="s">
        <v>9396</v>
      </c>
      <c r="C3119" s="1" t="s">
        <v>9397</v>
      </c>
      <c r="D3119" s="1" t="s">
        <v>9048</v>
      </c>
      <c r="E3119" s="1" t="s">
        <v>9049</v>
      </c>
      <c r="F3119" s="1">
        <v>1.83657526E8</v>
      </c>
      <c r="G3119" s="1">
        <v>3744599.0</v>
      </c>
      <c r="H3119" s="1">
        <v>50764.0</v>
      </c>
      <c r="I3119" s="1">
        <v>5.14E8</v>
      </c>
      <c r="J3119" s="1" t="s">
        <v>9050</v>
      </c>
    </row>
    <row r="3120">
      <c r="A3120" s="1" t="s">
        <v>9398</v>
      </c>
      <c r="B3120" s="1" t="s">
        <v>9399</v>
      </c>
      <c r="C3120" s="1" t="s">
        <v>9400</v>
      </c>
      <c r="D3120" s="1" t="s">
        <v>9048</v>
      </c>
      <c r="E3120" s="1" t="s">
        <v>9049</v>
      </c>
      <c r="F3120" s="1">
        <v>1.28986285E8</v>
      </c>
      <c r="G3120" s="1">
        <v>2063017.0</v>
      </c>
      <c r="H3120" s="1">
        <v>17421.0</v>
      </c>
      <c r="I3120" s="1">
        <v>5.14E8</v>
      </c>
      <c r="J3120" s="1" t="s">
        <v>9050</v>
      </c>
    </row>
    <row r="3121">
      <c r="A3121" s="1" t="s">
        <v>9401</v>
      </c>
      <c r="B3121" s="1" t="s">
        <v>9402</v>
      </c>
      <c r="C3121" s="1" t="s">
        <v>9403</v>
      </c>
      <c r="D3121" s="1" t="s">
        <v>9048</v>
      </c>
      <c r="E3121" s="1" t="s">
        <v>9049</v>
      </c>
      <c r="F3121" s="1">
        <v>1.82281943E8</v>
      </c>
      <c r="G3121" s="1">
        <v>3492584.0</v>
      </c>
      <c r="H3121" s="1">
        <v>15379.0</v>
      </c>
      <c r="I3121" s="1">
        <v>5.14E8</v>
      </c>
      <c r="J3121" s="1" t="s">
        <v>9050</v>
      </c>
    </row>
    <row r="3122">
      <c r="A3122" s="1" t="s">
        <v>9404</v>
      </c>
      <c r="B3122" s="1" t="s">
        <v>9405</v>
      </c>
      <c r="C3122" s="1" t="s">
        <v>9406</v>
      </c>
      <c r="D3122" s="1" t="s">
        <v>9048</v>
      </c>
      <c r="E3122" s="1" t="s">
        <v>9049</v>
      </c>
      <c r="F3122" s="1">
        <v>2.518118E8</v>
      </c>
      <c r="G3122" s="1">
        <v>3600440.0</v>
      </c>
      <c r="H3122" s="1">
        <v>48715.0</v>
      </c>
      <c r="I3122" s="1">
        <v>5.14E8</v>
      </c>
      <c r="J3122" s="1" t="s">
        <v>9050</v>
      </c>
    </row>
    <row r="3123">
      <c r="A3123" s="1" t="s">
        <v>9407</v>
      </c>
      <c r="B3123" s="1" t="s">
        <v>9408</v>
      </c>
      <c r="C3123" s="1" t="s">
        <v>9409</v>
      </c>
      <c r="D3123" s="1" t="s">
        <v>9048</v>
      </c>
      <c r="E3123" s="1" t="s">
        <v>9049</v>
      </c>
      <c r="F3123" s="1">
        <v>1.15177806E8</v>
      </c>
      <c r="G3123" s="1">
        <v>1877686.0</v>
      </c>
      <c r="H3123" s="1">
        <v>6936.0</v>
      </c>
      <c r="I3123" s="1">
        <v>5.14E8</v>
      </c>
      <c r="J3123" s="1" t="s">
        <v>9050</v>
      </c>
    </row>
    <row r="3124">
      <c r="A3124" s="1" t="s">
        <v>9410</v>
      </c>
      <c r="B3124" s="1" t="s">
        <v>9411</v>
      </c>
      <c r="C3124" s="1" t="s">
        <v>9412</v>
      </c>
      <c r="D3124" s="1" t="s">
        <v>9048</v>
      </c>
      <c r="E3124" s="1" t="s">
        <v>9049</v>
      </c>
      <c r="F3124" s="1">
        <v>5.67336107E8</v>
      </c>
      <c r="G3124" s="1">
        <v>4410299.0</v>
      </c>
      <c r="H3124" s="1">
        <v>9079.0</v>
      </c>
      <c r="I3124" s="1">
        <v>5.14E8</v>
      </c>
      <c r="J3124" s="1" t="s">
        <v>9050</v>
      </c>
    </row>
    <row r="3125">
      <c r="A3125" s="1" t="s">
        <v>9413</v>
      </c>
      <c r="B3125" s="1" t="s">
        <v>9414</v>
      </c>
      <c r="C3125" s="1" t="s">
        <v>9415</v>
      </c>
      <c r="D3125" s="1" t="s">
        <v>9048</v>
      </c>
      <c r="E3125" s="1" t="s">
        <v>9049</v>
      </c>
      <c r="F3125" s="1">
        <v>2.72384109E8</v>
      </c>
      <c r="G3125" s="1">
        <v>7083594.0</v>
      </c>
      <c r="H3125" s="1">
        <v>123504.0</v>
      </c>
      <c r="I3125" s="1">
        <v>5.14E8</v>
      </c>
      <c r="J3125" s="1" t="s">
        <v>9050</v>
      </c>
    </row>
    <row r="3126">
      <c r="A3126" s="1" t="s">
        <v>9416</v>
      </c>
      <c r="B3126" s="1" t="s">
        <v>9417</v>
      </c>
      <c r="C3126" s="1" t="s">
        <v>9418</v>
      </c>
      <c r="D3126" s="1" t="s">
        <v>9048</v>
      </c>
      <c r="E3126" s="1" t="s">
        <v>9049</v>
      </c>
      <c r="F3126" s="1">
        <v>1.14447375E8</v>
      </c>
      <c r="G3126" s="1">
        <v>2640150.0</v>
      </c>
      <c r="H3126" s="1">
        <v>14852.0</v>
      </c>
      <c r="I3126" s="1">
        <v>5.14E8</v>
      </c>
      <c r="J3126" s="1" t="s">
        <v>9050</v>
      </c>
    </row>
    <row r="3127">
      <c r="A3127" s="1" t="s">
        <v>9419</v>
      </c>
      <c r="B3127" s="1" t="s">
        <v>9420</v>
      </c>
      <c r="C3127" s="1" t="s">
        <v>9421</v>
      </c>
      <c r="D3127" s="1" t="s">
        <v>9048</v>
      </c>
      <c r="E3127" s="1" t="s">
        <v>9049</v>
      </c>
      <c r="F3127" s="1">
        <v>5.43824909E8</v>
      </c>
      <c r="G3127" s="1">
        <v>8453523.0</v>
      </c>
      <c r="H3127" s="1">
        <v>27026.0</v>
      </c>
      <c r="I3127" s="1">
        <v>5.14E8</v>
      </c>
      <c r="J3127" s="1" t="s">
        <v>9050</v>
      </c>
    </row>
    <row r="3128">
      <c r="A3128" s="1" t="s">
        <v>9422</v>
      </c>
      <c r="B3128" s="1" t="s">
        <v>9423</v>
      </c>
      <c r="C3128" s="1" t="s">
        <v>9424</v>
      </c>
      <c r="D3128" s="1" t="s">
        <v>9048</v>
      </c>
      <c r="E3128" s="1" t="s">
        <v>9049</v>
      </c>
      <c r="F3128" s="1">
        <v>1.95281083E8</v>
      </c>
      <c r="G3128" s="1">
        <v>3658264.0</v>
      </c>
      <c r="H3128" s="1">
        <v>64039.0</v>
      </c>
      <c r="I3128" s="1">
        <v>5.14E8</v>
      </c>
      <c r="J3128" s="1" t="s">
        <v>9050</v>
      </c>
    </row>
    <row r="3129">
      <c r="A3129" s="1" t="s">
        <v>9425</v>
      </c>
      <c r="B3129" s="1" t="s">
        <v>9426</v>
      </c>
      <c r="C3129" s="1" t="s">
        <v>9427</v>
      </c>
      <c r="D3129" s="1" t="s">
        <v>9048</v>
      </c>
      <c r="E3129" s="1" t="s">
        <v>9049</v>
      </c>
      <c r="F3129" s="1">
        <v>9.17803088E8</v>
      </c>
      <c r="G3129" s="1">
        <v>8651822.0</v>
      </c>
      <c r="H3129" s="1">
        <v>22729.0</v>
      </c>
      <c r="I3129" s="1">
        <v>5.14E8</v>
      </c>
      <c r="J3129" s="1" t="s">
        <v>9050</v>
      </c>
    </row>
    <row r="3130">
      <c r="A3130" s="1" t="s">
        <v>9428</v>
      </c>
      <c r="B3130" s="1" t="s">
        <v>9429</v>
      </c>
      <c r="C3130" s="1" t="s">
        <v>9430</v>
      </c>
      <c r="D3130" s="1" t="s">
        <v>9048</v>
      </c>
      <c r="E3130" s="1" t="s">
        <v>9049</v>
      </c>
      <c r="F3130" s="1">
        <v>2.22610259E8</v>
      </c>
      <c r="G3130" s="1">
        <v>3928326.0</v>
      </c>
      <c r="H3130" s="1">
        <v>8402.0</v>
      </c>
      <c r="I3130" s="1">
        <v>5.14E8</v>
      </c>
      <c r="J3130" s="1" t="s">
        <v>9050</v>
      </c>
    </row>
    <row r="3131">
      <c r="A3131" s="1" t="s">
        <v>9431</v>
      </c>
      <c r="B3131" s="1" t="s">
        <v>9432</v>
      </c>
      <c r="C3131" s="1" t="s">
        <v>9433</v>
      </c>
      <c r="D3131" s="1" t="s">
        <v>9048</v>
      </c>
      <c r="E3131" s="1" t="s">
        <v>9049</v>
      </c>
      <c r="F3131" s="1">
        <v>2.01488148E8</v>
      </c>
      <c r="G3131" s="1">
        <v>3811724.0</v>
      </c>
      <c r="H3131" s="1">
        <v>84984.0</v>
      </c>
      <c r="I3131" s="1">
        <v>5.14E8</v>
      </c>
      <c r="J3131" s="1" t="s">
        <v>9050</v>
      </c>
    </row>
    <row r="3132">
      <c r="A3132" s="1" t="s">
        <v>9434</v>
      </c>
      <c r="B3132" s="1" t="s">
        <v>9435</v>
      </c>
      <c r="C3132" s="1" t="s">
        <v>9436</v>
      </c>
      <c r="D3132" s="1" t="s">
        <v>9048</v>
      </c>
      <c r="E3132" s="1" t="s">
        <v>9049</v>
      </c>
      <c r="F3132" s="1">
        <v>2.74659792E8</v>
      </c>
      <c r="G3132" s="1">
        <v>3682904.0</v>
      </c>
      <c r="H3132" s="1">
        <v>11350.0</v>
      </c>
      <c r="I3132" s="1">
        <v>5.14E8</v>
      </c>
      <c r="J3132" s="1" t="s">
        <v>9050</v>
      </c>
    </row>
    <row r="3133">
      <c r="A3133" s="1" t="s">
        <v>9437</v>
      </c>
      <c r="B3133" s="1" t="s">
        <v>9438</v>
      </c>
      <c r="C3133" s="1" t="s">
        <v>9439</v>
      </c>
      <c r="D3133" s="1" t="s">
        <v>9048</v>
      </c>
      <c r="E3133" s="1" t="s">
        <v>9049</v>
      </c>
      <c r="F3133" s="1">
        <v>9.57139438E8</v>
      </c>
      <c r="G3133" s="1">
        <v>9981651.0</v>
      </c>
      <c r="H3133" s="1">
        <v>35446.0</v>
      </c>
      <c r="I3133" s="1">
        <v>5.14E8</v>
      </c>
      <c r="J3133" s="1" t="s">
        <v>9050</v>
      </c>
    </row>
    <row r="3134">
      <c r="A3134" s="1" t="s">
        <v>9440</v>
      </c>
      <c r="B3134" s="1" t="s">
        <v>9441</v>
      </c>
      <c r="C3134" s="1" t="s">
        <v>9442</v>
      </c>
      <c r="D3134" s="1" t="s">
        <v>9048</v>
      </c>
      <c r="E3134" s="1" t="s">
        <v>9049</v>
      </c>
      <c r="F3134" s="1">
        <v>1.41728063E8</v>
      </c>
      <c r="G3134" s="1">
        <v>3110124.0</v>
      </c>
      <c r="H3134" s="1">
        <v>78680.0</v>
      </c>
      <c r="I3134" s="1">
        <v>5.14E8</v>
      </c>
      <c r="J3134" s="1" t="s">
        <v>9050</v>
      </c>
    </row>
    <row r="3135">
      <c r="A3135" s="1" t="s">
        <v>9443</v>
      </c>
      <c r="B3135" s="1" t="s">
        <v>9444</v>
      </c>
      <c r="C3135" s="1" t="s">
        <v>9445</v>
      </c>
      <c r="D3135" s="1" t="s">
        <v>9048</v>
      </c>
      <c r="E3135" s="1" t="s">
        <v>9049</v>
      </c>
      <c r="F3135" s="1">
        <v>9.5317184E7</v>
      </c>
      <c r="G3135" s="1">
        <v>4446623.0</v>
      </c>
      <c r="H3135" s="1">
        <v>172697.0</v>
      </c>
      <c r="I3135" s="1">
        <v>5.14E8</v>
      </c>
      <c r="J3135" s="1" t="s">
        <v>9050</v>
      </c>
    </row>
    <row r="3136">
      <c r="A3136" s="1" t="s">
        <v>9446</v>
      </c>
      <c r="B3136" s="1" t="s">
        <v>9447</v>
      </c>
      <c r="C3136" s="1" t="s">
        <v>9448</v>
      </c>
      <c r="D3136" s="1" t="s">
        <v>9048</v>
      </c>
      <c r="E3136" s="1" t="s">
        <v>9049</v>
      </c>
      <c r="F3136" s="1">
        <v>6.4839648E7</v>
      </c>
      <c r="G3136" s="1">
        <v>1881054.0</v>
      </c>
      <c r="H3136" s="1">
        <v>9211.0</v>
      </c>
      <c r="I3136" s="1">
        <v>5.14E8</v>
      </c>
      <c r="J3136" s="1" t="s">
        <v>9050</v>
      </c>
    </row>
    <row r="3137">
      <c r="A3137" s="1" t="s">
        <v>9449</v>
      </c>
      <c r="B3137" s="1" t="s">
        <v>9450</v>
      </c>
      <c r="C3137" s="1" t="s">
        <v>9451</v>
      </c>
      <c r="D3137" s="1" t="s">
        <v>9048</v>
      </c>
      <c r="E3137" s="1" t="s">
        <v>9049</v>
      </c>
      <c r="F3137" s="1">
        <v>3.63531511E8</v>
      </c>
      <c r="G3137" s="1">
        <v>6484048.0</v>
      </c>
      <c r="H3137" s="1">
        <v>16582.0</v>
      </c>
      <c r="I3137" s="1">
        <v>5.14E8</v>
      </c>
      <c r="J3137" s="1" t="s">
        <v>9050</v>
      </c>
    </row>
    <row r="3138">
      <c r="A3138" s="1" t="s">
        <v>9452</v>
      </c>
      <c r="B3138" s="1" t="s">
        <v>9453</v>
      </c>
      <c r="C3138" s="1" t="s">
        <v>9454</v>
      </c>
      <c r="D3138" s="1" t="s">
        <v>9048</v>
      </c>
      <c r="E3138" s="1" t="s">
        <v>9049</v>
      </c>
      <c r="F3138" s="1">
        <v>5.01510217E8</v>
      </c>
      <c r="G3138" s="1">
        <v>1.077391E7</v>
      </c>
      <c r="H3138" s="1">
        <v>33883.0</v>
      </c>
      <c r="I3138" s="1">
        <v>5.14E8</v>
      </c>
      <c r="J3138" s="1" t="s">
        <v>9050</v>
      </c>
    </row>
    <row r="3139">
      <c r="A3139" s="1" t="s">
        <v>9455</v>
      </c>
      <c r="B3139" s="1" t="s">
        <v>9456</v>
      </c>
      <c r="C3139" s="1" t="s">
        <v>9457</v>
      </c>
      <c r="D3139" s="1" t="s">
        <v>9048</v>
      </c>
      <c r="E3139" s="1" t="s">
        <v>9049</v>
      </c>
      <c r="F3139" s="1">
        <v>2.16629928E8</v>
      </c>
      <c r="G3139" s="1">
        <v>3306417.0</v>
      </c>
      <c r="H3139" s="1">
        <v>43793.0</v>
      </c>
      <c r="I3139" s="1">
        <v>5.14E8</v>
      </c>
      <c r="J3139" s="1" t="s">
        <v>9050</v>
      </c>
    </row>
    <row r="3140">
      <c r="A3140" s="1" t="s">
        <v>9458</v>
      </c>
      <c r="B3140" s="1" t="s">
        <v>9429</v>
      </c>
      <c r="C3140" s="1" t="s">
        <v>9459</v>
      </c>
      <c r="D3140" s="1" t="s">
        <v>9048</v>
      </c>
      <c r="E3140" s="1" t="s">
        <v>9049</v>
      </c>
      <c r="F3140" s="1">
        <v>2.81965317E8</v>
      </c>
      <c r="G3140" s="1">
        <v>2618694.0</v>
      </c>
      <c r="H3140" s="1">
        <v>5658.0</v>
      </c>
      <c r="I3140" s="1">
        <v>5.14E8</v>
      </c>
      <c r="J3140" s="1" t="s">
        <v>9050</v>
      </c>
    </row>
    <row r="3141">
      <c r="A3141" s="1" t="s">
        <v>9460</v>
      </c>
      <c r="B3141" s="1" t="s">
        <v>9461</v>
      </c>
      <c r="C3141" s="1" t="s">
        <v>9462</v>
      </c>
      <c r="D3141" s="1" t="s">
        <v>9048</v>
      </c>
      <c r="E3141" s="1" t="s">
        <v>9049</v>
      </c>
      <c r="F3141" s="1">
        <v>6.66238181E8</v>
      </c>
      <c r="G3141" s="1">
        <v>7152090.0</v>
      </c>
      <c r="H3141" s="1">
        <v>6409.0</v>
      </c>
      <c r="I3141" s="1">
        <v>5.14E8</v>
      </c>
      <c r="J3141" s="1" t="s">
        <v>9050</v>
      </c>
    </row>
    <row r="3142">
      <c r="A3142" s="1" t="s">
        <v>9463</v>
      </c>
      <c r="B3142" s="1" t="s">
        <v>9464</v>
      </c>
      <c r="C3142" s="1" t="s">
        <v>9465</v>
      </c>
      <c r="D3142" s="1" t="s">
        <v>9048</v>
      </c>
      <c r="E3142" s="1" t="s">
        <v>9049</v>
      </c>
      <c r="F3142" s="1">
        <v>5.84965345E8</v>
      </c>
      <c r="G3142" s="1">
        <v>7285589.0</v>
      </c>
      <c r="H3142" s="1">
        <v>12326.0</v>
      </c>
      <c r="I3142" s="1">
        <v>5.14E8</v>
      </c>
      <c r="J3142" s="1" t="s">
        <v>9050</v>
      </c>
    </row>
    <row r="3143">
      <c r="A3143" s="1" t="s">
        <v>9466</v>
      </c>
      <c r="B3143" s="1" t="s">
        <v>9467</v>
      </c>
      <c r="C3143" s="1" t="s">
        <v>9468</v>
      </c>
      <c r="D3143" s="1" t="s">
        <v>9048</v>
      </c>
      <c r="E3143" s="1" t="s">
        <v>9049</v>
      </c>
      <c r="F3143" s="1">
        <v>7.9005043E7</v>
      </c>
      <c r="G3143" s="1">
        <v>4272013.0</v>
      </c>
      <c r="H3143" s="1">
        <v>73513.0</v>
      </c>
      <c r="I3143" s="1">
        <v>5.14E8</v>
      </c>
      <c r="J3143" s="1" t="s">
        <v>9050</v>
      </c>
    </row>
    <row r="3144">
      <c r="A3144" s="1" t="s">
        <v>9469</v>
      </c>
      <c r="B3144" s="1" t="s">
        <v>9470</v>
      </c>
      <c r="C3144" s="1" t="s">
        <v>9471</v>
      </c>
      <c r="D3144" s="1" t="s">
        <v>9048</v>
      </c>
      <c r="E3144" s="1" t="s">
        <v>9049</v>
      </c>
      <c r="F3144" s="1">
        <v>1.16572907E8</v>
      </c>
      <c r="G3144" s="1">
        <v>4323264.0</v>
      </c>
      <c r="H3144" s="1">
        <v>27760.0</v>
      </c>
      <c r="I3144" s="1">
        <v>5.14E8</v>
      </c>
      <c r="J3144" s="1" t="s">
        <v>9050</v>
      </c>
    </row>
    <row r="3145">
      <c r="A3145" s="1" t="s">
        <v>9472</v>
      </c>
      <c r="B3145" s="1" t="s">
        <v>9473</v>
      </c>
      <c r="C3145" s="1" t="s">
        <v>9474</v>
      </c>
      <c r="D3145" s="1" t="s">
        <v>9048</v>
      </c>
      <c r="E3145" s="1" t="s">
        <v>9049</v>
      </c>
      <c r="F3145" s="1">
        <v>1.95778165E8</v>
      </c>
      <c r="G3145" s="1">
        <v>2959938.0</v>
      </c>
      <c r="H3145" s="1">
        <v>9858.0</v>
      </c>
      <c r="I3145" s="1">
        <v>5.14E8</v>
      </c>
      <c r="J3145" s="1" t="s">
        <v>9050</v>
      </c>
    </row>
    <row r="3146">
      <c r="A3146" s="1" t="s">
        <v>9475</v>
      </c>
      <c r="B3146" s="1" t="s">
        <v>9476</v>
      </c>
      <c r="C3146" s="1" t="s">
        <v>9477</v>
      </c>
      <c r="D3146" s="1" t="s">
        <v>9048</v>
      </c>
      <c r="E3146" s="1" t="s">
        <v>9049</v>
      </c>
      <c r="F3146" s="1">
        <v>7.2513881E7</v>
      </c>
      <c r="G3146" s="1">
        <v>1592489.0</v>
      </c>
      <c r="H3146" s="1">
        <v>7506.0</v>
      </c>
      <c r="I3146" s="1">
        <v>5.14E8</v>
      </c>
      <c r="J3146" s="1" t="s">
        <v>9050</v>
      </c>
    </row>
    <row r="3147">
      <c r="A3147" s="1" t="s">
        <v>9478</v>
      </c>
      <c r="B3147" s="1" t="s">
        <v>9479</v>
      </c>
      <c r="C3147" s="1" t="s">
        <v>9480</v>
      </c>
      <c r="D3147" s="1" t="s">
        <v>9048</v>
      </c>
      <c r="E3147" s="1" t="s">
        <v>9049</v>
      </c>
      <c r="F3147" s="1">
        <v>1.17202058E8</v>
      </c>
      <c r="G3147" s="1">
        <v>2046444.0</v>
      </c>
      <c r="H3147" s="1">
        <v>10561.0</v>
      </c>
      <c r="I3147" s="1">
        <v>5.14E8</v>
      </c>
      <c r="J3147" s="1" t="s">
        <v>9050</v>
      </c>
    </row>
    <row r="3148">
      <c r="A3148" s="1" t="s">
        <v>9481</v>
      </c>
      <c r="B3148" s="1" t="s">
        <v>9482</v>
      </c>
      <c r="C3148" s="1" t="s">
        <v>9483</v>
      </c>
      <c r="D3148" s="1" t="s">
        <v>9048</v>
      </c>
      <c r="E3148" s="1" t="s">
        <v>9049</v>
      </c>
      <c r="F3148" s="1">
        <v>6.66876961E8</v>
      </c>
      <c r="G3148" s="1">
        <v>1.3650478E7</v>
      </c>
      <c r="H3148" s="1">
        <v>13640.0</v>
      </c>
      <c r="I3148" s="1">
        <v>5.14E8</v>
      </c>
      <c r="J3148" s="1" t="s">
        <v>9050</v>
      </c>
    </row>
    <row r="3149">
      <c r="A3149" s="1" t="s">
        <v>9484</v>
      </c>
      <c r="B3149" s="1" t="s">
        <v>9485</v>
      </c>
      <c r="C3149" s="1" t="s">
        <v>9486</v>
      </c>
      <c r="D3149" s="1" t="s">
        <v>9048</v>
      </c>
      <c r="E3149" s="1" t="s">
        <v>9049</v>
      </c>
      <c r="F3149" s="1">
        <v>1.92962104E8</v>
      </c>
      <c r="G3149" s="1">
        <v>3372250.0</v>
      </c>
      <c r="H3149" s="1">
        <v>55844.0</v>
      </c>
      <c r="I3149" s="1">
        <v>5.14E8</v>
      </c>
      <c r="J3149" s="1" t="s">
        <v>9050</v>
      </c>
    </row>
    <row r="3150">
      <c r="A3150" s="1" t="s">
        <v>9487</v>
      </c>
      <c r="B3150" s="1" t="s">
        <v>9488</v>
      </c>
      <c r="C3150" s="1" t="s">
        <v>9489</v>
      </c>
      <c r="D3150" s="1" t="s">
        <v>9048</v>
      </c>
      <c r="E3150" s="1" t="s">
        <v>9049</v>
      </c>
      <c r="F3150" s="1">
        <v>4.30128352E8</v>
      </c>
      <c r="G3150" s="1">
        <v>9087053.0</v>
      </c>
      <c r="H3150" s="1">
        <v>26626.0</v>
      </c>
      <c r="I3150" s="1">
        <v>5.14E8</v>
      </c>
      <c r="J3150" s="1" t="s">
        <v>9050</v>
      </c>
    </row>
    <row r="3151">
      <c r="A3151" s="1" t="s">
        <v>9490</v>
      </c>
      <c r="B3151" s="1" t="s">
        <v>9491</v>
      </c>
      <c r="C3151" s="1" t="s">
        <v>9492</v>
      </c>
      <c r="D3151" s="1" t="s">
        <v>9048</v>
      </c>
      <c r="E3151" s="1" t="s">
        <v>9049</v>
      </c>
      <c r="F3151" s="1">
        <v>1.24165504E8</v>
      </c>
      <c r="G3151" s="1">
        <v>2652076.0</v>
      </c>
      <c r="H3151" s="1">
        <v>7532.0</v>
      </c>
      <c r="I3151" s="1">
        <v>5.14E8</v>
      </c>
      <c r="J3151" s="1" t="s">
        <v>9050</v>
      </c>
    </row>
    <row r="3152">
      <c r="A3152" s="1" t="s">
        <v>9493</v>
      </c>
      <c r="B3152" s="1" t="s">
        <v>9494</v>
      </c>
      <c r="C3152" s="1" t="s">
        <v>9495</v>
      </c>
      <c r="D3152" s="1" t="s">
        <v>9048</v>
      </c>
      <c r="E3152" s="1" t="s">
        <v>9049</v>
      </c>
      <c r="F3152" s="1">
        <v>1.69335553E8</v>
      </c>
      <c r="G3152" s="1">
        <v>4309602.0</v>
      </c>
      <c r="H3152" s="1">
        <v>9260.0</v>
      </c>
      <c r="I3152" s="1">
        <v>5.14E8</v>
      </c>
      <c r="J3152" s="1" t="s">
        <v>9050</v>
      </c>
    </row>
    <row r="3153">
      <c r="A3153" s="1" t="s">
        <v>9496</v>
      </c>
      <c r="B3153" s="1" t="s">
        <v>9497</v>
      </c>
      <c r="C3153" s="1" t="s">
        <v>9498</v>
      </c>
      <c r="D3153" s="1" t="s">
        <v>9048</v>
      </c>
      <c r="E3153" s="1" t="s">
        <v>9049</v>
      </c>
      <c r="F3153" s="1">
        <v>2.2360187E8</v>
      </c>
      <c r="G3153" s="1">
        <v>3335162.0</v>
      </c>
      <c r="H3153" s="1">
        <v>89361.0</v>
      </c>
      <c r="I3153" s="1">
        <v>5.14E8</v>
      </c>
      <c r="J3153" s="1" t="s">
        <v>9050</v>
      </c>
    </row>
    <row r="3154">
      <c r="A3154" s="1" t="s">
        <v>9499</v>
      </c>
      <c r="B3154" s="1" t="s">
        <v>9500</v>
      </c>
      <c r="C3154" s="1" t="s">
        <v>9501</v>
      </c>
      <c r="D3154" s="1" t="s">
        <v>9048</v>
      </c>
      <c r="E3154" s="1" t="s">
        <v>9049</v>
      </c>
      <c r="F3154" s="1">
        <v>7.09227055E8</v>
      </c>
      <c r="G3154" s="1">
        <v>1.2854557E7</v>
      </c>
      <c r="H3154" s="1">
        <v>14431.0</v>
      </c>
      <c r="I3154" s="1">
        <v>5.14E8</v>
      </c>
      <c r="J3154" s="1" t="s">
        <v>9050</v>
      </c>
    </row>
    <row r="3155">
      <c r="A3155" s="1" t="s">
        <v>9502</v>
      </c>
      <c r="B3155" s="1" t="s">
        <v>9503</v>
      </c>
      <c r="C3155" s="1" t="s">
        <v>9504</v>
      </c>
      <c r="D3155" s="1" t="s">
        <v>9048</v>
      </c>
      <c r="E3155" s="1" t="s">
        <v>9049</v>
      </c>
      <c r="F3155" s="1">
        <v>4.34133305E8</v>
      </c>
      <c r="G3155" s="1">
        <v>8278234.0</v>
      </c>
      <c r="H3155" s="1">
        <v>10493.0</v>
      </c>
      <c r="I3155" s="1">
        <v>5.14E8</v>
      </c>
      <c r="J3155" s="1" t="s">
        <v>9050</v>
      </c>
    </row>
    <row r="3156">
      <c r="A3156" s="1" t="s">
        <v>9505</v>
      </c>
      <c r="B3156" s="1" t="s">
        <v>9506</v>
      </c>
      <c r="C3156" s="1" t="s">
        <v>9507</v>
      </c>
      <c r="D3156" s="1" t="s">
        <v>9048</v>
      </c>
      <c r="E3156" s="1" t="s">
        <v>9049</v>
      </c>
      <c r="F3156" s="1">
        <v>8.59322483E8</v>
      </c>
      <c r="G3156" s="1">
        <v>1.8721921E7</v>
      </c>
      <c r="H3156" s="1">
        <v>17652.0</v>
      </c>
      <c r="I3156" s="1">
        <v>5.14E8</v>
      </c>
      <c r="J3156" s="1" t="s">
        <v>9050</v>
      </c>
    </row>
    <row r="3157">
      <c r="A3157" s="1" t="s">
        <v>9508</v>
      </c>
      <c r="B3157" s="1" t="s">
        <v>9509</v>
      </c>
      <c r="C3157" s="1" t="s">
        <v>9510</v>
      </c>
      <c r="D3157" s="1" t="s">
        <v>9048</v>
      </c>
      <c r="E3157" s="1" t="s">
        <v>9049</v>
      </c>
      <c r="F3157" s="1">
        <v>6.23220973E8</v>
      </c>
      <c r="G3157" s="1">
        <v>8666487.0</v>
      </c>
      <c r="H3157" s="1">
        <v>12255.0</v>
      </c>
      <c r="I3157" s="1">
        <v>5.14E8</v>
      </c>
      <c r="J3157" s="1" t="s">
        <v>9050</v>
      </c>
    </row>
    <row r="3158">
      <c r="A3158" s="1" t="s">
        <v>9511</v>
      </c>
      <c r="B3158" s="1" t="s">
        <v>9512</v>
      </c>
      <c r="C3158" s="1" t="s">
        <v>9513</v>
      </c>
      <c r="D3158" s="1" t="s">
        <v>9048</v>
      </c>
      <c r="E3158" s="1" t="s">
        <v>9049</v>
      </c>
      <c r="F3158" s="1">
        <v>2.54293819E8</v>
      </c>
      <c r="G3158" s="1">
        <v>5461063.0</v>
      </c>
      <c r="H3158" s="1">
        <v>101986.0</v>
      </c>
      <c r="I3158" s="1">
        <v>5.14E8</v>
      </c>
      <c r="J3158" s="1" t="s">
        <v>9050</v>
      </c>
    </row>
    <row r="3159">
      <c r="A3159" s="1" t="s">
        <v>9514</v>
      </c>
      <c r="B3159" s="1" t="s">
        <v>9515</v>
      </c>
      <c r="C3159" s="1" t="s">
        <v>9516</v>
      </c>
      <c r="D3159" s="1" t="s">
        <v>9048</v>
      </c>
      <c r="E3159" s="1" t="s">
        <v>9049</v>
      </c>
      <c r="F3159" s="1">
        <v>1.80028885E8</v>
      </c>
      <c r="G3159" s="1">
        <v>3277122.0</v>
      </c>
      <c r="H3159" s="1">
        <v>78742.0</v>
      </c>
      <c r="I3159" s="1">
        <v>5.14E8</v>
      </c>
      <c r="J3159" s="1" t="s">
        <v>9050</v>
      </c>
    </row>
    <row r="3160">
      <c r="A3160" s="1" t="s">
        <v>9517</v>
      </c>
      <c r="B3160" s="1" t="s">
        <v>9518</v>
      </c>
      <c r="C3160" s="1" t="s">
        <v>9519</v>
      </c>
      <c r="D3160" s="1" t="s">
        <v>9048</v>
      </c>
      <c r="E3160" s="1" t="s">
        <v>9049</v>
      </c>
      <c r="F3160" s="1">
        <v>6.71994183E8</v>
      </c>
      <c r="G3160" s="1">
        <v>1.4063299E7</v>
      </c>
      <c r="H3160" s="1">
        <v>19468.0</v>
      </c>
      <c r="I3160" s="1">
        <v>5.14E8</v>
      </c>
      <c r="J3160" s="1" t="s">
        <v>9050</v>
      </c>
    </row>
    <row r="3161">
      <c r="A3161" s="1" t="s">
        <v>9520</v>
      </c>
      <c r="B3161" s="1" t="s">
        <v>9521</v>
      </c>
      <c r="C3161" s="1" t="s">
        <v>9522</v>
      </c>
      <c r="D3161" s="1" t="s">
        <v>9048</v>
      </c>
      <c r="E3161" s="1" t="s">
        <v>9049</v>
      </c>
      <c r="F3161" s="1">
        <v>2.97847871E8</v>
      </c>
      <c r="G3161" s="1">
        <v>2.8086804E7</v>
      </c>
      <c r="H3161" s="1">
        <v>242428.0</v>
      </c>
      <c r="I3161" s="1">
        <v>5.14E8</v>
      </c>
      <c r="J3161" s="1" t="s">
        <v>9050</v>
      </c>
    </row>
    <row r="3162">
      <c r="A3162" s="1" t="s">
        <v>9523</v>
      </c>
      <c r="B3162" s="1" t="s">
        <v>9524</v>
      </c>
      <c r="C3162" s="1" t="s">
        <v>9525</v>
      </c>
      <c r="D3162" s="1" t="s">
        <v>9048</v>
      </c>
      <c r="E3162" s="1" t="s">
        <v>9049</v>
      </c>
      <c r="F3162" s="1">
        <v>1.52714046E8</v>
      </c>
      <c r="G3162" s="1">
        <v>3041642.0</v>
      </c>
      <c r="H3162" s="1">
        <v>56390.0</v>
      </c>
      <c r="I3162" s="1">
        <v>5.14E8</v>
      </c>
      <c r="J3162" s="1" t="s">
        <v>9050</v>
      </c>
    </row>
    <row r="3163">
      <c r="A3163" s="1" t="s">
        <v>9526</v>
      </c>
      <c r="B3163" s="1" t="s">
        <v>9527</v>
      </c>
      <c r="C3163" s="1" t="s">
        <v>9528</v>
      </c>
      <c r="D3163" s="1" t="s">
        <v>9048</v>
      </c>
      <c r="E3163" s="1" t="s">
        <v>9049</v>
      </c>
      <c r="F3163" s="1">
        <v>2.64860915E8</v>
      </c>
      <c r="G3163" s="1">
        <v>4234606.0</v>
      </c>
      <c r="H3163" s="1">
        <v>5976.0</v>
      </c>
      <c r="I3163" s="1">
        <v>5.14E8</v>
      </c>
      <c r="J3163" s="1" t="s">
        <v>9050</v>
      </c>
    </row>
    <row r="3164">
      <c r="A3164" s="1" t="s">
        <v>9529</v>
      </c>
      <c r="B3164" s="1" t="s">
        <v>9530</v>
      </c>
      <c r="C3164" s="1" t="s">
        <v>9531</v>
      </c>
      <c r="D3164" s="1" t="s">
        <v>9048</v>
      </c>
      <c r="E3164" s="1" t="s">
        <v>9049</v>
      </c>
      <c r="F3164" s="1">
        <v>7.04089428E8</v>
      </c>
      <c r="G3164" s="1">
        <v>1.3329705E7</v>
      </c>
      <c r="H3164" s="1">
        <v>36773.0</v>
      </c>
      <c r="I3164" s="1">
        <v>5.14E8</v>
      </c>
      <c r="J3164" s="1" t="s">
        <v>9050</v>
      </c>
    </row>
    <row r="3165">
      <c r="A3165" s="1" t="s">
        <v>9532</v>
      </c>
      <c r="B3165" s="1" t="s">
        <v>9533</v>
      </c>
      <c r="C3165" s="1" t="s">
        <v>9534</v>
      </c>
      <c r="D3165" s="1" t="s">
        <v>9048</v>
      </c>
      <c r="E3165" s="1" t="s">
        <v>9049</v>
      </c>
      <c r="F3165" s="1">
        <v>7.85349597E8</v>
      </c>
      <c r="G3165" s="1">
        <v>1.4440931E7</v>
      </c>
      <c r="H3165" s="1">
        <v>12034.0</v>
      </c>
      <c r="I3165" s="1">
        <v>5.14E8</v>
      </c>
      <c r="J3165" s="1" t="s">
        <v>9050</v>
      </c>
    </row>
    <row r="3166">
      <c r="A3166" s="1" t="s">
        <v>9535</v>
      </c>
      <c r="B3166" s="1" t="s">
        <v>9536</v>
      </c>
      <c r="C3166" s="1" t="s">
        <v>9537</v>
      </c>
      <c r="D3166" s="1" t="s">
        <v>9048</v>
      </c>
      <c r="E3166" s="1" t="s">
        <v>9049</v>
      </c>
      <c r="F3166" s="1">
        <v>2.05929832E8</v>
      </c>
      <c r="G3166" s="1">
        <v>4682142.0</v>
      </c>
      <c r="H3166" s="1">
        <v>51992.0</v>
      </c>
      <c r="I3166" s="1">
        <v>5.14E8</v>
      </c>
      <c r="J3166" s="1" t="s">
        <v>9050</v>
      </c>
    </row>
    <row r="3167">
      <c r="A3167" s="1" t="s">
        <v>9538</v>
      </c>
      <c r="B3167" s="1" t="s">
        <v>9539</v>
      </c>
      <c r="C3167" s="1" t="s">
        <v>9540</v>
      </c>
      <c r="D3167" s="1" t="s">
        <v>9048</v>
      </c>
      <c r="E3167" s="1" t="s">
        <v>9049</v>
      </c>
      <c r="F3167" s="1">
        <v>7.92710184E8</v>
      </c>
      <c r="G3167" s="1">
        <v>1.9622804E7</v>
      </c>
      <c r="H3167" s="1">
        <v>18089.0</v>
      </c>
      <c r="I3167" s="1">
        <v>5.14E8</v>
      </c>
      <c r="J3167" s="1" t="s">
        <v>9050</v>
      </c>
    </row>
    <row r="3168">
      <c r="A3168" s="1" t="s">
        <v>9541</v>
      </c>
      <c r="B3168" s="1" t="s">
        <v>9542</v>
      </c>
      <c r="C3168" s="1" t="s">
        <v>9543</v>
      </c>
      <c r="D3168" s="1" t="s">
        <v>9048</v>
      </c>
      <c r="E3168" s="1" t="s">
        <v>9049</v>
      </c>
      <c r="F3168" s="1">
        <v>3.29044631E8</v>
      </c>
      <c r="G3168" s="1">
        <v>9492414.0</v>
      </c>
      <c r="H3168" s="1">
        <v>21136.0</v>
      </c>
      <c r="I3168" s="1">
        <v>5.14E8</v>
      </c>
      <c r="J3168" s="1" t="s">
        <v>9050</v>
      </c>
    </row>
    <row r="3169">
      <c r="A3169" s="1" t="s">
        <v>9544</v>
      </c>
      <c r="B3169" s="1" t="s">
        <v>9545</v>
      </c>
      <c r="C3169" s="1" t="s">
        <v>9546</v>
      </c>
      <c r="D3169" s="1" t="s">
        <v>9048</v>
      </c>
      <c r="E3169" s="1" t="s">
        <v>9049</v>
      </c>
      <c r="F3169" s="1">
        <v>4.46163995E8</v>
      </c>
      <c r="G3169" s="1">
        <v>9962984.0</v>
      </c>
      <c r="H3169" s="1">
        <v>40539.0</v>
      </c>
      <c r="I3169" s="1">
        <v>5.14E8</v>
      </c>
      <c r="J3169" s="1" t="s">
        <v>9050</v>
      </c>
    </row>
    <row r="3170">
      <c r="A3170" s="1" t="s">
        <v>9547</v>
      </c>
      <c r="B3170" s="1" t="s">
        <v>9548</v>
      </c>
      <c r="C3170" s="1" t="s">
        <v>9549</v>
      </c>
      <c r="D3170" s="1" t="s">
        <v>9048</v>
      </c>
      <c r="E3170" s="1" t="s">
        <v>9049</v>
      </c>
      <c r="F3170" s="1">
        <v>3.98161619E8</v>
      </c>
      <c r="G3170" s="1">
        <v>8592110.0</v>
      </c>
      <c r="H3170" s="1">
        <v>125332.0</v>
      </c>
      <c r="I3170" s="1">
        <v>5.14E8</v>
      </c>
      <c r="J3170" s="1" t="s">
        <v>9050</v>
      </c>
    </row>
    <row r="3171">
      <c r="A3171" s="1" t="s">
        <v>9550</v>
      </c>
      <c r="B3171" s="1" t="s">
        <v>9551</v>
      </c>
      <c r="C3171" s="1" t="s">
        <v>9552</v>
      </c>
      <c r="D3171" s="1" t="s">
        <v>9048</v>
      </c>
      <c r="E3171" s="1" t="s">
        <v>9049</v>
      </c>
      <c r="F3171" s="1">
        <v>3.05512929E8</v>
      </c>
      <c r="G3171" s="1">
        <v>1.3925009E7</v>
      </c>
      <c r="H3171" s="1">
        <v>37919.0</v>
      </c>
      <c r="I3171" s="1">
        <v>5.14E8</v>
      </c>
      <c r="J3171" s="1" t="s">
        <v>9050</v>
      </c>
    </row>
    <row r="3172">
      <c r="A3172" s="1" t="s">
        <v>9553</v>
      </c>
      <c r="B3172" s="1" t="s">
        <v>9554</v>
      </c>
      <c r="C3172" s="1" t="s">
        <v>9555</v>
      </c>
      <c r="D3172" s="1" t="s">
        <v>9048</v>
      </c>
      <c r="E3172" s="1" t="s">
        <v>9049</v>
      </c>
      <c r="F3172" s="1">
        <v>6.30885243E8</v>
      </c>
      <c r="G3172" s="1">
        <v>1.1466241E7</v>
      </c>
      <c r="H3172" s="1">
        <v>16251.0</v>
      </c>
      <c r="I3172" s="1">
        <v>5.14E8</v>
      </c>
      <c r="J3172" s="1" t="s">
        <v>9050</v>
      </c>
    </row>
    <row r="3173">
      <c r="A3173" s="1" t="s">
        <v>9556</v>
      </c>
      <c r="B3173" s="1" t="s">
        <v>9557</v>
      </c>
      <c r="C3173" s="1" t="s">
        <v>9558</v>
      </c>
      <c r="D3173" s="1" t="s">
        <v>9048</v>
      </c>
      <c r="E3173" s="1" t="s">
        <v>9049</v>
      </c>
      <c r="F3173" s="1">
        <v>4.45140471E8</v>
      </c>
      <c r="G3173" s="1">
        <v>7003204.0</v>
      </c>
      <c r="H3173" s="1">
        <v>2721.0</v>
      </c>
      <c r="I3173" s="1">
        <v>5.14E8</v>
      </c>
      <c r="J3173" s="1" t="s">
        <v>9050</v>
      </c>
    </row>
    <row r="3174">
      <c r="A3174" s="1" t="s">
        <v>9559</v>
      </c>
      <c r="B3174" s="1" t="s">
        <v>9560</v>
      </c>
      <c r="C3174" s="1" t="s">
        <v>9561</v>
      </c>
      <c r="D3174" s="1" t="s">
        <v>9048</v>
      </c>
      <c r="E3174" s="1" t="s">
        <v>9049</v>
      </c>
      <c r="F3174" s="1">
        <v>7.6462283E8</v>
      </c>
      <c r="G3174" s="1">
        <v>1.3804879E7</v>
      </c>
      <c r="H3174" s="1">
        <v>10412.0</v>
      </c>
      <c r="I3174" s="1">
        <v>5.14E8</v>
      </c>
      <c r="J3174" s="1" t="s">
        <v>9050</v>
      </c>
    </row>
    <row r="3175">
      <c r="A3175" s="1" t="s">
        <v>9562</v>
      </c>
      <c r="B3175" s="1" t="s">
        <v>9563</v>
      </c>
      <c r="C3175" s="1" t="s">
        <v>9564</v>
      </c>
      <c r="D3175" s="1" t="s">
        <v>9048</v>
      </c>
      <c r="E3175" s="1" t="s">
        <v>9049</v>
      </c>
      <c r="F3175" s="1">
        <v>8.44600588E8</v>
      </c>
      <c r="G3175" s="1">
        <v>1.4397908E7</v>
      </c>
      <c r="H3175" s="1">
        <v>23232.0</v>
      </c>
      <c r="I3175" s="1">
        <v>5.14E8</v>
      </c>
      <c r="J3175" s="1" t="s">
        <v>9050</v>
      </c>
    </row>
    <row r="3176">
      <c r="A3176" s="1" t="s">
        <v>9565</v>
      </c>
      <c r="B3176" s="1" t="s">
        <v>9566</v>
      </c>
      <c r="C3176" s="1" t="s">
        <v>9567</v>
      </c>
      <c r="D3176" s="1" t="s">
        <v>9048</v>
      </c>
      <c r="E3176" s="1" t="s">
        <v>9049</v>
      </c>
      <c r="F3176" s="1">
        <v>2.94164488E8</v>
      </c>
      <c r="G3176" s="1">
        <v>5246915.0</v>
      </c>
      <c r="H3176" s="1">
        <v>57572.0</v>
      </c>
      <c r="I3176" s="1">
        <v>5.14E8</v>
      </c>
      <c r="J3176" s="1" t="s">
        <v>9050</v>
      </c>
    </row>
    <row r="3177">
      <c r="A3177" s="1" t="s">
        <v>9568</v>
      </c>
      <c r="B3177" s="1" t="s">
        <v>9569</v>
      </c>
      <c r="C3177" s="1" t="s">
        <v>9570</v>
      </c>
      <c r="D3177" s="1" t="s">
        <v>9048</v>
      </c>
      <c r="E3177" s="1" t="s">
        <v>9049</v>
      </c>
      <c r="F3177" s="1">
        <v>4.58940744E8</v>
      </c>
      <c r="G3177" s="1">
        <v>1.8123957E7</v>
      </c>
      <c r="H3177" s="1">
        <v>36656.0</v>
      </c>
      <c r="I3177" s="1">
        <v>5.14E8</v>
      </c>
      <c r="J3177" s="1" t="s">
        <v>9050</v>
      </c>
    </row>
    <row r="3178">
      <c r="A3178" s="1" t="s">
        <v>9571</v>
      </c>
      <c r="B3178" s="1" t="s">
        <v>9572</v>
      </c>
      <c r="C3178" s="1" t="s">
        <v>9573</v>
      </c>
      <c r="D3178" s="1" t="s">
        <v>9048</v>
      </c>
      <c r="E3178" s="1" t="s">
        <v>9049</v>
      </c>
      <c r="F3178" s="1">
        <v>6.61781866E8</v>
      </c>
      <c r="G3178" s="1">
        <v>1.4296974E7</v>
      </c>
      <c r="H3178" s="1">
        <v>23742.0</v>
      </c>
      <c r="I3178" s="1">
        <v>5.14E8</v>
      </c>
      <c r="J3178" s="1" t="s">
        <v>9050</v>
      </c>
    </row>
    <row r="3179">
      <c r="A3179" s="1" t="s">
        <v>9574</v>
      </c>
      <c r="B3179" s="1" t="s">
        <v>9575</v>
      </c>
      <c r="C3179" s="1" t="s">
        <v>9576</v>
      </c>
      <c r="D3179" s="1" t="s">
        <v>9048</v>
      </c>
      <c r="E3179" s="1" t="s">
        <v>9049</v>
      </c>
      <c r="F3179" s="1">
        <v>1.86804526E8</v>
      </c>
      <c r="G3179" s="1">
        <v>3822259.0</v>
      </c>
      <c r="H3179" s="1">
        <v>35977.0</v>
      </c>
      <c r="I3179" s="1">
        <v>5.14E8</v>
      </c>
      <c r="J3179" s="1" t="s">
        <v>9050</v>
      </c>
    </row>
    <row r="3180">
      <c r="A3180" s="1" t="s">
        <v>9577</v>
      </c>
      <c r="B3180" s="1" t="s">
        <v>9578</v>
      </c>
      <c r="C3180" s="1" t="s">
        <v>9579</v>
      </c>
      <c r="D3180" s="1" t="s">
        <v>9048</v>
      </c>
      <c r="E3180" s="1" t="s">
        <v>9049</v>
      </c>
      <c r="F3180" s="1">
        <v>4.38414311E8</v>
      </c>
      <c r="G3180" s="1">
        <v>1.0616106E7</v>
      </c>
      <c r="H3180" s="1">
        <v>8542.0</v>
      </c>
      <c r="I3180" s="1">
        <v>5.14E8</v>
      </c>
      <c r="J3180" s="1" t="s">
        <v>9050</v>
      </c>
    </row>
    <row r="3181">
      <c r="A3181" s="1" t="s">
        <v>9580</v>
      </c>
      <c r="B3181" s="1" t="s">
        <v>9581</v>
      </c>
      <c r="C3181" s="1" t="s">
        <v>9582</v>
      </c>
      <c r="D3181" s="1" t="s">
        <v>9048</v>
      </c>
      <c r="E3181" s="1" t="s">
        <v>9049</v>
      </c>
      <c r="F3181" s="1">
        <v>4.56181725E8</v>
      </c>
      <c r="G3181" s="1">
        <v>1.1825022E7</v>
      </c>
      <c r="H3181" s="1">
        <v>17733.0</v>
      </c>
      <c r="I3181" s="1">
        <v>5.14E8</v>
      </c>
      <c r="J3181" s="1" t="s">
        <v>9050</v>
      </c>
    </row>
    <row r="3182">
      <c r="A3182" s="1" t="s">
        <v>9583</v>
      </c>
      <c r="B3182" s="1" t="s">
        <v>9584</v>
      </c>
      <c r="C3182" s="1" t="s">
        <v>9585</v>
      </c>
      <c r="D3182" s="1" t="s">
        <v>9048</v>
      </c>
      <c r="E3182" s="1" t="s">
        <v>9049</v>
      </c>
      <c r="F3182" s="1">
        <v>2.99404832E8</v>
      </c>
      <c r="G3182" s="1">
        <v>8685633.0</v>
      </c>
      <c r="H3182" s="1">
        <v>8535.0</v>
      </c>
      <c r="I3182" s="1">
        <v>5.14E8</v>
      </c>
      <c r="J3182" s="1" t="s">
        <v>9050</v>
      </c>
    </row>
    <row r="3183">
      <c r="A3183" s="1" t="s">
        <v>9586</v>
      </c>
      <c r="B3183" s="1" t="s">
        <v>9587</v>
      </c>
      <c r="C3183" s="1" t="s">
        <v>9588</v>
      </c>
      <c r="D3183" s="1" t="s">
        <v>9048</v>
      </c>
      <c r="E3183" s="1" t="s">
        <v>9049</v>
      </c>
      <c r="F3183" s="1">
        <v>2.08221973E8</v>
      </c>
      <c r="G3183" s="1">
        <v>3472574.0</v>
      </c>
      <c r="H3183" s="1">
        <v>30191.0</v>
      </c>
      <c r="I3183" s="1">
        <v>5.14E8</v>
      </c>
      <c r="J3183" s="1" t="s">
        <v>9050</v>
      </c>
    </row>
    <row r="3184">
      <c r="A3184" s="1" t="s">
        <v>9589</v>
      </c>
      <c r="B3184" s="1" t="s">
        <v>9590</v>
      </c>
      <c r="C3184" s="1" t="s">
        <v>9591</v>
      </c>
      <c r="D3184" s="1" t="s">
        <v>9048</v>
      </c>
      <c r="E3184" s="1" t="s">
        <v>9049</v>
      </c>
      <c r="F3184" s="1">
        <v>4.01811895E8</v>
      </c>
      <c r="G3184" s="1">
        <v>8606283.0</v>
      </c>
      <c r="H3184" s="1">
        <v>12149.0</v>
      </c>
      <c r="I3184" s="1">
        <v>5.14E8</v>
      </c>
      <c r="J3184" s="1" t="s">
        <v>9050</v>
      </c>
    </row>
    <row r="3185">
      <c r="A3185" s="1" t="s">
        <v>9592</v>
      </c>
      <c r="B3185" s="1" t="s">
        <v>9593</v>
      </c>
      <c r="C3185" s="1" t="s">
        <v>9594</v>
      </c>
      <c r="D3185" s="1" t="s">
        <v>9048</v>
      </c>
      <c r="E3185" s="1" t="s">
        <v>9049</v>
      </c>
      <c r="F3185" s="1">
        <v>3.83617838E8</v>
      </c>
      <c r="G3185" s="1">
        <v>8440827.0</v>
      </c>
      <c r="H3185" s="1">
        <v>12304.0</v>
      </c>
      <c r="I3185" s="1">
        <v>5.14E8</v>
      </c>
      <c r="J3185" s="1" t="s">
        <v>9050</v>
      </c>
    </row>
    <row r="3186">
      <c r="A3186" s="1" t="s">
        <v>9595</v>
      </c>
      <c r="B3186" s="1" t="s">
        <v>9596</v>
      </c>
      <c r="C3186" s="1" t="s">
        <v>9597</v>
      </c>
      <c r="D3186" s="1" t="s">
        <v>9048</v>
      </c>
      <c r="E3186" s="1" t="s">
        <v>9049</v>
      </c>
      <c r="F3186" s="1">
        <v>2.42589741E8</v>
      </c>
      <c r="G3186" s="1">
        <v>4494347.0</v>
      </c>
      <c r="H3186" s="1">
        <v>55404.0</v>
      </c>
      <c r="I3186" s="1">
        <v>5.14E8</v>
      </c>
      <c r="J3186" s="1" t="s">
        <v>9050</v>
      </c>
    </row>
    <row r="3187">
      <c r="A3187" s="1" t="s">
        <v>9598</v>
      </c>
      <c r="B3187" s="1" t="s">
        <v>9599</v>
      </c>
      <c r="C3187" s="1" t="s">
        <v>9600</v>
      </c>
      <c r="D3187" s="1" t="s">
        <v>9048</v>
      </c>
      <c r="E3187" s="1" t="s">
        <v>9049</v>
      </c>
      <c r="F3187" s="1">
        <v>7.74319883E8</v>
      </c>
      <c r="G3187" s="1">
        <v>1.8088087E7</v>
      </c>
      <c r="H3187" s="1">
        <v>16026.0</v>
      </c>
      <c r="I3187" s="1">
        <v>5.14E8</v>
      </c>
      <c r="J3187" s="1" t="s">
        <v>9050</v>
      </c>
    </row>
    <row r="3188">
      <c r="A3188" s="1" t="s">
        <v>9601</v>
      </c>
      <c r="B3188" s="1" t="s">
        <v>9602</v>
      </c>
      <c r="C3188" s="1" t="s">
        <v>9603</v>
      </c>
      <c r="D3188" s="1" t="s">
        <v>9048</v>
      </c>
      <c r="E3188" s="1" t="s">
        <v>9049</v>
      </c>
      <c r="F3188" s="1">
        <v>2.82342219E8</v>
      </c>
      <c r="G3188" s="1">
        <v>8368754.0</v>
      </c>
      <c r="H3188" s="1">
        <v>23916.0</v>
      </c>
      <c r="I3188" s="1">
        <v>5.14E8</v>
      </c>
      <c r="J3188" s="1" t="s">
        <v>9050</v>
      </c>
    </row>
    <row r="3189">
      <c r="A3189" s="1" t="s">
        <v>9604</v>
      </c>
      <c r="B3189" s="1" t="s">
        <v>9605</v>
      </c>
      <c r="C3189" s="1" t="s">
        <v>9606</v>
      </c>
      <c r="D3189" s="1" t="s">
        <v>9048</v>
      </c>
      <c r="E3189" s="1" t="s">
        <v>9049</v>
      </c>
      <c r="F3189" s="1">
        <v>1.90666882E8</v>
      </c>
      <c r="G3189" s="1">
        <v>4723888.0</v>
      </c>
      <c r="H3189" s="1">
        <v>94908.0</v>
      </c>
      <c r="I3189" s="1">
        <v>5.14E8</v>
      </c>
      <c r="J3189" s="1" t="s">
        <v>9050</v>
      </c>
    </row>
    <row r="3190">
      <c r="A3190" s="1" t="s">
        <v>9607</v>
      </c>
      <c r="B3190" s="1" t="s">
        <v>9608</v>
      </c>
      <c r="C3190" s="1" t="s">
        <v>9609</v>
      </c>
      <c r="D3190" s="1" t="s">
        <v>9048</v>
      </c>
      <c r="E3190" s="1" t="s">
        <v>9049</v>
      </c>
      <c r="F3190" s="1">
        <v>4.9168104E8</v>
      </c>
      <c r="G3190" s="1">
        <v>1.2661482E7</v>
      </c>
      <c r="H3190" s="1">
        <v>35113.0</v>
      </c>
      <c r="I3190" s="1">
        <v>5.14E8</v>
      </c>
      <c r="J3190" s="1" t="s">
        <v>9050</v>
      </c>
    </row>
    <row r="3191">
      <c r="A3191" s="1" t="s">
        <v>9610</v>
      </c>
      <c r="B3191" s="1" t="s">
        <v>9611</v>
      </c>
      <c r="C3191" s="1" t="s">
        <v>9612</v>
      </c>
      <c r="D3191" s="1" t="s">
        <v>9048</v>
      </c>
      <c r="E3191" s="1" t="s">
        <v>9049</v>
      </c>
      <c r="F3191" s="1">
        <v>3.6539347E8</v>
      </c>
      <c r="G3191" s="1">
        <v>6309531.0</v>
      </c>
      <c r="H3191" s="1">
        <v>88793.0</v>
      </c>
      <c r="I3191" s="1">
        <v>5.14E8</v>
      </c>
      <c r="J3191" s="1" t="s">
        <v>9050</v>
      </c>
    </row>
    <row r="3192">
      <c r="A3192" s="1" t="s">
        <v>9613</v>
      </c>
      <c r="B3192" s="1" t="s">
        <v>9614</v>
      </c>
      <c r="C3192" s="1" t="s">
        <v>9615</v>
      </c>
      <c r="D3192" s="1" t="s">
        <v>9048</v>
      </c>
      <c r="E3192" s="1" t="s">
        <v>9049</v>
      </c>
      <c r="F3192" s="1">
        <v>7.50066543E8</v>
      </c>
      <c r="G3192" s="1">
        <v>1.7986756E7</v>
      </c>
      <c r="H3192" s="1">
        <v>30775.0</v>
      </c>
      <c r="I3192" s="1">
        <v>5.14E8</v>
      </c>
      <c r="J3192" s="1" t="s">
        <v>9050</v>
      </c>
    </row>
    <row r="3193">
      <c r="A3193" s="1" t="s">
        <v>9616</v>
      </c>
      <c r="B3193" s="1" t="s">
        <v>9617</v>
      </c>
      <c r="C3193" s="1" t="s">
        <v>9618</v>
      </c>
      <c r="D3193" s="1" t="s">
        <v>9048</v>
      </c>
      <c r="E3193" s="1" t="s">
        <v>9049</v>
      </c>
      <c r="F3193" s="1">
        <v>2.41948684E8</v>
      </c>
      <c r="G3193" s="1">
        <v>6264446.0</v>
      </c>
      <c r="H3193" s="1">
        <v>11246.0</v>
      </c>
      <c r="I3193" s="1">
        <v>5.14E8</v>
      </c>
      <c r="J3193" s="1" t="s">
        <v>9050</v>
      </c>
    </row>
    <row r="3194">
      <c r="A3194" s="1" t="s">
        <v>9619</v>
      </c>
      <c r="B3194" s="1" t="s">
        <v>9620</v>
      </c>
      <c r="C3194" s="1" t="s">
        <v>9621</v>
      </c>
      <c r="D3194" s="1" t="s">
        <v>9048</v>
      </c>
      <c r="E3194" s="1" t="s">
        <v>9049</v>
      </c>
      <c r="F3194" s="1">
        <v>4.85432244E8</v>
      </c>
      <c r="G3194" s="1">
        <v>9786335.0</v>
      </c>
      <c r="H3194" s="1">
        <v>351588.0</v>
      </c>
      <c r="I3194" s="1">
        <v>5.14E8</v>
      </c>
      <c r="J3194" s="1" t="s">
        <v>9050</v>
      </c>
    </row>
    <row r="3195">
      <c r="A3195" s="1" t="s">
        <v>9622</v>
      </c>
      <c r="B3195" s="1" t="s">
        <v>9623</v>
      </c>
      <c r="C3195" s="1" t="s">
        <v>9624</v>
      </c>
      <c r="D3195" s="1" t="s">
        <v>9048</v>
      </c>
      <c r="E3195" s="1" t="s">
        <v>9049</v>
      </c>
      <c r="F3195" s="1">
        <v>2.91697055E8</v>
      </c>
      <c r="G3195" s="1">
        <v>1.1486257E7</v>
      </c>
      <c r="H3195" s="1">
        <v>52692.0</v>
      </c>
      <c r="I3195" s="1">
        <v>5.14E8</v>
      </c>
      <c r="J3195" s="1" t="s">
        <v>9050</v>
      </c>
    </row>
    <row r="3196">
      <c r="A3196" s="1" t="s">
        <v>9625</v>
      </c>
      <c r="B3196" s="1" t="s">
        <v>9626</v>
      </c>
      <c r="C3196" s="1" t="s">
        <v>9627</v>
      </c>
      <c r="D3196" s="1" t="s">
        <v>9048</v>
      </c>
      <c r="E3196" s="1" t="s">
        <v>9049</v>
      </c>
      <c r="F3196" s="1">
        <v>5.50987486E8</v>
      </c>
      <c r="G3196" s="1">
        <v>2.0390509E7</v>
      </c>
      <c r="H3196" s="1">
        <v>51319.0</v>
      </c>
      <c r="I3196" s="1">
        <v>5.14E8</v>
      </c>
      <c r="J3196" s="1" t="s">
        <v>9050</v>
      </c>
    </row>
    <row r="3197">
      <c r="A3197" s="1" t="s">
        <v>9628</v>
      </c>
      <c r="B3197" s="1" t="s">
        <v>9629</v>
      </c>
      <c r="C3197" s="1" t="s">
        <v>9630</v>
      </c>
      <c r="D3197" s="1" t="s">
        <v>9048</v>
      </c>
      <c r="E3197" s="1" t="s">
        <v>9049</v>
      </c>
      <c r="F3197" s="1">
        <v>2.74638928E8</v>
      </c>
      <c r="G3197" s="1">
        <v>8045184.0</v>
      </c>
      <c r="H3197" s="1">
        <v>294143.0</v>
      </c>
      <c r="I3197" s="1">
        <v>5.14E8</v>
      </c>
      <c r="J3197" s="1" t="s">
        <v>9050</v>
      </c>
    </row>
    <row r="3198">
      <c r="A3198" s="1" t="s">
        <v>9631</v>
      </c>
      <c r="B3198" s="1" t="s">
        <v>9632</v>
      </c>
      <c r="C3198" s="1" t="s">
        <v>9633</v>
      </c>
      <c r="D3198" s="1" t="s">
        <v>9048</v>
      </c>
      <c r="E3198" s="1" t="s">
        <v>9049</v>
      </c>
      <c r="F3198" s="1">
        <v>4.4629831E8</v>
      </c>
      <c r="G3198" s="1">
        <v>6924961.0</v>
      </c>
      <c r="H3198" s="1">
        <v>138678.0</v>
      </c>
      <c r="I3198" s="1">
        <v>5.14E8</v>
      </c>
      <c r="J3198" s="1" t="s">
        <v>9050</v>
      </c>
    </row>
    <row r="3199">
      <c r="A3199" s="1" t="s">
        <v>9634</v>
      </c>
      <c r="B3199" s="1" t="s">
        <v>9635</v>
      </c>
      <c r="C3199" s="1" t="s">
        <v>9636</v>
      </c>
      <c r="D3199" s="1" t="s">
        <v>9048</v>
      </c>
      <c r="E3199" s="1" t="s">
        <v>9049</v>
      </c>
      <c r="F3199" s="1">
        <v>4.00623262E8</v>
      </c>
      <c r="G3199" s="1">
        <v>9218853.0</v>
      </c>
      <c r="H3199" s="1">
        <v>347605.0</v>
      </c>
      <c r="I3199" s="1">
        <v>5.14E8</v>
      </c>
      <c r="J3199" s="1" t="s">
        <v>9050</v>
      </c>
    </row>
    <row r="3200">
      <c r="A3200" s="1" t="s">
        <v>9637</v>
      </c>
      <c r="B3200" s="1" t="s">
        <v>9638</v>
      </c>
      <c r="C3200" s="1" t="s">
        <v>9639</v>
      </c>
      <c r="D3200" s="1" t="s">
        <v>9048</v>
      </c>
      <c r="E3200" s="1" t="s">
        <v>9049</v>
      </c>
      <c r="F3200" s="1">
        <v>3.25600282E8</v>
      </c>
      <c r="G3200" s="1">
        <v>1.196226E7</v>
      </c>
      <c r="H3200" s="1">
        <v>86786.0</v>
      </c>
      <c r="I3200" s="1">
        <v>5.14E8</v>
      </c>
      <c r="J3200" s="1" t="s">
        <v>9050</v>
      </c>
    </row>
    <row r="3201">
      <c r="A3201" s="1" t="s">
        <v>9640</v>
      </c>
      <c r="B3201" s="1" t="s">
        <v>9641</v>
      </c>
      <c r="C3201" s="1" t="s">
        <v>9642</v>
      </c>
      <c r="D3201" s="1" t="s">
        <v>9048</v>
      </c>
      <c r="E3201" s="1" t="s">
        <v>9049</v>
      </c>
      <c r="F3201" s="1">
        <v>3.95625515E8</v>
      </c>
      <c r="G3201" s="1">
        <v>2.3221273E7</v>
      </c>
      <c r="H3201" s="1">
        <v>831173.0</v>
      </c>
      <c r="I3201" s="1">
        <v>5.14E8</v>
      </c>
      <c r="J3201" s="1" t="s">
        <v>9050</v>
      </c>
    </row>
    <row r="3202">
      <c r="A3202" s="1" t="s">
        <v>9643</v>
      </c>
      <c r="B3202" s="1" t="s">
        <v>9644</v>
      </c>
      <c r="C3202" s="1" t="s">
        <v>9645</v>
      </c>
      <c r="D3202" s="1" t="s">
        <v>9646</v>
      </c>
      <c r="E3202" s="1" t="s">
        <v>9647</v>
      </c>
      <c r="F3202" s="1">
        <v>2120130.0</v>
      </c>
      <c r="G3202" s="1">
        <v>51923.0</v>
      </c>
      <c r="H3202" s="1">
        <v>411.0</v>
      </c>
      <c r="I3202" s="1">
        <v>6.26E7</v>
      </c>
      <c r="J3202" s="1" t="s">
        <v>9050</v>
      </c>
    </row>
    <row r="3203">
      <c r="A3203" s="1" t="s">
        <v>9648</v>
      </c>
      <c r="B3203" s="1" t="s">
        <v>9649</v>
      </c>
      <c r="C3203" s="1" t="s">
        <v>3113</v>
      </c>
      <c r="D3203" s="1" t="s">
        <v>9646</v>
      </c>
      <c r="E3203" s="1" t="s">
        <v>9647</v>
      </c>
      <c r="F3203" s="1">
        <v>5206576.0</v>
      </c>
      <c r="G3203" s="1">
        <v>122125.0</v>
      </c>
      <c r="H3203" s="1">
        <v>5647.0</v>
      </c>
      <c r="I3203" s="1">
        <v>6.26E7</v>
      </c>
      <c r="J3203" s="1" t="s">
        <v>9050</v>
      </c>
    </row>
    <row r="3204">
      <c r="A3204" s="1" t="s">
        <v>9650</v>
      </c>
      <c r="B3204" s="1" t="s">
        <v>9651</v>
      </c>
      <c r="C3204" s="1" t="s">
        <v>9652</v>
      </c>
      <c r="D3204" s="1" t="s">
        <v>9646</v>
      </c>
      <c r="E3204" s="1" t="s">
        <v>9647</v>
      </c>
      <c r="F3204" s="1">
        <v>1367996.0</v>
      </c>
      <c r="G3204" s="1">
        <v>32859.0</v>
      </c>
      <c r="H3204" s="1">
        <v>279.0</v>
      </c>
      <c r="I3204" s="1">
        <v>6.26E7</v>
      </c>
      <c r="J3204" s="1" t="s">
        <v>9050</v>
      </c>
    </row>
    <row r="3205">
      <c r="A3205" s="1" t="s">
        <v>9653</v>
      </c>
      <c r="B3205" s="1" t="s">
        <v>9654</v>
      </c>
      <c r="C3205" s="1" t="s">
        <v>9655</v>
      </c>
      <c r="D3205" s="1" t="s">
        <v>9646</v>
      </c>
      <c r="E3205" s="1" t="s">
        <v>9647</v>
      </c>
      <c r="F3205" s="1">
        <v>1903370.0</v>
      </c>
      <c r="G3205" s="1">
        <v>56139.0</v>
      </c>
      <c r="H3205" s="1">
        <v>270.0</v>
      </c>
      <c r="I3205" s="1">
        <v>6.26E7</v>
      </c>
      <c r="J3205" s="1" t="s">
        <v>9050</v>
      </c>
    </row>
    <row r="3206">
      <c r="A3206" s="1" t="s">
        <v>9656</v>
      </c>
      <c r="B3206" s="1" t="s">
        <v>9657</v>
      </c>
      <c r="C3206" s="1" t="s">
        <v>9658</v>
      </c>
      <c r="D3206" s="1" t="s">
        <v>9646</v>
      </c>
      <c r="E3206" s="1" t="s">
        <v>9647</v>
      </c>
      <c r="F3206" s="1">
        <v>1451229.0</v>
      </c>
      <c r="G3206" s="1">
        <v>53593.0</v>
      </c>
      <c r="H3206" s="1">
        <v>678.0</v>
      </c>
      <c r="I3206" s="1">
        <v>6.26E7</v>
      </c>
      <c r="J3206" s="1" t="s">
        <v>9050</v>
      </c>
    </row>
    <row r="3207">
      <c r="A3207" s="1" t="s">
        <v>9659</v>
      </c>
      <c r="B3207" s="1" t="s">
        <v>9660</v>
      </c>
      <c r="C3207" s="1" t="s">
        <v>9661</v>
      </c>
      <c r="D3207" s="1" t="s">
        <v>9646</v>
      </c>
      <c r="E3207" s="1" t="s">
        <v>9647</v>
      </c>
      <c r="F3207" s="1">
        <v>3317823.0</v>
      </c>
      <c r="G3207" s="1">
        <v>84148.0</v>
      </c>
      <c r="H3207" s="1">
        <v>382.0</v>
      </c>
      <c r="I3207" s="1">
        <v>6.26E7</v>
      </c>
      <c r="J3207" s="1" t="s">
        <v>9050</v>
      </c>
    </row>
    <row r="3208">
      <c r="A3208" s="1" t="s">
        <v>9662</v>
      </c>
      <c r="B3208" s="1" t="s">
        <v>9663</v>
      </c>
      <c r="C3208" s="1" t="s">
        <v>9664</v>
      </c>
      <c r="D3208" s="1" t="s">
        <v>9646</v>
      </c>
      <c r="E3208" s="1" t="s">
        <v>9647</v>
      </c>
      <c r="F3208" s="1">
        <v>4127600.0</v>
      </c>
      <c r="G3208" s="1">
        <v>120686.0</v>
      </c>
      <c r="H3208" s="1">
        <v>306.0</v>
      </c>
      <c r="I3208" s="1">
        <v>6.26E7</v>
      </c>
      <c r="J3208" s="1" t="s">
        <v>9050</v>
      </c>
    </row>
    <row r="3209">
      <c r="A3209" s="1" t="s">
        <v>9665</v>
      </c>
      <c r="B3209" s="1" t="s">
        <v>9666</v>
      </c>
      <c r="C3209" s="1" t="s">
        <v>9667</v>
      </c>
      <c r="D3209" s="1" t="s">
        <v>9646</v>
      </c>
      <c r="E3209" s="1" t="s">
        <v>9647</v>
      </c>
      <c r="F3209" s="1">
        <v>4294401.0</v>
      </c>
      <c r="G3209" s="1">
        <v>93426.0</v>
      </c>
      <c r="H3209" s="1">
        <v>296.0</v>
      </c>
      <c r="I3209" s="1">
        <v>6.26E7</v>
      </c>
      <c r="J3209" s="1" t="s">
        <v>9050</v>
      </c>
    </row>
    <row r="3210">
      <c r="A3210" s="1" t="s">
        <v>9668</v>
      </c>
      <c r="B3210" s="1" t="s">
        <v>9669</v>
      </c>
      <c r="C3210" s="1" t="s">
        <v>9670</v>
      </c>
      <c r="D3210" s="1" t="s">
        <v>9646</v>
      </c>
      <c r="E3210" s="1" t="s">
        <v>9647</v>
      </c>
      <c r="F3210" s="1">
        <v>2.1583898E7</v>
      </c>
      <c r="G3210" s="1">
        <v>414402.0</v>
      </c>
      <c r="H3210" s="1">
        <v>747.0</v>
      </c>
      <c r="I3210" s="1">
        <v>6.26E7</v>
      </c>
      <c r="J3210" s="1" t="s">
        <v>9050</v>
      </c>
    </row>
    <row r="3211">
      <c r="A3211" s="1" t="s">
        <v>9671</v>
      </c>
      <c r="B3211" s="1" t="s">
        <v>9672</v>
      </c>
      <c r="C3211" s="1" t="s">
        <v>9673</v>
      </c>
      <c r="D3211" s="1" t="s">
        <v>9646</v>
      </c>
      <c r="E3211" s="1" t="s">
        <v>9647</v>
      </c>
      <c r="F3211" s="1">
        <v>5489026.0</v>
      </c>
      <c r="G3211" s="1">
        <v>145697.0</v>
      </c>
      <c r="H3211" s="1">
        <v>427.0</v>
      </c>
      <c r="I3211" s="1">
        <v>6.26E7</v>
      </c>
      <c r="J3211" s="1" t="s">
        <v>9050</v>
      </c>
    </row>
    <row r="3212">
      <c r="A3212" s="1" t="s">
        <v>9674</v>
      </c>
      <c r="B3212" s="1" t="s">
        <v>9675</v>
      </c>
      <c r="C3212" s="1" t="s">
        <v>9676</v>
      </c>
      <c r="D3212" s="1" t="s">
        <v>9646</v>
      </c>
      <c r="E3212" s="1" t="s">
        <v>9647</v>
      </c>
      <c r="F3212" s="1">
        <v>3500289.0</v>
      </c>
      <c r="G3212" s="1">
        <v>57293.0</v>
      </c>
      <c r="H3212" s="1">
        <v>388.0</v>
      </c>
      <c r="I3212" s="1">
        <v>6.26E7</v>
      </c>
      <c r="J3212" s="1" t="s">
        <v>9050</v>
      </c>
    </row>
    <row r="3213">
      <c r="A3213" s="1" t="s">
        <v>9677</v>
      </c>
      <c r="B3213" s="1" t="s">
        <v>9678</v>
      </c>
      <c r="C3213" s="1" t="s">
        <v>9679</v>
      </c>
      <c r="D3213" s="1" t="s">
        <v>9646</v>
      </c>
      <c r="E3213" s="1" t="s">
        <v>9647</v>
      </c>
      <c r="F3213" s="1">
        <v>3.1048149E7</v>
      </c>
      <c r="G3213" s="1">
        <v>409221.0</v>
      </c>
      <c r="H3213" s="1">
        <v>899.0</v>
      </c>
      <c r="I3213" s="1">
        <v>6.26E7</v>
      </c>
      <c r="J3213" s="1" t="s">
        <v>9050</v>
      </c>
    </row>
    <row r="3214">
      <c r="A3214" s="1" t="s">
        <v>9680</v>
      </c>
      <c r="B3214" s="1" t="s">
        <v>9681</v>
      </c>
      <c r="C3214" s="1" t="s">
        <v>9682</v>
      </c>
      <c r="D3214" s="1" t="s">
        <v>9646</v>
      </c>
      <c r="E3214" s="1" t="s">
        <v>9647</v>
      </c>
      <c r="F3214" s="1">
        <v>5008703.0</v>
      </c>
      <c r="G3214" s="1">
        <v>75777.0</v>
      </c>
      <c r="H3214" s="1">
        <v>347.0</v>
      </c>
      <c r="I3214" s="1">
        <v>6.26E7</v>
      </c>
      <c r="J3214" s="1" t="s">
        <v>9050</v>
      </c>
    </row>
    <row r="3215">
      <c r="A3215" s="1" t="s">
        <v>9683</v>
      </c>
      <c r="B3215" s="1" t="s">
        <v>9684</v>
      </c>
      <c r="C3215" s="1" t="s">
        <v>9685</v>
      </c>
      <c r="D3215" s="1" t="s">
        <v>9646</v>
      </c>
      <c r="E3215" s="1" t="s">
        <v>9647</v>
      </c>
      <c r="F3215" s="1">
        <v>1921534.0</v>
      </c>
      <c r="G3215" s="1">
        <v>36301.0</v>
      </c>
      <c r="H3215" s="1">
        <v>437.0</v>
      </c>
      <c r="I3215" s="1">
        <v>6.26E7</v>
      </c>
      <c r="J3215" s="1" t="s">
        <v>9050</v>
      </c>
    </row>
    <row r="3216">
      <c r="A3216" s="1" t="s">
        <v>9686</v>
      </c>
      <c r="B3216" s="1" t="s">
        <v>9687</v>
      </c>
      <c r="C3216" s="1" t="s">
        <v>9688</v>
      </c>
      <c r="D3216" s="1" t="s">
        <v>9646</v>
      </c>
      <c r="E3216" s="1" t="s">
        <v>9647</v>
      </c>
      <c r="F3216" s="1">
        <v>5302686.0</v>
      </c>
      <c r="G3216" s="1">
        <v>87622.0</v>
      </c>
      <c r="H3216" s="1">
        <v>1859.0</v>
      </c>
      <c r="I3216" s="1">
        <v>6.26E7</v>
      </c>
      <c r="J3216" s="1" t="s">
        <v>9050</v>
      </c>
    </row>
    <row r="3217">
      <c r="A3217" s="1" t="s">
        <v>9689</v>
      </c>
      <c r="B3217" s="1" t="s">
        <v>9690</v>
      </c>
      <c r="C3217" s="1" t="s">
        <v>9691</v>
      </c>
      <c r="D3217" s="1" t="s">
        <v>9646</v>
      </c>
      <c r="E3217" s="1" t="s">
        <v>9647</v>
      </c>
      <c r="F3217" s="1">
        <v>2333633.0</v>
      </c>
      <c r="G3217" s="1">
        <v>47792.0</v>
      </c>
      <c r="H3217" s="1">
        <v>283.0</v>
      </c>
      <c r="I3217" s="1">
        <v>6.26E7</v>
      </c>
      <c r="J3217" s="1" t="s">
        <v>9050</v>
      </c>
    </row>
    <row r="3218">
      <c r="A3218" s="1" t="s">
        <v>9692</v>
      </c>
      <c r="B3218" s="1" t="s">
        <v>9693</v>
      </c>
      <c r="C3218" s="1" t="s">
        <v>9694</v>
      </c>
      <c r="D3218" s="1" t="s">
        <v>9646</v>
      </c>
      <c r="E3218" s="1" t="s">
        <v>9647</v>
      </c>
      <c r="F3218" s="1">
        <v>1047885.0</v>
      </c>
      <c r="G3218" s="1">
        <v>25674.0</v>
      </c>
      <c r="H3218" s="1">
        <v>155.0</v>
      </c>
      <c r="I3218" s="1">
        <v>6.26E7</v>
      </c>
      <c r="J3218" s="1" t="s">
        <v>9050</v>
      </c>
    </row>
    <row r="3219">
      <c r="A3219" s="1" t="s">
        <v>9695</v>
      </c>
      <c r="B3219" s="1" t="s">
        <v>9696</v>
      </c>
      <c r="C3219" s="1" t="s">
        <v>9697</v>
      </c>
      <c r="D3219" s="1" t="s">
        <v>9646</v>
      </c>
      <c r="E3219" s="1" t="s">
        <v>9647</v>
      </c>
      <c r="F3219" s="1">
        <v>1848856.0</v>
      </c>
      <c r="G3219" s="1">
        <v>38067.0</v>
      </c>
      <c r="H3219" s="1">
        <v>426.0</v>
      </c>
      <c r="I3219" s="1">
        <v>6.26E7</v>
      </c>
      <c r="J3219" s="1" t="s">
        <v>9050</v>
      </c>
    </row>
    <row r="3220">
      <c r="A3220" s="1" t="s">
        <v>9698</v>
      </c>
      <c r="B3220" s="1" t="s">
        <v>9699</v>
      </c>
      <c r="C3220" s="1" t="s">
        <v>9700</v>
      </c>
      <c r="D3220" s="1" t="s">
        <v>9646</v>
      </c>
      <c r="E3220" s="1" t="s">
        <v>9647</v>
      </c>
      <c r="F3220" s="1">
        <v>1314539.0</v>
      </c>
      <c r="G3220" s="1">
        <v>35632.0</v>
      </c>
      <c r="H3220" s="1">
        <v>235.0</v>
      </c>
      <c r="I3220" s="1">
        <v>6.26E7</v>
      </c>
      <c r="J3220" s="1" t="s">
        <v>9050</v>
      </c>
    </row>
    <row r="3221">
      <c r="A3221" s="1" t="s">
        <v>9701</v>
      </c>
      <c r="B3221" s="1" t="s">
        <v>9702</v>
      </c>
      <c r="C3221" s="1" t="s">
        <v>9703</v>
      </c>
      <c r="D3221" s="1" t="s">
        <v>9646</v>
      </c>
      <c r="E3221" s="1" t="s">
        <v>9647</v>
      </c>
      <c r="F3221" s="1">
        <v>6144223.0</v>
      </c>
      <c r="G3221" s="1">
        <v>142491.0</v>
      </c>
      <c r="H3221" s="1">
        <v>643.0</v>
      </c>
      <c r="I3221" s="1">
        <v>6.26E7</v>
      </c>
      <c r="J3221" s="1" t="s">
        <v>9050</v>
      </c>
    </row>
    <row r="3222">
      <c r="A3222" s="1" t="s">
        <v>9704</v>
      </c>
      <c r="B3222" s="1" t="s">
        <v>9705</v>
      </c>
      <c r="C3222" s="1" t="s">
        <v>9706</v>
      </c>
      <c r="D3222" s="1" t="s">
        <v>9646</v>
      </c>
      <c r="E3222" s="1" t="s">
        <v>9647</v>
      </c>
      <c r="F3222" s="1">
        <v>1865931.0</v>
      </c>
      <c r="G3222" s="1">
        <v>37869.0</v>
      </c>
      <c r="H3222" s="1">
        <v>262.0</v>
      </c>
      <c r="I3222" s="1">
        <v>6.26E7</v>
      </c>
      <c r="J3222" s="1" t="s">
        <v>9050</v>
      </c>
    </row>
    <row r="3223">
      <c r="A3223" s="1" t="s">
        <v>9707</v>
      </c>
      <c r="B3223" s="1" t="s">
        <v>9708</v>
      </c>
      <c r="C3223" s="1" t="s">
        <v>9709</v>
      </c>
      <c r="D3223" s="1" t="s">
        <v>9646</v>
      </c>
      <c r="E3223" s="1" t="s">
        <v>9647</v>
      </c>
      <c r="F3223" s="1">
        <v>3.9710925E7</v>
      </c>
      <c r="G3223" s="1">
        <v>443821.0</v>
      </c>
      <c r="H3223" s="1">
        <v>3224.0</v>
      </c>
      <c r="I3223" s="1">
        <v>6.26E7</v>
      </c>
      <c r="J3223" s="1" t="s">
        <v>9050</v>
      </c>
    </row>
    <row r="3224">
      <c r="A3224" s="1" t="s">
        <v>9710</v>
      </c>
      <c r="B3224" s="1" t="s">
        <v>9711</v>
      </c>
      <c r="C3224" s="1" t="s">
        <v>9712</v>
      </c>
      <c r="D3224" s="1" t="s">
        <v>9646</v>
      </c>
      <c r="E3224" s="1" t="s">
        <v>9647</v>
      </c>
      <c r="F3224" s="1">
        <v>2384755.0</v>
      </c>
      <c r="G3224" s="1">
        <v>31300.0</v>
      </c>
      <c r="H3224" s="1">
        <v>159.0</v>
      </c>
      <c r="I3224" s="1">
        <v>6.26E7</v>
      </c>
      <c r="J3224" s="1" t="s">
        <v>9050</v>
      </c>
    </row>
    <row r="3225">
      <c r="A3225" s="1" t="s">
        <v>9713</v>
      </c>
      <c r="B3225" s="1" t="s">
        <v>9714</v>
      </c>
      <c r="C3225" s="1" t="s">
        <v>9715</v>
      </c>
      <c r="D3225" s="1" t="s">
        <v>9646</v>
      </c>
      <c r="E3225" s="1" t="s">
        <v>9647</v>
      </c>
      <c r="F3225" s="1">
        <v>6.8203553E7</v>
      </c>
      <c r="G3225" s="1">
        <v>315328.0</v>
      </c>
      <c r="H3225" s="1">
        <v>1574.0</v>
      </c>
      <c r="I3225" s="1">
        <v>6.26E7</v>
      </c>
      <c r="J3225" s="1" t="s">
        <v>9050</v>
      </c>
    </row>
    <row r="3226">
      <c r="A3226" s="1" t="s">
        <v>9716</v>
      </c>
      <c r="B3226" s="1" t="s">
        <v>9717</v>
      </c>
      <c r="C3226" s="1" t="s">
        <v>9718</v>
      </c>
      <c r="D3226" s="1" t="s">
        <v>9646</v>
      </c>
      <c r="E3226" s="1" t="s">
        <v>9647</v>
      </c>
      <c r="F3226" s="1">
        <v>1018328.0</v>
      </c>
      <c r="G3226" s="1">
        <v>26142.0</v>
      </c>
      <c r="H3226" s="1">
        <v>424.0</v>
      </c>
      <c r="I3226" s="1">
        <v>6.26E7</v>
      </c>
      <c r="J3226" s="1" t="s">
        <v>9050</v>
      </c>
    </row>
    <row r="3227">
      <c r="A3227" s="1" t="s">
        <v>9719</v>
      </c>
      <c r="B3227" s="1" t="s">
        <v>9720</v>
      </c>
      <c r="C3227" s="1" t="s">
        <v>9721</v>
      </c>
      <c r="D3227" s="1" t="s">
        <v>9646</v>
      </c>
      <c r="E3227" s="1" t="s">
        <v>9647</v>
      </c>
      <c r="F3227" s="1">
        <v>7919246.0</v>
      </c>
      <c r="G3227" s="1">
        <v>123771.0</v>
      </c>
      <c r="H3227" s="1">
        <v>481.0</v>
      </c>
      <c r="I3227" s="1">
        <v>6.26E7</v>
      </c>
      <c r="J3227" s="1" t="s">
        <v>9050</v>
      </c>
    </row>
    <row r="3228">
      <c r="A3228" s="1" t="s">
        <v>9722</v>
      </c>
      <c r="B3228" s="1" t="s">
        <v>9723</v>
      </c>
      <c r="C3228" s="1" t="s">
        <v>9724</v>
      </c>
      <c r="D3228" s="1" t="s">
        <v>9646</v>
      </c>
      <c r="E3228" s="1" t="s">
        <v>9647</v>
      </c>
      <c r="F3228" s="1">
        <v>7583462.0</v>
      </c>
      <c r="G3228" s="1">
        <v>31450.0</v>
      </c>
      <c r="H3228" s="1">
        <v>133.0</v>
      </c>
      <c r="I3228" s="1">
        <v>6.26E7</v>
      </c>
      <c r="J3228" s="1" t="s">
        <v>9050</v>
      </c>
    </row>
    <row r="3229">
      <c r="A3229" s="1" t="s">
        <v>9725</v>
      </c>
      <c r="B3229" s="1" t="s">
        <v>9726</v>
      </c>
      <c r="C3229" s="1" t="s">
        <v>9727</v>
      </c>
      <c r="D3229" s="1" t="s">
        <v>9646</v>
      </c>
      <c r="E3229" s="1" t="s">
        <v>9647</v>
      </c>
      <c r="F3229" s="1">
        <v>2636696.0</v>
      </c>
      <c r="G3229" s="1">
        <v>53915.0</v>
      </c>
      <c r="H3229" s="1">
        <v>276.0</v>
      </c>
      <c r="I3229" s="1">
        <v>6.26E7</v>
      </c>
      <c r="J3229" s="1" t="s">
        <v>9050</v>
      </c>
    </row>
    <row r="3230">
      <c r="A3230" s="1" t="s">
        <v>9728</v>
      </c>
      <c r="B3230" s="1" t="s">
        <v>9729</v>
      </c>
      <c r="C3230" s="1" t="s">
        <v>9730</v>
      </c>
      <c r="D3230" s="1" t="s">
        <v>9646</v>
      </c>
      <c r="E3230" s="1" t="s">
        <v>9647</v>
      </c>
      <c r="F3230" s="1">
        <v>4190720.0</v>
      </c>
      <c r="G3230" s="1">
        <v>103213.0</v>
      </c>
      <c r="H3230" s="1">
        <v>5892.0</v>
      </c>
      <c r="I3230" s="1">
        <v>6.26E7</v>
      </c>
      <c r="J3230" s="1" t="s">
        <v>9050</v>
      </c>
    </row>
    <row r="3231">
      <c r="A3231" s="1" t="s">
        <v>9731</v>
      </c>
      <c r="B3231" s="1" t="s">
        <v>9732</v>
      </c>
      <c r="C3231" s="1" t="s">
        <v>9733</v>
      </c>
      <c r="D3231" s="1" t="s">
        <v>9646</v>
      </c>
      <c r="E3231" s="1" t="s">
        <v>9647</v>
      </c>
      <c r="F3231" s="1">
        <v>4951318.0</v>
      </c>
      <c r="G3231" s="1">
        <v>122704.0</v>
      </c>
      <c r="H3231" s="1">
        <v>523.0</v>
      </c>
      <c r="I3231" s="1">
        <v>6.26E7</v>
      </c>
      <c r="J3231" s="1" t="s">
        <v>9050</v>
      </c>
    </row>
    <row r="3232">
      <c r="A3232" s="1" t="s">
        <v>9734</v>
      </c>
      <c r="B3232" s="1" t="s">
        <v>9735</v>
      </c>
      <c r="C3232" s="1" t="s">
        <v>9736</v>
      </c>
      <c r="D3232" s="1" t="s">
        <v>9646</v>
      </c>
      <c r="E3232" s="1" t="s">
        <v>9647</v>
      </c>
      <c r="F3232" s="1">
        <v>1093165.0</v>
      </c>
      <c r="G3232" s="1">
        <v>34359.0</v>
      </c>
      <c r="H3232" s="1">
        <v>271.0</v>
      </c>
      <c r="I3232" s="1">
        <v>6.26E7</v>
      </c>
      <c r="J3232" s="1" t="s">
        <v>9050</v>
      </c>
    </row>
    <row r="3233">
      <c r="A3233" s="1" t="s">
        <v>9737</v>
      </c>
      <c r="B3233" s="1" t="s">
        <v>9738</v>
      </c>
      <c r="C3233" s="1" t="s">
        <v>9739</v>
      </c>
      <c r="D3233" s="1" t="s">
        <v>9646</v>
      </c>
      <c r="E3233" s="1" t="s">
        <v>9647</v>
      </c>
      <c r="F3233" s="1">
        <v>973589.0</v>
      </c>
      <c r="G3233" s="1">
        <v>16081.0</v>
      </c>
      <c r="H3233" s="1">
        <v>157.0</v>
      </c>
      <c r="I3233" s="1">
        <v>6.26E7</v>
      </c>
      <c r="J3233" s="1" t="s">
        <v>9050</v>
      </c>
    </row>
    <row r="3234">
      <c r="A3234" s="1" t="s">
        <v>9740</v>
      </c>
      <c r="B3234" s="1" t="s">
        <v>9741</v>
      </c>
      <c r="C3234" s="1" t="s">
        <v>9742</v>
      </c>
      <c r="D3234" s="1" t="s">
        <v>9646</v>
      </c>
      <c r="E3234" s="1" t="s">
        <v>9647</v>
      </c>
      <c r="F3234" s="1">
        <v>1.1892102E7</v>
      </c>
      <c r="G3234" s="1">
        <v>231004.0</v>
      </c>
      <c r="H3234" s="1">
        <v>808.0</v>
      </c>
      <c r="I3234" s="1">
        <v>6.26E7</v>
      </c>
      <c r="J3234" s="1" t="s">
        <v>9050</v>
      </c>
    </row>
    <row r="3235">
      <c r="A3235" s="1" t="s">
        <v>9743</v>
      </c>
      <c r="B3235" s="1" t="s">
        <v>9744</v>
      </c>
      <c r="C3235" s="1" t="s">
        <v>9745</v>
      </c>
      <c r="D3235" s="1" t="s">
        <v>9646</v>
      </c>
      <c r="E3235" s="1" t="s">
        <v>9647</v>
      </c>
      <c r="F3235" s="1">
        <v>1704027.0</v>
      </c>
      <c r="G3235" s="1">
        <v>25925.0</v>
      </c>
      <c r="H3235" s="1">
        <v>259.0</v>
      </c>
      <c r="I3235" s="1">
        <v>6.26E7</v>
      </c>
      <c r="J3235" s="1" t="s">
        <v>9050</v>
      </c>
    </row>
    <row r="3236">
      <c r="A3236" s="1" t="s">
        <v>9746</v>
      </c>
      <c r="B3236" s="1" t="s">
        <v>9747</v>
      </c>
      <c r="C3236" s="1" t="s">
        <v>9748</v>
      </c>
      <c r="D3236" s="1" t="s">
        <v>9646</v>
      </c>
      <c r="E3236" s="1" t="s">
        <v>9647</v>
      </c>
      <c r="F3236" s="1">
        <v>3562074.0</v>
      </c>
      <c r="G3236" s="1">
        <v>73238.0</v>
      </c>
      <c r="H3236" s="1">
        <v>5341.0</v>
      </c>
      <c r="I3236" s="1">
        <v>6.26E7</v>
      </c>
      <c r="J3236" s="1" t="s">
        <v>9050</v>
      </c>
    </row>
    <row r="3237">
      <c r="A3237" s="1" t="s">
        <v>9749</v>
      </c>
      <c r="B3237" s="1" t="s">
        <v>9750</v>
      </c>
      <c r="C3237" s="1" t="s">
        <v>9751</v>
      </c>
      <c r="D3237" s="1" t="s">
        <v>9646</v>
      </c>
      <c r="E3237" s="1" t="s">
        <v>9647</v>
      </c>
      <c r="F3237" s="1">
        <v>7386891.0</v>
      </c>
      <c r="G3237" s="1">
        <v>130016.0</v>
      </c>
      <c r="H3237" s="1">
        <v>873.0</v>
      </c>
      <c r="I3237" s="1">
        <v>6.26E7</v>
      </c>
      <c r="J3237" s="1" t="s">
        <v>9050</v>
      </c>
    </row>
    <row r="3238">
      <c r="A3238" s="1" t="s">
        <v>9752</v>
      </c>
      <c r="B3238" s="1" t="s">
        <v>9753</v>
      </c>
      <c r="C3238" s="1" t="s">
        <v>9754</v>
      </c>
      <c r="D3238" s="1" t="s">
        <v>9646</v>
      </c>
      <c r="E3238" s="1" t="s">
        <v>9647</v>
      </c>
      <c r="F3238" s="1">
        <v>1953797.0</v>
      </c>
      <c r="G3238" s="1">
        <v>47953.0</v>
      </c>
      <c r="H3238" s="1">
        <v>647.0</v>
      </c>
      <c r="I3238" s="1">
        <v>6.26E7</v>
      </c>
      <c r="J3238" s="1" t="s">
        <v>9050</v>
      </c>
    </row>
    <row r="3239">
      <c r="A3239" s="1" t="s">
        <v>9755</v>
      </c>
      <c r="B3239" s="1" t="s">
        <v>9756</v>
      </c>
      <c r="C3239" s="1" t="s">
        <v>9757</v>
      </c>
      <c r="D3239" s="1" t="s">
        <v>9646</v>
      </c>
      <c r="E3239" s="1" t="s">
        <v>9647</v>
      </c>
      <c r="F3239" s="1">
        <v>3937214.0</v>
      </c>
      <c r="G3239" s="1">
        <v>67572.0</v>
      </c>
      <c r="H3239" s="1">
        <v>1965.0</v>
      </c>
      <c r="I3239" s="1">
        <v>6.26E7</v>
      </c>
      <c r="J3239" s="1" t="s">
        <v>9050</v>
      </c>
    </row>
    <row r="3240">
      <c r="A3240" s="1" t="s">
        <v>9758</v>
      </c>
      <c r="B3240" s="1" t="s">
        <v>9759</v>
      </c>
      <c r="C3240" s="1" t="s">
        <v>9760</v>
      </c>
      <c r="D3240" s="1" t="s">
        <v>9646</v>
      </c>
      <c r="E3240" s="1" t="s">
        <v>9647</v>
      </c>
      <c r="F3240" s="1">
        <v>2187946.0</v>
      </c>
      <c r="G3240" s="1">
        <v>37540.0</v>
      </c>
      <c r="H3240" s="1">
        <v>264.0</v>
      </c>
      <c r="I3240" s="1">
        <v>6.26E7</v>
      </c>
      <c r="J3240" s="1" t="s">
        <v>9050</v>
      </c>
    </row>
    <row r="3241">
      <c r="A3241" s="1" t="s">
        <v>9761</v>
      </c>
      <c r="B3241" s="1" t="s">
        <v>9762</v>
      </c>
      <c r="C3241" s="1" t="s">
        <v>9763</v>
      </c>
      <c r="D3241" s="1" t="s">
        <v>9646</v>
      </c>
      <c r="E3241" s="1" t="s">
        <v>9647</v>
      </c>
      <c r="F3241" s="1">
        <v>8682984.0</v>
      </c>
      <c r="G3241" s="1">
        <v>178162.0</v>
      </c>
      <c r="H3241" s="1">
        <v>434.0</v>
      </c>
      <c r="I3241" s="1">
        <v>6.26E7</v>
      </c>
      <c r="J3241" s="1" t="s">
        <v>9050</v>
      </c>
    </row>
    <row r="3242">
      <c r="A3242" s="1" t="s">
        <v>9764</v>
      </c>
      <c r="B3242" s="1" t="s">
        <v>9765</v>
      </c>
      <c r="C3242" s="1" t="s">
        <v>9766</v>
      </c>
      <c r="D3242" s="1" t="s">
        <v>9646</v>
      </c>
      <c r="E3242" s="1" t="s">
        <v>9647</v>
      </c>
      <c r="F3242" s="1">
        <v>4110427.0</v>
      </c>
      <c r="G3242" s="1">
        <v>97726.0</v>
      </c>
      <c r="H3242" s="1">
        <v>600.0</v>
      </c>
      <c r="I3242" s="1">
        <v>6.26E7</v>
      </c>
      <c r="J3242" s="1" t="s">
        <v>9050</v>
      </c>
    </row>
    <row r="3243">
      <c r="A3243" s="1" t="s">
        <v>9767</v>
      </c>
      <c r="B3243" s="1" t="s">
        <v>9768</v>
      </c>
      <c r="C3243" s="1" t="s">
        <v>9769</v>
      </c>
      <c r="D3243" s="1" t="s">
        <v>9646</v>
      </c>
      <c r="E3243" s="1" t="s">
        <v>9647</v>
      </c>
      <c r="F3243" s="1">
        <v>1.8574119E7</v>
      </c>
      <c r="G3243" s="1">
        <v>230573.0</v>
      </c>
      <c r="H3243" s="1">
        <v>397.0</v>
      </c>
      <c r="I3243" s="1">
        <v>6.26E7</v>
      </c>
      <c r="J3243" s="1" t="s">
        <v>9050</v>
      </c>
    </row>
    <row r="3244">
      <c r="A3244" s="1" t="s">
        <v>9770</v>
      </c>
      <c r="B3244" s="1" t="s">
        <v>9771</v>
      </c>
      <c r="C3244" s="1" t="s">
        <v>9772</v>
      </c>
      <c r="D3244" s="1" t="s">
        <v>9646</v>
      </c>
      <c r="E3244" s="1" t="s">
        <v>9647</v>
      </c>
      <c r="F3244" s="1">
        <v>7.7520809E7</v>
      </c>
      <c r="G3244" s="1">
        <v>1222555.0</v>
      </c>
      <c r="H3244" s="1">
        <v>1728.0</v>
      </c>
      <c r="I3244" s="1">
        <v>6.26E7</v>
      </c>
      <c r="J3244" s="1" t="s">
        <v>9050</v>
      </c>
    </row>
    <row r="3245">
      <c r="A3245" s="1" t="s">
        <v>9773</v>
      </c>
      <c r="B3245" s="1" t="s">
        <v>9774</v>
      </c>
      <c r="C3245" s="1" t="s">
        <v>9775</v>
      </c>
      <c r="D3245" s="1" t="s">
        <v>9646</v>
      </c>
      <c r="E3245" s="1" t="s">
        <v>9647</v>
      </c>
      <c r="F3245" s="1">
        <v>3547276.0</v>
      </c>
      <c r="G3245" s="1">
        <v>61217.0</v>
      </c>
      <c r="H3245" s="1">
        <v>518.0</v>
      </c>
      <c r="I3245" s="1">
        <v>6.26E7</v>
      </c>
      <c r="J3245" s="1" t="s">
        <v>9050</v>
      </c>
    </row>
    <row r="3246">
      <c r="A3246" s="1" t="s">
        <v>9776</v>
      </c>
      <c r="B3246" s="1" t="s">
        <v>9777</v>
      </c>
      <c r="C3246" s="1" t="s">
        <v>9778</v>
      </c>
      <c r="D3246" s="1" t="s">
        <v>9646</v>
      </c>
      <c r="E3246" s="1" t="s">
        <v>9647</v>
      </c>
      <c r="F3246" s="1">
        <v>5894355.0</v>
      </c>
      <c r="G3246" s="1">
        <v>148410.0</v>
      </c>
      <c r="H3246" s="1">
        <v>5575.0</v>
      </c>
      <c r="I3246" s="1">
        <v>6.26E7</v>
      </c>
      <c r="J3246" s="1" t="s">
        <v>9050</v>
      </c>
    </row>
    <row r="3247">
      <c r="A3247" s="1" t="s">
        <v>9779</v>
      </c>
      <c r="B3247" s="1" t="s">
        <v>9780</v>
      </c>
      <c r="C3247" s="1" t="s">
        <v>9781</v>
      </c>
      <c r="D3247" s="1" t="s">
        <v>9646</v>
      </c>
      <c r="E3247" s="1" t="s">
        <v>9647</v>
      </c>
      <c r="F3247" s="1">
        <v>2604726.0</v>
      </c>
      <c r="G3247" s="1">
        <v>25297.0</v>
      </c>
      <c r="H3247" s="1">
        <v>1122.0</v>
      </c>
      <c r="I3247" s="1">
        <v>6.26E7</v>
      </c>
      <c r="J3247" s="1" t="s">
        <v>9050</v>
      </c>
    </row>
    <row r="3248">
      <c r="A3248" s="1" t="s">
        <v>9782</v>
      </c>
      <c r="B3248" s="1" t="s">
        <v>9783</v>
      </c>
      <c r="C3248" s="1" t="s">
        <v>9784</v>
      </c>
      <c r="D3248" s="1" t="s">
        <v>9646</v>
      </c>
      <c r="E3248" s="1" t="s">
        <v>9647</v>
      </c>
      <c r="F3248" s="1">
        <v>4.6561575E7</v>
      </c>
      <c r="G3248" s="1">
        <v>692046.0</v>
      </c>
      <c r="H3248" s="1">
        <v>1054.0</v>
      </c>
      <c r="I3248" s="1">
        <v>6.26E7</v>
      </c>
      <c r="J3248" s="1" t="s">
        <v>9050</v>
      </c>
    </row>
    <row r="3249">
      <c r="A3249" s="1" t="s">
        <v>9785</v>
      </c>
      <c r="B3249" s="1" t="s">
        <v>9786</v>
      </c>
      <c r="C3249" s="1" t="s">
        <v>9787</v>
      </c>
      <c r="D3249" s="1" t="s">
        <v>9646</v>
      </c>
      <c r="E3249" s="1" t="s">
        <v>9647</v>
      </c>
      <c r="F3249" s="1">
        <v>4183753.0</v>
      </c>
      <c r="G3249" s="1">
        <v>89467.0</v>
      </c>
      <c r="H3249" s="1">
        <v>329.0</v>
      </c>
      <c r="I3249" s="1">
        <v>6.26E7</v>
      </c>
      <c r="J3249" s="1" t="s">
        <v>9050</v>
      </c>
    </row>
    <row r="3250">
      <c r="A3250" s="1" t="s">
        <v>9788</v>
      </c>
      <c r="B3250" s="1" t="s">
        <v>9789</v>
      </c>
      <c r="C3250" s="1" t="s">
        <v>9790</v>
      </c>
      <c r="D3250" s="1" t="s">
        <v>9646</v>
      </c>
      <c r="E3250" s="1" t="s">
        <v>9647</v>
      </c>
      <c r="F3250" s="1">
        <v>4889362.0</v>
      </c>
      <c r="G3250" s="1">
        <v>89613.0</v>
      </c>
      <c r="H3250" s="1">
        <v>220.0</v>
      </c>
      <c r="I3250" s="1">
        <v>6.26E7</v>
      </c>
      <c r="J3250" s="1" t="s">
        <v>9050</v>
      </c>
    </row>
    <row r="3251">
      <c r="A3251" s="1" t="s">
        <v>9791</v>
      </c>
      <c r="B3251" s="1" t="s">
        <v>9792</v>
      </c>
      <c r="C3251" s="1" t="s">
        <v>9793</v>
      </c>
      <c r="D3251" s="1" t="s">
        <v>9646</v>
      </c>
      <c r="E3251" s="1" t="s">
        <v>9647</v>
      </c>
      <c r="F3251" s="1">
        <v>5228896.0</v>
      </c>
      <c r="G3251" s="1">
        <v>99355.0</v>
      </c>
      <c r="H3251" s="1">
        <v>3492.0</v>
      </c>
      <c r="I3251" s="1">
        <v>6.26E7</v>
      </c>
      <c r="J3251" s="1" t="s">
        <v>9050</v>
      </c>
    </row>
    <row r="3252">
      <c r="A3252" s="1" t="s">
        <v>9794</v>
      </c>
      <c r="B3252" s="1" t="s">
        <v>9795</v>
      </c>
      <c r="C3252" s="1" t="s">
        <v>9796</v>
      </c>
      <c r="D3252" s="1" t="s">
        <v>9646</v>
      </c>
      <c r="E3252" s="1" t="s">
        <v>9647</v>
      </c>
      <c r="F3252" s="1">
        <v>9040310.0</v>
      </c>
      <c r="G3252" s="1">
        <v>271079.0</v>
      </c>
      <c r="H3252" s="1">
        <v>634.0</v>
      </c>
      <c r="I3252" s="1">
        <v>6.26E7</v>
      </c>
      <c r="J3252" s="1" t="s">
        <v>9050</v>
      </c>
    </row>
    <row r="3253">
      <c r="A3253" s="1" t="s">
        <v>9797</v>
      </c>
      <c r="B3253" s="1" t="s">
        <v>9798</v>
      </c>
      <c r="C3253" s="1" t="s">
        <v>9799</v>
      </c>
      <c r="D3253" s="1" t="s">
        <v>9646</v>
      </c>
      <c r="E3253" s="1" t="s">
        <v>9647</v>
      </c>
      <c r="F3253" s="1">
        <v>9454765.0</v>
      </c>
      <c r="G3253" s="1">
        <v>166076.0</v>
      </c>
      <c r="H3253" s="1">
        <v>607.0</v>
      </c>
      <c r="I3253" s="1">
        <v>6.26E7</v>
      </c>
      <c r="J3253" s="1" t="s">
        <v>9050</v>
      </c>
    </row>
    <row r="3254">
      <c r="A3254" s="1" t="s">
        <v>9800</v>
      </c>
      <c r="B3254" s="1" t="s">
        <v>9801</v>
      </c>
      <c r="C3254" s="1" t="s">
        <v>9802</v>
      </c>
      <c r="D3254" s="1" t="s">
        <v>9646</v>
      </c>
      <c r="E3254" s="1" t="s">
        <v>9647</v>
      </c>
      <c r="F3254" s="1">
        <v>4119184.0</v>
      </c>
      <c r="G3254" s="1">
        <v>84015.0</v>
      </c>
      <c r="H3254" s="1">
        <v>402.0</v>
      </c>
      <c r="I3254" s="1">
        <v>6.26E7</v>
      </c>
      <c r="J3254" s="1" t="s">
        <v>9050</v>
      </c>
    </row>
    <row r="3255">
      <c r="A3255" s="1" t="s">
        <v>9803</v>
      </c>
      <c r="B3255" s="1" t="s">
        <v>9804</v>
      </c>
      <c r="C3255" s="1" t="s">
        <v>9805</v>
      </c>
      <c r="D3255" s="1" t="s">
        <v>9646</v>
      </c>
      <c r="E3255" s="1" t="s">
        <v>9647</v>
      </c>
      <c r="F3255" s="1">
        <v>9303116.0</v>
      </c>
      <c r="G3255" s="1">
        <v>195682.0</v>
      </c>
      <c r="H3255" s="1">
        <v>908.0</v>
      </c>
      <c r="I3255" s="1">
        <v>6.26E7</v>
      </c>
      <c r="J3255" s="1" t="s">
        <v>9050</v>
      </c>
    </row>
    <row r="3256">
      <c r="A3256" s="1" t="s">
        <v>9806</v>
      </c>
      <c r="B3256" s="1" t="s">
        <v>9807</v>
      </c>
      <c r="C3256" s="1" t="s">
        <v>9808</v>
      </c>
      <c r="D3256" s="1" t="s">
        <v>9646</v>
      </c>
      <c r="E3256" s="1" t="s">
        <v>9647</v>
      </c>
      <c r="F3256" s="1">
        <v>1972699.0</v>
      </c>
      <c r="G3256" s="1">
        <v>47319.0</v>
      </c>
      <c r="H3256" s="1">
        <v>220.0</v>
      </c>
      <c r="I3256" s="1">
        <v>6.26E7</v>
      </c>
      <c r="J3256" s="1" t="s">
        <v>9050</v>
      </c>
    </row>
    <row r="3257">
      <c r="A3257" s="1" t="s">
        <v>9809</v>
      </c>
      <c r="B3257" s="1" t="s">
        <v>9810</v>
      </c>
      <c r="C3257" s="1" t="s">
        <v>9811</v>
      </c>
      <c r="D3257" s="1" t="s">
        <v>9646</v>
      </c>
      <c r="E3257" s="1" t="s">
        <v>9647</v>
      </c>
      <c r="F3257" s="1">
        <v>6650114.0</v>
      </c>
      <c r="G3257" s="1">
        <v>67261.0</v>
      </c>
      <c r="H3257" s="1">
        <v>3681.0</v>
      </c>
      <c r="I3257" s="1">
        <v>6.26E7</v>
      </c>
      <c r="J3257" s="1" t="s">
        <v>9050</v>
      </c>
    </row>
    <row r="3258">
      <c r="A3258" s="1" t="s">
        <v>9812</v>
      </c>
      <c r="B3258" s="1" t="s">
        <v>9813</v>
      </c>
      <c r="C3258" s="1" t="s">
        <v>9814</v>
      </c>
      <c r="D3258" s="1" t="s">
        <v>9646</v>
      </c>
      <c r="E3258" s="1" t="s">
        <v>9647</v>
      </c>
      <c r="F3258" s="1">
        <v>1.5190444E7</v>
      </c>
      <c r="G3258" s="1">
        <v>222393.0</v>
      </c>
      <c r="H3258" s="1">
        <v>868.0</v>
      </c>
      <c r="I3258" s="1">
        <v>6.26E7</v>
      </c>
      <c r="J3258" s="1" t="s">
        <v>9050</v>
      </c>
    </row>
    <row r="3259">
      <c r="A3259" s="1" t="s">
        <v>9815</v>
      </c>
      <c r="B3259" s="1" t="s">
        <v>9816</v>
      </c>
      <c r="C3259" s="1" t="s">
        <v>9817</v>
      </c>
      <c r="D3259" s="1" t="s">
        <v>9646</v>
      </c>
      <c r="E3259" s="1" t="s">
        <v>9647</v>
      </c>
      <c r="F3259" s="1">
        <v>765371.0</v>
      </c>
      <c r="G3259" s="1">
        <v>19247.0</v>
      </c>
      <c r="H3259" s="1">
        <v>181.0</v>
      </c>
      <c r="I3259" s="1">
        <v>6.26E7</v>
      </c>
      <c r="J3259" s="1" t="s">
        <v>9050</v>
      </c>
    </row>
    <row r="3260">
      <c r="A3260" s="1" t="s">
        <v>9818</v>
      </c>
      <c r="B3260" s="1" t="s">
        <v>9819</v>
      </c>
      <c r="C3260" s="1" t="s">
        <v>9820</v>
      </c>
      <c r="D3260" s="1" t="s">
        <v>9646</v>
      </c>
      <c r="E3260" s="1" t="s">
        <v>9647</v>
      </c>
      <c r="F3260" s="1">
        <v>2.3969985E7</v>
      </c>
      <c r="G3260" s="1">
        <v>149221.0</v>
      </c>
      <c r="H3260" s="1">
        <v>386.0</v>
      </c>
      <c r="I3260" s="1">
        <v>6.26E7</v>
      </c>
      <c r="J3260" s="1" t="s">
        <v>9050</v>
      </c>
    </row>
    <row r="3261">
      <c r="A3261" s="1" t="s">
        <v>9821</v>
      </c>
      <c r="B3261" s="1" t="s">
        <v>9822</v>
      </c>
      <c r="C3261" s="1" t="s">
        <v>9823</v>
      </c>
      <c r="D3261" s="1" t="s">
        <v>9646</v>
      </c>
      <c r="E3261" s="1" t="s">
        <v>9647</v>
      </c>
      <c r="F3261" s="1">
        <v>2673273.0</v>
      </c>
      <c r="G3261" s="1">
        <v>40856.0</v>
      </c>
      <c r="H3261" s="1">
        <v>192.0</v>
      </c>
      <c r="I3261" s="1">
        <v>6.26E7</v>
      </c>
      <c r="J3261" s="1" t="s">
        <v>9050</v>
      </c>
    </row>
    <row r="3262">
      <c r="A3262" s="1" t="s">
        <v>9824</v>
      </c>
      <c r="B3262" s="1" t="s">
        <v>9825</v>
      </c>
      <c r="C3262" s="1" t="s">
        <v>9826</v>
      </c>
      <c r="D3262" s="1" t="s">
        <v>9646</v>
      </c>
      <c r="E3262" s="1" t="s">
        <v>9647</v>
      </c>
      <c r="F3262" s="1">
        <v>6032306.0</v>
      </c>
      <c r="G3262" s="1">
        <v>93696.0</v>
      </c>
      <c r="H3262" s="1">
        <v>352.0</v>
      </c>
      <c r="I3262" s="1">
        <v>6.26E7</v>
      </c>
      <c r="J3262" s="1" t="s">
        <v>9050</v>
      </c>
    </row>
    <row r="3263">
      <c r="A3263" s="1" t="s">
        <v>9827</v>
      </c>
      <c r="B3263" s="1" t="s">
        <v>9828</v>
      </c>
      <c r="C3263" s="1" t="s">
        <v>9829</v>
      </c>
      <c r="D3263" s="1" t="s">
        <v>9646</v>
      </c>
      <c r="E3263" s="1" t="s">
        <v>9647</v>
      </c>
      <c r="F3263" s="1">
        <v>2947183.0</v>
      </c>
      <c r="G3263" s="1">
        <v>53340.0</v>
      </c>
      <c r="H3263" s="1">
        <v>357.0</v>
      </c>
      <c r="I3263" s="1">
        <v>6.26E7</v>
      </c>
      <c r="J3263" s="1" t="s">
        <v>9050</v>
      </c>
    </row>
    <row r="3264">
      <c r="A3264" s="1" t="s">
        <v>9830</v>
      </c>
      <c r="B3264" s="1" t="s">
        <v>9831</v>
      </c>
      <c r="C3264" s="1" t="s">
        <v>9832</v>
      </c>
      <c r="D3264" s="1" t="s">
        <v>9646</v>
      </c>
      <c r="E3264" s="1" t="s">
        <v>9647</v>
      </c>
      <c r="F3264" s="1">
        <v>5247182.0</v>
      </c>
      <c r="G3264" s="1">
        <v>94137.0</v>
      </c>
      <c r="H3264" s="1">
        <v>2362.0</v>
      </c>
      <c r="I3264" s="1">
        <v>6.26E7</v>
      </c>
      <c r="J3264" s="1" t="s">
        <v>9050</v>
      </c>
    </row>
    <row r="3265">
      <c r="A3265" s="1" t="s">
        <v>9833</v>
      </c>
      <c r="B3265" s="1" t="s">
        <v>9834</v>
      </c>
      <c r="C3265" s="1" t="s">
        <v>9835</v>
      </c>
      <c r="D3265" s="1" t="s">
        <v>9646</v>
      </c>
      <c r="E3265" s="1" t="s">
        <v>9647</v>
      </c>
      <c r="F3265" s="1">
        <v>1216188.0</v>
      </c>
      <c r="G3265" s="1">
        <v>23556.0</v>
      </c>
      <c r="H3265" s="1">
        <v>116.0</v>
      </c>
      <c r="I3265" s="1">
        <v>6.26E7</v>
      </c>
      <c r="J3265" s="1" t="s">
        <v>9050</v>
      </c>
    </row>
    <row r="3266">
      <c r="A3266" s="1" t="s">
        <v>9836</v>
      </c>
      <c r="B3266" s="1" t="s">
        <v>9837</v>
      </c>
      <c r="C3266" s="1" t="s">
        <v>9838</v>
      </c>
      <c r="D3266" s="1" t="s">
        <v>9646</v>
      </c>
      <c r="E3266" s="1" t="s">
        <v>9647</v>
      </c>
      <c r="F3266" s="1">
        <v>1580700.0</v>
      </c>
      <c r="G3266" s="1">
        <v>27183.0</v>
      </c>
      <c r="H3266" s="1">
        <v>169.0</v>
      </c>
      <c r="I3266" s="1">
        <v>6.26E7</v>
      </c>
      <c r="J3266" s="1" t="s">
        <v>9050</v>
      </c>
    </row>
    <row r="3267">
      <c r="A3267" s="1" t="s">
        <v>9839</v>
      </c>
      <c r="B3267" s="1" t="s">
        <v>9840</v>
      </c>
      <c r="C3267" s="1" t="s">
        <v>9841</v>
      </c>
      <c r="D3267" s="1" t="s">
        <v>9646</v>
      </c>
      <c r="E3267" s="1" t="s">
        <v>9647</v>
      </c>
      <c r="F3267" s="1">
        <v>2681186.0</v>
      </c>
      <c r="G3267" s="1">
        <v>40163.0</v>
      </c>
      <c r="H3267" s="1">
        <v>247.0</v>
      </c>
      <c r="I3267" s="1">
        <v>6.26E7</v>
      </c>
      <c r="J3267" s="1" t="s">
        <v>9050</v>
      </c>
    </row>
    <row r="3268">
      <c r="A3268" s="1" t="s">
        <v>9842</v>
      </c>
      <c r="B3268" s="1" t="s">
        <v>9843</v>
      </c>
      <c r="C3268" s="1" t="s">
        <v>9844</v>
      </c>
      <c r="D3268" s="1" t="s">
        <v>9646</v>
      </c>
      <c r="E3268" s="1" t="s">
        <v>9647</v>
      </c>
      <c r="F3268" s="1">
        <v>2322514.0</v>
      </c>
      <c r="G3268" s="1">
        <v>50056.0</v>
      </c>
      <c r="H3268" s="1">
        <v>212.0</v>
      </c>
      <c r="I3268" s="1">
        <v>6.26E7</v>
      </c>
      <c r="J3268" s="1" t="s">
        <v>9050</v>
      </c>
    </row>
    <row r="3269">
      <c r="A3269" s="1" t="s">
        <v>9845</v>
      </c>
      <c r="B3269" s="1" t="s">
        <v>9846</v>
      </c>
      <c r="C3269" s="1" t="s">
        <v>9847</v>
      </c>
      <c r="D3269" s="1" t="s">
        <v>9646</v>
      </c>
      <c r="E3269" s="1" t="s">
        <v>9647</v>
      </c>
      <c r="F3269" s="1">
        <v>3121685.0</v>
      </c>
      <c r="G3269" s="1">
        <v>55238.0</v>
      </c>
      <c r="H3269" s="1">
        <v>1349.0</v>
      </c>
      <c r="I3269" s="1">
        <v>6.26E7</v>
      </c>
      <c r="J3269" s="1" t="s">
        <v>9050</v>
      </c>
    </row>
    <row r="3270">
      <c r="A3270" s="1" t="s">
        <v>9848</v>
      </c>
      <c r="B3270" s="1" t="s">
        <v>9849</v>
      </c>
      <c r="C3270" s="1" t="s">
        <v>9850</v>
      </c>
      <c r="D3270" s="1" t="s">
        <v>9646</v>
      </c>
      <c r="E3270" s="1" t="s">
        <v>9647</v>
      </c>
      <c r="F3270" s="1">
        <v>1.17740242E8</v>
      </c>
      <c r="G3270" s="1">
        <v>670979.0</v>
      </c>
      <c r="H3270" s="1">
        <v>2204.0</v>
      </c>
      <c r="I3270" s="1">
        <v>6.26E7</v>
      </c>
      <c r="J3270" s="1" t="s">
        <v>9050</v>
      </c>
    </row>
    <row r="3271">
      <c r="A3271" s="1" t="s">
        <v>9851</v>
      </c>
      <c r="B3271" s="1" t="s">
        <v>9852</v>
      </c>
      <c r="C3271" s="1" t="s">
        <v>9853</v>
      </c>
      <c r="D3271" s="1" t="s">
        <v>9646</v>
      </c>
      <c r="E3271" s="1" t="s">
        <v>9647</v>
      </c>
      <c r="F3271" s="1">
        <v>4089108.0</v>
      </c>
      <c r="G3271" s="1">
        <v>60694.0</v>
      </c>
      <c r="H3271" s="1">
        <v>438.0</v>
      </c>
      <c r="I3271" s="1">
        <v>6.26E7</v>
      </c>
      <c r="J3271" s="1" t="s">
        <v>9050</v>
      </c>
    </row>
    <row r="3272">
      <c r="A3272" s="1" t="s">
        <v>9854</v>
      </c>
      <c r="B3272" s="1" t="s">
        <v>9855</v>
      </c>
      <c r="C3272" s="1" t="s">
        <v>9856</v>
      </c>
      <c r="D3272" s="1" t="s">
        <v>9646</v>
      </c>
      <c r="E3272" s="1" t="s">
        <v>9647</v>
      </c>
      <c r="F3272" s="1">
        <v>1614917.0</v>
      </c>
      <c r="G3272" s="1">
        <v>19548.0</v>
      </c>
      <c r="H3272" s="1">
        <v>146.0</v>
      </c>
      <c r="I3272" s="1">
        <v>6.26E7</v>
      </c>
      <c r="J3272" s="1" t="s">
        <v>9050</v>
      </c>
    </row>
    <row r="3273">
      <c r="A3273" s="1" t="s">
        <v>9857</v>
      </c>
      <c r="B3273" s="1" t="s">
        <v>9858</v>
      </c>
      <c r="C3273" s="1" t="s">
        <v>9859</v>
      </c>
      <c r="D3273" s="1" t="s">
        <v>9646</v>
      </c>
      <c r="E3273" s="1" t="s">
        <v>9647</v>
      </c>
      <c r="F3273" s="1">
        <v>3700235.0</v>
      </c>
      <c r="G3273" s="1">
        <v>72553.0</v>
      </c>
      <c r="H3273" s="1">
        <v>231.0</v>
      </c>
      <c r="I3273" s="1">
        <v>6.26E7</v>
      </c>
      <c r="J3273" s="1" t="s">
        <v>9050</v>
      </c>
    </row>
    <row r="3274">
      <c r="A3274" s="1" t="s">
        <v>9860</v>
      </c>
      <c r="B3274" s="1" t="s">
        <v>9861</v>
      </c>
      <c r="C3274" s="1" t="s">
        <v>9862</v>
      </c>
      <c r="D3274" s="1" t="s">
        <v>9646</v>
      </c>
      <c r="E3274" s="1" t="s">
        <v>9647</v>
      </c>
      <c r="F3274" s="1">
        <v>5251188.0</v>
      </c>
      <c r="G3274" s="1">
        <v>62945.0</v>
      </c>
      <c r="H3274" s="1">
        <v>1287.0</v>
      </c>
      <c r="I3274" s="1">
        <v>6.26E7</v>
      </c>
      <c r="J3274" s="1" t="s">
        <v>9050</v>
      </c>
    </row>
    <row r="3275">
      <c r="A3275" s="1" t="s">
        <v>9863</v>
      </c>
      <c r="B3275" s="1" t="s">
        <v>9864</v>
      </c>
      <c r="C3275" s="1" t="s">
        <v>9865</v>
      </c>
      <c r="D3275" s="1" t="s">
        <v>9646</v>
      </c>
      <c r="E3275" s="1" t="s">
        <v>9647</v>
      </c>
      <c r="F3275" s="1">
        <v>3.86446E7</v>
      </c>
      <c r="G3275" s="1">
        <v>82684.0</v>
      </c>
      <c r="H3275" s="1">
        <v>1940.0</v>
      </c>
      <c r="I3275" s="1">
        <v>6.26E7</v>
      </c>
      <c r="J3275" s="1" t="s">
        <v>9050</v>
      </c>
    </row>
    <row r="3276">
      <c r="A3276" s="1" t="s">
        <v>9866</v>
      </c>
      <c r="B3276" s="1" t="s">
        <v>9867</v>
      </c>
      <c r="C3276" s="1" t="s">
        <v>9868</v>
      </c>
      <c r="D3276" s="1" t="s">
        <v>9646</v>
      </c>
      <c r="E3276" s="1" t="s">
        <v>9647</v>
      </c>
      <c r="F3276" s="1">
        <v>859213.0</v>
      </c>
      <c r="G3276" s="1">
        <v>13931.0</v>
      </c>
      <c r="H3276" s="1">
        <v>119.0</v>
      </c>
      <c r="I3276" s="1">
        <v>6.26E7</v>
      </c>
      <c r="J3276" s="1" t="s">
        <v>9050</v>
      </c>
    </row>
    <row r="3277">
      <c r="A3277" s="1" t="s">
        <v>9869</v>
      </c>
      <c r="B3277" s="1" t="s">
        <v>9870</v>
      </c>
      <c r="C3277" s="1" t="s">
        <v>9871</v>
      </c>
      <c r="D3277" s="1" t="s">
        <v>9646</v>
      </c>
      <c r="E3277" s="1" t="s">
        <v>9647</v>
      </c>
      <c r="F3277" s="1">
        <v>1040614.0</v>
      </c>
      <c r="G3277" s="1">
        <v>22868.0</v>
      </c>
      <c r="H3277" s="1">
        <v>256.0</v>
      </c>
      <c r="I3277" s="1">
        <v>6.26E7</v>
      </c>
      <c r="J3277" s="1" t="s">
        <v>9050</v>
      </c>
    </row>
    <row r="3278">
      <c r="A3278" s="1" t="s">
        <v>9872</v>
      </c>
      <c r="B3278" s="1" t="s">
        <v>9873</v>
      </c>
      <c r="C3278" s="1" t="s">
        <v>9874</v>
      </c>
      <c r="D3278" s="1" t="s">
        <v>9646</v>
      </c>
      <c r="E3278" s="1" t="s">
        <v>9647</v>
      </c>
      <c r="F3278" s="1">
        <v>3774569.0</v>
      </c>
      <c r="G3278" s="1">
        <v>44249.0</v>
      </c>
      <c r="H3278" s="1">
        <v>445.0</v>
      </c>
      <c r="I3278" s="1">
        <v>6.26E7</v>
      </c>
      <c r="J3278" s="1" t="s">
        <v>9050</v>
      </c>
    </row>
    <row r="3279">
      <c r="A3279" s="1" t="s">
        <v>9875</v>
      </c>
      <c r="B3279" s="1" t="s">
        <v>9876</v>
      </c>
      <c r="C3279" s="1" t="s">
        <v>9877</v>
      </c>
      <c r="D3279" s="1" t="s">
        <v>9646</v>
      </c>
      <c r="E3279" s="1" t="s">
        <v>9647</v>
      </c>
      <c r="F3279" s="1">
        <v>3476997.0</v>
      </c>
      <c r="G3279" s="1">
        <v>65536.0</v>
      </c>
      <c r="H3279" s="1">
        <v>321.0</v>
      </c>
      <c r="I3279" s="1">
        <v>6.26E7</v>
      </c>
      <c r="J3279" s="1" t="s">
        <v>9050</v>
      </c>
    </row>
    <row r="3280">
      <c r="A3280" s="1" t="s">
        <v>9878</v>
      </c>
      <c r="B3280" s="1" t="s">
        <v>9879</v>
      </c>
      <c r="C3280" s="1" t="s">
        <v>9880</v>
      </c>
      <c r="D3280" s="1" t="s">
        <v>9646</v>
      </c>
      <c r="E3280" s="1" t="s">
        <v>9647</v>
      </c>
      <c r="F3280" s="1">
        <v>5069122.0</v>
      </c>
      <c r="G3280" s="1">
        <v>75975.0</v>
      </c>
      <c r="H3280" s="1">
        <v>175.0</v>
      </c>
      <c r="I3280" s="1">
        <v>6.26E7</v>
      </c>
      <c r="J3280" s="1" t="s">
        <v>9050</v>
      </c>
    </row>
    <row r="3281">
      <c r="A3281" s="1" t="s">
        <v>9881</v>
      </c>
      <c r="B3281" s="1" t="s">
        <v>9882</v>
      </c>
      <c r="C3281" s="1" t="s">
        <v>9883</v>
      </c>
      <c r="D3281" s="1" t="s">
        <v>9646</v>
      </c>
      <c r="E3281" s="1" t="s">
        <v>9647</v>
      </c>
      <c r="F3281" s="1">
        <v>1.6916872E7</v>
      </c>
      <c r="G3281" s="1">
        <v>77903.0</v>
      </c>
      <c r="H3281" s="1">
        <v>2343.0</v>
      </c>
      <c r="I3281" s="1">
        <v>6.26E7</v>
      </c>
      <c r="J3281" s="1" t="s">
        <v>9050</v>
      </c>
    </row>
    <row r="3282">
      <c r="A3282" s="1" t="s">
        <v>9884</v>
      </c>
      <c r="B3282" s="1" t="s">
        <v>9885</v>
      </c>
      <c r="C3282" s="1" t="s">
        <v>9886</v>
      </c>
      <c r="D3282" s="1" t="s">
        <v>9646</v>
      </c>
      <c r="E3282" s="1" t="s">
        <v>9647</v>
      </c>
      <c r="F3282" s="1">
        <v>1.0458306E7</v>
      </c>
      <c r="G3282" s="1">
        <v>202608.0</v>
      </c>
      <c r="H3282" s="1">
        <v>489.0</v>
      </c>
      <c r="I3282" s="1">
        <v>6.26E7</v>
      </c>
      <c r="J3282" s="1" t="s">
        <v>9050</v>
      </c>
    </row>
    <row r="3283">
      <c r="A3283" s="1" t="s">
        <v>9887</v>
      </c>
      <c r="B3283" s="1" t="s">
        <v>9888</v>
      </c>
      <c r="C3283" s="1" t="s">
        <v>9889</v>
      </c>
      <c r="D3283" s="1" t="s">
        <v>9646</v>
      </c>
      <c r="E3283" s="1" t="s">
        <v>9647</v>
      </c>
      <c r="F3283" s="1">
        <v>2.2079286E7</v>
      </c>
      <c r="G3283" s="1">
        <v>315710.0</v>
      </c>
      <c r="H3283" s="1">
        <v>1186.0</v>
      </c>
      <c r="I3283" s="1">
        <v>6.26E7</v>
      </c>
      <c r="J3283" s="1" t="s">
        <v>9050</v>
      </c>
    </row>
    <row r="3284">
      <c r="A3284" s="1" t="s">
        <v>9890</v>
      </c>
      <c r="B3284" s="1" t="s">
        <v>9891</v>
      </c>
      <c r="C3284" s="1" t="s">
        <v>9892</v>
      </c>
      <c r="D3284" s="1" t="s">
        <v>9646</v>
      </c>
      <c r="E3284" s="1" t="s">
        <v>9647</v>
      </c>
      <c r="F3284" s="1">
        <v>1.502487E7</v>
      </c>
      <c r="G3284" s="1">
        <v>267306.0</v>
      </c>
      <c r="H3284" s="1">
        <v>724.0</v>
      </c>
      <c r="I3284" s="1">
        <v>6.26E7</v>
      </c>
      <c r="J3284" s="1" t="s">
        <v>9050</v>
      </c>
    </row>
    <row r="3285">
      <c r="A3285" s="1" t="s">
        <v>9893</v>
      </c>
      <c r="B3285" s="1" t="s">
        <v>9894</v>
      </c>
      <c r="C3285" s="1" t="s">
        <v>9895</v>
      </c>
      <c r="D3285" s="1" t="s">
        <v>9646</v>
      </c>
      <c r="E3285" s="1" t="s">
        <v>9647</v>
      </c>
      <c r="F3285" s="1">
        <v>7155094.0</v>
      </c>
      <c r="G3285" s="1">
        <v>96263.0</v>
      </c>
      <c r="H3285" s="1">
        <v>3058.0</v>
      </c>
      <c r="I3285" s="1">
        <v>6.26E7</v>
      </c>
      <c r="J3285" s="1" t="s">
        <v>9050</v>
      </c>
    </row>
    <row r="3286">
      <c r="A3286" s="1" t="s">
        <v>9896</v>
      </c>
      <c r="B3286" s="1" t="s">
        <v>9897</v>
      </c>
      <c r="C3286" s="1" t="s">
        <v>9898</v>
      </c>
      <c r="D3286" s="1" t="s">
        <v>9646</v>
      </c>
      <c r="E3286" s="1" t="s">
        <v>9647</v>
      </c>
      <c r="F3286" s="1">
        <v>3534671.0</v>
      </c>
      <c r="G3286" s="1">
        <v>55086.0</v>
      </c>
      <c r="H3286" s="1">
        <v>545.0</v>
      </c>
      <c r="I3286" s="1">
        <v>6.26E7</v>
      </c>
      <c r="J3286" s="1" t="s">
        <v>9050</v>
      </c>
    </row>
    <row r="3287">
      <c r="A3287" s="1" t="s">
        <v>9899</v>
      </c>
      <c r="B3287" s="1" t="s">
        <v>9900</v>
      </c>
      <c r="C3287" s="1" t="s">
        <v>9901</v>
      </c>
      <c r="D3287" s="1" t="s">
        <v>9646</v>
      </c>
      <c r="E3287" s="1" t="s">
        <v>9647</v>
      </c>
      <c r="F3287" s="1">
        <v>3906792.0</v>
      </c>
      <c r="G3287" s="1">
        <v>97165.0</v>
      </c>
      <c r="H3287" s="1">
        <v>864.0</v>
      </c>
      <c r="I3287" s="1">
        <v>6.26E7</v>
      </c>
      <c r="J3287" s="1" t="s">
        <v>9050</v>
      </c>
    </row>
    <row r="3288">
      <c r="A3288" s="1" t="s">
        <v>9902</v>
      </c>
      <c r="B3288" s="1" t="s">
        <v>9903</v>
      </c>
      <c r="C3288" s="1" t="s">
        <v>9904</v>
      </c>
      <c r="D3288" s="1" t="s">
        <v>9646</v>
      </c>
      <c r="E3288" s="1" t="s">
        <v>9647</v>
      </c>
      <c r="F3288" s="1">
        <v>2808014.0</v>
      </c>
      <c r="G3288" s="1">
        <v>50504.0</v>
      </c>
      <c r="H3288" s="1">
        <v>595.0</v>
      </c>
      <c r="I3288" s="1">
        <v>6.26E7</v>
      </c>
      <c r="J3288" s="1" t="s">
        <v>9050</v>
      </c>
    </row>
    <row r="3289">
      <c r="A3289" s="1" t="s">
        <v>9905</v>
      </c>
      <c r="B3289" s="1" t="s">
        <v>9906</v>
      </c>
      <c r="C3289" s="1" t="s">
        <v>9907</v>
      </c>
      <c r="D3289" s="1" t="s">
        <v>9646</v>
      </c>
      <c r="E3289" s="1" t="s">
        <v>9647</v>
      </c>
      <c r="F3289" s="1">
        <v>5994837.0</v>
      </c>
      <c r="G3289" s="1">
        <v>113335.0</v>
      </c>
      <c r="H3289" s="1">
        <v>461.0</v>
      </c>
      <c r="I3289" s="1">
        <v>6.26E7</v>
      </c>
      <c r="J3289" s="1" t="s">
        <v>9050</v>
      </c>
    </row>
    <row r="3290">
      <c r="A3290" s="1" t="s">
        <v>9908</v>
      </c>
      <c r="B3290" s="1" t="s">
        <v>9909</v>
      </c>
      <c r="C3290" s="1" t="s">
        <v>9910</v>
      </c>
      <c r="D3290" s="1" t="s">
        <v>9646</v>
      </c>
      <c r="E3290" s="1" t="s">
        <v>9647</v>
      </c>
      <c r="F3290" s="1">
        <v>5920986.0</v>
      </c>
      <c r="G3290" s="1">
        <v>127550.0</v>
      </c>
      <c r="H3290" s="1">
        <v>25422.0</v>
      </c>
      <c r="I3290" s="1">
        <v>6.26E7</v>
      </c>
      <c r="J3290" s="1" t="s">
        <v>9050</v>
      </c>
    </row>
    <row r="3291">
      <c r="A3291" s="1" t="s">
        <v>9911</v>
      </c>
      <c r="B3291" s="1" t="s">
        <v>9912</v>
      </c>
      <c r="C3291" s="1" t="s">
        <v>9913</v>
      </c>
      <c r="D3291" s="1" t="s">
        <v>9646</v>
      </c>
      <c r="E3291" s="1" t="s">
        <v>9647</v>
      </c>
      <c r="F3291" s="1">
        <v>1.7030975E7</v>
      </c>
      <c r="G3291" s="1">
        <v>297170.0</v>
      </c>
      <c r="H3291" s="1">
        <v>940.0</v>
      </c>
      <c r="I3291" s="1">
        <v>6.26E7</v>
      </c>
      <c r="J3291" s="1" t="s">
        <v>9050</v>
      </c>
    </row>
    <row r="3292">
      <c r="A3292" s="1" t="s">
        <v>9914</v>
      </c>
      <c r="B3292" s="1" t="s">
        <v>9915</v>
      </c>
      <c r="C3292" s="1" t="s">
        <v>9916</v>
      </c>
      <c r="D3292" s="1" t="s">
        <v>9646</v>
      </c>
      <c r="E3292" s="1" t="s">
        <v>9647</v>
      </c>
      <c r="F3292" s="1">
        <v>5690726.0</v>
      </c>
      <c r="G3292" s="1">
        <v>71739.0</v>
      </c>
      <c r="H3292" s="1">
        <v>389.0</v>
      </c>
      <c r="I3292" s="1">
        <v>6.26E7</v>
      </c>
      <c r="J3292" s="1" t="s">
        <v>9050</v>
      </c>
    </row>
    <row r="3293">
      <c r="A3293" s="1" t="s">
        <v>9917</v>
      </c>
      <c r="B3293" s="1" t="s">
        <v>9918</v>
      </c>
      <c r="C3293" s="1" t="s">
        <v>9919</v>
      </c>
      <c r="D3293" s="1" t="s">
        <v>9646</v>
      </c>
      <c r="E3293" s="1" t="s">
        <v>9647</v>
      </c>
      <c r="F3293" s="1">
        <v>4772635.0</v>
      </c>
      <c r="G3293" s="1">
        <v>78274.0</v>
      </c>
      <c r="H3293" s="1">
        <v>2815.0</v>
      </c>
      <c r="I3293" s="1">
        <v>6.26E7</v>
      </c>
      <c r="J3293" s="1" t="s">
        <v>9050</v>
      </c>
    </row>
    <row r="3294">
      <c r="A3294" s="1" t="s">
        <v>9920</v>
      </c>
      <c r="B3294" s="1" t="s">
        <v>9921</v>
      </c>
      <c r="C3294" s="1" t="s">
        <v>9922</v>
      </c>
      <c r="D3294" s="1" t="s">
        <v>9646</v>
      </c>
      <c r="E3294" s="1" t="s">
        <v>9647</v>
      </c>
      <c r="F3294" s="1">
        <v>940249.0</v>
      </c>
      <c r="G3294" s="1">
        <v>17300.0</v>
      </c>
      <c r="H3294" s="1">
        <v>268.0</v>
      </c>
      <c r="I3294" s="1">
        <v>6.26E7</v>
      </c>
      <c r="J3294" s="1" t="s">
        <v>9050</v>
      </c>
    </row>
    <row r="3295">
      <c r="A3295" s="1" t="s">
        <v>9923</v>
      </c>
      <c r="B3295" s="1" t="s">
        <v>9924</v>
      </c>
      <c r="C3295" s="1" t="s">
        <v>9925</v>
      </c>
      <c r="D3295" s="1" t="s">
        <v>9646</v>
      </c>
      <c r="E3295" s="1" t="s">
        <v>9647</v>
      </c>
      <c r="F3295" s="1">
        <v>9476000.0</v>
      </c>
      <c r="G3295" s="1">
        <v>173284.0</v>
      </c>
      <c r="H3295" s="1">
        <v>1582.0</v>
      </c>
      <c r="I3295" s="1">
        <v>6.26E7</v>
      </c>
      <c r="J3295" s="1" t="s">
        <v>9050</v>
      </c>
    </row>
    <row r="3296">
      <c r="A3296" s="1" t="s">
        <v>9926</v>
      </c>
      <c r="B3296" s="1" t="s">
        <v>9927</v>
      </c>
      <c r="C3296" s="1" t="s">
        <v>9928</v>
      </c>
      <c r="D3296" s="1" t="s">
        <v>9646</v>
      </c>
      <c r="E3296" s="1" t="s">
        <v>9647</v>
      </c>
      <c r="F3296" s="1">
        <v>1.1021055E7</v>
      </c>
      <c r="G3296" s="1">
        <v>265627.0</v>
      </c>
      <c r="H3296" s="1">
        <v>1035.0</v>
      </c>
      <c r="I3296" s="1">
        <v>6.26E7</v>
      </c>
      <c r="J3296" s="1" t="s">
        <v>9050</v>
      </c>
    </row>
    <row r="3297">
      <c r="A3297" s="1" t="s">
        <v>9929</v>
      </c>
      <c r="B3297" s="1" t="s">
        <v>9930</v>
      </c>
      <c r="C3297" s="1" t="s">
        <v>9931</v>
      </c>
      <c r="D3297" s="1" t="s">
        <v>9646</v>
      </c>
      <c r="E3297" s="1" t="s">
        <v>9647</v>
      </c>
      <c r="F3297" s="1">
        <v>7858133.0</v>
      </c>
      <c r="G3297" s="1">
        <v>212779.0</v>
      </c>
      <c r="H3297" s="1">
        <v>558.0</v>
      </c>
      <c r="I3297" s="1">
        <v>6.26E7</v>
      </c>
      <c r="J3297" s="1" t="s">
        <v>9050</v>
      </c>
    </row>
    <row r="3298">
      <c r="A3298" s="1" t="s">
        <v>9932</v>
      </c>
      <c r="B3298" s="1" t="s">
        <v>9933</v>
      </c>
      <c r="C3298" s="1" t="s">
        <v>9934</v>
      </c>
      <c r="D3298" s="1" t="s">
        <v>9646</v>
      </c>
      <c r="E3298" s="1" t="s">
        <v>9647</v>
      </c>
      <c r="F3298" s="1">
        <v>1.4404586E7</v>
      </c>
      <c r="G3298" s="1">
        <v>178654.0</v>
      </c>
      <c r="H3298" s="1">
        <v>4270.0</v>
      </c>
      <c r="I3298" s="1">
        <v>6.26E7</v>
      </c>
      <c r="J3298" s="1" t="s">
        <v>9050</v>
      </c>
    </row>
    <row r="3299">
      <c r="A3299" s="1" t="s">
        <v>9935</v>
      </c>
      <c r="B3299" s="1" t="s">
        <v>9936</v>
      </c>
      <c r="C3299" s="1" t="s">
        <v>9937</v>
      </c>
      <c r="D3299" s="1" t="s">
        <v>9646</v>
      </c>
      <c r="E3299" s="1" t="s">
        <v>9647</v>
      </c>
      <c r="F3299" s="1">
        <v>1.4268116E7</v>
      </c>
      <c r="G3299" s="1">
        <v>221308.0</v>
      </c>
      <c r="H3299" s="1">
        <v>726.0</v>
      </c>
      <c r="I3299" s="1">
        <v>6.26E7</v>
      </c>
      <c r="J3299" s="1" t="s">
        <v>9050</v>
      </c>
    </row>
    <row r="3300">
      <c r="A3300" s="1" t="s">
        <v>9938</v>
      </c>
      <c r="B3300" s="1" t="s">
        <v>9939</v>
      </c>
      <c r="C3300" s="1" t="s">
        <v>9940</v>
      </c>
      <c r="D3300" s="1" t="s">
        <v>9646</v>
      </c>
      <c r="E3300" s="1" t="s">
        <v>9647</v>
      </c>
      <c r="F3300" s="1">
        <v>4936575.0</v>
      </c>
      <c r="G3300" s="1">
        <v>111452.0</v>
      </c>
      <c r="H3300" s="1">
        <v>751.0</v>
      </c>
      <c r="I3300" s="1">
        <v>6.26E7</v>
      </c>
      <c r="J3300" s="1" t="s">
        <v>9050</v>
      </c>
    </row>
    <row r="3301">
      <c r="A3301" s="1" t="s">
        <v>9941</v>
      </c>
      <c r="B3301" s="1" t="s">
        <v>9942</v>
      </c>
      <c r="C3301" s="1" t="s">
        <v>9943</v>
      </c>
      <c r="D3301" s="1" t="s">
        <v>9646</v>
      </c>
      <c r="E3301" s="1" t="s">
        <v>9647</v>
      </c>
      <c r="F3301" s="1">
        <v>3.7903514E7</v>
      </c>
      <c r="G3301" s="1">
        <v>565138.0</v>
      </c>
      <c r="H3301" s="1">
        <v>1009.0</v>
      </c>
      <c r="I3301" s="1">
        <v>6.26E7</v>
      </c>
      <c r="J3301" s="1" t="s">
        <v>9050</v>
      </c>
    </row>
    <row r="3302">
      <c r="A3302" s="1" t="s">
        <v>9944</v>
      </c>
      <c r="B3302" s="1" t="s">
        <v>9945</v>
      </c>
      <c r="C3302" s="1" t="s">
        <v>9946</v>
      </c>
      <c r="D3302" s="1" t="s">
        <v>9646</v>
      </c>
      <c r="E3302" s="1" t="s">
        <v>9647</v>
      </c>
      <c r="F3302" s="1">
        <v>1.2287136E7</v>
      </c>
      <c r="G3302" s="1">
        <v>68165.0</v>
      </c>
      <c r="H3302" s="1">
        <v>2085.0</v>
      </c>
      <c r="I3302" s="1">
        <v>6.26E7</v>
      </c>
      <c r="J3302" s="1" t="s">
        <v>9050</v>
      </c>
    </row>
    <row r="3303">
      <c r="A3303" s="1" t="s">
        <v>9947</v>
      </c>
      <c r="B3303" s="1" t="s">
        <v>9948</v>
      </c>
      <c r="C3303" s="1" t="s">
        <v>9949</v>
      </c>
      <c r="D3303" s="1" t="s">
        <v>9646</v>
      </c>
      <c r="E3303" s="1" t="s">
        <v>9647</v>
      </c>
      <c r="F3303" s="1">
        <v>1506191.0</v>
      </c>
      <c r="G3303" s="1">
        <v>41967.0</v>
      </c>
      <c r="H3303" s="1">
        <v>574.0</v>
      </c>
      <c r="I3303" s="1">
        <v>6.26E7</v>
      </c>
      <c r="J3303" s="1" t="s">
        <v>9050</v>
      </c>
    </row>
    <row r="3304">
      <c r="A3304" s="1" t="s">
        <v>9950</v>
      </c>
      <c r="B3304" s="1" t="s">
        <v>9951</v>
      </c>
      <c r="C3304" s="1" t="s">
        <v>9952</v>
      </c>
      <c r="D3304" s="1" t="s">
        <v>9646</v>
      </c>
      <c r="E3304" s="1" t="s">
        <v>9647</v>
      </c>
      <c r="F3304" s="1">
        <v>5198038.0</v>
      </c>
      <c r="G3304" s="1">
        <v>111503.0</v>
      </c>
      <c r="H3304" s="1">
        <v>831.0</v>
      </c>
      <c r="I3304" s="1">
        <v>6.26E7</v>
      </c>
      <c r="J3304" s="1" t="s">
        <v>9050</v>
      </c>
    </row>
    <row r="3305">
      <c r="A3305" s="1" t="s">
        <v>9953</v>
      </c>
      <c r="B3305" s="1" t="s">
        <v>9954</v>
      </c>
      <c r="C3305" s="1" t="s">
        <v>9955</v>
      </c>
      <c r="D3305" s="1" t="s">
        <v>9646</v>
      </c>
      <c r="E3305" s="1" t="s">
        <v>9647</v>
      </c>
      <c r="F3305" s="1">
        <v>8902263.0</v>
      </c>
      <c r="G3305" s="1">
        <v>162233.0</v>
      </c>
      <c r="H3305" s="1">
        <v>7416.0</v>
      </c>
      <c r="I3305" s="1">
        <v>6.26E7</v>
      </c>
      <c r="J3305" s="1" t="s">
        <v>9050</v>
      </c>
    </row>
    <row r="3306">
      <c r="A3306" s="1" t="s">
        <v>9956</v>
      </c>
      <c r="B3306" s="1" t="s">
        <v>9957</v>
      </c>
      <c r="C3306" s="1" t="s">
        <v>9958</v>
      </c>
      <c r="D3306" s="1" t="s">
        <v>9646</v>
      </c>
      <c r="E3306" s="1" t="s">
        <v>9647</v>
      </c>
      <c r="F3306" s="1">
        <v>1882371.0</v>
      </c>
      <c r="G3306" s="1">
        <v>42807.0</v>
      </c>
      <c r="H3306" s="1">
        <v>506.0</v>
      </c>
      <c r="I3306" s="1">
        <v>6.26E7</v>
      </c>
      <c r="J3306" s="1" t="s">
        <v>9050</v>
      </c>
    </row>
    <row r="3307">
      <c r="A3307" s="1" t="s">
        <v>9959</v>
      </c>
      <c r="B3307" s="1" t="s">
        <v>9960</v>
      </c>
      <c r="C3307" s="1" t="s">
        <v>9961</v>
      </c>
      <c r="D3307" s="1" t="s">
        <v>9646</v>
      </c>
      <c r="E3307" s="1" t="s">
        <v>9647</v>
      </c>
      <c r="F3307" s="1">
        <v>1.5069738E7</v>
      </c>
      <c r="G3307" s="1">
        <v>261591.0</v>
      </c>
      <c r="H3307" s="1">
        <v>629.0</v>
      </c>
      <c r="I3307" s="1">
        <v>6.26E7</v>
      </c>
      <c r="J3307" s="1" t="s">
        <v>9050</v>
      </c>
    </row>
    <row r="3308">
      <c r="A3308" s="1" t="s">
        <v>9962</v>
      </c>
      <c r="B3308" s="1" t="s">
        <v>9963</v>
      </c>
      <c r="C3308" s="1" t="s">
        <v>9964</v>
      </c>
      <c r="D3308" s="1" t="s">
        <v>9646</v>
      </c>
      <c r="E3308" s="1" t="s">
        <v>9647</v>
      </c>
      <c r="F3308" s="1">
        <v>1650091.0</v>
      </c>
      <c r="G3308" s="1">
        <v>38969.0</v>
      </c>
      <c r="H3308" s="1">
        <v>458.0</v>
      </c>
      <c r="I3308" s="1">
        <v>6.26E7</v>
      </c>
      <c r="J3308" s="1" t="s">
        <v>9050</v>
      </c>
    </row>
    <row r="3309">
      <c r="A3309" s="1" t="s">
        <v>9965</v>
      </c>
      <c r="B3309" s="1" t="s">
        <v>9966</v>
      </c>
      <c r="C3309" s="1" t="s">
        <v>9967</v>
      </c>
      <c r="D3309" s="1" t="s">
        <v>9646</v>
      </c>
      <c r="E3309" s="1" t="s">
        <v>9647</v>
      </c>
      <c r="F3309" s="1">
        <v>2.7059385E7</v>
      </c>
      <c r="G3309" s="1">
        <v>726954.0</v>
      </c>
      <c r="H3309" s="1">
        <v>1442.0</v>
      </c>
      <c r="I3309" s="1">
        <v>6.26E7</v>
      </c>
      <c r="J3309" s="1" t="s">
        <v>9050</v>
      </c>
    </row>
    <row r="3310">
      <c r="A3310" s="1" t="s">
        <v>9968</v>
      </c>
      <c r="B3310" s="1" t="s">
        <v>9969</v>
      </c>
      <c r="C3310" s="1" t="s">
        <v>9970</v>
      </c>
      <c r="D3310" s="1" t="s">
        <v>9646</v>
      </c>
      <c r="E3310" s="1" t="s">
        <v>9647</v>
      </c>
      <c r="F3310" s="1">
        <v>1797254.0</v>
      </c>
      <c r="G3310" s="1">
        <v>30434.0</v>
      </c>
      <c r="H3310" s="1">
        <v>194.0</v>
      </c>
      <c r="I3310" s="1">
        <v>6.26E7</v>
      </c>
      <c r="J3310" s="1" t="s">
        <v>9050</v>
      </c>
    </row>
    <row r="3311">
      <c r="A3311" s="1" t="s">
        <v>9971</v>
      </c>
      <c r="B3311" s="1" t="s">
        <v>9972</v>
      </c>
      <c r="C3311" s="1" t="s">
        <v>9973</v>
      </c>
      <c r="D3311" s="1" t="s">
        <v>9646</v>
      </c>
      <c r="E3311" s="1" t="s">
        <v>9647</v>
      </c>
      <c r="F3311" s="1">
        <v>2.9154701E7</v>
      </c>
      <c r="G3311" s="1">
        <v>103571.0</v>
      </c>
      <c r="H3311" s="1">
        <v>2257.0</v>
      </c>
      <c r="I3311" s="1">
        <v>6.26E7</v>
      </c>
      <c r="J3311" s="1" t="s">
        <v>9050</v>
      </c>
    </row>
    <row r="3312">
      <c r="A3312" s="1" t="s">
        <v>9974</v>
      </c>
      <c r="B3312" s="1" t="s">
        <v>9975</v>
      </c>
      <c r="C3312" s="1" t="s">
        <v>9976</v>
      </c>
      <c r="D3312" s="1" t="s">
        <v>9646</v>
      </c>
      <c r="E3312" s="1" t="s">
        <v>9647</v>
      </c>
      <c r="F3312" s="1">
        <v>1.2555809E7</v>
      </c>
      <c r="G3312" s="1">
        <v>106953.0</v>
      </c>
      <c r="H3312" s="1">
        <v>2017.0</v>
      </c>
      <c r="I3312" s="1">
        <v>6.26E7</v>
      </c>
      <c r="J3312" s="1" t="s">
        <v>9050</v>
      </c>
    </row>
    <row r="3313">
      <c r="A3313" s="1" t="s">
        <v>9977</v>
      </c>
      <c r="B3313" s="1" t="s">
        <v>9978</v>
      </c>
      <c r="C3313" s="1" t="s">
        <v>9979</v>
      </c>
      <c r="D3313" s="1" t="s">
        <v>9646</v>
      </c>
      <c r="E3313" s="1" t="s">
        <v>9647</v>
      </c>
      <c r="F3313" s="1">
        <v>6114645.0</v>
      </c>
      <c r="G3313" s="1">
        <v>181924.0</v>
      </c>
      <c r="H3313" s="1">
        <v>949.0</v>
      </c>
      <c r="I3313" s="1">
        <v>6.26E7</v>
      </c>
      <c r="J3313" s="1" t="s">
        <v>9050</v>
      </c>
    </row>
    <row r="3314">
      <c r="A3314" s="1" t="s">
        <v>9980</v>
      </c>
      <c r="B3314" s="1" t="s">
        <v>9981</v>
      </c>
      <c r="C3314" s="1" t="s">
        <v>9982</v>
      </c>
      <c r="D3314" s="1" t="s">
        <v>9646</v>
      </c>
      <c r="E3314" s="1" t="s">
        <v>9647</v>
      </c>
      <c r="F3314" s="1">
        <v>9296335.0</v>
      </c>
      <c r="G3314" s="1">
        <v>181556.0</v>
      </c>
      <c r="H3314" s="1">
        <v>610.0</v>
      </c>
      <c r="I3314" s="1">
        <v>6.26E7</v>
      </c>
      <c r="J3314" s="1" t="s">
        <v>9050</v>
      </c>
    </row>
    <row r="3315">
      <c r="A3315" s="1" t="s">
        <v>9983</v>
      </c>
      <c r="B3315" s="1" t="s">
        <v>9984</v>
      </c>
      <c r="C3315" s="1" t="s">
        <v>9985</v>
      </c>
      <c r="D3315" s="1" t="s">
        <v>9646</v>
      </c>
      <c r="E3315" s="1" t="s">
        <v>9647</v>
      </c>
      <c r="F3315" s="1">
        <v>2171301.0</v>
      </c>
      <c r="G3315" s="1">
        <v>56420.0</v>
      </c>
      <c r="H3315" s="1">
        <v>691.0</v>
      </c>
      <c r="I3315" s="1">
        <v>6.26E7</v>
      </c>
      <c r="J3315" s="1" t="s">
        <v>9050</v>
      </c>
    </row>
    <row r="3316">
      <c r="A3316" s="1" t="s">
        <v>9986</v>
      </c>
      <c r="B3316" s="1" t="s">
        <v>9987</v>
      </c>
      <c r="C3316" s="1" t="s">
        <v>9988</v>
      </c>
      <c r="D3316" s="1" t="s">
        <v>9646</v>
      </c>
      <c r="E3316" s="1" t="s">
        <v>9647</v>
      </c>
      <c r="F3316" s="1">
        <v>8854245.0</v>
      </c>
      <c r="G3316" s="1">
        <v>153229.0</v>
      </c>
      <c r="H3316" s="1">
        <v>6330.0</v>
      </c>
      <c r="I3316" s="1">
        <v>6.26E7</v>
      </c>
      <c r="J3316" s="1" t="s">
        <v>9050</v>
      </c>
    </row>
    <row r="3317">
      <c r="A3317" s="1" t="s">
        <v>9989</v>
      </c>
      <c r="B3317" s="1" t="s">
        <v>9990</v>
      </c>
      <c r="C3317" s="1" t="s">
        <v>9991</v>
      </c>
      <c r="D3317" s="1" t="s">
        <v>9646</v>
      </c>
      <c r="E3317" s="1" t="s">
        <v>9647</v>
      </c>
      <c r="F3317" s="1">
        <v>7.8320017E7</v>
      </c>
      <c r="G3317" s="1">
        <v>1874841.0</v>
      </c>
      <c r="H3317" s="1">
        <v>5442.0</v>
      </c>
      <c r="I3317" s="1">
        <v>6.26E7</v>
      </c>
      <c r="J3317" s="1" t="s">
        <v>9050</v>
      </c>
    </row>
    <row r="3318">
      <c r="A3318" s="1" t="s">
        <v>9992</v>
      </c>
      <c r="B3318" s="1" t="s">
        <v>9993</v>
      </c>
      <c r="C3318" s="1" t="s">
        <v>9994</v>
      </c>
      <c r="D3318" s="1" t="s">
        <v>9646</v>
      </c>
      <c r="E3318" s="1" t="s">
        <v>9647</v>
      </c>
      <c r="F3318" s="1">
        <v>7204382.0</v>
      </c>
      <c r="G3318" s="1">
        <v>194162.0</v>
      </c>
      <c r="H3318" s="1">
        <v>763.0</v>
      </c>
      <c r="I3318" s="1">
        <v>6.26E7</v>
      </c>
      <c r="J3318" s="1" t="s">
        <v>9050</v>
      </c>
    </row>
    <row r="3319">
      <c r="A3319" s="1" t="s">
        <v>9995</v>
      </c>
      <c r="B3319" s="1" t="s">
        <v>9996</v>
      </c>
      <c r="C3319" s="1" t="s">
        <v>9997</v>
      </c>
      <c r="D3319" s="1" t="s">
        <v>9646</v>
      </c>
      <c r="E3319" s="1" t="s">
        <v>9647</v>
      </c>
      <c r="F3319" s="1">
        <v>1.04514E7</v>
      </c>
      <c r="G3319" s="1">
        <v>153758.0</v>
      </c>
      <c r="H3319" s="1">
        <v>2696.0</v>
      </c>
      <c r="I3319" s="1">
        <v>6.26E7</v>
      </c>
      <c r="J3319" s="1" t="s">
        <v>9050</v>
      </c>
    </row>
    <row r="3320">
      <c r="A3320" s="1" t="s">
        <v>9998</v>
      </c>
      <c r="B3320" s="1" t="s">
        <v>9999</v>
      </c>
      <c r="C3320" s="1" t="s">
        <v>10000</v>
      </c>
      <c r="D3320" s="1" t="s">
        <v>9646</v>
      </c>
      <c r="E3320" s="1" t="s">
        <v>9647</v>
      </c>
      <c r="F3320" s="1">
        <v>4.4567477E7</v>
      </c>
      <c r="G3320" s="1">
        <v>902331.0</v>
      </c>
      <c r="H3320" s="1">
        <v>3111.0</v>
      </c>
      <c r="I3320" s="1">
        <v>6.26E7</v>
      </c>
      <c r="J3320" s="1" t="s">
        <v>9050</v>
      </c>
    </row>
    <row r="3321">
      <c r="A3321" s="1" t="s">
        <v>10001</v>
      </c>
      <c r="B3321" s="1" t="s">
        <v>10002</v>
      </c>
      <c r="C3321" s="1" t="s">
        <v>10003</v>
      </c>
      <c r="D3321" s="1" t="s">
        <v>9646</v>
      </c>
      <c r="E3321" s="1" t="s">
        <v>9647</v>
      </c>
      <c r="F3321" s="1">
        <v>9670728.0</v>
      </c>
      <c r="G3321" s="1">
        <v>133476.0</v>
      </c>
      <c r="H3321" s="1">
        <v>289.0</v>
      </c>
      <c r="I3321" s="1">
        <v>6.26E7</v>
      </c>
      <c r="J3321" s="1" t="s">
        <v>9050</v>
      </c>
    </row>
    <row r="3322">
      <c r="A3322" s="1" t="s">
        <v>10004</v>
      </c>
      <c r="B3322" s="1" t="s">
        <v>10005</v>
      </c>
      <c r="C3322" s="1" t="s">
        <v>10006</v>
      </c>
      <c r="D3322" s="1" t="s">
        <v>9646</v>
      </c>
      <c r="E3322" s="1" t="s">
        <v>9647</v>
      </c>
      <c r="F3322" s="1">
        <v>3238980.0</v>
      </c>
      <c r="G3322" s="1">
        <v>65823.0</v>
      </c>
      <c r="H3322" s="1">
        <v>3428.0</v>
      </c>
      <c r="I3322" s="1">
        <v>6.26E7</v>
      </c>
      <c r="J3322" s="1" t="s">
        <v>9050</v>
      </c>
    </row>
    <row r="3323">
      <c r="A3323" s="1" t="s">
        <v>10007</v>
      </c>
      <c r="B3323" s="1" t="s">
        <v>10008</v>
      </c>
      <c r="C3323" s="1" t="s">
        <v>10009</v>
      </c>
      <c r="D3323" s="1" t="s">
        <v>9646</v>
      </c>
      <c r="E3323" s="1" t="s">
        <v>9647</v>
      </c>
      <c r="F3323" s="1">
        <v>9.8879067E7</v>
      </c>
      <c r="G3323" s="1">
        <v>2047171.0</v>
      </c>
      <c r="H3323" s="1">
        <v>2213.0</v>
      </c>
      <c r="I3323" s="1">
        <v>6.26E7</v>
      </c>
      <c r="J3323" s="1" t="s">
        <v>9050</v>
      </c>
    </row>
    <row r="3324">
      <c r="A3324" s="1" t="s">
        <v>10010</v>
      </c>
      <c r="B3324" s="1" t="s">
        <v>10011</v>
      </c>
      <c r="C3324" s="1" t="s">
        <v>10012</v>
      </c>
      <c r="D3324" s="1" t="s">
        <v>9646</v>
      </c>
      <c r="E3324" s="1" t="s">
        <v>9647</v>
      </c>
      <c r="F3324" s="1">
        <v>5451028.0</v>
      </c>
      <c r="G3324" s="1">
        <v>100835.0</v>
      </c>
      <c r="H3324" s="1">
        <v>2880.0</v>
      </c>
      <c r="I3324" s="1">
        <v>6.26E7</v>
      </c>
      <c r="J3324" s="1" t="s">
        <v>9050</v>
      </c>
    </row>
    <row r="3325">
      <c r="A3325" s="1" t="s">
        <v>10013</v>
      </c>
      <c r="B3325" s="1" t="s">
        <v>10014</v>
      </c>
      <c r="C3325" s="1" t="s">
        <v>10015</v>
      </c>
      <c r="D3325" s="1" t="s">
        <v>9646</v>
      </c>
      <c r="E3325" s="1" t="s">
        <v>9647</v>
      </c>
      <c r="F3325" s="1">
        <v>2.0773691E7</v>
      </c>
      <c r="G3325" s="1">
        <v>328734.0</v>
      </c>
      <c r="H3325" s="1">
        <v>685.0</v>
      </c>
      <c r="I3325" s="1">
        <v>6.26E7</v>
      </c>
      <c r="J3325" s="1" t="s">
        <v>9050</v>
      </c>
    </row>
    <row r="3326">
      <c r="A3326" s="1" t="s">
        <v>10016</v>
      </c>
      <c r="B3326" s="1" t="s">
        <v>10017</v>
      </c>
      <c r="C3326" s="1" t="s">
        <v>10018</v>
      </c>
      <c r="D3326" s="1" t="s">
        <v>9646</v>
      </c>
      <c r="E3326" s="1" t="s">
        <v>9647</v>
      </c>
      <c r="F3326" s="1">
        <v>6.8539105E7</v>
      </c>
      <c r="G3326" s="1">
        <v>971670.0</v>
      </c>
      <c r="H3326" s="1">
        <v>3103.0</v>
      </c>
      <c r="I3326" s="1">
        <v>6.26E7</v>
      </c>
      <c r="J3326" s="1" t="s">
        <v>9050</v>
      </c>
    </row>
    <row r="3327">
      <c r="A3327" s="1" t="s">
        <v>10019</v>
      </c>
      <c r="B3327" s="1" t="s">
        <v>10020</v>
      </c>
      <c r="C3327" s="1" t="s">
        <v>10021</v>
      </c>
      <c r="D3327" s="1" t="s">
        <v>9646</v>
      </c>
      <c r="E3327" s="1" t="s">
        <v>9647</v>
      </c>
      <c r="F3327" s="1">
        <v>4875459.0</v>
      </c>
      <c r="G3327" s="1">
        <v>56074.0</v>
      </c>
      <c r="H3327" s="1">
        <v>1580.0</v>
      </c>
      <c r="I3327" s="1">
        <v>6.26E7</v>
      </c>
      <c r="J3327" s="1" t="s">
        <v>9050</v>
      </c>
    </row>
    <row r="3328">
      <c r="A3328" s="1" t="s">
        <v>10022</v>
      </c>
      <c r="B3328" s="1" t="s">
        <v>10023</v>
      </c>
      <c r="C3328" s="1" t="s">
        <v>10024</v>
      </c>
      <c r="D3328" s="1" t="s">
        <v>9646</v>
      </c>
      <c r="E3328" s="1" t="s">
        <v>9647</v>
      </c>
      <c r="F3328" s="1">
        <v>1.5561962E7</v>
      </c>
      <c r="G3328" s="1">
        <v>97243.0</v>
      </c>
      <c r="H3328" s="1">
        <v>3449.0</v>
      </c>
      <c r="I3328" s="1">
        <v>6.26E7</v>
      </c>
      <c r="J3328" s="1" t="s">
        <v>9050</v>
      </c>
    </row>
    <row r="3329">
      <c r="A3329" s="1" t="s">
        <v>10025</v>
      </c>
      <c r="B3329" s="1" t="s">
        <v>10026</v>
      </c>
      <c r="C3329" s="1" t="s">
        <v>10027</v>
      </c>
      <c r="D3329" s="1" t="s">
        <v>9646</v>
      </c>
      <c r="E3329" s="1" t="s">
        <v>9647</v>
      </c>
      <c r="F3329" s="1">
        <v>5524703.0</v>
      </c>
      <c r="G3329" s="1">
        <v>82055.0</v>
      </c>
      <c r="H3329" s="1">
        <v>274.0</v>
      </c>
      <c r="I3329" s="1">
        <v>6.26E7</v>
      </c>
      <c r="J3329" s="1" t="s">
        <v>9050</v>
      </c>
    </row>
    <row r="3330">
      <c r="A3330" s="1" t="s">
        <v>10028</v>
      </c>
      <c r="B3330" s="1" t="s">
        <v>10029</v>
      </c>
      <c r="C3330" s="1" t="s">
        <v>10030</v>
      </c>
      <c r="D3330" s="1" t="s">
        <v>9646</v>
      </c>
      <c r="E3330" s="1" t="s">
        <v>9647</v>
      </c>
      <c r="F3330" s="1">
        <v>2.81363806E8</v>
      </c>
      <c r="G3330" s="1">
        <v>6224713.0</v>
      </c>
      <c r="H3330" s="1">
        <v>4520.0</v>
      </c>
      <c r="I3330" s="1">
        <v>6.26E7</v>
      </c>
      <c r="J3330" s="1" t="s">
        <v>9050</v>
      </c>
    </row>
    <row r="3331">
      <c r="A3331" s="1" t="s">
        <v>10031</v>
      </c>
      <c r="B3331" s="1" t="s">
        <v>10032</v>
      </c>
      <c r="C3331" s="1" t="s">
        <v>10033</v>
      </c>
      <c r="D3331" s="1" t="s">
        <v>9646</v>
      </c>
      <c r="E3331" s="1" t="s">
        <v>9647</v>
      </c>
      <c r="F3331" s="1">
        <v>1.6076089E7</v>
      </c>
      <c r="G3331" s="1">
        <v>101250.0</v>
      </c>
      <c r="H3331" s="1">
        <v>1885.0</v>
      </c>
      <c r="I3331" s="1">
        <v>6.26E7</v>
      </c>
      <c r="J3331" s="1" t="s">
        <v>9050</v>
      </c>
    </row>
    <row r="3332">
      <c r="A3332" s="1" t="s">
        <v>10034</v>
      </c>
      <c r="B3332" s="1" t="s">
        <v>10035</v>
      </c>
      <c r="C3332" s="1" t="s">
        <v>10036</v>
      </c>
      <c r="D3332" s="1" t="s">
        <v>9646</v>
      </c>
      <c r="E3332" s="1" t="s">
        <v>9647</v>
      </c>
      <c r="F3332" s="1">
        <v>1.27228726E8</v>
      </c>
      <c r="G3332" s="1">
        <v>3107820.0</v>
      </c>
      <c r="H3332" s="1">
        <v>3698.0</v>
      </c>
      <c r="I3332" s="1">
        <v>6.26E7</v>
      </c>
      <c r="J3332" s="1" t="s">
        <v>9050</v>
      </c>
    </row>
    <row r="3333">
      <c r="A3333" s="1" t="s">
        <v>10037</v>
      </c>
      <c r="B3333" s="1" t="s">
        <v>10038</v>
      </c>
      <c r="C3333" s="1" t="s">
        <v>10039</v>
      </c>
      <c r="D3333" s="1" t="s">
        <v>9646</v>
      </c>
      <c r="E3333" s="1" t="s">
        <v>9647</v>
      </c>
      <c r="F3333" s="1">
        <v>9187312.0</v>
      </c>
      <c r="G3333" s="1">
        <v>120491.0</v>
      </c>
      <c r="H3333" s="1">
        <v>3184.0</v>
      </c>
      <c r="I3333" s="1">
        <v>6.26E7</v>
      </c>
      <c r="J3333" s="1" t="s">
        <v>9050</v>
      </c>
    </row>
    <row r="3334">
      <c r="A3334" s="1" t="s">
        <v>10040</v>
      </c>
      <c r="B3334" s="1" t="s">
        <v>10041</v>
      </c>
      <c r="C3334" s="1" t="s">
        <v>10042</v>
      </c>
      <c r="D3334" s="1" t="s">
        <v>9646</v>
      </c>
      <c r="E3334" s="1" t="s">
        <v>9647</v>
      </c>
      <c r="F3334" s="1">
        <v>5775918.0</v>
      </c>
      <c r="G3334" s="1">
        <v>81215.0</v>
      </c>
      <c r="H3334" s="1">
        <v>494.0</v>
      </c>
      <c r="I3334" s="1">
        <v>6.26E7</v>
      </c>
      <c r="J3334" s="1" t="s">
        <v>9050</v>
      </c>
    </row>
    <row r="3335">
      <c r="A3335" s="1" t="s">
        <v>10043</v>
      </c>
      <c r="B3335" s="1" t="s">
        <v>10044</v>
      </c>
      <c r="C3335" s="1" t="s">
        <v>10045</v>
      </c>
      <c r="D3335" s="1" t="s">
        <v>9646</v>
      </c>
      <c r="E3335" s="1" t="s">
        <v>9647</v>
      </c>
      <c r="F3335" s="1">
        <v>1.6920185E7</v>
      </c>
      <c r="G3335" s="1">
        <v>352014.0</v>
      </c>
      <c r="H3335" s="1">
        <v>3071.0</v>
      </c>
      <c r="I3335" s="1">
        <v>6.26E7</v>
      </c>
      <c r="J3335" s="1" t="s">
        <v>9050</v>
      </c>
    </row>
    <row r="3336">
      <c r="A3336" s="1" t="s">
        <v>10046</v>
      </c>
      <c r="B3336" s="1" t="s">
        <v>10047</v>
      </c>
      <c r="C3336" s="1" t="s">
        <v>10048</v>
      </c>
      <c r="D3336" s="1" t="s">
        <v>9646</v>
      </c>
      <c r="E3336" s="1" t="s">
        <v>9647</v>
      </c>
      <c r="F3336" s="1">
        <v>2574913.0</v>
      </c>
      <c r="G3336" s="1">
        <v>69627.0</v>
      </c>
      <c r="H3336" s="1">
        <v>558.0</v>
      </c>
      <c r="I3336" s="1">
        <v>6.26E7</v>
      </c>
      <c r="J3336" s="1" t="s">
        <v>9050</v>
      </c>
    </row>
    <row r="3337">
      <c r="A3337" s="1" t="s">
        <v>10049</v>
      </c>
      <c r="B3337" s="1" t="s">
        <v>10050</v>
      </c>
      <c r="C3337" s="1" t="s">
        <v>10051</v>
      </c>
      <c r="D3337" s="1" t="s">
        <v>9646</v>
      </c>
      <c r="E3337" s="1" t="s">
        <v>9647</v>
      </c>
      <c r="F3337" s="1">
        <v>2.8919446E7</v>
      </c>
      <c r="G3337" s="1">
        <v>564781.0</v>
      </c>
      <c r="H3337" s="1">
        <v>687.0</v>
      </c>
      <c r="I3337" s="1">
        <v>6.26E7</v>
      </c>
      <c r="J3337" s="1" t="s">
        <v>9050</v>
      </c>
    </row>
    <row r="3338">
      <c r="A3338" s="1" t="s">
        <v>10052</v>
      </c>
      <c r="B3338" s="1" t="s">
        <v>10053</v>
      </c>
      <c r="C3338" s="1" t="s">
        <v>10054</v>
      </c>
      <c r="D3338" s="1" t="s">
        <v>9646</v>
      </c>
      <c r="E3338" s="1" t="s">
        <v>9647</v>
      </c>
      <c r="F3338" s="1">
        <v>6470526.0</v>
      </c>
      <c r="G3338" s="1">
        <v>91241.0</v>
      </c>
      <c r="H3338" s="1">
        <v>2612.0</v>
      </c>
      <c r="I3338" s="1">
        <v>6.26E7</v>
      </c>
      <c r="J3338" s="1" t="s">
        <v>9050</v>
      </c>
    </row>
    <row r="3339">
      <c r="A3339" s="1" t="s">
        <v>10055</v>
      </c>
      <c r="B3339" s="1" t="s">
        <v>10056</v>
      </c>
      <c r="C3339" s="1" t="s">
        <v>10057</v>
      </c>
      <c r="D3339" s="1" t="s">
        <v>9646</v>
      </c>
      <c r="E3339" s="1" t="s">
        <v>9647</v>
      </c>
      <c r="F3339" s="1">
        <v>1.7508551E7</v>
      </c>
      <c r="G3339" s="1">
        <v>390708.0</v>
      </c>
      <c r="H3339" s="1">
        <v>748.0</v>
      </c>
      <c r="I3339" s="1">
        <v>6.26E7</v>
      </c>
      <c r="J3339" s="1" t="s">
        <v>9050</v>
      </c>
    </row>
    <row r="3340">
      <c r="A3340" s="1" t="s">
        <v>10058</v>
      </c>
      <c r="B3340" s="1" t="s">
        <v>10059</v>
      </c>
      <c r="C3340" s="1" t="s">
        <v>10060</v>
      </c>
      <c r="D3340" s="1" t="s">
        <v>9646</v>
      </c>
      <c r="E3340" s="1" t="s">
        <v>9647</v>
      </c>
      <c r="F3340" s="1">
        <v>1.3900685E7</v>
      </c>
      <c r="G3340" s="1">
        <v>565842.0</v>
      </c>
      <c r="H3340" s="1">
        <v>1248.0</v>
      </c>
      <c r="I3340" s="1">
        <v>6.26E7</v>
      </c>
      <c r="J3340" s="1" t="s">
        <v>9050</v>
      </c>
    </row>
    <row r="3341">
      <c r="A3341" s="1" t="s">
        <v>10061</v>
      </c>
      <c r="B3341" s="1" t="s">
        <v>10062</v>
      </c>
      <c r="C3341" s="1" t="s">
        <v>10063</v>
      </c>
      <c r="D3341" s="1" t="s">
        <v>9646</v>
      </c>
      <c r="E3341" s="1" t="s">
        <v>9647</v>
      </c>
      <c r="F3341" s="1">
        <v>8539537.0</v>
      </c>
      <c r="G3341" s="1">
        <v>126648.0</v>
      </c>
      <c r="H3341" s="1">
        <v>3878.0</v>
      </c>
      <c r="I3341" s="1">
        <v>6.26E7</v>
      </c>
      <c r="J3341" s="1" t="s">
        <v>9050</v>
      </c>
    </row>
    <row r="3342">
      <c r="A3342" s="1" t="s">
        <v>10064</v>
      </c>
      <c r="B3342" s="1" t="s">
        <v>10065</v>
      </c>
      <c r="C3342" s="1" t="s">
        <v>10066</v>
      </c>
      <c r="D3342" s="1" t="s">
        <v>9646</v>
      </c>
      <c r="E3342" s="1" t="s">
        <v>9647</v>
      </c>
      <c r="F3342" s="1">
        <v>5030716.0</v>
      </c>
      <c r="G3342" s="1">
        <v>92591.0</v>
      </c>
      <c r="H3342" s="1">
        <v>502.0</v>
      </c>
      <c r="I3342" s="1">
        <v>6.26E7</v>
      </c>
      <c r="J3342" s="1" t="s">
        <v>9050</v>
      </c>
    </row>
    <row r="3343">
      <c r="A3343" s="1" t="s">
        <v>10067</v>
      </c>
      <c r="B3343" s="1" t="s">
        <v>10068</v>
      </c>
      <c r="C3343" s="1" t="s">
        <v>10069</v>
      </c>
      <c r="D3343" s="1" t="s">
        <v>9646</v>
      </c>
      <c r="E3343" s="1" t="s">
        <v>9647</v>
      </c>
      <c r="F3343" s="1">
        <v>1.6908682E7</v>
      </c>
      <c r="G3343" s="1">
        <v>172057.0</v>
      </c>
      <c r="H3343" s="1">
        <v>4797.0</v>
      </c>
      <c r="I3343" s="1">
        <v>6.26E7</v>
      </c>
      <c r="J3343" s="1" t="s">
        <v>9050</v>
      </c>
    </row>
    <row r="3344">
      <c r="A3344" s="1" t="s">
        <v>10070</v>
      </c>
      <c r="B3344" s="1" t="s">
        <v>10071</v>
      </c>
      <c r="C3344" s="1" t="s">
        <v>10072</v>
      </c>
      <c r="D3344" s="1" t="s">
        <v>9646</v>
      </c>
      <c r="E3344" s="1" t="s">
        <v>9647</v>
      </c>
      <c r="F3344" s="1">
        <v>1.0394776E7</v>
      </c>
      <c r="G3344" s="1">
        <v>126114.0</v>
      </c>
      <c r="H3344" s="1">
        <v>3020.0</v>
      </c>
      <c r="I3344" s="1">
        <v>6.26E7</v>
      </c>
      <c r="J3344" s="1" t="s">
        <v>9050</v>
      </c>
    </row>
    <row r="3345">
      <c r="A3345" s="1" t="s">
        <v>10073</v>
      </c>
      <c r="B3345" s="1" t="s">
        <v>10074</v>
      </c>
      <c r="C3345" s="1" t="s">
        <v>10075</v>
      </c>
      <c r="D3345" s="1" t="s">
        <v>9646</v>
      </c>
      <c r="E3345" s="1" t="s">
        <v>9647</v>
      </c>
      <c r="F3345" s="1">
        <v>3976876.0</v>
      </c>
      <c r="G3345" s="1">
        <v>165753.0</v>
      </c>
      <c r="H3345" s="1">
        <v>1346.0</v>
      </c>
      <c r="I3345" s="1">
        <v>6.26E7</v>
      </c>
      <c r="J3345" s="1" t="s">
        <v>9050</v>
      </c>
    </row>
    <row r="3346">
      <c r="A3346" s="1" t="s">
        <v>10076</v>
      </c>
      <c r="B3346" s="1" t="s">
        <v>10077</v>
      </c>
      <c r="C3346" s="1" t="s">
        <v>10078</v>
      </c>
      <c r="D3346" s="1" t="s">
        <v>9646</v>
      </c>
      <c r="E3346" s="1" t="s">
        <v>9647</v>
      </c>
      <c r="F3346" s="1">
        <v>9127284.0</v>
      </c>
      <c r="G3346" s="1">
        <v>179636.0</v>
      </c>
      <c r="H3346" s="1">
        <v>3826.0</v>
      </c>
      <c r="I3346" s="1">
        <v>6.26E7</v>
      </c>
      <c r="J3346" s="1" t="s">
        <v>9050</v>
      </c>
    </row>
    <row r="3347">
      <c r="A3347" s="1" t="s">
        <v>10079</v>
      </c>
      <c r="B3347" s="1" t="s">
        <v>10080</v>
      </c>
      <c r="C3347" s="1" t="s">
        <v>10081</v>
      </c>
      <c r="D3347" s="1" t="s">
        <v>9646</v>
      </c>
      <c r="E3347" s="1" t="s">
        <v>9647</v>
      </c>
      <c r="F3347" s="1">
        <v>4.4523149E7</v>
      </c>
      <c r="G3347" s="1">
        <v>1218419.0</v>
      </c>
      <c r="H3347" s="1">
        <v>3510.0</v>
      </c>
      <c r="I3347" s="1">
        <v>6.26E7</v>
      </c>
      <c r="J3347" s="1" t="s">
        <v>9050</v>
      </c>
    </row>
    <row r="3348">
      <c r="A3348" s="1" t="s">
        <v>10082</v>
      </c>
      <c r="B3348" s="1" t="s">
        <v>10083</v>
      </c>
      <c r="C3348" s="1" t="s">
        <v>10084</v>
      </c>
      <c r="D3348" s="1" t="s">
        <v>9646</v>
      </c>
      <c r="E3348" s="1" t="s">
        <v>9647</v>
      </c>
      <c r="F3348" s="1">
        <v>1.54774647E8</v>
      </c>
      <c r="G3348" s="1">
        <v>4119284.0</v>
      </c>
      <c r="H3348" s="1">
        <v>8590.0</v>
      </c>
      <c r="I3348" s="1">
        <v>6.26E7</v>
      </c>
      <c r="J3348" s="1" t="s">
        <v>9050</v>
      </c>
    </row>
    <row r="3349">
      <c r="A3349" s="1" t="s">
        <v>10085</v>
      </c>
      <c r="B3349" s="1" t="s">
        <v>10086</v>
      </c>
      <c r="C3349" s="1" t="s">
        <v>10087</v>
      </c>
      <c r="D3349" s="1" t="s">
        <v>9646</v>
      </c>
      <c r="E3349" s="1" t="s">
        <v>9647</v>
      </c>
      <c r="F3349" s="1">
        <v>1.042803E7</v>
      </c>
      <c r="G3349" s="1">
        <v>243824.0</v>
      </c>
      <c r="H3349" s="1">
        <v>10866.0</v>
      </c>
      <c r="I3349" s="1">
        <v>6.26E7</v>
      </c>
      <c r="J3349" s="1" t="s">
        <v>9050</v>
      </c>
    </row>
    <row r="3350">
      <c r="A3350" s="1" t="s">
        <v>10088</v>
      </c>
      <c r="B3350" s="1" t="s">
        <v>10089</v>
      </c>
      <c r="C3350" s="1" t="s">
        <v>10090</v>
      </c>
      <c r="D3350" s="1" t="s">
        <v>9646</v>
      </c>
      <c r="E3350" s="1" t="s">
        <v>9647</v>
      </c>
      <c r="F3350" s="1">
        <v>3251496.0</v>
      </c>
      <c r="G3350" s="1">
        <v>100582.0</v>
      </c>
      <c r="H3350" s="1">
        <v>570.0</v>
      </c>
      <c r="I3350" s="1">
        <v>6.26E7</v>
      </c>
      <c r="J3350" s="1" t="s">
        <v>9050</v>
      </c>
    </row>
    <row r="3351">
      <c r="A3351" s="1" t="s">
        <v>10091</v>
      </c>
      <c r="B3351" s="1" t="s">
        <v>10092</v>
      </c>
      <c r="C3351" s="1" t="s">
        <v>10093</v>
      </c>
      <c r="D3351" s="1" t="s">
        <v>9646</v>
      </c>
      <c r="E3351" s="1" t="s">
        <v>9647</v>
      </c>
      <c r="F3351" s="1">
        <v>9754705.0</v>
      </c>
      <c r="G3351" s="1">
        <v>164285.0</v>
      </c>
      <c r="H3351" s="1">
        <v>3621.0</v>
      </c>
      <c r="I3351" s="1">
        <v>6.26E7</v>
      </c>
      <c r="J3351" s="1" t="s">
        <v>9050</v>
      </c>
    </row>
    <row r="3352">
      <c r="A3352" s="1" t="s">
        <v>10094</v>
      </c>
      <c r="B3352" s="1" t="s">
        <v>10095</v>
      </c>
      <c r="C3352" s="1" t="s">
        <v>10096</v>
      </c>
      <c r="D3352" s="1" t="s">
        <v>9646</v>
      </c>
      <c r="E3352" s="1" t="s">
        <v>9647</v>
      </c>
      <c r="F3352" s="1">
        <v>5846537.0</v>
      </c>
      <c r="G3352" s="1">
        <v>111078.0</v>
      </c>
      <c r="H3352" s="1">
        <v>2098.0</v>
      </c>
      <c r="I3352" s="1">
        <v>6.26E7</v>
      </c>
      <c r="J3352" s="1" t="s">
        <v>9050</v>
      </c>
    </row>
    <row r="3353">
      <c r="A3353" s="1" t="s">
        <v>10097</v>
      </c>
      <c r="B3353" s="1" t="s">
        <v>10098</v>
      </c>
      <c r="C3353" s="1" t="s">
        <v>10099</v>
      </c>
      <c r="D3353" s="1" t="s">
        <v>9646</v>
      </c>
      <c r="E3353" s="1" t="s">
        <v>9647</v>
      </c>
      <c r="F3353" s="1">
        <v>1.1335509E7</v>
      </c>
      <c r="G3353" s="1">
        <v>500284.0</v>
      </c>
      <c r="H3353" s="1">
        <v>1714.0</v>
      </c>
      <c r="I3353" s="1">
        <v>6.26E7</v>
      </c>
      <c r="J3353" s="1" t="s">
        <v>9050</v>
      </c>
    </row>
    <row r="3354">
      <c r="A3354" s="1" t="s">
        <v>10100</v>
      </c>
      <c r="B3354" s="1" t="s">
        <v>10101</v>
      </c>
      <c r="C3354" s="1" t="s">
        <v>10102</v>
      </c>
      <c r="D3354" s="1" t="s">
        <v>9646</v>
      </c>
      <c r="E3354" s="1" t="s">
        <v>9647</v>
      </c>
      <c r="F3354" s="1">
        <v>2572546.0</v>
      </c>
      <c r="G3354" s="1">
        <v>102699.0</v>
      </c>
      <c r="H3354" s="1">
        <v>243.0</v>
      </c>
      <c r="I3354" s="1">
        <v>6.26E7</v>
      </c>
      <c r="J3354" s="1" t="s">
        <v>9050</v>
      </c>
    </row>
    <row r="3355">
      <c r="A3355" s="1" t="s">
        <v>10103</v>
      </c>
      <c r="B3355" s="1" t="s">
        <v>10104</v>
      </c>
      <c r="C3355" s="1" t="s">
        <v>10105</v>
      </c>
      <c r="D3355" s="1" t="s">
        <v>9646</v>
      </c>
      <c r="E3355" s="1" t="s">
        <v>9647</v>
      </c>
      <c r="F3355" s="1">
        <v>9120003.0</v>
      </c>
      <c r="G3355" s="1">
        <v>132873.0</v>
      </c>
      <c r="H3355" s="1">
        <v>6217.0</v>
      </c>
      <c r="I3355" s="1">
        <v>6.26E7</v>
      </c>
      <c r="J3355" s="1" t="s">
        <v>9050</v>
      </c>
    </row>
    <row r="3356">
      <c r="A3356" s="1" t="s">
        <v>10106</v>
      </c>
      <c r="B3356" s="1" t="s">
        <v>10107</v>
      </c>
      <c r="C3356" s="1" t="s">
        <v>10108</v>
      </c>
      <c r="D3356" s="1" t="s">
        <v>9646</v>
      </c>
      <c r="E3356" s="1" t="s">
        <v>9647</v>
      </c>
      <c r="F3356" s="1">
        <v>1.5481931E7</v>
      </c>
      <c r="G3356" s="1">
        <v>474091.0</v>
      </c>
      <c r="H3356" s="1">
        <v>2032.0</v>
      </c>
      <c r="I3356" s="1">
        <v>6.26E7</v>
      </c>
      <c r="J3356" s="1" t="s">
        <v>9050</v>
      </c>
    </row>
    <row r="3357">
      <c r="A3357" s="1" t="s">
        <v>10109</v>
      </c>
      <c r="B3357" s="1" t="s">
        <v>10110</v>
      </c>
      <c r="C3357" s="1" t="s">
        <v>10111</v>
      </c>
      <c r="D3357" s="1" t="s">
        <v>9646</v>
      </c>
      <c r="E3357" s="1" t="s">
        <v>9647</v>
      </c>
      <c r="F3357" s="1">
        <v>8.2124584E7</v>
      </c>
      <c r="G3357" s="1">
        <v>2035030.0</v>
      </c>
      <c r="H3357" s="1">
        <v>10864.0</v>
      </c>
      <c r="I3357" s="1">
        <v>6.26E7</v>
      </c>
      <c r="J3357" s="1" t="s">
        <v>9050</v>
      </c>
    </row>
    <row r="3358">
      <c r="A3358" s="1" t="s">
        <v>10112</v>
      </c>
      <c r="B3358" s="1" t="s">
        <v>10113</v>
      </c>
      <c r="C3358" s="1" t="s">
        <v>10114</v>
      </c>
      <c r="D3358" s="1" t="s">
        <v>9646</v>
      </c>
      <c r="E3358" s="1" t="s">
        <v>9647</v>
      </c>
      <c r="F3358" s="1">
        <v>2.8823101E7</v>
      </c>
      <c r="G3358" s="1">
        <v>438918.0</v>
      </c>
      <c r="H3358" s="1">
        <v>10398.0</v>
      </c>
      <c r="I3358" s="1">
        <v>6.26E7</v>
      </c>
      <c r="J3358" s="1" t="s">
        <v>9050</v>
      </c>
    </row>
    <row r="3359">
      <c r="A3359" s="1" t="s">
        <v>10115</v>
      </c>
      <c r="B3359" s="1" t="s">
        <v>10116</v>
      </c>
      <c r="C3359" s="1" t="s">
        <v>10117</v>
      </c>
      <c r="D3359" s="1" t="s">
        <v>9646</v>
      </c>
      <c r="E3359" s="1" t="s">
        <v>9647</v>
      </c>
      <c r="F3359" s="1">
        <v>2865122.0</v>
      </c>
      <c r="G3359" s="1">
        <v>109864.0</v>
      </c>
      <c r="H3359" s="1">
        <v>342.0</v>
      </c>
      <c r="I3359" s="1">
        <v>6.26E7</v>
      </c>
      <c r="J3359" s="1" t="s">
        <v>9050</v>
      </c>
    </row>
    <row r="3360">
      <c r="A3360" s="1" t="s">
        <v>10118</v>
      </c>
      <c r="B3360" s="1" t="s">
        <v>10119</v>
      </c>
      <c r="C3360" s="1" t="s">
        <v>10120</v>
      </c>
      <c r="D3360" s="1" t="s">
        <v>9646</v>
      </c>
      <c r="E3360" s="1" t="s">
        <v>9647</v>
      </c>
      <c r="F3360" s="1">
        <v>2.0381538E7</v>
      </c>
      <c r="G3360" s="1">
        <v>383122.0</v>
      </c>
      <c r="H3360" s="1">
        <v>22145.0</v>
      </c>
      <c r="I3360" s="1">
        <v>6.26E7</v>
      </c>
      <c r="J3360" s="1" t="s">
        <v>9050</v>
      </c>
    </row>
    <row r="3361">
      <c r="A3361" s="1" t="s">
        <v>10121</v>
      </c>
      <c r="B3361" s="1" t="s">
        <v>10122</v>
      </c>
      <c r="C3361" s="1" t="s">
        <v>10123</v>
      </c>
      <c r="D3361" s="1" t="s">
        <v>9646</v>
      </c>
      <c r="E3361" s="1" t="s">
        <v>9647</v>
      </c>
      <c r="F3361" s="1">
        <v>1.9162213E7</v>
      </c>
      <c r="G3361" s="1">
        <v>134291.0</v>
      </c>
      <c r="H3361" s="1">
        <v>2416.0</v>
      </c>
      <c r="I3361" s="1">
        <v>6.26E7</v>
      </c>
      <c r="J3361" s="1" t="s">
        <v>9050</v>
      </c>
    </row>
    <row r="3362">
      <c r="A3362" s="1" t="s">
        <v>10124</v>
      </c>
      <c r="B3362" s="1" t="s">
        <v>10125</v>
      </c>
      <c r="C3362" s="1" t="s">
        <v>10126</v>
      </c>
      <c r="D3362" s="1" t="s">
        <v>9646</v>
      </c>
      <c r="E3362" s="1" t="s">
        <v>9647</v>
      </c>
      <c r="F3362" s="1">
        <v>8276429.0</v>
      </c>
      <c r="G3362" s="1">
        <v>116082.0</v>
      </c>
      <c r="H3362" s="1">
        <v>3742.0</v>
      </c>
      <c r="I3362" s="1">
        <v>6.26E7</v>
      </c>
      <c r="J3362" s="1" t="s">
        <v>9050</v>
      </c>
    </row>
    <row r="3363">
      <c r="A3363" s="1" t="s">
        <v>10127</v>
      </c>
      <c r="B3363" s="1" t="s">
        <v>10128</v>
      </c>
      <c r="C3363" s="1" t="s">
        <v>10129</v>
      </c>
      <c r="D3363" s="1" t="s">
        <v>9646</v>
      </c>
      <c r="E3363" s="1" t="s">
        <v>9647</v>
      </c>
      <c r="F3363" s="1">
        <v>1.0555654E7</v>
      </c>
      <c r="G3363" s="1">
        <v>174061.0</v>
      </c>
      <c r="H3363" s="1">
        <v>4410.0</v>
      </c>
      <c r="I3363" s="1">
        <v>6.26E7</v>
      </c>
      <c r="J3363" s="1" t="s">
        <v>9050</v>
      </c>
    </row>
    <row r="3364">
      <c r="A3364" s="1" t="s">
        <v>10130</v>
      </c>
      <c r="B3364" s="1" t="s">
        <v>10131</v>
      </c>
      <c r="C3364" s="1" t="s">
        <v>10132</v>
      </c>
      <c r="D3364" s="1" t="s">
        <v>9646</v>
      </c>
      <c r="E3364" s="1" t="s">
        <v>9647</v>
      </c>
      <c r="F3364" s="1">
        <v>1.4266466E7</v>
      </c>
      <c r="G3364" s="1">
        <v>233300.0</v>
      </c>
      <c r="H3364" s="1">
        <v>4641.0</v>
      </c>
      <c r="I3364" s="1">
        <v>6.26E7</v>
      </c>
      <c r="J3364" s="1" t="s">
        <v>9050</v>
      </c>
    </row>
    <row r="3365">
      <c r="A3365" s="1" t="s">
        <v>10133</v>
      </c>
      <c r="B3365" s="1" t="s">
        <v>10134</v>
      </c>
      <c r="C3365" s="1" t="s">
        <v>10135</v>
      </c>
      <c r="D3365" s="1" t="s">
        <v>9646</v>
      </c>
      <c r="E3365" s="1" t="s">
        <v>9647</v>
      </c>
      <c r="F3365" s="1">
        <v>3475730.0</v>
      </c>
      <c r="G3365" s="1">
        <v>110145.0</v>
      </c>
      <c r="H3365" s="1">
        <v>654.0</v>
      </c>
      <c r="I3365" s="1">
        <v>6.26E7</v>
      </c>
      <c r="J3365" s="1" t="s">
        <v>9050</v>
      </c>
    </row>
    <row r="3366">
      <c r="A3366" s="1" t="s">
        <v>10136</v>
      </c>
      <c r="B3366" s="1" t="s">
        <v>10137</v>
      </c>
      <c r="C3366" s="1" t="s">
        <v>10138</v>
      </c>
      <c r="D3366" s="1" t="s">
        <v>9646</v>
      </c>
      <c r="E3366" s="1" t="s">
        <v>9647</v>
      </c>
      <c r="F3366" s="1">
        <v>8085182.0</v>
      </c>
      <c r="G3366" s="1">
        <v>269505.0</v>
      </c>
      <c r="H3366" s="1">
        <v>1136.0</v>
      </c>
      <c r="I3366" s="1">
        <v>6.26E7</v>
      </c>
      <c r="J3366" s="1" t="s">
        <v>9050</v>
      </c>
    </row>
    <row r="3367">
      <c r="A3367" s="1" t="s">
        <v>10139</v>
      </c>
      <c r="B3367" s="1" t="s">
        <v>10140</v>
      </c>
      <c r="C3367" s="1" t="s">
        <v>10141</v>
      </c>
      <c r="D3367" s="1" t="s">
        <v>9646</v>
      </c>
      <c r="E3367" s="1" t="s">
        <v>9647</v>
      </c>
      <c r="F3367" s="1">
        <v>5498310.0</v>
      </c>
      <c r="G3367" s="1">
        <v>131583.0</v>
      </c>
      <c r="H3367" s="1">
        <v>416.0</v>
      </c>
      <c r="I3367" s="1">
        <v>6.26E7</v>
      </c>
      <c r="J3367" s="1" t="s">
        <v>9050</v>
      </c>
    </row>
    <row r="3368">
      <c r="A3368" s="1" t="s">
        <v>10142</v>
      </c>
      <c r="B3368" s="1" t="s">
        <v>10143</v>
      </c>
      <c r="C3368" s="1" t="s">
        <v>10144</v>
      </c>
      <c r="D3368" s="1" t="s">
        <v>9646</v>
      </c>
      <c r="E3368" s="1" t="s">
        <v>9647</v>
      </c>
      <c r="F3368" s="1">
        <v>1.4114597E7</v>
      </c>
      <c r="G3368" s="1">
        <v>189122.0</v>
      </c>
      <c r="H3368" s="1">
        <v>4181.0</v>
      </c>
      <c r="I3368" s="1">
        <v>6.26E7</v>
      </c>
      <c r="J3368" s="1" t="s">
        <v>9050</v>
      </c>
    </row>
    <row r="3369">
      <c r="A3369" s="1" t="s">
        <v>10145</v>
      </c>
      <c r="B3369" s="1" t="s">
        <v>10146</v>
      </c>
      <c r="C3369" s="1" t="s">
        <v>10147</v>
      </c>
      <c r="D3369" s="1" t="s">
        <v>9646</v>
      </c>
      <c r="E3369" s="1" t="s">
        <v>9647</v>
      </c>
      <c r="F3369" s="1">
        <v>3.5715919E7</v>
      </c>
      <c r="G3369" s="1">
        <v>187876.0</v>
      </c>
      <c r="H3369" s="1">
        <v>4962.0</v>
      </c>
      <c r="I3369" s="1">
        <v>6.26E7</v>
      </c>
      <c r="J3369" s="1" t="s">
        <v>9050</v>
      </c>
    </row>
    <row r="3370">
      <c r="A3370" s="1" t="s">
        <v>10148</v>
      </c>
      <c r="B3370" s="1" t="s">
        <v>10149</v>
      </c>
      <c r="C3370" s="1" t="s">
        <v>10150</v>
      </c>
      <c r="D3370" s="1" t="s">
        <v>9646</v>
      </c>
      <c r="E3370" s="1" t="s">
        <v>9647</v>
      </c>
      <c r="F3370" s="1">
        <v>3680108.0</v>
      </c>
      <c r="G3370" s="1">
        <v>144124.0</v>
      </c>
      <c r="H3370" s="1">
        <v>2234.0</v>
      </c>
      <c r="I3370" s="1">
        <v>6.26E7</v>
      </c>
      <c r="J3370" s="1" t="s">
        <v>9050</v>
      </c>
    </row>
    <row r="3371">
      <c r="A3371" s="1" t="s">
        <v>10151</v>
      </c>
      <c r="B3371" s="1" t="s">
        <v>10152</v>
      </c>
      <c r="C3371" s="1" t="s">
        <v>10153</v>
      </c>
      <c r="D3371" s="1" t="s">
        <v>9646</v>
      </c>
      <c r="E3371" s="1" t="s">
        <v>9647</v>
      </c>
      <c r="F3371" s="1">
        <v>7448024.0</v>
      </c>
      <c r="G3371" s="1">
        <v>169077.0</v>
      </c>
      <c r="H3371" s="1">
        <v>3777.0</v>
      </c>
      <c r="I3371" s="1">
        <v>6.26E7</v>
      </c>
      <c r="J3371" s="1" t="s">
        <v>9050</v>
      </c>
    </row>
    <row r="3372">
      <c r="A3372" s="1" t="s">
        <v>10154</v>
      </c>
      <c r="B3372" s="1" t="s">
        <v>10155</v>
      </c>
      <c r="C3372" s="1" t="s">
        <v>10156</v>
      </c>
      <c r="D3372" s="1" t="s">
        <v>9646</v>
      </c>
      <c r="E3372" s="1" t="s">
        <v>9647</v>
      </c>
      <c r="F3372" s="1">
        <v>1.3388161E7</v>
      </c>
      <c r="G3372" s="1">
        <v>175203.0</v>
      </c>
      <c r="H3372" s="1">
        <v>3064.0</v>
      </c>
      <c r="I3372" s="1">
        <v>6.26E7</v>
      </c>
      <c r="J3372" s="1" t="s">
        <v>9050</v>
      </c>
    </row>
    <row r="3373">
      <c r="A3373" s="1" t="s">
        <v>10157</v>
      </c>
      <c r="B3373" s="1" t="s">
        <v>10158</v>
      </c>
      <c r="C3373" s="1" t="s">
        <v>10159</v>
      </c>
      <c r="D3373" s="1" t="s">
        <v>9646</v>
      </c>
      <c r="E3373" s="1" t="s">
        <v>9647</v>
      </c>
      <c r="F3373" s="1">
        <v>3865384.0</v>
      </c>
      <c r="G3373" s="1">
        <v>166681.0</v>
      </c>
      <c r="H3373" s="1">
        <v>701.0</v>
      </c>
      <c r="I3373" s="1">
        <v>6.26E7</v>
      </c>
      <c r="J3373" s="1" t="s">
        <v>9050</v>
      </c>
    </row>
    <row r="3374">
      <c r="A3374" s="1" t="s">
        <v>10160</v>
      </c>
      <c r="B3374" s="1" t="s">
        <v>10161</v>
      </c>
      <c r="C3374" s="1" t="s">
        <v>10162</v>
      </c>
      <c r="D3374" s="1" t="s">
        <v>9646</v>
      </c>
      <c r="E3374" s="1" t="s">
        <v>9647</v>
      </c>
      <c r="F3374" s="1">
        <v>1.1874892E7</v>
      </c>
      <c r="G3374" s="1">
        <v>189240.0</v>
      </c>
      <c r="H3374" s="1">
        <v>5770.0</v>
      </c>
      <c r="I3374" s="1">
        <v>6.26E7</v>
      </c>
      <c r="J3374" s="1" t="s">
        <v>9050</v>
      </c>
    </row>
    <row r="3375">
      <c r="A3375" s="1" t="s">
        <v>10163</v>
      </c>
      <c r="B3375" s="1" t="s">
        <v>10164</v>
      </c>
      <c r="C3375" s="1" t="s">
        <v>10165</v>
      </c>
      <c r="D3375" s="1" t="s">
        <v>9646</v>
      </c>
      <c r="E3375" s="1" t="s">
        <v>9647</v>
      </c>
      <c r="F3375" s="1">
        <v>1.6988395E7</v>
      </c>
      <c r="G3375" s="1">
        <v>162278.0</v>
      </c>
      <c r="H3375" s="1">
        <v>3598.0</v>
      </c>
      <c r="I3375" s="1">
        <v>6.26E7</v>
      </c>
      <c r="J3375" s="1" t="s">
        <v>9050</v>
      </c>
    </row>
    <row r="3376">
      <c r="A3376" s="1" t="s">
        <v>10166</v>
      </c>
      <c r="B3376" s="1" t="s">
        <v>10167</v>
      </c>
      <c r="C3376" s="1" t="s">
        <v>10168</v>
      </c>
      <c r="D3376" s="1" t="s">
        <v>9646</v>
      </c>
      <c r="E3376" s="1" t="s">
        <v>9647</v>
      </c>
      <c r="F3376" s="1">
        <v>1.8003864E7</v>
      </c>
      <c r="G3376" s="1">
        <v>212997.0</v>
      </c>
      <c r="H3376" s="1">
        <v>6247.0</v>
      </c>
      <c r="I3376" s="1">
        <v>6.26E7</v>
      </c>
      <c r="J3376" s="1" t="s">
        <v>9050</v>
      </c>
    </row>
    <row r="3377">
      <c r="A3377" s="1" t="s">
        <v>10169</v>
      </c>
      <c r="B3377" s="1" t="s">
        <v>10170</v>
      </c>
      <c r="C3377" s="1" t="s">
        <v>10171</v>
      </c>
      <c r="D3377" s="1" t="s">
        <v>9646</v>
      </c>
      <c r="E3377" s="1" t="s">
        <v>9647</v>
      </c>
      <c r="F3377" s="1">
        <v>2.6215926E7</v>
      </c>
      <c r="G3377" s="1">
        <v>1112153.0</v>
      </c>
      <c r="H3377" s="1">
        <v>3930.0</v>
      </c>
      <c r="I3377" s="1">
        <v>6.26E7</v>
      </c>
      <c r="J3377" s="1" t="s">
        <v>9050</v>
      </c>
    </row>
    <row r="3378">
      <c r="A3378" s="1" t="s">
        <v>10172</v>
      </c>
      <c r="B3378" s="1" t="s">
        <v>10173</v>
      </c>
      <c r="C3378" s="1" t="s">
        <v>10174</v>
      </c>
      <c r="D3378" s="1" t="s">
        <v>9646</v>
      </c>
      <c r="E3378" s="1" t="s">
        <v>9647</v>
      </c>
      <c r="F3378" s="1">
        <v>1.8351693E7</v>
      </c>
      <c r="G3378" s="1">
        <v>135086.0</v>
      </c>
      <c r="H3378" s="1">
        <v>3346.0</v>
      </c>
      <c r="I3378" s="1">
        <v>6.26E7</v>
      </c>
      <c r="J3378" s="1" t="s">
        <v>9050</v>
      </c>
    </row>
    <row r="3379">
      <c r="A3379" s="1" t="s">
        <v>10175</v>
      </c>
      <c r="B3379" s="1" t="s">
        <v>10176</v>
      </c>
      <c r="C3379" s="1" t="s">
        <v>10177</v>
      </c>
      <c r="D3379" s="1" t="s">
        <v>9646</v>
      </c>
      <c r="E3379" s="1" t="s">
        <v>9647</v>
      </c>
      <c r="F3379" s="1">
        <v>7.0118681E7</v>
      </c>
      <c r="G3379" s="1">
        <v>2713491.0</v>
      </c>
      <c r="H3379" s="1">
        <v>13793.0</v>
      </c>
      <c r="I3379" s="1">
        <v>6.26E7</v>
      </c>
      <c r="J3379" s="1" t="s">
        <v>9050</v>
      </c>
    </row>
    <row r="3380">
      <c r="A3380" s="1" t="s">
        <v>10178</v>
      </c>
      <c r="B3380" s="1" t="s">
        <v>10179</v>
      </c>
      <c r="C3380" s="1" t="s">
        <v>10180</v>
      </c>
      <c r="D3380" s="1" t="s">
        <v>9646</v>
      </c>
      <c r="E3380" s="1" t="s">
        <v>9647</v>
      </c>
      <c r="F3380" s="1">
        <v>8139189.0</v>
      </c>
      <c r="G3380" s="1">
        <v>155664.0</v>
      </c>
      <c r="H3380" s="1">
        <v>4859.0</v>
      </c>
      <c r="I3380" s="1">
        <v>6.26E7</v>
      </c>
      <c r="J3380" s="1" t="s">
        <v>9050</v>
      </c>
    </row>
    <row r="3381">
      <c r="A3381" s="1" t="s">
        <v>10181</v>
      </c>
      <c r="B3381" s="1" t="s">
        <v>10182</v>
      </c>
      <c r="C3381" s="1" t="s">
        <v>10183</v>
      </c>
      <c r="D3381" s="1" t="s">
        <v>9646</v>
      </c>
      <c r="E3381" s="1" t="s">
        <v>9647</v>
      </c>
      <c r="F3381" s="1">
        <v>1.0344573E7</v>
      </c>
      <c r="G3381" s="1">
        <v>171098.0</v>
      </c>
      <c r="H3381" s="1">
        <v>5041.0</v>
      </c>
      <c r="I3381" s="1">
        <v>6.26E7</v>
      </c>
      <c r="J3381" s="1" t="s">
        <v>9050</v>
      </c>
    </row>
    <row r="3382">
      <c r="A3382" s="1" t="s">
        <v>10184</v>
      </c>
      <c r="B3382" s="1" t="s">
        <v>10185</v>
      </c>
      <c r="C3382" s="1" t="s">
        <v>10186</v>
      </c>
      <c r="D3382" s="1" t="s">
        <v>9646</v>
      </c>
      <c r="E3382" s="1" t="s">
        <v>9647</v>
      </c>
      <c r="F3382" s="1">
        <v>3367440.0</v>
      </c>
      <c r="G3382" s="1">
        <v>123866.0</v>
      </c>
      <c r="H3382" s="1">
        <v>629.0</v>
      </c>
      <c r="I3382" s="1">
        <v>6.26E7</v>
      </c>
      <c r="J3382" s="1" t="s">
        <v>9050</v>
      </c>
    </row>
    <row r="3383">
      <c r="A3383" s="1" t="s">
        <v>10187</v>
      </c>
      <c r="B3383" s="1" t="s">
        <v>10188</v>
      </c>
      <c r="C3383" s="1" t="s">
        <v>10189</v>
      </c>
      <c r="D3383" s="1" t="s">
        <v>9646</v>
      </c>
      <c r="E3383" s="1" t="s">
        <v>9647</v>
      </c>
      <c r="F3383" s="1">
        <v>2682622.0</v>
      </c>
      <c r="G3383" s="1">
        <v>94923.0</v>
      </c>
      <c r="H3383" s="1">
        <v>613.0</v>
      </c>
      <c r="I3383" s="1">
        <v>6.26E7</v>
      </c>
      <c r="J3383" s="1" t="s">
        <v>9050</v>
      </c>
    </row>
    <row r="3384">
      <c r="A3384" s="1" t="s">
        <v>10190</v>
      </c>
      <c r="B3384" s="1" t="s">
        <v>10191</v>
      </c>
      <c r="C3384" s="1" t="s">
        <v>10192</v>
      </c>
      <c r="D3384" s="1" t="s">
        <v>9646</v>
      </c>
      <c r="E3384" s="1" t="s">
        <v>9647</v>
      </c>
      <c r="F3384" s="1">
        <v>1.2221832E7</v>
      </c>
      <c r="G3384" s="1">
        <v>281022.0</v>
      </c>
      <c r="H3384" s="1">
        <v>9950.0</v>
      </c>
      <c r="I3384" s="1">
        <v>6.26E7</v>
      </c>
      <c r="J3384" s="1" t="s">
        <v>9050</v>
      </c>
    </row>
    <row r="3385">
      <c r="A3385" s="1" t="s">
        <v>10193</v>
      </c>
      <c r="B3385" s="1" t="s">
        <v>10194</v>
      </c>
      <c r="C3385" s="1" t="s">
        <v>10195</v>
      </c>
      <c r="D3385" s="1" t="s">
        <v>9646</v>
      </c>
      <c r="E3385" s="1" t="s">
        <v>9647</v>
      </c>
      <c r="F3385" s="1">
        <v>1.728945E7</v>
      </c>
      <c r="G3385" s="1">
        <v>777897.0</v>
      </c>
      <c r="H3385" s="1">
        <v>688.0</v>
      </c>
      <c r="I3385" s="1">
        <v>6.26E7</v>
      </c>
      <c r="J3385" s="1" t="s">
        <v>9050</v>
      </c>
    </row>
    <row r="3386">
      <c r="A3386" s="1" t="s">
        <v>10196</v>
      </c>
      <c r="B3386" s="1" t="s">
        <v>10197</v>
      </c>
      <c r="C3386" s="1" t="s">
        <v>10198</v>
      </c>
      <c r="D3386" s="1" t="s">
        <v>9646</v>
      </c>
      <c r="E3386" s="1" t="s">
        <v>9647</v>
      </c>
      <c r="F3386" s="1">
        <v>2.215387E7</v>
      </c>
      <c r="G3386" s="1">
        <v>304965.0</v>
      </c>
      <c r="H3386" s="1">
        <v>11698.0</v>
      </c>
      <c r="I3386" s="1">
        <v>6.26E7</v>
      </c>
      <c r="J3386" s="1" t="s">
        <v>9050</v>
      </c>
    </row>
    <row r="3387">
      <c r="A3387" s="1" t="s">
        <v>10199</v>
      </c>
      <c r="B3387" s="1" t="s">
        <v>10200</v>
      </c>
      <c r="C3387" s="1" t="s">
        <v>10201</v>
      </c>
      <c r="D3387" s="1" t="s">
        <v>9646</v>
      </c>
      <c r="E3387" s="1" t="s">
        <v>9647</v>
      </c>
      <c r="F3387" s="1">
        <v>4986204.0</v>
      </c>
      <c r="G3387" s="1">
        <v>230273.0</v>
      </c>
      <c r="H3387" s="1">
        <v>666.0</v>
      </c>
      <c r="I3387" s="1">
        <v>6.26E7</v>
      </c>
      <c r="J3387" s="1" t="s">
        <v>9050</v>
      </c>
    </row>
    <row r="3388">
      <c r="A3388" s="1" t="s">
        <v>10202</v>
      </c>
      <c r="B3388" s="1" t="s">
        <v>10203</v>
      </c>
      <c r="C3388" s="1" t="s">
        <v>10204</v>
      </c>
      <c r="D3388" s="1" t="s">
        <v>9646</v>
      </c>
      <c r="E3388" s="1" t="s">
        <v>9647</v>
      </c>
      <c r="F3388" s="1">
        <v>1.2386386E7</v>
      </c>
      <c r="G3388" s="1">
        <v>190600.0</v>
      </c>
      <c r="H3388" s="1">
        <v>4046.0</v>
      </c>
      <c r="I3388" s="1">
        <v>6.26E7</v>
      </c>
      <c r="J3388" s="1" t="s">
        <v>9050</v>
      </c>
    </row>
    <row r="3389">
      <c r="A3389" s="1" t="s">
        <v>10205</v>
      </c>
      <c r="B3389" s="1" t="s">
        <v>10206</v>
      </c>
      <c r="C3389" s="1" t="s">
        <v>10207</v>
      </c>
      <c r="D3389" s="1" t="s">
        <v>9646</v>
      </c>
      <c r="E3389" s="1" t="s">
        <v>9647</v>
      </c>
      <c r="F3389" s="1">
        <v>1.4722667E7</v>
      </c>
      <c r="G3389" s="1">
        <v>221871.0</v>
      </c>
      <c r="H3389" s="1">
        <v>3309.0</v>
      </c>
      <c r="I3389" s="1">
        <v>6.26E7</v>
      </c>
      <c r="J3389" s="1" t="s">
        <v>9050</v>
      </c>
    </row>
    <row r="3390">
      <c r="A3390" s="1" t="s">
        <v>10208</v>
      </c>
      <c r="B3390" s="1" t="s">
        <v>10209</v>
      </c>
      <c r="C3390" s="1" t="s">
        <v>10210</v>
      </c>
      <c r="D3390" s="1" t="s">
        <v>9646</v>
      </c>
      <c r="E3390" s="1" t="s">
        <v>9647</v>
      </c>
      <c r="F3390" s="1">
        <v>3.5164237E7</v>
      </c>
      <c r="G3390" s="1">
        <v>1390426.0</v>
      </c>
      <c r="H3390" s="1">
        <v>1358.0</v>
      </c>
      <c r="I3390" s="1">
        <v>6.26E7</v>
      </c>
      <c r="J3390" s="1" t="s">
        <v>9050</v>
      </c>
    </row>
    <row r="3391">
      <c r="A3391" s="1" t="s">
        <v>10211</v>
      </c>
      <c r="B3391" s="1" t="s">
        <v>10212</v>
      </c>
      <c r="C3391" s="1" t="s">
        <v>10213</v>
      </c>
      <c r="D3391" s="1" t="s">
        <v>9646</v>
      </c>
      <c r="E3391" s="1" t="s">
        <v>9647</v>
      </c>
      <c r="F3391" s="1">
        <v>6369841.0</v>
      </c>
      <c r="G3391" s="1">
        <v>340031.0</v>
      </c>
      <c r="H3391" s="1">
        <v>1695.0</v>
      </c>
      <c r="I3391" s="1">
        <v>6.26E7</v>
      </c>
      <c r="J3391" s="1" t="s">
        <v>9050</v>
      </c>
    </row>
    <row r="3392">
      <c r="A3392" s="1" t="s">
        <v>10214</v>
      </c>
      <c r="B3392" s="1" t="s">
        <v>10215</v>
      </c>
      <c r="C3392" s="1" t="s">
        <v>10216</v>
      </c>
      <c r="D3392" s="1" t="s">
        <v>9646</v>
      </c>
      <c r="E3392" s="1" t="s">
        <v>9647</v>
      </c>
      <c r="F3392" s="1">
        <v>1.4875756E7</v>
      </c>
      <c r="G3392" s="1">
        <v>206045.0</v>
      </c>
      <c r="H3392" s="1">
        <v>4541.0</v>
      </c>
      <c r="I3392" s="1">
        <v>6.26E7</v>
      </c>
      <c r="J3392" s="1" t="s">
        <v>9050</v>
      </c>
    </row>
    <row r="3393">
      <c r="A3393" s="1" t="s">
        <v>10217</v>
      </c>
      <c r="B3393" s="1" t="s">
        <v>10218</v>
      </c>
      <c r="C3393" s="1" t="s">
        <v>10219</v>
      </c>
      <c r="D3393" s="1" t="s">
        <v>9646</v>
      </c>
      <c r="E3393" s="1" t="s">
        <v>9647</v>
      </c>
      <c r="F3393" s="1">
        <v>5691362.0</v>
      </c>
      <c r="G3393" s="1">
        <v>119514.0</v>
      </c>
      <c r="H3393" s="1">
        <v>2679.0</v>
      </c>
      <c r="I3393" s="1">
        <v>6.26E7</v>
      </c>
      <c r="J3393" s="1" t="s">
        <v>9050</v>
      </c>
    </row>
    <row r="3394">
      <c r="A3394" s="1" t="s">
        <v>10220</v>
      </c>
      <c r="B3394" s="1" t="s">
        <v>10221</v>
      </c>
      <c r="C3394" s="1" t="s">
        <v>10222</v>
      </c>
      <c r="D3394" s="1" t="s">
        <v>9646</v>
      </c>
      <c r="E3394" s="1" t="s">
        <v>9647</v>
      </c>
      <c r="F3394" s="1">
        <v>1.6189823E7</v>
      </c>
      <c r="G3394" s="1">
        <v>723328.0</v>
      </c>
      <c r="H3394" s="1">
        <v>3267.0</v>
      </c>
      <c r="I3394" s="1">
        <v>6.26E7</v>
      </c>
      <c r="J3394" s="1" t="s">
        <v>9050</v>
      </c>
    </row>
    <row r="3395">
      <c r="A3395" s="1" t="s">
        <v>10223</v>
      </c>
      <c r="B3395" s="1" t="s">
        <v>10224</v>
      </c>
      <c r="C3395" s="1" t="s">
        <v>10225</v>
      </c>
      <c r="D3395" s="1" t="s">
        <v>9646</v>
      </c>
      <c r="E3395" s="1" t="s">
        <v>9647</v>
      </c>
      <c r="F3395" s="1">
        <v>1.4154365E7</v>
      </c>
      <c r="G3395" s="1">
        <v>175815.0</v>
      </c>
      <c r="H3395" s="1">
        <v>2983.0</v>
      </c>
      <c r="I3395" s="1">
        <v>6.26E7</v>
      </c>
      <c r="J3395" s="1" t="s">
        <v>9050</v>
      </c>
    </row>
    <row r="3396">
      <c r="A3396" s="1" t="s">
        <v>10226</v>
      </c>
      <c r="B3396" s="1" t="s">
        <v>10227</v>
      </c>
      <c r="C3396" s="1" t="s">
        <v>10228</v>
      </c>
      <c r="D3396" s="1" t="s">
        <v>9646</v>
      </c>
      <c r="E3396" s="1" t="s">
        <v>9647</v>
      </c>
      <c r="F3396" s="1">
        <v>4422076.0</v>
      </c>
      <c r="G3396" s="1">
        <v>206274.0</v>
      </c>
      <c r="H3396" s="1">
        <v>895.0</v>
      </c>
      <c r="I3396" s="1">
        <v>6.26E7</v>
      </c>
      <c r="J3396" s="1" t="s">
        <v>9050</v>
      </c>
    </row>
    <row r="3397">
      <c r="A3397" s="1" t="s">
        <v>10229</v>
      </c>
      <c r="B3397" s="1" t="s">
        <v>10230</v>
      </c>
      <c r="C3397" s="1" t="s">
        <v>10231</v>
      </c>
      <c r="D3397" s="1" t="s">
        <v>9646</v>
      </c>
      <c r="E3397" s="1" t="s">
        <v>9647</v>
      </c>
      <c r="F3397" s="1">
        <v>1.7464446E7</v>
      </c>
      <c r="G3397" s="1">
        <v>490178.0</v>
      </c>
      <c r="H3397" s="1">
        <v>1278.0</v>
      </c>
      <c r="I3397" s="1">
        <v>6.26E7</v>
      </c>
      <c r="J3397" s="1" t="s">
        <v>9050</v>
      </c>
    </row>
    <row r="3398">
      <c r="A3398" s="1" t="s">
        <v>10232</v>
      </c>
      <c r="B3398" s="1" t="s">
        <v>10233</v>
      </c>
      <c r="C3398" s="1" t="s">
        <v>10234</v>
      </c>
      <c r="D3398" s="1" t="s">
        <v>9646</v>
      </c>
      <c r="E3398" s="1" t="s">
        <v>9647</v>
      </c>
      <c r="F3398" s="1">
        <v>1.0769784E7</v>
      </c>
      <c r="G3398" s="1">
        <v>182348.0</v>
      </c>
      <c r="H3398" s="1">
        <v>3901.0</v>
      </c>
      <c r="I3398" s="1">
        <v>6.26E7</v>
      </c>
      <c r="J3398" s="1" t="s">
        <v>9050</v>
      </c>
    </row>
    <row r="3399">
      <c r="A3399" s="1" t="s">
        <v>10235</v>
      </c>
      <c r="B3399" s="1" t="s">
        <v>10236</v>
      </c>
      <c r="C3399" s="1" t="s">
        <v>10237</v>
      </c>
      <c r="D3399" s="1" t="s">
        <v>9646</v>
      </c>
      <c r="E3399" s="1" t="s">
        <v>9647</v>
      </c>
      <c r="F3399" s="1">
        <v>4949527.0</v>
      </c>
      <c r="G3399" s="1">
        <v>152765.0</v>
      </c>
      <c r="H3399" s="1">
        <v>690.0</v>
      </c>
      <c r="I3399" s="1">
        <v>6.26E7</v>
      </c>
      <c r="J3399" s="1" t="s">
        <v>9050</v>
      </c>
    </row>
    <row r="3400">
      <c r="A3400" s="1" t="s">
        <v>10238</v>
      </c>
      <c r="B3400" s="1" t="s">
        <v>10239</v>
      </c>
      <c r="C3400" s="1" t="s">
        <v>10240</v>
      </c>
      <c r="D3400" s="1" t="s">
        <v>9646</v>
      </c>
      <c r="E3400" s="1" t="s">
        <v>9647</v>
      </c>
      <c r="F3400" s="1">
        <v>2098512.0</v>
      </c>
      <c r="G3400" s="1">
        <v>67445.0</v>
      </c>
      <c r="H3400" s="1">
        <v>322.0</v>
      </c>
      <c r="I3400" s="1">
        <v>6.26E7</v>
      </c>
      <c r="J3400" s="1" t="s">
        <v>9050</v>
      </c>
    </row>
    <row r="3401">
      <c r="A3401" s="1" t="s">
        <v>10241</v>
      </c>
      <c r="B3401" s="1" t="s">
        <v>10242</v>
      </c>
      <c r="C3401" s="1" t="s">
        <v>10243</v>
      </c>
      <c r="D3401" s="1" t="s">
        <v>9646</v>
      </c>
      <c r="E3401" s="1" t="s">
        <v>9647</v>
      </c>
      <c r="F3401" s="1">
        <v>8072807.0</v>
      </c>
      <c r="G3401" s="1">
        <v>314380.0</v>
      </c>
      <c r="H3401" s="1">
        <v>2320.0</v>
      </c>
      <c r="I3401" s="1">
        <v>6.26E7</v>
      </c>
      <c r="J3401" s="1" t="s">
        <v>9050</v>
      </c>
    </row>
    <row r="3402">
      <c r="A3402" s="1" t="s">
        <v>10244</v>
      </c>
      <c r="B3402" s="1" t="s">
        <v>10245</v>
      </c>
      <c r="C3402" s="1" t="s">
        <v>10246</v>
      </c>
      <c r="D3402" s="1" t="s">
        <v>10247</v>
      </c>
      <c r="E3402" s="1" t="s">
        <v>10248</v>
      </c>
      <c r="F3402" s="1">
        <v>52905.0</v>
      </c>
      <c r="G3402" s="1">
        <v>3231.0</v>
      </c>
      <c r="H3402" s="1">
        <v>27.0</v>
      </c>
      <c r="I3402" s="1">
        <v>1.97E7</v>
      </c>
      <c r="J3402" s="1" t="s">
        <v>9050</v>
      </c>
    </row>
    <row r="3403">
      <c r="A3403" s="1" t="s">
        <v>10249</v>
      </c>
      <c r="B3403" s="1" t="s">
        <v>10250</v>
      </c>
      <c r="C3403" s="1" t="s">
        <v>10251</v>
      </c>
      <c r="D3403" s="1" t="s">
        <v>10247</v>
      </c>
      <c r="E3403" s="1" t="s">
        <v>10248</v>
      </c>
      <c r="F3403" s="1">
        <v>719854.0</v>
      </c>
      <c r="G3403" s="1">
        <v>20477.0</v>
      </c>
      <c r="H3403" s="1">
        <v>826.0</v>
      </c>
      <c r="I3403" s="1">
        <v>1.97E7</v>
      </c>
      <c r="J3403" s="1" t="s">
        <v>9050</v>
      </c>
    </row>
    <row r="3404">
      <c r="A3404" s="1" t="s">
        <v>10252</v>
      </c>
      <c r="B3404" s="1" t="s">
        <v>10253</v>
      </c>
      <c r="C3404" s="1" t="s">
        <v>10254</v>
      </c>
      <c r="D3404" s="1" t="s">
        <v>10247</v>
      </c>
      <c r="E3404" s="1" t="s">
        <v>10248</v>
      </c>
      <c r="F3404" s="1">
        <v>243803.0</v>
      </c>
      <c r="G3404" s="1">
        <v>8923.0</v>
      </c>
      <c r="H3404" s="1">
        <v>94.0</v>
      </c>
      <c r="I3404" s="1">
        <v>1.97E7</v>
      </c>
      <c r="J3404" s="1" t="s">
        <v>9050</v>
      </c>
    </row>
    <row r="3405">
      <c r="A3405" s="1" t="s">
        <v>10255</v>
      </c>
      <c r="B3405" s="1" t="s">
        <v>10256</v>
      </c>
      <c r="C3405" s="1" t="s">
        <v>10257</v>
      </c>
      <c r="D3405" s="1" t="s">
        <v>10247</v>
      </c>
      <c r="E3405" s="1" t="s">
        <v>10248</v>
      </c>
      <c r="F3405" s="1">
        <v>805830.0</v>
      </c>
      <c r="G3405" s="1">
        <v>21221.0</v>
      </c>
      <c r="H3405" s="1">
        <v>1971.0</v>
      </c>
      <c r="I3405" s="1">
        <v>1.97E7</v>
      </c>
      <c r="J3405" s="1" t="s">
        <v>9050</v>
      </c>
    </row>
    <row r="3406">
      <c r="A3406" s="1" t="s">
        <v>10258</v>
      </c>
      <c r="B3406" s="1" t="s">
        <v>10259</v>
      </c>
      <c r="C3406" s="1" t="s">
        <v>10260</v>
      </c>
      <c r="D3406" s="1" t="s">
        <v>10247</v>
      </c>
      <c r="E3406" s="1" t="s">
        <v>10248</v>
      </c>
      <c r="F3406" s="1">
        <v>269140.0</v>
      </c>
      <c r="G3406" s="1">
        <v>8728.0</v>
      </c>
      <c r="H3406" s="1">
        <v>148.0</v>
      </c>
      <c r="I3406" s="1">
        <v>1.97E7</v>
      </c>
      <c r="J3406" s="1" t="s">
        <v>9050</v>
      </c>
    </row>
    <row r="3407">
      <c r="A3407" s="1" t="s">
        <v>10261</v>
      </c>
      <c r="B3407" s="1" t="s">
        <v>10262</v>
      </c>
      <c r="C3407" s="1" t="s">
        <v>10263</v>
      </c>
      <c r="D3407" s="1" t="s">
        <v>10247</v>
      </c>
      <c r="E3407" s="1" t="s">
        <v>10248</v>
      </c>
      <c r="F3407" s="1">
        <v>684826.0</v>
      </c>
      <c r="G3407" s="1">
        <v>25341.0</v>
      </c>
      <c r="H3407" s="1">
        <v>1723.0</v>
      </c>
      <c r="I3407" s="1">
        <v>1.97E7</v>
      </c>
      <c r="J3407" s="1" t="s">
        <v>9050</v>
      </c>
    </row>
    <row r="3408">
      <c r="A3408" s="1" t="s">
        <v>10264</v>
      </c>
      <c r="B3408" s="1" t="s">
        <v>10265</v>
      </c>
      <c r="C3408" s="1" t="s">
        <v>10266</v>
      </c>
      <c r="D3408" s="1" t="s">
        <v>10247</v>
      </c>
      <c r="E3408" s="1" t="s">
        <v>10248</v>
      </c>
      <c r="F3408" s="1">
        <v>122978.0</v>
      </c>
      <c r="G3408" s="1">
        <v>4310.0</v>
      </c>
      <c r="H3408" s="1">
        <v>13.0</v>
      </c>
      <c r="I3408" s="1">
        <v>1.97E7</v>
      </c>
      <c r="J3408" s="1" t="s">
        <v>9050</v>
      </c>
    </row>
    <row r="3409">
      <c r="A3409" s="1" t="s">
        <v>10267</v>
      </c>
      <c r="B3409" s="1" t="s">
        <v>10268</v>
      </c>
      <c r="C3409" s="1" t="s">
        <v>10269</v>
      </c>
      <c r="D3409" s="1" t="s">
        <v>10247</v>
      </c>
      <c r="E3409" s="1" t="s">
        <v>10248</v>
      </c>
      <c r="F3409" s="1">
        <v>723366.0</v>
      </c>
      <c r="G3409" s="1">
        <v>19567.0</v>
      </c>
      <c r="H3409" s="1">
        <v>801.0</v>
      </c>
      <c r="I3409" s="1">
        <v>1.97E7</v>
      </c>
      <c r="J3409" s="1" t="s">
        <v>9050</v>
      </c>
    </row>
    <row r="3410">
      <c r="A3410" s="1" t="s">
        <v>10270</v>
      </c>
      <c r="B3410" s="1" t="s">
        <v>10271</v>
      </c>
      <c r="C3410" s="1" t="s">
        <v>10272</v>
      </c>
      <c r="D3410" s="1" t="s">
        <v>10247</v>
      </c>
      <c r="E3410" s="1" t="s">
        <v>10248</v>
      </c>
      <c r="F3410" s="1">
        <v>8508870.0</v>
      </c>
      <c r="G3410" s="1">
        <v>409692.0</v>
      </c>
      <c r="H3410" s="1">
        <v>8935.0</v>
      </c>
      <c r="I3410" s="1">
        <v>1.97E7</v>
      </c>
      <c r="J3410" s="1" t="s">
        <v>9050</v>
      </c>
    </row>
    <row r="3411">
      <c r="A3411" s="1" t="s">
        <v>10273</v>
      </c>
      <c r="B3411" s="1" t="s">
        <v>10274</v>
      </c>
      <c r="C3411" s="1" t="s">
        <v>10275</v>
      </c>
      <c r="D3411" s="1" t="s">
        <v>10247</v>
      </c>
      <c r="E3411" s="1" t="s">
        <v>10248</v>
      </c>
      <c r="F3411" s="1">
        <v>853562.0</v>
      </c>
      <c r="G3411" s="1">
        <v>21605.0</v>
      </c>
      <c r="H3411" s="1">
        <v>1316.0</v>
      </c>
      <c r="I3411" s="1">
        <v>1.97E7</v>
      </c>
      <c r="J3411" s="1" t="s">
        <v>9050</v>
      </c>
    </row>
    <row r="3412">
      <c r="A3412" s="1" t="s">
        <v>10276</v>
      </c>
      <c r="B3412" s="1" t="s">
        <v>10277</v>
      </c>
      <c r="C3412" s="1" t="s">
        <v>10278</v>
      </c>
      <c r="D3412" s="1" t="s">
        <v>10247</v>
      </c>
      <c r="E3412" s="1" t="s">
        <v>10248</v>
      </c>
      <c r="F3412" s="1">
        <v>180207.0</v>
      </c>
      <c r="G3412" s="1">
        <v>4289.0</v>
      </c>
      <c r="H3412" s="1">
        <v>23.0</v>
      </c>
      <c r="I3412" s="1">
        <v>1.97E7</v>
      </c>
      <c r="J3412" s="1" t="s">
        <v>9050</v>
      </c>
    </row>
    <row r="3413">
      <c r="A3413" s="1" t="s">
        <v>10279</v>
      </c>
      <c r="B3413" s="1" t="s">
        <v>10280</v>
      </c>
      <c r="C3413" s="1" t="s">
        <v>10281</v>
      </c>
      <c r="D3413" s="1" t="s">
        <v>10247</v>
      </c>
      <c r="E3413" s="1" t="s">
        <v>10248</v>
      </c>
      <c r="F3413" s="1">
        <v>935762.0</v>
      </c>
      <c r="G3413" s="1">
        <v>25086.0</v>
      </c>
      <c r="H3413" s="1">
        <v>1026.0</v>
      </c>
      <c r="I3413" s="1">
        <v>1.97E7</v>
      </c>
      <c r="J3413" s="1" t="s">
        <v>9050</v>
      </c>
    </row>
    <row r="3414">
      <c r="A3414" s="1" t="s">
        <v>10282</v>
      </c>
      <c r="B3414" s="1" t="s">
        <v>10283</v>
      </c>
      <c r="C3414" s="1" t="s">
        <v>10284</v>
      </c>
      <c r="D3414" s="1" t="s">
        <v>10247</v>
      </c>
      <c r="E3414" s="1" t="s">
        <v>10248</v>
      </c>
      <c r="F3414" s="1">
        <v>111069.0</v>
      </c>
      <c r="G3414" s="1">
        <v>3393.0</v>
      </c>
      <c r="H3414" s="1">
        <v>30.0</v>
      </c>
      <c r="I3414" s="1">
        <v>1.97E7</v>
      </c>
      <c r="J3414" s="1" t="s">
        <v>9050</v>
      </c>
    </row>
    <row r="3415">
      <c r="A3415" s="1" t="s">
        <v>10285</v>
      </c>
      <c r="B3415" s="1" t="s">
        <v>10286</v>
      </c>
      <c r="C3415" s="1" t="s">
        <v>10287</v>
      </c>
      <c r="D3415" s="1" t="s">
        <v>10247</v>
      </c>
      <c r="E3415" s="1" t="s">
        <v>10248</v>
      </c>
      <c r="F3415" s="1">
        <v>1121413.0</v>
      </c>
      <c r="G3415" s="1">
        <v>29302.0</v>
      </c>
      <c r="H3415" s="1">
        <v>2329.0</v>
      </c>
      <c r="I3415" s="1">
        <v>1.97E7</v>
      </c>
      <c r="J3415" s="1" t="s">
        <v>9050</v>
      </c>
    </row>
    <row r="3416">
      <c r="A3416" s="1" t="s">
        <v>10288</v>
      </c>
      <c r="B3416" s="1" t="s">
        <v>10289</v>
      </c>
      <c r="C3416" s="1" t="s">
        <v>10290</v>
      </c>
      <c r="D3416" s="1" t="s">
        <v>10247</v>
      </c>
      <c r="E3416" s="1" t="s">
        <v>10248</v>
      </c>
      <c r="F3416" s="1">
        <v>186791.0</v>
      </c>
      <c r="G3416" s="1">
        <v>4862.0</v>
      </c>
      <c r="H3416" s="1">
        <v>47.0</v>
      </c>
      <c r="I3416" s="1">
        <v>1.97E7</v>
      </c>
      <c r="J3416" s="1" t="s">
        <v>9050</v>
      </c>
    </row>
    <row r="3417">
      <c r="A3417" s="1" t="s">
        <v>10291</v>
      </c>
      <c r="B3417" s="1" t="s">
        <v>10292</v>
      </c>
      <c r="C3417" s="1" t="s">
        <v>10293</v>
      </c>
      <c r="D3417" s="1" t="s">
        <v>10247</v>
      </c>
      <c r="E3417" s="1" t="s">
        <v>10248</v>
      </c>
      <c r="F3417" s="1">
        <v>935522.0</v>
      </c>
      <c r="G3417" s="1">
        <v>23122.0</v>
      </c>
      <c r="H3417" s="1">
        <v>858.0</v>
      </c>
      <c r="I3417" s="1">
        <v>1.97E7</v>
      </c>
      <c r="J3417" s="1" t="s">
        <v>9050</v>
      </c>
    </row>
    <row r="3418">
      <c r="A3418" s="1" t="s">
        <v>10294</v>
      </c>
      <c r="B3418" s="1" t="s">
        <v>10295</v>
      </c>
      <c r="C3418" s="1" t="s">
        <v>10296</v>
      </c>
      <c r="D3418" s="1" t="s">
        <v>10247</v>
      </c>
      <c r="E3418" s="1" t="s">
        <v>10248</v>
      </c>
      <c r="F3418" s="1">
        <v>209222.0</v>
      </c>
      <c r="G3418" s="1">
        <v>5183.0</v>
      </c>
      <c r="H3418" s="1">
        <v>52.0</v>
      </c>
      <c r="I3418" s="1">
        <v>1.97E7</v>
      </c>
      <c r="J3418" s="1" t="s">
        <v>9050</v>
      </c>
    </row>
    <row r="3419">
      <c r="A3419" s="1" t="s">
        <v>10297</v>
      </c>
      <c r="B3419" s="1" t="s">
        <v>10298</v>
      </c>
      <c r="C3419" s="1" t="s">
        <v>10299</v>
      </c>
      <c r="D3419" s="1" t="s">
        <v>10247</v>
      </c>
      <c r="E3419" s="1" t="s">
        <v>10248</v>
      </c>
      <c r="F3419" s="1">
        <v>898725.0</v>
      </c>
      <c r="G3419" s="1">
        <v>30411.0</v>
      </c>
      <c r="H3419" s="1">
        <v>1584.0</v>
      </c>
      <c r="I3419" s="1">
        <v>1.97E7</v>
      </c>
      <c r="J3419" s="1" t="s">
        <v>9050</v>
      </c>
    </row>
    <row r="3420">
      <c r="A3420" s="1" t="s">
        <v>10300</v>
      </c>
      <c r="B3420" s="1" t="s">
        <v>10301</v>
      </c>
      <c r="C3420" s="1" t="s">
        <v>10302</v>
      </c>
      <c r="D3420" s="1" t="s">
        <v>10247</v>
      </c>
      <c r="E3420" s="1" t="s">
        <v>10248</v>
      </c>
      <c r="F3420" s="1">
        <v>91945.0</v>
      </c>
      <c r="G3420" s="1">
        <v>4388.0</v>
      </c>
      <c r="H3420" s="1">
        <v>40.0</v>
      </c>
      <c r="I3420" s="1">
        <v>1.97E7</v>
      </c>
      <c r="J3420" s="1" t="s">
        <v>9050</v>
      </c>
    </row>
    <row r="3421">
      <c r="A3421" s="1" t="s">
        <v>10303</v>
      </c>
      <c r="B3421" s="1" t="s">
        <v>10304</v>
      </c>
      <c r="C3421" s="1" t="s">
        <v>10305</v>
      </c>
      <c r="D3421" s="1" t="s">
        <v>10247</v>
      </c>
      <c r="E3421" s="1" t="s">
        <v>10248</v>
      </c>
      <c r="F3421" s="1">
        <v>920733.0</v>
      </c>
      <c r="G3421" s="1">
        <v>23352.0</v>
      </c>
      <c r="H3421" s="1">
        <v>927.0</v>
      </c>
      <c r="I3421" s="1">
        <v>1.97E7</v>
      </c>
      <c r="J3421" s="1" t="s">
        <v>9050</v>
      </c>
    </row>
    <row r="3422">
      <c r="A3422" s="1" t="s">
        <v>10306</v>
      </c>
      <c r="B3422" s="1" t="s">
        <v>10307</v>
      </c>
      <c r="C3422" s="1" t="s">
        <v>10308</v>
      </c>
      <c r="D3422" s="1" t="s">
        <v>10247</v>
      </c>
      <c r="E3422" s="1" t="s">
        <v>10248</v>
      </c>
      <c r="F3422" s="1">
        <v>106394.0</v>
      </c>
      <c r="G3422" s="1">
        <v>2782.0</v>
      </c>
      <c r="H3422" s="1">
        <v>19.0</v>
      </c>
      <c r="I3422" s="1">
        <v>1.97E7</v>
      </c>
      <c r="J3422" s="1" t="s">
        <v>9050</v>
      </c>
    </row>
    <row r="3423">
      <c r="A3423" s="1" t="s">
        <v>10309</v>
      </c>
      <c r="B3423" s="1" t="s">
        <v>10310</v>
      </c>
      <c r="C3423" s="1" t="s">
        <v>10311</v>
      </c>
      <c r="D3423" s="1" t="s">
        <v>10247</v>
      </c>
      <c r="E3423" s="1" t="s">
        <v>10248</v>
      </c>
      <c r="F3423" s="1">
        <v>1744386.0</v>
      </c>
      <c r="G3423" s="1">
        <v>47547.0</v>
      </c>
      <c r="H3423" s="1">
        <v>1402.0</v>
      </c>
      <c r="I3423" s="1">
        <v>1.97E7</v>
      </c>
      <c r="J3423" s="1" t="s">
        <v>9050</v>
      </c>
    </row>
    <row r="3424">
      <c r="A3424" s="1" t="s">
        <v>10312</v>
      </c>
      <c r="B3424" s="1" t="s">
        <v>10313</v>
      </c>
      <c r="C3424" s="1" t="s">
        <v>10314</v>
      </c>
      <c r="D3424" s="1" t="s">
        <v>10247</v>
      </c>
      <c r="E3424" s="1" t="s">
        <v>10248</v>
      </c>
      <c r="F3424" s="1">
        <v>112017.0</v>
      </c>
      <c r="G3424" s="1">
        <v>2759.0</v>
      </c>
      <c r="H3424" s="1">
        <v>23.0</v>
      </c>
      <c r="I3424" s="1">
        <v>1.97E7</v>
      </c>
      <c r="J3424" s="1" t="s">
        <v>9050</v>
      </c>
    </row>
    <row r="3425">
      <c r="A3425" s="1" t="s">
        <v>10315</v>
      </c>
      <c r="B3425" s="1" t="s">
        <v>10316</v>
      </c>
      <c r="C3425" s="1" t="s">
        <v>10317</v>
      </c>
      <c r="D3425" s="1" t="s">
        <v>10247</v>
      </c>
      <c r="E3425" s="1" t="s">
        <v>10248</v>
      </c>
      <c r="F3425" s="1">
        <v>814851.0</v>
      </c>
      <c r="G3425" s="1">
        <v>23972.0</v>
      </c>
      <c r="H3425" s="1">
        <v>1204.0</v>
      </c>
      <c r="I3425" s="1">
        <v>1.97E7</v>
      </c>
      <c r="J3425" s="1" t="s">
        <v>9050</v>
      </c>
    </row>
    <row r="3426">
      <c r="A3426" s="1" t="s">
        <v>10318</v>
      </c>
      <c r="B3426" s="1" t="s">
        <v>10319</v>
      </c>
      <c r="C3426" s="1" t="s">
        <v>10320</v>
      </c>
      <c r="D3426" s="1" t="s">
        <v>10247</v>
      </c>
      <c r="E3426" s="1" t="s">
        <v>10248</v>
      </c>
      <c r="F3426" s="1">
        <v>124818.0</v>
      </c>
      <c r="G3426" s="1">
        <v>3394.0</v>
      </c>
      <c r="H3426" s="1">
        <v>18.0</v>
      </c>
      <c r="I3426" s="1">
        <v>1.97E7</v>
      </c>
      <c r="J3426" s="1" t="s">
        <v>9050</v>
      </c>
    </row>
    <row r="3427">
      <c r="A3427" s="1" t="s">
        <v>10321</v>
      </c>
      <c r="B3427" s="1" t="s">
        <v>10322</v>
      </c>
      <c r="C3427" s="1" t="s">
        <v>10323</v>
      </c>
      <c r="D3427" s="1" t="s">
        <v>10247</v>
      </c>
      <c r="E3427" s="1" t="s">
        <v>10248</v>
      </c>
      <c r="F3427" s="1">
        <v>1238880.0</v>
      </c>
      <c r="G3427" s="1">
        <v>28491.0</v>
      </c>
      <c r="H3427" s="1">
        <v>1088.0</v>
      </c>
      <c r="I3427" s="1">
        <v>1.97E7</v>
      </c>
      <c r="J3427" s="1" t="s">
        <v>9050</v>
      </c>
    </row>
    <row r="3428">
      <c r="A3428" s="1" t="s">
        <v>10324</v>
      </c>
      <c r="B3428" s="1" t="s">
        <v>10325</v>
      </c>
      <c r="C3428" s="1" t="s">
        <v>10326</v>
      </c>
      <c r="D3428" s="1" t="s">
        <v>10247</v>
      </c>
      <c r="E3428" s="1" t="s">
        <v>10248</v>
      </c>
      <c r="F3428" s="1">
        <v>151341.0</v>
      </c>
      <c r="G3428" s="1">
        <v>6062.0</v>
      </c>
      <c r="H3428" s="1">
        <v>45.0</v>
      </c>
      <c r="I3428" s="1">
        <v>1.97E7</v>
      </c>
      <c r="J3428" s="1" t="s">
        <v>9050</v>
      </c>
    </row>
    <row r="3429">
      <c r="A3429" s="1" t="s">
        <v>10327</v>
      </c>
      <c r="B3429" s="1" t="s">
        <v>10328</v>
      </c>
      <c r="C3429" s="1" t="s">
        <v>10329</v>
      </c>
      <c r="D3429" s="1" t="s">
        <v>10247</v>
      </c>
      <c r="E3429" s="1" t="s">
        <v>10248</v>
      </c>
      <c r="F3429" s="1">
        <v>1217036.0</v>
      </c>
      <c r="G3429" s="1">
        <v>31110.0</v>
      </c>
      <c r="H3429" s="1">
        <v>1138.0</v>
      </c>
      <c r="I3429" s="1">
        <v>1.97E7</v>
      </c>
      <c r="J3429" s="1" t="s">
        <v>9050</v>
      </c>
    </row>
    <row r="3430">
      <c r="A3430" s="1" t="s">
        <v>10330</v>
      </c>
      <c r="B3430" s="1" t="s">
        <v>10331</v>
      </c>
      <c r="C3430" s="1" t="s">
        <v>10332</v>
      </c>
      <c r="D3430" s="1" t="s">
        <v>10247</v>
      </c>
      <c r="E3430" s="1" t="s">
        <v>10248</v>
      </c>
      <c r="F3430" s="1">
        <v>104018.0</v>
      </c>
      <c r="G3430" s="1">
        <v>3333.0</v>
      </c>
      <c r="H3430" s="1">
        <v>23.0</v>
      </c>
      <c r="I3430" s="1">
        <v>1.97E7</v>
      </c>
      <c r="J3430" s="1" t="s">
        <v>9050</v>
      </c>
    </row>
    <row r="3431">
      <c r="A3431" s="1" t="s">
        <v>10333</v>
      </c>
      <c r="B3431" s="1" t="s">
        <v>10334</v>
      </c>
      <c r="C3431" s="1" t="s">
        <v>10335</v>
      </c>
      <c r="D3431" s="1" t="s">
        <v>10247</v>
      </c>
      <c r="E3431" s="1" t="s">
        <v>10248</v>
      </c>
      <c r="F3431" s="1">
        <v>832148.0</v>
      </c>
      <c r="G3431" s="1">
        <v>36612.0</v>
      </c>
      <c r="H3431" s="1">
        <v>1611.0</v>
      </c>
      <c r="I3431" s="1">
        <v>1.97E7</v>
      </c>
      <c r="J3431" s="1" t="s">
        <v>9050</v>
      </c>
    </row>
    <row r="3432">
      <c r="A3432" s="1" t="s">
        <v>10336</v>
      </c>
      <c r="B3432" s="1" t="s">
        <v>10337</v>
      </c>
      <c r="C3432" s="1" t="s">
        <v>10338</v>
      </c>
      <c r="D3432" s="1" t="s">
        <v>10247</v>
      </c>
      <c r="E3432" s="1" t="s">
        <v>10248</v>
      </c>
      <c r="F3432" s="1">
        <v>65389.0</v>
      </c>
      <c r="G3432" s="1">
        <v>1695.0</v>
      </c>
      <c r="H3432" s="1">
        <v>20.0</v>
      </c>
      <c r="I3432" s="1">
        <v>1.97E7</v>
      </c>
      <c r="J3432" s="1" t="s">
        <v>9050</v>
      </c>
    </row>
    <row r="3433">
      <c r="A3433" s="1" t="s">
        <v>10339</v>
      </c>
      <c r="B3433" s="1" t="s">
        <v>10340</v>
      </c>
      <c r="C3433" s="1" t="s">
        <v>10341</v>
      </c>
      <c r="D3433" s="1" t="s">
        <v>10247</v>
      </c>
      <c r="E3433" s="1" t="s">
        <v>10248</v>
      </c>
      <c r="F3433" s="1">
        <v>1404080.0</v>
      </c>
      <c r="G3433" s="1">
        <v>35029.0</v>
      </c>
      <c r="H3433" s="1">
        <v>1368.0</v>
      </c>
      <c r="I3433" s="1">
        <v>1.97E7</v>
      </c>
      <c r="J3433" s="1" t="s">
        <v>9050</v>
      </c>
    </row>
    <row r="3434">
      <c r="A3434" s="1" t="s">
        <v>10342</v>
      </c>
      <c r="B3434" s="1" t="s">
        <v>10343</v>
      </c>
      <c r="C3434" s="1" t="s">
        <v>10344</v>
      </c>
      <c r="D3434" s="1" t="s">
        <v>10247</v>
      </c>
      <c r="E3434" s="1" t="s">
        <v>10248</v>
      </c>
      <c r="F3434" s="1">
        <v>502602.0</v>
      </c>
      <c r="G3434" s="1">
        <v>19392.0</v>
      </c>
      <c r="H3434" s="1">
        <v>108.0</v>
      </c>
      <c r="I3434" s="1">
        <v>1.97E7</v>
      </c>
      <c r="J3434" s="1" t="s">
        <v>9050</v>
      </c>
    </row>
    <row r="3435">
      <c r="A3435" s="1" t="s">
        <v>10345</v>
      </c>
      <c r="B3435" s="1" t="s">
        <v>10346</v>
      </c>
      <c r="C3435" s="1" t="s">
        <v>10347</v>
      </c>
      <c r="D3435" s="1" t="s">
        <v>10247</v>
      </c>
      <c r="E3435" s="1" t="s">
        <v>10248</v>
      </c>
      <c r="F3435" s="1">
        <v>1352663.0</v>
      </c>
      <c r="G3435" s="1">
        <v>29965.0</v>
      </c>
      <c r="H3435" s="1">
        <v>1608.0</v>
      </c>
      <c r="I3435" s="1">
        <v>1.97E7</v>
      </c>
      <c r="J3435" s="1" t="s">
        <v>9050</v>
      </c>
    </row>
    <row r="3436">
      <c r="A3436" s="1" t="s">
        <v>10348</v>
      </c>
      <c r="B3436" s="1" t="s">
        <v>10349</v>
      </c>
      <c r="C3436" s="1" t="s">
        <v>10350</v>
      </c>
      <c r="D3436" s="1" t="s">
        <v>10247</v>
      </c>
      <c r="E3436" s="1" t="s">
        <v>10248</v>
      </c>
      <c r="F3436" s="1">
        <v>100335.0</v>
      </c>
      <c r="G3436" s="1">
        <v>3608.0</v>
      </c>
      <c r="H3436" s="1">
        <v>40.0</v>
      </c>
      <c r="I3436" s="1">
        <v>1.97E7</v>
      </c>
      <c r="J3436" s="1" t="s">
        <v>9050</v>
      </c>
    </row>
    <row r="3437">
      <c r="A3437" s="1" t="s">
        <v>10351</v>
      </c>
      <c r="B3437" s="1" t="s">
        <v>10352</v>
      </c>
      <c r="C3437" s="1" t="s">
        <v>10353</v>
      </c>
      <c r="D3437" s="1" t="s">
        <v>10247</v>
      </c>
      <c r="E3437" s="1" t="s">
        <v>10248</v>
      </c>
      <c r="F3437" s="1">
        <v>1204251.0</v>
      </c>
      <c r="G3437" s="1">
        <v>31322.0</v>
      </c>
      <c r="H3437" s="1">
        <v>1108.0</v>
      </c>
      <c r="I3437" s="1">
        <v>1.97E7</v>
      </c>
      <c r="J3437" s="1" t="s">
        <v>9050</v>
      </c>
    </row>
    <row r="3438">
      <c r="A3438" s="1" t="s">
        <v>10354</v>
      </c>
      <c r="B3438" s="1" t="s">
        <v>10355</v>
      </c>
      <c r="C3438" s="1" t="s">
        <v>10356</v>
      </c>
      <c r="D3438" s="1" t="s">
        <v>10247</v>
      </c>
      <c r="E3438" s="1" t="s">
        <v>10248</v>
      </c>
      <c r="F3438" s="1">
        <v>109414.0</v>
      </c>
      <c r="G3438" s="1">
        <v>3913.0</v>
      </c>
      <c r="H3438" s="1">
        <v>37.0</v>
      </c>
      <c r="I3438" s="1">
        <v>1.97E7</v>
      </c>
      <c r="J3438" s="1" t="s">
        <v>9050</v>
      </c>
    </row>
    <row r="3439">
      <c r="A3439" s="1" t="s">
        <v>10357</v>
      </c>
      <c r="B3439" s="1" t="s">
        <v>10358</v>
      </c>
      <c r="C3439" s="1" t="s">
        <v>10359</v>
      </c>
      <c r="D3439" s="1" t="s">
        <v>10247</v>
      </c>
      <c r="E3439" s="1" t="s">
        <v>10248</v>
      </c>
      <c r="F3439" s="1">
        <v>182464.0</v>
      </c>
      <c r="G3439" s="1">
        <v>8788.0</v>
      </c>
      <c r="H3439" s="1">
        <v>401.0</v>
      </c>
      <c r="I3439" s="1">
        <v>1.97E7</v>
      </c>
      <c r="J3439" s="1" t="s">
        <v>9050</v>
      </c>
    </row>
    <row r="3440">
      <c r="A3440" s="1" t="s">
        <v>10360</v>
      </c>
      <c r="B3440" s="1" t="s">
        <v>10361</v>
      </c>
      <c r="C3440" s="1" t="s">
        <v>10362</v>
      </c>
      <c r="D3440" s="1" t="s">
        <v>10247</v>
      </c>
      <c r="E3440" s="1" t="s">
        <v>10248</v>
      </c>
      <c r="F3440" s="1">
        <v>1259141.0</v>
      </c>
      <c r="G3440" s="1">
        <v>27637.0</v>
      </c>
      <c r="H3440" s="1">
        <v>1238.0</v>
      </c>
      <c r="I3440" s="1">
        <v>1.97E7</v>
      </c>
      <c r="J3440" s="1" t="s">
        <v>9050</v>
      </c>
    </row>
    <row r="3441">
      <c r="A3441" s="1" t="s">
        <v>10363</v>
      </c>
      <c r="B3441" s="1" t="s">
        <v>10364</v>
      </c>
      <c r="C3441" s="1" t="s">
        <v>10365</v>
      </c>
      <c r="D3441" s="1" t="s">
        <v>10247</v>
      </c>
      <c r="E3441" s="1" t="s">
        <v>10248</v>
      </c>
      <c r="F3441" s="1">
        <v>430863.0</v>
      </c>
      <c r="G3441" s="1">
        <v>14846.0</v>
      </c>
      <c r="H3441" s="1">
        <v>88.0</v>
      </c>
      <c r="I3441" s="1">
        <v>1.97E7</v>
      </c>
      <c r="J3441" s="1" t="s">
        <v>9050</v>
      </c>
    </row>
    <row r="3442">
      <c r="A3442" s="1" t="s">
        <v>10366</v>
      </c>
      <c r="B3442" s="1" t="s">
        <v>10367</v>
      </c>
      <c r="C3442" s="1" t="s">
        <v>10368</v>
      </c>
      <c r="D3442" s="1" t="s">
        <v>10247</v>
      </c>
      <c r="E3442" s="1" t="s">
        <v>10248</v>
      </c>
      <c r="F3442" s="1">
        <v>1041617.0</v>
      </c>
      <c r="G3442" s="1">
        <v>23934.0</v>
      </c>
      <c r="H3442" s="1">
        <v>1695.0</v>
      </c>
      <c r="I3442" s="1">
        <v>1.97E7</v>
      </c>
      <c r="J3442" s="1" t="s">
        <v>9050</v>
      </c>
    </row>
    <row r="3443">
      <c r="A3443" s="1" t="s">
        <v>10369</v>
      </c>
      <c r="B3443" s="1" t="s">
        <v>10370</v>
      </c>
      <c r="C3443" s="1" t="s">
        <v>10371</v>
      </c>
      <c r="D3443" s="1" t="s">
        <v>10247</v>
      </c>
      <c r="E3443" s="1" t="s">
        <v>10248</v>
      </c>
      <c r="F3443" s="1">
        <v>842693.0</v>
      </c>
      <c r="G3443" s="1">
        <v>46045.0</v>
      </c>
      <c r="H3443" s="1">
        <v>337.0</v>
      </c>
      <c r="I3443" s="1">
        <v>1.97E7</v>
      </c>
      <c r="J3443" s="1" t="s">
        <v>9050</v>
      </c>
    </row>
    <row r="3444">
      <c r="A3444" s="1" t="s">
        <v>10372</v>
      </c>
      <c r="B3444" s="1" t="s">
        <v>10373</v>
      </c>
      <c r="C3444" s="1" t="s">
        <v>10374</v>
      </c>
      <c r="D3444" s="1" t="s">
        <v>10247</v>
      </c>
      <c r="E3444" s="1" t="s">
        <v>10248</v>
      </c>
      <c r="F3444" s="1">
        <v>845149.0</v>
      </c>
      <c r="G3444" s="1">
        <v>25799.0</v>
      </c>
      <c r="H3444" s="1">
        <v>1044.0</v>
      </c>
      <c r="I3444" s="1">
        <v>1.97E7</v>
      </c>
      <c r="J3444" s="1" t="s">
        <v>9050</v>
      </c>
    </row>
    <row r="3445">
      <c r="A3445" s="1" t="s">
        <v>10375</v>
      </c>
      <c r="B3445" s="1" t="s">
        <v>10376</v>
      </c>
      <c r="C3445" s="1" t="s">
        <v>10377</v>
      </c>
      <c r="D3445" s="1" t="s">
        <v>10247</v>
      </c>
      <c r="E3445" s="1" t="s">
        <v>10248</v>
      </c>
      <c r="F3445" s="1">
        <v>1046009.0</v>
      </c>
      <c r="G3445" s="1">
        <v>41735.0</v>
      </c>
      <c r="H3445" s="1">
        <v>162.0</v>
      </c>
      <c r="I3445" s="1">
        <v>1.97E7</v>
      </c>
      <c r="J3445" s="1" t="s">
        <v>9050</v>
      </c>
    </row>
    <row r="3446">
      <c r="A3446" s="1" t="s">
        <v>10378</v>
      </c>
      <c r="B3446" s="1" t="s">
        <v>10379</v>
      </c>
      <c r="C3446" s="1" t="s">
        <v>10380</v>
      </c>
      <c r="D3446" s="1" t="s">
        <v>10247</v>
      </c>
      <c r="E3446" s="1" t="s">
        <v>10248</v>
      </c>
      <c r="F3446" s="1">
        <v>61371.0</v>
      </c>
      <c r="G3446" s="1">
        <v>1697.0</v>
      </c>
      <c r="H3446" s="1">
        <v>23.0</v>
      </c>
      <c r="I3446" s="1">
        <v>1.97E7</v>
      </c>
      <c r="J3446" s="1" t="s">
        <v>9050</v>
      </c>
    </row>
    <row r="3447">
      <c r="A3447" s="1" t="s">
        <v>10381</v>
      </c>
      <c r="B3447" s="1" t="s">
        <v>10382</v>
      </c>
      <c r="C3447" s="1" t="s">
        <v>10383</v>
      </c>
      <c r="D3447" s="1" t="s">
        <v>10247</v>
      </c>
      <c r="E3447" s="1" t="s">
        <v>10248</v>
      </c>
      <c r="F3447" s="1">
        <v>1632158.0</v>
      </c>
      <c r="G3447" s="1">
        <v>34957.0</v>
      </c>
      <c r="H3447" s="1">
        <v>1667.0</v>
      </c>
      <c r="I3447" s="1">
        <v>1.97E7</v>
      </c>
      <c r="J3447" s="1" t="s">
        <v>9050</v>
      </c>
    </row>
    <row r="3448">
      <c r="A3448" s="1" t="s">
        <v>10384</v>
      </c>
      <c r="B3448" s="1" t="s">
        <v>10385</v>
      </c>
      <c r="C3448" s="1" t="s">
        <v>10386</v>
      </c>
      <c r="D3448" s="1" t="s">
        <v>10247</v>
      </c>
      <c r="E3448" s="1" t="s">
        <v>10248</v>
      </c>
      <c r="F3448" s="1">
        <v>86023.0</v>
      </c>
      <c r="G3448" s="1">
        <v>2687.0</v>
      </c>
      <c r="H3448" s="1">
        <v>21.0</v>
      </c>
      <c r="I3448" s="1">
        <v>1.97E7</v>
      </c>
      <c r="J3448" s="1" t="s">
        <v>9050</v>
      </c>
    </row>
    <row r="3449">
      <c r="A3449" s="1" t="s">
        <v>10387</v>
      </c>
      <c r="B3449" s="1" t="s">
        <v>10388</v>
      </c>
      <c r="C3449" s="1" t="s">
        <v>10389</v>
      </c>
      <c r="D3449" s="1" t="s">
        <v>10247</v>
      </c>
      <c r="E3449" s="1" t="s">
        <v>10248</v>
      </c>
      <c r="F3449" s="1">
        <v>822750.0</v>
      </c>
      <c r="G3449" s="1">
        <v>12055.0</v>
      </c>
      <c r="H3449" s="1">
        <v>749.0</v>
      </c>
      <c r="I3449" s="1">
        <v>1.97E7</v>
      </c>
      <c r="J3449" s="1" t="s">
        <v>9050</v>
      </c>
    </row>
    <row r="3450">
      <c r="A3450" s="1" t="s">
        <v>10390</v>
      </c>
      <c r="B3450" s="1" t="s">
        <v>10391</v>
      </c>
      <c r="C3450" s="1" t="s">
        <v>10392</v>
      </c>
      <c r="D3450" s="1" t="s">
        <v>10247</v>
      </c>
      <c r="E3450" s="1" t="s">
        <v>10248</v>
      </c>
      <c r="F3450" s="1">
        <v>463578.0</v>
      </c>
      <c r="G3450" s="1">
        <v>20181.0</v>
      </c>
      <c r="H3450" s="1">
        <v>121.0</v>
      </c>
      <c r="I3450" s="1">
        <v>1.97E7</v>
      </c>
      <c r="J3450" s="1" t="s">
        <v>9050</v>
      </c>
    </row>
    <row r="3451">
      <c r="A3451" s="1" t="s">
        <v>10393</v>
      </c>
      <c r="B3451" s="1" t="s">
        <v>10394</v>
      </c>
      <c r="C3451" s="1" t="s">
        <v>10395</v>
      </c>
      <c r="D3451" s="1" t="s">
        <v>10247</v>
      </c>
      <c r="E3451" s="1" t="s">
        <v>10248</v>
      </c>
      <c r="F3451" s="1">
        <v>448295.0</v>
      </c>
      <c r="G3451" s="1">
        <v>11370.0</v>
      </c>
      <c r="H3451" s="1">
        <v>422.0</v>
      </c>
      <c r="I3451" s="1">
        <v>1.97E7</v>
      </c>
      <c r="J3451" s="1" t="s">
        <v>9050</v>
      </c>
    </row>
    <row r="3452">
      <c r="A3452" s="1" t="s">
        <v>10396</v>
      </c>
      <c r="B3452" s="1" t="s">
        <v>10397</v>
      </c>
      <c r="C3452" s="1" t="s">
        <v>10398</v>
      </c>
      <c r="D3452" s="1" t="s">
        <v>10247</v>
      </c>
      <c r="E3452" s="1" t="s">
        <v>10248</v>
      </c>
      <c r="F3452" s="1">
        <v>914162.0</v>
      </c>
      <c r="G3452" s="1">
        <v>18228.0</v>
      </c>
      <c r="H3452" s="1">
        <v>121.0</v>
      </c>
      <c r="I3452" s="1">
        <v>1.97E7</v>
      </c>
      <c r="J3452" s="1" t="s">
        <v>9050</v>
      </c>
    </row>
    <row r="3453">
      <c r="A3453" s="1" t="s">
        <v>10399</v>
      </c>
      <c r="B3453" s="1" t="s">
        <v>10400</v>
      </c>
      <c r="C3453" s="1" t="s">
        <v>10401</v>
      </c>
      <c r="D3453" s="1" t="s">
        <v>10247</v>
      </c>
      <c r="E3453" s="1" t="s">
        <v>10248</v>
      </c>
      <c r="F3453" s="1">
        <v>1205207.0</v>
      </c>
      <c r="G3453" s="1">
        <v>12218.0</v>
      </c>
      <c r="H3453" s="1">
        <v>597.0</v>
      </c>
      <c r="I3453" s="1">
        <v>1.97E7</v>
      </c>
      <c r="J3453" s="1" t="s">
        <v>9050</v>
      </c>
    </row>
    <row r="3454">
      <c r="A3454" s="1" t="s">
        <v>10402</v>
      </c>
      <c r="B3454" s="1" t="s">
        <v>10403</v>
      </c>
      <c r="C3454" s="1" t="s">
        <v>10404</v>
      </c>
      <c r="D3454" s="1" t="s">
        <v>10247</v>
      </c>
      <c r="E3454" s="1" t="s">
        <v>10248</v>
      </c>
      <c r="F3454" s="1">
        <v>6267550.0</v>
      </c>
      <c r="G3454" s="1">
        <v>359154.0</v>
      </c>
      <c r="H3454" s="1">
        <v>1600.0</v>
      </c>
      <c r="I3454" s="1">
        <v>1.97E7</v>
      </c>
      <c r="J3454" s="1" t="s">
        <v>9050</v>
      </c>
    </row>
    <row r="3455">
      <c r="A3455" s="1" t="s">
        <v>10405</v>
      </c>
      <c r="B3455" s="1" t="s">
        <v>10406</v>
      </c>
      <c r="C3455" s="1" t="s">
        <v>10407</v>
      </c>
      <c r="D3455" s="1" t="s">
        <v>10247</v>
      </c>
      <c r="E3455" s="1" t="s">
        <v>10248</v>
      </c>
      <c r="F3455" s="1">
        <v>769121.0</v>
      </c>
      <c r="G3455" s="1">
        <v>30087.0</v>
      </c>
      <c r="H3455" s="1">
        <v>1665.0</v>
      </c>
      <c r="I3455" s="1">
        <v>1.97E7</v>
      </c>
      <c r="J3455" s="1" t="s">
        <v>9050</v>
      </c>
    </row>
    <row r="3456">
      <c r="A3456" s="1" t="s">
        <v>10408</v>
      </c>
      <c r="B3456" s="1" t="s">
        <v>10409</v>
      </c>
      <c r="C3456" s="1" t="s">
        <v>10410</v>
      </c>
      <c r="D3456" s="1" t="s">
        <v>10247</v>
      </c>
      <c r="E3456" s="1" t="s">
        <v>10248</v>
      </c>
      <c r="F3456" s="1">
        <v>185097.0</v>
      </c>
      <c r="G3456" s="1">
        <v>4833.0</v>
      </c>
      <c r="H3456" s="1">
        <v>26.0</v>
      </c>
      <c r="I3456" s="1">
        <v>1.97E7</v>
      </c>
      <c r="J3456" s="1" t="s">
        <v>9050</v>
      </c>
    </row>
    <row r="3457">
      <c r="A3457" s="1" t="s">
        <v>10411</v>
      </c>
      <c r="B3457" s="1" t="s">
        <v>10412</v>
      </c>
      <c r="C3457" s="1" t="s">
        <v>10413</v>
      </c>
      <c r="D3457" s="1" t="s">
        <v>10247</v>
      </c>
      <c r="E3457" s="1" t="s">
        <v>10248</v>
      </c>
      <c r="F3457" s="1">
        <v>1346108.0</v>
      </c>
      <c r="G3457" s="1">
        <v>31907.0</v>
      </c>
      <c r="H3457" s="1">
        <v>1222.0</v>
      </c>
      <c r="I3457" s="1">
        <v>1.97E7</v>
      </c>
      <c r="J3457" s="1" t="s">
        <v>9050</v>
      </c>
    </row>
    <row r="3458">
      <c r="A3458" s="1" t="s">
        <v>10414</v>
      </c>
      <c r="B3458" s="1" t="s">
        <v>10415</v>
      </c>
      <c r="C3458" s="1" t="s">
        <v>10416</v>
      </c>
      <c r="D3458" s="1" t="s">
        <v>10247</v>
      </c>
      <c r="E3458" s="1" t="s">
        <v>10248</v>
      </c>
      <c r="F3458" s="1">
        <v>931804.0</v>
      </c>
      <c r="G3458" s="1">
        <v>22612.0</v>
      </c>
      <c r="H3458" s="1">
        <v>842.0</v>
      </c>
      <c r="I3458" s="1">
        <v>1.97E7</v>
      </c>
      <c r="J3458" s="1" t="s">
        <v>9050</v>
      </c>
    </row>
    <row r="3459">
      <c r="A3459" s="1" t="s">
        <v>10417</v>
      </c>
      <c r="B3459" s="1" t="s">
        <v>10418</v>
      </c>
      <c r="C3459" s="1" t="s">
        <v>10419</v>
      </c>
      <c r="D3459" s="1" t="s">
        <v>10247</v>
      </c>
      <c r="E3459" s="1" t="s">
        <v>10248</v>
      </c>
      <c r="F3459" s="1">
        <v>332060.0</v>
      </c>
      <c r="G3459" s="1">
        <v>13446.0</v>
      </c>
      <c r="H3459" s="1">
        <v>97.0</v>
      </c>
      <c r="I3459" s="1">
        <v>1.97E7</v>
      </c>
      <c r="J3459" s="1" t="s">
        <v>9050</v>
      </c>
    </row>
    <row r="3460">
      <c r="A3460" s="1" t="s">
        <v>10420</v>
      </c>
      <c r="B3460" s="1" t="s">
        <v>10421</v>
      </c>
      <c r="C3460" s="1" t="s">
        <v>10422</v>
      </c>
      <c r="D3460" s="1" t="s">
        <v>10247</v>
      </c>
      <c r="E3460" s="1" t="s">
        <v>10248</v>
      </c>
      <c r="F3460" s="1">
        <v>614800.0</v>
      </c>
      <c r="G3460" s="1">
        <v>19883.0</v>
      </c>
      <c r="H3460" s="1">
        <v>703.0</v>
      </c>
      <c r="I3460" s="1">
        <v>1.97E7</v>
      </c>
      <c r="J3460" s="1" t="s">
        <v>9050</v>
      </c>
    </row>
    <row r="3461">
      <c r="A3461" s="1" t="s">
        <v>10423</v>
      </c>
      <c r="B3461" s="1" t="s">
        <v>10424</v>
      </c>
      <c r="C3461" s="1" t="s">
        <v>10425</v>
      </c>
      <c r="D3461" s="1" t="s">
        <v>10247</v>
      </c>
      <c r="E3461" s="1" t="s">
        <v>10248</v>
      </c>
      <c r="F3461" s="1">
        <v>1180238.0</v>
      </c>
      <c r="G3461" s="1">
        <v>25563.0</v>
      </c>
      <c r="H3461" s="1">
        <v>1502.0</v>
      </c>
      <c r="I3461" s="1">
        <v>1.97E7</v>
      </c>
      <c r="J3461" s="1" t="s">
        <v>9050</v>
      </c>
    </row>
    <row r="3462">
      <c r="A3462" s="1" t="s">
        <v>10426</v>
      </c>
      <c r="B3462" s="1" t="s">
        <v>10427</v>
      </c>
      <c r="C3462" s="1" t="s">
        <v>10428</v>
      </c>
      <c r="D3462" s="1" t="s">
        <v>10247</v>
      </c>
      <c r="E3462" s="1" t="s">
        <v>10248</v>
      </c>
      <c r="F3462" s="1">
        <v>383278.0</v>
      </c>
      <c r="G3462" s="1">
        <v>7857.0</v>
      </c>
      <c r="H3462" s="1">
        <v>86.0</v>
      </c>
      <c r="I3462" s="1">
        <v>1.97E7</v>
      </c>
      <c r="J3462" s="1" t="s">
        <v>9050</v>
      </c>
    </row>
    <row r="3463">
      <c r="A3463" s="1" t="s">
        <v>10429</v>
      </c>
      <c r="B3463" s="1" t="s">
        <v>10430</v>
      </c>
      <c r="C3463" s="1" t="s">
        <v>10431</v>
      </c>
      <c r="D3463" s="1" t="s">
        <v>10247</v>
      </c>
      <c r="E3463" s="1" t="s">
        <v>10248</v>
      </c>
      <c r="F3463" s="1">
        <v>981896.0</v>
      </c>
      <c r="G3463" s="1">
        <v>23655.0</v>
      </c>
      <c r="H3463" s="1">
        <v>1238.0</v>
      </c>
      <c r="I3463" s="1">
        <v>1.97E7</v>
      </c>
      <c r="J3463" s="1" t="s">
        <v>9050</v>
      </c>
    </row>
    <row r="3464">
      <c r="A3464" s="1" t="s">
        <v>10432</v>
      </c>
      <c r="B3464" s="1" t="s">
        <v>10433</v>
      </c>
      <c r="C3464" s="1" t="s">
        <v>10434</v>
      </c>
      <c r="D3464" s="1" t="s">
        <v>10247</v>
      </c>
      <c r="E3464" s="1" t="s">
        <v>10248</v>
      </c>
      <c r="F3464" s="1">
        <v>162549.0</v>
      </c>
      <c r="G3464" s="1">
        <v>3031.0</v>
      </c>
      <c r="H3464" s="1">
        <v>56.0</v>
      </c>
      <c r="I3464" s="1">
        <v>1.97E7</v>
      </c>
      <c r="J3464" s="1" t="s">
        <v>9050</v>
      </c>
    </row>
    <row r="3465">
      <c r="A3465" s="1" t="s">
        <v>10435</v>
      </c>
      <c r="B3465" s="1" t="s">
        <v>10436</v>
      </c>
      <c r="C3465" s="1" t="s">
        <v>10437</v>
      </c>
      <c r="D3465" s="1" t="s">
        <v>10247</v>
      </c>
      <c r="E3465" s="1" t="s">
        <v>10248</v>
      </c>
      <c r="F3465" s="1">
        <v>1553080.0</v>
      </c>
      <c r="G3465" s="1">
        <v>32711.0</v>
      </c>
      <c r="H3465" s="1">
        <v>2112.0</v>
      </c>
      <c r="I3465" s="1">
        <v>1.97E7</v>
      </c>
      <c r="J3465" s="1" t="s">
        <v>9050</v>
      </c>
    </row>
    <row r="3466">
      <c r="A3466" s="1" t="s">
        <v>10438</v>
      </c>
      <c r="B3466" s="1" t="s">
        <v>10439</v>
      </c>
      <c r="C3466" s="1" t="s">
        <v>10440</v>
      </c>
      <c r="D3466" s="1" t="s">
        <v>10247</v>
      </c>
      <c r="E3466" s="1" t="s">
        <v>10248</v>
      </c>
      <c r="F3466" s="1">
        <v>790986.0</v>
      </c>
      <c r="G3466" s="1">
        <v>19197.0</v>
      </c>
      <c r="H3466" s="1">
        <v>953.0</v>
      </c>
      <c r="I3466" s="1">
        <v>1.97E7</v>
      </c>
      <c r="J3466" s="1" t="s">
        <v>9050</v>
      </c>
    </row>
    <row r="3467">
      <c r="A3467" s="1" t="s">
        <v>10441</v>
      </c>
      <c r="B3467" s="1" t="s">
        <v>10442</v>
      </c>
      <c r="C3467" s="1" t="s">
        <v>10443</v>
      </c>
      <c r="D3467" s="1" t="s">
        <v>10247</v>
      </c>
      <c r="E3467" s="1" t="s">
        <v>10248</v>
      </c>
      <c r="F3467" s="1">
        <v>201473.0</v>
      </c>
      <c r="G3467" s="1">
        <v>5719.0</v>
      </c>
      <c r="H3467" s="1">
        <v>60.0</v>
      </c>
      <c r="I3467" s="1">
        <v>1.97E7</v>
      </c>
      <c r="J3467" s="1" t="s">
        <v>9050</v>
      </c>
    </row>
    <row r="3468">
      <c r="A3468" s="1" t="s">
        <v>10444</v>
      </c>
      <c r="B3468" s="1" t="s">
        <v>10445</v>
      </c>
      <c r="C3468" s="1" t="s">
        <v>10446</v>
      </c>
      <c r="D3468" s="1" t="s">
        <v>10247</v>
      </c>
      <c r="E3468" s="1" t="s">
        <v>10248</v>
      </c>
      <c r="F3468" s="1">
        <v>112056.0</v>
      </c>
      <c r="G3468" s="1">
        <v>2361.0</v>
      </c>
      <c r="H3468" s="1">
        <v>70.0</v>
      </c>
      <c r="I3468" s="1">
        <v>1.97E7</v>
      </c>
      <c r="J3468" s="1" t="s">
        <v>9050</v>
      </c>
    </row>
    <row r="3469">
      <c r="A3469" s="1" t="s">
        <v>10447</v>
      </c>
      <c r="B3469" s="1" t="s">
        <v>10448</v>
      </c>
      <c r="C3469" s="1" t="s">
        <v>10449</v>
      </c>
      <c r="D3469" s="1" t="s">
        <v>10247</v>
      </c>
      <c r="E3469" s="1" t="s">
        <v>10248</v>
      </c>
      <c r="F3469" s="1">
        <v>603903.0</v>
      </c>
      <c r="G3469" s="1">
        <v>26725.0</v>
      </c>
      <c r="H3469" s="1">
        <v>2067.0</v>
      </c>
      <c r="I3469" s="1">
        <v>1.97E7</v>
      </c>
      <c r="J3469" s="1" t="s">
        <v>9050</v>
      </c>
    </row>
    <row r="3470">
      <c r="A3470" s="1" t="s">
        <v>10450</v>
      </c>
      <c r="B3470" s="1" t="s">
        <v>10451</v>
      </c>
      <c r="C3470" s="1" t="s">
        <v>10452</v>
      </c>
      <c r="D3470" s="1" t="s">
        <v>10247</v>
      </c>
      <c r="E3470" s="1" t="s">
        <v>10248</v>
      </c>
      <c r="F3470" s="1">
        <v>1308470.0</v>
      </c>
      <c r="G3470" s="1">
        <v>29554.0</v>
      </c>
      <c r="H3470" s="1">
        <v>1451.0</v>
      </c>
      <c r="I3470" s="1">
        <v>1.97E7</v>
      </c>
      <c r="J3470" s="1" t="s">
        <v>9050</v>
      </c>
    </row>
    <row r="3471">
      <c r="A3471" s="1" t="s">
        <v>10453</v>
      </c>
      <c r="B3471" s="1" t="s">
        <v>10454</v>
      </c>
      <c r="C3471" s="1" t="s">
        <v>10455</v>
      </c>
      <c r="D3471" s="1" t="s">
        <v>10247</v>
      </c>
      <c r="E3471" s="1" t="s">
        <v>10248</v>
      </c>
      <c r="F3471" s="1">
        <v>95666.0</v>
      </c>
      <c r="G3471" s="1">
        <v>2839.0</v>
      </c>
      <c r="H3471" s="1">
        <v>42.0</v>
      </c>
      <c r="I3471" s="1">
        <v>1.97E7</v>
      </c>
      <c r="J3471" s="1" t="s">
        <v>9050</v>
      </c>
    </row>
    <row r="3472">
      <c r="A3472" s="1" t="s">
        <v>10456</v>
      </c>
      <c r="B3472" s="1" t="s">
        <v>10457</v>
      </c>
      <c r="C3472" s="1" t="s">
        <v>10458</v>
      </c>
      <c r="D3472" s="1" t="s">
        <v>10247</v>
      </c>
      <c r="E3472" s="1" t="s">
        <v>10248</v>
      </c>
      <c r="F3472" s="1">
        <v>1141669.0</v>
      </c>
      <c r="G3472" s="1">
        <v>26758.0</v>
      </c>
      <c r="H3472" s="1">
        <v>1727.0</v>
      </c>
      <c r="I3472" s="1">
        <v>1.97E7</v>
      </c>
      <c r="J3472" s="1" t="s">
        <v>9050</v>
      </c>
    </row>
    <row r="3473">
      <c r="A3473" s="1" t="s">
        <v>10459</v>
      </c>
      <c r="B3473" s="1" t="s">
        <v>10460</v>
      </c>
      <c r="C3473" s="1" t="s">
        <v>10461</v>
      </c>
      <c r="D3473" s="1" t="s">
        <v>10247</v>
      </c>
      <c r="E3473" s="1" t="s">
        <v>10248</v>
      </c>
      <c r="F3473" s="1">
        <v>530922.0</v>
      </c>
      <c r="G3473" s="1">
        <v>13750.0</v>
      </c>
      <c r="H3473" s="1">
        <v>121.0</v>
      </c>
      <c r="I3473" s="1">
        <v>1.97E7</v>
      </c>
      <c r="J3473" s="1" t="s">
        <v>9050</v>
      </c>
    </row>
    <row r="3474">
      <c r="A3474" s="1" t="s">
        <v>10462</v>
      </c>
      <c r="B3474" s="1" t="s">
        <v>10463</v>
      </c>
      <c r="C3474" s="1" t="s">
        <v>10464</v>
      </c>
      <c r="D3474" s="1" t="s">
        <v>10247</v>
      </c>
      <c r="E3474" s="1" t="s">
        <v>10248</v>
      </c>
      <c r="F3474" s="1">
        <v>969458.0</v>
      </c>
      <c r="G3474" s="1">
        <v>22134.0</v>
      </c>
      <c r="H3474" s="1">
        <v>1367.0</v>
      </c>
      <c r="I3474" s="1">
        <v>1.97E7</v>
      </c>
      <c r="J3474" s="1" t="s">
        <v>9050</v>
      </c>
    </row>
    <row r="3475">
      <c r="A3475" s="1" t="s">
        <v>10465</v>
      </c>
      <c r="B3475" s="1" t="s">
        <v>10466</v>
      </c>
      <c r="C3475" s="1" t="s">
        <v>10467</v>
      </c>
      <c r="D3475" s="1" t="s">
        <v>10247</v>
      </c>
      <c r="E3475" s="1" t="s">
        <v>10248</v>
      </c>
      <c r="F3475" s="1">
        <v>1399752.0</v>
      </c>
      <c r="G3475" s="1">
        <v>31013.0</v>
      </c>
      <c r="H3475" s="1">
        <v>1018.0</v>
      </c>
      <c r="I3475" s="1">
        <v>1.97E7</v>
      </c>
      <c r="J3475" s="1" t="s">
        <v>9050</v>
      </c>
    </row>
    <row r="3476">
      <c r="A3476" s="1" t="s">
        <v>10468</v>
      </c>
      <c r="B3476" s="1" t="s">
        <v>10469</v>
      </c>
      <c r="C3476" s="1" t="s">
        <v>10470</v>
      </c>
      <c r="D3476" s="1" t="s">
        <v>10247</v>
      </c>
      <c r="E3476" s="1" t="s">
        <v>10248</v>
      </c>
      <c r="F3476" s="1">
        <v>96959.0</v>
      </c>
      <c r="G3476" s="1">
        <v>2719.0</v>
      </c>
      <c r="H3476" s="1">
        <v>42.0</v>
      </c>
      <c r="I3476" s="1">
        <v>1.97E7</v>
      </c>
      <c r="J3476" s="1" t="s">
        <v>9050</v>
      </c>
    </row>
    <row r="3477">
      <c r="A3477" s="1" t="s">
        <v>10471</v>
      </c>
      <c r="B3477" s="1" t="s">
        <v>10292</v>
      </c>
      <c r="C3477" s="1" t="s">
        <v>10472</v>
      </c>
      <c r="D3477" s="1" t="s">
        <v>10247</v>
      </c>
      <c r="E3477" s="1" t="s">
        <v>10248</v>
      </c>
      <c r="F3477" s="1">
        <v>1026017.0</v>
      </c>
      <c r="G3477" s="1">
        <v>26061.0</v>
      </c>
      <c r="H3477" s="1">
        <v>972.0</v>
      </c>
      <c r="I3477" s="1">
        <v>1.97E7</v>
      </c>
      <c r="J3477" s="1" t="s">
        <v>9050</v>
      </c>
    </row>
    <row r="3478">
      <c r="A3478" s="1" t="s">
        <v>10473</v>
      </c>
      <c r="B3478" s="1" t="s">
        <v>10474</v>
      </c>
      <c r="C3478" s="1" t="s">
        <v>10475</v>
      </c>
      <c r="D3478" s="1" t="s">
        <v>10247</v>
      </c>
      <c r="E3478" s="1" t="s">
        <v>10248</v>
      </c>
      <c r="F3478" s="1">
        <v>1225623.0</v>
      </c>
      <c r="G3478" s="1">
        <v>28053.0</v>
      </c>
      <c r="H3478" s="1">
        <v>1608.0</v>
      </c>
      <c r="I3478" s="1">
        <v>1.97E7</v>
      </c>
      <c r="J3478" s="1" t="s">
        <v>9050</v>
      </c>
    </row>
    <row r="3479">
      <c r="A3479" s="1" t="s">
        <v>10476</v>
      </c>
      <c r="B3479" s="1" t="s">
        <v>10477</v>
      </c>
      <c r="C3479" s="1" t="s">
        <v>10478</v>
      </c>
      <c r="D3479" s="1" t="s">
        <v>10247</v>
      </c>
      <c r="E3479" s="1" t="s">
        <v>10248</v>
      </c>
      <c r="F3479" s="1">
        <v>107626.0</v>
      </c>
      <c r="G3479" s="1">
        <v>3062.0</v>
      </c>
      <c r="H3479" s="1">
        <v>33.0</v>
      </c>
      <c r="I3479" s="1">
        <v>1.97E7</v>
      </c>
      <c r="J3479" s="1" t="s">
        <v>9050</v>
      </c>
    </row>
    <row r="3480">
      <c r="A3480" s="1" t="s">
        <v>10479</v>
      </c>
      <c r="B3480" s="1" t="s">
        <v>10480</v>
      </c>
      <c r="C3480" s="1" t="s">
        <v>10481</v>
      </c>
      <c r="D3480" s="1" t="s">
        <v>10247</v>
      </c>
      <c r="E3480" s="1" t="s">
        <v>10248</v>
      </c>
      <c r="F3480" s="1">
        <v>1318802.0</v>
      </c>
      <c r="G3480" s="1">
        <v>25124.0</v>
      </c>
      <c r="H3480" s="1">
        <v>1189.0</v>
      </c>
      <c r="I3480" s="1">
        <v>1.97E7</v>
      </c>
      <c r="J3480" s="1" t="s">
        <v>9050</v>
      </c>
    </row>
    <row r="3481">
      <c r="A3481" s="1" t="s">
        <v>10482</v>
      </c>
      <c r="B3481" s="1" t="s">
        <v>10483</v>
      </c>
      <c r="C3481" s="1" t="s">
        <v>10484</v>
      </c>
      <c r="D3481" s="1" t="s">
        <v>10247</v>
      </c>
      <c r="E3481" s="1" t="s">
        <v>10248</v>
      </c>
      <c r="F3481" s="1">
        <v>555934.0</v>
      </c>
      <c r="G3481" s="1">
        <v>16564.0</v>
      </c>
      <c r="H3481" s="1">
        <v>218.0</v>
      </c>
      <c r="I3481" s="1">
        <v>1.97E7</v>
      </c>
      <c r="J3481" s="1" t="s">
        <v>9050</v>
      </c>
    </row>
    <row r="3482">
      <c r="A3482" s="1" t="s">
        <v>10485</v>
      </c>
      <c r="B3482" s="1" t="s">
        <v>10486</v>
      </c>
      <c r="C3482" s="1" t="s">
        <v>10487</v>
      </c>
      <c r="D3482" s="1" t="s">
        <v>10247</v>
      </c>
      <c r="E3482" s="1" t="s">
        <v>10248</v>
      </c>
      <c r="F3482" s="1">
        <v>763099.0</v>
      </c>
      <c r="G3482" s="1">
        <v>20010.0</v>
      </c>
      <c r="H3482" s="1">
        <v>1059.0</v>
      </c>
      <c r="I3482" s="1">
        <v>1.97E7</v>
      </c>
      <c r="J3482" s="1" t="s">
        <v>9050</v>
      </c>
    </row>
    <row r="3483">
      <c r="A3483" s="1" t="s">
        <v>10488</v>
      </c>
      <c r="B3483" s="1" t="s">
        <v>10489</v>
      </c>
      <c r="C3483" s="1" t="s">
        <v>10490</v>
      </c>
      <c r="D3483" s="1" t="s">
        <v>10247</v>
      </c>
      <c r="E3483" s="1" t="s">
        <v>10248</v>
      </c>
      <c r="F3483" s="1">
        <v>1621931.0</v>
      </c>
      <c r="G3483" s="1">
        <v>34743.0</v>
      </c>
      <c r="H3483" s="1">
        <v>2262.0</v>
      </c>
      <c r="I3483" s="1">
        <v>1.97E7</v>
      </c>
      <c r="J3483" s="1" t="s">
        <v>9050</v>
      </c>
    </row>
    <row r="3484">
      <c r="A3484" s="1" t="s">
        <v>10491</v>
      </c>
      <c r="B3484" s="1" t="s">
        <v>10492</v>
      </c>
      <c r="C3484" s="1" t="s">
        <v>10493</v>
      </c>
      <c r="D3484" s="1" t="s">
        <v>10247</v>
      </c>
      <c r="E3484" s="1" t="s">
        <v>10248</v>
      </c>
      <c r="F3484" s="1">
        <v>1353454.0</v>
      </c>
      <c r="G3484" s="1">
        <v>31749.0</v>
      </c>
      <c r="H3484" s="1">
        <v>1277.0</v>
      </c>
      <c r="I3484" s="1">
        <v>1.97E7</v>
      </c>
      <c r="J3484" s="1" t="s">
        <v>9050</v>
      </c>
    </row>
    <row r="3485">
      <c r="A3485" s="1" t="s">
        <v>10494</v>
      </c>
      <c r="B3485" s="1" t="s">
        <v>10495</v>
      </c>
      <c r="C3485" s="1" t="s">
        <v>10496</v>
      </c>
      <c r="D3485" s="1" t="s">
        <v>10247</v>
      </c>
      <c r="E3485" s="1" t="s">
        <v>10248</v>
      </c>
      <c r="F3485" s="1">
        <v>96229.0</v>
      </c>
      <c r="G3485" s="1">
        <v>3890.0</v>
      </c>
      <c r="H3485" s="1">
        <v>97.0</v>
      </c>
      <c r="I3485" s="1">
        <v>1.97E7</v>
      </c>
      <c r="J3485" s="1" t="s">
        <v>9050</v>
      </c>
    </row>
    <row r="3486">
      <c r="A3486" s="1" t="s">
        <v>10497</v>
      </c>
      <c r="B3486" s="1" t="s">
        <v>10498</v>
      </c>
      <c r="C3486" s="1" t="s">
        <v>10499</v>
      </c>
      <c r="D3486" s="1" t="s">
        <v>10247</v>
      </c>
      <c r="E3486" s="1" t="s">
        <v>10248</v>
      </c>
      <c r="F3486" s="1">
        <v>1472685.0</v>
      </c>
      <c r="G3486" s="1">
        <v>34948.0</v>
      </c>
      <c r="H3486" s="1">
        <v>1518.0</v>
      </c>
      <c r="I3486" s="1">
        <v>1.97E7</v>
      </c>
      <c r="J3486" s="1" t="s">
        <v>9050</v>
      </c>
    </row>
    <row r="3487">
      <c r="A3487" s="1" t="s">
        <v>10500</v>
      </c>
      <c r="B3487" s="1" t="s">
        <v>10501</v>
      </c>
      <c r="C3487" s="1" t="s">
        <v>10502</v>
      </c>
      <c r="D3487" s="1" t="s">
        <v>10247</v>
      </c>
      <c r="E3487" s="1" t="s">
        <v>10248</v>
      </c>
      <c r="F3487" s="1">
        <v>212121.0</v>
      </c>
      <c r="G3487" s="1">
        <v>4496.0</v>
      </c>
      <c r="H3487" s="1">
        <v>33.0</v>
      </c>
      <c r="I3487" s="1">
        <v>1.97E7</v>
      </c>
      <c r="J3487" s="1" t="s">
        <v>9050</v>
      </c>
    </row>
    <row r="3488">
      <c r="A3488" s="1" t="s">
        <v>10503</v>
      </c>
      <c r="B3488" s="1" t="s">
        <v>10504</v>
      </c>
      <c r="C3488" s="1" t="s">
        <v>10505</v>
      </c>
      <c r="D3488" s="1" t="s">
        <v>10247</v>
      </c>
      <c r="E3488" s="1" t="s">
        <v>10248</v>
      </c>
      <c r="F3488" s="1">
        <v>498734.0</v>
      </c>
      <c r="G3488" s="1">
        <v>17742.0</v>
      </c>
      <c r="H3488" s="1">
        <v>165.0</v>
      </c>
      <c r="I3488" s="1">
        <v>1.97E7</v>
      </c>
      <c r="J3488" s="1" t="s">
        <v>9050</v>
      </c>
    </row>
    <row r="3489">
      <c r="A3489" s="1" t="s">
        <v>10506</v>
      </c>
      <c r="B3489" s="1" t="s">
        <v>10507</v>
      </c>
      <c r="C3489" s="1" t="s">
        <v>10508</v>
      </c>
      <c r="D3489" s="1" t="s">
        <v>10247</v>
      </c>
      <c r="E3489" s="1" t="s">
        <v>10248</v>
      </c>
      <c r="F3489" s="1">
        <v>940970.0</v>
      </c>
      <c r="G3489" s="1">
        <v>22099.0</v>
      </c>
      <c r="H3489" s="1">
        <v>858.0</v>
      </c>
      <c r="I3489" s="1">
        <v>1.97E7</v>
      </c>
      <c r="J3489" s="1" t="s">
        <v>9050</v>
      </c>
    </row>
    <row r="3490">
      <c r="A3490" s="1" t="s">
        <v>10509</v>
      </c>
      <c r="B3490" s="1" t="s">
        <v>10510</v>
      </c>
      <c r="C3490" s="1" t="s">
        <v>10511</v>
      </c>
      <c r="D3490" s="1" t="s">
        <v>10247</v>
      </c>
      <c r="E3490" s="1" t="s">
        <v>10248</v>
      </c>
      <c r="F3490" s="1">
        <v>186625.0</v>
      </c>
      <c r="G3490" s="1">
        <v>5624.0</v>
      </c>
      <c r="H3490" s="1">
        <v>48.0</v>
      </c>
      <c r="I3490" s="1">
        <v>1.97E7</v>
      </c>
      <c r="J3490" s="1" t="s">
        <v>9050</v>
      </c>
    </row>
    <row r="3491">
      <c r="A3491" s="1" t="s">
        <v>10512</v>
      </c>
      <c r="B3491" s="1" t="s">
        <v>10513</v>
      </c>
      <c r="C3491" s="1" t="s">
        <v>10514</v>
      </c>
      <c r="D3491" s="1" t="s">
        <v>10247</v>
      </c>
      <c r="E3491" s="1" t="s">
        <v>10248</v>
      </c>
      <c r="F3491" s="1">
        <v>1335458.0</v>
      </c>
      <c r="G3491" s="1">
        <v>33959.0</v>
      </c>
      <c r="H3491" s="1">
        <v>1607.0</v>
      </c>
      <c r="I3491" s="1">
        <v>1.97E7</v>
      </c>
      <c r="J3491" s="1" t="s">
        <v>9050</v>
      </c>
    </row>
    <row r="3492">
      <c r="A3492" s="1" t="s">
        <v>10515</v>
      </c>
      <c r="B3492" s="1" t="s">
        <v>10516</v>
      </c>
      <c r="C3492" s="1" t="s">
        <v>10517</v>
      </c>
      <c r="D3492" s="1" t="s">
        <v>10247</v>
      </c>
      <c r="E3492" s="1" t="s">
        <v>10248</v>
      </c>
      <c r="F3492" s="1">
        <v>1343301.0</v>
      </c>
      <c r="G3492" s="1">
        <v>30229.0</v>
      </c>
      <c r="H3492" s="1">
        <v>1233.0</v>
      </c>
      <c r="I3492" s="1">
        <v>1.97E7</v>
      </c>
      <c r="J3492" s="1" t="s">
        <v>9050</v>
      </c>
    </row>
    <row r="3493">
      <c r="A3493" s="1" t="s">
        <v>10518</v>
      </c>
      <c r="B3493" s="1" t="s">
        <v>10519</v>
      </c>
      <c r="C3493" s="1" t="s">
        <v>10520</v>
      </c>
      <c r="D3493" s="1" t="s">
        <v>10247</v>
      </c>
      <c r="E3493" s="1" t="s">
        <v>10248</v>
      </c>
      <c r="F3493" s="1">
        <v>118859.0</v>
      </c>
      <c r="G3493" s="1">
        <v>3194.0</v>
      </c>
      <c r="H3493" s="1">
        <v>44.0</v>
      </c>
      <c r="I3493" s="1">
        <v>1.97E7</v>
      </c>
      <c r="J3493" s="1" t="s">
        <v>9050</v>
      </c>
    </row>
    <row r="3494">
      <c r="A3494" s="1" t="s">
        <v>10521</v>
      </c>
      <c r="B3494" s="1" t="s">
        <v>10522</v>
      </c>
      <c r="C3494" s="1" t="s">
        <v>10523</v>
      </c>
      <c r="D3494" s="1" t="s">
        <v>10247</v>
      </c>
      <c r="E3494" s="1" t="s">
        <v>10248</v>
      </c>
      <c r="F3494" s="1">
        <v>740960.0</v>
      </c>
      <c r="G3494" s="1">
        <v>20783.0</v>
      </c>
      <c r="H3494" s="1">
        <v>682.0</v>
      </c>
      <c r="I3494" s="1">
        <v>1.97E7</v>
      </c>
      <c r="J3494" s="1" t="s">
        <v>9050</v>
      </c>
    </row>
    <row r="3495">
      <c r="A3495" s="1" t="s">
        <v>10524</v>
      </c>
      <c r="B3495" s="1" t="s">
        <v>10525</v>
      </c>
      <c r="C3495" s="1" t="s">
        <v>10526</v>
      </c>
      <c r="D3495" s="1" t="s">
        <v>10247</v>
      </c>
      <c r="E3495" s="1" t="s">
        <v>10248</v>
      </c>
      <c r="F3495" s="1">
        <v>1025940.0</v>
      </c>
      <c r="G3495" s="1">
        <v>24875.0</v>
      </c>
      <c r="H3495" s="1">
        <v>1580.0</v>
      </c>
      <c r="I3495" s="1">
        <v>1.97E7</v>
      </c>
      <c r="J3495" s="1" t="s">
        <v>9050</v>
      </c>
    </row>
    <row r="3496">
      <c r="A3496" s="1" t="s">
        <v>10527</v>
      </c>
      <c r="B3496" s="1" t="s">
        <v>10528</v>
      </c>
      <c r="C3496" s="1" t="s">
        <v>10529</v>
      </c>
      <c r="D3496" s="1" t="s">
        <v>10247</v>
      </c>
      <c r="E3496" s="1" t="s">
        <v>10248</v>
      </c>
      <c r="F3496" s="1">
        <v>434939.0</v>
      </c>
      <c r="G3496" s="1">
        <v>14841.0</v>
      </c>
      <c r="H3496" s="1">
        <v>489.0</v>
      </c>
      <c r="I3496" s="1">
        <v>1.97E7</v>
      </c>
      <c r="J3496" s="1" t="s">
        <v>9050</v>
      </c>
    </row>
    <row r="3497">
      <c r="A3497" s="1" t="s">
        <v>10530</v>
      </c>
      <c r="B3497" s="1" t="s">
        <v>10531</v>
      </c>
      <c r="C3497" s="1" t="s">
        <v>10532</v>
      </c>
      <c r="D3497" s="1" t="s">
        <v>10247</v>
      </c>
      <c r="E3497" s="1" t="s">
        <v>10248</v>
      </c>
      <c r="F3497" s="1">
        <v>1270802.0</v>
      </c>
      <c r="G3497" s="1">
        <v>30597.0</v>
      </c>
      <c r="H3497" s="1">
        <v>1642.0</v>
      </c>
      <c r="I3497" s="1">
        <v>1.97E7</v>
      </c>
      <c r="J3497" s="1" t="s">
        <v>9050</v>
      </c>
    </row>
    <row r="3498">
      <c r="A3498" s="1" t="s">
        <v>10533</v>
      </c>
      <c r="B3498" s="1" t="s">
        <v>10534</v>
      </c>
      <c r="C3498" s="1" t="s">
        <v>10535</v>
      </c>
      <c r="D3498" s="1" t="s">
        <v>10247</v>
      </c>
      <c r="E3498" s="1" t="s">
        <v>10248</v>
      </c>
      <c r="F3498" s="1">
        <v>416567.0</v>
      </c>
      <c r="G3498" s="1">
        <v>15176.0</v>
      </c>
      <c r="H3498" s="1">
        <v>84.0</v>
      </c>
      <c r="I3498" s="1">
        <v>1.97E7</v>
      </c>
      <c r="J3498" s="1" t="s">
        <v>9050</v>
      </c>
    </row>
    <row r="3499">
      <c r="A3499" s="1" t="s">
        <v>10536</v>
      </c>
      <c r="B3499" s="1" t="s">
        <v>10537</v>
      </c>
      <c r="C3499" s="1" t="s">
        <v>10538</v>
      </c>
      <c r="D3499" s="1" t="s">
        <v>10247</v>
      </c>
      <c r="E3499" s="1" t="s">
        <v>10248</v>
      </c>
      <c r="F3499" s="1">
        <v>1270019.0</v>
      </c>
      <c r="G3499" s="1">
        <v>29185.0</v>
      </c>
      <c r="H3499" s="1">
        <v>1392.0</v>
      </c>
      <c r="I3499" s="1">
        <v>1.97E7</v>
      </c>
      <c r="J3499" s="1" t="s">
        <v>9050</v>
      </c>
    </row>
    <row r="3500">
      <c r="A3500" s="1" t="s">
        <v>10539</v>
      </c>
      <c r="B3500" s="1" t="s">
        <v>10540</v>
      </c>
      <c r="C3500" s="1" t="s">
        <v>10541</v>
      </c>
      <c r="D3500" s="1" t="s">
        <v>10247</v>
      </c>
      <c r="E3500" s="1" t="s">
        <v>10248</v>
      </c>
      <c r="F3500" s="1">
        <v>1190568.0</v>
      </c>
      <c r="G3500" s="1">
        <v>26971.0</v>
      </c>
      <c r="H3500" s="1">
        <v>1114.0</v>
      </c>
      <c r="I3500" s="1">
        <v>1.97E7</v>
      </c>
      <c r="J3500" s="1" t="s">
        <v>9050</v>
      </c>
    </row>
    <row r="3501">
      <c r="A3501" s="1" t="s">
        <v>10542</v>
      </c>
      <c r="B3501" s="1" t="s">
        <v>10543</v>
      </c>
      <c r="C3501" s="1" t="s">
        <v>10544</v>
      </c>
      <c r="D3501" s="1" t="s">
        <v>10247</v>
      </c>
      <c r="E3501" s="1" t="s">
        <v>10248</v>
      </c>
      <c r="F3501" s="1">
        <v>635199.0</v>
      </c>
      <c r="G3501" s="1">
        <v>23335.0</v>
      </c>
      <c r="H3501" s="1">
        <v>95.0</v>
      </c>
      <c r="I3501" s="1">
        <v>1.97E7</v>
      </c>
      <c r="J3501" s="1" t="s">
        <v>9050</v>
      </c>
    </row>
    <row r="3502">
      <c r="A3502" s="1" t="s">
        <v>10545</v>
      </c>
      <c r="B3502" s="1" t="s">
        <v>10546</v>
      </c>
      <c r="C3502" s="1" t="s">
        <v>10547</v>
      </c>
      <c r="D3502" s="1" t="s">
        <v>10247</v>
      </c>
      <c r="E3502" s="1" t="s">
        <v>10248</v>
      </c>
      <c r="F3502" s="1">
        <v>1275123.0</v>
      </c>
      <c r="G3502" s="1">
        <v>32978.0</v>
      </c>
      <c r="H3502" s="1">
        <v>2919.0</v>
      </c>
      <c r="I3502" s="1">
        <v>1.97E7</v>
      </c>
      <c r="J3502" s="1" t="s">
        <v>9050</v>
      </c>
    </row>
    <row r="3503">
      <c r="A3503" s="1" t="s">
        <v>10548</v>
      </c>
      <c r="B3503" s="1" t="s">
        <v>10549</v>
      </c>
      <c r="C3503" s="1" t="s">
        <v>10550</v>
      </c>
      <c r="D3503" s="1" t="s">
        <v>10247</v>
      </c>
      <c r="E3503" s="1" t="s">
        <v>10248</v>
      </c>
      <c r="F3503" s="1">
        <v>794566.0</v>
      </c>
      <c r="G3503" s="1">
        <v>21261.0</v>
      </c>
      <c r="H3503" s="1">
        <v>1083.0</v>
      </c>
      <c r="I3503" s="1">
        <v>1.97E7</v>
      </c>
      <c r="J3503" s="1" t="s">
        <v>9050</v>
      </c>
    </row>
    <row r="3504">
      <c r="A3504" s="1" t="s">
        <v>10551</v>
      </c>
      <c r="B3504" s="8" t="s">
        <v>10552</v>
      </c>
      <c r="C3504" s="1" t="s">
        <v>10553</v>
      </c>
      <c r="D3504" s="1" t="s">
        <v>10247</v>
      </c>
      <c r="E3504" s="1" t="s">
        <v>10248</v>
      </c>
      <c r="F3504" s="1">
        <v>165654.0</v>
      </c>
      <c r="G3504" s="1">
        <v>3019.0</v>
      </c>
      <c r="H3504" s="1">
        <v>37.0</v>
      </c>
      <c r="I3504" s="1">
        <v>1.97E7</v>
      </c>
      <c r="J3504" s="1" t="s">
        <v>9050</v>
      </c>
    </row>
    <row r="3505">
      <c r="A3505" s="1" t="s">
        <v>10554</v>
      </c>
      <c r="B3505" s="1" t="s">
        <v>10555</v>
      </c>
      <c r="C3505" s="1" t="s">
        <v>10556</v>
      </c>
      <c r="D3505" s="1" t="s">
        <v>10247</v>
      </c>
      <c r="E3505" s="1" t="s">
        <v>10248</v>
      </c>
      <c r="F3505" s="1">
        <v>1332700.0</v>
      </c>
      <c r="G3505" s="1">
        <v>29014.0</v>
      </c>
      <c r="H3505" s="1">
        <v>1956.0</v>
      </c>
      <c r="I3505" s="1">
        <v>1.97E7</v>
      </c>
      <c r="J3505" s="1" t="s">
        <v>9050</v>
      </c>
    </row>
    <row r="3506">
      <c r="A3506" s="1" t="s">
        <v>10557</v>
      </c>
      <c r="B3506" s="1" t="s">
        <v>10558</v>
      </c>
      <c r="C3506" s="1" t="s">
        <v>10559</v>
      </c>
      <c r="D3506" s="1" t="s">
        <v>10247</v>
      </c>
      <c r="E3506" s="1" t="s">
        <v>10248</v>
      </c>
      <c r="F3506" s="1">
        <v>506675.0</v>
      </c>
      <c r="G3506" s="1">
        <v>10328.0</v>
      </c>
      <c r="H3506" s="1">
        <v>65.0</v>
      </c>
      <c r="I3506" s="1">
        <v>1.97E7</v>
      </c>
      <c r="J3506" s="1" t="s">
        <v>9050</v>
      </c>
    </row>
    <row r="3507">
      <c r="A3507" s="1" t="s">
        <v>10560</v>
      </c>
      <c r="B3507" s="1" t="s">
        <v>10561</v>
      </c>
      <c r="C3507" s="1" t="s">
        <v>10562</v>
      </c>
      <c r="D3507" s="1" t="s">
        <v>10247</v>
      </c>
      <c r="E3507" s="1" t="s">
        <v>10248</v>
      </c>
      <c r="F3507" s="1">
        <v>598111.0</v>
      </c>
      <c r="G3507" s="1">
        <v>18908.0</v>
      </c>
      <c r="H3507" s="1">
        <v>1091.0</v>
      </c>
      <c r="I3507" s="1">
        <v>1.97E7</v>
      </c>
      <c r="J3507" s="1" t="s">
        <v>9050</v>
      </c>
    </row>
    <row r="3508">
      <c r="A3508" s="1" t="s">
        <v>10563</v>
      </c>
      <c r="B3508" s="1" t="s">
        <v>10564</v>
      </c>
      <c r="C3508" s="1" t="s">
        <v>10565</v>
      </c>
      <c r="D3508" s="1" t="s">
        <v>10247</v>
      </c>
      <c r="E3508" s="1" t="s">
        <v>10248</v>
      </c>
      <c r="F3508" s="1">
        <v>1045354.0</v>
      </c>
      <c r="G3508" s="1">
        <v>28717.0</v>
      </c>
      <c r="H3508" s="1">
        <v>1090.0</v>
      </c>
      <c r="I3508" s="1">
        <v>1.97E7</v>
      </c>
      <c r="J3508" s="1" t="s">
        <v>9050</v>
      </c>
    </row>
    <row r="3509">
      <c r="A3509" s="1" t="s">
        <v>10566</v>
      </c>
      <c r="B3509" s="1" t="s">
        <v>10567</v>
      </c>
      <c r="C3509" s="1" t="s">
        <v>10568</v>
      </c>
      <c r="D3509" s="1" t="s">
        <v>10247</v>
      </c>
      <c r="E3509" s="1" t="s">
        <v>10248</v>
      </c>
      <c r="F3509" s="1">
        <v>261726.0</v>
      </c>
      <c r="G3509" s="1">
        <v>6637.0</v>
      </c>
      <c r="H3509" s="1">
        <v>58.0</v>
      </c>
      <c r="I3509" s="1">
        <v>1.97E7</v>
      </c>
      <c r="J3509" s="1" t="s">
        <v>9050</v>
      </c>
    </row>
    <row r="3510">
      <c r="A3510" s="1" t="s">
        <v>10569</v>
      </c>
      <c r="B3510" s="1" t="s">
        <v>10570</v>
      </c>
      <c r="C3510" s="1" t="s">
        <v>10571</v>
      </c>
      <c r="D3510" s="1" t="s">
        <v>10247</v>
      </c>
      <c r="E3510" s="1" t="s">
        <v>10248</v>
      </c>
      <c r="F3510" s="1">
        <v>1360069.0</v>
      </c>
      <c r="G3510" s="1">
        <v>32562.0</v>
      </c>
      <c r="H3510" s="1">
        <v>1931.0</v>
      </c>
      <c r="I3510" s="1">
        <v>1.97E7</v>
      </c>
      <c r="J3510" s="1" t="s">
        <v>9050</v>
      </c>
    </row>
    <row r="3511">
      <c r="A3511" s="1" t="s">
        <v>10572</v>
      </c>
      <c r="B3511" s="1" t="s">
        <v>10573</v>
      </c>
      <c r="C3511" s="1" t="s">
        <v>10574</v>
      </c>
      <c r="D3511" s="1" t="s">
        <v>10247</v>
      </c>
      <c r="E3511" s="1" t="s">
        <v>10248</v>
      </c>
      <c r="F3511" s="1">
        <v>902115.0</v>
      </c>
      <c r="G3511" s="1">
        <v>22952.0</v>
      </c>
      <c r="H3511" s="1">
        <v>757.0</v>
      </c>
      <c r="I3511" s="1">
        <v>1.97E7</v>
      </c>
      <c r="J3511" s="1" t="s">
        <v>9050</v>
      </c>
    </row>
    <row r="3512">
      <c r="A3512" s="1" t="s">
        <v>10575</v>
      </c>
      <c r="B3512" s="1" t="s">
        <v>10576</v>
      </c>
      <c r="C3512" s="1" t="s">
        <v>10577</v>
      </c>
      <c r="D3512" s="1" t="s">
        <v>10247</v>
      </c>
      <c r="E3512" s="1" t="s">
        <v>10248</v>
      </c>
      <c r="F3512" s="1">
        <v>171703.0</v>
      </c>
      <c r="G3512" s="1">
        <v>5486.0</v>
      </c>
      <c r="H3512" s="1">
        <v>54.0</v>
      </c>
      <c r="I3512" s="1">
        <v>1.97E7</v>
      </c>
      <c r="J3512" s="1" t="s">
        <v>9050</v>
      </c>
    </row>
    <row r="3513">
      <c r="A3513" s="1" t="s">
        <v>10578</v>
      </c>
      <c r="B3513" s="1" t="s">
        <v>10579</v>
      </c>
      <c r="C3513" s="1" t="s">
        <v>10580</v>
      </c>
      <c r="D3513" s="1" t="s">
        <v>10247</v>
      </c>
      <c r="E3513" s="1" t="s">
        <v>10248</v>
      </c>
      <c r="F3513" s="1">
        <v>852888.0</v>
      </c>
      <c r="G3513" s="1">
        <v>24617.0</v>
      </c>
      <c r="H3513" s="1">
        <v>1430.0</v>
      </c>
      <c r="I3513" s="1">
        <v>1.97E7</v>
      </c>
      <c r="J3513" s="1" t="s">
        <v>9050</v>
      </c>
    </row>
    <row r="3514">
      <c r="A3514" s="1" t="s">
        <v>10581</v>
      </c>
      <c r="B3514" s="1" t="s">
        <v>10582</v>
      </c>
      <c r="C3514" s="1" t="s">
        <v>10583</v>
      </c>
      <c r="D3514" s="1" t="s">
        <v>10247</v>
      </c>
      <c r="E3514" s="1" t="s">
        <v>10248</v>
      </c>
      <c r="F3514" s="1">
        <v>1493635.0</v>
      </c>
      <c r="G3514" s="1">
        <v>42129.0</v>
      </c>
      <c r="H3514" s="1">
        <v>314.0</v>
      </c>
      <c r="I3514" s="1">
        <v>1.97E7</v>
      </c>
      <c r="J3514" s="1" t="s">
        <v>9050</v>
      </c>
    </row>
    <row r="3515">
      <c r="A3515" s="1" t="s">
        <v>10584</v>
      </c>
      <c r="B3515" s="1" t="s">
        <v>10585</v>
      </c>
      <c r="C3515" s="1" t="s">
        <v>10586</v>
      </c>
      <c r="D3515" s="1" t="s">
        <v>10247</v>
      </c>
      <c r="E3515" s="1" t="s">
        <v>10248</v>
      </c>
      <c r="F3515" s="1">
        <v>1193104.0</v>
      </c>
      <c r="G3515" s="1">
        <v>34054.0</v>
      </c>
      <c r="H3515" s="1">
        <v>946.0</v>
      </c>
      <c r="I3515" s="1">
        <v>1.97E7</v>
      </c>
      <c r="J3515" s="1" t="s">
        <v>9050</v>
      </c>
    </row>
    <row r="3516">
      <c r="A3516" s="1" t="s">
        <v>10587</v>
      </c>
      <c r="B3516" s="1" t="s">
        <v>10268</v>
      </c>
      <c r="C3516" s="1" t="s">
        <v>10588</v>
      </c>
      <c r="D3516" s="1" t="s">
        <v>10247</v>
      </c>
      <c r="E3516" s="1" t="s">
        <v>10248</v>
      </c>
      <c r="F3516" s="1">
        <v>920470.0</v>
      </c>
      <c r="G3516" s="1">
        <v>23493.0</v>
      </c>
      <c r="H3516" s="1">
        <v>1065.0</v>
      </c>
      <c r="I3516" s="1">
        <v>1.97E7</v>
      </c>
      <c r="J3516" s="1" t="s">
        <v>9050</v>
      </c>
    </row>
    <row r="3517">
      <c r="A3517" s="1" t="s">
        <v>10589</v>
      </c>
      <c r="B3517" s="1" t="s">
        <v>10590</v>
      </c>
      <c r="C3517" s="1" t="s">
        <v>10591</v>
      </c>
      <c r="D3517" s="1" t="s">
        <v>10247</v>
      </c>
      <c r="E3517" s="1" t="s">
        <v>10248</v>
      </c>
      <c r="F3517" s="1">
        <v>149423.0</v>
      </c>
      <c r="G3517" s="1">
        <v>3295.0</v>
      </c>
      <c r="H3517" s="1">
        <v>43.0</v>
      </c>
      <c r="I3517" s="1">
        <v>1.97E7</v>
      </c>
      <c r="J3517" s="1" t="s">
        <v>9050</v>
      </c>
    </row>
    <row r="3518">
      <c r="A3518" s="1" t="s">
        <v>10592</v>
      </c>
      <c r="B3518" s="1" t="s">
        <v>10593</v>
      </c>
      <c r="C3518" s="1" t="s">
        <v>10594</v>
      </c>
      <c r="D3518" s="1" t="s">
        <v>10247</v>
      </c>
      <c r="E3518" s="1" t="s">
        <v>10248</v>
      </c>
      <c r="F3518" s="1">
        <v>839504.0</v>
      </c>
      <c r="G3518" s="1">
        <v>22316.0</v>
      </c>
      <c r="H3518" s="1">
        <v>795.0</v>
      </c>
      <c r="I3518" s="1">
        <v>1.97E7</v>
      </c>
      <c r="J3518" s="1" t="s">
        <v>9050</v>
      </c>
    </row>
    <row r="3519">
      <c r="A3519" s="1" t="s">
        <v>10595</v>
      </c>
      <c r="B3519" s="1" t="s">
        <v>10596</v>
      </c>
      <c r="C3519" s="1" t="s">
        <v>10597</v>
      </c>
      <c r="D3519" s="1" t="s">
        <v>10247</v>
      </c>
      <c r="E3519" s="1" t="s">
        <v>10248</v>
      </c>
      <c r="F3519" s="1">
        <v>1347748.0</v>
      </c>
      <c r="G3519" s="1">
        <v>31492.0</v>
      </c>
      <c r="H3519" s="1">
        <v>1792.0</v>
      </c>
      <c r="I3519" s="1">
        <v>1.97E7</v>
      </c>
      <c r="J3519" s="1" t="s">
        <v>9050</v>
      </c>
    </row>
    <row r="3520">
      <c r="A3520" s="1" t="s">
        <v>10598</v>
      </c>
      <c r="B3520" s="1" t="s">
        <v>10599</v>
      </c>
      <c r="C3520" s="1" t="s">
        <v>10600</v>
      </c>
      <c r="D3520" s="1" t="s">
        <v>10247</v>
      </c>
      <c r="E3520" s="1" t="s">
        <v>10248</v>
      </c>
      <c r="F3520" s="1">
        <v>126832.0</v>
      </c>
      <c r="G3520" s="1">
        <v>3432.0</v>
      </c>
      <c r="H3520" s="1">
        <v>35.0</v>
      </c>
      <c r="I3520" s="1">
        <v>1.97E7</v>
      </c>
      <c r="J3520" s="1" t="s">
        <v>9050</v>
      </c>
    </row>
    <row r="3521">
      <c r="A3521" s="1" t="s">
        <v>10601</v>
      </c>
      <c r="B3521" s="1" t="s">
        <v>10602</v>
      </c>
      <c r="C3521" s="1" t="s">
        <v>10603</v>
      </c>
      <c r="D3521" s="1" t="s">
        <v>10247</v>
      </c>
      <c r="E3521" s="1" t="s">
        <v>10248</v>
      </c>
      <c r="F3521" s="1">
        <v>278429.0</v>
      </c>
      <c r="G3521" s="1">
        <v>10161.0</v>
      </c>
      <c r="H3521" s="1">
        <v>274.0</v>
      </c>
      <c r="I3521" s="1">
        <v>1.97E7</v>
      </c>
      <c r="J3521" s="1" t="s">
        <v>9050</v>
      </c>
    </row>
    <row r="3522">
      <c r="A3522" s="1" t="s">
        <v>10604</v>
      </c>
      <c r="B3522" s="1" t="s">
        <v>10605</v>
      </c>
      <c r="C3522" s="1" t="s">
        <v>10606</v>
      </c>
      <c r="D3522" s="1" t="s">
        <v>10247</v>
      </c>
      <c r="E3522" s="1" t="s">
        <v>10248</v>
      </c>
      <c r="F3522" s="1">
        <v>1001779.0</v>
      </c>
      <c r="G3522" s="1">
        <v>23926.0</v>
      </c>
      <c r="H3522" s="1">
        <v>1330.0</v>
      </c>
      <c r="I3522" s="1">
        <v>1.97E7</v>
      </c>
      <c r="J3522" s="1" t="s">
        <v>9050</v>
      </c>
    </row>
    <row r="3523">
      <c r="A3523" s="1" t="s">
        <v>10607</v>
      </c>
      <c r="B3523" s="1" t="s">
        <v>10608</v>
      </c>
      <c r="C3523" s="1" t="s">
        <v>10609</v>
      </c>
      <c r="D3523" s="1" t="s">
        <v>10247</v>
      </c>
      <c r="E3523" s="1" t="s">
        <v>10248</v>
      </c>
      <c r="F3523" s="1">
        <v>104526.0</v>
      </c>
      <c r="G3523" s="1">
        <v>2795.0</v>
      </c>
      <c r="H3523" s="1">
        <v>75.0</v>
      </c>
      <c r="I3523" s="1">
        <v>1.97E7</v>
      </c>
      <c r="J3523" s="1" t="s">
        <v>9050</v>
      </c>
    </row>
    <row r="3524">
      <c r="A3524" s="1" t="s">
        <v>10610</v>
      </c>
      <c r="B3524" s="1" t="s">
        <v>10611</v>
      </c>
      <c r="C3524" s="1" t="s">
        <v>10612</v>
      </c>
      <c r="D3524" s="1" t="s">
        <v>10247</v>
      </c>
      <c r="E3524" s="1" t="s">
        <v>10248</v>
      </c>
      <c r="F3524" s="1">
        <v>565937.0</v>
      </c>
      <c r="G3524" s="1">
        <v>18911.0</v>
      </c>
      <c r="H3524" s="1">
        <v>887.0</v>
      </c>
      <c r="I3524" s="1">
        <v>1.97E7</v>
      </c>
      <c r="J3524" s="1" t="s">
        <v>9050</v>
      </c>
    </row>
    <row r="3525">
      <c r="A3525" s="1" t="s">
        <v>10613</v>
      </c>
      <c r="B3525" s="1" t="s">
        <v>10614</v>
      </c>
      <c r="C3525" s="1" t="s">
        <v>10615</v>
      </c>
      <c r="D3525" s="1" t="s">
        <v>10247</v>
      </c>
      <c r="E3525" s="1" t="s">
        <v>10248</v>
      </c>
      <c r="F3525" s="1">
        <v>1021039.0</v>
      </c>
      <c r="G3525" s="1">
        <v>25096.0</v>
      </c>
      <c r="H3525" s="1">
        <v>2667.0</v>
      </c>
      <c r="I3525" s="1">
        <v>1.97E7</v>
      </c>
      <c r="J3525" s="1" t="s">
        <v>9050</v>
      </c>
    </row>
    <row r="3526">
      <c r="A3526" s="1" t="s">
        <v>10616</v>
      </c>
      <c r="B3526" s="1" t="s">
        <v>10617</v>
      </c>
      <c r="C3526" s="1" t="s">
        <v>10618</v>
      </c>
      <c r="D3526" s="1" t="s">
        <v>10247</v>
      </c>
      <c r="E3526" s="1" t="s">
        <v>10248</v>
      </c>
      <c r="F3526" s="1">
        <v>272330.0</v>
      </c>
      <c r="G3526" s="1">
        <v>7446.0</v>
      </c>
      <c r="H3526" s="1">
        <v>56.0</v>
      </c>
      <c r="I3526" s="1">
        <v>1.97E7</v>
      </c>
      <c r="J3526" s="1" t="s">
        <v>9050</v>
      </c>
    </row>
    <row r="3527">
      <c r="A3527" s="1" t="s">
        <v>10619</v>
      </c>
      <c r="B3527" s="1" t="s">
        <v>10352</v>
      </c>
      <c r="C3527" s="1" t="s">
        <v>10620</v>
      </c>
      <c r="D3527" s="1" t="s">
        <v>10247</v>
      </c>
      <c r="E3527" s="1" t="s">
        <v>10248</v>
      </c>
      <c r="F3527" s="1">
        <v>1973147.0</v>
      </c>
      <c r="G3527" s="1">
        <v>49251.0</v>
      </c>
      <c r="H3527" s="1">
        <v>1869.0</v>
      </c>
      <c r="I3527" s="1">
        <v>1.97E7</v>
      </c>
      <c r="J3527" s="1" t="s">
        <v>9050</v>
      </c>
    </row>
    <row r="3528">
      <c r="A3528" s="1" t="s">
        <v>10621</v>
      </c>
      <c r="B3528" s="1" t="s">
        <v>10622</v>
      </c>
      <c r="C3528" s="1" t="s">
        <v>10623</v>
      </c>
      <c r="D3528" s="1" t="s">
        <v>10247</v>
      </c>
      <c r="E3528" s="1" t="s">
        <v>10248</v>
      </c>
      <c r="F3528" s="1">
        <v>1495027.0</v>
      </c>
      <c r="G3528" s="1">
        <v>30307.0</v>
      </c>
      <c r="H3528" s="1">
        <v>1438.0</v>
      </c>
      <c r="I3528" s="1">
        <v>1.97E7</v>
      </c>
      <c r="J3528" s="1" t="s">
        <v>9050</v>
      </c>
    </row>
    <row r="3529">
      <c r="A3529" s="1" t="s">
        <v>10624</v>
      </c>
      <c r="B3529" s="1" t="s">
        <v>10625</v>
      </c>
      <c r="C3529" s="1" t="s">
        <v>10626</v>
      </c>
      <c r="D3529" s="1" t="s">
        <v>10247</v>
      </c>
      <c r="E3529" s="1" t="s">
        <v>10248</v>
      </c>
      <c r="F3529" s="1">
        <v>2123262.0</v>
      </c>
      <c r="G3529" s="1">
        <v>50524.0</v>
      </c>
      <c r="H3529" s="1">
        <v>354.0</v>
      </c>
      <c r="I3529" s="1">
        <v>1.97E7</v>
      </c>
      <c r="J3529" s="1" t="s">
        <v>9050</v>
      </c>
    </row>
    <row r="3530">
      <c r="A3530" s="1" t="s">
        <v>10627</v>
      </c>
      <c r="B3530" s="1" t="s">
        <v>10628</v>
      </c>
      <c r="C3530" s="1" t="s">
        <v>10629</v>
      </c>
      <c r="D3530" s="1" t="s">
        <v>10247</v>
      </c>
      <c r="E3530" s="1" t="s">
        <v>10248</v>
      </c>
      <c r="F3530" s="1">
        <v>1216485.0</v>
      </c>
      <c r="G3530" s="1">
        <v>27075.0</v>
      </c>
      <c r="H3530" s="1">
        <v>2972.0</v>
      </c>
      <c r="I3530" s="1">
        <v>1.97E7</v>
      </c>
      <c r="J3530" s="1" t="s">
        <v>9050</v>
      </c>
    </row>
    <row r="3531">
      <c r="A3531" s="1" t="s">
        <v>10630</v>
      </c>
      <c r="B3531" s="1" t="s">
        <v>10631</v>
      </c>
      <c r="C3531" s="1" t="s">
        <v>10632</v>
      </c>
      <c r="D3531" s="1" t="s">
        <v>10247</v>
      </c>
      <c r="E3531" s="1" t="s">
        <v>10248</v>
      </c>
      <c r="F3531" s="1">
        <v>266504.0</v>
      </c>
      <c r="G3531" s="1">
        <v>8693.0</v>
      </c>
      <c r="H3531" s="1">
        <v>60.0</v>
      </c>
      <c r="I3531" s="1">
        <v>1.97E7</v>
      </c>
      <c r="J3531" s="1" t="s">
        <v>9050</v>
      </c>
    </row>
    <row r="3532">
      <c r="A3532" s="1" t="s">
        <v>10633</v>
      </c>
      <c r="B3532" s="1" t="s">
        <v>10634</v>
      </c>
      <c r="C3532" s="1" t="s">
        <v>10635</v>
      </c>
      <c r="D3532" s="1" t="s">
        <v>10247</v>
      </c>
      <c r="E3532" s="1" t="s">
        <v>10248</v>
      </c>
      <c r="F3532" s="1">
        <v>1624739.0</v>
      </c>
      <c r="G3532" s="1">
        <v>29070.0</v>
      </c>
      <c r="H3532" s="1">
        <v>2444.0</v>
      </c>
      <c r="I3532" s="1">
        <v>1.97E7</v>
      </c>
      <c r="J3532" s="1" t="s">
        <v>9050</v>
      </c>
    </row>
    <row r="3533">
      <c r="A3533" s="1" t="s">
        <v>10636</v>
      </c>
      <c r="B3533" s="1" t="s">
        <v>10424</v>
      </c>
      <c r="C3533" s="1" t="s">
        <v>10637</v>
      </c>
      <c r="D3533" s="1" t="s">
        <v>10247</v>
      </c>
      <c r="E3533" s="1" t="s">
        <v>10248</v>
      </c>
      <c r="F3533" s="1">
        <v>1646573.0</v>
      </c>
      <c r="G3533" s="1">
        <v>42300.0</v>
      </c>
      <c r="H3533" s="1">
        <v>2790.0</v>
      </c>
      <c r="I3533" s="1">
        <v>1.97E7</v>
      </c>
      <c r="J3533" s="1" t="s">
        <v>9050</v>
      </c>
    </row>
    <row r="3534">
      <c r="A3534" s="1" t="s">
        <v>10638</v>
      </c>
      <c r="B3534" s="1" t="s">
        <v>10639</v>
      </c>
      <c r="C3534" s="1" t="s">
        <v>10640</v>
      </c>
      <c r="D3534" s="1" t="s">
        <v>10247</v>
      </c>
      <c r="E3534" s="1" t="s">
        <v>10248</v>
      </c>
      <c r="F3534" s="1">
        <v>124627.0</v>
      </c>
      <c r="G3534" s="1">
        <v>3369.0</v>
      </c>
      <c r="H3534" s="1">
        <v>35.0</v>
      </c>
      <c r="I3534" s="1">
        <v>1.97E7</v>
      </c>
      <c r="J3534" s="1" t="s">
        <v>9050</v>
      </c>
    </row>
    <row r="3535">
      <c r="A3535" s="1" t="s">
        <v>10641</v>
      </c>
      <c r="B3535" s="1" t="s">
        <v>10642</v>
      </c>
      <c r="C3535" s="1" t="s">
        <v>10643</v>
      </c>
      <c r="D3535" s="1" t="s">
        <v>10247</v>
      </c>
      <c r="E3535" s="1" t="s">
        <v>10248</v>
      </c>
      <c r="F3535" s="1">
        <v>128994.0</v>
      </c>
      <c r="G3535" s="1">
        <v>3930.0</v>
      </c>
      <c r="H3535" s="1">
        <v>57.0</v>
      </c>
      <c r="I3535" s="1">
        <v>1.97E7</v>
      </c>
      <c r="J3535" s="1" t="s">
        <v>9050</v>
      </c>
    </row>
    <row r="3536">
      <c r="A3536" s="1" t="s">
        <v>10644</v>
      </c>
      <c r="B3536" s="1" t="s">
        <v>10645</v>
      </c>
      <c r="C3536" s="1" t="s">
        <v>10646</v>
      </c>
      <c r="D3536" s="1" t="s">
        <v>10247</v>
      </c>
      <c r="E3536" s="1" t="s">
        <v>10248</v>
      </c>
      <c r="F3536" s="1">
        <v>464087.0</v>
      </c>
      <c r="G3536" s="1">
        <v>15463.0</v>
      </c>
      <c r="H3536" s="1">
        <v>932.0</v>
      </c>
      <c r="I3536" s="1">
        <v>1.97E7</v>
      </c>
      <c r="J3536" s="1" t="s">
        <v>9050</v>
      </c>
    </row>
    <row r="3537">
      <c r="A3537" s="1" t="s">
        <v>10647</v>
      </c>
      <c r="B3537" s="1" t="s">
        <v>10250</v>
      </c>
      <c r="C3537" s="1" t="s">
        <v>10648</v>
      </c>
      <c r="D3537" s="1" t="s">
        <v>10247</v>
      </c>
      <c r="E3537" s="1" t="s">
        <v>10248</v>
      </c>
      <c r="F3537" s="1">
        <v>1912292.0</v>
      </c>
      <c r="G3537" s="1">
        <v>38075.0</v>
      </c>
      <c r="H3537" s="1">
        <v>1076.0</v>
      </c>
      <c r="I3537" s="1">
        <v>1.97E7</v>
      </c>
      <c r="J3537" s="1" t="s">
        <v>9050</v>
      </c>
    </row>
    <row r="3538">
      <c r="A3538" s="1" t="s">
        <v>10649</v>
      </c>
      <c r="B3538" s="1" t="s">
        <v>10650</v>
      </c>
      <c r="C3538" s="1" t="s">
        <v>10651</v>
      </c>
      <c r="D3538" s="1" t="s">
        <v>10247</v>
      </c>
      <c r="E3538" s="1" t="s">
        <v>10248</v>
      </c>
      <c r="F3538" s="1">
        <v>164970.0</v>
      </c>
      <c r="G3538" s="1">
        <v>2601.0</v>
      </c>
      <c r="H3538" s="1">
        <v>78.0</v>
      </c>
      <c r="I3538" s="1">
        <v>1.97E7</v>
      </c>
      <c r="J3538" s="1" t="s">
        <v>9050</v>
      </c>
    </row>
    <row r="3539">
      <c r="A3539" s="1" t="s">
        <v>10652</v>
      </c>
      <c r="B3539" s="1" t="s">
        <v>10653</v>
      </c>
      <c r="C3539" s="1" t="s">
        <v>10654</v>
      </c>
      <c r="D3539" s="1" t="s">
        <v>10247</v>
      </c>
      <c r="E3539" s="1" t="s">
        <v>10248</v>
      </c>
      <c r="F3539" s="1">
        <v>223631.0</v>
      </c>
      <c r="G3539" s="1">
        <v>4875.0</v>
      </c>
      <c r="H3539" s="1">
        <v>88.0</v>
      </c>
      <c r="I3539" s="1">
        <v>1.97E7</v>
      </c>
      <c r="J3539" s="1" t="s">
        <v>9050</v>
      </c>
    </row>
    <row r="3540">
      <c r="A3540" s="1" t="s">
        <v>10655</v>
      </c>
      <c r="B3540" s="1" t="s">
        <v>10656</v>
      </c>
      <c r="C3540" s="1" t="s">
        <v>10657</v>
      </c>
      <c r="D3540" s="1" t="s">
        <v>10247</v>
      </c>
      <c r="E3540" s="1" t="s">
        <v>10248</v>
      </c>
      <c r="F3540" s="1">
        <v>1578274.0</v>
      </c>
      <c r="G3540" s="1">
        <v>29282.0</v>
      </c>
      <c r="H3540" s="1">
        <v>1219.0</v>
      </c>
      <c r="I3540" s="1">
        <v>1.97E7</v>
      </c>
      <c r="J3540" s="1" t="s">
        <v>9050</v>
      </c>
    </row>
    <row r="3541">
      <c r="A3541" s="1" t="s">
        <v>10658</v>
      </c>
      <c r="B3541" s="1" t="s">
        <v>10659</v>
      </c>
      <c r="C3541" s="1" t="s">
        <v>10660</v>
      </c>
      <c r="D3541" s="1" t="s">
        <v>10247</v>
      </c>
      <c r="E3541" s="1" t="s">
        <v>10248</v>
      </c>
      <c r="F3541" s="1">
        <v>213036.0</v>
      </c>
      <c r="G3541" s="1">
        <v>13756.0</v>
      </c>
      <c r="H3541" s="1">
        <v>119.0</v>
      </c>
      <c r="I3541" s="1">
        <v>1.97E7</v>
      </c>
      <c r="J3541" s="1" t="s">
        <v>9050</v>
      </c>
    </row>
    <row r="3542">
      <c r="A3542" s="1" t="s">
        <v>10661</v>
      </c>
      <c r="B3542" s="1" t="s">
        <v>10662</v>
      </c>
      <c r="C3542" s="1" t="s">
        <v>10663</v>
      </c>
      <c r="D3542" s="1" t="s">
        <v>10247</v>
      </c>
      <c r="E3542" s="1" t="s">
        <v>10248</v>
      </c>
      <c r="F3542" s="1">
        <v>551244.0</v>
      </c>
      <c r="G3542" s="1">
        <v>16029.0</v>
      </c>
      <c r="H3542" s="1">
        <v>1434.0</v>
      </c>
      <c r="I3542" s="1">
        <v>1.97E7</v>
      </c>
      <c r="J3542" s="1" t="s">
        <v>9050</v>
      </c>
    </row>
    <row r="3543">
      <c r="A3543" s="1" t="s">
        <v>10664</v>
      </c>
      <c r="B3543" s="1" t="s">
        <v>10665</v>
      </c>
      <c r="C3543" s="1" t="s">
        <v>10666</v>
      </c>
      <c r="D3543" s="1" t="s">
        <v>10247</v>
      </c>
      <c r="E3543" s="1" t="s">
        <v>10248</v>
      </c>
      <c r="F3543" s="1">
        <v>1103477.0</v>
      </c>
      <c r="G3543" s="1">
        <v>23095.0</v>
      </c>
      <c r="H3543" s="1">
        <v>1403.0</v>
      </c>
      <c r="I3543" s="1">
        <v>1.97E7</v>
      </c>
      <c r="J3543" s="1" t="s">
        <v>9050</v>
      </c>
    </row>
    <row r="3544">
      <c r="A3544" s="1" t="s">
        <v>10667</v>
      </c>
      <c r="B3544" s="1" t="s">
        <v>10668</v>
      </c>
      <c r="C3544" s="1" t="s">
        <v>10669</v>
      </c>
      <c r="D3544" s="1" t="s">
        <v>10247</v>
      </c>
      <c r="E3544" s="1" t="s">
        <v>10248</v>
      </c>
      <c r="F3544" s="1">
        <v>1060291.0</v>
      </c>
      <c r="G3544" s="1">
        <v>30255.0</v>
      </c>
      <c r="H3544" s="1">
        <v>1038.0</v>
      </c>
      <c r="I3544" s="1">
        <v>1.97E7</v>
      </c>
      <c r="J3544" s="1" t="s">
        <v>9050</v>
      </c>
    </row>
    <row r="3545">
      <c r="A3545" s="1" t="s">
        <v>10670</v>
      </c>
      <c r="B3545" s="1" t="s">
        <v>10671</v>
      </c>
      <c r="C3545" s="1" t="s">
        <v>10672</v>
      </c>
      <c r="D3545" s="1" t="s">
        <v>10247</v>
      </c>
      <c r="E3545" s="1" t="s">
        <v>10248</v>
      </c>
      <c r="F3545" s="1">
        <v>534535.0</v>
      </c>
      <c r="G3545" s="1">
        <v>19758.0</v>
      </c>
      <c r="H3545" s="1">
        <v>152.0</v>
      </c>
      <c r="I3545" s="1">
        <v>1.97E7</v>
      </c>
      <c r="J3545" s="1" t="s">
        <v>9050</v>
      </c>
    </row>
    <row r="3546">
      <c r="A3546" s="1" t="s">
        <v>10673</v>
      </c>
      <c r="B3546" s="1" t="s">
        <v>10474</v>
      </c>
      <c r="C3546" s="1" t="s">
        <v>10674</v>
      </c>
      <c r="D3546" s="1" t="s">
        <v>10247</v>
      </c>
      <c r="E3546" s="1" t="s">
        <v>10248</v>
      </c>
      <c r="F3546" s="1">
        <v>1538978.0</v>
      </c>
      <c r="G3546" s="1">
        <v>30629.0</v>
      </c>
      <c r="H3546" s="1">
        <v>1185.0</v>
      </c>
      <c r="I3546" s="1">
        <v>1.97E7</v>
      </c>
      <c r="J3546" s="1" t="s">
        <v>9050</v>
      </c>
    </row>
    <row r="3547">
      <c r="A3547" s="1" t="s">
        <v>10675</v>
      </c>
      <c r="B3547" s="1" t="s">
        <v>10676</v>
      </c>
      <c r="C3547" s="1" t="s">
        <v>10677</v>
      </c>
      <c r="D3547" s="1" t="s">
        <v>10247</v>
      </c>
      <c r="E3547" s="1" t="s">
        <v>10248</v>
      </c>
      <c r="F3547" s="1">
        <v>891977.0</v>
      </c>
      <c r="G3547" s="1">
        <v>24186.0</v>
      </c>
      <c r="H3547" s="1">
        <v>82.0</v>
      </c>
      <c r="I3547" s="1">
        <v>1.97E7</v>
      </c>
      <c r="J3547" s="1" t="s">
        <v>9050</v>
      </c>
    </row>
    <row r="3548">
      <c r="A3548" s="1" t="s">
        <v>10678</v>
      </c>
      <c r="B3548" s="1" t="s">
        <v>10679</v>
      </c>
      <c r="C3548" s="1" t="s">
        <v>10680</v>
      </c>
      <c r="D3548" s="1" t="s">
        <v>10247</v>
      </c>
      <c r="E3548" s="1" t="s">
        <v>10248</v>
      </c>
      <c r="F3548" s="1">
        <v>150402.0</v>
      </c>
      <c r="G3548" s="1">
        <v>2250.0</v>
      </c>
      <c r="H3548" s="1">
        <v>22.0</v>
      </c>
      <c r="I3548" s="1">
        <v>1.97E7</v>
      </c>
      <c r="J3548" s="1" t="s">
        <v>9050</v>
      </c>
    </row>
    <row r="3549">
      <c r="A3549" s="1" t="s">
        <v>10681</v>
      </c>
      <c r="B3549" s="1" t="s">
        <v>10682</v>
      </c>
      <c r="C3549" s="1" t="s">
        <v>10683</v>
      </c>
      <c r="D3549" s="1" t="s">
        <v>10247</v>
      </c>
      <c r="E3549" s="1" t="s">
        <v>10248</v>
      </c>
      <c r="F3549" s="1">
        <v>860991.0</v>
      </c>
      <c r="G3549" s="1">
        <v>23533.0</v>
      </c>
      <c r="H3549" s="1">
        <v>1503.0</v>
      </c>
      <c r="I3549" s="1">
        <v>1.97E7</v>
      </c>
      <c r="J3549" s="1" t="s">
        <v>9050</v>
      </c>
    </row>
    <row r="3550">
      <c r="A3550" s="1" t="s">
        <v>10684</v>
      </c>
      <c r="B3550" s="1" t="s">
        <v>10685</v>
      </c>
      <c r="C3550" s="1" t="s">
        <v>10686</v>
      </c>
      <c r="D3550" s="1" t="s">
        <v>10247</v>
      </c>
      <c r="E3550" s="1" t="s">
        <v>10248</v>
      </c>
      <c r="F3550" s="1">
        <v>721722.0</v>
      </c>
      <c r="G3550" s="1">
        <v>23054.0</v>
      </c>
      <c r="H3550" s="1">
        <v>1964.0</v>
      </c>
      <c r="I3550" s="1">
        <v>1.97E7</v>
      </c>
      <c r="J3550" s="1" t="s">
        <v>9050</v>
      </c>
    </row>
    <row r="3551">
      <c r="A3551" s="1" t="s">
        <v>10687</v>
      </c>
      <c r="B3551" s="1" t="s">
        <v>10688</v>
      </c>
      <c r="C3551" s="1" t="s">
        <v>10689</v>
      </c>
      <c r="D3551" s="1" t="s">
        <v>10247</v>
      </c>
      <c r="E3551" s="1" t="s">
        <v>10248</v>
      </c>
      <c r="F3551" s="1">
        <v>219656.0</v>
      </c>
      <c r="G3551" s="1">
        <v>6348.0</v>
      </c>
      <c r="H3551" s="1">
        <v>33.0</v>
      </c>
      <c r="I3551" s="1">
        <v>1.97E7</v>
      </c>
      <c r="J3551" s="1" t="s">
        <v>9050</v>
      </c>
    </row>
    <row r="3552">
      <c r="A3552" s="1" t="s">
        <v>10690</v>
      </c>
      <c r="B3552" s="1" t="s">
        <v>10555</v>
      </c>
      <c r="C3552" s="1" t="s">
        <v>10691</v>
      </c>
      <c r="D3552" s="1" t="s">
        <v>10247</v>
      </c>
      <c r="E3552" s="1" t="s">
        <v>10248</v>
      </c>
      <c r="F3552" s="1">
        <v>2290825.0</v>
      </c>
      <c r="G3552" s="1">
        <v>42113.0</v>
      </c>
      <c r="H3552" s="1">
        <v>1736.0</v>
      </c>
      <c r="I3552" s="1">
        <v>1.97E7</v>
      </c>
      <c r="J3552" s="1" t="s">
        <v>9050</v>
      </c>
    </row>
    <row r="3553">
      <c r="A3553" s="1" t="s">
        <v>10692</v>
      </c>
      <c r="B3553" s="1" t="s">
        <v>10693</v>
      </c>
      <c r="C3553" s="1" t="s">
        <v>10694</v>
      </c>
      <c r="D3553" s="1" t="s">
        <v>10247</v>
      </c>
      <c r="E3553" s="1" t="s">
        <v>10248</v>
      </c>
      <c r="F3553" s="1">
        <v>839653.0</v>
      </c>
      <c r="G3553" s="1">
        <v>23383.0</v>
      </c>
      <c r="H3553" s="1">
        <v>1025.0</v>
      </c>
      <c r="I3553" s="1">
        <v>1.97E7</v>
      </c>
      <c r="J3553" s="1" t="s">
        <v>9050</v>
      </c>
    </row>
    <row r="3554">
      <c r="A3554" s="1" t="s">
        <v>10695</v>
      </c>
      <c r="B3554" s="1" t="s">
        <v>10696</v>
      </c>
      <c r="C3554" s="1" t="s">
        <v>10697</v>
      </c>
      <c r="D3554" s="1" t="s">
        <v>10247</v>
      </c>
      <c r="E3554" s="1" t="s">
        <v>10248</v>
      </c>
      <c r="F3554" s="1">
        <v>1165688.0</v>
      </c>
      <c r="G3554" s="1">
        <v>33464.0</v>
      </c>
      <c r="H3554" s="1">
        <v>2087.0</v>
      </c>
      <c r="I3554" s="1">
        <v>1.97E7</v>
      </c>
      <c r="J3554" s="1" t="s">
        <v>9050</v>
      </c>
    </row>
    <row r="3555">
      <c r="A3555" s="1" t="s">
        <v>10698</v>
      </c>
      <c r="B3555" s="1" t="s">
        <v>10699</v>
      </c>
      <c r="C3555" s="1" t="s">
        <v>10700</v>
      </c>
      <c r="D3555" s="1" t="s">
        <v>10247</v>
      </c>
      <c r="E3555" s="1" t="s">
        <v>10248</v>
      </c>
      <c r="F3555" s="1">
        <v>237142.0</v>
      </c>
      <c r="G3555" s="1">
        <v>4235.0</v>
      </c>
      <c r="H3555" s="1">
        <v>28.0</v>
      </c>
      <c r="I3555" s="1">
        <v>1.97E7</v>
      </c>
      <c r="J3555" s="1" t="s">
        <v>9050</v>
      </c>
    </row>
    <row r="3556">
      <c r="A3556" s="1" t="s">
        <v>10701</v>
      </c>
      <c r="B3556" s="1" t="s">
        <v>10702</v>
      </c>
      <c r="C3556" s="1" t="s">
        <v>10703</v>
      </c>
      <c r="D3556" s="1" t="s">
        <v>10247</v>
      </c>
      <c r="E3556" s="1" t="s">
        <v>10248</v>
      </c>
      <c r="F3556" s="1">
        <v>263982.0</v>
      </c>
      <c r="G3556" s="1">
        <v>4291.0</v>
      </c>
      <c r="H3556" s="1">
        <v>47.0</v>
      </c>
      <c r="I3556" s="1">
        <v>1.97E7</v>
      </c>
      <c r="J3556" s="1" t="s">
        <v>9050</v>
      </c>
    </row>
    <row r="3557">
      <c r="A3557" s="1" t="s">
        <v>10704</v>
      </c>
      <c r="B3557" s="1" t="s">
        <v>10705</v>
      </c>
      <c r="C3557" s="1" t="s">
        <v>10706</v>
      </c>
      <c r="D3557" s="1" t="s">
        <v>10247</v>
      </c>
      <c r="E3557" s="1" t="s">
        <v>10248</v>
      </c>
      <c r="F3557" s="1">
        <v>1590577.0</v>
      </c>
      <c r="G3557" s="1">
        <v>31888.0</v>
      </c>
      <c r="H3557" s="1">
        <v>1518.0</v>
      </c>
      <c r="I3557" s="1">
        <v>1.97E7</v>
      </c>
      <c r="J3557" s="1" t="s">
        <v>9050</v>
      </c>
    </row>
    <row r="3558">
      <c r="A3558" s="1" t="s">
        <v>10707</v>
      </c>
      <c r="B3558" s="1" t="s">
        <v>10708</v>
      </c>
      <c r="C3558" s="1" t="s">
        <v>10709</v>
      </c>
      <c r="D3558" s="1" t="s">
        <v>10247</v>
      </c>
      <c r="E3558" s="1" t="s">
        <v>10248</v>
      </c>
      <c r="F3558" s="1">
        <v>1367842.0</v>
      </c>
      <c r="G3558" s="1">
        <v>27757.0</v>
      </c>
      <c r="H3558" s="1">
        <v>1181.0</v>
      </c>
      <c r="I3558" s="1">
        <v>1.97E7</v>
      </c>
      <c r="J3558" s="1" t="s">
        <v>9050</v>
      </c>
    </row>
    <row r="3559">
      <c r="A3559" s="1" t="s">
        <v>10710</v>
      </c>
      <c r="B3559" s="1" t="s">
        <v>10711</v>
      </c>
      <c r="C3559" s="1" t="s">
        <v>10712</v>
      </c>
      <c r="D3559" s="1" t="s">
        <v>10247</v>
      </c>
      <c r="E3559" s="1" t="s">
        <v>10248</v>
      </c>
      <c r="F3559" s="1">
        <v>783904.0</v>
      </c>
      <c r="G3559" s="1">
        <v>19492.0</v>
      </c>
      <c r="H3559" s="1">
        <v>217.0</v>
      </c>
      <c r="I3559" s="1">
        <v>1.97E7</v>
      </c>
      <c r="J3559" s="1" t="s">
        <v>9050</v>
      </c>
    </row>
    <row r="3560">
      <c r="A3560" s="1" t="s">
        <v>10713</v>
      </c>
      <c r="B3560" s="1" t="s">
        <v>10714</v>
      </c>
      <c r="C3560" s="1" t="s">
        <v>10715</v>
      </c>
      <c r="D3560" s="1" t="s">
        <v>10247</v>
      </c>
      <c r="E3560" s="1" t="s">
        <v>10248</v>
      </c>
      <c r="F3560" s="1">
        <v>1297949.0</v>
      </c>
      <c r="G3560" s="1">
        <v>54335.0</v>
      </c>
      <c r="H3560" s="1">
        <v>2589.0</v>
      </c>
      <c r="I3560" s="1">
        <v>1.97E7</v>
      </c>
      <c r="J3560" s="1" t="s">
        <v>9050</v>
      </c>
    </row>
    <row r="3561">
      <c r="A3561" s="1" t="s">
        <v>10716</v>
      </c>
      <c r="B3561" s="1" t="s">
        <v>10717</v>
      </c>
      <c r="C3561" s="1" t="s">
        <v>10718</v>
      </c>
      <c r="D3561" s="1" t="s">
        <v>10247</v>
      </c>
      <c r="E3561" s="1" t="s">
        <v>10248</v>
      </c>
      <c r="F3561" s="1">
        <v>921438.0</v>
      </c>
      <c r="G3561" s="1">
        <v>23839.0</v>
      </c>
      <c r="H3561" s="1">
        <v>966.0</v>
      </c>
      <c r="I3561" s="1">
        <v>1.97E7</v>
      </c>
      <c r="J3561" s="1" t="s">
        <v>9050</v>
      </c>
    </row>
    <row r="3562">
      <c r="A3562" s="1" t="s">
        <v>10719</v>
      </c>
      <c r="B3562" s="1" t="s">
        <v>10322</v>
      </c>
      <c r="C3562" s="1" t="s">
        <v>10720</v>
      </c>
      <c r="D3562" s="1" t="s">
        <v>10247</v>
      </c>
      <c r="E3562" s="1" t="s">
        <v>10248</v>
      </c>
      <c r="F3562" s="1">
        <v>2028050.0</v>
      </c>
      <c r="G3562" s="1">
        <v>42613.0</v>
      </c>
      <c r="H3562" s="1">
        <v>2171.0</v>
      </c>
      <c r="I3562" s="1">
        <v>1.97E7</v>
      </c>
      <c r="J3562" s="1" t="s">
        <v>9050</v>
      </c>
    </row>
    <row r="3563">
      <c r="A3563" s="1" t="s">
        <v>10721</v>
      </c>
      <c r="B3563" s="1" t="s">
        <v>10722</v>
      </c>
      <c r="C3563" s="1" t="s">
        <v>10723</v>
      </c>
      <c r="D3563" s="1" t="s">
        <v>10247</v>
      </c>
      <c r="E3563" s="1" t="s">
        <v>10248</v>
      </c>
      <c r="F3563" s="1">
        <v>309193.0</v>
      </c>
      <c r="G3563" s="1">
        <v>15039.0</v>
      </c>
      <c r="H3563" s="1">
        <v>113.0</v>
      </c>
      <c r="I3563" s="1">
        <v>1.97E7</v>
      </c>
      <c r="J3563" s="1" t="s">
        <v>9050</v>
      </c>
    </row>
    <row r="3564">
      <c r="A3564" s="1" t="s">
        <v>10724</v>
      </c>
      <c r="B3564" s="1" t="s">
        <v>10725</v>
      </c>
      <c r="C3564" s="1" t="s">
        <v>10726</v>
      </c>
      <c r="D3564" s="1" t="s">
        <v>10247</v>
      </c>
      <c r="E3564" s="1" t="s">
        <v>10248</v>
      </c>
      <c r="F3564" s="1">
        <v>87661.0</v>
      </c>
      <c r="G3564" s="1">
        <v>2155.0</v>
      </c>
      <c r="H3564" s="1">
        <v>33.0</v>
      </c>
      <c r="I3564" s="1">
        <v>1.97E7</v>
      </c>
      <c r="J3564" s="1" t="s">
        <v>9050</v>
      </c>
    </row>
    <row r="3565">
      <c r="A3565" s="1" t="s">
        <v>10727</v>
      </c>
      <c r="B3565" s="1" t="s">
        <v>10516</v>
      </c>
      <c r="C3565" s="1" t="s">
        <v>10728</v>
      </c>
      <c r="D3565" s="1" t="s">
        <v>10247</v>
      </c>
      <c r="E3565" s="1" t="s">
        <v>10248</v>
      </c>
      <c r="F3565" s="1">
        <v>1206396.0</v>
      </c>
      <c r="G3565" s="1">
        <v>30536.0</v>
      </c>
      <c r="H3565" s="1">
        <v>2043.0</v>
      </c>
      <c r="I3565" s="1">
        <v>1.97E7</v>
      </c>
      <c r="J3565" s="1" t="s">
        <v>9050</v>
      </c>
    </row>
    <row r="3566">
      <c r="A3566" s="1" t="s">
        <v>10729</v>
      </c>
      <c r="B3566" s="1" t="s">
        <v>10730</v>
      </c>
      <c r="C3566" s="1" t="s">
        <v>10731</v>
      </c>
      <c r="D3566" s="1" t="s">
        <v>10247</v>
      </c>
      <c r="E3566" s="1" t="s">
        <v>10248</v>
      </c>
      <c r="F3566" s="1">
        <v>202463.0</v>
      </c>
      <c r="G3566" s="1">
        <v>6176.0</v>
      </c>
      <c r="H3566" s="1">
        <v>92.0</v>
      </c>
      <c r="I3566" s="1">
        <v>1.97E7</v>
      </c>
      <c r="J3566" s="1" t="s">
        <v>9050</v>
      </c>
    </row>
    <row r="3567">
      <c r="A3567" s="1" t="s">
        <v>10732</v>
      </c>
      <c r="B3567" s="1" t="s">
        <v>10733</v>
      </c>
      <c r="C3567" s="1" t="s">
        <v>10734</v>
      </c>
      <c r="D3567" s="1" t="s">
        <v>10247</v>
      </c>
      <c r="E3567" s="1" t="s">
        <v>10248</v>
      </c>
      <c r="F3567" s="1">
        <v>573630.0</v>
      </c>
      <c r="G3567" s="1">
        <v>22875.0</v>
      </c>
      <c r="H3567" s="1">
        <v>2158.0</v>
      </c>
      <c r="I3567" s="1">
        <v>1.97E7</v>
      </c>
      <c r="J3567" s="1" t="s">
        <v>9050</v>
      </c>
    </row>
    <row r="3568">
      <c r="A3568" s="1" t="s">
        <v>10735</v>
      </c>
      <c r="B3568" s="1" t="s">
        <v>10736</v>
      </c>
      <c r="C3568" s="1" t="s">
        <v>10737</v>
      </c>
      <c r="D3568" s="1" t="s">
        <v>10247</v>
      </c>
      <c r="E3568" s="1" t="s">
        <v>10248</v>
      </c>
      <c r="F3568" s="1">
        <v>238375.0</v>
      </c>
      <c r="G3568" s="1">
        <v>5947.0</v>
      </c>
      <c r="H3568" s="1">
        <v>47.0</v>
      </c>
      <c r="I3568" s="1">
        <v>1.97E7</v>
      </c>
      <c r="J3568" s="1" t="s">
        <v>9050</v>
      </c>
    </row>
    <row r="3569">
      <c r="A3569" s="1" t="s">
        <v>10738</v>
      </c>
      <c r="B3569" s="1" t="s">
        <v>10739</v>
      </c>
      <c r="C3569" s="1" t="s">
        <v>10740</v>
      </c>
      <c r="D3569" s="1" t="s">
        <v>10247</v>
      </c>
      <c r="E3569" s="1" t="s">
        <v>10248</v>
      </c>
      <c r="F3569" s="1">
        <v>1998860.0</v>
      </c>
      <c r="G3569" s="1">
        <v>38415.0</v>
      </c>
      <c r="H3569" s="1">
        <v>1478.0</v>
      </c>
      <c r="I3569" s="1">
        <v>1.97E7</v>
      </c>
      <c r="J3569" s="1" t="s">
        <v>9050</v>
      </c>
    </row>
    <row r="3570">
      <c r="A3570" s="1" t="s">
        <v>10741</v>
      </c>
      <c r="B3570" s="1" t="s">
        <v>10742</v>
      </c>
      <c r="C3570" s="1" t="s">
        <v>10743</v>
      </c>
      <c r="D3570" s="1" t="s">
        <v>10247</v>
      </c>
      <c r="E3570" s="1" t="s">
        <v>10248</v>
      </c>
      <c r="F3570" s="1">
        <v>866107.0</v>
      </c>
      <c r="G3570" s="1">
        <v>26136.0</v>
      </c>
      <c r="H3570" s="1">
        <v>1184.0</v>
      </c>
      <c r="I3570" s="1">
        <v>1.97E7</v>
      </c>
      <c r="J3570" s="1" t="s">
        <v>9050</v>
      </c>
    </row>
    <row r="3571">
      <c r="A3571" s="1" t="s">
        <v>10744</v>
      </c>
      <c r="B3571" s="1" t="s">
        <v>10745</v>
      </c>
      <c r="C3571" s="1" t="s">
        <v>10746</v>
      </c>
      <c r="D3571" s="1" t="s">
        <v>10247</v>
      </c>
      <c r="E3571" s="1" t="s">
        <v>10248</v>
      </c>
      <c r="F3571" s="1">
        <v>811131.0</v>
      </c>
      <c r="G3571" s="1">
        <v>19574.0</v>
      </c>
      <c r="H3571" s="1">
        <v>119.0</v>
      </c>
      <c r="I3571" s="1">
        <v>1.97E7</v>
      </c>
      <c r="J3571" s="1" t="s">
        <v>9050</v>
      </c>
    </row>
    <row r="3572">
      <c r="A3572" s="1" t="s">
        <v>10747</v>
      </c>
      <c r="B3572" s="1" t="s">
        <v>10748</v>
      </c>
      <c r="C3572" s="1" t="s">
        <v>10749</v>
      </c>
      <c r="D3572" s="1" t="s">
        <v>10247</v>
      </c>
      <c r="E3572" s="1" t="s">
        <v>10248</v>
      </c>
      <c r="F3572" s="1">
        <v>1504766.0</v>
      </c>
      <c r="G3572" s="1">
        <v>34210.0</v>
      </c>
      <c r="H3572" s="1">
        <v>1349.0</v>
      </c>
      <c r="I3572" s="1">
        <v>1.97E7</v>
      </c>
      <c r="J3572" s="1" t="s">
        <v>9050</v>
      </c>
    </row>
    <row r="3573">
      <c r="A3573" s="1" t="s">
        <v>10750</v>
      </c>
      <c r="B3573" s="1" t="s">
        <v>10751</v>
      </c>
      <c r="C3573" s="1" t="s">
        <v>10752</v>
      </c>
      <c r="D3573" s="1" t="s">
        <v>10247</v>
      </c>
      <c r="E3573" s="1" t="s">
        <v>10248</v>
      </c>
      <c r="F3573" s="1">
        <v>3292535.0</v>
      </c>
      <c r="G3573" s="1">
        <v>62606.0</v>
      </c>
      <c r="H3573" s="1">
        <v>4538.0</v>
      </c>
      <c r="I3573" s="1">
        <v>1.97E7</v>
      </c>
      <c r="J3573" s="1" t="s">
        <v>9050</v>
      </c>
    </row>
    <row r="3574">
      <c r="A3574" s="1" t="s">
        <v>10753</v>
      </c>
      <c r="B3574" s="1" t="s">
        <v>10754</v>
      </c>
      <c r="C3574" s="1" t="s">
        <v>10755</v>
      </c>
      <c r="D3574" s="1" t="s">
        <v>10247</v>
      </c>
      <c r="E3574" s="1" t="s">
        <v>10248</v>
      </c>
      <c r="F3574" s="1">
        <v>1298808.0</v>
      </c>
      <c r="G3574" s="1">
        <v>36772.0</v>
      </c>
      <c r="H3574" s="1">
        <v>302.0</v>
      </c>
      <c r="I3574" s="1">
        <v>1.97E7</v>
      </c>
      <c r="J3574" s="1" t="s">
        <v>9050</v>
      </c>
    </row>
    <row r="3575">
      <c r="A3575" s="1" t="s">
        <v>10756</v>
      </c>
      <c r="B3575" s="1" t="s">
        <v>10757</v>
      </c>
      <c r="C3575" s="1" t="s">
        <v>10758</v>
      </c>
      <c r="D3575" s="1" t="s">
        <v>10247</v>
      </c>
      <c r="E3575" s="1" t="s">
        <v>10248</v>
      </c>
      <c r="F3575" s="1">
        <v>480209.0</v>
      </c>
      <c r="G3575" s="1">
        <v>15268.0</v>
      </c>
      <c r="H3575" s="1">
        <v>1618.0</v>
      </c>
      <c r="I3575" s="1">
        <v>1.97E7</v>
      </c>
      <c r="J3575" s="1" t="s">
        <v>9050</v>
      </c>
    </row>
    <row r="3576">
      <c r="A3576" s="1" t="s">
        <v>10759</v>
      </c>
      <c r="B3576" s="1" t="s">
        <v>10760</v>
      </c>
      <c r="C3576" s="1" t="s">
        <v>10761</v>
      </c>
      <c r="D3576" s="1" t="s">
        <v>10247</v>
      </c>
      <c r="E3576" s="1" t="s">
        <v>10248</v>
      </c>
      <c r="F3576" s="1">
        <v>1800455.0</v>
      </c>
      <c r="G3576" s="1">
        <v>38144.0</v>
      </c>
      <c r="H3576" s="1">
        <v>2759.0</v>
      </c>
      <c r="I3576" s="1">
        <v>1.97E7</v>
      </c>
      <c r="J3576" s="1" t="s">
        <v>9050</v>
      </c>
    </row>
    <row r="3577">
      <c r="A3577" s="1" t="s">
        <v>10762</v>
      </c>
      <c r="B3577" s="1" t="s">
        <v>10763</v>
      </c>
      <c r="C3577" s="1" t="s">
        <v>10764</v>
      </c>
      <c r="D3577" s="1" t="s">
        <v>10247</v>
      </c>
      <c r="E3577" s="1" t="s">
        <v>10248</v>
      </c>
      <c r="F3577" s="1">
        <v>407944.0</v>
      </c>
      <c r="G3577" s="1">
        <v>14104.0</v>
      </c>
      <c r="H3577" s="1">
        <v>153.0</v>
      </c>
      <c r="I3577" s="1">
        <v>1.97E7</v>
      </c>
      <c r="J3577" s="1" t="s">
        <v>9050</v>
      </c>
    </row>
    <row r="3578">
      <c r="A3578" s="1" t="s">
        <v>10765</v>
      </c>
      <c r="B3578" s="1" t="s">
        <v>10766</v>
      </c>
      <c r="C3578" s="1" t="s">
        <v>10767</v>
      </c>
      <c r="D3578" s="1" t="s">
        <v>10247</v>
      </c>
      <c r="E3578" s="1" t="s">
        <v>10248</v>
      </c>
      <c r="F3578" s="1">
        <v>1561723.0</v>
      </c>
      <c r="G3578" s="1">
        <v>61071.0</v>
      </c>
      <c r="H3578" s="1">
        <v>3252.0</v>
      </c>
      <c r="I3578" s="1">
        <v>1.97E7</v>
      </c>
      <c r="J3578" s="1" t="s">
        <v>9050</v>
      </c>
    </row>
    <row r="3579">
      <c r="A3579" s="1" t="s">
        <v>10768</v>
      </c>
      <c r="B3579" s="1" t="s">
        <v>10769</v>
      </c>
      <c r="C3579" s="1" t="s">
        <v>10770</v>
      </c>
      <c r="D3579" s="1" t="s">
        <v>10247</v>
      </c>
      <c r="E3579" s="1" t="s">
        <v>10248</v>
      </c>
      <c r="F3579" s="1">
        <v>2740284.0</v>
      </c>
      <c r="G3579" s="1">
        <v>81937.0</v>
      </c>
      <c r="H3579" s="1">
        <v>182.0</v>
      </c>
      <c r="I3579" s="1">
        <v>1.97E7</v>
      </c>
      <c r="J3579" s="1" t="s">
        <v>9050</v>
      </c>
    </row>
    <row r="3580">
      <c r="A3580" s="1" t="s">
        <v>10771</v>
      </c>
      <c r="B3580" s="1" t="s">
        <v>10772</v>
      </c>
      <c r="C3580" s="1" t="s">
        <v>10773</v>
      </c>
      <c r="D3580" s="1" t="s">
        <v>10247</v>
      </c>
      <c r="E3580" s="1" t="s">
        <v>10248</v>
      </c>
      <c r="F3580" s="1">
        <v>901599.0</v>
      </c>
      <c r="G3580" s="1">
        <v>33290.0</v>
      </c>
      <c r="H3580" s="1">
        <v>2762.0</v>
      </c>
      <c r="I3580" s="1">
        <v>1.97E7</v>
      </c>
      <c r="J3580" s="1" t="s">
        <v>9050</v>
      </c>
    </row>
    <row r="3581">
      <c r="A3581" s="1" t="s">
        <v>10774</v>
      </c>
      <c r="B3581" s="1" t="s">
        <v>10775</v>
      </c>
      <c r="C3581" s="1" t="s">
        <v>10776</v>
      </c>
      <c r="D3581" s="1" t="s">
        <v>10247</v>
      </c>
      <c r="E3581" s="1" t="s">
        <v>10248</v>
      </c>
      <c r="F3581" s="1">
        <v>256484.0</v>
      </c>
      <c r="G3581" s="1">
        <v>12025.0</v>
      </c>
      <c r="H3581" s="1">
        <v>163.0</v>
      </c>
      <c r="I3581" s="1">
        <v>1.97E7</v>
      </c>
      <c r="J3581" s="1" t="s">
        <v>9050</v>
      </c>
    </row>
    <row r="3582">
      <c r="A3582" s="1" t="s">
        <v>10777</v>
      </c>
      <c r="B3582" s="1" t="s">
        <v>10778</v>
      </c>
      <c r="C3582" s="1" t="s">
        <v>10779</v>
      </c>
      <c r="D3582" s="1" t="s">
        <v>10247</v>
      </c>
      <c r="E3582" s="1" t="s">
        <v>10248</v>
      </c>
      <c r="F3582" s="1">
        <v>130795.0</v>
      </c>
      <c r="G3582" s="1">
        <v>6866.0</v>
      </c>
      <c r="H3582" s="1">
        <v>90.0</v>
      </c>
      <c r="I3582" s="1">
        <v>1.97E7</v>
      </c>
      <c r="J3582" s="1" t="s">
        <v>9050</v>
      </c>
    </row>
    <row r="3583">
      <c r="A3583" s="1" t="s">
        <v>10780</v>
      </c>
      <c r="B3583" s="1" t="s">
        <v>10781</v>
      </c>
      <c r="C3583" s="1" t="s">
        <v>10782</v>
      </c>
      <c r="D3583" s="1" t="s">
        <v>10247</v>
      </c>
      <c r="E3583" s="1" t="s">
        <v>10248</v>
      </c>
      <c r="F3583" s="1">
        <v>1775901.0</v>
      </c>
      <c r="G3583" s="1">
        <v>105611.0</v>
      </c>
      <c r="H3583" s="1">
        <v>1764.0</v>
      </c>
      <c r="I3583" s="1">
        <v>1.97E7</v>
      </c>
      <c r="J3583" s="1" t="s">
        <v>9050</v>
      </c>
    </row>
    <row r="3584">
      <c r="A3584" s="1" t="s">
        <v>10783</v>
      </c>
      <c r="B3584" s="1" t="s">
        <v>10784</v>
      </c>
      <c r="C3584" s="1" t="s">
        <v>10785</v>
      </c>
      <c r="D3584" s="1" t="s">
        <v>10247</v>
      </c>
      <c r="E3584" s="1" t="s">
        <v>10248</v>
      </c>
      <c r="F3584" s="1">
        <v>525512.0</v>
      </c>
      <c r="G3584" s="1">
        <v>34493.0</v>
      </c>
      <c r="H3584" s="1">
        <v>876.0</v>
      </c>
      <c r="I3584" s="1">
        <v>1.97E7</v>
      </c>
      <c r="J3584" s="1" t="s">
        <v>9050</v>
      </c>
    </row>
    <row r="3585">
      <c r="A3585" s="1" t="s">
        <v>10789</v>
      </c>
      <c r="B3585" s="1" t="s">
        <v>10791</v>
      </c>
      <c r="C3585" s="1" t="s">
        <v>10792</v>
      </c>
      <c r="D3585" s="1" t="s">
        <v>10247</v>
      </c>
      <c r="E3585" s="1" t="s">
        <v>10248</v>
      </c>
      <c r="F3585" s="1">
        <v>1579923.0</v>
      </c>
      <c r="G3585" s="1">
        <v>85995.0</v>
      </c>
      <c r="H3585" s="1">
        <v>7110.0</v>
      </c>
      <c r="I3585" s="1">
        <v>1.97E7</v>
      </c>
      <c r="J3585" s="1" t="s">
        <v>9050</v>
      </c>
    </row>
    <row r="3586">
      <c r="A3586" s="1" t="s">
        <v>10794</v>
      </c>
      <c r="B3586" s="1" t="s">
        <v>10795</v>
      </c>
      <c r="C3586" s="1" t="s">
        <v>10796</v>
      </c>
      <c r="D3586" s="1" t="s">
        <v>10247</v>
      </c>
      <c r="E3586" s="1" t="s">
        <v>10248</v>
      </c>
      <c r="F3586" s="1">
        <v>721761.0</v>
      </c>
      <c r="G3586" s="1">
        <v>32188.0</v>
      </c>
      <c r="H3586" s="1">
        <v>1778.0</v>
      </c>
      <c r="I3586" s="1">
        <v>1.97E7</v>
      </c>
      <c r="J3586" s="1" t="s">
        <v>9050</v>
      </c>
    </row>
    <row r="3587">
      <c r="A3587" s="1" t="s">
        <v>10797</v>
      </c>
      <c r="B3587" s="1" t="s">
        <v>10268</v>
      </c>
      <c r="C3587" s="1" t="s">
        <v>10798</v>
      </c>
      <c r="D3587" s="1" t="s">
        <v>10247</v>
      </c>
      <c r="E3587" s="1" t="s">
        <v>10248</v>
      </c>
      <c r="F3587" s="1">
        <v>978056.0</v>
      </c>
      <c r="G3587" s="1">
        <v>25738.0</v>
      </c>
      <c r="H3587" s="1">
        <v>882.0</v>
      </c>
      <c r="I3587" s="1">
        <v>1.97E7</v>
      </c>
      <c r="J3587" s="1" t="s">
        <v>9050</v>
      </c>
    </row>
    <row r="3588">
      <c r="A3588" s="1" t="s">
        <v>10799</v>
      </c>
      <c r="B3588" s="1" t="s">
        <v>10800</v>
      </c>
      <c r="C3588" s="1" t="s">
        <v>10801</v>
      </c>
      <c r="D3588" s="1" t="s">
        <v>10247</v>
      </c>
      <c r="E3588" s="1" t="s">
        <v>10248</v>
      </c>
      <c r="F3588" s="1">
        <v>1182309.0</v>
      </c>
      <c r="G3588" s="1">
        <v>37463.0</v>
      </c>
      <c r="H3588" s="1">
        <v>1761.0</v>
      </c>
      <c r="I3588" s="1">
        <v>1.97E7</v>
      </c>
      <c r="J3588" s="1" t="s">
        <v>9050</v>
      </c>
    </row>
    <row r="3589">
      <c r="A3589" s="1" t="s">
        <v>10802</v>
      </c>
      <c r="B3589" s="1" t="s">
        <v>10803</v>
      </c>
      <c r="C3589" s="1" t="s">
        <v>10804</v>
      </c>
      <c r="D3589" s="1" t="s">
        <v>10247</v>
      </c>
      <c r="E3589" s="1" t="s">
        <v>10248</v>
      </c>
      <c r="F3589" s="1">
        <v>763614.0</v>
      </c>
      <c r="G3589" s="1">
        <v>29138.0</v>
      </c>
      <c r="H3589" s="1">
        <v>442.0</v>
      </c>
      <c r="I3589" s="1">
        <v>1.97E7</v>
      </c>
      <c r="J3589" s="1" t="s">
        <v>9050</v>
      </c>
    </row>
    <row r="3590">
      <c r="A3590" s="1" t="s">
        <v>10805</v>
      </c>
      <c r="B3590" s="1" t="s">
        <v>10806</v>
      </c>
      <c r="C3590" s="1" t="s">
        <v>10807</v>
      </c>
      <c r="D3590" s="1" t="s">
        <v>10247</v>
      </c>
      <c r="E3590" s="1" t="s">
        <v>10248</v>
      </c>
      <c r="F3590" s="1">
        <v>1617111.0</v>
      </c>
      <c r="G3590" s="1">
        <v>36330.0</v>
      </c>
      <c r="H3590" s="1">
        <v>1652.0</v>
      </c>
      <c r="I3590" s="1">
        <v>1.97E7</v>
      </c>
      <c r="J3590" s="1" t="s">
        <v>9050</v>
      </c>
    </row>
    <row r="3591">
      <c r="A3591" s="1" t="s">
        <v>10808</v>
      </c>
      <c r="B3591" s="1" t="s">
        <v>10809</v>
      </c>
      <c r="C3591" s="1" t="s">
        <v>10810</v>
      </c>
      <c r="D3591" s="1" t="s">
        <v>10247</v>
      </c>
      <c r="E3591" s="1" t="s">
        <v>10248</v>
      </c>
      <c r="F3591" s="1">
        <v>1646007.0</v>
      </c>
      <c r="G3591" s="1">
        <v>31741.0</v>
      </c>
      <c r="H3591" s="1">
        <v>2291.0</v>
      </c>
      <c r="I3591" s="1">
        <v>1.97E7</v>
      </c>
      <c r="J3591" s="1" t="s">
        <v>9050</v>
      </c>
    </row>
    <row r="3592">
      <c r="A3592" s="1" t="s">
        <v>10812</v>
      </c>
      <c r="B3592" s="1" t="s">
        <v>10814</v>
      </c>
      <c r="C3592" s="1" t="s">
        <v>10816</v>
      </c>
      <c r="D3592" s="1" t="s">
        <v>10247</v>
      </c>
      <c r="E3592" s="1" t="s">
        <v>10248</v>
      </c>
      <c r="F3592" s="1">
        <v>1342176.0</v>
      </c>
      <c r="G3592" s="1">
        <v>28393.0</v>
      </c>
      <c r="H3592" s="1">
        <v>1537.0</v>
      </c>
      <c r="I3592" s="1">
        <v>1.97E7</v>
      </c>
      <c r="J3592" s="1" t="s">
        <v>9050</v>
      </c>
    </row>
    <row r="3593">
      <c r="A3593" s="1" t="s">
        <v>10817</v>
      </c>
      <c r="B3593" s="1" t="s">
        <v>10818</v>
      </c>
      <c r="C3593" s="1" t="s">
        <v>10819</v>
      </c>
      <c r="D3593" s="1" t="s">
        <v>10247</v>
      </c>
      <c r="E3593" s="1" t="s">
        <v>10248</v>
      </c>
      <c r="F3593" s="1">
        <v>89458.0</v>
      </c>
      <c r="G3593" s="1">
        <v>2400.0</v>
      </c>
      <c r="H3593" s="1">
        <v>98.0</v>
      </c>
      <c r="I3593" s="1">
        <v>1.97E7</v>
      </c>
      <c r="J3593" s="1" t="s">
        <v>9050</v>
      </c>
    </row>
    <row r="3594">
      <c r="A3594" s="1" t="s">
        <v>10820</v>
      </c>
      <c r="B3594" s="1" t="s">
        <v>10821</v>
      </c>
      <c r="C3594" s="1" t="s">
        <v>10822</v>
      </c>
      <c r="D3594" s="1" t="s">
        <v>10247</v>
      </c>
      <c r="E3594" s="1" t="s">
        <v>10248</v>
      </c>
      <c r="F3594" s="1">
        <v>1044290.0</v>
      </c>
      <c r="G3594" s="1">
        <v>25975.0</v>
      </c>
      <c r="H3594" s="1">
        <v>1154.0</v>
      </c>
      <c r="I3594" s="1">
        <v>1.97E7</v>
      </c>
      <c r="J3594" s="1" t="s">
        <v>9050</v>
      </c>
    </row>
    <row r="3595">
      <c r="A3595" s="1" t="s">
        <v>10823</v>
      </c>
      <c r="B3595" s="1" t="s">
        <v>10824</v>
      </c>
      <c r="C3595" s="1" t="s">
        <v>10825</v>
      </c>
      <c r="D3595" s="1" t="s">
        <v>10247</v>
      </c>
      <c r="E3595" s="1" t="s">
        <v>10248</v>
      </c>
      <c r="F3595" s="1">
        <v>553389.0</v>
      </c>
      <c r="G3595" s="1">
        <v>23583.0</v>
      </c>
      <c r="H3595" s="1">
        <v>177.0</v>
      </c>
      <c r="I3595" s="1">
        <v>1.97E7</v>
      </c>
      <c r="J3595" s="1" t="s">
        <v>9050</v>
      </c>
    </row>
    <row r="3596">
      <c r="A3596" s="1" t="s">
        <v>10826</v>
      </c>
      <c r="B3596" s="1" t="s">
        <v>10827</v>
      </c>
      <c r="C3596" s="1" t="s">
        <v>10828</v>
      </c>
      <c r="D3596" s="1" t="s">
        <v>10247</v>
      </c>
      <c r="E3596" s="1" t="s">
        <v>10248</v>
      </c>
      <c r="F3596" s="1">
        <v>1219180.0</v>
      </c>
      <c r="G3596" s="1">
        <v>30406.0</v>
      </c>
      <c r="H3596" s="1">
        <v>1692.0</v>
      </c>
      <c r="I3596" s="1">
        <v>1.97E7</v>
      </c>
      <c r="J3596" s="1" t="s">
        <v>9050</v>
      </c>
    </row>
    <row r="3597">
      <c r="A3597" s="1" t="s">
        <v>10829</v>
      </c>
      <c r="B3597" s="1" t="s">
        <v>10830</v>
      </c>
      <c r="C3597" s="1" t="s">
        <v>10831</v>
      </c>
      <c r="D3597" s="1" t="s">
        <v>10247</v>
      </c>
      <c r="E3597" s="1" t="s">
        <v>10248</v>
      </c>
      <c r="F3597" s="1">
        <v>977270.0</v>
      </c>
      <c r="G3597" s="1">
        <v>26749.0</v>
      </c>
      <c r="H3597" s="1">
        <v>1083.0</v>
      </c>
      <c r="I3597" s="1">
        <v>1.97E7</v>
      </c>
      <c r="J3597" s="1" t="s">
        <v>9050</v>
      </c>
    </row>
    <row r="3598">
      <c r="A3598" s="1" t="s">
        <v>10835</v>
      </c>
      <c r="B3598" s="1" t="s">
        <v>10836</v>
      </c>
      <c r="C3598" s="1" t="s">
        <v>10837</v>
      </c>
      <c r="D3598" s="1" t="s">
        <v>10247</v>
      </c>
      <c r="E3598" s="1" t="s">
        <v>10248</v>
      </c>
      <c r="F3598" s="1">
        <v>213491.0</v>
      </c>
      <c r="G3598" s="1">
        <v>4920.0</v>
      </c>
      <c r="H3598" s="1">
        <v>71.0</v>
      </c>
      <c r="I3598" s="1">
        <v>1.97E7</v>
      </c>
      <c r="J3598" s="1" t="s">
        <v>9050</v>
      </c>
    </row>
    <row r="3599">
      <c r="A3599" s="1" t="s">
        <v>10838</v>
      </c>
      <c r="B3599" s="1" t="s">
        <v>10839</v>
      </c>
      <c r="C3599" s="1" t="s">
        <v>10840</v>
      </c>
      <c r="D3599" s="1" t="s">
        <v>10247</v>
      </c>
      <c r="E3599" s="1" t="s">
        <v>10248</v>
      </c>
      <c r="F3599" s="1">
        <v>740580.0</v>
      </c>
      <c r="G3599" s="1">
        <v>20745.0</v>
      </c>
      <c r="H3599" s="1">
        <v>228.0</v>
      </c>
      <c r="I3599" s="1">
        <v>1.97E7</v>
      </c>
      <c r="J3599" s="1" t="s">
        <v>9050</v>
      </c>
    </row>
    <row r="3600">
      <c r="A3600" s="1" t="s">
        <v>10841</v>
      </c>
      <c r="B3600" s="1" t="s">
        <v>10842</v>
      </c>
      <c r="C3600" s="1" t="s">
        <v>10843</v>
      </c>
      <c r="D3600" s="1" t="s">
        <v>10247</v>
      </c>
      <c r="E3600" s="1" t="s">
        <v>10248</v>
      </c>
      <c r="F3600" s="1">
        <v>1823144.0</v>
      </c>
      <c r="G3600" s="1">
        <v>59685.0</v>
      </c>
      <c r="H3600" s="1">
        <v>2532.0</v>
      </c>
      <c r="I3600" s="1">
        <v>1.97E7</v>
      </c>
      <c r="J3600" s="1" t="s">
        <v>9050</v>
      </c>
    </row>
    <row r="3601">
      <c r="A3601" s="1" t="s">
        <v>10844</v>
      </c>
      <c r="B3601" s="1" t="s">
        <v>10845</v>
      </c>
      <c r="C3601" s="1" t="s">
        <v>10846</v>
      </c>
      <c r="D3601" s="1" t="s">
        <v>10247</v>
      </c>
      <c r="E3601" s="1" t="s">
        <v>10248</v>
      </c>
      <c r="F3601" s="1">
        <v>1183956.0</v>
      </c>
      <c r="G3601" s="1">
        <v>39553.0</v>
      </c>
      <c r="H3601" s="1">
        <v>264.0</v>
      </c>
      <c r="I3601" s="1">
        <v>1.97E7</v>
      </c>
      <c r="J3601" s="1" t="s">
        <v>9050</v>
      </c>
    </row>
    <row r="3602">
      <c r="A3602" s="1" t="s">
        <v>10847</v>
      </c>
      <c r="B3602" s="1" t="s">
        <v>10848</v>
      </c>
      <c r="C3602" s="1" t="s">
        <v>10849</v>
      </c>
      <c r="D3602" s="1" t="s">
        <v>10850</v>
      </c>
      <c r="E3602" s="1" t="s">
        <v>10851</v>
      </c>
      <c r="F3602" s="1">
        <v>37967.0</v>
      </c>
      <c r="G3602" s="1">
        <v>2092.0</v>
      </c>
      <c r="H3602" s="1">
        <v>28.0</v>
      </c>
      <c r="I3602" s="1">
        <v>7870000.0</v>
      </c>
      <c r="J3602" s="1" t="s">
        <v>9050</v>
      </c>
    </row>
    <row r="3603">
      <c r="A3603" s="1" t="s">
        <v>10852</v>
      </c>
      <c r="B3603" s="1" t="s">
        <v>10853</v>
      </c>
      <c r="C3603" s="1" t="s">
        <v>10855</v>
      </c>
      <c r="D3603" s="1" t="s">
        <v>10850</v>
      </c>
      <c r="E3603" s="1" t="s">
        <v>10851</v>
      </c>
      <c r="F3603" s="1">
        <v>162894.0</v>
      </c>
      <c r="G3603" s="1">
        <v>5937.0</v>
      </c>
      <c r="H3603" s="1">
        <v>382.0</v>
      </c>
      <c r="I3603" s="1">
        <v>7870000.0</v>
      </c>
      <c r="J3603" s="1" t="s">
        <v>9050</v>
      </c>
    </row>
    <row r="3604">
      <c r="A3604" s="1" t="s">
        <v>10858</v>
      </c>
      <c r="B3604" s="1" t="s">
        <v>10859</v>
      </c>
      <c r="C3604" s="1" t="s">
        <v>10860</v>
      </c>
      <c r="D3604" s="1" t="s">
        <v>10850</v>
      </c>
      <c r="E3604" s="1" t="s">
        <v>10851</v>
      </c>
      <c r="F3604" s="1">
        <v>120424.0</v>
      </c>
      <c r="G3604" s="1">
        <v>6279.0</v>
      </c>
      <c r="H3604" s="1">
        <v>60.0</v>
      </c>
      <c r="I3604" s="1">
        <v>7870000.0</v>
      </c>
      <c r="J3604" s="1" t="s">
        <v>9050</v>
      </c>
    </row>
    <row r="3605">
      <c r="A3605" s="1" t="s">
        <v>10861</v>
      </c>
      <c r="B3605" s="1" t="s">
        <v>10862</v>
      </c>
      <c r="C3605" s="1" t="s">
        <v>10863</v>
      </c>
      <c r="D3605" s="1" t="s">
        <v>10850</v>
      </c>
      <c r="E3605" s="1" t="s">
        <v>10851</v>
      </c>
      <c r="F3605" s="1">
        <v>24121.0</v>
      </c>
      <c r="G3605" s="1">
        <v>1248.0</v>
      </c>
      <c r="H3605" s="1">
        <v>39.0</v>
      </c>
      <c r="I3605" s="1">
        <v>7870000.0</v>
      </c>
      <c r="J3605" s="1" t="s">
        <v>9050</v>
      </c>
    </row>
    <row r="3606">
      <c r="A3606" s="1" t="s">
        <v>10864</v>
      </c>
      <c r="B3606" s="1" t="s">
        <v>10865</v>
      </c>
      <c r="C3606" s="1" t="s">
        <v>10866</v>
      </c>
      <c r="D3606" s="1" t="s">
        <v>10850</v>
      </c>
      <c r="E3606" s="1" t="s">
        <v>10851</v>
      </c>
      <c r="F3606" s="1">
        <v>722465.0</v>
      </c>
      <c r="G3606" s="1">
        <v>7940.0</v>
      </c>
      <c r="H3606" s="1">
        <v>728.0</v>
      </c>
      <c r="I3606" s="1">
        <v>7870000.0</v>
      </c>
      <c r="J3606" s="1" t="s">
        <v>9050</v>
      </c>
    </row>
    <row r="3607">
      <c r="A3607" s="1" t="s">
        <v>10867</v>
      </c>
      <c r="B3607" s="1" t="s">
        <v>10868</v>
      </c>
      <c r="C3607" s="1" t="s">
        <v>10869</v>
      </c>
      <c r="D3607" s="1" t="s">
        <v>10850</v>
      </c>
      <c r="E3607" s="1" t="s">
        <v>10851</v>
      </c>
      <c r="F3607" s="1">
        <v>819816.0</v>
      </c>
      <c r="G3607" s="1">
        <v>19484.0</v>
      </c>
      <c r="H3607" s="1">
        <v>1100.0</v>
      </c>
      <c r="I3607" s="1">
        <v>7870000.0</v>
      </c>
      <c r="J3607" s="1" t="s">
        <v>9050</v>
      </c>
    </row>
    <row r="3608">
      <c r="A3608" s="1" t="s">
        <v>10870</v>
      </c>
      <c r="B3608" s="1" t="s">
        <v>10871</v>
      </c>
      <c r="C3608" s="1" t="s">
        <v>10872</v>
      </c>
      <c r="D3608" s="1" t="s">
        <v>10850</v>
      </c>
      <c r="E3608" s="1" t="s">
        <v>10851</v>
      </c>
      <c r="F3608" s="1">
        <v>71436.0</v>
      </c>
      <c r="G3608" s="1">
        <v>2968.0</v>
      </c>
      <c r="H3608" s="1">
        <v>26.0</v>
      </c>
      <c r="I3608" s="1">
        <v>7870000.0</v>
      </c>
      <c r="J3608" s="1" t="s">
        <v>9050</v>
      </c>
    </row>
    <row r="3609">
      <c r="A3609" s="1" t="s">
        <v>10876</v>
      </c>
      <c r="B3609" s="1" t="s">
        <v>10877</v>
      </c>
      <c r="C3609" s="1" t="s">
        <v>10878</v>
      </c>
      <c r="D3609" s="1" t="s">
        <v>10850</v>
      </c>
      <c r="E3609" s="1" t="s">
        <v>10851</v>
      </c>
      <c r="F3609" s="1">
        <v>34894.0</v>
      </c>
      <c r="G3609" s="1">
        <v>1566.0</v>
      </c>
      <c r="H3609" s="1">
        <v>36.0</v>
      </c>
      <c r="I3609" s="1">
        <v>7870000.0</v>
      </c>
      <c r="J3609" s="1" t="s">
        <v>9050</v>
      </c>
    </row>
    <row r="3610">
      <c r="A3610" s="1" t="s">
        <v>10879</v>
      </c>
      <c r="B3610" s="1" t="s">
        <v>10880</v>
      </c>
      <c r="C3610" s="1" t="s">
        <v>10881</v>
      </c>
      <c r="D3610" s="1" t="s">
        <v>10850</v>
      </c>
      <c r="E3610" s="1" t="s">
        <v>10851</v>
      </c>
      <c r="F3610" s="1">
        <v>120304.0</v>
      </c>
      <c r="G3610" s="1">
        <v>5985.0</v>
      </c>
      <c r="H3610" s="1">
        <v>27.0</v>
      </c>
      <c r="I3610" s="1">
        <v>7870000.0</v>
      </c>
      <c r="J3610" s="1" t="s">
        <v>9050</v>
      </c>
    </row>
    <row r="3611">
      <c r="A3611" s="1" t="s">
        <v>10882</v>
      </c>
      <c r="B3611" s="1" t="s">
        <v>10883</v>
      </c>
      <c r="C3611" s="1" t="s">
        <v>10884</v>
      </c>
      <c r="D3611" s="1" t="s">
        <v>10850</v>
      </c>
      <c r="E3611" s="1" t="s">
        <v>10851</v>
      </c>
      <c r="F3611" s="1">
        <v>1153544.0</v>
      </c>
      <c r="G3611" s="1">
        <v>58709.0</v>
      </c>
      <c r="H3611" s="1">
        <v>2221.0</v>
      </c>
      <c r="I3611" s="1">
        <v>7870000.0</v>
      </c>
      <c r="J3611" s="1" t="s">
        <v>9050</v>
      </c>
    </row>
    <row r="3612">
      <c r="A3612" s="1" t="s">
        <v>10885</v>
      </c>
      <c r="B3612" s="1" t="s">
        <v>10886</v>
      </c>
      <c r="C3612" s="1" t="s">
        <v>10887</v>
      </c>
      <c r="D3612" s="1" t="s">
        <v>10850</v>
      </c>
      <c r="E3612" s="1" t="s">
        <v>10851</v>
      </c>
      <c r="F3612" s="1">
        <v>90661.0</v>
      </c>
      <c r="G3612" s="1">
        <v>3403.0</v>
      </c>
      <c r="H3612" s="1">
        <v>35.0</v>
      </c>
      <c r="I3612" s="1">
        <v>7870000.0</v>
      </c>
      <c r="J3612" s="1" t="s">
        <v>9050</v>
      </c>
    </row>
    <row r="3613">
      <c r="A3613" s="1" t="s">
        <v>10888</v>
      </c>
      <c r="B3613" s="1" t="s">
        <v>10889</v>
      </c>
      <c r="C3613" s="1" t="s">
        <v>10890</v>
      </c>
      <c r="D3613" s="1" t="s">
        <v>10850</v>
      </c>
      <c r="E3613" s="1" t="s">
        <v>10851</v>
      </c>
      <c r="F3613" s="1">
        <v>54317.0</v>
      </c>
      <c r="G3613" s="1">
        <v>2653.0</v>
      </c>
      <c r="H3613" s="1">
        <v>65.0</v>
      </c>
      <c r="I3613" s="1">
        <v>7870000.0</v>
      </c>
      <c r="J3613" s="1" t="s">
        <v>9050</v>
      </c>
    </row>
    <row r="3614">
      <c r="A3614" s="1" t="s">
        <v>10891</v>
      </c>
      <c r="B3614" s="1" t="s">
        <v>10892</v>
      </c>
      <c r="C3614" s="1" t="s">
        <v>10893</v>
      </c>
      <c r="D3614" s="1" t="s">
        <v>10850</v>
      </c>
      <c r="E3614" s="1" t="s">
        <v>10851</v>
      </c>
      <c r="F3614" s="1">
        <v>354086.0</v>
      </c>
      <c r="G3614" s="1">
        <v>10174.0</v>
      </c>
      <c r="H3614" s="1">
        <v>385.0</v>
      </c>
      <c r="I3614" s="1">
        <v>7870000.0</v>
      </c>
      <c r="J3614" s="1" t="s">
        <v>9050</v>
      </c>
    </row>
    <row r="3615">
      <c r="A3615" s="1" t="s">
        <v>10896</v>
      </c>
      <c r="B3615" s="1" t="s">
        <v>10898</v>
      </c>
      <c r="C3615" s="1" t="s">
        <v>10899</v>
      </c>
      <c r="D3615" s="1" t="s">
        <v>10850</v>
      </c>
      <c r="E3615" s="1" t="s">
        <v>10851</v>
      </c>
      <c r="F3615" s="1">
        <v>192938.0</v>
      </c>
      <c r="G3615" s="1">
        <v>10438.0</v>
      </c>
      <c r="H3615" s="1">
        <v>55.0</v>
      </c>
      <c r="I3615" s="1">
        <v>7870000.0</v>
      </c>
      <c r="J3615" s="1" t="s">
        <v>9050</v>
      </c>
    </row>
    <row r="3616">
      <c r="A3616" s="1" t="s">
        <v>10900</v>
      </c>
      <c r="B3616" s="1" t="s">
        <v>10901</v>
      </c>
      <c r="C3616" s="1" t="s">
        <v>10902</v>
      </c>
      <c r="D3616" s="1" t="s">
        <v>10850</v>
      </c>
      <c r="E3616" s="1" t="s">
        <v>10851</v>
      </c>
      <c r="F3616" s="1">
        <v>37490.0</v>
      </c>
      <c r="G3616" s="1">
        <v>2579.0</v>
      </c>
      <c r="H3616" s="1">
        <v>23.0</v>
      </c>
      <c r="I3616" s="1">
        <v>7870000.0</v>
      </c>
      <c r="J3616" s="1" t="s">
        <v>9050</v>
      </c>
    </row>
    <row r="3617">
      <c r="A3617" s="1" t="s">
        <v>10903</v>
      </c>
      <c r="B3617" s="1" t="s">
        <v>10904</v>
      </c>
      <c r="C3617" s="1" t="s">
        <v>10905</v>
      </c>
      <c r="D3617" s="1" t="s">
        <v>10850</v>
      </c>
      <c r="E3617" s="1" t="s">
        <v>10851</v>
      </c>
      <c r="F3617" s="1">
        <v>27925.0</v>
      </c>
      <c r="G3617" s="1">
        <v>1009.0</v>
      </c>
      <c r="H3617" s="1">
        <v>24.0</v>
      </c>
      <c r="I3617" s="1">
        <v>7870000.0</v>
      </c>
      <c r="J3617" s="1" t="s">
        <v>9050</v>
      </c>
    </row>
    <row r="3618">
      <c r="A3618" s="1" t="s">
        <v>10906</v>
      </c>
      <c r="B3618" s="1" t="s">
        <v>10907</v>
      </c>
      <c r="C3618" s="1" t="s">
        <v>10908</v>
      </c>
      <c r="D3618" s="1" t="s">
        <v>10850</v>
      </c>
      <c r="E3618" s="1" t="s">
        <v>10851</v>
      </c>
      <c r="F3618" s="1">
        <v>150813.0</v>
      </c>
      <c r="G3618" s="1">
        <v>11431.0</v>
      </c>
      <c r="H3618" s="1">
        <v>659.0</v>
      </c>
      <c r="I3618" s="1">
        <v>7870000.0</v>
      </c>
      <c r="J3618" s="1" t="s">
        <v>9050</v>
      </c>
    </row>
    <row r="3619">
      <c r="A3619" s="1" t="s">
        <v>10909</v>
      </c>
      <c r="B3619" s="1" t="s">
        <v>10910</v>
      </c>
      <c r="C3619" s="1" t="s">
        <v>10911</v>
      </c>
      <c r="D3619" s="1" t="s">
        <v>10850</v>
      </c>
      <c r="E3619" s="1" t="s">
        <v>10851</v>
      </c>
      <c r="F3619" s="1">
        <v>42573.0</v>
      </c>
      <c r="G3619" s="1">
        <v>1853.0</v>
      </c>
      <c r="H3619" s="1">
        <v>35.0</v>
      </c>
      <c r="I3619" s="1">
        <v>7870000.0</v>
      </c>
      <c r="J3619" s="1" t="s">
        <v>9050</v>
      </c>
    </row>
    <row r="3620">
      <c r="A3620" s="1" t="s">
        <v>10912</v>
      </c>
      <c r="B3620" s="1" t="s">
        <v>10913</v>
      </c>
      <c r="C3620" s="1" t="s">
        <v>10914</v>
      </c>
      <c r="D3620" s="1" t="s">
        <v>10850</v>
      </c>
      <c r="E3620" s="1" t="s">
        <v>10851</v>
      </c>
      <c r="F3620" s="1">
        <v>83860.0</v>
      </c>
      <c r="G3620" s="1">
        <v>3112.0</v>
      </c>
      <c r="H3620" s="1">
        <v>73.0</v>
      </c>
      <c r="I3620" s="1">
        <v>7870000.0</v>
      </c>
      <c r="J3620" s="1" t="s">
        <v>9050</v>
      </c>
    </row>
    <row r="3621">
      <c r="A3621" s="1" t="s">
        <v>10915</v>
      </c>
      <c r="B3621" s="1" t="s">
        <v>10916</v>
      </c>
      <c r="C3621" s="1" t="s">
        <v>10917</v>
      </c>
      <c r="D3621" s="1" t="s">
        <v>10850</v>
      </c>
      <c r="E3621" s="1" t="s">
        <v>10851</v>
      </c>
      <c r="F3621" s="1">
        <v>196442.0</v>
      </c>
      <c r="G3621" s="1">
        <v>11170.0</v>
      </c>
      <c r="H3621" s="1">
        <v>477.0</v>
      </c>
      <c r="I3621" s="1">
        <v>7870000.0</v>
      </c>
      <c r="J3621" s="1" t="s">
        <v>9050</v>
      </c>
    </row>
    <row r="3622">
      <c r="A3622" s="1" t="s">
        <v>10918</v>
      </c>
      <c r="B3622" s="1" t="s">
        <v>10919</v>
      </c>
      <c r="C3622" s="1" t="s">
        <v>10920</v>
      </c>
      <c r="D3622" s="1" t="s">
        <v>10850</v>
      </c>
      <c r="E3622" s="1" t="s">
        <v>10851</v>
      </c>
      <c r="F3622" s="1">
        <v>21731.0</v>
      </c>
      <c r="G3622" s="1">
        <v>609.0</v>
      </c>
      <c r="H3622" s="1">
        <v>16.0</v>
      </c>
      <c r="I3622" s="1">
        <v>7870000.0</v>
      </c>
      <c r="J3622" s="1" t="s">
        <v>9050</v>
      </c>
    </row>
    <row r="3623">
      <c r="A3623" s="1" t="s">
        <v>10921</v>
      </c>
      <c r="B3623" s="1" t="s">
        <v>10922</v>
      </c>
      <c r="C3623" s="1" t="s">
        <v>10924</v>
      </c>
      <c r="D3623" s="1" t="s">
        <v>10850</v>
      </c>
      <c r="E3623" s="1" t="s">
        <v>10851</v>
      </c>
      <c r="F3623" s="1">
        <v>657025.0</v>
      </c>
      <c r="G3623" s="1">
        <v>14880.0</v>
      </c>
      <c r="H3623" s="1">
        <v>525.0</v>
      </c>
      <c r="I3623" s="1">
        <v>7870000.0</v>
      </c>
      <c r="J3623" s="1" t="s">
        <v>9050</v>
      </c>
    </row>
    <row r="3624">
      <c r="A3624" s="1" t="s">
        <v>10927</v>
      </c>
      <c r="B3624" s="1" t="s">
        <v>10928</v>
      </c>
      <c r="C3624" s="1" t="s">
        <v>10929</v>
      </c>
      <c r="D3624" s="1" t="s">
        <v>10850</v>
      </c>
      <c r="E3624" s="1" t="s">
        <v>10851</v>
      </c>
      <c r="F3624" s="1">
        <v>145077.0</v>
      </c>
      <c r="G3624" s="1">
        <v>7357.0</v>
      </c>
      <c r="H3624" s="1">
        <v>42.0</v>
      </c>
      <c r="I3624" s="1">
        <v>7870000.0</v>
      </c>
      <c r="J3624" s="1" t="s">
        <v>9050</v>
      </c>
    </row>
    <row r="3625">
      <c r="A3625" s="1" t="s">
        <v>10930</v>
      </c>
      <c r="B3625" s="1" t="s">
        <v>10931</v>
      </c>
      <c r="C3625" s="1" t="s">
        <v>10932</v>
      </c>
      <c r="D3625" s="1" t="s">
        <v>10850</v>
      </c>
      <c r="E3625" s="1" t="s">
        <v>10851</v>
      </c>
      <c r="F3625" s="1">
        <v>124557.0</v>
      </c>
      <c r="G3625" s="1">
        <v>4270.0</v>
      </c>
      <c r="H3625" s="1">
        <v>26.0</v>
      </c>
      <c r="I3625" s="1">
        <v>7870000.0</v>
      </c>
      <c r="J3625" s="1" t="s">
        <v>9050</v>
      </c>
    </row>
    <row r="3626">
      <c r="A3626" s="1" t="s">
        <v>10933</v>
      </c>
      <c r="B3626" s="1" t="s">
        <v>10934</v>
      </c>
      <c r="C3626" s="1" t="s">
        <v>10935</v>
      </c>
      <c r="D3626" s="1" t="s">
        <v>10850</v>
      </c>
      <c r="E3626" s="1" t="s">
        <v>10851</v>
      </c>
      <c r="F3626" s="1">
        <v>305467.0</v>
      </c>
      <c r="G3626" s="1">
        <v>17469.0</v>
      </c>
      <c r="H3626" s="1">
        <v>812.0</v>
      </c>
      <c r="I3626" s="1">
        <v>7870000.0</v>
      </c>
      <c r="J3626" s="1" t="s">
        <v>9050</v>
      </c>
    </row>
    <row r="3627">
      <c r="A3627" s="1" t="s">
        <v>10936</v>
      </c>
      <c r="B3627" s="1" t="s">
        <v>10937</v>
      </c>
      <c r="C3627" s="1" t="s">
        <v>10938</v>
      </c>
      <c r="D3627" s="1" t="s">
        <v>10850</v>
      </c>
      <c r="E3627" s="1" t="s">
        <v>10851</v>
      </c>
      <c r="F3627" s="1">
        <v>262821.0</v>
      </c>
      <c r="G3627" s="1">
        <v>13334.0</v>
      </c>
      <c r="H3627" s="1">
        <v>96.0</v>
      </c>
      <c r="I3627" s="1">
        <v>7870000.0</v>
      </c>
      <c r="J3627" s="1" t="s">
        <v>9050</v>
      </c>
    </row>
    <row r="3628">
      <c r="A3628" s="1" t="s">
        <v>10939</v>
      </c>
      <c r="B3628" s="1" t="s">
        <v>10940</v>
      </c>
      <c r="C3628" s="1" t="s">
        <v>10941</v>
      </c>
      <c r="D3628" s="1" t="s">
        <v>10850</v>
      </c>
      <c r="E3628" s="1" t="s">
        <v>10851</v>
      </c>
      <c r="F3628" s="1">
        <v>93230.0</v>
      </c>
      <c r="G3628" s="1">
        <v>5139.0</v>
      </c>
      <c r="H3628" s="1">
        <v>58.0</v>
      </c>
      <c r="I3628" s="1">
        <v>7870000.0</v>
      </c>
      <c r="J3628" s="1" t="s">
        <v>9050</v>
      </c>
    </row>
    <row r="3629">
      <c r="A3629" s="1" t="s">
        <v>10942</v>
      </c>
      <c r="B3629" s="1" t="s">
        <v>10943</v>
      </c>
      <c r="C3629" s="1" t="s">
        <v>10944</v>
      </c>
      <c r="D3629" s="1" t="s">
        <v>10850</v>
      </c>
      <c r="E3629" s="1" t="s">
        <v>10851</v>
      </c>
      <c r="F3629" s="1">
        <v>24754.0</v>
      </c>
      <c r="G3629" s="1">
        <v>972.0</v>
      </c>
      <c r="H3629" s="1">
        <v>15.0</v>
      </c>
      <c r="I3629" s="1">
        <v>7870000.0</v>
      </c>
      <c r="J3629" s="1" t="s">
        <v>9050</v>
      </c>
    </row>
    <row r="3630">
      <c r="A3630" s="1" t="s">
        <v>10945</v>
      </c>
      <c r="B3630" s="1" t="s">
        <v>10946</v>
      </c>
      <c r="C3630" s="1" t="s">
        <v>10947</v>
      </c>
      <c r="D3630" s="1" t="s">
        <v>10850</v>
      </c>
      <c r="E3630" s="1" t="s">
        <v>10851</v>
      </c>
      <c r="F3630" s="1">
        <v>336620.0</v>
      </c>
      <c r="G3630" s="1">
        <v>13656.0</v>
      </c>
      <c r="H3630" s="1">
        <v>648.0</v>
      </c>
      <c r="I3630" s="1">
        <v>7870000.0</v>
      </c>
      <c r="J3630" s="1" t="s">
        <v>9050</v>
      </c>
    </row>
    <row r="3631">
      <c r="A3631" s="1" t="s">
        <v>10948</v>
      </c>
      <c r="B3631" s="1" t="s">
        <v>10949</v>
      </c>
      <c r="C3631" s="1" t="s">
        <v>10950</v>
      </c>
      <c r="D3631" s="1" t="s">
        <v>10850</v>
      </c>
      <c r="E3631" s="1" t="s">
        <v>10851</v>
      </c>
      <c r="F3631" s="1">
        <v>325775.0</v>
      </c>
      <c r="G3631" s="1">
        <v>14401.0</v>
      </c>
      <c r="H3631" s="1">
        <v>116.0</v>
      </c>
      <c r="I3631" s="1">
        <v>7870000.0</v>
      </c>
      <c r="J3631" s="1" t="s">
        <v>9050</v>
      </c>
    </row>
    <row r="3632">
      <c r="A3632" s="1" t="s">
        <v>10952</v>
      </c>
      <c r="B3632" s="1" t="s">
        <v>10953</v>
      </c>
      <c r="C3632" s="1" t="s">
        <v>10955</v>
      </c>
      <c r="D3632" s="1" t="s">
        <v>10850</v>
      </c>
      <c r="E3632" s="1" t="s">
        <v>10851</v>
      </c>
      <c r="F3632" s="1">
        <v>447896.0</v>
      </c>
      <c r="G3632" s="1">
        <v>11269.0</v>
      </c>
      <c r="H3632" s="1">
        <v>552.0</v>
      </c>
      <c r="I3632" s="1">
        <v>7870000.0</v>
      </c>
      <c r="J3632" s="1" t="s">
        <v>9050</v>
      </c>
    </row>
    <row r="3633">
      <c r="A3633" s="1" t="s">
        <v>10957</v>
      </c>
      <c r="B3633" s="1" t="s">
        <v>10958</v>
      </c>
      <c r="C3633" s="1" t="s">
        <v>10959</v>
      </c>
      <c r="D3633" s="1" t="s">
        <v>10850</v>
      </c>
      <c r="E3633" s="1" t="s">
        <v>10851</v>
      </c>
      <c r="F3633" s="1">
        <v>560593.0</v>
      </c>
      <c r="G3633" s="1">
        <v>17570.0</v>
      </c>
      <c r="H3633" s="1">
        <v>815.0</v>
      </c>
      <c r="I3633" s="1">
        <v>7870000.0</v>
      </c>
      <c r="J3633" s="1" t="s">
        <v>9050</v>
      </c>
    </row>
    <row r="3634">
      <c r="A3634" s="1" t="s">
        <v>10960</v>
      </c>
      <c r="B3634" s="1" t="s">
        <v>10961</v>
      </c>
      <c r="C3634" s="1" t="s">
        <v>10962</v>
      </c>
      <c r="D3634" s="1" t="s">
        <v>10850</v>
      </c>
      <c r="E3634" s="1" t="s">
        <v>10851</v>
      </c>
      <c r="F3634" s="1">
        <v>222915.0</v>
      </c>
      <c r="G3634" s="1">
        <v>7809.0</v>
      </c>
      <c r="H3634" s="1">
        <v>35.0</v>
      </c>
      <c r="I3634" s="1">
        <v>7870000.0</v>
      </c>
      <c r="J3634" s="1" t="s">
        <v>9050</v>
      </c>
    </row>
    <row r="3635">
      <c r="A3635" s="1" t="s">
        <v>10963</v>
      </c>
      <c r="B3635" s="1" t="s">
        <v>10964</v>
      </c>
      <c r="C3635" s="1" t="s">
        <v>10965</v>
      </c>
      <c r="D3635" s="1" t="s">
        <v>10850</v>
      </c>
      <c r="E3635" s="1" t="s">
        <v>10851</v>
      </c>
      <c r="F3635" s="1">
        <v>649470.0</v>
      </c>
      <c r="G3635" s="1">
        <v>13373.0</v>
      </c>
      <c r="H3635" s="1">
        <v>448.0</v>
      </c>
      <c r="I3635" s="1">
        <v>7870000.0</v>
      </c>
      <c r="J3635" s="1" t="s">
        <v>9050</v>
      </c>
    </row>
    <row r="3636">
      <c r="A3636" s="1" t="s">
        <v>10966</v>
      </c>
      <c r="B3636" s="1" t="s">
        <v>10967</v>
      </c>
      <c r="C3636" s="1" t="s">
        <v>10968</v>
      </c>
      <c r="D3636" s="1" t="s">
        <v>10850</v>
      </c>
      <c r="E3636" s="1" t="s">
        <v>10851</v>
      </c>
      <c r="F3636" s="1">
        <v>283098.0</v>
      </c>
      <c r="G3636" s="1">
        <v>18529.0</v>
      </c>
      <c r="H3636" s="1">
        <v>296.0</v>
      </c>
      <c r="I3636" s="1">
        <v>7870000.0</v>
      </c>
      <c r="J3636" s="1" t="s">
        <v>9050</v>
      </c>
    </row>
    <row r="3637">
      <c r="A3637" s="1" t="s">
        <v>10969</v>
      </c>
      <c r="B3637" s="1" t="s">
        <v>10970</v>
      </c>
      <c r="C3637" s="1" t="s">
        <v>10971</v>
      </c>
      <c r="D3637" s="1" t="s">
        <v>10850</v>
      </c>
      <c r="E3637" s="1" t="s">
        <v>10851</v>
      </c>
      <c r="F3637" s="1">
        <v>94820.0</v>
      </c>
      <c r="G3637" s="1">
        <v>2559.0</v>
      </c>
      <c r="H3637" s="1">
        <v>24.0</v>
      </c>
      <c r="I3637" s="1">
        <v>7870000.0</v>
      </c>
      <c r="J3637" s="1" t="s">
        <v>9050</v>
      </c>
    </row>
    <row r="3638">
      <c r="A3638" s="1" t="s">
        <v>10972</v>
      </c>
      <c r="B3638" s="1" t="s">
        <v>10973</v>
      </c>
      <c r="C3638" s="1" t="s">
        <v>10974</v>
      </c>
      <c r="D3638" s="1" t="s">
        <v>10850</v>
      </c>
      <c r="E3638" s="1" t="s">
        <v>10851</v>
      </c>
      <c r="F3638" s="1">
        <v>118714.0</v>
      </c>
      <c r="G3638" s="1">
        <v>3641.0</v>
      </c>
      <c r="H3638" s="1">
        <v>44.0</v>
      </c>
      <c r="I3638" s="1">
        <v>7870000.0</v>
      </c>
      <c r="J3638" s="1" t="s">
        <v>9050</v>
      </c>
    </row>
    <row r="3639">
      <c r="A3639" s="1" t="s">
        <v>10975</v>
      </c>
      <c r="B3639" s="1" t="s">
        <v>10976</v>
      </c>
      <c r="C3639" s="1" t="s">
        <v>10977</v>
      </c>
      <c r="D3639" s="1" t="s">
        <v>10850</v>
      </c>
      <c r="E3639" s="1" t="s">
        <v>10851</v>
      </c>
      <c r="F3639" s="1">
        <v>675819.0</v>
      </c>
      <c r="G3639" s="1">
        <v>21618.0</v>
      </c>
      <c r="H3639" s="1">
        <v>925.0</v>
      </c>
      <c r="I3639" s="1">
        <v>7870000.0</v>
      </c>
      <c r="J3639" s="1" t="s">
        <v>9050</v>
      </c>
    </row>
    <row r="3640">
      <c r="A3640" s="1" t="s">
        <v>10978</v>
      </c>
      <c r="B3640" s="1" t="s">
        <v>10979</v>
      </c>
      <c r="C3640" s="1" t="s">
        <v>10980</v>
      </c>
      <c r="D3640" s="1" t="s">
        <v>10850</v>
      </c>
      <c r="E3640" s="1" t="s">
        <v>10851</v>
      </c>
      <c r="F3640" s="1">
        <v>91768.0</v>
      </c>
      <c r="G3640" s="1">
        <v>6516.0</v>
      </c>
      <c r="H3640" s="1">
        <v>97.0</v>
      </c>
      <c r="I3640" s="1">
        <v>7870000.0</v>
      </c>
      <c r="J3640" s="1" t="s">
        <v>9050</v>
      </c>
    </row>
    <row r="3641">
      <c r="A3641" s="1" t="s">
        <v>10982</v>
      </c>
      <c r="B3641" s="1" t="s">
        <v>10984</v>
      </c>
      <c r="C3641" s="1" t="s">
        <v>10986</v>
      </c>
      <c r="D3641" s="1" t="s">
        <v>10850</v>
      </c>
      <c r="E3641" s="1" t="s">
        <v>10851</v>
      </c>
      <c r="F3641" s="1">
        <v>250520.0</v>
      </c>
      <c r="G3641" s="1">
        <v>7818.0</v>
      </c>
      <c r="H3641" s="1">
        <v>96.0</v>
      </c>
      <c r="I3641" s="1">
        <v>7870000.0</v>
      </c>
      <c r="J3641" s="1" t="s">
        <v>9050</v>
      </c>
    </row>
    <row r="3642">
      <c r="A3642" s="1" t="s">
        <v>10987</v>
      </c>
      <c r="B3642" s="1" t="s">
        <v>10988</v>
      </c>
      <c r="C3642" s="1" t="s">
        <v>10989</v>
      </c>
      <c r="D3642" s="1" t="s">
        <v>10850</v>
      </c>
      <c r="E3642" s="1" t="s">
        <v>10851</v>
      </c>
      <c r="F3642" s="1">
        <v>536077.0</v>
      </c>
      <c r="G3642" s="1">
        <v>7544.0</v>
      </c>
      <c r="H3642" s="1">
        <v>529.0</v>
      </c>
      <c r="I3642" s="1">
        <v>7870000.0</v>
      </c>
      <c r="J3642" s="1" t="s">
        <v>9050</v>
      </c>
    </row>
    <row r="3643">
      <c r="A3643" s="1" t="s">
        <v>10990</v>
      </c>
      <c r="B3643" s="1" t="s">
        <v>10991</v>
      </c>
      <c r="C3643" s="1" t="s">
        <v>10992</v>
      </c>
      <c r="D3643" s="1" t="s">
        <v>10850</v>
      </c>
      <c r="E3643" s="1" t="s">
        <v>10851</v>
      </c>
      <c r="F3643" s="1">
        <v>26558.0</v>
      </c>
      <c r="G3643" s="1">
        <v>586.0</v>
      </c>
      <c r="H3643" s="1">
        <v>7.0</v>
      </c>
      <c r="I3643" s="1">
        <v>7870000.0</v>
      </c>
      <c r="J3643" s="1" t="s">
        <v>9050</v>
      </c>
    </row>
    <row r="3644">
      <c r="A3644" s="1" t="s">
        <v>10993</v>
      </c>
      <c r="B3644" s="1" t="s">
        <v>10994</v>
      </c>
      <c r="C3644" s="1" t="s">
        <v>10995</v>
      </c>
      <c r="D3644" s="1" t="s">
        <v>10850</v>
      </c>
      <c r="E3644" s="1" t="s">
        <v>10851</v>
      </c>
      <c r="F3644" s="1">
        <v>185950.0</v>
      </c>
      <c r="G3644" s="1">
        <v>4524.0</v>
      </c>
      <c r="H3644" s="1">
        <v>30.0</v>
      </c>
      <c r="I3644" s="1">
        <v>7870000.0</v>
      </c>
      <c r="J3644" s="1" t="s">
        <v>9050</v>
      </c>
    </row>
    <row r="3645">
      <c r="A3645" s="1" t="s">
        <v>10996</v>
      </c>
      <c r="B3645" s="1" t="s">
        <v>10997</v>
      </c>
      <c r="C3645" s="1" t="s">
        <v>10998</v>
      </c>
      <c r="D3645" s="1" t="s">
        <v>10850</v>
      </c>
      <c r="E3645" s="1" t="s">
        <v>10851</v>
      </c>
      <c r="F3645" s="1">
        <v>51891.0</v>
      </c>
      <c r="G3645" s="1">
        <v>2273.0</v>
      </c>
      <c r="H3645" s="1">
        <v>46.0</v>
      </c>
      <c r="I3645" s="1">
        <v>7870000.0</v>
      </c>
      <c r="J3645" s="1" t="s">
        <v>9050</v>
      </c>
    </row>
    <row r="3646">
      <c r="A3646" s="1" t="s">
        <v>10999</v>
      </c>
      <c r="B3646" s="1" t="s">
        <v>11000</v>
      </c>
      <c r="C3646" s="1" t="s">
        <v>11001</v>
      </c>
      <c r="D3646" s="1" t="s">
        <v>10850</v>
      </c>
      <c r="E3646" s="1" t="s">
        <v>10851</v>
      </c>
      <c r="F3646" s="1">
        <v>89380.0</v>
      </c>
      <c r="G3646" s="1">
        <v>2724.0</v>
      </c>
      <c r="H3646" s="1">
        <v>18.0</v>
      </c>
      <c r="I3646" s="1">
        <v>7870000.0</v>
      </c>
      <c r="J3646" s="1" t="s">
        <v>9050</v>
      </c>
    </row>
    <row r="3647">
      <c r="A3647" s="1" t="s">
        <v>11002</v>
      </c>
      <c r="B3647" s="1" t="s">
        <v>11003</v>
      </c>
      <c r="C3647" s="1" t="s">
        <v>11004</v>
      </c>
      <c r="D3647" s="1" t="s">
        <v>10850</v>
      </c>
      <c r="E3647" s="1" t="s">
        <v>10851</v>
      </c>
      <c r="F3647" s="1">
        <v>1208800.0</v>
      </c>
      <c r="G3647" s="1">
        <v>50877.0</v>
      </c>
      <c r="H3647" s="1">
        <v>2258.0</v>
      </c>
      <c r="I3647" s="1">
        <v>7870000.0</v>
      </c>
      <c r="J3647" s="1" t="s">
        <v>9050</v>
      </c>
    </row>
    <row r="3648">
      <c r="A3648" s="1" t="s">
        <v>11005</v>
      </c>
      <c r="B3648" s="1" t="s">
        <v>11006</v>
      </c>
      <c r="C3648" s="1" t="s">
        <v>11007</v>
      </c>
      <c r="D3648" s="1" t="s">
        <v>10850</v>
      </c>
      <c r="E3648" s="1" t="s">
        <v>10851</v>
      </c>
      <c r="F3648" s="1">
        <v>3311987.0</v>
      </c>
      <c r="G3648" s="1">
        <v>124354.0</v>
      </c>
      <c r="H3648" s="1">
        <v>510.0</v>
      </c>
      <c r="I3648" s="1">
        <v>7870000.0</v>
      </c>
      <c r="J3648" s="1" t="s">
        <v>9050</v>
      </c>
    </row>
    <row r="3649">
      <c r="A3649" s="1" t="s">
        <v>11008</v>
      </c>
      <c r="B3649" s="1" t="s">
        <v>11009</v>
      </c>
      <c r="C3649" s="1" t="s">
        <v>11011</v>
      </c>
      <c r="D3649" s="1" t="s">
        <v>10850</v>
      </c>
      <c r="E3649" s="1" t="s">
        <v>10851</v>
      </c>
      <c r="F3649" s="1">
        <v>874872.0</v>
      </c>
      <c r="G3649" s="1">
        <v>29477.0</v>
      </c>
      <c r="H3649" s="1">
        <v>914.0</v>
      </c>
      <c r="I3649" s="1">
        <v>7870000.0</v>
      </c>
      <c r="J3649" s="1" t="s">
        <v>9050</v>
      </c>
    </row>
    <row r="3650">
      <c r="A3650" s="1" t="s">
        <v>11014</v>
      </c>
      <c r="B3650" s="1" t="s">
        <v>11015</v>
      </c>
      <c r="C3650" s="1" t="s">
        <v>11016</v>
      </c>
      <c r="D3650" s="1" t="s">
        <v>10850</v>
      </c>
      <c r="E3650" s="1" t="s">
        <v>10851</v>
      </c>
      <c r="F3650" s="1">
        <v>140085.0</v>
      </c>
      <c r="G3650" s="1">
        <v>5869.0</v>
      </c>
      <c r="H3650" s="1">
        <v>45.0</v>
      </c>
      <c r="I3650" s="1">
        <v>7870000.0</v>
      </c>
      <c r="J3650" s="1" t="s">
        <v>9050</v>
      </c>
    </row>
    <row r="3651">
      <c r="A3651" s="1" t="s">
        <v>11017</v>
      </c>
      <c r="B3651" s="1" t="s">
        <v>11018</v>
      </c>
      <c r="C3651" s="1" t="s">
        <v>11019</v>
      </c>
      <c r="D3651" s="1" t="s">
        <v>10850</v>
      </c>
      <c r="E3651" s="1" t="s">
        <v>10851</v>
      </c>
      <c r="F3651" s="1">
        <v>71726.0</v>
      </c>
      <c r="G3651" s="1">
        <v>1762.0</v>
      </c>
      <c r="H3651" s="1">
        <v>33.0</v>
      </c>
      <c r="I3651" s="1">
        <v>7870000.0</v>
      </c>
      <c r="J3651" s="1" t="s">
        <v>9050</v>
      </c>
    </row>
    <row r="3652">
      <c r="A3652" s="1" t="s">
        <v>11020</v>
      </c>
      <c r="B3652" s="1" t="s">
        <v>11021</v>
      </c>
      <c r="C3652" s="1" t="s">
        <v>11022</v>
      </c>
      <c r="D3652" s="1" t="s">
        <v>10850</v>
      </c>
      <c r="E3652" s="1" t="s">
        <v>10851</v>
      </c>
      <c r="F3652" s="1">
        <v>234810.0</v>
      </c>
      <c r="G3652" s="1">
        <v>13047.0</v>
      </c>
      <c r="H3652" s="1">
        <v>726.0</v>
      </c>
      <c r="I3652" s="1">
        <v>7870000.0</v>
      </c>
      <c r="J3652" s="1" t="s">
        <v>9050</v>
      </c>
    </row>
    <row r="3653">
      <c r="A3653" s="1" t="s">
        <v>11023</v>
      </c>
      <c r="B3653" s="1" t="s">
        <v>11024</v>
      </c>
      <c r="C3653" s="1" t="s">
        <v>11025</v>
      </c>
      <c r="D3653" s="1" t="s">
        <v>10850</v>
      </c>
      <c r="E3653" s="1" t="s">
        <v>10851</v>
      </c>
      <c r="F3653" s="1">
        <v>67856.0</v>
      </c>
      <c r="G3653" s="1">
        <v>2719.0</v>
      </c>
      <c r="H3653" s="1">
        <v>35.0</v>
      </c>
      <c r="I3653" s="1">
        <v>7870000.0</v>
      </c>
      <c r="J3653" s="1" t="s">
        <v>9050</v>
      </c>
    </row>
    <row r="3654">
      <c r="A3654" s="1" t="s">
        <v>11026</v>
      </c>
      <c r="B3654" s="1" t="s">
        <v>11027</v>
      </c>
      <c r="C3654" s="1" t="s">
        <v>11028</v>
      </c>
      <c r="D3654" s="1" t="s">
        <v>10850</v>
      </c>
      <c r="E3654" s="1" t="s">
        <v>10851</v>
      </c>
      <c r="F3654" s="1">
        <v>139390.0</v>
      </c>
      <c r="G3654" s="1">
        <v>5288.0</v>
      </c>
      <c r="H3654" s="1">
        <v>87.0</v>
      </c>
      <c r="I3654" s="1">
        <v>7870000.0</v>
      </c>
      <c r="J3654" s="1" t="s">
        <v>9050</v>
      </c>
    </row>
    <row r="3655">
      <c r="A3655" s="1" t="s">
        <v>11029</v>
      </c>
      <c r="B3655" s="1" t="s">
        <v>11030</v>
      </c>
      <c r="C3655" s="1" t="s">
        <v>11031</v>
      </c>
      <c r="D3655" s="1" t="s">
        <v>10850</v>
      </c>
      <c r="E3655" s="1" t="s">
        <v>10851</v>
      </c>
      <c r="F3655" s="1">
        <v>400407.0</v>
      </c>
      <c r="G3655" s="1">
        <v>7773.0</v>
      </c>
      <c r="H3655" s="1">
        <v>698.0</v>
      </c>
      <c r="I3655" s="1">
        <v>7870000.0</v>
      </c>
      <c r="J3655" s="1" t="s">
        <v>9050</v>
      </c>
    </row>
    <row r="3656">
      <c r="A3656" s="1" t="s">
        <v>11032</v>
      </c>
      <c r="B3656" s="1" t="s">
        <v>11033</v>
      </c>
      <c r="C3656" s="1" t="s">
        <v>11034</v>
      </c>
      <c r="D3656" s="1" t="s">
        <v>10850</v>
      </c>
      <c r="E3656" s="1" t="s">
        <v>10851</v>
      </c>
      <c r="F3656" s="1">
        <v>38494.0</v>
      </c>
      <c r="G3656" s="1">
        <v>1024.0</v>
      </c>
      <c r="H3656" s="1">
        <v>31.0</v>
      </c>
      <c r="I3656" s="1">
        <v>7870000.0</v>
      </c>
      <c r="J3656" s="1" t="s">
        <v>9050</v>
      </c>
    </row>
    <row r="3657">
      <c r="A3657" s="1" t="s">
        <v>11035</v>
      </c>
      <c r="B3657" s="1" t="s">
        <v>11036</v>
      </c>
      <c r="C3657" s="1" t="s">
        <v>11037</v>
      </c>
      <c r="D3657" s="1" t="s">
        <v>10850</v>
      </c>
      <c r="E3657" s="1" t="s">
        <v>10851</v>
      </c>
      <c r="F3657" s="1">
        <v>1047266.0</v>
      </c>
      <c r="G3657" s="1">
        <v>18500.0</v>
      </c>
      <c r="H3657" s="1">
        <v>1542.0</v>
      </c>
      <c r="I3657" s="1">
        <v>7870000.0</v>
      </c>
      <c r="J3657" s="1" t="s">
        <v>9050</v>
      </c>
    </row>
    <row r="3658">
      <c r="A3658" s="1" t="s">
        <v>11040</v>
      </c>
      <c r="B3658" s="1" t="s">
        <v>11042</v>
      </c>
      <c r="C3658" s="1" t="s">
        <v>11043</v>
      </c>
      <c r="D3658" s="1" t="s">
        <v>10850</v>
      </c>
      <c r="E3658" s="1" t="s">
        <v>10851</v>
      </c>
      <c r="F3658" s="1">
        <v>366698.0</v>
      </c>
      <c r="G3658" s="1">
        <v>13291.0</v>
      </c>
      <c r="H3658" s="1">
        <v>516.0</v>
      </c>
      <c r="I3658" s="1">
        <v>7870000.0</v>
      </c>
      <c r="J3658" s="1" t="s">
        <v>9050</v>
      </c>
    </row>
    <row r="3659">
      <c r="A3659" s="1" t="s">
        <v>11044</v>
      </c>
      <c r="B3659" s="1" t="s">
        <v>11045</v>
      </c>
      <c r="C3659" s="1" t="s">
        <v>11046</v>
      </c>
      <c r="D3659" s="1" t="s">
        <v>10850</v>
      </c>
      <c r="E3659" s="1" t="s">
        <v>10851</v>
      </c>
      <c r="F3659" s="1">
        <v>122476.0</v>
      </c>
      <c r="G3659" s="1">
        <v>5815.0</v>
      </c>
      <c r="H3659" s="1">
        <v>61.0</v>
      </c>
      <c r="I3659" s="1">
        <v>7870000.0</v>
      </c>
      <c r="J3659" s="1" t="s">
        <v>9050</v>
      </c>
    </row>
    <row r="3660">
      <c r="A3660" s="1" t="s">
        <v>11047</v>
      </c>
      <c r="B3660" s="1" t="s">
        <v>11048</v>
      </c>
      <c r="C3660" s="1" t="s">
        <v>11049</v>
      </c>
      <c r="D3660" s="1" t="s">
        <v>10850</v>
      </c>
      <c r="E3660" s="1" t="s">
        <v>10851</v>
      </c>
      <c r="F3660" s="1">
        <v>1877481.0</v>
      </c>
      <c r="G3660" s="1">
        <v>139948.0</v>
      </c>
      <c r="H3660" s="1">
        <v>1328.0</v>
      </c>
      <c r="I3660" s="1">
        <v>7870000.0</v>
      </c>
      <c r="J3660" s="1" t="s">
        <v>9050</v>
      </c>
    </row>
    <row r="3661">
      <c r="A3661" s="1" t="s">
        <v>11050</v>
      </c>
      <c r="B3661" s="1" t="s">
        <v>11051</v>
      </c>
      <c r="C3661" s="1" t="s">
        <v>11052</v>
      </c>
      <c r="D3661" s="1" t="s">
        <v>10850</v>
      </c>
      <c r="E3661" s="1" t="s">
        <v>10851</v>
      </c>
      <c r="F3661" s="1">
        <v>1573817.0</v>
      </c>
      <c r="G3661" s="1">
        <v>116971.0</v>
      </c>
      <c r="H3661" s="1">
        <v>2248.0</v>
      </c>
      <c r="I3661" s="1">
        <v>7870000.0</v>
      </c>
      <c r="J3661" s="1" t="s">
        <v>9050</v>
      </c>
    </row>
    <row r="3662">
      <c r="A3662" s="1" t="s">
        <v>11053</v>
      </c>
      <c r="B3662" s="1" t="s">
        <v>11054</v>
      </c>
      <c r="C3662" s="1" t="s">
        <v>11055</v>
      </c>
      <c r="D3662" s="1" t="s">
        <v>10850</v>
      </c>
      <c r="E3662" s="1" t="s">
        <v>10851</v>
      </c>
      <c r="F3662" s="1">
        <v>1237141.0</v>
      </c>
      <c r="G3662" s="1">
        <v>93923.0</v>
      </c>
      <c r="H3662" s="1">
        <v>5416.0</v>
      </c>
      <c r="I3662" s="1">
        <v>7870000.0</v>
      </c>
      <c r="J3662" s="1" t="s">
        <v>9050</v>
      </c>
    </row>
    <row r="3663">
      <c r="A3663" s="1" t="s">
        <v>11056</v>
      </c>
      <c r="B3663" s="1" t="s">
        <v>11057</v>
      </c>
      <c r="C3663" s="1" t="s">
        <v>11058</v>
      </c>
      <c r="D3663" s="1" t="s">
        <v>10850</v>
      </c>
      <c r="E3663" s="1" t="s">
        <v>10851</v>
      </c>
      <c r="F3663" s="1">
        <v>836865.0</v>
      </c>
      <c r="G3663" s="1">
        <v>20421.0</v>
      </c>
      <c r="H3663" s="1">
        <v>1622.0</v>
      </c>
      <c r="I3663" s="1">
        <v>7870000.0</v>
      </c>
      <c r="J3663" s="1" t="s">
        <v>9050</v>
      </c>
    </row>
    <row r="3664">
      <c r="A3664" s="1" t="s">
        <v>11059</v>
      </c>
      <c r="B3664" s="1" t="s">
        <v>11060</v>
      </c>
      <c r="C3664" s="1" t="s">
        <v>11061</v>
      </c>
      <c r="D3664" s="1" t="s">
        <v>10850</v>
      </c>
      <c r="E3664" s="1" t="s">
        <v>10851</v>
      </c>
      <c r="F3664" s="1">
        <v>541163.0</v>
      </c>
      <c r="G3664" s="1">
        <v>25059.0</v>
      </c>
      <c r="H3664" s="1">
        <v>1359.0</v>
      </c>
      <c r="I3664" s="1">
        <v>7870000.0</v>
      </c>
      <c r="J3664" s="1" t="s">
        <v>9050</v>
      </c>
    </row>
    <row r="3665">
      <c r="A3665" s="1" t="s">
        <v>11062</v>
      </c>
      <c r="B3665" s="1" t="s">
        <v>11064</v>
      </c>
      <c r="C3665" s="1" t="s">
        <v>11066</v>
      </c>
      <c r="D3665" s="1" t="s">
        <v>10850</v>
      </c>
      <c r="E3665" s="1" t="s">
        <v>10851</v>
      </c>
      <c r="F3665" s="1">
        <v>1070281.0</v>
      </c>
      <c r="G3665" s="1">
        <v>32487.0</v>
      </c>
      <c r="H3665" s="1">
        <v>1717.0</v>
      </c>
      <c r="I3665" s="1">
        <v>7870000.0</v>
      </c>
      <c r="J3665" s="1" t="s">
        <v>9050</v>
      </c>
    </row>
    <row r="3666">
      <c r="A3666" s="1" t="s">
        <v>11068</v>
      </c>
      <c r="B3666" s="1" t="s">
        <v>11069</v>
      </c>
      <c r="C3666" s="1" t="s">
        <v>11070</v>
      </c>
      <c r="D3666" s="1" t="s">
        <v>10850</v>
      </c>
      <c r="E3666" s="1" t="s">
        <v>10851</v>
      </c>
      <c r="F3666" s="1">
        <v>950090.0</v>
      </c>
      <c r="G3666" s="1">
        <v>21545.0</v>
      </c>
      <c r="H3666" s="1">
        <v>2241.0</v>
      </c>
      <c r="I3666" s="1">
        <v>7870000.0</v>
      </c>
      <c r="J3666" s="1" t="s">
        <v>9050</v>
      </c>
    </row>
    <row r="3667">
      <c r="A3667" s="1" t="s">
        <v>11071</v>
      </c>
      <c r="B3667" s="1" t="s">
        <v>11072</v>
      </c>
      <c r="C3667" s="1" t="s">
        <v>11073</v>
      </c>
      <c r="D3667" s="1" t="s">
        <v>10850</v>
      </c>
      <c r="E3667" s="1" t="s">
        <v>10851</v>
      </c>
      <c r="F3667" s="1">
        <v>202030.0</v>
      </c>
      <c r="G3667" s="1">
        <v>10491.0</v>
      </c>
      <c r="H3667" s="1">
        <v>412.0</v>
      </c>
      <c r="I3667" s="1">
        <v>7870000.0</v>
      </c>
      <c r="J3667" s="1" t="s">
        <v>9050</v>
      </c>
    </row>
    <row r="3668">
      <c r="A3668" s="1" t="s">
        <v>11074</v>
      </c>
      <c r="B3668" s="1" t="s">
        <v>11075</v>
      </c>
      <c r="C3668" s="1" t="s">
        <v>11076</v>
      </c>
      <c r="D3668" s="1" t="s">
        <v>10850</v>
      </c>
      <c r="E3668" s="1" t="s">
        <v>10851</v>
      </c>
      <c r="F3668" s="1">
        <v>292873.0</v>
      </c>
      <c r="G3668" s="1">
        <v>12371.0</v>
      </c>
      <c r="H3668" s="1">
        <v>355.0</v>
      </c>
      <c r="I3668" s="1">
        <v>7870000.0</v>
      </c>
      <c r="J3668" s="1" t="s">
        <v>9050</v>
      </c>
    </row>
    <row r="3669">
      <c r="A3669" s="1" t="s">
        <v>11077</v>
      </c>
      <c r="B3669" s="1" t="s">
        <v>11078</v>
      </c>
      <c r="C3669" s="1" t="s">
        <v>11079</v>
      </c>
      <c r="D3669" s="1" t="s">
        <v>10850</v>
      </c>
      <c r="E3669" s="1" t="s">
        <v>10851</v>
      </c>
      <c r="F3669" s="1">
        <v>122097.0</v>
      </c>
      <c r="G3669" s="1">
        <v>3230.0</v>
      </c>
      <c r="H3669" s="1">
        <v>31.0</v>
      </c>
      <c r="I3669" s="1">
        <v>7870000.0</v>
      </c>
      <c r="J3669" s="1" t="s">
        <v>9050</v>
      </c>
    </row>
    <row r="3670">
      <c r="A3670" s="1" t="s">
        <v>11080</v>
      </c>
      <c r="B3670" s="1" t="s">
        <v>11081</v>
      </c>
      <c r="C3670" s="1" t="s">
        <v>11082</v>
      </c>
      <c r="D3670" s="1" t="s">
        <v>10850</v>
      </c>
      <c r="E3670" s="1" t="s">
        <v>10851</v>
      </c>
      <c r="F3670" s="1">
        <v>119006.0</v>
      </c>
      <c r="G3670" s="1">
        <v>3499.0</v>
      </c>
      <c r="H3670" s="1">
        <v>41.0</v>
      </c>
      <c r="I3670" s="1">
        <v>7870000.0</v>
      </c>
      <c r="J3670" s="1" t="s">
        <v>9050</v>
      </c>
    </row>
    <row r="3671">
      <c r="A3671" s="1" t="s">
        <v>11083</v>
      </c>
      <c r="B3671" s="1" t="s">
        <v>11084</v>
      </c>
      <c r="C3671" s="1" t="s">
        <v>11085</v>
      </c>
      <c r="D3671" s="1" t="s">
        <v>10850</v>
      </c>
      <c r="E3671" s="1" t="s">
        <v>10851</v>
      </c>
      <c r="F3671" s="1">
        <v>186982.0</v>
      </c>
      <c r="G3671" s="1">
        <v>9955.0</v>
      </c>
      <c r="H3671" s="1">
        <v>556.0</v>
      </c>
      <c r="I3671" s="1">
        <v>7870000.0</v>
      </c>
      <c r="J3671" s="1" t="s">
        <v>9050</v>
      </c>
    </row>
    <row r="3672">
      <c r="A3672" s="1" t="s">
        <v>11089</v>
      </c>
      <c r="B3672" s="1" t="s">
        <v>11090</v>
      </c>
      <c r="C3672" s="1" t="s">
        <v>11091</v>
      </c>
      <c r="D3672" s="1" t="s">
        <v>10850</v>
      </c>
      <c r="E3672" s="1" t="s">
        <v>10851</v>
      </c>
      <c r="F3672" s="1">
        <v>395080.0</v>
      </c>
      <c r="G3672" s="1">
        <v>24369.0</v>
      </c>
      <c r="H3672" s="1">
        <v>281.0</v>
      </c>
      <c r="I3672" s="1">
        <v>7870000.0</v>
      </c>
      <c r="J3672" s="1" t="s">
        <v>9050</v>
      </c>
    </row>
    <row r="3673">
      <c r="A3673" s="1" t="s">
        <v>11092</v>
      </c>
      <c r="B3673" s="1" t="s">
        <v>11093</v>
      </c>
      <c r="C3673" s="1" t="s">
        <v>11094</v>
      </c>
      <c r="D3673" s="1" t="s">
        <v>10850</v>
      </c>
      <c r="E3673" s="1" t="s">
        <v>10851</v>
      </c>
      <c r="F3673" s="1">
        <v>143803.0</v>
      </c>
      <c r="G3673" s="1">
        <v>6830.0</v>
      </c>
      <c r="H3673" s="1">
        <v>64.0</v>
      </c>
      <c r="I3673" s="1">
        <v>7870000.0</v>
      </c>
      <c r="J3673" s="1" t="s">
        <v>9050</v>
      </c>
    </row>
    <row r="3674">
      <c r="A3674" s="1" t="s">
        <v>11095</v>
      </c>
      <c r="B3674" s="1" t="s">
        <v>11096</v>
      </c>
      <c r="C3674" s="1" t="s">
        <v>11097</v>
      </c>
      <c r="D3674" s="1" t="s">
        <v>10850</v>
      </c>
      <c r="E3674" s="1" t="s">
        <v>10851</v>
      </c>
      <c r="F3674" s="1">
        <v>364134.0</v>
      </c>
      <c r="G3674" s="1">
        <v>11280.0</v>
      </c>
      <c r="H3674" s="1">
        <v>53.0</v>
      </c>
      <c r="I3674" s="1">
        <v>7870000.0</v>
      </c>
      <c r="J3674" s="1" t="s">
        <v>9050</v>
      </c>
    </row>
    <row r="3675">
      <c r="A3675" s="1" t="s">
        <v>11098</v>
      </c>
      <c r="B3675" s="1" t="s">
        <v>11099</v>
      </c>
      <c r="C3675" s="1" t="s">
        <v>11100</v>
      </c>
      <c r="D3675" s="1" t="s">
        <v>10850</v>
      </c>
      <c r="E3675" s="1" t="s">
        <v>10851</v>
      </c>
      <c r="F3675" s="1">
        <v>616363.0</v>
      </c>
      <c r="G3675" s="1">
        <v>14391.0</v>
      </c>
      <c r="H3675" s="1">
        <v>386.0</v>
      </c>
      <c r="I3675" s="1">
        <v>7870000.0</v>
      </c>
      <c r="J3675" s="1" t="s">
        <v>9050</v>
      </c>
    </row>
    <row r="3676">
      <c r="A3676" s="1" t="s">
        <v>11101</v>
      </c>
      <c r="B3676" s="1" t="s">
        <v>11102</v>
      </c>
      <c r="C3676" s="1" t="s">
        <v>11103</v>
      </c>
      <c r="D3676" s="1" t="s">
        <v>10850</v>
      </c>
      <c r="E3676" s="1" t="s">
        <v>10851</v>
      </c>
      <c r="F3676" s="1">
        <v>845471.0</v>
      </c>
      <c r="G3676" s="1">
        <v>17382.0</v>
      </c>
      <c r="H3676" s="1">
        <v>935.0</v>
      </c>
      <c r="I3676" s="1">
        <v>7870000.0</v>
      </c>
      <c r="J3676" s="1" t="s">
        <v>9050</v>
      </c>
    </row>
    <row r="3677">
      <c r="A3677" s="1" t="s">
        <v>11104</v>
      </c>
      <c r="B3677" s="1" t="s">
        <v>11105</v>
      </c>
      <c r="C3677" s="1" t="s">
        <v>11106</v>
      </c>
      <c r="D3677" s="1" t="s">
        <v>10850</v>
      </c>
      <c r="E3677" s="1" t="s">
        <v>10851</v>
      </c>
      <c r="F3677" s="1">
        <v>36544.0</v>
      </c>
      <c r="G3677" s="1">
        <v>1686.0</v>
      </c>
      <c r="H3677" s="1">
        <v>25.0</v>
      </c>
      <c r="I3677" s="1">
        <v>7870000.0</v>
      </c>
      <c r="J3677" s="1" t="s">
        <v>9050</v>
      </c>
    </row>
    <row r="3678">
      <c r="A3678" s="1" t="s">
        <v>11107</v>
      </c>
      <c r="B3678" s="1" t="s">
        <v>11108</v>
      </c>
      <c r="C3678" s="1" t="s">
        <v>11109</v>
      </c>
      <c r="D3678" s="1" t="s">
        <v>10850</v>
      </c>
      <c r="E3678" s="1" t="s">
        <v>10851</v>
      </c>
      <c r="F3678" s="1">
        <v>545391.0</v>
      </c>
      <c r="G3678" s="1">
        <v>12420.0</v>
      </c>
      <c r="H3678" s="1">
        <v>784.0</v>
      </c>
      <c r="I3678" s="1">
        <v>7870000.0</v>
      </c>
      <c r="J3678" s="1" t="s">
        <v>9050</v>
      </c>
    </row>
    <row r="3679">
      <c r="A3679" s="1" t="s">
        <v>11113</v>
      </c>
      <c r="B3679" s="1" t="s">
        <v>11114</v>
      </c>
      <c r="C3679" s="1" t="s">
        <v>11115</v>
      </c>
      <c r="D3679" s="1" t="s">
        <v>10850</v>
      </c>
      <c r="E3679" s="1" t="s">
        <v>10851</v>
      </c>
      <c r="F3679" s="1">
        <v>81657.0</v>
      </c>
      <c r="G3679" s="1">
        <v>2707.0</v>
      </c>
      <c r="H3679" s="1">
        <v>51.0</v>
      </c>
      <c r="I3679" s="1">
        <v>7870000.0</v>
      </c>
      <c r="J3679" s="1" t="s">
        <v>9050</v>
      </c>
    </row>
    <row r="3680">
      <c r="A3680" s="1" t="s">
        <v>11116</v>
      </c>
      <c r="B3680" s="1" t="s">
        <v>11117</v>
      </c>
      <c r="C3680" s="1" t="s">
        <v>11118</v>
      </c>
      <c r="D3680" s="1" t="s">
        <v>10850</v>
      </c>
      <c r="E3680" s="1" t="s">
        <v>10851</v>
      </c>
      <c r="F3680" s="1">
        <v>87624.0</v>
      </c>
      <c r="G3680" s="1">
        <v>2399.0</v>
      </c>
      <c r="H3680" s="1">
        <v>51.0</v>
      </c>
      <c r="I3680" s="1">
        <v>7870000.0</v>
      </c>
      <c r="J3680" s="1" t="s">
        <v>9050</v>
      </c>
    </row>
    <row r="3681">
      <c r="A3681" s="1" t="s">
        <v>11119</v>
      </c>
      <c r="B3681" s="1" t="s">
        <v>11120</v>
      </c>
      <c r="C3681" s="1" t="s">
        <v>11121</v>
      </c>
      <c r="D3681" s="1" t="s">
        <v>10850</v>
      </c>
      <c r="E3681" s="1" t="s">
        <v>10851</v>
      </c>
      <c r="F3681" s="1">
        <v>407649.0</v>
      </c>
      <c r="G3681" s="1">
        <v>16152.0</v>
      </c>
      <c r="H3681" s="1">
        <v>167.0</v>
      </c>
      <c r="I3681" s="1">
        <v>7870000.0</v>
      </c>
      <c r="J3681" s="1" t="s">
        <v>9050</v>
      </c>
    </row>
    <row r="3682">
      <c r="A3682" s="1" t="s">
        <v>11122</v>
      </c>
      <c r="B3682" s="1" t="s">
        <v>11123</v>
      </c>
      <c r="C3682" s="1" t="s">
        <v>11124</v>
      </c>
      <c r="D3682" s="1" t="s">
        <v>10850</v>
      </c>
      <c r="E3682" s="1" t="s">
        <v>10851</v>
      </c>
      <c r="F3682" s="1">
        <v>48438.0</v>
      </c>
      <c r="G3682" s="1">
        <v>1322.0</v>
      </c>
      <c r="H3682" s="1">
        <v>23.0</v>
      </c>
      <c r="I3682" s="1">
        <v>7870000.0</v>
      </c>
      <c r="J3682" s="1" t="s">
        <v>9050</v>
      </c>
    </row>
    <row r="3683">
      <c r="A3683" s="1" t="s">
        <v>11125</v>
      </c>
      <c r="B3683" s="1" t="s">
        <v>11126</v>
      </c>
      <c r="C3683" s="1" t="s">
        <v>11127</v>
      </c>
      <c r="D3683" s="1" t="s">
        <v>10850</v>
      </c>
      <c r="E3683" s="1" t="s">
        <v>10851</v>
      </c>
      <c r="F3683" s="1">
        <v>364640.0</v>
      </c>
      <c r="G3683" s="1">
        <v>7449.0</v>
      </c>
      <c r="H3683" s="1">
        <v>433.0</v>
      </c>
      <c r="I3683" s="1">
        <v>7870000.0</v>
      </c>
      <c r="J3683" s="1" t="s">
        <v>9050</v>
      </c>
    </row>
    <row r="3684">
      <c r="A3684" s="1" t="s">
        <v>11128</v>
      </c>
      <c r="B3684" s="1" t="s">
        <v>11129</v>
      </c>
      <c r="C3684" s="1" t="s">
        <v>11130</v>
      </c>
      <c r="D3684" s="1" t="s">
        <v>10850</v>
      </c>
      <c r="E3684" s="1" t="s">
        <v>10851</v>
      </c>
      <c r="F3684" s="1">
        <v>729932.0</v>
      </c>
      <c r="G3684" s="1">
        <v>12918.0</v>
      </c>
      <c r="H3684" s="1">
        <v>77.0</v>
      </c>
      <c r="I3684" s="1">
        <v>7870000.0</v>
      </c>
      <c r="J3684" s="1" t="s">
        <v>9050</v>
      </c>
    </row>
    <row r="3685">
      <c r="A3685" s="1" t="s">
        <v>11131</v>
      </c>
      <c r="B3685" s="1" t="s">
        <v>11133</v>
      </c>
      <c r="C3685" s="1" t="s">
        <v>11134</v>
      </c>
      <c r="D3685" s="1" t="s">
        <v>10850</v>
      </c>
      <c r="E3685" s="1" t="s">
        <v>10851</v>
      </c>
      <c r="F3685" s="1">
        <v>100755.0</v>
      </c>
      <c r="G3685" s="1">
        <v>3511.0</v>
      </c>
      <c r="H3685" s="1">
        <v>82.0</v>
      </c>
      <c r="I3685" s="1">
        <v>7870000.0</v>
      </c>
      <c r="J3685" s="1" t="s">
        <v>9050</v>
      </c>
    </row>
    <row r="3686">
      <c r="A3686" s="1" t="s">
        <v>11137</v>
      </c>
      <c r="B3686" s="1" t="s">
        <v>11138</v>
      </c>
      <c r="C3686" s="1" t="s">
        <v>11139</v>
      </c>
      <c r="D3686" s="1" t="s">
        <v>10850</v>
      </c>
      <c r="E3686" s="1" t="s">
        <v>10851</v>
      </c>
      <c r="F3686" s="1">
        <v>302421.0</v>
      </c>
      <c r="G3686" s="1">
        <v>9841.0</v>
      </c>
      <c r="H3686" s="1">
        <v>425.0</v>
      </c>
      <c r="I3686" s="1">
        <v>7870000.0</v>
      </c>
      <c r="J3686" s="1" t="s">
        <v>9050</v>
      </c>
    </row>
    <row r="3687">
      <c r="A3687" s="1" t="s">
        <v>11140</v>
      </c>
      <c r="B3687" s="1" t="s">
        <v>11141</v>
      </c>
      <c r="C3687" s="1" t="s">
        <v>11142</v>
      </c>
      <c r="D3687" s="1" t="s">
        <v>10850</v>
      </c>
      <c r="E3687" s="1" t="s">
        <v>10851</v>
      </c>
      <c r="F3687" s="1">
        <v>695289.0</v>
      </c>
      <c r="G3687" s="1">
        <v>34355.0</v>
      </c>
      <c r="H3687" s="1">
        <v>455.0</v>
      </c>
      <c r="I3687" s="1">
        <v>7870000.0</v>
      </c>
      <c r="J3687" s="1" t="s">
        <v>9050</v>
      </c>
    </row>
    <row r="3688">
      <c r="A3688" s="1" t="s">
        <v>11143</v>
      </c>
      <c r="B3688" s="1" t="s">
        <v>11144</v>
      </c>
      <c r="C3688" s="1" t="s">
        <v>11145</v>
      </c>
      <c r="D3688" s="1" t="s">
        <v>10850</v>
      </c>
      <c r="E3688" s="1" t="s">
        <v>10851</v>
      </c>
      <c r="F3688" s="1">
        <v>352691.0</v>
      </c>
      <c r="G3688" s="1">
        <v>15127.0</v>
      </c>
      <c r="H3688" s="1">
        <v>152.0</v>
      </c>
      <c r="I3688" s="1">
        <v>7870000.0</v>
      </c>
      <c r="J3688" s="1" t="s">
        <v>9050</v>
      </c>
    </row>
    <row r="3689">
      <c r="A3689" s="1" t="s">
        <v>11146</v>
      </c>
      <c r="B3689" s="1" t="s">
        <v>11147</v>
      </c>
      <c r="C3689" s="1" t="s">
        <v>11148</v>
      </c>
      <c r="D3689" s="1" t="s">
        <v>10850</v>
      </c>
      <c r="E3689" s="1" t="s">
        <v>10851</v>
      </c>
      <c r="F3689" s="1">
        <v>1385265.0</v>
      </c>
      <c r="G3689" s="1">
        <v>27593.0</v>
      </c>
      <c r="H3689" s="1">
        <v>1072.0</v>
      </c>
      <c r="I3689" s="1">
        <v>7870000.0</v>
      </c>
      <c r="J3689" s="1" t="s">
        <v>9050</v>
      </c>
    </row>
    <row r="3690">
      <c r="A3690" s="1" t="s">
        <v>11149</v>
      </c>
      <c r="B3690" s="1" t="s">
        <v>11150</v>
      </c>
      <c r="C3690" s="1" t="s">
        <v>11151</v>
      </c>
      <c r="D3690" s="1" t="s">
        <v>10850</v>
      </c>
      <c r="E3690" s="1" t="s">
        <v>10851</v>
      </c>
      <c r="F3690" s="1">
        <v>40261.0</v>
      </c>
      <c r="G3690" s="1">
        <v>923.0</v>
      </c>
      <c r="H3690" s="1">
        <v>7.0</v>
      </c>
      <c r="I3690" s="1">
        <v>7870000.0</v>
      </c>
      <c r="J3690" s="1" t="s">
        <v>9050</v>
      </c>
    </row>
    <row r="3691">
      <c r="A3691" s="1" t="s">
        <v>11152</v>
      </c>
      <c r="B3691" s="1" t="s">
        <v>11153</v>
      </c>
      <c r="C3691" s="1" t="s">
        <v>11154</v>
      </c>
      <c r="D3691" s="1" t="s">
        <v>10850</v>
      </c>
      <c r="E3691" s="1" t="s">
        <v>10851</v>
      </c>
      <c r="F3691" s="1">
        <v>55599.0</v>
      </c>
      <c r="G3691" s="1">
        <v>1178.0</v>
      </c>
      <c r="H3691" s="1">
        <v>16.0</v>
      </c>
      <c r="I3691" s="1">
        <v>7870000.0</v>
      </c>
      <c r="J3691" s="1" t="s">
        <v>9050</v>
      </c>
    </row>
    <row r="3692">
      <c r="A3692" s="1" t="s">
        <v>11156</v>
      </c>
      <c r="B3692" s="1" t="s">
        <v>11158</v>
      </c>
      <c r="C3692" s="1" t="s">
        <v>11159</v>
      </c>
      <c r="D3692" s="1" t="s">
        <v>10850</v>
      </c>
      <c r="E3692" s="1" t="s">
        <v>10851</v>
      </c>
      <c r="F3692" s="1">
        <v>1858974.0</v>
      </c>
      <c r="G3692" s="1">
        <v>8889.0</v>
      </c>
      <c r="H3692" s="1">
        <v>545.0</v>
      </c>
      <c r="I3692" s="1">
        <v>7870000.0</v>
      </c>
      <c r="J3692" s="1" t="s">
        <v>9050</v>
      </c>
    </row>
    <row r="3693">
      <c r="A3693" s="1" t="s">
        <v>11161</v>
      </c>
      <c r="B3693" s="1" t="s">
        <v>11162</v>
      </c>
      <c r="C3693" s="1" t="s">
        <v>11163</v>
      </c>
      <c r="D3693" s="1" t="s">
        <v>10850</v>
      </c>
      <c r="E3693" s="1" t="s">
        <v>10851</v>
      </c>
      <c r="F3693" s="1">
        <v>877816.0</v>
      </c>
      <c r="G3693" s="1">
        <v>12603.0</v>
      </c>
      <c r="H3693" s="1">
        <v>684.0</v>
      </c>
      <c r="I3693" s="1">
        <v>7870000.0</v>
      </c>
      <c r="J3693" s="1" t="s">
        <v>9050</v>
      </c>
    </row>
    <row r="3694">
      <c r="A3694" s="1" t="s">
        <v>11164</v>
      </c>
      <c r="B3694" s="1" t="s">
        <v>11165</v>
      </c>
      <c r="C3694" s="1" t="s">
        <v>11166</v>
      </c>
      <c r="D3694" s="1" t="s">
        <v>10850</v>
      </c>
      <c r="E3694" s="1" t="s">
        <v>10851</v>
      </c>
      <c r="F3694" s="1">
        <v>399751.0</v>
      </c>
      <c r="G3694" s="1">
        <v>16306.0</v>
      </c>
      <c r="H3694" s="1">
        <v>927.0</v>
      </c>
      <c r="I3694" s="1">
        <v>7870000.0</v>
      </c>
      <c r="J3694" s="1" t="s">
        <v>9050</v>
      </c>
    </row>
    <row r="3695">
      <c r="A3695" s="1" t="s">
        <v>11167</v>
      </c>
      <c r="B3695" s="1" t="s">
        <v>11168</v>
      </c>
      <c r="C3695" s="1" t="s">
        <v>11169</v>
      </c>
      <c r="D3695" s="1" t="s">
        <v>10850</v>
      </c>
      <c r="E3695" s="1" t="s">
        <v>10851</v>
      </c>
      <c r="F3695" s="1">
        <v>107766.0</v>
      </c>
      <c r="G3695" s="1">
        <v>3523.0</v>
      </c>
      <c r="H3695" s="1">
        <v>20.0</v>
      </c>
      <c r="I3695" s="1">
        <v>7870000.0</v>
      </c>
      <c r="J3695" s="1" t="s">
        <v>9050</v>
      </c>
    </row>
    <row r="3696">
      <c r="A3696" s="1" t="s">
        <v>11170</v>
      </c>
      <c r="B3696" s="1" t="s">
        <v>11171</v>
      </c>
      <c r="C3696" s="1" t="s">
        <v>11172</v>
      </c>
      <c r="D3696" s="1" t="s">
        <v>10850</v>
      </c>
      <c r="E3696" s="1" t="s">
        <v>10851</v>
      </c>
      <c r="F3696" s="1">
        <v>83905.0</v>
      </c>
      <c r="G3696" s="1">
        <v>6055.0</v>
      </c>
      <c r="H3696" s="1">
        <v>127.0</v>
      </c>
      <c r="I3696" s="1">
        <v>7870000.0</v>
      </c>
      <c r="J3696" s="1" t="s">
        <v>9050</v>
      </c>
    </row>
    <row r="3697">
      <c r="A3697" s="1" t="s">
        <v>11174</v>
      </c>
      <c r="B3697" s="1" t="s">
        <v>11176</v>
      </c>
      <c r="C3697" s="1" t="s">
        <v>11178</v>
      </c>
      <c r="D3697" s="1" t="s">
        <v>10850</v>
      </c>
      <c r="E3697" s="1" t="s">
        <v>10851</v>
      </c>
      <c r="F3697" s="1">
        <v>937040.0</v>
      </c>
      <c r="G3697" s="1">
        <v>14959.0</v>
      </c>
      <c r="H3697" s="1">
        <v>610.0</v>
      </c>
      <c r="I3697" s="1">
        <v>7870000.0</v>
      </c>
      <c r="J3697" s="1" t="s">
        <v>9050</v>
      </c>
    </row>
    <row r="3698">
      <c r="A3698" s="1" t="s">
        <v>11179</v>
      </c>
      <c r="B3698" s="1" t="s">
        <v>11180</v>
      </c>
      <c r="C3698" s="1" t="s">
        <v>11181</v>
      </c>
      <c r="D3698" s="1" t="s">
        <v>10850</v>
      </c>
      <c r="E3698" s="1" t="s">
        <v>10851</v>
      </c>
      <c r="F3698" s="1">
        <v>40905.0</v>
      </c>
      <c r="G3698" s="1">
        <v>1526.0</v>
      </c>
      <c r="H3698" s="1">
        <v>18.0</v>
      </c>
      <c r="I3698" s="1">
        <v>7870000.0</v>
      </c>
      <c r="J3698" s="1" t="s">
        <v>9050</v>
      </c>
    </row>
    <row r="3699">
      <c r="A3699" s="1" t="s">
        <v>11182</v>
      </c>
      <c r="B3699" s="1" t="s">
        <v>11183</v>
      </c>
      <c r="C3699" s="1" t="s">
        <v>11184</v>
      </c>
      <c r="D3699" s="1" t="s">
        <v>10850</v>
      </c>
      <c r="E3699" s="1" t="s">
        <v>10851</v>
      </c>
      <c r="F3699" s="1">
        <v>148038.0</v>
      </c>
      <c r="G3699" s="1">
        <v>7597.0</v>
      </c>
      <c r="H3699" s="1">
        <v>79.0</v>
      </c>
      <c r="I3699" s="1">
        <v>7870000.0</v>
      </c>
      <c r="J3699" s="1" t="s">
        <v>9050</v>
      </c>
    </row>
    <row r="3700">
      <c r="A3700" s="1" t="s">
        <v>11185</v>
      </c>
      <c r="B3700" s="1" t="s">
        <v>11186</v>
      </c>
      <c r="C3700" s="1" t="s">
        <v>11187</v>
      </c>
      <c r="D3700" s="1" t="s">
        <v>10850</v>
      </c>
      <c r="E3700" s="1" t="s">
        <v>10851</v>
      </c>
      <c r="F3700" s="1">
        <v>45960.0</v>
      </c>
      <c r="G3700" s="1">
        <v>1399.0</v>
      </c>
      <c r="H3700" s="1">
        <v>26.0</v>
      </c>
      <c r="I3700" s="1">
        <v>7870000.0</v>
      </c>
      <c r="J3700" s="1" t="s">
        <v>9050</v>
      </c>
    </row>
    <row r="3701">
      <c r="A3701" s="1" t="s">
        <v>11188</v>
      </c>
      <c r="B3701" s="1" t="s">
        <v>11189</v>
      </c>
      <c r="C3701" s="1" t="s">
        <v>11190</v>
      </c>
      <c r="D3701" s="1" t="s">
        <v>10850</v>
      </c>
      <c r="E3701" s="1" t="s">
        <v>10851</v>
      </c>
      <c r="F3701" s="1">
        <v>662841.0</v>
      </c>
      <c r="G3701" s="1">
        <v>5906.0</v>
      </c>
      <c r="H3701" s="1">
        <v>367.0</v>
      </c>
      <c r="I3701" s="1">
        <v>7870000.0</v>
      </c>
      <c r="J3701" s="1" t="s">
        <v>9050</v>
      </c>
    </row>
    <row r="3702">
      <c r="A3702" s="1" t="s">
        <v>11191</v>
      </c>
      <c r="B3702" s="1" t="s">
        <v>11192</v>
      </c>
      <c r="C3702" s="1" t="s">
        <v>11193</v>
      </c>
      <c r="D3702" s="1" t="s">
        <v>10850</v>
      </c>
      <c r="E3702" s="1" t="s">
        <v>10851</v>
      </c>
      <c r="F3702" s="1">
        <v>56782.0</v>
      </c>
      <c r="G3702" s="1">
        <v>2577.0</v>
      </c>
      <c r="H3702" s="1">
        <v>46.0</v>
      </c>
      <c r="I3702" s="1">
        <v>7870000.0</v>
      </c>
      <c r="J3702" s="1" t="s">
        <v>9050</v>
      </c>
    </row>
    <row r="3703">
      <c r="A3703" s="1" t="s">
        <v>11194</v>
      </c>
      <c r="B3703" s="1" t="s">
        <v>11195</v>
      </c>
      <c r="C3703" s="1" t="s">
        <v>11196</v>
      </c>
      <c r="D3703" s="1" t="s">
        <v>10850</v>
      </c>
      <c r="E3703" s="1" t="s">
        <v>10851</v>
      </c>
      <c r="F3703" s="1">
        <v>1209960.0</v>
      </c>
      <c r="G3703" s="1">
        <v>33119.0</v>
      </c>
      <c r="H3703" s="1">
        <v>1341.0</v>
      </c>
      <c r="I3703" s="1">
        <v>7870000.0</v>
      </c>
      <c r="J3703" s="1" t="s">
        <v>9050</v>
      </c>
    </row>
    <row r="3704">
      <c r="A3704" s="1" t="s">
        <v>11199</v>
      </c>
      <c r="B3704" s="1" t="s">
        <v>11201</v>
      </c>
      <c r="C3704" s="1" t="s">
        <v>11202</v>
      </c>
      <c r="D3704" s="1" t="s">
        <v>10850</v>
      </c>
      <c r="E3704" s="1" t="s">
        <v>10851</v>
      </c>
      <c r="F3704" s="1">
        <v>208532.0</v>
      </c>
      <c r="G3704" s="1">
        <v>5188.0</v>
      </c>
      <c r="H3704" s="1">
        <v>53.0</v>
      </c>
      <c r="I3704" s="1">
        <v>7870000.0</v>
      </c>
      <c r="J3704" s="1" t="s">
        <v>9050</v>
      </c>
    </row>
    <row r="3705">
      <c r="A3705" s="1" t="s">
        <v>11203</v>
      </c>
      <c r="B3705" s="1" t="s">
        <v>11204</v>
      </c>
      <c r="C3705" s="1" t="s">
        <v>11205</v>
      </c>
      <c r="D3705" s="1" t="s">
        <v>10850</v>
      </c>
      <c r="E3705" s="1" t="s">
        <v>10851</v>
      </c>
      <c r="F3705" s="1">
        <v>30116.0</v>
      </c>
      <c r="G3705" s="1">
        <v>1252.0</v>
      </c>
      <c r="H3705" s="1">
        <v>20.0</v>
      </c>
      <c r="I3705" s="1">
        <v>7870000.0</v>
      </c>
      <c r="J3705" s="1" t="s">
        <v>9050</v>
      </c>
    </row>
    <row r="3706">
      <c r="A3706" s="1" t="s">
        <v>11206</v>
      </c>
      <c r="B3706" s="1" t="s">
        <v>11207</v>
      </c>
      <c r="C3706" s="1" t="s">
        <v>11208</v>
      </c>
      <c r="D3706" s="1" t="s">
        <v>10850</v>
      </c>
      <c r="E3706" s="1" t="s">
        <v>10851</v>
      </c>
      <c r="F3706" s="1">
        <v>536844.0</v>
      </c>
      <c r="G3706" s="1">
        <v>10413.0</v>
      </c>
      <c r="H3706" s="1">
        <v>682.0</v>
      </c>
      <c r="I3706" s="1">
        <v>7870000.0</v>
      </c>
      <c r="J3706" s="1" t="s">
        <v>9050</v>
      </c>
    </row>
    <row r="3707">
      <c r="A3707" s="1" t="s">
        <v>11209</v>
      </c>
      <c r="B3707" s="1" t="s">
        <v>11210</v>
      </c>
      <c r="C3707" s="1" t="s">
        <v>11211</v>
      </c>
      <c r="D3707" s="1" t="s">
        <v>10850</v>
      </c>
      <c r="E3707" s="1" t="s">
        <v>10851</v>
      </c>
      <c r="F3707" s="1">
        <v>75659.0</v>
      </c>
      <c r="G3707" s="1">
        <v>1806.0</v>
      </c>
      <c r="H3707" s="1">
        <v>23.0</v>
      </c>
      <c r="I3707" s="1">
        <v>7870000.0</v>
      </c>
      <c r="J3707" s="1" t="s">
        <v>9050</v>
      </c>
    </row>
    <row r="3708">
      <c r="A3708" s="1" t="s">
        <v>11212</v>
      </c>
      <c r="B3708" s="1" t="s">
        <v>11213</v>
      </c>
      <c r="C3708" s="1" t="s">
        <v>11214</v>
      </c>
      <c r="D3708" s="1" t="s">
        <v>10850</v>
      </c>
      <c r="E3708" s="1" t="s">
        <v>10851</v>
      </c>
      <c r="F3708" s="1">
        <v>1205511.0</v>
      </c>
      <c r="G3708" s="1">
        <v>31754.0</v>
      </c>
      <c r="H3708" s="1">
        <v>1501.0</v>
      </c>
      <c r="I3708" s="1">
        <v>7870000.0</v>
      </c>
      <c r="J3708" s="1" t="s">
        <v>9050</v>
      </c>
    </row>
    <row r="3709">
      <c r="A3709" s="1" t="s">
        <v>11215</v>
      </c>
      <c r="B3709" s="1" t="s">
        <v>11217</v>
      </c>
      <c r="C3709" s="1" t="s">
        <v>11218</v>
      </c>
      <c r="D3709" s="1" t="s">
        <v>10850</v>
      </c>
      <c r="E3709" s="1" t="s">
        <v>10851</v>
      </c>
      <c r="F3709" s="1">
        <v>677599.0</v>
      </c>
      <c r="G3709" s="1">
        <v>54258.0</v>
      </c>
      <c r="H3709" s="1">
        <v>713.0</v>
      </c>
      <c r="I3709" s="1">
        <v>7870000.0</v>
      </c>
      <c r="J3709" s="1" t="s">
        <v>9050</v>
      </c>
    </row>
    <row r="3710">
      <c r="A3710" s="1" t="s">
        <v>11221</v>
      </c>
      <c r="B3710" s="1" t="s">
        <v>11222</v>
      </c>
      <c r="C3710" s="1" t="s">
        <v>11223</v>
      </c>
      <c r="D3710" s="1" t="s">
        <v>10850</v>
      </c>
      <c r="E3710" s="1" t="s">
        <v>10851</v>
      </c>
      <c r="F3710" s="1">
        <v>597176.0</v>
      </c>
      <c r="G3710" s="1">
        <v>22161.0</v>
      </c>
      <c r="H3710" s="1">
        <v>735.0</v>
      </c>
      <c r="I3710" s="1">
        <v>7870000.0</v>
      </c>
      <c r="J3710" s="1" t="s">
        <v>9050</v>
      </c>
    </row>
    <row r="3711">
      <c r="A3711" s="1" t="s">
        <v>11224</v>
      </c>
      <c r="B3711" s="1" t="s">
        <v>11225</v>
      </c>
      <c r="C3711" s="1" t="s">
        <v>11226</v>
      </c>
      <c r="D3711" s="1" t="s">
        <v>10850</v>
      </c>
      <c r="E3711" s="1" t="s">
        <v>10851</v>
      </c>
      <c r="F3711" s="1">
        <v>233578.0</v>
      </c>
      <c r="G3711" s="1">
        <v>12690.0</v>
      </c>
      <c r="H3711" s="1">
        <v>107.0</v>
      </c>
      <c r="I3711" s="1">
        <v>7870000.0</v>
      </c>
      <c r="J3711" s="1" t="s">
        <v>9050</v>
      </c>
    </row>
    <row r="3712">
      <c r="A3712" s="1" t="s">
        <v>11227</v>
      </c>
      <c r="B3712" s="1" t="s">
        <v>11228</v>
      </c>
      <c r="C3712" s="1" t="s">
        <v>11229</v>
      </c>
      <c r="D3712" s="1" t="s">
        <v>10850</v>
      </c>
      <c r="E3712" s="1" t="s">
        <v>10851</v>
      </c>
      <c r="F3712" s="1">
        <v>180933.0</v>
      </c>
      <c r="G3712" s="1">
        <v>8280.0</v>
      </c>
      <c r="H3712" s="1">
        <v>63.0</v>
      </c>
      <c r="I3712" s="1">
        <v>7870000.0</v>
      </c>
      <c r="J3712" s="1" t="s">
        <v>9050</v>
      </c>
    </row>
    <row r="3713">
      <c r="A3713" s="1" t="s">
        <v>11230</v>
      </c>
      <c r="B3713" s="1" t="s">
        <v>11231</v>
      </c>
      <c r="C3713" s="1" t="s">
        <v>11232</v>
      </c>
      <c r="D3713" s="1" t="s">
        <v>10850</v>
      </c>
      <c r="E3713" s="1" t="s">
        <v>10851</v>
      </c>
      <c r="F3713" s="1">
        <v>89164.0</v>
      </c>
      <c r="G3713" s="1">
        <v>5177.0</v>
      </c>
      <c r="H3713" s="1">
        <v>81.0</v>
      </c>
      <c r="I3713" s="1">
        <v>7870000.0</v>
      </c>
      <c r="J3713" s="1" t="s">
        <v>9050</v>
      </c>
    </row>
    <row r="3714">
      <c r="A3714" s="1" t="s">
        <v>11233</v>
      </c>
      <c r="B3714" s="1" t="s">
        <v>11234</v>
      </c>
      <c r="C3714" s="1" t="s">
        <v>11235</v>
      </c>
      <c r="D3714" s="1" t="s">
        <v>10850</v>
      </c>
      <c r="E3714" s="1" t="s">
        <v>10851</v>
      </c>
      <c r="F3714" s="1">
        <v>1311420.0</v>
      </c>
      <c r="G3714" s="1">
        <v>32962.0</v>
      </c>
      <c r="H3714" s="1">
        <v>1486.0</v>
      </c>
      <c r="I3714" s="1">
        <v>7870000.0</v>
      </c>
      <c r="J3714" s="1" t="s">
        <v>9050</v>
      </c>
    </row>
    <row r="3715">
      <c r="A3715" s="1" t="s">
        <v>11237</v>
      </c>
      <c r="B3715" s="1" t="s">
        <v>11239</v>
      </c>
      <c r="C3715" s="1" t="s">
        <v>11241</v>
      </c>
      <c r="D3715" s="1" t="s">
        <v>10850</v>
      </c>
      <c r="E3715" s="1" t="s">
        <v>10851</v>
      </c>
      <c r="F3715" s="1">
        <v>71917.0</v>
      </c>
      <c r="G3715" s="1">
        <v>3711.0</v>
      </c>
      <c r="H3715" s="1">
        <v>39.0</v>
      </c>
      <c r="I3715" s="1">
        <v>7870000.0</v>
      </c>
      <c r="J3715" s="1" t="s">
        <v>9050</v>
      </c>
    </row>
    <row r="3716">
      <c r="A3716" s="1" t="s">
        <v>11242</v>
      </c>
      <c r="B3716" s="1" t="s">
        <v>11243</v>
      </c>
      <c r="C3716" s="1" t="s">
        <v>11244</v>
      </c>
      <c r="D3716" s="1" t="s">
        <v>10850</v>
      </c>
      <c r="E3716" s="1" t="s">
        <v>10851</v>
      </c>
      <c r="F3716" s="1">
        <v>50123.0</v>
      </c>
      <c r="G3716" s="1">
        <v>2199.0</v>
      </c>
      <c r="H3716" s="1">
        <v>33.0</v>
      </c>
      <c r="I3716" s="1">
        <v>7870000.0</v>
      </c>
      <c r="J3716" s="1" t="s">
        <v>9050</v>
      </c>
    </row>
    <row r="3717">
      <c r="A3717" s="1" t="s">
        <v>11245</v>
      </c>
      <c r="B3717" s="1" t="s">
        <v>11246</v>
      </c>
      <c r="C3717" s="1" t="s">
        <v>11247</v>
      </c>
      <c r="D3717" s="1" t="s">
        <v>10850</v>
      </c>
      <c r="E3717" s="1" t="s">
        <v>10851</v>
      </c>
      <c r="F3717" s="1">
        <v>130142.0</v>
      </c>
      <c r="G3717" s="1">
        <v>7692.0</v>
      </c>
      <c r="H3717" s="1">
        <v>67.0</v>
      </c>
      <c r="I3717" s="1">
        <v>7870000.0</v>
      </c>
      <c r="J3717" s="1" t="s">
        <v>9050</v>
      </c>
    </row>
    <row r="3718">
      <c r="A3718" s="1" t="s">
        <v>11248</v>
      </c>
      <c r="B3718" s="1" t="s">
        <v>11249</v>
      </c>
      <c r="C3718" s="1" t="s">
        <v>11250</v>
      </c>
      <c r="D3718" s="1" t="s">
        <v>10850</v>
      </c>
      <c r="E3718" s="1" t="s">
        <v>10851</v>
      </c>
      <c r="F3718" s="1">
        <v>235562.0</v>
      </c>
      <c r="G3718" s="1">
        <v>13172.0</v>
      </c>
      <c r="H3718" s="1">
        <v>91.0</v>
      </c>
      <c r="I3718" s="1">
        <v>7870000.0</v>
      </c>
      <c r="J3718" s="1" t="s">
        <v>9050</v>
      </c>
    </row>
    <row r="3719">
      <c r="A3719" s="1" t="s">
        <v>11251</v>
      </c>
      <c r="B3719" s="1" t="s">
        <v>11252</v>
      </c>
      <c r="C3719" s="1" t="s">
        <v>11253</v>
      </c>
      <c r="D3719" s="1" t="s">
        <v>10850</v>
      </c>
      <c r="E3719" s="1" t="s">
        <v>10851</v>
      </c>
      <c r="F3719" s="1">
        <v>513956.0</v>
      </c>
      <c r="G3719" s="1">
        <v>19569.0</v>
      </c>
      <c r="H3719" s="1">
        <v>681.0</v>
      </c>
      <c r="I3719" s="1">
        <v>7870000.0</v>
      </c>
      <c r="J3719" s="1" t="s">
        <v>9050</v>
      </c>
    </row>
    <row r="3720">
      <c r="A3720" s="1" t="s">
        <v>11254</v>
      </c>
      <c r="B3720" s="1" t="s">
        <v>11255</v>
      </c>
      <c r="C3720" s="1" t="s">
        <v>11256</v>
      </c>
      <c r="D3720" s="1" t="s">
        <v>10850</v>
      </c>
      <c r="E3720" s="1" t="s">
        <v>10851</v>
      </c>
      <c r="F3720" s="1">
        <v>143037.0</v>
      </c>
      <c r="G3720" s="1">
        <v>7923.0</v>
      </c>
      <c r="H3720" s="1">
        <v>59.0</v>
      </c>
      <c r="I3720" s="1">
        <v>7870000.0</v>
      </c>
      <c r="J3720" s="1" t="s">
        <v>9050</v>
      </c>
    </row>
    <row r="3721">
      <c r="A3721" s="1" t="s">
        <v>11257</v>
      </c>
      <c r="B3721" s="1" t="s">
        <v>11259</v>
      </c>
      <c r="C3721" s="1" t="s">
        <v>11260</v>
      </c>
      <c r="D3721" s="1" t="s">
        <v>10850</v>
      </c>
      <c r="E3721" s="1" t="s">
        <v>10851</v>
      </c>
      <c r="F3721" s="1">
        <v>143399.0</v>
      </c>
      <c r="G3721" s="1">
        <v>6815.0</v>
      </c>
      <c r="H3721" s="1">
        <v>69.0</v>
      </c>
      <c r="I3721" s="1">
        <v>7870000.0</v>
      </c>
      <c r="J3721" s="1" t="s">
        <v>9050</v>
      </c>
    </row>
    <row r="3722">
      <c r="A3722" s="1" t="s">
        <v>11263</v>
      </c>
      <c r="B3722" s="1" t="s">
        <v>11264</v>
      </c>
      <c r="C3722" s="1" t="s">
        <v>11265</v>
      </c>
      <c r="D3722" s="1" t="s">
        <v>10850</v>
      </c>
      <c r="E3722" s="1" t="s">
        <v>10851</v>
      </c>
      <c r="F3722" s="1">
        <v>38851.0</v>
      </c>
      <c r="G3722" s="1">
        <v>1732.0</v>
      </c>
      <c r="H3722" s="1">
        <v>19.0</v>
      </c>
      <c r="I3722" s="1">
        <v>7870000.0</v>
      </c>
      <c r="J3722" s="1" t="s">
        <v>9050</v>
      </c>
    </row>
    <row r="3723">
      <c r="A3723" s="1" t="s">
        <v>11266</v>
      </c>
      <c r="B3723" s="1" t="s">
        <v>11267</v>
      </c>
      <c r="C3723" s="1" t="s">
        <v>11268</v>
      </c>
      <c r="D3723" s="1" t="s">
        <v>10850</v>
      </c>
      <c r="E3723" s="1" t="s">
        <v>10851</v>
      </c>
      <c r="F3723" s="1">
        <v>1410459.0</v>
      </c>
      <c r="G3723" s="1">
        <v>31793.0</v>
      </c>
      <c r="H3723" s="1">
        <v>1085.0</v>
      </c>
      <c r="I3723" s="1">
        <v>7870000.0</v>
      </c>
      <c r="J3723" s="1" t="s">
        <v>9050</v>
      </c>
    </row>
    <row r="3724">
      <c r="A3724" s="1" t="s">
        <v>11269</v>
      </c>
      <c r="B3724" s="1" t="s">
        <v>11270</v>
      </c>
      <c r="C3724" s="1" t="s">
        <v>11271</v>
      </c>
      <c r="D3724" s="1" t="s">
        <v>10850</v>
      </c>
      <c r="E3724" s="1" t="s">
        <v>10851</v>
      </c>
      <c r="F3724" s="1">
        <v>122851.0</v>
      </c>
      <c r="G3724" s="1">
        <v>8356.0</v>
      </c>
      <c r="H3724" s="1">
        <v>72.0</v>
      </c>
      <c r="I3724" s="1">
        <v>7870000.0</v>
      </c>
      <c r="J3724" s="1" t="s">
        <v>9050</v>
      </c>
    </row>
    <row r="3725">
      <c r="A3725" s="1" t="s">
        <v>11272</v>
      </c>
      <c r="B3725" s="1" t="s">
        <v>11273</v>
      </c>
      <c r="C3725" s="1" t="s">
        <v>11274</v>
      </c>
      <c r="D3725" s="1" t="s">
        <v>10850</v>
      </c>
      <c r="E3725" s="1" t="s">
        <v>10851</v>
      </c>
      <c r="F3725" s="1">
        <v>199923.0</v>
      </c>
      <c r="G3725" s="1">
        <v>11729.0</v>
      </c>
      <c r="H3725" s="1">
        <v>86.0</v>
      </c>
      <c r="I3725" s="1">
        <v>7870000.0</v>
      </c>
      <c r="J3725" s="1" t="s">
        <v>9050</v>
      </c>
    </row>
    <row r="3726">
      <c r="A3726" s="1" t="s">
        <v>11275</v>
      </c>
      <c r="B3726" s="1" t="s">
        <v>11276</v>
      </c>
      <c r="C3726" s="1" t="s">
        <v>11277</v>
      </c>
      <c r="D3726" s="1" t="s">
        <v>10850</v>
      </c>
      <c r="E3726" s="1" t="s">
        <v>10851</v>
      </c>
      <c r="F3726" s="1">
        <v>718738.0</v>
      </c>
      <c r="G3726" s="1">
        <v>14165.0</v>
      </c>
      <c r="H3726" s="1">
        <v>574.0</v>
      </c>
      <c r="I3726" s="1">
        <v>7870000.0</v>
      </c>
      <c r="J3726" s="1" t="s">
        <v>9050</v>
      </c>
    </row>
    <row r="3727">
      <c r="A3727" s="1" t="s">
        <v>11278</v>
      </c>
      <c r="B3727" s="1" t="s">
        <v>11279</v>
      </c>
      <c r="C3727" s="1" t="s">
        <v>11280</v>
      </c>
      <c r="D3727" s="1" t="s">
        <v>10850</v>
      </c>
      <c r="E3727" s="1" t="s">
        <v>10851</v>
      </c>
      <c r="F3727" s="1">
        <v>307915.0</v>
      </c>
      <c r="G3727" s="1">
        <v>14625.0</v>
      </c>
      <c r="H3727" s="1">
        <v>112.0</v>
      </c>
      <c r="I3727" s="1">
        <v>7870000.0</v>
      </c>
      <c r="J3727" s="1" t="s">
        <v>9050</v>
      </c>
    </row>
    <row r="3728">
      <c r="A3728" s="1" t="s">
        <v>11281</v>
      </c>
      <c r="B3728" s="1" t="s">
        <v>11282</v>
      </c>
      <c r="C3728" s="1" t="s">
        <v>11283</v>
      </c>
      <c r="D3728" s="1" t="s">
        <v>10850</v>
      </c>
      <c r="E3728" s="1" t="s">
        <v>10851</v>
      </c>
      <c r="F3728" s="1">
        <v>287991.0</v>
      </c>
      <c r="G3728" s="1">
        <v>9892.0</v>
      </c>
      <c r="H3728" s="1">
        <v>74.0</v>
      </c>
      <c r="I3728" s="1">
        <v>7870000.0</v>
      </c>
      <c r="J3728" s="1" t="s">
        <v>9050</v>
      </c>
    </row>
    <row r="3729">
      <c r="A3729" s="1" t="s">
        <v>11284</v>
      </c>
      <c r="B3729" s="1" t="s">
        <v>11285</v>
      </c>
      <c r="C3729" s="1" t="s">
        <v>11286</v>
      </c>
      <c r="D3729" s="1" t="s">
        <v>10850</v>
      </c>
      <c r="E3729" s="1" t="s">
        <v>10851</v>
      </c>
      <c r="F3729" s="1">
        <v>1662317.0</v>
      </c>
      <c r="G3729" s="1">
        <v>39410.0</v>
      </c>
      <c r="H3729" s="1">
        <v>1301.0</v>
      </c>
      <c r="I3729" s="1">
        <v>7870000.0</v>
      </c>
      <c r="J3729" s="1" t="s">
        <v>9050</v>
      </c>
    </row>
    <row r="3730">
      <c r="A3730" s="1" t="s">
        <v>11287</v>
      </c>
      <c r="B3730" s="1" t="s">
        <v>11288</v>
      </c>
      <c r="C3730" s="1" t="s">
        <v>11289</v>
      </c>
      <c r="D3730" s="1" t="s">
        <v>10850</v>
      </c>
      <c r="E3730" s="1" t="s">
        <v>10851</v>
      </c>
      <c r="F3730" s="1">
        <v>75754.0</v>
      </c>
      <c r="G3730" s="1">
        <v>4610.0</v>
      </c>
      <c r="H3730" s="1">
        <v>77.0</v>
      </c>
      <c r="I3730" s="1">
        <v>7870000.0</v>
      </c>
      <c r="J3730" s="1" t="s">
        <v>9050</v>
      </c>
    </row>
    <row r="3731">
      <c r="A3731" s="1" t="s">
        <v>11291</v>
      </c>
      <c r="B3731" s="1" t="s">
        <v>11293</v>
      </c>
      <c r="C3731" s="1" t="s">
        <v>11295</v>
      </c>
      <c r="D3731" s="1" t="s">
        <v>10850</v>
      </c>
      <c r="E3731" s="1" t="s">
        <v>10851</v>
      </c>
      <c r="F3731" s="1">
        <v>737558.0</v>
      </c>
      <c r="G3731" s="1">
        <v>13040.0</v>
      </c>
      <c r="H3731" s="1">
        <v>480.0</v>
      </c>
      <c r="I3731" s="1">
        <v>7870000.0</v>
      </c>
      <c r="J3731" s="1" t="s">
        <v>9050</v>
      </c>
    </row>
    <row r="3732">
      <c r="A3732" s="1" t="s">
        <v>11296</v>
      </c>
      <c r="B3732" s="1" t="s">
        <v>11297</v>
      </c>
      <c r="C3732" s="1" t="s">
        <v>11298</v>
      </c>
      <c r="D3732" s="1" t="s">
        <v>10850</v>
      </c>
      <c r="E3732" s="1" t="s">
        <v>10851</v>
      </c>
      <c r="F3732" s="1">
        <v>240666.0</v>
      </c>
      <c r="G3732" s="1">
        <v>15195.0</v>
      </c>
      <c r="H3732" s="1">
        <v>174.0</v>
      </c>
      <c r="I3732" s="1">
        <v>7870000.0</v>
      </c>
      <c r="J3732" s="1" t="s">
        <v>9050</v>
      </c>
    </row>
    <row r="3733">
      <c r="A3733" s="1" t="s">
        <v>11299</v>
      </c>
      <c r="B3733" s="1" t="s">
        <v>11300</v>
      </c>
      <c r="C3733" s="1" t="s">
        <v>11301</v>
      </c>
      <c r="D3733" s="1" t="s">
        <v>10850</v>
      </c>
      <c r="E3733" s="1" t="s">
        <v>10851</v>
      </c>
      <c r="F3733" s="1">
        <v>55094.0</v>
      </c>
      <c r="G3733" s="1">
        <v>3362.0</v>
      </c>
      <c r="H3733" s="1">
        <v>60.0</v>
      </c>
      <c r="I3733" s="1">
        <v>7870000.0</v>
      </c>
      <c r="J3733" s="1" t="s">
        <v>9050</v>
      </c>
    </row>
    <row r="3734">
      <c r="A3734" s="1" t="s">
        <v>11302</v>
      </c>
      <c r="B3734" s="1" t="s">
        <v>11303</v>
      </c>
      <c r="C3734" s="1" t="s">
        <v>11304</v>
      </c>
      <c r="D3734" s="1" t="s">
        <v>10850</v>
      </c>
      <c r="E3734" s="1" t="s">
        <v>10851</v>
      </c>
      <c r="F3734" s="1">
        <v>59535.0</v>
      </c>
      <c r="G3734" s="1">
        <v>2650.0</v>
      </c>
      <c r="H3734" s="1">
        <v>49.0</v>
      </c>
      <c r="I3734" s="1">
        <v>7870000.0</v>
      </c>
      <c r="J3734" s="1" t="s">
        <v>9050</v>
      </c>
    </row>
    <row r="3735">
      <c r="A3735" s="1" t="s">
        <v>11305</v>
      </c>
      <c r="B3735" s="1" t="s">
        <v>11306</v>
      </c>
      <c r="C3735" s="1" t="s">
        <v>11307</v>
      </c>
      <c r="D3735" s="1" t="s">
        <v>10850</v>
      </c>
      <c r="E3735" s="1" t="s">
        <v>10851</v>
      </c>
      <c r="F3735" s="1">
        <v>85737.0</v>
      </c>
      <c r="G3735" s="1">
        <v>4035.0</v>
      </c>
      <c r="H3735" s="1">
        <v>61.0</v>
      </c>
      <c r="I3735" s="1">
        <v>7870000.0</v>
      </c>
      <c r="J3735" s="1" t="s">
        <v>9050</v>
      </c>
    </row>
    <row r="3736">
      <c r="A3736" s="1" t="s">
        <v>11308</v>
      </c>
      <c r="B3736" s="1" t="s">
        <v>11309</v>
      </c>
      <c r="C3736" s="1" t="s">
        <v>11310</v>
      </c>
      <c r="D3736" s="1" t="s">
        <v>10850</v>
      </c>
      <c r="E3736" s="1" t="s">
        <v>10851</v>
      </c>
      <c r="F3736" s="1">
        <v>104750.0</v>
      </c>
      <c r="G3736" s="1">
        <v>6421.0</v>
      </c>
      <c r="H3736" s="1">
        <v>69.0</v>
      </c>
      <c r="I3736" s="1">
        <v>7870000.0</v>
      </c>
      <c r="J3736" s="1" t="s">
        <v>9050</v>
      </c>
    </row>
    <row r="3737">
      <c r="A3737" s="1" t="s">
        <v>11311</v>
      </c>
      <c r="B3737" s="1" t="s">
        <v>11313</v>
      </c>
      <c r="C3737" s="1" t="s">
        <v>11315</v>
      </c>
      <c r="D3737" s="1" t="s">
        <v>10850</v>
      </c>
      <c r="E3737" s="1" t="s">
        <v>10851</v>
      </c>
      <c r="F3737" s="1">
        <v>487842.0</v>
      </c>
      <c r="G3737" s="1">
        <v>20808.0</v>
      </c>
      <c r="H3737" s="1">
        <v>713.0</v>
      </c>
      <c r="I3737" s="1">
        <v>7870000.0</v>
      </c>
      <c r="J3737" s="1" t="s">
        <v>9050</v>
      </c>
    </row>
    <row r="3738">
      <c r="A3738" s="1" t="s">
        <v>11317</v>
      </c>
      <c r="B3738" s="1" t="s">
        <v>11318</v>
      </c>
      <c r="C3738" s="1" t="s">
        <v>11319</v>
      </c>
      <c r="D3738" s="1" t="s">
        <v>10850</v>
      </c>
      <c r="E3738" s="1" t="s">
        <v>10851</v>
      </c>
      <c r="F3738" s="1">
        <v>246635.0</v>
      </c>
      <c r="G3738" s="1">
        <v>9473.0</v>
      </c>
      <c r="H3738" s="1">
        <v>98.0</v>
      </c>
      <c r="I3738" s="1">
        <v>7870000.0</v>
      </c>
      <c r="J3738" s="1" t="s">
        <v>9050</v>
      </c>
    </row>
    <row r="3739">
      <c r="A3739" s="1" t="s">
        <v>11320</v>
      </c>
      <c r="B3739" s="1" t="s">
        <v>11321</v>
      </c>
      <c r="C3739" s="1" t="s">
        <v>11322</v>
      </c>
      <c r="D3739" s="1" t="s">
        <v>10850</v>
      </c>
      <c r="E3739" s="1" t="s">
        <v>10851</v>
      </c>
      <c r="F3739" s="1">
        <v>321185.0</v>
      </c>
      <c r="G3739" s="1">
        <v>17324.0</v>
      </c>
      <c r="H3739" s="1">
        <v>122.0</v>
      </c>
      <c r="I3739" s="1">
        <v>7870000.0</v>
      </c>
      <c r="J3739" s="1" t="s">
        <v>9050</v>
      </c>
    </row>
    <row r="3740">
      <c r="A3740" s="1" t="s">
        <v>11323</v>
      </c>
      <c r="B3740" s="1" t="s">
        <v>11324</v>
      </c>
      <c r="C3740" s="1" t="s">
        <v>11325</v>
      </c>
      <c r="D3740" s="1" t="s">
        <v>10850</v>
      </c>
      <c r="E3740" s="1" t="s">
        <v>10851</v>
      </c>
      <c r="F3740" s="1">
        <v>459863.0</v>
      </c>
      <c r="G3740" s="1">
        <v>21333.0</v>
      </c>
      <c r="H3740" s="1">
        <v>162.0</v>
      </c>
      <c r="I3740" s="1">
        <v>7870000.0</v>
      </c>
      <c r="J3740" s="1" t="s">
        <v>9050</v>
      </c>
    </row>
    <row r="3741">
      <c r="A3741" s="1" t="s">
        <v>11326</v>
      </c>
      <c r="B3741" s="1" t="s">
        <v>11327</v>
      </c>
      <c r="C3741" s="1" t="s">
        <v>11328</v>
      </c>
      <c r="D3741" s="1" t="s">
        <v>10850</v>
      </c>
      <c r="E3741" s="1" t="s">
        <v>10851</v>
      </c>
      <c r="F3741" s="1">
        <v>1045150.0</v>
      </c>
      <c r="G3741" s="1">
        <v>18807.0</v>
      </c>
      <c r="H3741" s="1">
        <v>781.0</v>
      </c>
      <c r="I3741" s="1">
        <v>7870000.0</v>
      </c>
      <c r="J3741" s="1" t="s">
        <v>9050</v>
      </c>
    </row>
    <row r="3742">
      <c r="A3742" s="1" t="s">
        <v>11329</v>
      </c>
      <c r="B3742" s="1" t="s">
        <v>11330</v>
      </c>
      <c r="C3742" s="1" t="s">
        <v>11331</v>
      </c>
      <c r="D3742" s="1" t="s">
        <v>10850</v>
      </c>
      <c r="E3742" s="1" t="s">
        <v>10851</v>
      </c>
      <c r="F3742" s="1">
        <v>132771.0</v>
      </c>
      <c r="G3742" s="1">
        <v>4139.0</v>
      </c>
      <c r="H3742" s="1">
        <v>27.0</v>
      </c>
      <c r="I3742" s="1">
        <v>7870000.0</v>
      </c>
      <c r="J3742" s="1" t="s">
        <v>9050</v>
      </c>
    </row>
    <row r="3743">
      <c r="A3743" s="1" t="s">
        <v>11334</v>
      </c>
      <c r="B3743" s="1" t="s">
        <v>11336</v>
      </c>
      <c r="C3743" s="1" t="s">
        <v>11337</v>
      </c>
      <c r="D3743" s="1" t="s">
        <v>10850</v>
      </c>
      <c r="E3743" s="1" t="s">
        <v>10851</v>
      </c>
      <c r="F3743" s="1">
        <v>171383.0</v>
      </c>
      <c r="G3743" s="1">
        <v>5183.0</v>
      </c>
      <c r="H3743" s="1">
        <v>49.0</v>
      </c>
      <c r="I3743" s="1">
        <v>7870000.0</v>
      </c>
      <c r="J3743" s="1" t="s">
        <v>9050</v>
      </c>
    </row>
    <row r="3744">
      <c r="A3744" s="1" t="s">
        <v>11338</v>
      </c>
      <c r="B3744" s="1" t="s">
        <v>11339</v>
      </c>
      <c r="C3744" s="1" t="s">
        <v>11340</v>
      </c>
      <c r="D3744" s="1" t="s">
        <v>10850</v>
      </c>
      <c r="E3744" s="1" t="s">
        <v>10851</v>
      </c>
      <c r="F3744" s="1">
        <v>1055127.0</v>
      </c>
      <c r="G3744" s="1">
        <v>22412.0</v>
      </c>
      <c r="H3744" s="1">
        <v>872.0</v>
      </c>
      <c r="I3744" s="1">
        <v>7870000.0</v>
      </c>
      <c r="J3744" s="1" t="s">
        <v>9050</v>
      </c>
    </row>
    <row r="3745">
      <c r="A3745" s="1" t="s">
        <v>11341</v>
      </c>
      <c r="B3745" s="1" t="s">
        <v>11342</v>
      </c>
      <c r="C3745" s="1" t="s">
        <v>11343</v>
      </c>
      <c r="D3745" s="1" t="s">
        <v>10850</v>
      </c>
      <c r="E3745" s="1" t="s">
        <v>10851</v>
      </c>
      <c r="F3745" s="1">
        <v>34893.0</v>
      </c>
      <c r="G3745" s="1">
        <v>1175.0</v>
      </c>
      <c r="H3745" s="1">
        <v>10.0</v>
      </c>
      <c r="I3745" s="1">
        <v>7870000.0</v>
      </c>
      <c r="J3745" s="1" t="s">
        <v>9050</v>
      </c>
    </row>
    <row r="3746">
      <c r="A3746" s="1" t="s">
        <v>11344</v>
      </c>
      <c r="B3746" s="1" t="s">
        <v>11345</v>
      </c>
      <c r="C3746" s="1" t="s">
        <v>11346</v>
      </c>
      <c r="D3746" s="1" t="s">
        <v>10850</v>
      </c>
      <c r="E3746" s="1" t="s">
        <v>10851</v>
      </c>
      <c r="F3746" s="1">
        <v>93026.0</v>
      </c>
      <c r="G3746" s="1">
        <v>4485.0</v>
      </c>
      <c r="H3746" s="1">
        <v>38.0</v>
      </c>
      <c r="I3746" s="1">
        <v>7870000.0</v>
      </c>
      <c r="J3746" s="1" t="s">
        <v>9050</v>
      </c>
    </row>
    <row r="3747">
      <c r="A3747" s="1" t="s">
        <v>11347</v>
      </c>
      <c r="B3747" s="1" t="s">
        <v>11348</v>
      </c>
      <c r="C3747" s="1" t="s">
        <v>11349</v>
      </c>
      <c r="D3747" s="1" t="s">
        <v>10850</v>
      </c>
      <c r="E3747" s="1" t="s">
        <v>10851</v>
      </c>
      <c r="F3747" s="1">
        <v>44931.0</v>
      </c>
      <c r="G3747" s="1">
        <v>1615.0</v>
      </c>
      <c r="H3747" s="1">
        <v>35.0</v>
      </c>
      <c r="I3747" s="1">
        <v>7870000.0</v>
      </c>
      <c r="J3747" s="1" t="s">
        <v>9050</v>
      </c>
    </row>
    <row r="3748">
      <c r="A3748" s="1" t="s">
        <v>11353</v>
      </c>
      <c r="B3748" s="1" t="s">
        <v>11354</v>
      </c>
      <c r="C3748" s="1" t="s">
        <v>11355</v>
      </c>
      <c r="D3748" s="1" t="s">
        <v>10850</v>
      </c>
      <c r="E3748" s="1" t="s">
        <v>10851</v>
      </c>
      <c r="F3748" s="1">
        <v>150165.0</v>
      </c>
      <c r="G3748" s="1">
        <v>5673.0</v>
      </c>
      <c r="H3748" s="1">
        <v>94.0</v>
      </c>
      <c r="I3748" s="1">
        <v>7870000.0</v>
      </c>
      <c r="J3748" s="1" t="s">
        <v>9050</v>
      </c>
    </row>
    <row r="3749">
      <c r="A3749" s="1" t="s">
        <v>11356</v>
      </c>
      <c r="B3749" s="1" t="s">
        <v>11357</v>
      </c>
      <c r="C3749" s="1" t="s">
        <v>11358</v>
      </c>
      <c r="D3749" s="1" t="s">
        <v>10850</v>
      </c>
      <c r="E3749" s="1" t="s">
        <v>10851</v>
      </c>
      <c r="F3749" s="1">
        <v>2491823.0</v>
      </c>
      <c r="G3749" s="1">
        <v>103618.0</v>
      </c>
      <c r="H3749" s="1">
        <v>489.0</v>
      </c>
      <c r="I3749" s="1">
        <v>7870000.0</v>
      </c>
      <c r="J3749" s="1" t="s">
        <v>9050</v>
      </c>
    </row>
    <row r="3750">
      <c r="A3750" s="1" t="s">
        <v>11359</v>
      </c>
      <c r="B3750" s="1" t="s">
        <v>11360</v>
      </c>
      <c r="C3750" s="1" t="s">
        <v>11361</v>
      </c>
      <c r="D3750" s="1" t="s">
        <v>10850</v>
      </c>
      <c r="E3750" s="1" t="s">
        <v>10851</v>
      </c>
      <c r="F3750" s="1">
        <v>492702.0</v>
      </c>
      <c r="G3750" s="1">
        <v>26728.0</v>
      </c>
      <c r="H3750" s="1">
        <v>481.0</v>
      </c>
      <c r="I3750" s="1">
        <v>7870000.0</v>
      </c>
      <c r="J3750" s="1" t="s">
        <v>9050</v>
      </c>
    </row>
    <row r="3751">
      <c r="A3751" s="1" t="s">
        <v>11362</v>
      </c>
      <c r="B3751" s="1" t="s">
        <v>11363</v>
      </c>
      <c r="C3751" s="1" t="s">
        <v>11364</v>
      </c>
      <c r="D3751" s="1" t="s">
        <v>10850</v>
      </c>
      <c r="E3751" s="1" t="s">
        <v>10851</v>
      </c>
      <c r="F3751" s="1">
        <v>59766.0</v>
      </c>
      <c r="G3751" s="1">
        <v>3372.0</v>
      </c>
      <c r="H3751" s="1">
        <v>40.0</v>
      </c>
      <c r="I3751" s="1">
        <v>7870000.0</v>
      </c>
      <c r="J3751" s="1" t="s">
        <v>9050</v>
      </c>
    </row>
    <row r="3752">
      <c r="A3752" s="1" t="s">
        <v>11365</v>
      </c>
      <c r="B3752" s="1" t="s">
        <v>11366</v>
      </c>
      <c r="C3752" s="1" t="s">
        <v>11367</v>
      </c>
      <c r="D3752" s="1" t="s">
        <v>10850</v>
      </c>
      <c r="E3752" s="1" t="s">
        <v>10851</v>
      </c>
      <c r="F3752" s="1">
        <v>75288.0</v>
      </c>
      <c r="G3752" s="1">
        <v>1867.0</v>
      </c>
      <c r="H3752" s="1">
        <v>17.0</v>
      </c>
      <c r="I3752" s="1">
        <v>7870000.0</v>
      </c>
      <c r="J3752" s="1" t="s">
        <v>9050</v>
      </c>
    </row>
    <row r="3753">
      <c r="A3753" s="1" t="s">
        <v>11368</v>
      </c>
      <c r="B3753" s="1" t="s">
        <v>11369</v>
      </c>
      <c r="C3753" s="1" t="s">
        <v>11370</v>
      </c>
      <c r="D3753" s="1" t="s">
        <v>10850</v>
      </c>
      <c r="E3753" s="1" t="s">
        <v>10851</v>
      </c>
      <c r="F3753" s="1">
        <v>43186.0</v>
      </c>
      <c r="G3753" s="1">
        <v>1417.0</v>
      </c>
      <c r="H3753" s="1">
        <v>13.0</v>
      </c>
      <c r="I3753" s="1">
        <v>7870000.0</v>
      </c>
      <c r="J3753" s="1" t="s">
        <v>9050</v>
      </c>
    </row>
    <row r="3754">
      <c r="A3754" s="1" t="s">
        <v>11371</v>
      </c>
      <c r="B3754" s="1" t="s">
        <v>11373</v>
      </c>
      <c r="C3754" s="1" t="s">
        <v>11375</v>
      </c>
      <c r="D3754" s="1" t="s">
        <v>10850</v>
      </c>
      <c r="E3754" s="1" t="s">
        <v>10851</v>
      </c>
      <c r="F3754" s="1">
        <v>109110.0</v>
      </c>
      <c r="G3754" s="1">
        <v>4514.0</v>
      </c>
      <c r="H3754" s="1">
        <v>44.0</v>
      </c>
      <c r="I3754" s="1">
        <v>7870000.0</v>
      </c>
      <c r="J3754" s="1" t="s">
        <v>9050</v>
      </c>
    </row>
    <row r="3755">
      <c r="A3755" s="1" t="s">
        <v>11377</v>
      </c>
      <c r="B3755" s="1" t="s">
        <v>11378</v>
      </c>
      <c r="C3755" s="1" t="s">
        <v>11379</v>
      </c>
      <c r="D3755" s="1" t="s">
        <v>10850</v>
      </c>
      <c r="E3755" s="1" t="s">
        <v>10851</v>
      </c>
      <c r="F3755" s="1">
        <v>1948924.0</v>
      </c>
      <c r="G3755" s="1">
        <v>13754.0</v>
      </c>
      <c r="H3755" s="1">
        <v>672.0</v>
      </c>
      <c r="I3755" s="1">
        <v>7870000.0</v>
      </c>
      <c r="J3755" s="1" t="s">
        <v>9050</v>
      </c>
    </row>
    <row r="3756">
      <c r="A3756" s="1" t="s">
        <v>11380</v>
      </c>
      <c r="B3756" s="1" t="s">
        <v>11381</v>
      </c>
      <c r="C3756" s="1" t="s">
        <v>11382</v>
      </c>
      <c r="D3756" s="1" t="s">
        <v>10850</v>
      </c>
      <c r="E3756" s="1" t="s">
        <v>10851</v>
      </c>
      <c r="F3756" s="1">
        <v>49078.0</v>
      </c>
      <c r="G3756" s="1">
        <v>1948.0</v>
      </c>
      <c r="H3756" s="1">
        <v>23.0</v>
      </c>
      <c r="I3756" s="1">
        <v>7870000.0</v>
      </c>
      <c r="J3756" s="1" t="s">
        <v>9050</v>
      </c>
    </row>
    <row r="3757">
      <c r="A3757" s="1" t="s">
        <v>11383</v>
      </c>
      <c r="B3757" s="1" t="s">
        <v>11384</v>
      </c>
      <c r="C3757" s="1" t="s">
        <v>11385</v>
      </c>
      <c r="D3757" s="1" t="s">
        <v>10850</v>
      </c>
      <c r="E3757" s="1" t="s">
        <v>10851</v>
      </c>
      <c r="F3757" s="1">
        <v>51386.0</v>
      </c>
      <c r="G3757" s="1">
        <v>2453.0</v>
      </c>
      <c r="H3757" s="1">
        <v>26.0</v>
      </c>
      <c r="I3757" s="1">
        <v>7870000.0</v>
      </c>
      <c r="J3757" s="1" t="s">
        <v>9050</v>
      </c>
    </row>
    <row r="3758">
      <c r="A3758" s="1" t="s">
        <v>11386</v>
      </c>
      <c r="B3758" s="1" t="s">
        <v>11387</v>
      </c>
      <c r="C3758" s="1" t="s">
        <v>11388</v>
      </c>
      <c r="D3758" s="1" t="s">
        <v>10850</v>
      </c>
      <c r="E3758" s="1" t="s">
        <v>10851</v>
      </c>
      <c r="F3758" s="1">
        <v>34186.0</v>
      </c>
      <c r="G3758" s="1">
        <v>769.0</v>
      </c>
      <c r="H3758" s="1">
        <v>10.0</v>
      </c>
      <c r="I3758" s="1">
        <v>7870000.0</v>
      </c>
      <c r="J3758" s="1" t="s">
        <v>9050</v>
      </c>
    </row>
    <row r="3759">
      <c r="A3759" s="1" t="s">
        <v>11389</v>
      </c>
      <c r="B3759" s="1" t="s">
        <v>11390</v>
      </c>
      <c r="C3759" s="1" t="s">
        <v>11391</v>
      </c>
      <c r="D3759" s="1" t="s">
        <v>10850</v>
      </c>
      <c r="E3759" s="1" t="s">
        <v>10851</v>
      </c>
      <c r="F3759" s="1">
        <v>57178.0</v>
      </c>
      <c r="G3759" s="1">
        <v>1139.0</v>
      </c>
      <c r="H3759" s="1">
        <v>14.0</v>
      </c>
      <c r="I3759" s="1">
        <v>7870000.0</v>
      </c>
      <c r="J3759" s="1" t="s">
        <v>9050</v>
      </c>
    </row>
    <row r="3760">
      <c r="A3760" s="1" t="s">
        <v>11394</v>
      </c>
      <c r="B3760" s="1" t="s">
        <v>11396</v>
      </c>
      <c r="C3760" s="1" t="s">
        <v>11397</v>
      </c>
      <c r="D3760" s="1" t="s">
        <v>10850</v>
      </c>
      <c r="E3760" s="1" t="s">
        <v>10851</v>
      </c>
      <c r="F3760" s="1">
        <v>426937.0</v>
      </c>
      <c r="G3760" s="1">
        <v>10669.0</v>
      </c>
      <c r="H3760" s="1">
        <v>475.0</v>
      </c>
      <c r="I3760" s="1">
        <v>7870000.0</v>
      </c>
      <c r="J3760" s="1" t="s">
        <v>9050</v>
      </c>
    </row>
    <row r="3761">
      <c r="A3761" s="1" t="s">
        <v>11398</v>
      </c>
      <c r="B3761" s="1" t="s">
        <v>11399</v>
      </c>
      <c r="C3761" s="1" t="s">
        <v>11400</v>
      </c>
      <c r="D3761" s="1" t="s">
        <v>10850</v>
      </c>
      <c r="E3761" s="1" t="s">
        <v>10851</v>
      </c>
      <c r="F3761" s="1">
        <v>32902.0</v>
      </c>
      <c r="G3761" s="1">
        <v>1048.0</v>
      </c>
      <c r="H3761" s="1">
        <v>12.0</v>
      </c>
      <c r="I3761" s="1">
        <v>7870000.0</v>
      </c>
      <c r="J3761" s="1" t="s">
        <v>9050</v>
      </c>
    </row>
    <row r="3762">
      <c r="A3762" s="1" t="s">
        <v>11401</v>
      </c>
      <c r="B3762" s="1" t="s">
        <v>11402</v>
      </c>
      <c r="C3762" s="1" t="s">
        <v>11403</v>
      </c>
      <c r="D3762" s="1" t="s">
        <v>10850</v>
      </c>
      <c r="E3762" s="1" t="s">
        <v>10851</v>
      </c>
      <c r="F3762" s="1">
        <v>52770.0</v>
      </c>
      <c r="G3762" s="1">
        <v>3929.0</v>
      </c>
      <c r="H3762" s="1">
        <v>99.0</v>
      </c>
      <c r="I3762" s="1">
        <v>7870000.0</v>
      </c>
      <c r="J3762" s="1" t="s">
        <v>9050</v>
      </c>
    </row>
    <row r="3763">
      <c r="A3763" s="1" t="s">
        <v>11404</v>
      </c>
      <c r="B3763" s="1" t="s">
        <v>11405</v>
      </c>
      <c r="C3763" s="1" t="s">
        <v>11406</v>
      </c>
      <c r="D3763" s="1" t="s">
        <v>10850</v>
      </c>
      <c r="E3763" s="1" t="s">
        <v>10851</v>
      </c>
      <c r="F3763" s="1">
        <v>46826.0</v>
      </c>
      <c r="G3763" s="1">
        <v>878.0</v>
      </c>
      <c r="H3763" s="1">
        <v>26.0</v>
      </c>
      <c r="I3763" s="1">
        <v>7870000.0</v>
      </c>
      <c r="J3763" s="1" t="s">
        <v>9050</v>
      </c>
    </row>
    <row r="3764">
      <c r="A3764" s="1" t="s">
        <v>11407</v>
      </c>
      <c r="B3764" s="1" t="s">
        <v>11408</v>
      </c>
      <c r="C3764" s="1" t="s">
        <v>11409</v>
      </c>
      <c r="D3764" s="1" t="s">
        <v>10850</v>
      </c>
      <c r="E3764" s="1" t="s">
        <v>10851</v>
      </c>
      <c r="F3764" s="1">
        <v>391907.0</v>
      </c>
      <c r="G3764" s="1">
        <v>17227.0</v>
      </c>
      <c r="H3764" s="1">
        <v>943.0</v>
      </c>
      <c r="I3764" s="1">
        <v>7870000.0</v>
      </c>
      <c r="J3764" s="1" t="s">
        <v>9050</v>
      </c>
    </row>
    <row r="3765">
      <c r="A3765" s="1" t="s">
        <v>11410</v>
      </c>
      <c r="B3765" s="1" t="s">
        <v>11411</v>
      </c>
      <c r="C3765" s="1" t="s">
        <v>11412</v>
      </c>
      <c r="D3765" s="1" t="s">
        <v>10850</v>
      </c>
      <c r="E3765" s="1" t="s">
        <v>10851</v>
      </c>
      <c r="F3765" s="1">
        <v>35843.0</v>
      </c>
      <c r="G3765" s="1">
        <v>1314.0</v>
      </c>
      <c r="H3765" s="1">
        <v>13.0</v>
      </c>
      <c r="I3765" s="1">
        <v>7870000.0</v>
      </c>
      <c r="J3765" s="1" t="s">
        <v>9050</v>
      </c>
    </row>
    <row r="3766">
      <c r="A3766" s="1" t="s">
        <v>11415</v>
      </c>
      <c r="B3766" s="1" t="s">
        <v>11417</v>
      </c>
      <c r="C3766" s="1" t="s">
        <v>11418</v>
      </c>
      <c r="D3766" s="1" t="s">
        <v>10850</v>
      </c>
      <c r="E3766" s="1" t="s">
        <v>10851</v>
      </c>
      <c r="F3766" s="1">
        <v>72758.0</v>
      </c>
      <c r="G3766" s="1">
        <v>4234.0</v>
      </c>
      <c r="H3766" s="1">
        <v>90.0</v>
      </c>
      <c r="I3766" s="1">
        <v>7870000.0</v>
      </c>
      <c r="J3766" s="1" t="s">
        <v>9050</v>
      </c>
    </row>
    <row r="3767">
      <c r="A3767" s="1" t="s">
        <v>11419</v>
      </c>
      <c r="B3767" s="1" t="s">
        <v>11420</v>
      </c>
      <c r="C3767" s="1" t="s">
        <v>11421</v>
      </c>
      <c r="D3767" s="1" t="s">
        <v>10850</v>
      </c>
      <c r="E3767" s="1" t="s">
        <v>10851</v>
      </c>
      <c r="F3767" s="1">
        <v>103092.0</v>
      </c>
      <c r="G3767" s="1">
        <v>2280.0</v>
      </c>
      <c r="H3767" s="1">
        <v>26.0</v>
      </c>
      <c r="I3767" s="1">
        <v>7870000.0</v>
      </c>
      <c r="J3767" s="1" t="s">
        <v>9050</v>
      </c>
    </row>
    <row r="3768">
      <c r="A3768" s="1" t="s">
        <v>11422</v>
      </c>
      <c r="B3768" s="1" t="s">
        <v>11423</v>
      </c>
      <c r="C3768" s="1" t="s">
        <v>11424</v>
      </c>
      <c r="D3768" s="1" t="s">
        <v>10850</v>
      </c>
      <c r="E3768" s="1" t="s">
        <v>10851</v>
      </c>
      <c r="F3768" s="1">
        <v>315522.0</v>
      </c>
      <c r="G3768" s="1">
        <v>2634.0</v>
      </c>
      <c r="H3768" s="1">
        <v>98.0</v>
      </c>
      <c r="I3768" s="1">
        <v>7870000.0</v>
      </c>
      <c r="J3768" s="1" t="s">
        <v>9050</v>
      </c>
    </row>
    <row r="3769">
      <c r="A3769" s="1" t="s">
        <v>11425</v>
      </c>
      <c r="B3769" s="1" t="s">
        <v>11426</v>
      </c>
      <c r="C3769" s="1" t="s">
        <v>11427</v>
      </c>
      <c r="D3769" s="1" t="s">
        <v>10850</v>
      </c>
      <c r="E3769" s="1" t="s">
        <v>10851</v>
      </c>
      <c r="F3769" s="1">
        <v>470082.0</v>
      </c>
      <c r="G3769" s="1">
        <v>20002.0</v>
      </c>
      <c r="H3769" s="1">
        <v>131.0</v>
      </c>
      <c r="I3769" s="1">
        <v>7870000.0</v>
      </c>
      <c r="J3769" s="1" t="s">
        <v>9050</v>
      </c>
    </row>
    <row r="3770">
      <c r="A3770" s="1" t="s">
        <v>11428</v>
      </c>
      <c r="B3770" s="1" t="s">
        <v>11429</v>
      </c>
      <c r="C3770" s="1" t="s">
        <v>11430</v>
      </c>
      <c r="D3770" s="1" t="s">
        <v>10850</v>
      </c>
      <c r="E3770" s="1" t="s">
        <v>10851</v>
      </c>
      <c r="F3770" s="1">
        <v>364618.0</v>
      </c>
      <c r="G3770" s="1">
        <v>28959.0</v>
      </c>
      <c r="H3770" s="1">
        <v>589.0</v>
      </c>
      <c r="I3770" s="1">
        <v>7870000.0</v>
      </c>
      <c r="J3770" s="1" t="s">
        <v>9050</v>
      </c>
    </row>
    <row r="3771">
      <c r="A3771" s="1" t="s">
        <v>11431</v>
      </c>
      <c r="B3771" s="1" t="s">
        <v>11432</v>
      </c>
      <c r="C3771" s="1" t="s">
        <v>11434</v>
      </c>
      <c r="D3771" s="1" t="s">
        <v>10850</v>
      </c>
      <c r="E3771" s="1" t="s">
        <v>10851</v>
      </c>
      <c r="F3771" s="1">
        <v>702876.0</v>
      </c>
      <c r="G3771" s="1">
        <v>37734.0</v>
      </c>
      <c r="H3771" s="1">
        <v>1533.0</v>
      </c>
      <c r="I3771" s="1">
        <v>7870000.0</v>
      </c>
      <c r="J3771" s="1" t="s">
        <v>9050</v>
      </c>
    </row>
    <row r="3772">
      <c r="A3772" s="1" t="s">
        <v>11437</v>
      </c>
      <c r="B3772" s="1" t="s">
        <v>11438</v>
      </c>
      <c r="C3772" s="1" t="s">
        <v>11439</v>
      </c>
      <c r="D3772" s="1" t="s">
        <v>10850</v>
      </c>
      <c r="E3772" s="1" t="s">
        <v>10851</v>
      </c>
      <c r="F3772" s="1">
        <v>39847.0</v>
      </c>
      <c r="G3772" s="1">
        <v>1381.0</v>
      </c>
      <c r="H3772" s="1">
        <v>12.0</v>
      </c>
      <c r="I3772" s="1">
        <v>7870000.0</v>
      </c>
      <c r="J3772" s="1" t="s">
        <v>9050</v>
      </c>
    </row>
    <row r="3773">
      <c r="A3773" s="1" t="s">
        <v>11440</v>
      </c>
      <c r="B3773" s="1" t="s">
        <v>11441</v>
      </c>
      <c r="C3773" s="1" t="s">
        <v>11442</v>
      </c>
      <c r="D3773" s="1" t="s">
        <v>10850</v>
      </c>
      <c r="E3773" s="1" t="s">
        <v>10851</v>
      </c>
      <c r="F3773" s="1">
        <v>48136.0</v>
      </c>
      <c r="G3773" s="1">
        <v>1399.0</v>
      </c>
      <c r="H3773" s="1">
        <v>15.0</v>
      </c>
      <c r="I3773" s="1">
        <v>7870000.0</v>
      </c>
      <c r="J3773" s="1" t="s">
        <v>9050</v>
      </c>
    </row>
    <row r="3774">
      <c r="A3774" s="1" t="s">
        <v>11444</v>
      </c>
      <c r="B3774" s="1" t="s">
        <v>11446</v>
      </c>
      <c r="C3774" s="1" t="s">
        <v>11448</v>
      </c>
      <c r="D3774" s="1" t="s">
        <v>10850</v>
      </c>
      <c r="E3774" s="1" t="s">
        <v>10851</v>
      </c>
      <c r="F3774" s="1">
        <v>135543.0</v>
      </c>
      <c r="G3774" s="1">
        <v>5843.0</v>
      </c>
      <c r="H3774" s="1">
        <v>107.0</v>
      </c>
      <c r="I3774" s="1">
        <v>7870000.0</v>
      </c>
      <c r="J3774" s="1" t="s">
        <v>9050</v>
      </c>
    </row>
    <row r="3775">
      <c r="A3775" s="1" t="s">
        <v>11449</v>
      </c>
      <c r="B3775" s="1" t="s">
        <v>11450</v>
      </c>
      <c r="C3775" s="1" t="s">
        <v>11451</v>
      </c>
      <c r="D3775" s="1" t="s">
        <v>10850</v>
      </c>
      <c r="E3775" s="1" t="s">
        <v>10851</v>
      </c>
      <c r="F3775" s="1">
        <v>389038.0</v>
      </c>
      <c r="G3775" s="1">
        <v>14583.0</v>
      </c>
      <c r="H3775" s="1">
        <v>426.0</v>
      </c>
      <c r="I3775" s="1">
        <v>7870000.0</v>
      </c>
      <c r="J3775" s="1" t="s">
        <v>9050</v>
      </c>
    </row>
    <row r="3776">
      <c r="A3776" s="1" t="s">
        <v>11452</v>
      </c>
      <c r="B3776" s="1" t="s">
        <v>11453</v>
      </c>
      <c r="C3776" s="1" t="s">
        <v>11454</v>
      </c>
      <c r="D3776" s="1" t="s">
        <v>10850</v>
      </c>
      <c r="E3776" s="1" t="s">
        <v>10851</v>
      </c>
      <c r="F3776" s="1">
        <v>30006.0</v>
      </c>
      <c r="G3776" s="1">
        <v>1722.0</v>
      </c>
      <c r="H3776" s="1">
        <v>14.0</v>
      </c>
      <c r="I3776" s="1">
        <v>7870000.0</v>
      </c>
      <c r="J3776" s="1" t="s">
        <v>9050</v>
      </c>
    </row>
    <row r="3777">
      <c r="A3777" s="1" t="s">
        <v>11455</v>
      </c>
      <c r="B3777" s="1" t="s">
        <v>11456</v>
      </c>
      <c r="C3777" s="1" t="s">
        <v>11457</v>
      </c>
      <c r="D3777" s="1" t="s">
        <v>10850</v>
      </c>
      <c r="E3777" s="1" t="s">
        <v>10851</v>
      </c>
      <c r="F3777" s="1">
        <v>121072.0</v>
      </c>
      <c r="G3777" s="1">
        <v>3269.0</v>
      </c>
      <c r="H3777" s="1">
        <v>28.0</v>
      </c>
      <c r="I3777" s="1">
        <v>7870000.0</v>
      </c>
      <c r="J3777" s="1" t="s">
        <v>9050</v>
      </c>
    </row>
    <row r="3778">
      <c r="A3778" s="1" t="s">
        <v>11458</v>
      </c>
      <c r="B3778" s="1" t="s">
        <v>11459</v>
      </c>
      <c r="C3778" s="1" t="s">
        <v>11460</v>
      </c>
      <c r="D3778" s="1" t="s">
        <v>10850</v>
      </c>
      <c r="E3778" s="1" t="s">
        <v>10851</v>
      </c>
      <c r="F3778" s="1">
        <v>46440.0</v>
      </c>
      <c r="G3778" s="1">
        <v>2483.0</v>
      </c>
      <c r="H3778" s="1">
        <v>26.0</v>
      </c>
      <c r="I3778" s="1">
        <v>7870000.0</v>
      </c>
      <c r="J3778" s="1" t="s">
        <v>9050</v>
      </c>
    </row>
    <row r="3779">
      <c r="A3779" s="1" t="s">
        <v>11461</v>
      </c>
      <c r="B3779" s="1" t="s">
        <v>11462</v>
      </c>
      <c r="C3779" s="1" t="s">
        <v>11463</v>
      </c>
      <c r="D3779" s="1" t="s">
        <v>10850</v>
      </c>
      <c r="E3779" s="1" t="s">
        <v>10851</v>
      </c>
      <c r="F3779" s="1">
        <v>113695.0</v>
      </c>
      <c r="G3779" s="1">
        <v>3294.0</v>
      </c>
      <c r="H3779" s="1">
        <v>17.0</v>
      </c>
      <c r="I3779" s="1">
        <v>7870000.0</v>
      </c>
      <c r="J3779" s="1" t="s">
        <v>9050</v>
      </c>
    </row>
    <row r="3780">
      <c r="A3780" s="1" t="s">
        <v>11465</v>
      </c>
      <c r="B3780" s="1" t="s">
        <v>11467</v>
      </c>
      <c r="C3780" s="1" t="s">
        <v>11469</v>
      </c>
      <c r="D3780" s="1" t="s">
        <v>10850</v>
      </c>
      <c r="E3780" s="1" t="s">
        <v>10851</v>
      </c>
      <c r="F3780" s="1">
        <v>461590.0</v>
      </c>
      <c r="G3780" s="1">
        <v>17209.0</v>
      </c>
      <c r="H3780" s="1">
        <v>674.0</v>
      </c>
      <c r="I3780" s="1">
        <v>7870000.0</v>
      </c>
      <c r="J3780" s="1" t="s">
        <v>9050</v>
      </c>
    </row>
    <row r="3781">
      <c r="A3781" s="1" t="s">
        <v>11470</v>
      </c>
      <c r="B3781" s="1" t="s">
        <v>11471</v>
      </c>
      <c r="C3781" s="1" t="s">
        <v>11472</v>
      </c>
      <c r="D3781" s="1" t="s">
        <v>10850</v>
      </c>
      <c r="E3781" s="1" t="s">
        <v>10851</v>
      </c>
      <c r="F3781" s="1">
        <v>74444.0</v>
      </c>
      <c r="G3781" s="1">
        <v>2319.0</v>
      </c>
      <c r="H3781" s="1">
        <v>13.0</v>
      </c>
      <c r="I3781" s="1">
        <v>7870000.0</v>
      </c>
      <c r="J3781" s="1" t="s">
        <v>9050</v>
      </c>
    </row>
    <row r="3782">
      <c r="A3782" s="1" t="s">
        <v>11473</v>
      </c>
      <c r="B3782" s="1" t="s">
        <v>11474</v>
      </c>
      <c r="C3782" s="1" t="s">
        <v>11475</v>
      </c>
      <c r="D3782" s="1" t="s">
        <v>10850</v>
      </c>
      <c r="E3782" s="1" t="s">
        <v>10851</v>
      </c>
      <c r="F3782" s="1">
        <v>96504.0</v>
      </c>
      <c r="G3782" s="1">
        <v>4550.0</v>
      </c>
      <c r="H3782" s="1">
        <v>36.0</v>
      </c>
      <c r="I3782" s="1">
        <v>7870000.0</v>
      </c>
      <c r="J3782" s="1" t="s">
        <v>9050</v>
      </c>
    </row>
    <row r="3783">
      <c r="A3783" s="1" t="s">
        <v>11476</v>
      </c>
      <c r="B3783" s="1" t="s">
        <v>11477</v>
      </c>
      <c r="C3783" s="1" t="s">
        <v>11478</v>
      </c>
      <c r="D3783" s="1" t="s">
        <v>10850</v>
      </c>
      <c r="E3783" s="1" t="s">
        <v>10851</v>
      </c>
      <c r="F3783" s="1">
        <v>751969.0</v>
      </c>
      <c r="G3783" s="1">
        <v>27315.0</v>
      </c>
      <c r="H3783" s="1">
        <v>178.0</v>
      </c>
      <c r="I3783" s="1">
        <v>7870000.0</v>
      </c>
      <c r="J3783" s="1" t="s">
        <v>9050</v>
      </c>
    </row>
    <row r="3784">
      <c r="A3784" s="1" t="s">
        <v>11479</v>
      </c>
      <c r="B3784" s="1" t="s">
        <v>11480</v>
      </c>
      <c r="C3784" s="1" t="s">
        <v>11481</v>
      </c>
      <c r="D3784" s="1" t="s">
        <v>10850</v>
      </c>
      <c r="E3784" s="1" t="s">
        <v>10851</v>
      </c>
      <c r="F3784" s="1">
        <v>134871.0</v>
      </c>
      <c r="G3784" s="1">
        <v>6002.0</v>
      </c>
      <c r="H3784" s="1">
        <v>141.0</v>
      </c>
      <c r="I3784" s="1">
        <v>7870000.0</v>
      </c>
      <c r="J3784" s="1" t="s">
        <v>9050</v>
      </c>
    </row>
    <row r="3785">
      <c r="A3785" s="1" t="s">
        <v>11482</v>
      </c>
      <c r="B3785" s="1" t="s">
        <v>11483</v>
      </c>
      <c r="C3785" s="1" t="s">
        <v>11484</v>
      </c>
      <c r="D3785" s="1" t="s">
        <v>10850</v>
      </c>
      <c r="E3785" s="1" t="s">
        <v>10851</v>
      </c>
      <c r="F3785" s="1">
        <v>30417.0</v>
      </c>
      <c r="G3785" s="1">
        <v>1470.0</v>
      </c>
      <c r="H3785" s="1">
        <v>21.0</v>
      </c>
      <c r="I3785" s="1">
        <v>7870000.0</v>
      </c>
      <c r="J3785" s="1" t="s">
        <v>9050</v>
      </c>
    </row>
    <row r="3786">
      <c r="A3786" s="1" t="s">
        <v>11485</v>
      </c>
      <c r="B3786" s="1" t="s">
        <v>11486</v>
      </c>
      <c r="C3786" s="1" t="s">
        <v>11487</v>
      </c>
      <c r="D3786" s="1" t="s">
        <v>10850</v>
      </c>
      <c r="E3786" s="1" t="s">
        <v>10851</v>
      </c>
      <c r="F3786" s="1">
        <v>129230.0</v>
      </c>
      <c r="G3786" s="1">
        <v>7951.0</v>
      </c>
      <c r="H3786" s="1">
        <v>88.0</v>
      </c>
      <c r="I3786" s="1">
        <v>7870000.0</v>
      </c>
      <c r="J3786" s="1" t="s">
        <v>9050</v>
      </c>
    </row>
    <row r="3787">
      <c r="A3787" s="1" t="s">
        <v>11521</v>
      </c>
      <c r="B3787" s="1" t="s">
        <v>11522</v>
      </c>
      <c r="C3787" s="1" t="s">
        <v>11523</v>
      </c>
      <c r="D3787" s="1" t="s">
        <v>10850</v>
      </c>
      <c r="E3787" s="1" t="s">
        <v>10851</v>
      </c>
      <c r="F3787" s="1">
        <v>101478.0</v>
      </c>
      <c r="G3787" s="1">
        <v>4719.0</v>
      </c>
      <c r="H3787" s="1">
        <v>81.0</v>
      </c>
      <c r="I3787" s="1">
        <v>7870000.0</v>
      </c>
      <c r="J3787" s="1" t="s">
        <v>9050</v>
      </c>
    </row>
    <row r="3788">
      <c r="A3788" s="1" t="s">
        <v>11524</v>
      </c>
      <c r="B3788" s="1" t="s">
        <v>11525</v>
      </c>
      <c r="C3788" s="1" t="s">
        <v>11526</v>
      </c>
      <c r="D3788" s="1" t="s">
        <v>10850</v>
      </c>
      <c r="E3788" s="1" t="s">
        <v>10851</v>
      </c>
      <c r="F3788" s="1">
        <v>94056.0</v>
      </c>
      <c r="G3788" s="1">
        <v>2972.0</v>
      </c>
      <c r="H3788" s="1">
        <v>35.0</v>
      </c>
      <c r="I3788" s="1">
        <v>7870000.0</v>
      </c>
      <c r="J3788" s="1" t="s">
        <v>9050</v>
      </c>
    </row>
    <row r="3789">
      <c r="A3789" s="1" t="s">
        <v>11530</v>
      </c>
      <c r="B3789" s="1" t="s">
        <v>11531</v>
      </c>
      <c r="C3789" s="1" t="s">
        <v>11532</v>
      </c>
      <c r="D3789" s="1" t="s">
        <v>10850</v>
      </c>
      <c r="E3789" s="1" t="s">
        <v>10851</v>
      </c>
      <c r="F3789" s="1">
        <v>33390.0</v>
      </c>
      <c r="G3789" s="1">
        <v>1177.0</v>
      </c>
      <c r="H3789" s="1">
        <v>20.0</v>
      </c>
      <c r="I3789" s="1">
        <v>7870000.0</v>
      </c>
      <c r="J3789" s="1" t="s">
        <v>9050</v>
      </c>
    </row>
    <row r="3790">
      <c r="A3790" s="1" t="s">
        <v>11533</v>
      </c>
      <c r="B3790" s="1" t="s">
        <v>11534</v>
      </c>
      <c r="C3790" s="1" t="s">
        <v>11535</v>
      </c>
      <c r="D3790" s="1" t="s">
        <v>10850</v>
      </c>
      <c r="E3790" s="1" t="s">
        <v>10851</v>
      </c>
      <c r="F3790" s="1">
        <v>99783.0</v>
      </c>
      <c r="G3790" s="1">
        <v>4325.0</v>
      </c>
      <c r="H3790" s="1">
        <v>68.0</v>
      </c>
      <c r="I3790" s="1">
        <v>7870000.0</v>
      </c>
      <c r="J3790" s="1" t="s">
        <v>9050</v>
      </c>
    </row>
    <row r="3791">
      <c r="A3791" s="1" t="s">
        <v>11536</v>
      </c>
      <c r="B3791" s="1" t="s">
        <v>11537</v>
      </c>
      <c r="C3791" s="1" t="s">
        <v>11538</v>
      </c>
      <c r="D3791" s="1" t="s">
        <v>10850</v>
      </c>
      <c r="E3791" s="1" t="s">
        <v>10851</v>
      </c>
      <c r="F3791" s="1">
        <v>92130.0</v>
      </c>
      <c r="G3791" s="1">
        <v>4473.0</v>
      </c>
      <c r="H3791" s="1">
        <v>68.0</v>
      </c>
      <c r="I3791" s="1">
        <v>7870000.0</v>
      </c>
      <c r="J3791" s="1" t="s">
        <v>9050</v>
      </c>
    </row>
    <row r="3792">
      <c r="A3792" s="1" t="s">
        <v>11539</v>
      </c>
      <c r="B3792" s="1" t="s">
        <v>11540</v>
      </c>
      <c r="C3792" s="1" t="s">
        <v>11541</v>
      </c>
      <c r="D3792" s="1" t="s">
        <v>10850</v>
      </c>
      <c r="E3792" s="1" t="s">
        <v>10851</v>
      </c>
      <c r="F3792" s="1">
        <v>186100.0</v>
      </c>
      <c r="G3792" s="1">
        <v>7802.0</v>
      </c>
      <c r="H3792" s="1">
        <v>59.0</v>
      </c>
      <c r="I3792" s="1">
        <v>7870000.0</v>
      </c>
      <c r="J3792" s="1" t="s">
        <v>9050</v>
      </c>
    </row>
    <row r="3793">
      <c r="A3793" s="1" t="s">
        <v>11545</v>
      </c>
      <c r="B3793" s="1" t="s">
        <v>11546</v>
      </c>
      <c r="C3793" s="1" t="s">
        <v>11547</v>
      </c>
      <c r="D3793" s="1" t="s">
        <v>10850</v>
      </c>
      <c r="E3793" s="1" t="s">
        <v>10851</v>
      </c>
      <c r="F3793" s="1">
        <v>283729.0</v>
      </c>
      <c r="G3793" s="1">
        <v>14749.0</v>
      </c>
      <c r="H3793" s="1">
        <v>114.0</v>
      </c>
      <c r="I3793" s="1">
        <v>7870000.0</v>
      </c>
      <c r="J3793" s="1" t="s">
        <v>9050</v>
      </c>
    </row>
    <row r="3794">
      <c r="A3794" s="1" t="s">
        <v>11548</v>
      </c>
      <c r="B3794" s="1" t="s">
        <v>11549</v>
      </c>
      <c r="C3794" s="1" t="s">
        <v>11550</v>
      </c>
      <c r="D3794" s="1" t="s">
        <v>10850</v>
      </c>
      <c r="E3794" s="1" t="s">
        <v>10851</v>
      </c>
      <c r="F3794" s="1">
        <v>273996.0</v>
      </c>
      <c r="G3794" s="1">
        <v>9788.0</v>
      </c>
      <c r="H3794" s="1">
        <v>24.0</v>
      </c>
      <c r="I3794" s="1">
        <v>7870000.0</v>
      </c>
      <c r="J3794" s="1" t="s">
        <v>9050</v>
      </c>
    </row>
    <row r="3795">
      <c r="A3795" s="1" t="s">
        <v>11551</v>
      </c>
      <c r="B3795" s="1" t="s">
        <v>11552</v>
      </c>
      <c r="C3795" s="1" t="s">
        <v>11553</v>
      </c>
      <c r="D3795" s="1" t="s">
        <v>10850</v>
      </c>
      <c r="E3795" s="1" t="s">
        <v>10851</v>
      </c>
      <c r="F3795" s="1">
        <v>68593.0</v>
      </c>
      <c r="G3795" s="1">
        <v>2696.0</v>
      </c>
      <c r="H3795" s="1">
        <v>46.0</v>
      </c>
      <c r="I3795" s="1">
        <v>7870000.0</v>
      </c>
      <c r="J3795" s="1" t="s">
        <v>9050</v>
      </c>
    </row>
    <row r="3796">
      <c r="A3796" s="1" t="s">
        <v>11554</v>
      </c>
      <c r="B3796" s="1" t="s">
        <v>11555</v>
      </c>
      <c r="C3796" s="1" t="s">
        <v>11556</v>
      </c>
      <c r="D3796" s="1" t="s">
        <v>10850</v>
      </c>
      <c r="E3796" s="1" t="s">
        <v>10851</v>
      </c>
      <c r="F3796" s="1">
        <v>47078.0</v>
      </c>
      <c r="G3796" s="1">
        <v>2378.0</v>
      </c>
      <c r="H3796" s="1">
        <v>25.0</v>
      </c>
      <c r="I3796" s="1">
        <v>7870000.0</v>
      </c>
      <c r="J3796" s="1" t="s">
        <v>9050</v>
      </c>
    </row>
    <row r="3797">
      <c r="A3797" s="1" t="s">
        <v>11557</v>
      </c>
      <c r="B3797" s="1" t="s">
        <v>11558</v>
      </c>
      <c r="C3797" s="1" t="s">
        <v>11559</v>
      </c>
      <c r="D3797" s="1" t="s">
        <v>10850</v>
      </c>
      <c r="E3797" s="1" t="s">
        <v>10851</v>
      </c>
      <c r="F3797" s="1">
        <v>967294.0</v>
      </c>
      <c r="G3797" s="1">
        <v>17873.0</v>
      </c>
      <c r="H3797" s="1">
        <v>494.0</v>
      </c>
      <c r="I3797" s="1">
        <v>7870000.0</v>
      </c>
      <c r="J3797" s="1" t="s">
        <v>9050</v>
      </c>
    </row>
    <row r="3798">
      <c r="A3798" s="1" t="s">
        <v>11562</v>
      </c>
      <c r="B3798" s="1" t="s">
        <v>11564</v>
      </c>
      <c r="C3798" s="1" t="s">
        <v>11565</v>
      </c>
      <c r="D3798" s="1" t="s">
        <v>10850</v>
      </c>
      <c r="E3798" s="1" t="s">
        <v>10851</v>
      </c>
      <c r="F3798" s="1">
        <v>80936.0</v>
      </c>
      <c r="G3798" s="1">
        <v>2397.0</v>
      </c>
      <c r="H3798" s="1">
        <v>10.0</v>
      </c>
      <c r="I3798" s="1">
        <v>7870000.0</v>
      </c>
      <c r="J3798" s="1" t="s">
        <v>9050</v>
      </c>
    </row>
    <row r="3799">
      <c r="A3799" s="1" t="s">
        <v>11566</v>
      </c>
      <c r="B3799" s="1" t="s">
        <v>11567</v>
      </c>
      <c r="C3799" s="1" t="s">
        <v>11568</v>
      </c>
      <c r="D3799" s="1" t="s">
        <v>10850</v>
      </c>
      <c r="E3799" s="1" t="s">
        <v>10851</v>
      </c>
      <c r="F3799" s="1">
        <v>69248.0</v>
      </c>
      <c r="G3799" s="1">
        <v>2771.0</v>
      </c>
      <c r="H3799" s="1">
        <v>19.0</v>
      </c>
      <c r="I3799" s="1">
        <v>7870000.0</v>
      </c>
      <c r="J3799" s="1" t="s">
        <v>9050</v>
      </c>
    </row>
    <row r="3800">
      <c r="A3800" s="1" t="s">
        <v>11569</v>
      </c>
      <c r="B3800" s="1" t="s">
        <v>11570</v>
      </c>
      <c r="C3800" s="1" t="s">
        <v>11571</v>
      </c>
      <c r="D3800" s="1" t="s">
        <v>10850</v>
      </c>
      <c r="E3800" s="1" t="s">
        <v>10851</v>
      </c>
      <c r="F3800" s="1">
        <v>107994.0</v>
      </c>
      <c r="G3800" s="1">
        <v>4252.0</v>
      </c>
      <c r="H3800" s="1">
        <v>63.0</v>
      </c>
      <c r="I3800" s="1">
        <v>7870000.0</v>
      </c>
      <c r="J3800" s="1" t="s">
        <v>9050</v>
      </c>
    </row>
    <row r="3801">
      <c r="A3801" s="1" t="s">
        <v>11572</v>
      </c>
      <c r="B3801" s="1" t="s">
        <v>11573</v>
      </c>
      <c r="C3801" s="1" t="s">
        <v>11574</v>
      </c>
      <c r="D3801" s="1" t="s">
        <v>10850</v>
      </c>
      <c r="E3801" s="1" t="s">
        <v>10851</v>
      </c>
      <c r="F3801" s="1">
        <v>152686.0</v>
      </c>
      <c r="G3801" s="1">
        <v>2528.0</v>
      </c>
      <c r="H3801" s="1">
        <v>22.0</v>
      </c>
      <c r="I3801" s="1">
        <v>7870000.0</v>
      </c>
      <c r="J3801" s="1" t="s">
        <v>9050</v>
      </c>
    </row>
    <row r="3802">
      <c r="A3802" s="1" t="s">
        <v>11575</v>
      </c>
      <c r="B3802" s="1" t="s">
        <v>11576</v>
      </c>
      <c r="C3802" s="1" t="s">
        <v>11577</v>
      </c>
      <c r="D3802" s="1" t="s">
        <v>11578</v>
      </c>
      <c r="E3802" s="1" t="s">
        <v>11579</v>
      </c>
      <c r="F3802" s="1">
        <v>2714169.0</v>
      </c>
      <c r="G3802" s="1">
        <v>51829.0</v>
      </c>
      <c r="H3802" s="1">
        <v>1028.0</v>
      </c>
      <c r="I3802" s="1">
        <v>4.33E7</v>
      </c>
      <c r="J3802" s="1" t="s">
        <v>9050</v>
      </c>
    </row>
    <row r="3803">
      <c r="A3803" s="1" t="s">
        <v>11580</v>
      </c>
      <c r="B3803" s="1" t="s">
        <v>11581</v>
      </c>
      <c r="C3803" s="1" t="s">
        <v>11583</v>
      </c>
      <c r="D3803" s="1" t="s">
        <v>11578</v>
      </c>
      <c r="E3803" s="1" t="s">
        <v>11579</v>
      </c>
      <c r="F3803" s="1">
        <v>3260440.0</v>
      </c>
      <c r="G3803" s="1">
        <v>85557.0</v>
      </c>
      <c r="H3803" s="1">
        <v>1822.0</v>
      </c>
      <c r="I3803" s="1">
        <v>4.33E7</v>
      </c>
      <c r="J3803" s="1" t="s">
        <v>9050</v>
      </c>
    </row>
    <row r="3804">
      <c r="A3804" s="1" t="s">
        <v>11586</v>
      </c>
      <c r="B3804" s="1" t="s">
        <v>11587</v>
      </c>
      <c r="C3804" s="1" t="s">
        <v>11588</v>
      </c>
      <c r="D3804" s="1" t="s">
        <v>11578</v>
      </c>
      <c r="E3804" s="1" t="s">
        <v>11579</v>
      </c>
      <c r="F3804" s="1">
        <v>4.5704237E7</v>
      </c>
      <c r="G3804" s="1">
        <v>249965.0</v>
      </c>
      <c r="H3804" s="1">
        <v>2366.0</v>
      </c>
      <c r="I3804" s="1">
        <v>4.33E7</v>
      </c>
      <c r="J3804" s="1" t="s">
        <v>9050</v>
      </c>
    </row>
    <row r="3805">
      <c r="A3805" s="1" t="s">
        <v>11589</v>
      </c>
      <c r="B3805" s="1" t="s">
        <v>11590</v>
      </c>
      <c r="C3805" s="1" t="s">
        <v>11591</v>
      </c>
      <c r="D3805" s="1" t="s">
        <v>11578</v>
      </c>
      <c r="E3805" s="1" t="s">
        <v>11579</v>
      </c>
      <c r="F3805" s="1">
        <v>2642216.0</v>
      </c>
      <c r="G3805" s="1">
        <v>75935.0</v>
      </c>
      <c r="H3805" s="1">
        <v>1871.0</v>
      </c>
      <c r="I3805" s="1">
        <v>4.33E7</v>
      </c>
      <c r="J3805" s="1" t="s">
        <v>9050</v>
      </c>
    </row>
    <row r="3806">
      <c r="A3806" s="1" t="s">
        <v>11592</v>
      </c>
      <c r="B3806" s="1" t="s">
        <v>11593</v>
      </c>
      <c r="C3806" s="1" t="s">
        <v>11594</v>
      </c>
      <c r="D3806" s="1" t="s">
        <v>11578</v>
      </c>
      <c r="E3806" s="1" t="s">
        <v>11579</v>
      </c>
      <c r="F3806" s="1">
        <v>3106290.0</v>
      </c>
      <c r="G3806" s="1">
        <v>228417.0</v>
      </c>
      <c r="H3806" s="1">
        <v>7698.0</v>
      </c>
      <c r="I3806" s="1">
        <v>4.33E7</v>
      </c>
      <c r="J3806" s="1" t="s">
        <v>9050</v>
      </c>
    </row>
    <row r="3807">
      <c r="A3807" s="1" t="s">
        <v>11595</v>
      </c>
      <c r="B3807" s="1" t="s">
        <v>11596</v>
      </c>
      <c r="C3807" s="1" t="s">
        <v>11597</v>
      </c>
      <c r="D3807" s="1" t="s">
        <v>11578</v>
      </c>
      <c r="E3807" s="1" t="s">
        <v>11579</v>
      </c>
      <c r="F3807" s="1">
        <v>1643915.0</v>
      </c>
      <c r="G3807" s="1">
        <v>34158.0</v>
      </c>
      <c r="H3807" s="1">
        <v>1388.0</v>
      </c>
      <c r="I3807" s="1">
        <v>4.33E7</v>
      </c>
      <c r="J3807" s="1" t="s">
        <v>9050</v>
      </c>
    </row>
    <row r="3808">
      <c r="A3808" s="1" t="s">
        <v>11598</v>
      </c>
      <c r="B3808" s="1" t="s">
        <v>11599</v>
      </c>
      <c r="C3808" s="1" t="s">
        <v>11600</v>
      </c>
      <c r="D3808" s="1" t="s">
        <v>11578</v>
      </c>
      <c r="E3808" s="1" t="s">
        <v>11579</v>
      </c>
      <c r="F3808" s="1">
        <v>4241235.0</v>
      </c>
      <c r="G3808" s="1">
        <v>68856.0</v>
      </c>
      <c r="H3808" s="1">
        <v>541.0</v>
      </c>
      <c r="I3808" s="1">
        <v>4.33E7</v>
      </c>
      <c r="J3808" s="1" t="s">
        <v>9050</v>
      </c>
    </row>
    <row r="3809">
      <c r="A3809" s="1" t="s">
        <v>11601</v>
      </c>
      <c r="B3809" s="1" t="s">
        <v>11602</v>
      </c>
      <c r="C3809" s="1" t="s">
        <v>11603</v>
      </c>
      <c r="D3809" s="1" t="s">
        <v>11578</v>
      </c>
      <c r="E3809" s="1" t="s">
        <v>11579</v>
      </c>
      <c r="F3809" s="1">
        <v>2376354.0</v>
      </c>
      <c r="G3809" s="1">
        <v>25446.0</v>
      </c>
      <c r="H3809" s="1">
        <v>1006.0</v>
      </c>
      <c r="I3809" s="1">
        <v>4.33E7</v>
      </c>
      <c r="J3809" s="1" t="s">
        <v>9050</v>
      </c>
    </row>
    <row r="3810">
      <c r="A3810" s="1" t="s">
        <v>11606</v>
      </c>
      <c r="B3810" s="1" t="s">
        <v>11608</v>
      </c>
      <c r="C3810" s="1" t="s">
        <v>11609</v>
      </c>
      <c r="D3810" s="1" t="s">
        <v>11578</v>
      </c>
      <c r="E3810" s="1" t="s">
        <v>11579</v>
      </c>
      <c r="F3810" s="1">
        <v>2136424.0</v>
      </c>
      <c r="G3810" s="1">
        <v>4535.0</v>
      </c>
      <c r="H3810" s="1">
        <v>244.0</v>
      </c>
      <c r="I3810" s="1">
        <v>4.33E7</v>
      </c>
      <c r="J3810" s="1" t="s">
        <v>9050</v>
      </c>
    </row>
    <row r="3811">
      <c r="A3811" s="1" t="s">
        <v>11610</v>
      </c>
      <c r="B3811" s="1" t="s">
        <v>11611</v>
      </c>
      <c r="C3811" s="1" t="s">
        <v>11612</v>
      </c>
      <c r="D3811" s="1" t="s">
        <v>11578</v>
      </c>
      <c r="E3811" s="1" t="s">
        <v>11579</v>
      </c>
      <c r="F3811" s="1">
        <v>7287715.0</v>
      </c>
      <c r="G3811" s="1">
        <v>79701.0</v>
      </c>
      <c r="H3811" s="1">
        <v>884.0</v>
      </c>
      <c r="I3811" s="1">
        <v>4.33E7</v>
      </c>
      <c r="J3811" s="1" t="s">
        <v>9050</v>
      </c>
    </row>
    <row r="3812">
      <c r="A3812" s="1" t="s">
        <v>11613</v>
      </c>
      <c r="B3812" s="1" t="s">
        <v>11614</v>
      </c>
      <c r="C3812" s="1" t="s">
        <v>11615</v>
      </c>
      <c r="D3812" s="1" t="s">
        <v>11578</v>
      </c>
      <c r="E3812" s="1" t="s">
        <v>11579</v>
      </c>
      <c r="F3812" s="1">
        <v>2151002.0</v>
      </c>
      <c r="G3812" s="1">
        <v>34048.0</v>
      </c>
      <c r="H3812" s="1">
        <v>762.0</v>
      </c>
      <c r="I3812" s="1">
        <v>4.33E7</v>
      </c>
      <c r="J3812" s="1" t="s">
        <v>9050</v>
      </c>
    </row>
    <row r="3813">
      <c r="A3813" s="1" t="s">
        <v>11616</v>
      </c>
      <c r="B3813" s="1" t="s">
        <v>11617</v>
      </c>
      <c r="C3813" s="1" t="s">
        <v>11618</v>
      </c>
      <c r="D3813" s="1" t="s">
        <v>11578</v>
      </c>
      <c r="E3813" s="1" t="s">
        <v>11579</v>
      </c>
      <c r="F3813" s="1">
        <v>3691303.0</v>
      </c>
      <c r="G3813" s="1">
        <v>52607.0</v>
      </c>
      <c r="H3813" s="1">
        <v>1383.0</v>
      </c>
      <c r="I3813" s="1">
        <v>4.33E7</v>
      </c>
      <c r="J3813" s="1" t="s">
        <v>9050</v>
      </c>
    </row>
    <row r="3814">
      <c r="A3814" s="1" t="s">
        <v>11619</v>
      </c>
      <c r="B3814" s="1" t="s">
        <v>11620</v>
      </c>
      <c r="C3814" s="1" t="s">
        <v>11621</v>
      </c>
      <c r="D3814" s="1" t="s">
        <v>11578</v>
      </c>
      <c r="E3814" s="1" t="s">
        <v>11579</v>
      </c>
      <c r="F3814" s="1">
        <v>1.0250143E7</v>
      </c>
      <c r="G3814" s="1">
        <v>71129.0</v>
      </c>
      <c r="H3814" s="1">
        <v>1137.0</v>
      </c>
      <c r="I3814" s="1">
        <v>4.33E7</v>
      </c>
      <c r="J3814" s="1" t="s">
        <v>9050</v>
      </c>
    </row>
    <row r="3815">
      <c r="A3815" s="1" t="s">
        <v>11622</v>
      </c>
      <c r="B3815" s="1" t="s">
        <v>11623</v>
      </c>
      <c r="C3815" s="1" t="s">
        <v>11624</v>
      </c>
      <c r="D3815" s="1" t="s">
        <v>11578</v>
      </c>
      <c r="E3815" s="1" t="s">
        <v>11579</v>
      </c>
      <c r="F3815" s="1">
        <v>2863868.0</v>
      </c>
      <c r="G3815" s="1">
        <v>62643.0</v>
      </c>
      <c r="H3815" s="1">
        <v>1260.0</v>
      </c>
      <c r="I3815" s="1">
        <v>4.33E7</v>
      </c>
      <c r="J3815" s="1" t="s">
        <v>9050</v>
      </c>
    </row>
    <row r="3816">
      <c r="A3816" s="1" t="s">
        <v>11625</v>
      </c>
      <c r="B3816" s="1" t="s">
        <v>11626</v>
      </c>
      <c r="C3816" s="1" t="s">
        <v>11627</v>
      </c>
      <c r="D3816" s="1" t="s">
        <v>11578</v>
      </c>
      <c r="E3816" s="1" t="s">
        <v>11579</v>
      </c>
      <c r="F3816" s="1">
        <v>1626911.0</v>
      </c>
      <c r="G3816" s="1">
        <v>32559.0</v>
      </c>
      <c r="H3816" s="1">
        <v>738.0</v>
      </c>
      <c r="I3816" s="1">
        <v>4.33E7</v>
      </c>
      <c r="J3816" s="1" t="s">
        <v>9050</v>
      </c>
    </row>
    <row r="3817">
      <c r="A3817" s="1" t="s">
        <v>11628</v>
      </c>
      <c r="B3817" s="1" t="s">
        <v>11629</v>
      </c>
      <c r="C3817" s="1" t="s">
        <v>11630</v>
      </c>
      <c r="D3817" s="1" t="s">
        <v>11578</v>
      </c>
      <c r="E3817" s="1" t="s">
        <v>11579</v>
      </c>
      <c r="F3817" s="1">
        <v>1.5212923E7</v>
      </c>
      <c r="G3817" s="1">
        <v>61882.0</v>
      </c>
      <c r="H3817" s="1">
        <v>1473.0</v>
      </c>
      <c r="I3817" s="1">
        <v>4.33E7</v>
      </c>
      <c r="J3817" s="1" t="s">
        <v>9050</v>
      </c>
    </row>
    <row r="3818">
      <c r="A3818" s="1" t="s">
        <v>11631</v>
      </c>
      <c r="B3818" s="1" t="s">
        <v>11633</v>
      </c>
      <c r="C3818" s="1" t="s">
        <v>11635</v>
      </c>
      <c r="D3818" s="1" t="s">
        <v>11578</v>
      </c>
      <c r="E3818" s="1" t="s">
        <v>11579</v>
      </c>
      <c r="F3818" s="1">
        <v>2687829.0</v>
      </c>
      <c r="G3818" s="1">
        <v>83441.0</v>
      </c>
      <c r="H3818" s="1">
        <v>1690.0</v>
      </c>
      <c r="I3818" s="1">
        <v>4.33E7</v>
      </c>
      <c r="J3818" s="1" t="s">
        <v>9050</v>
      </c>
    </row>
    <row r="3819">
      <c r="A3819" s="1" t="s">
        <v>11637</v>
      </c>
      <c r="B3819" s="1" t="s">
        <v>11638</v>
      </c>
      <c r="C3819" s="1" t="s">
        <v>11639</v>
      </c>
      <c r="D3819" s="1" t="s">
        <v>11578</v>
      </c>
      <c r="E3819" s="1" t="s">
        <v>11579</v>
      </c>
      <c r="F3819" s="1">
        <v>1.1836152E7</v>
      </c>
      <c r="G3819" s="1">
        <v>117888.0</v>
      </c>
      <c r="H3819" s="1">
        <v>1672.0</v>
      </c>
      <c r="I3819" s="1">
        <v>4.33E7</v>
      </c>
      <c r="J3819" s="1" t="s">
        <v>9050</v>
      </c>
    </row>
    <row r="3820">
      <c r="A3820" s="1" t="s">
        <v>11640</v>
      </c>
      <c r="B3820" s="1" t="s">
        <v>11641</v>
      </c>
      <c r="C3820" s="1" t="s">
        <v>11642</v>
      </c>
      <c r="D3820" s="1" t="s">
        <v>11578</v>
      </c>
      <c r="E3820" s="1" t="s">
        <v>11579</v>
      </c>
      <c r="F3820" s="1">
        <v>1207620.0</v>
      </c>
      <c r="G3820" s="1">
        <v>41349.0</v>
      </c>
      <c r="H3820" s="1">
        <v>922.0</v>
      </c>
      <c r="I3820" s="1">
        <v>4.33E7</v>
      </c>
      <c r="J3820" s="1" t="s">
        <v>9050</v>
      </c>
    </row>
    <row r="3821">
      <c r="A3821" s="1" t="s">
        <v>11643</v>
      </c>
      <c r="B3821" s="1" t="s">
        <v>11644</v>
      </c>
      <c r="C3821" s="1" t="s">
        <v>11645</v>
      </c>
      <c r="D3821" s="1" t="s">
        <v>11578</v>
      </c>
      <c r="E3821" s="1" t="s">
        <v>11579</v>
      </c>
      <c r="F3821" s="1">
        <v>3.9220993E7</v>
      </c>
      <c r="G3821" s="1">
        <v>64013.0</v>
      </c>
      <c r="H3821" s="1">
        <v>1066.0</v>
      </c>
      <c r="I3821" s="1">
        <v>4.33E7</v>
      </c>
      <c r="J3821" s="1" t="s">
        <v>9050</v>
      </c>
    </row>
    <row r="3822">
      <c r="A3822" s="1" t="s">
        <v>11646</v>
      </c>
      <c r="B3822" s="1" t="s">
        <v>11647</v>
      </c>
      <c r="C3822" s="1" t="s">
        <v>11648</v>
      </c>
      <c r="D3822" s="1" t="s">
        <v>11578</v>
      </c>
      <c r="E3822" s="1" t="s">
        <v>11579</v>
      </c>
      <c r="F3822" s="1">
        <v>703882.0</v>
      </c>
      <c r="G3822" s="1">
        <v>15205.0</v>
      </c>
      <c r="H3822" s="1">
        <v>684.0</v>
      </c>
      <c r="I3822" s="1">
        <v>4.33E7</v>
      </c>
      <c r="J3822" s="1" t="s">
        <v>9050</v>
      </c>
    </row>
    <row r="3823">
      <c r="A3823" s="1" t="s">
        <v>11649</v>
      </c>
      <c r="B3823" s="1" t="s">
        <v>11650</v>
      </c>
      <c r="C3823" s="1" t="s">
        <v>11651</v>
      </c>
      <c r="D3823" s="1" t="s">
        <v>11578</v>
      </c>
      <c r="E3823" s="1" t="s">
        <v>11579</v>
      </c>
      <c r="F3823" s="1">
        <v>2187630.0</v>
      </c>
      <c r="G3823" s="1">
        <v>43920.0</v>
      </c>
      <c r="H3823" s="1">
        <v>1430.0</v>
      </c>
      <c r="I3823" s="1">
        <v>4.33E7</v>
      </c>
      <c r="J3823" s="1" t="s">
        <v>9050</v>
      </c>
    </row>
    <row r="3824">
      <c r="A3824" s="1" t="s">
        <v>11652</v>
      </c>
      <c r="B3824" s="1" t="s">
        <v>11653</v>
      </c>
      <c r="C3824" s="1" t="s">
        <v>11654</v>
      </c>
      <c r="D3824" s="1" t="s">
        <v>11578</v>
      </c>
      <c r="E3824" s="1" t="s">
        <v>11579</v>
      </c>
      <c r="F3824" s="1">
        <v>3224876.0</v>
      </c>
      <c r="G3824" s="1">
        <v>66850.0</v>
      </c>
      <c r="H3824" s="1">
        <v>1514.0</v>
      </c>
      <c r="I3824" s="1">
        <v>4.33E7</v>
      </c>
      <c r="J3824" s="1" t="s">
        <v>9050</v>
      </c>
    </row>
    <row r="3825">
      <c r="A3825" s="1" t="s">
        <v>11658</v>
      </c>
      <c r="B3825" s="1" t="s">
        <v>11659</v>
      </c>
      <c r="C3825" s="1" t="s">
        <v>11660</v>
      </c>
      <c r="D3825" s="1" t="s">
        <v>11578</v>
      </c>
      <c r="E3825" s="1" t="s">
        <v>11579</v>
      </c>
      <c r="F3825" s="1">
        <v>1.56446318E8</v>
      </c>
      <c r="G3825" s="1">
        <v>802435.0</v>
      </c>
      <c r="H3825" s="1">
        <v>4675.0</v>
      </c>
      <c r="I3825" s="1">
        <v>4.33E7</v>
      </c>
      <c r="J3825" s="1" t="s">
        <v>9050</v>
      </c>
    </row>
    <row r="3826">
      <c r="A3826" s="1" t="s">
        <v>11661</v>
      </c>
      <c r="B3826" s="1" t="s">
        <v>11662</v>
      </c>
      <c r="C3826" s="1" t="s">
        <v>11663</v>
      </c>
      <c r="D3826" s="1" t="s">
        <v>11578</v>
      </c>
      <c r="E3826" s="1" t="s">
        <v>11579</v>
      </c>
      <c r="F3826" s="1">
        <v>4419244.0</v>
      </c>
      <c r="G3826" s="1">
        <v>80654.0</v>
      </c>
      <c r="H3826" s="1">
        <v>1755.0</v>
      </c>
      <c r="I3826" s="1">
        <v>4.33E7</v>
      </c>
      <c r="J3826" s="1" t="s">
        <v>9050</v>
      </c>
    </row>
    <row r="3827">
      <c r="A3827" s="1" t="s">
        <v>11664</v>
      </c>
      <c r="B3827" s="1" t="s">
        <v>11665</v>
      </c>
      <c r="C3827" s="1" t="s">
        <v>11666</v>
      </c>
      <c r="D3827" s="1" t="s">
        <v>11578</v>
      </c>
      <c r="E3827" s="1" t="s">
        <v>11579</v>
      </c>
      <c r="F3827" s="1">
        <v>1079902.0</v>
      </c>
      <c r="G3827" s="1">
        <v>22621.0</v>
      </c>
      <c r="H3827" s="1">
        <v>625.0</v>
      </c>
      <c r="I3827" s="1">
        <v>4.33E7</v>
      </c>
      <c r="J3827" s="1" t="s">
        <v>9050</v>
      </c>
    </row>
    <row r="3828">
      <c r="A3828" s="1" t="s">
        <v>11667</v>
      </c>
      <c r="B3828" s="1" t="s">
        <v>11668</v>
      </c>
      <c r="C3828" s="1" t="s">
        <v>11669</v>
      </c>
      <c r="D3828" s="1" t="s">
        <v>11578</v>
      </c>
      <c r="E3828" s="1" t="s">
        <v>11579</v>
      </c>
      <c r="F3828" s="1">
        <v>2671747.0</v>
      </c>
      <c r="G3828" s="1">
        <v>56128.0</v>
      </c>
      <c r="H3828" s="1">
        <v>2536.0</v>
      </c>
      <c r="I3828" s="1">
        <v>4.33E7</v>
      </c>
      <c r="J3828" s="1" t="s">
        <v>9050</v>
      </c>
    </row>
    <row r="3829">
      <c r="A3829" s="1" t="s">
        <v>11670</v>
      </c>
      <c r="B3829" s="1" t="s">
        <v>11671</v>
      </c>
      <c r="C3829" s="1" t="s">
        <v>11672</v>
      </c>
      <c r="D3829" s="1" t="s">
        <v>11578</v>
      </c>
      <c r="E3829" s="1" t="s">
        <v>11579</v>
      </c>
      <c r="F3829" s="1">
        <v>2215600.0</v>
      </c>
      <c r="G3829" s="1">
        <v>63647.0</v>
      </c>
      <c r="H3829" s="1">
        <v>1873.0</v>
      </c>
      <c r="I3829" s="1">
        <v>4.33E7</v>
      </c>
      <c r="J3829" s="1" t="s">
        <v>9050</v>
      </c>
    </row>
    <row r="3830">
      <c r="A3830" s="1" t="s">
        <v>11673</v>
      </c>
      <c r="B3830" s="1" t="s">
        <v>11674</v>
      </c>
      <c r="C3830" s="1" t="s">
        <v>11675</v>
      </c>
      <c r="D3830" s="1" t="s">
        <v>11578</v>
      </c>
      <c r="E3830" s="1" t="s">
        <v>11579</v>
      </c>
      <c r="F3830" s="1">
        <v>4.9553631E7</v>
      </c>
      <c r="G3830" s="1">
        <v>744993.0</v>
      </c>
      <c r="H3830" s="1">
        <v>3566.0</v>
      </c>
      <c r="I3830" s="1">
        <v>4.33E7</v>
      </c>
      <c r="J3830" s="1" t="s">
        <v>9050</v>
      </c>
    </row>
    <row r="3831">
      <c r="A3831" s="1" t="s">
        <v>11676</v>
      </c>
      <c r="B3831" s="1" t="s">
        <v>11677</v>
      </c>
      <c r="C3831" s="1" t="s">
        <v>11678</v>
      </c>
      <c r="D3831" s="1" t="s">
        <v>11578</v>
      </c>
      <c r="E3831" s="1" t="s">
        <v>11579</v>
      </c>
      <c r="F3831" s="1">
        <v>3229699.0</v>
      </c>
      <c r="G3831" s="1">
        <v>65956.0</v>
      </c>
      <c r="H3831" s="1">
        <v>1989.0</v>
      </c>
      <c r="I3831" s="1">
        <v>4.33E7</v>
      </c>
      <c r="J3831" s="1" t="s">
        <v>9050</v>
      </c>
    </row>
    <row r="3832">
      <c r="A3832" s="1" t="s">
        <v>11679</v>
      </c>
      <c r="B3832" s="1" t="s">
        <v>11680</v>
      </c>
      <c r="C3832" s="1" t="s">
        <v>11681</v>
      </c>
      <c r="D3832" s="1" t="s">
        <v>11578</v>
      </c>
      <c r="E3832" s="1" t="s">
        <v>11579</v>
      </c>
      <c r="F3832" s="1">
        <v>4666432.0</v>
      </c>
      <c r="G3832" s="1">
        <v>82701.0</v>
      </c>
      <c r="H3832" s="1">
        <v>1462.0</v>
      </c>
      <c r="I3832" s="1">
        <v>4.33E7</v>
      </c>
      <c r="J3832" s="1" t="s">
        <v>9050</v>
      </c>
    </row>
    <row r="3833">
      <c r="A3833" s="1" t="s">
        <v>11682</v>
      </c>
      <c r="B3833" s="1" t="s">
        <v>11683</v>
      </c>
      <c r="C3833" s="1" t="s">
        <v>11684</v>
      </c>
      <c r="D3833" s="1" t="s">
        <v>11578</v>
      </c>
      <c r="E3833" s="1" t="s">
        <v>11579</v>
      </c>
      <c r="F3833" s="1">
        <v>2346622.0</v>
      </c>
      <c r="G3833" s="1">
        <v>92461.0</v>
      </c>
      <c r="H3833" s="1">
        <v>4527.0</v>
      </c>
      <c r="I3833" s="1">
        <v>4.33E7</v>
      </c>
      <c r="J3833" s="1" t="s">
        <v>9050</v>
      </c>
    </row>
    <row r="3834">
      <c r="A3834" s="1" t="s">
        <v>11685</v>
      </c>
      <c r="B3834" s="1" t="s">
        <v>11686</v>
      </c>
      <c r="C3834" s="1" t="s">
        <v>11687</v>
      </c>
      <c r="D3834" s="1" t="s">
        <v>11578</v>
      </c>
      <c r="E3834" s="1" t="s">
        <v>11579</v>
      </c>
      <c r="F3834" s="1">
        <v>3217019.0</v>
      </c>
      <c r="G3834" s="1">
        <v>64784.0</v>
      </c>
      <c r="H3834" s="1">
        <v>2123.0</v>
      </c>
      <c r="I3834" s="1">
        <v>4.33E7</v>
      </c>
      <c r="J3834" s="1" t="s">
        <v>9050</v>
      </c>
    </row>
    <row r="3835">
      <c r="A3835" s="1" t="s">
        <v>11688</v>
      </c>
      <c r="B3835" s="1" t="s">
        <v>11689</v>
      </c>
      <c r="C3835" s="1" t="s">
        <v>11690</v>
      </c>
      <c r="D3835" s="1" t="s">
        <v>11578</v>
      </c>
      <c r="E3835" s="1" t="s">
        <v>11579</v>
      </c>
      <c r="F3835" s="1">
        <v>2492664.0</v>
      </c>
      <c r="G3835" s="1">
        <v>46233.0</v>
      </c>
      <c r="H3835" s="1">
        <v>767.0</v>
      </c>
      <c r="I3835" s="1">
        <v>4.33E7</v>
      </c>
      <c r="J3835" s="1" t="s">
        <v>9050</v>
      </c>
    </row>
    <row r="3836">
      <c r="A3836" s="1" t="s">
        <v>11691</v>
      </c>
      <c r="B3836" s="1" t="s">
        <v>11692</v>
      </c>
      <c r="C3836" s="1" t="s">
        <v>11693</v>
      </c>
      <c r="D3836" s="1" t="s">
        <v>11578</v>
      </c>
      <c r="E3836" s="1" t="s">
        <v>11579</v>
      </c>
      <c r="F3836" s="1">
        <v>2.3023419E7</v>
      </c>
      <c r="G3836" s="1">
        <v>69831.0</v>
      </c>
      <c r="H3836" s="1">
        <v>1802.0</v>
      </c>
      <c r="I3836" s="1">
        <v>4.33E7</v>
      </c>
      <c r="J3836" s="1" t="s">
        <v>9050</v>
      </c>
    </row>
    <row r="3837">
      <c r="A3837" s="1" t="s">
        <v>11694</v>
      </c>
      <c r="B3837" s="1" t="s">
        <v>11695</v>
      </c>
      <c r="C3837" s="1" t="s">
        <v>11696</v>
      </c>
      <c r="D3837" s="1" t="s">
        <v>11578</v>
      </c>
      <c r="E3837" s="1" t="s">
        <v>11579</v>
      </c>
      <c r="F3837" s="1">
        <v>2577739.0</v>
      </c>
      <c r="G3837" s="1">
        <v>89967.0</v>
      </c>
      <c r="H3837" s="1">
        <v>506.0</v>
      </c>
      <c r="I3837" s="1">
        <v>4.33E7</v>
      </c>
      <c r="J3837" s="1" t="s">
        <v>9050</v>
      </c>
    </row>
    <row r="3838">
      <c r="A3838" s="1" t="s">
        <v>11697</v>
      </c>
      <c r="B3838" s="1" t="s">
        <v>11698</v>
      </c>
      <c r="C3838" s="1" t="s">
        <v>11699</v>
      </c>
      <c r="D3838" s="1" t="s">
        <v>11578</v>
      </c>
      <c r="E3838" s="1" t="s">
        <v>11579</v>
      </c>
      <c r="F3838" s="1">
        <v>3.0027858E7</v>
      </c>
      <c r="G3838" s="1">
        <v>332403.0</v>
      </c>
      <c r="H3838" s="1">
        <v>1007.0</v>
      </c>
      <c r="I3838" s="1">
        <v>4.33E7</v>
      </c>
      <c r="J3838" s="1" t="s">
        <v>9050</v>
      </c>
    </row>
    <row r="3839">
      <c r="A3839" s="1" t="s">
        <v>11700</v>
      </c>
      <c r="B3839" s="1" t="s">
        <v>11701</v>
      </c>
      <c r="C3839" s="1" t="s">
        <v>11702</v>
      </c>
      <c r="D3839" s="1" t="s">
        <v>11578</v>
      </c>
      <c r="E3839" s="1" t="s">
        <v>11579</v>
      </c>
      <c r="F3839" s="1">
        <v>1.07126897E8</v>
      </c>
      <c r="G3839" s="1">
        <v>678102.0</v>
      </c>
      <c r="H3839" s="1">
        <v>2694.0</v>
      </c>
      <c r="I3839" s="1">
        <v>4.33E7</v>
      </c>
      <c r="J3839" s="1" t="s">
        <v>9050</v>
      </c>
    </row>
    <row r="3840">
      <c r="A3840" s="1" t="s">
        <v>11706</v>
      </c>
      <c r="B3840" s="1" t="s">
        <v>11707</v>
      </c>
      <c r="C3840" s="1" t="s">
        <v>11708</v>
      </c>
      <c r="D3840" s="1" t="s">
        <v>11578</v>
      </c>
      <c r="E3840" s="1" t="s">
        <v>11579</v>
      </c>
      <c r="F3840" s="1">
        <v>3232777.0</v>
      </c>
      <c r="G3840" s="1">
        <v>76737.0</v>
      </c>
      <c r="H3840" s="1">
        <v>913.0</v>
      </c>
      <c r="I3840" s="1">
        <v>4.33E7</v>
      </c>
      <c r="J3840" s="1" t="s">
        <v>9050</v>
      </c>
    </row>
    <row r="3841">
      <c r="A3841" s="1" t="s">
        <v>11709</v>
      </c>
      <c r="B3841" s="1" t="s">
        <v>11710</v>
      </c>
      <c r="C3841" s="1" t="s">
        <v>11711</v>
      </c>
      <c r="D3841" s="1" t="s">
        <v>11578</v>
      </c>
      <c r="E3841" s="1" t="s">
        <v>11579</v>
      </c>
      <c r="F3841" s="1">
        <v>1355559.0</v>
      </c>
      <c r="G3841" s="1">
        <v>29886.0</v>
      </c>
      <c r="H3841" s="1">
        <v>807.0</v>
      </c>
      <c r="I3841" s="1">
        <v>4.33E7</v>
      </c>
      <c r="J3841" s="1" t="s">
        <v>9050</v>
      </c>
    </row>
    <row r="3842">
      <c r="A3842" s="1" t="s">
        <v>11712</v>
      </c>
      <c r="B3842" s="1" t="s">
        <v>11713</v>
      </c>
      <c r="C3842" s="1" t="s">
        <v>11714</v>
      </c>
      <c r="D3842" s="1" t="s">
        <v>11578</v>
      </c>
      <c r="E3842" s="1" t="s">
        <v>11579</v>
      </c>
      <c r="F3842" s="1">
        <v>3692615.0</v>
      </c>
      <c r="G3842" s="1">
        <v>76647.0</v>
      </c>
      <c r="H3842" s="1">
        <v>1002.0</v>
      </c>
      <c r="I3842" s="1">
        <v>4.33E7</v>
      </c>
      <c r="J3842" s="1" t="s">
        <v>9050</v>
      </c>
    </row>
    <row r="3843">
      <c r="A3843" s="1" t="s">
        <v>11715</v>
      </c>
      <c r="B3843" s="1" t="s">
        <v>11716</v>
      </c>
      <c r="C3843" s="1" t="s">
        <v>11717</v>
      </c>
      <c r="D3843" s="1" t="s">
        <v>11578</v>
      </c>
      <c r="E3843" s="1" t="s">
        <v>11579</v>
      </c>
      <c r="F3843" s="1">
        <v>5826532.0</v>
      </c>
      <c r="G3843" s="1">
        <v>120311.0</v>
      </c>
      <c r="H3843" s="1">
        <v>624.0</v>
      </c>
      <c r="I3843" s="1">
        <v>4.33E7</v>
      </c>
      <c r="J3843" s="1" t="s">
        <v>9050</v>
      </c>
    </row>
    <row r="3844">
      <c r="A3844" s="1" t="s">
        <v>11718</v>
      </c>
      <c r="B3844" s="1" t="s">
        <v>11719</v>
      </c>
      <c r="C3844" s="1" t="s">
        <v>11720</v>
      </c>
      <c r="D3844" s="1" t="s">
        <v>11578</v>
      </c>
      <c r="E3844" s="1" t="s">
        <v>11579</v>
      </c>
      <c r="F3844" s="1">
        <v>7888019.0</v>
      </c>
      <c r="G3844" s="1">
        <v>116459.0</v>
      </c>
      <c r="H3844" s="1">
        <v>1029.0</v>
      </c>
      <c r="I3844" s="1">
        <v>4.33E7</v>
      </c>
      <c r="J3844" s="1" t="s">
        <v>9050</v>
      </c>
    </row>
    <row r="3845">
      <c r="A3845" s="1" t="s">
        <v>11721</v>
      </c>
      <c r="B3845" s="1" t="s">
        <v>11722</v>
      </c>
      <c r="C3845" s="1" t="s">
        <v>11723</v>
      </c>
      <c r="D3845" s="1" t="s">
        <v>11578</v>
      </c>
      <c r="E3845" s="1" t="s">
        <v>11579</v>
      </c>
      <c r="F3845" s="1">
        <v>3871909.0</v>
      </c>
      <c r="G3845" s="1">
        <v>57275.0</v>
      </c>
      <c r="H3845" s="1">
        <v>469.0</v>
      </c>
      <c r="I3845" s="1">
        <v>4.33E7</v>
      </c>
      <c r="J3845" s="1" t="s">
        <v>9050</v>
      </c>
    </row>
    <row r="3846">
      <c r="A3846" s="1" t="s">
        <v>11727</v>
      </c>
      <c r="B3846" s="1" t="s">
        <v>11728</v>
      </c>
      <c r="C3846" s="1" t="s">
        <v>11729</v>
      </c>
      <c r="D3846" s="1" t="s">
        <v>11578</v>
      </c>
      <c r="E3846" s="1" t="s">
        <v>11579</v>
      </c>
      <c r="F3846" s="1">
        <v>1926900.0</v>
      </c>
      <c r="G3846" s="1">
        <v>34694.0</v>
      </c>
      <c r="H3846" s="1">
        <v>166.0</v>
      </c>
      <c r="I3846" s="1">
        <v>4.33E7</v>
      </c>
      <c r="J3846" s="1" t="s">
        <v>9050</v>
      </c>
    </row>
    <row r="3847">
      <c r="A3847" s="1" t="s">
        <v>11730</v>
      </c>
      <c r="B3847" s="1" t="s">
        <v>11731</v>
      </c>
      <c r="C3847" s="1" t="s">
        <v>11732</v>
      </c>
      <c r="D3847" s="1" t="s">
        <v>11578</v>
      </c>
      <c r="E3847" s="1" t="s">
        <v>11579</v>
      </c>
      <c r="F3847" s="1">
        <v>2100416.0</v>
      </c>
      <c r="G3847" s="1">
        <v>64646.0</v>
      </c>
      <c r="H3847" s="1">
        <v>1149.0</v>
      </c>
      <c r="I3847" s="1">
        <v>4.33E7</v>
      </c>
      <c r="J3847" s="1" t="s">
        <v>9050</v>
      </c>
    </row>
    <row r="3848">
      <c r="A3848" s="1" t="s">
        <v>11733</v>
      </c>
      <c r="B3848" s="1" t="s">
        <v>11734</v>
      </c>
      <c r="C3848" s="1" t="s">
        <v>11735</v>
      </c>
      <c r="D3848" s="1" t="s">
        <v>11578</v>
      </c>
      <c r="E3848" s="1" t="s">
        <v>11579</v>
      </c>
      <c r="F3848" s="1">
        <v>1881124.0</v>
      </c>
      <c r="G3848" s="1">
        <v>39320.0</v>
      </c>
      <c r="H3848" s="1">
        <v>590.0</v>
      </c>
      <c r="I3848" s="1">
        <v>4.33E7</v>
      </c>
      <c r="J3848" s="1" t="s">
        <v>9050</v>
      </c>
    </row>
    <row r="3849">
      <c r="A3849" s="1" t="s">
        <v>11736</v>
      </c>
      <c r="B3849" s="1" t="s">
        <v>11737</v>
      </c>
      <c r="C3849" s="1" t="s">
        <v>11738</v>
      </c>
      <c r="D3849" s="1" t="s">
        <v>11578</v>
      </c>
      <c r="E3849" s="1" t="s">
        <v>11579</v>
      </c>
      <c r="F3849" s="1">
        <v>2717845.0</v>
      </c>
      <c r="G3849" s="1">
        <v>54015.0</v>
      </c>
      <c r="H3849" s="1">
        <v>3383.0</v>
      </c>
      <c r="I3849" s="1">
        <v>4.33E7</v>
      </c>
      <c r="J3849" s="1" t="s">
        <v>9050</v>
      </c>
    </row>
    <row r="3850">
      <c r="A3850" s="1" t="s">
        <v>11739</v>
      </c>
      <c r="B3850" s="1" t="s">
        <v>11740</v>
      </c>
      <c r="C3850" s="1" t="s">
        <v>11741</v>
      </c>
      <c r="D3850" s="1" t="s">
        <v>11578</v>
      </c>
      <c r="E3850" s="1" t="s">
        <v>11579</v>
      </c>
      <c r="F3850" s="1">
        <v>1844344.0</v>
      </c>
      <c r="G3850" s="1">
        <v>28588.0</v>
      </c>
      <c r="H3850" s="1">
        <v>748.0</v>
      </c>
      <c r="I3850" s="1">
        <v>4.33E7</v>
      </c>
      <c r="J3850" s="1" t="s">
        <v>9050</v>
      </c>
    </row>
    <row r="3851">
      <c r="A3851" s="1" t="s">
        <v>11743</v>
      </c>
      <c r="B3851" s="1" t="s">
        <v>11745</v>
      </c>
      <c r="C3851" s="1" t="s">
        <v>11747</v>
      </c>
      <c r="D3851" s="1" t="s">
        <v>11578</v>
      </c>
      <c r="E3851" s="1" t="s">
        <v>11579</v>
      </c>
      <c r="F3851" s="1">
        <v>3146538.0</v>
      </c>
      <c r="G3851" s="1">
        <v>69639.0</v>
      </c>
      <c r="H3851" s="1">
        <v>584.0</v>
      </c>
      <c r="I3851" s="1">
        <v>4.33E7</v>
      </c>
      <c r="J3851" s="1" t="s">
        <v>9050</v>
      </c>
    </row>
    <row r="3852">
      <c r="A3852" s="1" t="s">
        <v>11748</v>
      </c>
      <c r="B3852" s="1" t="s">
        <v>11749</v>
      </c>
      <c r="C3852" s="1" t="s">
        <v>11750</v>
      </c>
      <c r="D3852" s="1" t="s">
        <v>11578</v>
      </c>
      <c r="E3852" s="1" t="s">
        <v>11579</v>
      </c>
      <c r="F3852" s="1">
        <v>1.6336401E7</v>
      </c>
      <c r="G3852" s="1">
        <v>228108.0</v>
      </c>
      <c r="H3852" s="1">
        <v>1587.0</v>
      </c>
      <c r="I3852" s="1">
        <v>4.33E7</v>
      </c>
      <c r="J3852" s="1" t="s">
        <v>9050</v>
      </c>
    </row>
    <row r="3853">
      <c r="A3853" s="1" t="s">
        <v>11751</v>
      </c>
      <c r="B3853" s="1" t="s">
        <v>11752</v>
      </c>
      <c r="C3853" s="1" t="s">
        <v>11753</v>
      </c>
      <c r="D3853" s="1" t="s">
        <v>11578</v>
      </c>
      <c r="E3853" s="1" t="s">
        <v>11579</v>
      </c>
      <c r="F3853" s="1">
        <v>3.8823459E7</v>
      </c>
      <c r="G3853" s="1">
        <v>1564338.0</v>
      </c>
      <c r="H3853" s="1">
        <v>12575.0</v>
      </c>
      <c r="I3853" s="1">
        <v>4.33E7</v>
      </c>
      <c r="J3853" s="1" t="s">
        <v>9050</v>
      </c>
    </row>
    <row r="3854">
      <c r="A3854" s="1" t="s">
        <v>11754</v>
      </c>
      <c r="B3854" s="1" t="s">
        <v>11755</v>
      </c>
      <c r="C3854" s="1" t="s">
        <v>11756</v>
      </c>
      <c r="D3854" s="1" t="s">
        <v>11578</v>
      </c>
      <c r="E3854" s="1" t="s">
        <v>11579</v>
      </c>
      <c r="F3854" s="1">
        <v>1025914.0</v>
      </c>
      <c r="G3854" s="1">
        <v>15693.0</v>
      </c>
      <c r="H3854" s="1">
        <v>163.0</v>
      </c>
      <c r="I3854" s="1">
        <v>4.33E7</v>
      </c>
      <c r="J3854" s="1" t="s">
        <v>9050</v>
      </c>
    </row>
    <row r="3855">
      <c r="A3855" s="1" t="s">
        <v>11757</v>
      </c>
      <c r="B3855" s="1" t="s">
        <v>11758</v>
      </c>
      <c r="C3855" s="1" t="s">
        <v>11759</v>
      </c>
      <c r="D3855" s="1" t="s">
        <v>11578</v>
      </c>
      <c r="E3855" s="1" t="s">
        <v>11579</v>
      </c>
      <c r="F3855" s="1">
        <v>8463326.0</v>
      </c>
      <c r="G3855" s="1">
        <v>72572.0</v>
      </c>
      <c r="H3855" s="1">
        <v>755.0</v>
      </c>
      <c r="I3855" s="1">
        <v>4.33E7</v>
      </c>
      <c r="J3855" s="1" t="s">
        <v>9050</v>
      </c>
    </row>
    <row r="3856">
      <c r="A3856" s="1" t="s">
        <v>11762</v>
      </c>
      <c r="B3856" s="1" t="s">
        <v>11764</v>
      </c>
      <c r="C3856" s="1" t="s">
        <v>11765</v>
      </c>
      <c r="D3856" s="1" t="s">
        <v>11578</v>
      </c>
      <c r="E3856" s="1" t="s">
        <v>11579</v>
      </c>
      <c r="F3856" s="1">
        <v>1295712.0</v>
      </c>
      <c r="G3856" s="1">
        <v>11094.0</v>
      </c>
      <c r="H3856" s="1">
        <v>662.0</v>
      </c>
      <c r="I3856" s="1">
        <v>4.33E7</v>
      </c>
      <c r="J3856" s="1" t="s">
        <v>9050</v>
      </c>
    </row>
    <row r="3857">
      <c r="A3857" s="1" t="s">
        <v>11766</v>
      </c>
      <c r="B3857" s="1" t="s">
        <v>11767</v>
      </c>
      <c r="C3857" s="1" t="s">
        <v>11768</v>
      </c>
      <c r="D3857" s="1" t="s">
        <v>11578</v>
      </c>
      <c r="E3857" s="1" t="s">
        <v>11579</v>
      </c>
      <c r="F3857" s="1">
        <v>1577699.0</v>
      </c>
      <c r="G3857" s="1">
        <v>28731.0</v>
      </c>
      <c r="H3857" s="1">
        <v>426.0</v>
      </c>
      <c r="I3857" s="1">
        <v>4.33E7</v>
      </c>
      <c r="J3857" s="1" t="s">
        <v>9050</v>
      </c>
    </row>
    <row r="3858">
      <c r="A3858" s="1" t="s">
        <v>11769</v>
      </c>
      <c r="B3858" s="1" t="s">
        <v>11770</v>
      </c>
      <c r="C3858" s="1" t="s">
        <v>11771</v>
      </c>
      <c r="D3858" s="1" t="s">
        <v>11578</v>
      </c>
      <c r="E3858" s="1" t="s">
        <v>11579</v>
      </c>
      <c r="F3858" s="1">
        <v>4988437.0</v>
      </c>
      <c r="G3858" s="1">
        <v>86324.0</v>
      </c>
      <c r="H3858" s="1">
        <v>628.0</v>
      </c>
      <c r="I3858" s="1">
        <v>4.33E7</v>
      </c>
      <c r="J3858" s="1" t="s">
        <v>9050</v>
      </c>
    </row>
    <row r="3859">
      <c r="A3859" s="1" t="s">
        <v>11772</v>
      </c>
      <c r="B3859" s="1" t="s">
        <v>11773</v>
      </c>
      <c r="C3859" s="1" t="s">
        <v>11774</v>
      </c>
      <c r="D3859" s="1" t="s">
        <v>11578</v>
      </c>
      <c r="E3859" s="1" t="s">
        <v>11579</v>
      </c>
      <c r="F3859" s="1">
        <v>1640520.0</v>
      </c>
      <c r="G3859" s="1">
        <v>30380.0</v>
      </c>
      <c r="H3859" s="1">
        <v>391.0</v>
      </c>
      <c r="I3859" s="1">
        <v>4.33E7</v>
      </c>
      <c r="J3859" s="1" t="s">
        <v>9050</v>
      </c>
    </row>
    <row r="3860">
      <c r="A3860" s="1" t="s">
        <v>11775</v>
      </c>
      <c r="B3860" s="1" t="s">
        <v>11776</v>
      </c>
      <c r="C3860" s="1" t="s">
        <v>11777</v>
      </c>
      <c r="D3860" s="1" t="s">
        <v>11578</v>
      </c>
      <c r="E3860" s="1" t="s">
        <v>11579</v>
      </c>
      <c r="F3860" s="1">
        <v>2931141.0</v>
      </c>
      <c r="G3860" s="1">
        <v>56293.0</v>
      </c>
      <c r="H3860" s="1">
        <v>414.0</v>
      </c>
      <c r="I3860" s="1">
        <v>4.33E7</v>
      </c>
      <c r="J3860" s="1" t="s">
        <v>9050</v>
      </c>
    </row>
    <row r="3861">
      <c r="A3861" s="1" t="s">
        <v>11778</v>
      </c>
      <c r="B3861" s="1" t="s">
        <v>11779</v>
      </c>
      <c r="C3861" s="1" t="s">
        <v>11780</v>
      </c>
      <c r="D3861" s="1" t="s">
        <v>11578</v>
      </c>
      <c r="E3861" s="1" t="s">
        <v>11579</v>
      </c>
      <c r="F3861" s="1">
        <v>1951892.0</v>
      </c>
      <c r="G3861" s="1">
        <v>26167.0</v>
      </c>
      <c r="H3861" s="1">
        <v>461.0</v>
      </c>
      <c r="I3861" s="1">
        <v>4.33E7</v>
      </c>
      <c r="J3861" s="1" t="s">
        <v>9050</v>
      </c>
    </row>
    <row r="3862">
      <c r="A3862" s="1" t="s">
        <v>11783</v>
      </c>
      <c r="B3862" s="1" t="s">
        <v>11785</v>
      </c>
      <c r="C3862" s="1" t="s">
        <v>11786</v>
      </c>
      <c r="D3862" s="1" t="s">
        <v>11578</v>
      </c>
      <c r="E3862" s="1" t="s">
        <v>11579</v>
      </c>
      <c r="F3862" s="1">
        <v>1016859.0</v>
      </c>
      <c r="G3862" s="1">
        <v>21923.0</v>
      </c>
      <c r="H3862" s="1">
        <v>268.0</v>
      </c>
      <c r="I3862" s="1">
        <v>4.33E7</v>
      </c>
      <c r="J3862" s="1" t="s">
        <v>9050</v>
      </c>
    </row>
    <row r="3863">
      <c r="A3863" s="1" t="s">
        <v>11787</v>
      </c>
      <c r="B3863" s="1" t="s">
        <v>11788</v>
      </c>
      <c r="C3863" s="1" t="s">
        <v>11789</v>
      </c>
      <c r="D3863" s="1" t="s">
        <v>11578</v>
      </c>
      <c r="E3863" s="1" t="s">
        <v>11579</v>
      </c>
      <c r="F3863" s="1">
        <v>1652259.0</v>
      </c>
      <c r="G3863" s="1">
        <v>37822.0</v>
      </c>
      <c r="H3863" s="1">
        <v>555.0</v>
      </c>
      <c r="I3863" s="1">
        <v>4.33E7</v>
      </c>
      <c r="J3863" s="1" t="s">
        <v>9050</v>
      </c>
    </row>
    <row r="3864">
      <c r="A3864" s="1" t="s">
        <v>11790</v>
      </c>
      <c r="B3864" s="1" t="s">
        <v>11791</v>
      </c>
      <c r="C3864" s="1" t="s">
        <v>11792</v>
      </c>
      <c r="D3864" s="1" t="s">
        <v>11578</v>
      </c>
      <c r="E3864" s="1" t="s">
        <v>11579</v>
      </c>
      <c r="F3864" s="1">
        <v>1.12008667E8</v>
      </c>
      <c r="G3864" s="1">
        <v>725902.0</v>
      </c>
      <c r="H3864" s="1">
        <v>1516.0</v>
      </c>
      <c r="I3864" s="1">
        <v>4.33E7</v>
      </c>
      <c r="J3864" s="1" t="s">
        <v>9050</v>
      </c>
    </row>
    <row r="3865">
      <c r="A3865" s="1" t="s">
        <v>11793</v>
      </c>
      <c r="B3865" s="1" t="s">
        <v>11794</v>
      </c>
      <c r="C3865" s="1" t="s">
        <v>11795</v>
      </c>
      <c r="D3865" s="1" t="s">
        <v>11578</v>
      </c>
      <c r="E3865" s="1" t="s">
        <v>11579</v>
      </c>
      <c r="F3865" s="1">
        <v>1912634.0</v>
      </c>
      <c r="G3865" s="1">
        <v>31667.0</v>
      </c>
      <c r="H3865" s="1">
        <v>280.0</v>
      </c>
      <c r="I3865" s="1">
        <v>4.33E7</v>
      </c>
      <c r="J3865" s="1" t="s">
        <v>9050</v>
      </c>
    </row>
    <row r="3866">
      <c r="A3866" s="1" t="s">
        <v>11796</v>
      </c>
      <c r="B3866" s="1" t="s">
        <v>11797</v>
      </c>
      <c r="C3866" s="1" t="s">
        <v>11799</v>
      </c>
      <c r="D3866" s="1" t="s">
        <v>11578</v>
      </c>
      <c r="E3866" s="1" t="s">
        <v>11579</v>
      </c>
      <c r="F3866" s="1">
        <v>1592303.0</v>
      </c>
      <c r="G3866" s="1">
        <v>30927.0</v>
      </c>
      <c r="H3866" s="1">
        <v>145.0</v>
      </c>
      <c r="I3866" s="1">
        <v>4.33E7</v>
      </c>
      <c r="J3866" s="1" t="s">
        <v>9050</v>
      </c>
    </row>
    <row r="3867">
      <c r="A3867" s="1" t="s">
        <v>11802</v>
      </c>
      <c r="B3867" s="1" t="s">
        <v>11803</v>
      </c>
      <c r="C3867" s="1" t="s">
        <v>11804</v>
      </c>
      <c r="D3867" s="1" t="s">
        <v>11578</v>
      </c>
      <c r="E3867" s="1" t="s">
        <v>11579</v>
      </c>
      <c r="F3867" s="1">
        <v>2430093.0</v>
      </c>
      <c r="G3867" s="1">
        <v>89075.0</v>
      </c>
      <c r="H3867" s="1">
        <v>556.0</v>
      </c>
      <c r="I3867" s="1">
        <v>4.33E7</v>
      </c>
      <c r="J3867" s="1" t="s">
        <v>9050</v>
      </c>
    </row>
    <row r="3868">
      <c r="A3868" s="1" t="s">
        <v>11805</v>
      </c>
      <c r="B3868" s="1" t="s">
        <v>11806</v>
      </c>
      <c r="C3868" s="1" t="s">
        <v>11807</v>
      </c>
      <c r="D3868" s="1" t="s">
        <v>11578</v>
      </c>
      <c r="E3868" s="1" t="s">
        <v>11579</v>
      </c>
      <c r="F3868" s="1">
        <v>1121851.0</v>
      </c>
      <c r="G3868" s="1">
        <v>32163.0</v>
      </c>
      <c r="H3868" s="1">
        <v>336.0</v>
      </c>
      <c r="I3868" s="1">
        <v>4.33E7</v>
      </c>
      <c r="J3868" s="1" t="s">
        <v>9050</v>
      </c>
    </row>
    <row r="3869">
      <c r="A3869" s="1" t="s">
        <v>11808</v>
      </c>
      <c r="B3869" s="1" t="s">
        <v>11809</v>
      </c>
      <c r="C3869" s="1" t="s">
        <v>11810</v>
      </c>
      <c r="D3869" s="1" t="s">
        <v>11578</v>
      </c>
      <c r="E3869" s="1" t="s">
        <v>11579</v>
      </c>
      <c r="F3869" s="1">
        <v>2760631.0</v>
      </c>
      <c r="G3869" s="1">
        <v>42524.0</v>
      </c>
      <c r="H3869" s="1">
        <v>399.0</v>
      </c>
      <c r="I3869" s="1">
        <v>4.33E7</v>
      </c>
      <c r="J3869" s="1" t="s">
        <v>9050</v>
      </c>
    </row>
    <row r="3870">
      <c r="A3870" s="1" t="s">
        <v>11811</v>
      </c>
      <c r="B3870" s="1" t="s">
        <v>11812</v>
      </c>
      <c r="C3870" s="1" t="s">
        <v>11813</v>
      </c>
      <c r="D3870" s="1" t="s">
        <v>11578</v>
      </c>
      <c r="E3870" s="1" t="s">
        <v>11579</v>
      </c>
      <c r="F3870" s="1">
        <v>2232734.0</v>
      </c>
      <c r="G3870" s="1">
        <v>35745.0</v>
      </c>
      <c r="H3870" s="1">
        <v>303.0</v>
      </c>
      <c r="I3870" s="1">
        <v>4.33E7</v>
      </c>
      <c r="J3870" s="1" t="s">
        <v>9050</v>
      </c>
    </row>
    <row r="3871">
      <c r="A3871" s="1" t="s">
        <v>11814</v>
      </c>
      <c r="B3871" s="1" t="s">
        <v>11815</v>
      </c>
      <c r="C3871" s="1" t="s">
        <v>11816</v>
      </c>
      <c r="D3871" s="1" t="s">
        <v>11578</v>
      </c>
      <c r="E3871" s="1" t="s">
        <v>11579</v>
      </c>
      <c r="F3871" s="1">
        <v>1573883.0</v>
      </c>
      <c r="G3871" s="1">
        <v>34078.0</v>
      </c>
      <c r="H3871" s="1">
        <v>491.0</v>
      </c>
      <c r="I3871" s="1">
        <v>4.33E7</v>
      </c>
      <c r="J3871" s="1" t="s">
        <v>9050</v>
      </c>
    </row>
    <row r="3872">
      <c r="A3872" s="1" t="s">
        <v>11817</v>
      </c>
      <c r="B3872" s="1" t="s">
        <v>11818</v>
      </c>
      <c r="C3872" s="1" t="s">
        <v>11819</v>
      </c>
      <c r="D3872" s="1" t="s">
        <v>11578</v>
      </c>
      <c r="E3872" s="1" t="s">
        <v>11579</v>
      </c>
      <c r="F3872" s="1">
        <v>2332836.0</v>
      </c>
      <c r="G3872" s="1">
        <v>47392.0</v>
      </c>
      <c r="H3872" s="1">
        <v>275.0</v>
      </c>
      <c r="I3872" s="1">
        <v>4.33E7</v>
      </c>
      <c r="J3872" s="1" t="s">
        <v>9050</v>
      </c>
    </row>
    <row r="3873">
      <c r="A3873" s="1" t="s">
        <v>11822</v>
      </c>
      <c r="B3873" s="1" t="s">
        <v>11824</v>
      </c>
      <c r="C3873" s="1" t="s">
        <v>11825</v>
      </c>
      <c r="D3873" s="1" t="s">
        <v>11578</v>
      </c>
      <c r="E3873" s="1" t="s">
        <v>11579</v>
      </c>
      <c r="F3873" s="1">
        <v>4839837.0</v>
      </c>
      <c r="G3873" s="1">
        <v>9941.0</v>
      </c>
      <c r="H3873" s="1">
        <v>319.0</v>
      </c>
      <c r="I3873" s="1">
        <v>4.33E7</v>
      </c>
      <c r="J3873" s="1" t="s">
        <v>9050</v>
      </c>
    </row>
    <row r="3874">
      <c r="A3874" s="1" t="s">
        <v>11826</v>
      </c>
      <c r="B3874" s="1" t="s">
        <v>11827</v>
      </c>
      <c r="C3874" s="1" t="s">
        <v>11828</v>
      </c>
      <c r="D3874" s="1" t="s">
        <v>11578</v>
      </c>
      <c r="E3874" s="1" t="s">
        <v>11579</v>
      </c>
      <c r="F3874" s="1">
        <v>3921129.0</v>
      </c>
      <c r="G3874" s="1">
        <v>86403.0</v>
      </c>
      <c r="H3874" s="1">
        <v>812.0</v>
      </c>
      <c r="I3874" s="1">
        <v>4.33E7</v>
      </c>
      <c r="J3874" s="1" t="s">
        <v>9050</v>
      </c>
    </row>
    <row r="3875">
      <c r="A3875" s="1" t="s">
        <v>11829</v>
      </c>
      <c r="B3875" s="1" t="s">
        <v>11830</v>
      </c>
      <c r="C3875" s="1" t="s">
        <v>11831</v>
      </c>
      <c r="D3875" s="1" t="s">
        <v>11578</v>
      </c>
      <c r="E3875" s="1" t="s">
        <v>11579</v>
      </c>
      <c r="F3875" s="1">
        <v>566746.0</v>
      </c>
      <c r="G3875" s="1">
        <v>6566.0</v>
      </c>
      <c r="H3875" s="1">
        <v>427.0</v>
      </c>
      <c r="I3875" s="1">
        <v>4.33E7</v>
      </c>
      <c r="J3875" s="1" t="s">
        <v>9050</v>
      </c>
    </row>
    <row r="3876">
      <c r="A3876" s="1" t="s">
        <v>11832</v>
      </c>
      <c r="B3876" s="1" t="s">
        <v>11833</v>
      </c>
      <c r="C3876" s="1" t="s">
        <v>11834</v>
      </c>
      <c r="D3876" s="1" t="s">
        <v>11578</v>
      </c>
      <c r="E3876" s="1" t="s">
        <v>11579</v>
      </c>
      <c r="F3876" s="1">
        <v>1417641.0</v>
      </c>
      <c r="G3876" s="1">
        <v>23893.0</v>
      </c>
      <c r="H3876" s="1">
        <v>355.0</v>
      </c>
      <c r="I3876" s="1">
        <v>4.33E7</v>
      </c>
      <c r="J3876" s="1" t="s">
        <v>9050</v>
      </c>
    </row>
    <row r="3877">
      <c r="A3877" s="1" t="s">
        <v>11837</v>
      </c>
      <c r="B3877" s="1" t="s">
        <v>11839</v>
      </c>
      <c r="C3877" s="1" t="s">
        <v>11840</v>
      </c>
      <c r="D3877" s="1" t="s">
        <v>11578</v>
      </c>
      <c r="E3877" s="1" t="s">
        <v>11579</v>
      </c>
      <c r="F3877" s="1">
        <v>3367833.0</v>
      </c>
      <c r="G3877" s="1">
        <v>54787.0</v>
      </c>
      <c r="H3877" s="1">
        <v>487.0</v>
      </c>
      <c r="I3877" s="1">
        <v>4.33E7</v>
      </c>
      <c r="J3877" s="1" t="s">
        <v>9050</v>
      </c>
    </row>
    <row r="3878">
      <c r="A3878" s="1" t="s">
        <v>11841</v>
      </c>
      <c r="B3878" s="1" t="s">
        <v>11842</v>
      </c>
      <c r="C3878" s="1" t="s">
        <v>11843</v>
      </c>
      <c r="D3878" s="1" t="s">
        <v>11578</v>
      </c>
      <c r="E3878" s="1" t="s">
        <v>11579</v>
      </c>
      <c r="F3878" s="1">
        <v>2743310.0</v>
      </c>
      <c r="G3878" s="1">
        <v>49991.0</v>
      </c>
      <c r="H3878" s="1">
        <v>501.0</v>
      </c>
      <c r="I3878" s="1">
        <v>4.33E7</v>
      </c>
      <c r="J3878" s="1" t="s">
        <v>9050</v>
      </c>
    </row>
    <row r="3879">
      <c r="A3879" s="1" t="s">
        <v>11844</v>
      </c>
      <c r="B3879" s="1" t="s">
        <v>11845</v>
      </c>
      <c r="C3879" s="1" t="s">
        <v>11846</v>
      </c>
      <c r="D3879" s="1" t="s">
        <v>11578</v>
      </c>
      <c r="E3879" s="1" t="s">
        <v>11579</v>
      </c>
      <c r="F3879" s="1">
        <v>2649252.0</v>
      </c>
      <c r="G3879" s="1">
        <v>38804.0</v>
      </c>
      <c r="H3879" s="1">
        <v>305.0</v>
      </c>
      <c r="I3879" s="1">
        <v>4.33E7</v>
      </c>
      <c r="J3879" s="1" t="s">
        <v>9050</v>
      </c>
    </row>
    <row r="3880">
      <c r="A3880" s="1" t="s">
        <v>11847</v>
      </c>
      <c r="B3880" s="1" t="s">
        <v>11848</v>
      </c>
      <c r="C3880" s="1" t="s">
        <v>11849</v>
      </c>
      <c r="D3880" s="1" t="s">
        <v>11578</v>
      </c>
      <c r="E3880" s="1" t="s">
        <v>11579</v>
      </c>
      <c r="F3880" s="1">
        <v>4.0383268E7</v>
      </c>
      <c r="G3880" s="1">
        <v>245189.0</v>
      </c>
      <c r="H3880" s="1">
        <v>625.0</v>
      </c>
      <c r="I3880" s="1">
        <v>4.33E7</v>
      </c>
      <c r="J3880" s="1" t="s">
        <v>9050</v>
      </c>
    </row>
    <row r="3881">
      <c r="A3881" s="1" t="s">
        <v>11850</v>
      </c>
      <c r="B3881" s="1" t="s">
        <v>11851</v>
      </c>
      <c r="C3881" s="1" t="s">
        <v>11852</v>
      </c>
      <c r="D3881" s="1" t="s">
        <v>11578</v>
      </c>
      <c r="E3881" s="1" t="s">
        <v>11579</v>
      </c>
      <c r="F3881" s="1">
        <v>432981.0</v>
      </c>
      <c r="G3881" s="1">
        <v>8054.0</v>
      </c>
      <c r="H3881" s="1">
        <v>346.0</v>
      </c>
      <c r="I3881" s="1">
        <v>4.33E7</v>
      </c>
      <c r="J3881" s="1" t="s">
        <v>9050</v>
      </c>
    </row>
    <row r="3882">
      <c r="A3882" s="1" t="s">
        <v>11856</v>
      </c>
      <c r="B3882" s="1" t="s">
        <v>11857</v>
      </c>
      <c r="C3882" s="1" t="s">
        <v>11858</v>
      </c>
      <c r="D3882" s="1" t="s">
        <v>11578</v>
      </c>
      <c r="E3882" s="1" t="s">
        <v>11579</v>
      </c>
      <c r="F3882" s="1">
        <v>1987954.0</v>
      </c>
      <c r="G3882" s="1">
        <v>48671.0</v>
      </c>
      <c r="H3882" s="1">
        <v>567.0</v>
      </c>
      <c r="I3882" s="1">
        <v>4.33E7</v>
      </c>
      <c r="J3882" s="1" t="s">
        <v>9050</v>
      </c>
    </row>
    <row r="3883">
      <c r="A3883" s="1" t="s">
        <v>11859</v>
      </c>
      <c r="B3883" s="1" t="s">
        <v>11860</v>
      </c>
      <c r="C3883" s="1" t="s">
        <v>11861</v>
      </c>
      <c r="D3883" s="1" t="s">
        <v>11578</v>
      </c>
      <c r="E3883" s="1" t="s">
        <v>11579</v>
      </c>
      <c r="F3883" s="1">
        <v>2704558.0</v>
      </c>
      <c r="G3883" s="1">
        <v>32665.0</v>
      </c>
      <c r="H3883" s="1">
        <v>364.0</v>
      </c>
      <c r="I3883" s="1">
        <v>4.33E7</v>
      </c>
      <c r="J3883" s="1" t="s">
        <v>9050</v>
      </c>
    </row>
    <row r="3884">
      <c r="A3884" s="1" t="s">
        <v>11862</v>
      </c>
      <c r="B3884" s="1" t="s">
        <v>11863</v>
      </c>
      <c r="C3884" s="1" t="s">
        <v>11864</v>
      </c>
      <c r="D3884" s="1" t="s">
        <v>11578</v>
      </c>
      <c r="E3884" s="1" t="s">
        <v>11579</v>
      </c>
      <c r="F3884" s="1">
        <v>2196048.0</v>
      </c>
      <c r="G3884" s="1">
        <v>35025.0</v>
      </c>
      <c r="H3884" s="1">
        <v>225.0</v>
      </c>
      <c r="I3884" s="1">
        <v>4.33E7</v>
      </c>
      <c r="J3884" s="1" t="s">
        <v>9050</v>
      </c>
    </row>
    <row r="3885">
      <c r="A3885" s="1" t="s">
        <v>11865</v>
      </c>
      <c r="B3885" s="1" t="s">
        <v>11866</v>
      </c>
      <c r="C3885" s="1" t="s">
        <v>11867</v>
      </c>
      <c r="D3885" s="1" t="s">
        <v>11578</v>
      </c>
      <c r="E3885" s="1" t="s">
        <v>11579</v>
      </c>
      <c r="F3885" s="1">
        <v>2741003.0</v>
      </c>
      <c r="G3885" s="1">
        <v>40464.0</v>
      </c>
      <c r="H3885" s="1">
        <v>339.0</v>
      </c>
      <c r="I3885" s="1">
        <v>4.33E7</v>
      </c>
      <c r="J3885" s="1" t="s">
        <v>9050</v>
      </c>
    </row>
    <row r="3886">
      <c r="A3886" s="1" t="s">
        <v>11868</v>
      </c>
      <c r="B3886" s="1" t="s">
        <v>11869</v>
      </c>
      <c r="C3886" s="1" t="s">
        <v>11870</v>
      </c>
      <c r="D3886" s="1" t="s">
        <v>11578</v>
      </c>
      <c r="E3886" s="1" t="s">
        <v>11579</v>
      </c>
      <c r="F3886" s="1">
        <v>1.1425093E7</v>
      </c>
      <c r="G3886" s="1">
        <v>310789.0</v>
      </c>
      <c r="H3886" s="1">
        <v>3879.0</v>
      </c>
      <c r="I3886" s="1">
        <v>4.33E7</v>
      </c>
      <c r="J3886" s="1" t="s">
        <v>9050</v>
      </c>
    </row>
    <row r="3887">
      <c r="A3887" s="1" t="s">
        <v>11874</v>
      </c>
      <c r="B3887" s="1" t="s">
        <v>11875</v>
      </c>
      <c r="C3887" s="1" t="s">
        <v>11876</v>
      </c>
      <c r="D3887" s="1" t="s">
        <v>11578</v>
      </c>
      <c r="E3887" s="1" t="s">
        <v>11579</v>
      </c>
      <c r="F3887" s="1">
        <v>9304757.0</v>
      </c>
      <c r="G3887" s="1">
        <v>77010.0</v>
      </c>
      <c r="H3887" s="1">
        <v>1155.0</v>
      </c>
      <c r="I3887" s="1">
        <v>4.33E7</v>
      </c>
      <c r="J3887" s="1" t="s">
        <v>9050</v>
      </c>
    </row>
    <row r="3888">
      <c r="A3888" s="1" t="s">
        <v>11877</v>
      </c>
      <c r="B3888" s="1" t="s">
        <v>11878</v>
      </c>
      <c r="C3888" s="1" t="s">
        <v>11879</v>
      </c>
      <c r="D3888" s="1" t="s">
        <v>11578</v>
      </c>
      <c r="E3888" s="1" t="s">
        <v>11579</v>
      </c>
      <c r="F3888" s="1">
        <v>4045743.0</v>
      </c>
      <c r="G3888" s="1">
        <v>101001.0</v>
      </c>
      <c r="H3888" s="1">
        <v>867.0</v>
      </c>
      <c r="I3888" s="1">
        <v>4.33E7</v>
      </c>
      <c r="J3888" s="1" t="s">
        <v>9050</v>
      </c>
    </row>
    <row r="3889">
      <c r="A3889" s="1" t="s">
        <v>11880</v>
      </c>
      <c r="B3889" s="1" t="s">
        <v>11881</v>
      </c>
      <c r="C3889" s="1" t="s">
        <v>11882</v>
      </c>
      <c r="D3889" s="1" t="s">
        <v>11578</v>
      </c>
      <c r="E3889" s="1" t="s">
        <v>11579</v>
      </c>
      <c r="F3889" s="1">
        <v>3129806.0</v>
      </c>
      <c r="G3889" s="1">
        <v>53735.0</v>
      </c>
      <c r="H3889" s="1">
        <v>318.0</v>
      </c>
      <c r="I3889" s="1">
        <v>4.33E7</v>
      </c>
      <c r="J3889" s="1" t="s">
        <v>9050</v>
      </c>
    </row>
    <row r="3890">
      <c r="A3890" s="1" t="s">
        <v>11883</v>
      </c>
      <c r="B3890" s="1" t="s">
        <v>11884</v>
      </c>
      <c r="C3890" s="1" t="s">
        <v>11885</v>
      </c>
      <c r="D3890" s="1" t="s">
        <v>11578</v>
      </c>
      <c r="E3890" s="1" t="s">
        <v>11579</v>
      </c>
      <c r="F3890" s="1">
        <v>2995003.0</v>
      </c>
      <c r="G3890" s="1">
        <v>70709.0</v>
      </c>
      <c r="H3890" s="1">
        <v>538.0</v>
      </c>
      <c r="I3890" s="1">
        <v>4.33E7</v>
      </c>
      <c r="J3890" s="1" t="s">
        <v>9050</v>
      </c>
    </row>
    <row r="3891">
      <c r="A3891" s="1" t="s">
        <v>11886</v>
      </c>
      <c r="B3891" s="1" t="s">
        <v>11887</v>
      </c>
      <c r="C3891" s="1" t="s">
        <v>11888</v>
      </c>
      <c r="D3891" s="1" t="s">
        <v>11578</v>
      </c>
      <c r="E3891" s="1" t="s">
        <v>11579</v>
      </c>
      <c r="F3891" s="1">
        <v>2412605.0</v>
      </c>
      <c r="G3891" s="1">
        <v>35914.0</v>
      </c>
      <c r="H3891" s="1">
        <v>366.0</v>
      </c>
      <c r="I3891" s="1">
        <v>4.33E7</v>
      </c>
      <c r="J3891" s="1" t="s">
        <v>9050</v>
      </c>
    </row>
    <row r="3892">
      <c r="A3892" s="1" t="s">
        <v>11889</v>
      </c>
      <c r="B3892" s="1" t="s">
        <v>11890</v>
      </c>
      <c r="C3892" s="1" t="s">
        <v>11892</v>
      </c>
      <c r="D3892" s="1" t="s">
        <v>11578</v>
      </c>
      <c r="E3892" s="1" t="s">
        <v>11579</v>
      </c>
      <c r="F3892" s="1">
        <v>1.2325832E7</v>
      </c>
      <c r="G3892" s="1">
        <v>243583.0</v>
      </c>
      <c r="H3892" s="1">
        <v>1146.0</v>
      </c>
      <c r="I3892" s="1">
        <v>4.33E7</v>
      </c>
      <c r="J3892" s="1" t="s">
        <v>9050</v>
      </c>
    </row>
    <row r="3893">
      <c r="A3893" s="1" t="s">
        <v>11895</v>
      </c>
      <c r="B3893" s="1" t="s">
        <v>11896</v>
      </c>
      <c r="C3893" s="1" t="s">
        <v>11897</v>
      </c>
      <c r="D3893" s="1" t="s">
        <v>11578</v>
      </c>
      <c r="E3893" s="1" t="s">
        <v>11579</v>
      </c>
      <c r="F3893" s="1">
        <v>2.5434832E7</v>
      </c>
      <c r="G3893" s="1">
        <v>557906.0</v>
      </c>
      <c r="H3893" s="1">
        <v>1866.0</v>
      </c>
      <c r="I3893" s="1">
        <v>4.33E7</v>
      </c>
      <c r="J3893" s="1" t="s">
        <v>9050</v>
      </c>
    </row>
    <row r="3894">
      <c r="A3894" s="1" t="s">
        <v>11898</v>
      </c>
      <c r="B3894" s="1" t="s">
        <v>11899</v>
      </c>
      <c r="C3894" s="1" t="s">
        <v>11900</v>
      </c>
      <c r="D3894" s="1" t="s">
        <v>11578</v>
      </c>
      <c r="E3894" s="1" t="s">
        <v>11579</v>
      </c>
      <c r="F3894" s="1">
        <v>2.6658958E7</v>
      </c>
      <c r="G3894" s="1">
        <v>662784.0</v>
      </c>
      <c r="H3894" s="1">
        <v>2599.0</v>
      </c>
      <c r="I3894" s="1">
        <v>4.33E7</v>
      </c>
      <c r="J3894" s="1" t="s">
        <v>9050</v>
      </c>
    </row>
    <row r="3895">
      <c r="A3895" s="1" t="s">
        <v>11901</v>
      </c>
      <c r="B3895" s="1" t="s">
        <v>11902</v>
      </c>
      <c r="C3895" s="1" t="s">
        <v>11903</v>
      </c>
      <c r="D3895" s="1" t="s">
        <v>11578</v>
      </c>
      <c r="E3895" s="1" t="s">
        <v>11579</v>
      </c>
      <c r="F3895" s="1">
        <v>4404417.0</v>
      </c>
      <c r="G3895" s="1">
        <v>104411.0</v>
      </c>
      <c r="H3895" s="1">
        <v>545.0</v>
      </c>
      <c r="I3895" s="1">
        <v>4.33E7</v>
      </c>
      <c r="J3895" s="1" t="s">
        <v>9050</v>
      </c>
    </row>
    <row r="3896">
      <c r="A3896" s="1" t="s">
        <v>11904</v>
      </c>
      <c r="B3896" s="1" t="s">
        <v>11905</v>
      </c>
      <c r="C3896" s="1" t="s">
        <v>11906</v>
      </c>
      <c r="D3896" s="1" t="s">
        <v>11578</v>
      </c>
      <c r="E3896" s="1" t="s">
        <v>11579</v>
      </c>
      <c r="F3896" s="1">
        <v>3398644.0</v>
      </c>
      <c r="G3896" s="1">
        <v>60955.0</v>
      </c>
      <c r="H3896" s="1">
        <v>199.0</v>
      </c>
      <c r="I3896" s="1">
        <v>4.33E7</v>
      </c>
      <c r="J3896" s="1" t="s">
        <v>9050</v>
      </c>
    </row>
    <row r="3897">
      <c r="A3897" s="1" t="s">
        <v>11907</v>
      </c>
      <c r="B3897" s="1" t="s">
        <v>11908</v>
      </c>
      <c r="C3897" s="1" t="s">
        <v>11909</v>
      </c>
      <c r="D3897" s="1" t="s">
        <v>11578</v>
      </c>
      <c r="E3897" s="1" t="s">
        <v>11579</v>
      </c>
      <c r="F3897" s="1">
        <v>1.9702824E7</v>
      </c>
      <c r="G3897" s="1">
        <v>298471.0</v>
      </c>
      <c r="H3897" s="1">
        <v>2436.0</v>
      </c>
      <c r="I3897" s="1">
        <v>4.33E7</v>
      </c>
      <c r="J3897" s="1" t="s">
        <v>9050</v>
      </c>
    </row>
    <row r="3898">
      <c r="A3898" s="1" t="s">
        <v>11910</v>
      </c>
      <c r="B3898" s="1" t="s">
        <v>11911</v>
      </c>
      <c r="C3898" s="1" t="s">
        <v>11912</v>
      </c>
      <c r="D3898" s="1" t="s">
        <v>11578</v>
      </c>
      <c r="E3898" s="1" t="s">
        <v>11579</v>
      </c>
      <c r="F3898" s="1">
        <v>2946779.0</v>
      </c>
      <c r="G3898" s="1">
        <v>43197.0</v>
      </c>
      <c r="H3898" s="1">
        <v>138.0</v>
      </c>
      <c r="I3898" s="1">
        <v>4.33E7</v>
      </c>
      <c r="J3898" s="1" t="s">
        <v>9050</v>
      </c>
    </row>
    <row r="3899">
      <c r="A3899" s="1" t="s">
        <v>11914</v>
      </c>
      <c r="B3899" s="1" t="s">
        <v>11916</v>
      </c>
      <c r="C3899" s="1" t="s">
        <v>11918</v>
      </c>
      <c r="D3899" s="1" t="s">
        <v>11578</v>
      </c>
      <c r="E3899" s="1" t="s">
        <v>11579</v>
      </c>
      <c r="F3899" s="1">
        <v>2424548.0</v>
      </c>
      <c r="G3899" s="1">
        <v>50309.0</v>
      </c>
      <c r="H3899" s="1">
        <v>228.0</v>
      </c>
      <c r="I3899" s="1">
        <v>4.33E7</v>
      </c>
      <c r="J3899" s="1" t="s">
        <v>9050</v>
      </c>
    </row>
    <row r="3900">
      <c r="A3900" s="1" t="s">
        <v>11919</v>
      </c>
      <c r="B3900" s="1" t="s">
        <v>11920</v>
      </c>
      <c r="C3900" s="1" t="s">
        <v>11921</v>
      </c>
      <c r="D3900" s="1" t="s">
        <v>11578</v>
      </c>
      <c r="E3900" s="1" t="s">
        <v>11579</v>
      </c>
      <c r="F3900" s="1">
        <v>3560282.0</v>
      </c>
      <c r="G3900" s="1">
        <v>70829.0</v>
      </c>
      <c r="H3900" s="1">
        <v>321.0</v>
      </c>
      <c r="I3900" s="1">
        <v>4.33E7</v>
      </c>
      <c r="J3900" s="1" t="s">
        <v>9050</v>
      </c>
    </row>
    <row r="3901">
      <c r="A3901" s="1" t="s">
        <v>11922</v>
      </c>
      <c r="B3901" s="1" t="s">
        <v>11923</v>
      </c>
      <c r="C3901" s="1" t="s">
        <v>11924</v>
      </c>
      <c r="D3901" s="1" t="s">
        <v>11578</v>
      </c>
      <c r="E3901" s="1" t="s">
        <v>11579</v>
      </c>
      <c r="F3901" s="1">
        <v>2846818.0</v>
      </c>
      <c r="G3901" s="1">
        <v>80806.0</v>
      </c>
      <c r="H3901" s="1">
        <v>860.0</v>
      </c>
      <c r="I3901" s="1">
        <v>4.33E7</v>
      </c>
      <c r="J3901" s="1" t="s">
        <v>9050</v>
      </c>
    </row>
    <row r="3902">
      <c r="A3902" s="1" t="s">
        <v>11925</v>
      </c>
      <c r="B3902" s="1" t="s">
        <v>11926</v>
      </c>
      <c r="C3902" s="1" t="s">
        <v>11927</v>
      </c>
      <c r="D3902" s="1" t="s">
        <v>11578</v>
      </c>
      <c r="E3902" s="1" t="s">
        <v>11579</v>
      </c>
      <c r="F3902" s="1">
        <v>4349732.0</v>
      </c>
      <c r="G3902" s="1">
        <v>61832.0</v>
      </c>
      <c r="H3902" s="1">
        <v>209.0</v>
      </c>
      <c r="I3902" s="1">
        <v>4.33E7</v>
      </c>
      <c r="J3902" s="1" t="s">
        <v>9050</v>
      </c>
    </row>
    <row r="3903">
      <c r="A3903" s="1" t="s">
        <v>11928</v>
      </c>
      <c r="B3903" s="1" t="s">
        <v>11929</v>
      </c>
      <c r="C3903" s="1" t="s">
        <v>11930</v>
      </c>
      <c r="D3903" s="1" t="s">
        <v>11578</v>
      </c>
      <c r="E3903" s="1" t="s">
        <v>11579</v>
      </c>
      <c r="F3903" s="1">
        <v>2.5783282E7</v>
      </c>
      <c r="G3903" s="1">
        <v>275932.0</v>
      </c>
      <c r="H3903" s="1">
        <v>376.0</v>
      </c>
      <c r="I3903" s="1">
        <v>4.33E7</v>
      </c>
      <c r="J3903" s="1" t="s">
        <v>9050</v>
      </c>
    </row>
    <row r="3904">
      <c r="A3904" s="1" t="s">
        <v>11931</v>
      </c>
      <c r="B3904" s="1" t="s">
        <v>11932</v>
      </c>
      <c r="C3904" s="1" t="s">
        <v>11933</v>
      </c>
      <c r="D3904" s="1" t="s">
        <v>11578</v>
      </c>
      <c r="E3904" s="1" t="s">
        <v>11579</v>
      </c>
      <c r="F3904" s="1">
        <v>1999535.0</v>
      </c>
      <c r="G3904" s="1">
        <v>0.0</v>
      </c>
      <c r="H3904" s="1">
        <v>161.0</v>
      </c>
      <c r="I3904" s="1">
        <v>4.33E7</v>
      </c>
      <c r="J3904" s="1" t="s">
        <v>9050</v>
      </c>
    </row>
    <row r="3905">
      <c r="A3905" s="1" t="s">
        <v>11937</v>
      </c>
      <c r="B3905" s="1" t="s">
        <v>11938</v>
      </c>
      <c r="C3905" s="1" t="s">
        <v>11939</v>
      </c>
      <c r="D3905" s="1" t="s">
        <v>11578</v>
      </c>
      <c r="E3905" s="1" t="s">
        <v>11579</v>
      </c>
      <c r="F3905" s="1">
        <v>2471905.0</v>
      </c>
      <c r="G3905" s="1">
        <v>11261.0</v>
      </c>
      <c r="H3905" s="1">
        <v>545.0</v>
      </c>
      <c r="I3905" s="1">
        <v>4.33E7</v>
      </c>
      <c r="J3905" s="1" t="s">
        <v>9050</v>
      </c>
    </row>
    <row r="3906">
      <c r="A3906" s="1" t="s">
        <v>11940</v>
      </c>
      <c r="B3906" s="1" t="s">
        <v>11941</v>
      </c>
      <c r="C3906" s="1" t="s">
        <v>11942</v>
      </c>
      <c r="D3906" s="1" t="s">
        <v>11578</v>
      </c>
      <c r="E3906" s="1" t="s">
        <v>11579</v>
      </c>
      <c r="F3906" s="1">
        <v>2.5196872E7</v>
      </c>
      <c r="G3906" s="1">
        <v>640971.0</v>
      </c>
      <c r="H3906" s="1">
        <v>1489.0</v>
      </c>
      <c r="I3906" s="1">
        <v>4.33E7</v>
      </c>
      <c r="J3906" s="1" t="s">
        <v>9050</v>
      </c>
    </row>
    <row r="3907">
      <c r="A3907" s="1" t="s">
        <v>11943</v>
      </c>
      <c r="B3907" s="1" t="s">
        <v>11944</v>
      </c>
      <c r="C3907" s="1" t="s">
        <v>11945</v>
      </c>
      <c r="D3907" s="1" t="s">
        <v>11578</v>
      </c>
      <c r="E3907" s="1" t="s">
        <v>11579</v>
      </c>
      <c r="F3907" s="1">
        <v>4988797.0</v>
      </c>
      <c r="G3907" s="1">
        <v>223890.0</v>
      </c>
      <c r="H3907" s="1">
        <v>1089.0</v>
      </c>
      <c r="I3907" s="1">
        <v>4.33E7</v>
      </c>
      <c r="J3907" s="1" t="s">
        <v>9050</v>
      </c>
    </row>
    <row r="3908">
      <c r="A3908" s="1" t="s">
        <v>11946</v>
      </c>
      <c r="B3908" s="1" t="s">
        <v>11947</v>
      </c>
      <c r="C3908" s="1" t="s">
        <v>11948</v>
      </c>
      <c r="D3908" s="1" t="s">
        <v>11578</v>
      </c>
      <c r="E3908" s="1" t="s">
        <v>11579</v>
      </c>
      <c r="F3908" s="1">
        <v>1.8072895E7</v>
      </c>
      <c r="G3908" s="1">
        <v>378766.0</v>
      </c>
      <c r="H3908" s="1">
        <v>946.0</v>
      </c>
      <c r="I3908" s="1">
        <v>4.33E7</v>
      </c>
      <c r="J3908" s="1" t="s">
        <v>9050</v>
      </c>
    </row>
    <row r="3909">
      <c r="A3909" s="1" t="s">
        <v>11949</v>
      </c>
      <c r="B3909" s="1" t="s">
        <v>11950</v>
      </c>
      <c r="C3909" s="1" t="s">
        <v>11951</v>
      </c>
      <c r="D3909" s="1" t="s">
        <v>11578</v>
      </c>
      <c r="E3909" s="1" t="s">
        <v>11579</v>
      </c>
      <c r="F3909" s="1">
        <v>1.4193968E7</v>
      </c>
      <c r="G3909" s="1">
        <v>492435.0</v>
      </c>
      <c r="H3909" s="1">
        <v>4973.0</v>
      </c>
      <c r="I3909" s="1">
        <v>4.33E7</v>
      </c>
      <c r="J3909" s="1" t="s">
        <v>9050</v>
      </c>
    </row>
    <row r="3910">
      <c r="A3910" s="1" t="s">
        <v>11952</v>
      </c>
      <c r="B3910" s="1" t="s">
        <v>11953</v>
      </c>
      <c r="C3910" s="1" t="s">
        <v>11954</v>
      </c>
      <c r="D3910" s="1" t="s">
        <v>11578</v>
      </c>
      <c r="E3910" s="1" t="s">
        <v>11579</v>
      </c>
      <c r="F3910" s="1">
        <v>1.7452466E7</v>
      </c>
      <c r="G3910" s="1">
        <v>561120.0</v>
      </c>
      <c r="H3910" s="1">
        <v>639.0</v>
      </c>
      <c r="I3910" s="1">
        <v>4.33E7</v>
      </c>
      <c r="J3910" s="1" t="s">
        <v>9050</v>
      </c>
    </row>
    <row r="3911">
      <c r="A3911" s="1" t="s">
        <v>11958</v>
      </c>
      <c r="B3911" s="1" t="s">
        <v>11959</v>
      </c>
      <c r="C3911" s="1" t="s">
        <v>11960</v>
      </c>
      <c r="D3911" s="1" t="s">
        <v>11578</v>
      </c>
      <c r="E3911" s="1" t="s">
        <v>11579</v>
      </c>
      <c r="F3911" s="1">
        <v>3445242.0</v>
      </c>
      <c r="G3911" s="1">
        <v>95467.0</v>
      </c>
      <c r="H3911" s="1">
        <v>892.0</v>
      </c>
      <c r="I3911" s="1">
        <v>4.33E7</v>
      </c>
      <c r="J3911" s="1" t="s">
        <v>9050</v>
      </c>
    </row>
    <row r="3912">
      <c r="A3912" s="1" t="s">
        <v>11961</v>
      </c>
      <c r="B3912" s="1" t="s">
        <v>11962</v>
      </c>
      <c r="C3912" s="1" t="s">
        <v>11963</v>
      </c>
      <c r="D3912" s="1" t="s">
        <v>11578</v>
      </c>
      <c r="E3912" s="1" t="s">
        <v>11579</v>
      </c>
      <c r="F3912" s="1">
        <v>2460106.0</v>
      </c>
      <c r="G3912" s="1">
        <v>86692.0</v>
      </c>
      <c r="H3912" s="1">
        <v>646.0</v>
      </c>
      <c r="I3912" s="1">
        <v>4.33E7</v>
      </c>
      <c r="J3912" s="1" t="s">
        <v>9050</v>
      </c>
    </row>
    <row r="3913">
      <c r="A3913" s="1" t="s">
        <v>11964</v>
      </c>
      <c r="B3913" s="1" t="s">
        <v>11965</v>
      </c>
      <c r="C3913" s="1" t="s">
        <v>11966</v>
      </c>
      <c r="D3913" s="1" t="s">
        <v>11578</v>
      </c>
      <c r="E3913" s="1" t="s">
        <v>11579</v>
      </c>
      <c r="F3913" s="1">
        <v>2852282.0</v>
      </c>
      <c r="G3913" s="1">
        <v>95660.0</v>
      </c>
      <c r="H3913" s="1">
        <v>400.0</v>
      </c>
      <c r="I3913" s="1">
        <v>4.33E7</v>
      </c>
      <c r="J3913" s="1" t="s">
        <v>9050</v>
      </c>
    </row>
    <row r="3914">
      <c r="A3914" s="1" t="s">
        <v>11967</v>
      </c>
      <c r="B3914" s="1" t="s">
        <v>11968</v>
      </c>
      <c r="C3914" s="1" t="s">
        <v>11969</v>
      </c>
      <c r="D3914" s="1" t="s">
        <v>11578</v>
      </c>
      <c r="E3914" s="1" t="s">
        <v>11579</v>
      </c>
      <c r="F3914" s="1">
        <v>2345224.0</v>
      </c>
      <c r="G3914" s="1">
        <v>88333.0</v>
      </c>
      <c r="H3914" s="1">
        <v>520.0</v>
      </c>
      <c r="I3914" s="1">
        <v>4.33E7</v>
      </c>
      <c r="J3914" s="1" t="s">
        <v>9050</v>
      </c>
    </row>
    <row r="3915">
      <c r="A3915" s="1" t="s">
        <v>11970</v>
      </c>
      <c r="B3915" s="1" t="s">
        <v>11971</v>
      </c>
      <c r="C3915" s="1" t="s">
        <v>11972</v>
      </c>
      <c r="D3915" s="1" t="s">
        <v>11578</v>
      </c>
      <c r="E3915" s="1" t="s">
        <v>11579</v>
      </c>
      <c r="F3915" s="1">
        <v>2538696.0</v>
      </c>
      <c r="G3915" s="1">
        <v>123203.0</v>
      </c>
      <c r="H3915" s="1">
        <v>553.0</v>
      </c>
      <c r="I3915" s="1">
        <v>4.33E7</v>
      </c>
      <c r="J3915" s="1" t="s">
        <v>9050</v>
      </c>
    </row>
    <row r="3916">
      <c r="A3916" s="1" t="s">
        <v>11973</v>
      </c>
      <c r="B3916" s="1" t="s">
        <v>11974</v>
      </c>
      <c r="C3916" s="1" t="s">
        <v>11972</v>
      </c>
      <c r="D3916" s="1" t="s">
        <v>11578</v>
      </c>
      <c r="E3916" s="1" t="s">
        <v>11579</v>
      </c>
      <c r="F3916" s="1">
        <v>2700519.0</v>
      </c>
      <c r="G3916" s="1">
        <v>84109.0</v>
      </c>
      <c r="H3916" s="1">
        <v>326.0</v>
      </c>
      <c r="I3916" s="1">
        <v>4.33E7</v>
      </c>
      <c r="J3916" s="1" t="s">
        <v>9050</v>
      </c>
    </row>
    <row r="3917">
      <c r="A3917" s="1" t="s">
        <v>11975</v>
      </c>
      <c r="B3917" s="1" t="s">
        <v>11977</v>
      </c>
      <c r="C3917" s="1" t="s">
        <v>11979</v>
      </c>
      <c r="D3917" s="1" t="s">
        <v>11578</v>
      </c>
      <c r="E3917" s="1" t="s">
        <v>11579</v>
      </c>
      <c r="F3917" s="1">
        <v>1537140.0</v>
      </c>
      <c r="G3917" s="1">
        <v>36926.0</v>
      </c>
      <c r="H3917" s="1">
        <v>150.0</v>
      </c>
      <c r="I3917" s="1">
        <v>4.33E7</v>
      </c>
      <c r="J3917" s="1" t="s">
        <v>9050</v>
      </c>
    </row>
    <row r="3918">
      <c r="A3918" s="1" t="s">
        <v>11981</v>
      </c>
      <c r="B3918" s="1" t="s">
        <v>11982</v>
      </c>
      <c r="C3918" s="1" t="s">
        <v>11983</v>
      </c>
      <c r="D3918" s="1" t="s">
        <v>11578</v>
      </c>
      <c r="E3918" s="1" t="s">
        <v>11579</v>
      </c>
      <c r="F3918" s="1">
        <v>1.62032389E8</v>
      </c>
      <c r="G3918" s="1">
        <v>1318788.0</v>
      </c>
      <c r="H3918" s="1">
        <v>915.0</v>
      </c>
      <c r="I3918" s="1">
        <v>4.33E7</v>
      </c>
      <c r="J3918" s="1" t="s">
        <v>9050</v>
      </c>
    </row>
    <row r="3919">
      <c r="A3919" s="1" t="s">
        <v>11984</v>
      </c>
      <c r="B3919" s="1" t="s">
        <v>11985</v>
      </c>
      <c r="C3919" s="1" t="s">
        <v>11986</v>
      </c>
      <c r="D3919" s="1" t="s">
        <v>11578</v>
      </c>
      <c r="E3919" s="1" t="s">
        <v>11579</v>
      </c>
      <c r="F3919" s="1">
        <v>2621709.0</v>
      </c>
      <c r="G3919" s="1">
        <v>96542.0</v>
      </c>
      <c r="H3919" s="1">
        <v>424.0</v>
      </c>
      <c r="I3919" s="1">
        <v>4.33E7</v>
      </c>
      <c r="J3919" s="1" t="s">
        <v>9050</v>
      </c>
    </row>
    <row r="3920">
      <c r="A3920" s="1" t="s">
        <v>11987</v>
      </c>
      <c r="B3920" s="1" t="s">
        <v>11988</v>
      </c>
      <c r="C3920" s="1" t="s">
        <v>11989</v>
      </c>
      <c r="D3920" s="1" t="s">
        <v>11578</v>
      </c>
      <c r="E3920" s="1" t="s">
        <v>11579</v>
      </c>
      <c r="F3920" s="1">
        <v>2457749.0</v>
      </c>
      <c r="G3920" s="1">
        <v>82257.0</v>
      </c>
      <c r="H3920" s="1">
        <v>430.0</v>
      </c>
      <c r="I3920" s="1">
        <v>4.33E7</v>
      </c>
      <c r="J3920" s="1" t="s">
        <v>9050</v>
      </c>
    </row>
    <row r="3921">
      <c r="A3921" s="1" t="s">
        <v>11991</v>
      </c>
      <c r="B3921" s="1" t="s">
        <v>11993</v>
      </c>
      <c r="C3921" s="1" t="s">
        <v>11995</v>
      </c>
      <c r="D3921" s="1" t="s">
        <v>11578</v>
      </c>
      <c r="E3921" s="1" t="s">
        <v>11579</v>
      </c>
      <c r="F3921" s="1">
        <v>4186509.0</v>
      </c>
      <c r="G3921" s="1">
        <v>134433.0</v>
      </c>
      <c r="H3921" s="1">
        <v>574.0</v>
      </c>
      <c r="I3921" s="1">
        <v>4.33E7</v>
      </c>
      <c r="J3921" s="1" t="s">
        <v>9050</v>
      </c>
    </row>
    <row r="3922">
      <c r="A3922" s="1" t="s">
        <v>11996</v>
      </c>
      <c r="B3922" s="1" t="s">
        <v>11997</v>
      </c>
      <c r="C3922" s="1" t="s">
        <v>11998</v>
      </c>
      <c r="D3922" s="1" t="s">
        <v>11578</v>
      </c>
      <c r="E3922" s="1" t="s">
        <v>11579</v>
      </c>
      <c r="F3922" s="1">
        <v>3284552.0</v>
      </c>
      <c r="G3922" s="1">
        <v>91966.0</v>
      </c>
      <c r="H3922" s="1">
        <v>345.0</v>
      </c>
      <c r="I3922" s="1">
        <v>4.33E7</v>
      </c>
      <c r="J3922" s="1" t="s">
        <v>9050</v>
      </c>
    </row>
    <row r="3923">
      <c r="A3923" s="1" t="s">
        <v>11999</v>
      </c>
      <c r="B3923" s="1" t="s">
        <v>12000</v>
      </c>
      <c r="C3923" s="1" t="s">
        <v>12001</v>
      </c>
      <c r="D3923" s="1" t="s">
        <v>11578</v>
      </c>
      <c r="E3923" s="1" t="s">
        <v>11579</v>
      </c>
      <c r="F3923" s="1">
        <v>665223.0</v>
      </c>
      <c r="G3923" s="1">
        <v>11271.0</v>
      </c>
      <c r="H3923" s="1">
        <v>555.0</v>
      </c>
      <c r="I3923" s="1">
        <v>4.33E7</v>
      </c>
      <c r="J3923" s="1" t="s">
        <v>9050</v>
      </c>
    </row>
    <row r="3924">
      <c r="A3924" s="1" t="s">
        <v>12002</v>
      </c>
      <c r="B3924" s="1" t="s">
        <v>12003</v>
      </c>
      <c r="C3924" s="1" t="s">
        <v>12004</v>
      </c>
      <c r="D3924" s="1" t="s">
        <v>11578</v>
      </c>
      <c r="E3924" s="1" t="s">
        <v>11579</v>
      </c>
      <c r="F3924" s="1">
        <v>7153038.0</v>
      </c>
      <c r="G3924" s="1">
        <v>426756.0</v>
      </c>
      <c r="H3924" s="1">
        <v>1530.0</v>
      </c>
      <c r="I3924" s="1">
        <v>4.33E7</v>
      </c>
      <c r="J3924" s="1" t="s">
        <v>9050</v>
      </c>
    </row>
    <row r="3925">
      <c r="A3925" s="1" t="s">
        <v>12005</v>
      </c>
      <c r="B3925" s="1" t="s">
        <v>12006</v>
      </c>
      <c r="C3925" s="1" t="s">
        <v>12007</v>
      </c>
      <c r="D3925" s="1" t="s">
        <v>11578</v>
      </c>
      <c r="E3925" s="1" t="s">
        <v>11579</v>
      </c>
      <c r="F3925" s="1">
        <v>2.3462993E7</v>
      </c>
      <c r="G3925" s="1">
        <v>445565.0</v>
      </c>
      <c r="H3925" s="1">
        <v>863.0</v>
      </c>
      <c r="I3925" s="1">
        <v>4.33E7</v>
      </c>
      <c r="J3925" s="1" t="s">
        <v>9050</v>
      </c>
    </row>
    <row r="3926">
      <c r="A3926" s="1" t="s">
        <v>12008</v>
      </c>
      <c r="B3926" s="1" t="s">
        <v>12009</v>
      </c>
      <c r="C3926" s="1" t="s">
        <v>12010</v>
      </c>
      <c r="D3926" s="1" t="s">
        <v>11578</v>
      </c>
      <c r="E3926" s="1" t="s">
        <v>11579</v>
      </c>
      <c r="F3926" s="1">
        <v>2043152.0</v>
      </c>
      <c r="G3926" s="1">
        <v>15157.0</v>
      </c>
      <c r="H3926" s="1">
        <v>534.0</v>
      </c>
      <c r="I3926" s="1">
        <v>4.33E7</v>
      </c>
      <c r="J3926" s="1" t="s">
        <v>9050</v>
      </c>
    </row>
    <row r="3927">
      <c r="A3927" s="1" t="s">
        <v>12011</v>
      </c>
      <c r="B3927" s="1" t="s">
        <v>12012</v>
      </c>
      <c r="C3927" s="1" t="s">
        <v>12013</v>
      </c>
      <c r="D3927" s="1" t="s">
        <v>11578</v>
      </c>
      <c r="E3927" s="1" t="s">
        <v>11579</v>
      </c>
      <c r="F3927" s="1">
        <v>3796957.0</v>
      </c>
      <c r="G3927" s="1">
        <v>115902.0</v>
      </c>
      <c r="H3927" s="1">
        <v>680.0</v>
      </c>
      <c r="I3927" s="1">
        <v>4.33E7</v>
      </c>
      <c r="J3927" s="1" t="s">
        <v>9050</v>
      </c>
    </row>
    <row r="3928">
      <c r="A3928" s="1" t="s">
        <v>12017</v>
      </c>
      <c r="B3928" s="1" t="s">
        <v>12018</v>
      </c>
      <c r="C3928" s="1" t="s">
        <v>12019</v>
      </c>
      <c r="D3928" s="1" t="s">
        <v>11578</v>
      </c>
      <c r="E3928" s="1" t="s">
        <v>11579</v>
      </c>
      <c r="F3928" s="1">
        <v>5128012.0</v>
      </c>
      <c r="G3928" s="1">
        <v>160535.0</v>
      </c>
      <c r="H3928" s="1">
        <v>573.0</v>
      </c>
      <c r="I3928" s="1">
        <v>4.33E7</v>
      </c>
      <c r="J3928" s="1" t="s">
        <v>9050</v>
      </c>
    </row>
    <row r="3929">
      <c r="A3929" s="1" t="s">
        <v>12020</v>
      </c>
      <c r="B3929" s="1" t="s">
        <v>12021</v>
      </c>
      <c r="C3929" s="1" t="s">
        <v>12022</v>
      </c>
      <c r="D3929" s="1" t="s">
        <v>11578</v>
      </c>
      <c r="E3929" s="1" t="s">
        <v>11579</v>
      </c>
      <c r="F3929" s="1">
        <v>3760316.0</v>
      </c>
      <c r="G3929" s="1">
        <v>87544.0</v>
      </c>
      <c r="H3929" s="1">
        <v>253.0</v>
      </c>
      <c r="I3929" s="1">
        <v>4.33E7</v>
      </c>
      <c r="J3929" s="1" t="s">
        <v>9050</v>
      </c>
    </row>
    <row r="3930">
      <c r="A3930" s="1" t="s">
        <v>12023</v>
      </c>
      <c r="B3930" s="1" t="s">
        <v>12024</v>
      </c>
      <c r="C3930" s="1" t="s">
        <v>12025</v>
      </c>
      <c r="D3930" s="1" t="s">
        <v>11578</v>
      </c>
      <c r="E3930" s="1" t="s">
        <v>11579</v>
      </c>
      <c r="F3930" s="1">
        <v>666951.0</v>
      </c>
      <c r="G3930" s="1">
        <v>8974.0</v>
      </c>
      <c r="H3930" s="1">
        <v>486.0</v>
      </c>
      <c r="I3930" s="1">
        <v>4.33E7</v>
      </c>
      <c r="J3930" s="1" t="s">
        <v>9050</v>
      </c>
    </row>
    <row r="3931">
      <c r="A3931" s="1" t="s">
        <v>12026</v>
      </c>
      <c r="B3931" s="1" t="s">
        <v>12027</v>
      </c>
      <c r="C3931" s="1" t="s">
        <v>12028</v>
      </c>
      <c r="D3931" s="1" t="s">
        <v>11578</v>
      </c>
      <c r="E3931" s="1" t="s">
        <v>11579</v>
      </c>
      <c r="F3931" s="1">
        <v>2.5182989E7</v>
      </c>
      <c r="G3931" s="1">
        <v>0.0</v>
      </c>
      <c r="H3931" s="1">
        <v>738.0</v>
      </c>
      <c r="I3931" s="1">
        <v>4.33E7</v>
      </c>
      <c r="J3931" s="1" t="s">
        <v>9050</v>
      </c>
    </row>
    <row r="3932">
      <c r="A3932" s="1" t="s">
        <v>12032</v>
      </c>
      <c r="B3932" s="1" t="s">
        <v>12033</v>
      </c>
      <c r="C3932" s="1" t="s">
        <v>12034</v>
      </c>
      <c r="D3932" s="1" t="s">
        <v>11578</v>
      </c>
      <c r="E3932" s="1" t="s">
        <v>11579</v>
      </c>
      <c r="F3932" s="1">
        <v>3374959.0</v>
      </c>
      <c r="G3932" s="1">
        <v>0.0</v>
      </c>
      <c r="H3932" s="1">
        <v>377.0</v>
      </c>
      <c r="I3932" s="1">
        <v>4.33E7</v>
      </c>
      <c r="J3932" s="1" t="s">
        <v>9050</v>
      </c>
    </row>
    <row r="3933">
      <c r="A3933" s="1" t="s">
        <v>12035</v>
      </c>
      <c r="B3933" s="1" t="s">
        <v>12036</v>
      </c>
      <c r="C3933" s="1" t="s">
        <v>12037</v>
      </c>
      <c r="D3933" s="1" t="s">
        <v>11578</v>
      </c>
      <c r="E3933" s="1" t="s">
        <v>11579</v>
      </c>
      <c r="F3933" s="1">
        <v>1.5181919E7</v>
      </c>
      <c r="G3933" s="1">
        <v>191824.0</v>
      </c>
      <c r="H3933" s="1">
        <v>298.0</v>
      </c>
      <c r="I3933" s="1">
        <v>4.33E7</v>
      </c>
      <c r="J3933" s="1" t="s">
        <v>9050</v>
      </c>
    </row>
    <row r="3934">
      <c r="A3934" s="1" t="s">
        <v>12038</v>
      </c>
      <c r="B3934" s="1" t="s">
        <v>12039</v>
      </c>
      <c r="C3934" s="1" t="s">
        <v>12040</v>
      </c>
      <c r="D3934" s="1" t="s">
        <v>11578</v>
      </c>
      <c r="E3934" s="1" t="s">
        <v>11579</v>
      </c>
      <c r="F3934" s="1">
        <v>1.0122853E7</v>
      </c>
      <c r="G3934" s="1">
        <v>166050.0</v>
      </c>
      <c r="H3934" s="1">
        <v>431.0</v>
      </c>
      <c r="I3934" s="1">
        <v>4.33E7</v>
      </c>
      <c r="J3934" s="1" t="s">
        <v>9050</v>
      </c>
    </row>
    <row r="3935">
      <c r="A3935" s="1" t="s">
        <v>12041</v>
      </c>
      <c r="B3935" s="1" t="s">
        <v>12042</v>
      </c>
      <c r="C3935" s="1" t="s">
        <v>12043</v>
      </c>
      <c r="D3935" s="1" t="s">
        <v>11578</v>
      </c>
      <c r="E3935" s="1" t="s">
        <v>11579</v>
      </c>
      <c r="F3935" s="1">
        <v>3257732.0</v>
      </c>
      <c r="G3935" s="1">
        <v>96528.0</v>
      </c>
      <c r="H3935" s="1">
        <v>700.0</v>
      </c>
      <c r="I3935" s="1">
        <v>4.33E7</v>
      </c>
      <c r="J3935" s="1" t="s">
        <v>9050</v>
      </c>
    </row>
    <row r="3936">
      <c r="A3936" s="1" t="s">
        <v>12044</v>
      </c>
      <c r="B3936" s="1" t="s">
        <v>12045</v>
      </c>
      <c r="C3936" s="1" t="s">
        <v>12046</v>
      </c>
      <c r="D3936" s="1" t="s">
        <v>11578</v>
      </c>
      <c r="E3936" s="1" t="s">
        <v>11579</v>
      </c>
      <c r="F3936" s="1">
        <v>4329776.0</v>
      </c>
      <c r="G3936" s="1">
        <v>117743.0</v>
      </c>
      <c r="H3936" s="1">
        <v>376.0</v>
      </c>
      <c r="I3936" s="1">
        <v>4.33E7</v>
      </c>
      <c r="J3936" s="1" t="s">
        <v>9050</v>
      </c>
    </row>
    <row r="3937">
      <c r="A3937" s="1" t="s">
        <v>12047</v>
      </c>
      <c r="B3937" s="1" t="s">
        <v>12048</v>
      </c>
      <c r="C3937" s="1" t="s">
        <v>12049</v>
      </c>
      <c r="D3937" s="1" t="s">
        <v>11578</v>
      </c>
      <c r="E3937" s="1" t="s">
        <v>11579</v>
      </c>
      <c r="F3937" s="1">
        <v>1.8734268E7</v>
      </c>
      <c r="G3937" s="1">
        <v>213565.0</v>
      </c>
      <c r="H3937" s="1">
        <v>571.0</v>
      </c>
      <c r="I3937" s="1">
        <v>4.33E7</v>
      </c>
      <c r="J3937" s="1" t="s">
        <v>9050</v>
      </c>
    </row>
    <row r="3938">
      <c r="A3938" s="1" t="s">
        <v>12053</v>
      </c>
      <c r="B3938" s="1" t="s">
        <v>12054</v>
      </c>
      <c r="C3938" s="1" t="s">
        <v>12055</v>
      </c>
      <c r="D3938" s="1" t="s">
        <v>11578</v>
      </c>
      <c r="E3938" s="1" t="s">
        <v>11579</v>
      </c>
      <c r="F3938" s="1">
        <v>3246760.0</v>
      </c>
      <c r="G3938" s="1">
        <v>67514.0</v>
      </c>
      <c r="H3938" s="1">
        <v>213.0</v>
      </c>
      <c r="I3938" s="1">
        <v>4.33E7</v>
      </c>
      <c r="J3938" s="1" t="s">
        <v>9050</v>
      </c>
    </row>
    <row r="3939">
      <c r="A3939" s="1" t="s">
        <v>12056</v>
      </c>
      <c r="B3939" s="1" t="s">
        <v>12057</v>
      </c>
      <c r="C3939" s="1" t="s">
        <v>12058</v>
      </c>
      <c r="D3939" s="1" t="s">
        <v>11578</v>
      </c>
      <c r="E3939" s="1" t="s">
        <v>11579</v>
      </c>
      <c r="F3939" s="1">
        <v>8885465.0</v>
      </c>
      <c r="G3939" s="1">
        <v>191754.0</v>
      </c>
      <c r="H3939" s="1">
        <v>423.0</v>
      </c>
      <c r="I3939" s="1">
        <v>4.33E7</v>
      </c>
      <c r="J3939" s="1" t="s">
        <v>9050</v>
      </c>
    </row>
    <row r="3940">
      <c r="A3940" s="1" t="s">
        <v>12059</v>
      </c>
      <c r="B3940" s="1" t="s">
        <v>12060</v>
      </c>
      <c r="C3940" s="1" t="s">
        <v>12061</v>
      </c>
      <c r="D3940" s="1" t="s">
        <v>11578</v>
      </c>
      <c r="E3940" s="1" t="s">
        <v>11579</v>
      </c>
      <c r="F3940" s="1">
        <v>2548192.0</v>
      </c>
      <c r="G3940" s="1">
        <v>80938.0</v>
      </c>
      <c r="H3940" s="1">
        <v>247.0</v>
      </c>
      <c r="I3940" s="1">
        <v>4.33E7</v>
      </c>
      <c r="J3940" s="1" t="s">
        <v>9050</v>
      </c>
    </row>
    <row r="3941">
      <c r="A3941" s="1" t="s">
        <v>12062</v>
      </c>
      <c r="B3941" s="1" t="s">
        <v>12063</v>
      </c>
      <c r="C3941" s="1" t="s">
        <v>12064</v>
      </c>
      <c r="D3941" s="1" t="s">
        <v>11578</v>
      </c>
      <c r="E3941" s="1" t="s">
        <v>11579</v>
      </c>
      <c r="F3941" s="1">
        <v>172584.0</v>
      </c>
      <c r="G3941" s="1">
        <v>5065.0</v>
      </c>
      <c r="H3941" s="1">
        <v>304.0</v>
      </c>
      <c r="I3941" s="1">
        <v>4.33E7</v>
      </c>
      <c r="J3941" s="1" t="s">
        <v>9050</v>
      </c>
    </row>
    <row r="3942">
      <c r="A3942" s="1" t="s">
        <v>12065</v>
      </c>
      <c r="B3942" s="1" t="s">
        <v>12066</v>
      </c>
      <c r="C3942" s="1" t="s">
        <v>12067</v>
      </c>
      <c r="D3942" s="1" t="s">
        <v>11578</v>
      </c>
      <c r="E3942" s="1" t="s">
        <v>11579</v>
      </c>
      <c r="F3942" s="1">
        <v>6.0932713E7</v>
      </c>
      <c r="G3942" s="1">
        <v>2142007.0</v>
      </c>
      <c r="H3942" s="1">
        <v>5867.0</v>
      </c>
      <c r="I3942" s="1">
        <v>4.33E7</v>
      </c>
      <c r="J3942" s="1" t="s">
        <v>9050</v>
      </c>
    </row>
    <row r="3943">
      <c r="A3943" s="1" t="s">
        <v>12068</v>
      </c>
      <c r="B3943" s="1" t="s">
        <v>12070</v>
      </c>
      <c r="C3943" s="1" t="s">
        <v>12072</v>
      </c>
      <c r="D3943" s="1" t="s">
        <v>11578</v>
      </c>
      <c r="E3943" s="1" t="s">
        <v>11579</v>
      </c>
      <c r="F3943" s="1">
        <v>5.5428095E7</v>
      </c>
      <c r="G3943" s="1">
        <v>903201.0</v>
      </c>
      <c r="H3943" s="1">
        <v>3212.0</v>
      </c>
      <c r="I3943" s="1">
        <v>4.33E7</v>
      </c>
      <c r="J3943" s="1" t="s">
        <v>9050</v>
      </c>
    </row>
    <row r="3944">
      <c r="A3944" s="1" t="s">
        <v>12074</v>
      </c>
      <c r="B3944" s="1" t="s">
        <v>12075</v>
      </c>
      <c r="C3944" s="1" t="s">
        <v>12076</v>
      </c>
      <c r="D3944" s="1" t="s">
        <v>11578</v>
      </c>
      <c r="E3944" s="1" t="s">
        <v>11579</v>
      </c>
      <c r="F3944" s="1">
        <v>1.2081031E7</v>
      </c>
      <c r="G3944" s="1">
        <v>378206.0</v>
      </c>
      <c r="H3944" s="1">
        <v>1029.0</v>
      </c>
      <c r="I3944" s="1">
        <v>4.33E7</v>
      </c>
      <c r="J3944" s="1" t="s">
        <v>9050</v>
      </c>
    </row>
    <row r="3945">
      <c r="A3945" s="1" t="s">
        <v>12077</v>
      </c>
      <c r="B3945" s="1" t="s">
        <v>12078</v>
      </c>
      <c r="C3945" s="1" t="s">
        <v>12079</v>
      </c>
      <c r="D3945" s="1" t="s">
        <v>11578</v>
      </c>
      <c r="E3945" s="1" t="s">
        <v>11579</v>
      </c>
      <c r="F3945" s="1">
        <v>2915512.0</v>
      </c>
      <c r="G3945" s="1">
        <v>66511.0</v>
      </c>
      <c r="H3945" s="1">
        <v>374.0</v>
      </c>
      <c r="I3945" s="1">
        <v>4.33E7</v>
      </c>
      <c r="J3945" s="1" t="s">
        <v>9050</v>
      </c>
    </row>
    <row r="3946">
      <c r="A3946" s="1" t="s">
        <v>12080</v>
      </c>
      <c r="B3946" s="1" t="s">
        <v>12081</v>
      </c>
      <c r="C3946" s="1" t="s">
        <v>12082</v>
      </c>
      <c r="D3946" s="1" t="s">
        <v>11578</v>
      </c>
      <c r="E3946" s="1" t="s">
        <v>11579</v>
      </c>
      <c r="F3946" s="1">
        <v>3403498.0</v>
      </c>
      <c r="G3946" s="1">
        <v>84874.0</v>
      </c>
      <c r="H3946" s="1">
        <v>313.0</v>
      </c>
      <c r="I3946" s="1">
        <v>4.33E7</v>
      </c>
      <c r="J3946" s="1" t="s">
        <v>9050</v>
      </c>
    </row>
    <row r="3947">
      <c r="A3947" s="1" t="s">
        <v>12083</v>
      </c>
      <c r="B3947" s="1" t="s">
        <v>12084</v>
      </c>
      <c r="C3947" s="1" t="s">
        <v>12085</v>
      </c>
      <c r="D3947" s="1" t="s">
        <v>11578</v>
      </c>
      <c r="E3947" s="1" t="s">
        <v>11579</v>
      </c>
      <c r="F3947" s="1">
        <v>2989702.0</v>
      </c>
      <c r="G3947" s="1">
        <v>55596.0</v>
      </c>
      <c r="H3947" s="1">
        <v>312.0</v>
      </c>
      <c r="I3947" s="1">
        <v>4.33E7</v>
      </c>
      <c r="J3947" s="1" t="s">
        <v>9050</v>
      </c>
    </row>
    <row r="3948">
      <c r="A3948" s="1" t="s">
        <v>12086</v>
      </c>
      <c r="B3948" s="1" t="s">
        <v>12087</v>
      </c>
      <c r="C3948" s="1" t="s">
        <v>12088</v>
      </c>
      <c r="D3948" s="1" t="s">
        <v>11578</v>
      </c>
      <c r="E3948" s="1" t="s">
        <v>11579</v>
      </c>
      <c r="F3948" s="1">
        <v>2169735.0</v>
      </c>
      <c r="G3948" s="1">
        <v>57442.0</v>
      </c>
      <c r="H3948" s="1">
        <v>452.0</v>
      </c>
      <c r="I3948" s="1">
        <v>4.33E7</v>
      </c>
      <c r="J3948" s="1" t="s">
        <v>9050</v>
      </c>
    </row>
    <row r="3949">
      <c r="A3949" s="1" t="s">
        <v>12092</v>
      </c>
      <c r="B3949" s="1" t="s">
        <v>12093</v>
      </c>
      <c r="C3949" s="1" t="s">
        <v>12094</v>
      </c>
      <c r="D3949" s="1" t="s">
        <v>11578</v>
      </c>
      <c r="E3949" s="1" t="s">
        <v>11579</v>
      </c>
      <c r="F3949" s="1">
        <v>3079467.0</v>
      </c>
      <c r="G3949" s="1">
        <v>53270.0</v>
      </c>
      <c r="H3949" s="1">
        <v>478.0</v>
      </c>
      <c r="I3949" s="1">
        <v>4.33E7</v>
      </c>
      <c r="J3949" s="1" t="s">
        <v>9050</v>
      </c>
    </row>
    <row r="3950">
      <c r="A3950" s="1" t="s">
        <v>12095</v>
      </c>
      <c r="B3950" s="1" t="s">
        <v>12096</v>
      </c>
      <c r="C3950" s="1" t="s">
        <v>12097</v>
      </c>
      <c r="D3950" s="1" t="s">
        <v>11578</v>
      </c>
      <c r="E3950" s="1" t="s">
        <v>11579</v>
      </c>
      <c r="F3950" s="1">
        <v>5.3279366E7</v>
      </c>
      <c r="G3950" s="1">
        <v>624792.0</v>
      </c>
      <c r="H3950" s="1">
        <v>1216.0</v>
      </c>
      <c r="I3950" s="1">
        <v>4.33E7</v>
      </c>
      <c r="J3950" s="1" t="s">
        <v>9050</v>
      </c>
    </row>
    <row r="3951">
      <c r="A3951" s="1" t="s">
        <v>12098</v>
      </c>
      <c r="B3951" s="1" t="s">
        <v>12099</v>
      </c>
      <c r="C3951" s="1" t="s">
        <v>12100</v>
      </c>
      <c r="D3951" s="1" t="s">
        <v>11578</v>
      </c>
      <c r="E3951" s="1" t="s">
        <v>11579</v>
      </c>
      <c r="F3951" s="1">
        <v>2282832.0</v>
      </c>
      <c r="G3951" s="1">
        <v>48330.0</v>
      </c>
      <c r="H3951" s="1">
        <v>230.0</v>
      </c>
      <c r="I3951" s="1">
        <v>4.33E7</v>
      </c>
      <c r="J3951" s="1" t="s">
        <v>9050</v>
      </c>
    </row>
    <row r="3952">
      <c r="A3952" s="1" t="s">
        <v>12101</v>
      </c>
      <c r="B3952" s="1" t="s">
        <v>12102</v>
      </c>
      <c r="C3952" s="1" t="s">
        <v>12103</v>
      </c>
      <c r="D3952" s="1" t="s">
        <v>11578</v>
      </c>
      <c r="E3952" s="1" t="s">
        <v>11579</v>
      </c>
      <c r="F3952" s="1">
        <v>1.3682678E7</v>
      </c>
      <c r="G3952" s="1">
        <v>198986.0</v>
      </c>
      <c r="H3952" s="1">
        <v>359.0</v>
      </c>
      <c r="I3952" s="1">
        <v>4.33E7</v>
      </c>
      <c r="J3952" s="1" t="s">
        <v>9050</v>
      </c>
    </row>
    <row r="3953">
      <c r="A3953" s="1" t="s">
        <v>12104</v>
      </c>
      <c r="B3953" s="1" t="s">
        <v>12105</v>
      </c>
      <c r="C3953" s="1" t="s">
        <v>12106</v>
      </c>
      <c r="D3953" s="1" t="s">
        <v>11578</v>
      </c>
      <c r="E3953" s="1" t="s">
        <v>11579</v>
      </c>
      <c r="F3953" s="1">
        <v>6439612.0</v>
      </c>
      <c r="G3953" s="1">
        <v>118295.0</v>
      </c>
      <c r="H3953" s="1">
        <v>411.0</v>
      </c>
      <c r="I3953" s="1">
        <v>4.33E7</v>
      </c>
      <c r="J3953" s="1" t="s">
        <v>9050</v>
      </c>
    </row>
    <row r="3954">
      <c r="A3954" s="1" t="s">
        <v>12107</v>
      </c>
      <c r="B3954" s="1" t="s">
        <v>12109</v>
      </c>
      <c r="C3954" s="1" t="s">
        <v>12111</v>
      </c>
      <c r="D3954" s="1" t="s">
        <v>11578</v>
      </c>
      <c r="E3954" s="1" t="s">
        <v>11579</v>
      </c>
      <c r="F3954" s="1">
        <v>5898074.0</v>
      </c>
      <c r="G3954" s="1">
        <v>99254.0</v>
      </c>
      <c r="H3954" s="1">
        <v>319.0</v>
      </c>
      <c r="I3954" s="1">
        <v>4.33E7</v>
      </c>
      <c r="J3954" s="1" t="s">
        <v>9050</v>
      </c>
    </row>
    <row r="3955">
      <c r="A3955" s="1" t="s">
        <v>12113</v>
      </c>
      <c r="B3955" s="1" t="s">
        <v>12114</v>
      </c>
      <c r="C3955" s="1" t="s">
        <v>12115</v>
      </c>
      <c r="D3955" s="1" t="s">
        <v>11578</v>
      </c>
      <c r="E3955" s="1" t="s">
        <v>11579</v>
      </c>
      <c r="F3955" s="1">
        <v>2928691.0</v>
      </c>
      <c r="G3955" s="1">
        <v>60664.0</v>
      </c>
      <c r="H3955" s="1">
        <v>412.0</v>
      </c>
      <c r="I3955" s="1">
        <v>4.33E7</v>
      </c>
      <c r="J3955" s="1" t="s">
        <v>9050</v>
      </c>
    </row>
    <row r="3956">
      <c r="A3956" s="1" t="s">
        <v>12116</v>
      </c>
      <c r="B3956" s="1" t="s">
        <v>12117</v>
      </c>
      <c r="C3956" s="1" t="s">
        <v>12118</v>
      </c>
      <c r="D3956" s="1" t="s">
        <v>11578</v>
      </c>
      <c r="E3956" s="1" t="s">
        <v>11579</v>
      </c>
      <c r="F3956" s="1">
        <v>523337.0</v>
      </c>
      <c r="G3956" s="1">
        <v>9330.0</v>
      </c>
      <c r="H3956" s="1">
        <v>385.0</v>
      </c>
      <c r="I3956" s="1">
        <v>4.33E7</v>
      </c>
      <c r="J3956" s="1" t="s">
        <v>9050</v>
      </c>
    </row>
    <row r="3957">
      <c r="A3957" s="1" t="s">
        <v>12119</v>
      </c>
      <c r="B3957" s="1" t="s">
        <v>12120</v>
      </c>
      <c r="C3957" s="1" t="s">
        <v>12121</v>
      </c>
      <c r="D3957" s="1" t="s">
        <v>11578</v>
      </c>
      <c r="E3957" s="1" t="s">
        <v>11579</v>
      </c>
      <c r="F3957" s="1">
        <v>6538442.0</v>
      </c>
      <c r="G3957" s="1">
        <v>168489.0</v>
      </c>
      <c r="H3957" s="1">
        <v>491.0</v>
      </c>
      <c r="I3957" s="1">
        <v>4.33E7</v>
      </c>
      <c r="J3957" s="1" t="s">
        <v>9050</v>
      </c>
    </row>
    <row r="3958">
      <c r="A3958" s="1" t="s">
        <v>12122</v>
      </c>
      <c r="B3958" s="1" t="s">
        <v>12123</v>
      </c>
      <c r="C3958" s="1" t="s">
        <v>12124</v>
      </c>
      <c r="D3958" s="1" t="s">
        <v>11578</v>
      </c>
      <c r="E3958" s="1" t="s">
        <v>11579</v>
      </c>
      <c r="F3958" s="1">
        <v>2.8409109E7</v>
      </c>
      <c r="G3958" s="1">
        <v>334239.0</v>
      </c>
      <c r="H3958" s="1">
        <v>502.0</v>
      </c>
      <c r="I3958" s="1">
        <v>4.33E7</v>
      </c>
      <c r="J3958" s="1" t="s">
        <v>9050</v>
      </c>
    </row>
    <row r="3959">
      <c r="A3959" s="1" t="s">
        <v>12125</v>
      </c>
      <c r="B3959" s="1" t="s">
        <v>12126</v>
      </c>
      <c r="C3959" s="1" t="s">
        <v>12128</v>
      </c>
      <c r="D3959" s="1" t="s">
        <v>11578</v>
      </c>
      <c r="E3959" s="1" t="s">
        <v>11579</v>
      </c>
      <c r="F3959" s="1">
        <v>3629969.0</v>
      </c>
      <c r="G3959" s="1">
        <v>181519.0</v>
      </c>
      <c r="H3959" s="1">
        <v>503.0</v>
      </c>
      <c r="I3959" s="1">
        <v>4.33E7</v>
      </c>
      <c r="J3959" s="1" t="s">
        <v>9050</v>
      </c>
    </row>
    <row r="3960">
      <c r="A3960" s="1" t="s">
        <v>12131</v>
      </c>
      <c r="B3960" s="1" t="s">
        <v>12132</v>
      </c>
      <c r="C3960" s="1" t="s">
        <v>12133</v>
      </c>
      <c r="D3960" s="1" t="s">
        <v>11578</v>
      </c>
      <c r="E3960" s="1" t="s">
        <v>11579</v>
      </c>
      <c r="F3960" s="1">
        <v>3253034.0</v>
      </c>
      <c r="G3960" s="1">
        <v>84789.0</v>
      </c>
      <c r="H3960" s="1">
        <v>342.0</v>
      </c>
      <c r="I3960" s="1">
        <v>4.33E7</v>
      </c>
      <c r="J3960" s="1" t="s">
        <v>9050</v>
      </c>
    </row>
    <row r="3961">
      <c r="A3961" s="1" t="s">
        <v>12134</v>
      </c>
      <c r="B3961" s="1" t="s">
        <v>12135</v>
      </c>
      <c r="C3961" s="1" t="s">
        <v>12136</v>
      </c>
      <c r="D3961" s="1" t="s">
        <v>11578</v>
      </c>
      <c r="E3961" s="1" t="s">
        <v>11579</v>
      </c>
      <c r="F3961" s="1">
        <v>9445338.0</v>
      </c>
      <c r="G3961" s="1">
        <v>162670.0</v>
      </c>
      <c r="H3961" s="1">
        <v>1583.0</v>
      </c>
      <c r="I3961" s="1">
        <v>4.33E7</v>
      </c>
      <c r="J3961" s="1" t="s">
        <v>9050</v>
      </c>
    </row>
    <row r="3962">
      <c r="A3962" s="1" t="s">
        <v>12137</v>
      </c>
      <c r="B3962" s="1" t="s">
        <v>12138</v>
      </c>
      <c r="C3962" s="1" t="s">
        <v>12139</v>
      </c>
      <c r="D3962" s="1" t="s">
        <v>11578</v>
      </c>
      <c r="E3962" s="1" t="s">
        <v>11579</v>
      </c>
      <c r="F3962" s="1">
        <v>6235693.0</v>
      </c>
      <c r="G3962" s="1">
        <v>239161.0</v>
      </c>
      <c r="H3962" s="1">
        <v>1093.0</v>
      </c>
      <c r="I3962" s="1">
        <v>4.33E7</v>
      </c>
      <c r="J3962" s="1" t="s">
        <v>9050</v>
      </c>
    </row>
    <row r="3963">
      <c r="A3963" s="1" t="s">
        <v>12140</v>
      </c>
      <c r="B3963" s="1" t="s">
        <v>12141</v>
      </c>
      <c r="C3963" s="1" t="s">
        <v>12142</v>
      </c>
      <c r="D3963" s="1" t="s">
        <v>11578</v>
      </c>
      <c r="E3963" s="1" t="s">
        <v>11579</v>
      </c>
      <c r="F3963" s="1">
        <v>9055585.0</v>
      </c>
      <c r="G3963" s="1">
        <v>269550.0</v>
      </c>
      <c r="H3963" s="1">
        <v>633.0</v>
      </c>
      <c r="I3963" s="1">
        <v>4.33E7</v>
      </c>
      <c r="J3963" s="1" t="s">
        <v>9050</v>
      </c>
    </row>
    <row r="3964">
      <c r="A3964" s="1" t="s">
        <v>12143</v>
      </c>
      <c r="B3964" s="1" t="s">
        <v>12144</v>
      </c>
      <c r="C3964" s="1" t="s">
        <v>12145</v>
      </c>
      <c r="D3964" s="1" t="s">
        <v>11578</v>
      </c>
      <c r="E3964" s="1" t="s">
        <v>11579</v>
      </c>
      <c r="F3964" s="1">
        <v>5259796.0</v>
      </c>
      <c r="G3964" s="1">
        <v>128700.0</v>
      </c>
      <c r="H3964" s="1">
        <v>423.0</v>
      </c>
      <c r="I3964" s="1">
        <v>4.33E7</v>
      </c>
      <c r="J3964" s="1" t="s">
        <v>9050</v>
      </c>
    </row>
    <row r="3965">
      <c r="A3965" s="1" t="s">
        <v>12148</v>
      </c>
      <c r="B3965" s="1" t="s">
        <v>12150</v>
      </c>
      <c r="C3965" s="1" t="s">
        <v>12151</v>
      </c>
      <c r="D3965" s="1" t="s">
        <v>11578</v>
      </c>
      <c r="E3965" s="1" t="s">
        <v>11579</v>
      </c>
      <c r="F3965" s="1">
        <v>4201490.0</v>
      </c>
      <c r="G3965" s="1">
        <v>152868.0</v>
      </c>
      <c r="H3965" s="1">
        <v>564.0</v>
      </c>
      <c r="I3965" s="1">
        <v>4.33E7</v>
      </c>
      <c r="J3965" s="1" t="s">
        <v>9050</v>
      </c>
    </row>
    <row r="3966">
      <c r="A3966" s="1" t="s">
        <v>12152</v>
      </c>
      <c r="B3966" s="1" t="s">
        <v>12153</v>
      </c>
      <c r="C3966" s="1" t="s">
        <v>12154</v>
      </c>
      <c r="D3966" s="1" t="s">
        <v>11578</v>
      </c>
      <c r="E3966" s="1" t="s">
        <v>11579</v>
      </c>
      <c r="F3966" s="1">
        <v>7676282.0</v>
      </c>
      <c r="G3966" s="1">
        <v>126766.0</v>
      </c>
      <c r="H3966" s="1">
        <v>253.0</v>
      </c>
      <c r="I3966" s="1">
        <v>4.33E7</v>
      </c>
      <c r="J3966" s="1" t="s">
        <v>9050</v>
      </c>
    </row>
    <row r="3967">
      <c r="A3967" s="1" t="s">
        <v>12155</v>
      </c>
      <c r="B3967" s="1" t="s">
        <v>12156</v>
      </c>
      <c r="C3967" s="1" t="s">
        <v>12157</v>
      </c>
      <c r="D3967" s="1" t="s">
        <v>11578</v>
      </c>
      <c r="E3967" s="1" t="s">
        <v>11579</v>
      </c>
      <c r="F3967" s="1">
        <v>9117344.0</v>
      </c>
      <c r="G3967" s="1">
        <v>295593.0</v>
      </c>
      <c r="H3967" s="1">
        <v>681.0</v>
      </c>
      <c r="I3967" s="1">
        <v>4.33E7</v>
      </c>
      <c r="J3967" s="1" t="s">
        <v>9050</v>
      </c>
    </row>
    <row r="3968">
      <c r="A3968" s="1" t="s">
        <v>12158</v>
      </c>
      <c r="B3968" s="1" t="s">
        <v>12159</v>
      </c>
      <c r="C3968" s="1" t="s">
        <v>12160</v>
      </c>
      <c r="D3968" s="1" t="s">
        <v>11578</v>
      </c>
      <c r="E3968" s="1" t="s">
        <v>11579</v>
      </c>
      <c r="F3968" s="1">
        <v>5.0987047E7</v>
      </c>
      <c r="G3968" s="1">
        <v>589092.0</v>
      </c>
      <c r="H3968" s="1">
        <v>1157.0</v>
      </c>
      <c r="I3968" s="1">
        <v>4.33E7</v>
      </c>
      <c r="J3968" s="1" t="s">
        <v>9050</v>
      </c>
    </row>
    <row r="3969">
      <c r="A3969" s="1" t="s">
        <v>12161</v>
      </c>
      <c r="B3969" s="1" t="s">
        <v>12162</v>
      </c>
      <c r="C3969" s="1" t="s">
        <v>12163</v>
      </c>
      <c r="D3969" s="1" t="s">
        <v>11578</v>
      </c>
      <c r="E3969" s="1" t="s">
        <v>11579</v>
      </c>
      <c r="F3969" s="1">
        <v>3.0674171E7</v>
      </c>
      <c r="G3969" s="1">
        <v>253318.0</v>
      </c>
      <c r="H3969" s="1">
        <v>577.0</v>
      </c>
      <c r="I3969" s="1">
        <v>4.33E7</v>
      </c>
      <c r="J3969" s="1" t="s">
        <v>9050</v>
      </c>
    </row>
    <row r="3970">
      <c r="A3970" s="1" t="s">
        <v>12164</v>
      </c>
      <c r="B3970" s="1" t="s">
        <v>12165</v>
      </c>
      <c r="C3970" s="1" t="s">
        <v>12166</v>
      </c>
      <c r="D3970" s="1" t="s">
        <v>11578</v>
      </c>
      <c r="E3970" s="1" t="s">
        <v>11579</v>
      </c>
      <c r="F3970" s="1">
        <v>1.5562316E7</v>
      </c>
      <c r="G3970" s="1">
        <v>293241.0</v>
      </c>
      <c r="H3970" s="1">
        <v>885.0</v>
      </c>
      <c r="I3970" s="1">
        <v>4.33E7</v>
      </c>
      <c r="J3970" s="1" t="s">
        <v>9050</v>
      </c>
    </row>
    <row r="3971">
      <c r="A3971" s="1" t="s">
        <v>12167</v>
      </c>
      <c r="B3971" s="1" t="s">
        <v>12169</v>
      </c>
      <c r="C3971" s="1" t="s">
        <v>12171</v>
      </c>
      <c r="D3971" s="1" t="s">
        <v>11578</v>
      </c>
      <c r="E3971" s="1" t="s">
        <v>11579</v>
      </c>
      <c r="F3971" s="1">
        <v>1.7450863E8</v>
      </c>
      <c r="G3971" s="1">
        <v>2338937.0</v>
      </c>
      <c r="H3971" s="1">
        <v>1564.0</v>
      </c>
      <c r="I3971" s="1">
        <v>4.33E7</v>
      </c>
      <c r="J3971" s="1" t="s">
        <v>9050</v>
      </c>
    </row>
    <row r="3972">
      <c r="A3972" s="1" t="s">
        <v>12173</v>
      </c>
      <c r="B3972" s="1" t="s">
        <v>12174</v>
      </c>
      <c r="C3972" s="1" t="s">
        <v>12175</v>
      </c>
      <c r="D3972" s="1" t="s">
        <v>11578</v>
      </c>
      <c r="E3972" s="1" t="s">
        <v>11579</v>
      </c>
      <c r="F3972" s="1">
        <v>1.71555E7</v>
      </c>
      <c r="G3972" s="1">
        <v>428014.0</v>
      </c>
      <c r="H3972" s="1">
        <v>791.0</v>
      </c>
      <c r="I3972" s="1">
        <v>4.33E7</v>
      </c>
      <c r="J3972" s="1" t="s">
        <v>9050</v>
      </c>
    </row>
    <row r="3973">
      <c r="A3973" s="1" t="s">
        <v>12176</v>
      </c>
      <c r="B3973" s="1" t="s">
        <v>12177</v>
      </c>
      <c r="C3973" s="1" t="s">
        <v>12178</v>
      </c>
      <c r="D3973" s="1" t="s">
        <v>11578</v>
      </c>
      <c r="E3973" s="1" t="s">
        <v>11579</v>
      </c>
      <c r="F3973" s="1">
        <v>1.0701854E7</v>
      </c>
      <c r="G3973" s="1">
        <v>238151.0</v>
      </c>
      <c r="H3973" s="1">
        <v>737.0</v>
      </c>
      <c r="I3973" s="1">
        <v>4.33E7</v>
      </c>
      <c r="J3973" s="1" t="s">
        <v>9050</v>
      </c>
    </row>
    <row r="3974">
      <c r="A3974" s="1" t="s">
        <v>12179</v>
      </c>
      <c r="B3974" s="1" t="s">
        <v>12180</v>
      </c>
      <c r="C3974" s="1" t="s">
        <v>12181</v>
      </c>
      <c r="D3974" s="1" t="s">
        <v>11578</v>
      </c>
      <c r="E3974" s="1" t="s">
        <v>11579</v>
      </c>
      <c r="F3974" s="1">
        <v>1.0931412E7</v>
      </c>
      <c r="G3974" s="1">
        <v>417064.0</v>
      </c>
      <c r="H3974" s="1">
        <v>838.0</v>
      </c>
      <c r="I3974" s="1">
        <v>4.33E7</v>
      </c>
      <c r="J3974" s="1" t="s">
        <v>9050</v>
      </c>
    </row>
    <row r="3975">
      <c r="A3975" s="1" t="s">
        <v>12182</v>
      </c>
      <c r="B3975" s="1" t="s">
        <v>12183</v>
      </c>
      <c r="C3975" s="1" t="s">
        <v>12184</v>
      </c>
      <c r="D3975" s="1" t="s">
        <v>11578</v>
      </c>
      <c r="E3975" s="1" t="s">
        <v>11579</v>
      </c>
      <c r="F3975" s="1">
        <v>8463068.0</v>
      </c>
      <c r="G3975" s="1">
        <v>286296.0</v>
      </c>
      <c r="H3975" s="1">
        <v>510.0</v>
      </c>
      <c r="I3975" s="1">
        <v>4.33E7</v>
      </c>
      <c r="J3975" s="1" t="s">
        <v>9050</v>
      </c>
    </row>
    <row r="3976">
      <c r="A3976" s="1" t="s">
        <v>12185</v>
      </c>
      <c r="B3976" s="1" t="s">
        <v>12186</v>
      </c>
      <c r="C3976" s="1" t="s">
        <v>12187</v>
      </c>
      <c r="D3976" s="1" t="s">
        <v>11578</v>
      </c>
      <c r="E3976" s="1" t="s">
        <v>11579</v>
      </c>
      <c r="F3976" s="1">
        <v>1773476.0</v>
      </c>
      <c r="G3976" s="1">
        <v>0.0</v>
      </c>
      <c r="H3976" s="1">
        <v>198.0</v>
      </c>
      <c r="I3976" s="1">
        <v>4.33E7</v>
      </c>
      <c r="J3976" s="1" t="s">
        <v>9050</v>
      </c>
    </row>
    <row r="3977">
      <c r="A3977" s="1" t="s">
        <v>12191</v>
      </c>
      <c r="B3977" s="1" t="s">
        <v>12192</v>
      </c>
      <c r="C3977" s="1" t="s">
        <v>12193</v>
      </c>
      <c r="D3977" s="1" t="s">
        <v>11578</v>
      </c>
      <c r="E3977" s="1" t="s">
        <v>11579</v>
      </c>
      <c r="F3977" s="1">
        <v>2225123.0</v>
      </c>
      <c r="G3977" s="1">
        <v>50330.0</v>
      </c>
      <c r="H3977" s="1">
        <v>366.0</v>
      </c>
      <c r="I3977" s="1">
        <v>4.33E7</v>
      </c>
      <c r="J3977" s="1" t="s">
        <v>9050</v>
      </c>
    </row>
    <row r="3978">
      <c r="A3978" s="1" t="s">
        <v>12194</v>
      </c>
      <c r="B3978" s="1" t="s">
        <v>12195</v>
      </c>
      <c r="C3978" s="1" t="s">
        <v>12196</v>
      </c>
      <c r="D3978" s="1" t="s">
        <v>11578</v>
      </c>
      <c r="E3978" s="1" t="s">
        <v>11579</v>
      </c>
      <c r="F3978" s="1">
        <v>3022043.0</v>
      </c>
      <c r="G3978" s="1">
        <v>109017.0</v>
      </c>
      <c r="H3978" s="1">
        <v>364.0</v>
      </c>
      <c r="I3978" s="1">
        <v>4.33E7</v>
      </c>
      <c r="J3978" s="1" t="s">
        <v>9050</v>
      </c>
    </row>
    <row r="3979">
      <c r="A3979" s="1" t="s">
        <v>12197</v>
      </c>
      <c r="B3979" s="1" t="s">
        <v>12198</v>
      </c>
      <c r="C3979" s="1" t="s">
        <v>12199</v>
      </c>
      <c r="D3979" s="1" t="s">
        <v>11578</v>
      </c>
      <c r="E3979" s="1" t="s">
        <v>11579</v>
      </c>
      <c r="F3979" s="1">
        <v>2739717.0</v>
      </c>
      <c r="G3979" s="1">
        <v>76507.0</v>
      </c>
      <c r="H3979" s="1">
        <v>517.0</v>
      </c>
      <c r="I3979" s="1">
        <v>4.33E7</v>
      </c>
      <c r="J3979" s="1" t="s">
        <v>9050</v>
      </c>
    </row>
    <row r="3980">
      <c r="A3980" s="1" t="s">
        <v>12200</v>
      </c>
      <c r="B3980" s="1" t="s">
        <v>12201</v>
      </c>
      <c r="C3980" s="1" t="s">
        <v>12202</v>
      </c>
      <c r="D3980" s="1" t="s">
        <v>11578</v>
      </c>
      <c r="E3980" s="1" t="s">
        <v>11579</v>
      </c>
      <c r="F3980" s="1">
        <v>3.1941524E7</v>
      </c>
      <c r="G3980" s="1">
        <v>1465841.0</v>
      </c>
      <c r="H3980" s="1">
        <v>2362.0</v>
      </c>
      <c r="I3980" s="1">
        <v>4.33E7</v>
      </c>
      <c r="J3980" s="1" t="s">
        <v>9050</v>
      </c>
    </row>
    <row r="3981">
      <c r="A3981" s="1" t="s">
        <v>12203</v>
      </c>
      <c r="B3981" s="1" t="s">
        <v>12204</v>
      </c>
      <c r="C3981" s="1" t="s">
        <v>12205</v>
      </c>
      <c r="D3981" s="1" t="s">
        <v>11578</v>
      </c>
      <c r="E3981" s="1" t="s">
        <v>11579</v>
      </c>
      <c r="F3981" s="1">
        <v>4006396.0</v>
      </c>
      <c r="G3981" s="1">
        <v>249916.0</v>
      </c>
      <c r="H3981" s="1">
        <v>572.0</v>
      </c>
      <c r="I3981" s="1">
        <v>4.33E7</v>
      </c>
      <c r="J3981" s="1" t="s">
        <v>9050</v>
      </c>
    </row>
    <row r="3982">
      <c r="A3982" s="1" t="s">
        <v>12206</v>
      </c>
      <c r="B3982" s="1" t="s">
        <v>12207</v>
      </c>
      <c r="C3982" s="1" t="s">
        <v>12208</v>
      </c>
      <c r="D3982" s="1" t="s">
        <v>11578</v>
      </c>
      <c r="E3982" s="1" t="s">
        <v>11579</v>
      </c>
      <c r="F3982" s="1">
        <v>6438385.0</v>
      </c>
      <c r="G3982" s="1">
        <v>158983.0</v>
      </c>
      <c r="H3982" s="1">
        <v>403.0</v>
      </c>
      <c r="I3982" s="1">
        <v>4.33E7</v>
      </c>
      <c r="J3982" s="1" t="s">
        <v>9050</v>
      </c>
    </row>
    <row r="3983">
      <c r="A3983" s="1" t="s">
        <v>12212</v>
      </c>
      <c r="B3983" s="1" t="s">
        <v>12213</v>
      </c>
      <c r="C3983" s="1" t="s">
        <v>12214</v>
      </c>
      <c r="D3983" s="1" t="s">
        <v>11578</v>
      </c>
      <c r="E3983" s="1" t="s">
        <v>11579</v>
      </c>
      <c r="F3983" s="1">
        <v>2756869.0</v>
      </c>
      <c r="G3983" s="1">
        <v>102064.0</v>
      </c>
      <c r="H3983" s="1">
        <v>315.0</v>
      </c>
      <c r="I3983" s="1">
        <v>4.33E7</v>
      </c>
      <c r="J3983" s="1" t="s">
        <v>9050</v>
      </c>
    </row>
    <row r="3984">
      <c r="A3984" s="1" t="s">
        <v>12215</v>
      </c>
      <c r="B3984" s="1" t="s">
        <v>12216</v>
      </c>
      <c r="C3984" s="1" t="s">
        <v>12217</v>
      </c>
      <c r="D3984" s="1" t="s">
        <v>11578</v>
      </c>
      <c r="E3984" s="1" t="s">
        <v>11579</v>
      </c>
      <c r="F3984" s="1">
        <v>3.0471364E7</v>
      </c>
      <c r="G3984" s="1">
        <v>1700664.0</v>
      </c>
      <c r="H3984" s="1">
        <v>7006.0</v>
      </c>
      <c r="I3984" s="1">
        <v>4.33E7</v>
      </c>
      <c r="J3984" s="1" t="s">
        <v>9050</v>
      </c>
    </row>
    <row r="3985">
      <c r="A3985" s="1" t="s">
        <v>12218</v>
      </c>
      <c r="B3985" s="1" t="s">
        <v>12219</v>
      </c>
      <c r="C3985" s="1" t="s">
        <v>12220</v>
      </c>
      <c r="D3985" s="1" t="s">
        <v>11578</v>
      </c>
      <c r="E3985" s="1" t="s">
        <v>11579</v>
      </c>
      <c r="F3985" s="1">
        <v>7238852.0</v>
      </c>
      <c r="G3985" s="1">
        <v>374779.0</v>
      </c>
      <c r="H3985" s="1">
        <v>623.0</v>
      </c>
      <c r="I3985" s="1">
        <v>4.33E7</v>
      </c>
      <c r="J3985" s="1" t="s">
        <v>9050</v>
      </c>
    </row>
    <row r="3986">
      <c r="A3986" s="1" t="s">
        <v>12221</v>
      </c>
      <c r="B3986" s="1" t="s">
        <v>12222</v>
      </c>
      <c r="C3986" s="1" t="s">
        <v>12223</v>
      </c>
      <c r="D3986" s="1" t="s">
        <v>11578</v>
      </c>
      <c r="E3986" s="1" t="s">
        <v>11579</v>
      </c>
      <c r="F3986" s="1">
        <v>1.6041825E7</v>
      </c>
      <c r="G3986" s="1">
        <v>217862.0</v>
      </c>
      <c r="H3986" s="1">
        <v>357.0</v>
      </c>
      <c r="I3986" s="1">
        <v>4.33E7</v>
      </c>
      <c r="J3986" s="1" t="s">
        <v>9050</v>
      </c>
    </row>
    <row r="3987">
      <c r="A3987" s="1" t="s">
        <v>12224</v>
      </c>
      <c r="B3987" s="1" t="s">
        <v>12225</v>
      </c>
      <c r="C3987" s="1" t="s">
        <v>12226</v>
      </c>
      <c r="D3987" s="1" t="s">
        <v>11578</v>
      </c>
      <c r="E3987" s="1" t="s">
        <v>11579</v>
      </c>
      <c r="F3987" s="1">
        <v>2447759.0</v>
      </c>
      <c r="G3987" s="1">
        <v>88736.0</v>
      </c>
      <c r="H3987" s="1">
        <v>220.0</v>
      </c>
      <c r="I3987" s="1">
        <v>4.33E7</v>
      </c>
      <c r="J3987" s="1" t="s">
        <v>9050</v>
      </c>
    </row>
    <row r="3988">
      <c r="A3988" s="1" t="s">
        <v>12227</v>
      </c>
      <c r="B3988" s="1" t="s">
        <v>12229</v>
      </c>
      <c r="C3988" s="1" t="s">
        <v>12231</v>
      </c>
      <c r="D3988" s="1" t="s">
        <v>11578</v>
      </c>
      <c r="E3988" s="1" t="s">
        <v>11579</v>
      </c>
      <c r="F3988" s="1">
        <v>2563159.0</v>
      </c>
      <c r="G3988" s="1">
        <v>67011.0</v>
      </c>
      <c r="H3988" s="1">
        <v>429.0</v>
      </c>
      <c r="I3988" s="1">
        <v>4.33E7</v>
      </c>
      <c r="J3988" s="1" t="s">
        <v>9050</v>
      </c>
    </row>
    <row r="3989">
      <c r="A3989" s="1" t="s">
        <v>12233</v>
      </c>
      <c r="B3989" s="1" t="s">
        <v>12234</v>
      </c>
      <c r="C3989" s="1" t="s">
        <v>12235</v>
      </c>
      <c r="D3989" s="1" t="s">
        <v>11578</v>
      </c>
      <c r="E3989" s="1" t="s">
        <v>11579</v>
      </c>
      <c r="F3989" s="1">
        <v>4215895.0</v>
      </c>
      <c r="G3989" s="1">
        <v>169205.0</v>
      </c>
      <c r="H3989" s="1">
        <v>1010.0</v>
      </c>
      <c r="I3989" s="1">
        <v>4.33E7</v>
      </c>
      <c r="J3989" s="1" t="s">
        <v>9050</v>
      </c>
    </row>
    <row r="3990">
      <c r="A3990" s="1" t="s">
        <v>12236</v>
      </c>
      <c r="B3990" s="1" t="s">
        <v>12237</v>
      </c>
      <c r="C3990" s="1" t="s">
        <v>12238</v>
      </c>
      <c r="D3990" s="1" t="s">
        <v>11578</v>
      </c>
      <c r="E3990" s="1" t="s">
        <v>11579</v>
      </c>
      <c r="F3990" s="1">
        <v>2.9859461E7</v>
      </c>
      <c r="G3990" s="1">
        <v>518901.0</v>
      </c>
      <c r="H3990" s="1">
        <v>718.0</v>
      </c>
      <c r="I3990" s="1">
        <v>4.33E7</v>
      </c>
      <c r="J3990" s="1" t="s">
        <v>9050</v>
      </c>
    </row>
    <row r="3991">
      <c r="A3991" s="1" t="s">
        <v>12239</v>
      </c>
      <c r="B3991" s="1" t="s">
        <v>12240</v>
      </c>
      <c r="C3991" s="1" t="s">
        <v>12241</v>
      </c>
      <c r="D3991" s="1" t="s">
        <v>11578</v>
      </c>
      <c r="E3991" s="1" t="s">
        <v>11579</v>
      </c>
      <c r="F3991" s="1">
        <v>1.6818265E7</v>
      </c>
      <c r="G3991" s="1">
        <v>968520.0</v>
      </c>
      <c r="H3991" s="1">
        <v>2013.0</v>
      </c>
      <c r="I3991" s="1">
        <v>4.33E7</v>
      </c>
      <c r="J3991" s="1" t="s">
        <v>9050</v>
      </c>
    </row>
    <row r="3992">
      <c r="A3992" s="1" t="s">
        <v>12242</v>
      </c>
      <c r="B3992" s="1" t="s">
        <v>12243</v>
      </c>
      <c r="C3992" s="1" t="s">
        <v>12244</v>
      </c>
      <c r="D3992" s="1" t="s">
        <v>11578</v>
      </c>
      <c r="E3992" s="1" t="s">
        <v>11579</v>
      </c>
      <c r="F3992" s="1">
        <v>1.1182464E7</v>
      </c>
      <c r="G3992" s="1">
        <v>423710.0</v>
      </c>
      <c r="H3992" s="1">
        <v>865.0</v>
      </c>
      <c r="I3992" s="1">
        <v>4.33E7</v>
      </c>
      <c r="J3992" s="1" t="s">
        <v>9050</v>
      </c>
    </row>
    <row r="3993">
      <c r="A3993" s="1" t="s">
        <v>12245</v>
      </c>
      <c r="B3993" s="1" t="s">
        <v>12246</v>
      </c>
      <c r="C3993" s="1" t="s">
        <v>12248</v>
      </c>
      <c r="D3993" s="1" t="s">
        <v>11578</v>
      </c>
      <c r="E3993" s="1" t="s">
        <v>11579</v>
      </c>
      <c r="F3993" s="1">
        <v>3.4094095E7</v>
      </c>
      <c r="G3993" s="1">
        <v>1006637.0</v>
      </c>
      <c r="H3993" s="1">
        <v>1693.0</v>
      </c>
      <c r="I3993" s="1">
        <v>4.33E7</v>
      </c>
      <c r="J3993" s="1" t="s">
        <v>9050</v>
      </c>
    </row>
    <row r="3994">
      <c r="A3994" s="1" t="s">
        <v>12251</v>
      </c>
      <c r="B3994" s="1" t="s">
        <v>12252</v>
      </c>
      <c r="C3994" s="1" t="s">
        <v>12253</v>
      </c>
      <c r="D3994" s="1" t="s">
        <v>11578</v>
      </c>
      <c r="E3994" s="1" t="s">
        <v>11579</v>
      </c>
      <c r="F3994" s="1">
        <v>8320101.0</v>
      </c>
      <c r="G3994" s="1">
        <v>372286.0</v>
      </c>
      <c r="H3994" s="1">
        <v>830.0</v>
      </c>
      <c r="I3994" s="1">
        <v>4.33E7</v>
      </c>
      <c r="J3994" s="1" t="s">
        <v>9050</v>
      </c>
    </row>
    <row r="3995">
      <c r="A3995" s="1" t="s">
        <v>12254</v>
      </c>
      <c r="B3995" s="1" t="s">
        <v>12255</v>
      </c>
      <c r="C3995" s="1" t="s">
        <v>12256</v>
      </c>
      <c r="D3995" s="1" t="s">
        <v>11578</v>
      </c>
      <c r="E3995" s="1" t="s">
        <v>11579</v>
      </c>
      <c r="F3995" s="1">
        <v>4485699.0</v>
      </c>
      <c r="G3995" s="1">
        <v>124262.0</v>
      </c>
      <c r="H3995" s="1">
        <v>476.0</v>
      </c>
      <c r="I3995" s="1">
        <v>4.33E7</v>
      </c>
      <c r="J3995" s="1" t="s">
        <v>9050</v>
      </c>
    </row>
    <row r="3996">
      <c r="A3996" s="1" t="s">
        <v>12257</v>
      </c>
      <c r="B3996" s="1" t="s">
        <v>12258</v>
      </c>
      <c r="C3996" s="1" t="s">
        <v>12259</v>
      </c>
      <c r="D3996" s="1" t="s">
        <v>11578</v>
      </c>
      <c r="E3996" s="1" t="s">
        <v>11579</v>
      </c>
      <c r="F3996" s="1">
        <v>1.10982413E8</v>
      </c>
      <c r="G3996" s="1">
        <v>1418993.0</v>
      </c>
      <c r="H3996" s="1">
        <v>1748.0</v>
      </c>
      <c r="I3996" s="1">
        <v>4.33E7</v>
      </c>
      <c r="J3996" s="1" t="s">
        <v>9050</v>
      </c>
    </row>
    <row r="3997">
      <c r="A3997" s="1" t="s">
        <v>12260</v>
      </c>
      <c r="B3997" s="1" t="s">
        <v>12261</v>
      </c>
      <c r="C3997" s="1" t="s">
        <v>12262</v>
      </c>
      <c r="D3997" s="1" t="s">
        <v>11578</v>
      </c>
      <c r="E3997" s="1" t="s">
        <v>11579</v>
      </c>
      <c r="F3997" s="1">
        <v>2.43244772E8</v>
      </c>
      <c r="G3997" s="1">
        <v>4283603.0</v>
      </c>
      <c r="H3997" s="1">
        <v>8246.0</v>
      </c>
      <c r="I3997" s="1">
        <v>4.33E7</v>
      </c>
      <c r="J3997" s="1" t="s">
        <v>9050</v>
      </c>
    </row>
    <row r="3998">
      <c r="A3998" s="1" t="s">
        <v>12263</v>
      </c>
      <c r="B3998" s="1" t="s">
        <v>12264</v>
      </c>
      <c r="C3998" s="1" t="s">
        <v>12265</v>
      </c>
      <c r="D3998" s="1" t="s">
        <v>11578</v>
      </c>
      <c r="E3998" s="1" t="s">
        <v>11579</v>
      </c>
      <c r="F3998" s="1">
        <v>3591712.0</v>
      </c>
      <c r="G3998" s="1">
        <v>119848.0</v>
      </c>
      <c r="H3998" s="1">
        <v>675.0</v>
      </c>
      <c r="I3998" s="1">
        <v>4.33E7</v>
      </c>
      <c r="J3998" s="1" t="s">
        <v>9050</v>
      </c>
    </row>
    <row r="3999">
      <c r="A3999" s="1" t="s">
        <v>12269</v>
      </c>
      <c r="B3999" s="1" t="s">
        <v>12270</v>
      </c>
      <c r="C3999" s="1" t="s">
        <v>12271</v>
      </c>
      <c r="D3999" s="1" t="s">
        <v>11578</v>
      </c>
      <c r="E3999" s="1" t="s">
        <v>11579</v>
      </c>
      <c r="F3999" s="1">
        <v>3652799.0</v>
      </c>
      <c r="G3999" s="1">
        <v>124157.0</v>
      </c>
      <c r="H3999" s="1">
        <v>363.0</v>
      </c>
      <c r="I3999" s="1">
        <v>4.33E7</v>
      </c>
      <c r="J3999" s="1" t="s">
        <v>9050</v>
      </c>
    </row>
    <row r="4000">
      <c r="A4000" s="1" t="s">
        <v>12272</v>
      </c>
      <c r="B4000" s="1" t="s">
        <v>12273</v>
      </c>
      <c r="C4000" s="1" t="s">
        <v>12274</v>
      </c>
      <c r="D4000" s="1" t="s">
        <v>11578</v>
      </c>
      <c r="E4000" s="1" t="s">
        <v>11579</v>
      </c>
      <c r="F4000" s="1">
        <v>7688590.0</v>
      </c>
      <c r="G4000" s="1">
        <v>259511.0</v>
      </c>
      <c r="H4000" s="1">
        <v>561.0</v>
      </c>
      <c r="I4000" s="1">
        <v>4.33E7</v>
      </c>
      <c r="J4000" s="1" t="s">
        <v>9050</v>
      </c>
    </row>
    <row r="4001">
      <c r="A4001" s="1" t="s">
        <v>12275</v>
      </c>
      <c r="B4001" s="1" t="s">
        <v>12276</v>
      </c>
      <c r="C4001" s="1" t="s">
        <v>12277</v>
      </c>
      <c r="D4001" s="1" t="s">
        <v>11578</v>
      </c>
      <c r="E4001" s="1" t="s">
        <v>11579</v>
      </c>
      <c r="F4001" s="1">
        <v>1.3636938E7</v>
      </c>
      <c r="G4001" s="1">
        <v>556003.0</v>
      </c>
      <c r="H4001" s="1">
        <v>3747.0</v>
      </c>
      <c r="I4001" s="1">
        <v>4.33E7</v>
      </c>
      <c r="J4001" s="1" t="s">
        <v>9050</v>
      </c>
    </row>
    <row r="4002">
      <c r="A4002" s="1" t="s">
        <v>12278</v>
      </c>
      <c r="B4002" s="1" t="s">
        <v>12279</v>
      </c>
      <c r="C4002" s="1" t="s">
        <v>12280</v>
      </c>
      <c r="D4002" s="1" t="s">
        <v>12281</v>
      </c>
      <c r="E4002" s="1" t="s">
        <v>12282</v>
      </c>
      <c r="F4002" s="1">
        <v>87992.0</v>
      </c>
      <c r="G4002" s="1">
        <v>1334.0</v>
      </c>
      <c r="H4002" s="1">
        <v>0.0</v>
      </c>
      <c r="I4002" s="1">
        <v>1.21E7</v>
      </c>
      <c r="J4002" s="1" t="s">
        <v>12283</v>
      </c>
    </row>
    <row r="4003">
      <c r="A4003" s="1" t="s">
        <v>12284</v>
      </c>
      <c r="B4003" s="1" t="s">
        <v>12285</v>
      </c>
      <c r="C4003" s="1" t="s">
        <v>12286</v>
      </c>
      <c r="D4003" s="1" t="s">
        <v>12281</v>
      </c>
      <c r="E4003" s="1" t="s">
        <v>12282</v>
      </c>
      <c r="F4003" s="1">
        <v>351.0</v>
      </c>
      <c r="G4003" s="1">
        <v>6.0</v>
      </c>
      <c r="H4003" s="1">
        <v>0.0</v>
      </c>
      <c r="I4003" s="1">
        <v>1.21E7</v>
      </c>
      <c r="J4003" s="1" t="s">
        <v>12283</v>
      </c>
    </row>
    <row r="4004">
      <c r="A4004" s="1" t="s">
        <v>12287</v>
      </c>
      <c r="B4004" s="1" t="s">
        <v>12288</v>
      </c>
      <c r="C4004" s="1" t="s">
        <v>12290</v>
      </c>
      <c r="D4004" s="1" t="s">
        <v>12281</v>
      </c>
      <c r="E4004" s="1" t="s">
        <v>12282</v>
      </c>
      <c r="F4004" s="1">
        <v>1314.0</v>
      </c>
      <c r="G4004" s="1">
        <v>15.0</v>
      </c>
      <c r="H4004" s="1">
        <v>4.0</v>
      </c>
      <c r="I4004" s="1">
        <v>1.21E7</v>
      </c>
      <c r="J4004" s="1" t="s">
        <v>12283</v>
      </c>
    </row>
    <row r="4005">
      <c r="A4005" s="1" t="s">
        <v>12291</v>
      </c>
      <c r="B4005" s="1" t="s">
        <v>12292</v>
      </c>
      <c r="C4005" s="1" t="s">
        <v>12293</v>
      </c>
      <c r="D4005" s="1" t="s">
        <v>12281</v>
      </c>
      <c r="E4005" s="1" t="s">
        <v>12282</v>
      </c>
      <c r="F4005" s="1">
        <v>1444.0</v>
      </c>
      <c r="G4005" s="1">
        <v>37.0</v>
      </c>
      <c r="H4005" s="1">
        <v>0.0</v>
      </c>
      <c r="I4005" s="1">
        <v>1.21E7</v>
      </c>
      <c r="J4005" s="1" t="s">
        <v>12283</v>
      </c>
    </row>
    <row r="4006">
      <c r="A4006" s="1" t="s">
        <v>12294</v>
      </c>
      <c r="B4006" s="1" t="s">
        <v>12295</v>
      </c>
      <c r="C4006" s="1" t="s">
        <v>12296</v>
      </c>
      <c r="D4006" s="1" t="s">
        <v>12281</v>
      </c>
      <c r="E4006" s="1" t="s">
        <v>12282</v>
      </c>
      <c r="F4006" s="1">
        <v>393.0</v>
      </c>
      <c r="G4006" s="1">
        <v>16.0</v>
      </c>
      <c r="H4006" s="1">
        <v>0.0</v>
      </c>
      <c r="I4006" s="1">
        <v>1.21E7</v>
      </c>
      <c r="J4006" s="1" t="s">
        <v>12283</v>
      </c>
    </row>
    <row r="4007">
      <c r="A4007" s="1" t="s">
        <v>12299</v>
      </c>
      <c r="B4007" s="1" t="s">
        <v>12300</v>
      </c>
      <c r="C4007" s="1" t="s">
        <v>12301</v>
      </c>
      <c r="D4007" s="1" t="s">
        <v>12281</v>
      </c>
      <c r="E4007" s="1" t="s">
        <v>12282</v>
      </c>
      <c r="F4007" s="1">
        <v>2322.0</v>
      </c>
      <c r="G4007" s="1">
        <v>20.0</v>
      </c>
      <c r="H4007" s="1">
        <v>16.0</v>
      </c>
      <c r="I4007" s="1">
        <v>1.21E7</v>
      </c>
      <c r="J4007" s="1" t="s">
        <v>12283</v>
      </c>
    </row>
    <row r="4008">
      <c r="A4008" s="1" t="s">
        <v>12302</v>
      </c>
      <c r="B4008" s="1" t="s">
        <v>12303</v>
      </c>
      <c r="C4008" s="1" t="s">
        <v>12304</v>
      </c>
      <c r="D4008" s="1" t="s">
        <v>12281</v>
      </c>
      <c r="E4008" s="1" t="s">
        <v>12282</v>
      </c>
      <c r="F4008" s="1">
        <v>1311.0</v>
      </c>
      <c r="G4008" s="1">
        <v>48.0</v>
      </c>
      <c r="H4008" s="1">
        <v>0.0</v>
      </c>
      <c r="I4008" s="1">
        <v>1.21E7</v>
      </c>
      <c r="J4008" s="1" t="s">
        <v>12283</v>
      </c>
    </row>
    <row r="4009">
      <c r="A4009" s="1" t="s">
        <v>12305</v>
      </c>
      <c r="B4009" s="1" t="s">
        <v>12306</v>
      </c>
      <c r="C4009" s="1" t="s">
        <v>12307</v>
      </c>
      <c r="D4009" s="1" t="s">
        <v>12281</v>
      </c>
      <c r="E4009" s="1" t="s">
        <v>12282</v>
      </c>
      <c r="F4009" s="1">
        <v>420.0</v>
      </c>
      <c r="G4009" s="1">
        <v>35.0</v>
      </c>
      <c r="H4009" s="1">
        <v>1.0</v>
      </c>
      <c r="I4009" s="1">
        <v>1.21E7</v>
      </c>
      <c r="J4009" s="1" t="s">
        <v>12283</v>
      </c>
    </row>
    <row r="4010">
      <c r="A4010" s="1" t="s">
        <v>12308</v>
      </c>
      <c r="B4010" s="1" t="s">
        <v>12309</v>
      </c>
      <c r="C4010" s="1" t="s">
        <v>12310</v>
      </c>
      <c r="D4010" s="1" t="s">
        <v>12281</v>
      </c>
      <c r="E4010" s="1" t="s">
        <v>12282</v>
      </c>
      <c r="F4010" s="1">
        <v>1139.0</v>
      </c>
      <c r="G4010" s="1">
        <v>34.0</v>
      </c>
      <c r="H4010" s="1">
        <v>4.0</v>
      </c>
      <c r="I4010" s="1">
        <v>1.21E7</v>
      </c>
      <c r="J4010" s="1" t="s">
        <v>12283</v>
      </c>
    </row>
    <row r="4011">
      <c r="A4011" s="1" t="s">
        <v>12311</v>
      </c>
      <c r="B4011" s="1" t="s">
        <v>12312</v>
      </c>
      <c r="C4011" s="1" t="s">
        <v>12313</v>
      </c>
      <c r="D4011" s="1" t="s">
        <v>12281</v>
      </c>
      <c r="E4011" s="1" t="s">
        <v>12282</v>
      </c>
      <c r="F4011" s="1">
        <v>863.0</v>
      </c>
      <c r="G4011" s="1">
        <v>16.0</v>
      </c>
      <c r="H4011" s="1">
        <v>1.0</v>
      </c>
      <c r="I4011" s="1">
        <v>1.21E7</v>
      </c>
      <c r="J4011" s="1" t="s">
        <v>12283</v>
      </c>
    </row>
    <row r="4012">
      <c r="A4012" s="1" t="s">
        <v>12314</v>
      </c>
      <c r="B4012" s="1" t="s">
        <v>12315</v>
      </c>
      <c r="C4012" s="1" t="s">
        <v>12316</v>
      </c>
      <c r="D4012" s="1" t="s">
        <v>12281</v>
      </c>
      <c r="E4012" s="1" t="s">
        <v>12282</v>
      </c>
      <c r="F4012" s="1">
        <v>731.0</v>
      </c>
      <c r="G4012" s="1">
        <v>9.0</v>
      </c>
      <c r="H4012" s="1">
        <v>2.0</v>
      </c>
      <c r="I4012" s="1">
        <v>1.21E7</v>
      </c>
      <c r="J4012" s="1" t="s">
        <v>12283</v>
      </c>
    </row>
    <row r="4013">
      <c r="A4013" s="1" t="s">
        <v>12317</v>
      </c>
      <c r="B4013" s="1" t="s">
        <v>12318</v>
      </c>
      <c r="C4013" s="1" t="s">
        <v>12319</v>
      </c>
      <c r="D4013" s="1" t="s">
        <v>12281</v>
      </c>
      <c r="E4013" s="1" t="s">
        <v>12282</v>
      </c>
      <c r="F4013" s="1">
        <v>697.0</v>
      </c>
      <c r="G4013" s="1">
        <v>33.0</v>
      </c>
      <c r="H4013" s="1">
        <v>0.0</v>
      </c>
      <c r="I4013" s="1">
        <v>1.21E7</v>
      </c>
      <c r="J4013" s="1" t="s">
        <v>12283</v>
      </c>
    </row>
    <row r="4014">
      <c r="A4014" s="1" t="s">
        <v>12320</v>
      </c>
      <c r="B4014" s="1" t="s">
        <v>12321</v>
      </c>
      <c r="C4014" s="1" t="s">
        <v>12322</v>
      </c>
      <c r="D4014" s="1" t="s">
        <v>12281</v>
      </c>
      <c r="E4014" s="1" t="s">
        <v>12282</v>
      </c>
      <c r="F4014" s="1">
        <v>4080.0</v>
      </c>
      <c r="G4014" s="1">
        <v>278.0</v>
      </c>
      <c r="H4014" s="1">
        <v>19.0</v>
      </c>
      <c r="I4014" s="1">
        <v>1.21E7</v>
      </c>
      <c r="J4014" s="1" t="s">
        <v>12283</v>
      </c>
    </row>
    <row r="4015">
      <c r="A4015" s="1" t="s">
        <v>12323</v>
      </c>
      <c r="B4015" s="1" t="s">
        <v>12324</v>
      </c>
      <c r="C4015" s="1" t="s">
        <v>12325</v>
      </c>
      <c r="D4015" s="1" t="s">
        <v>12281</v>
      </c>
      <c r="E4015" s="1" t="s">
        <v>12282</v>
      </c>
      <c r="F4015" s="1">
        <v>1576.0</v>
      </c>
      <c r="G4015" s="1">
        <v>77.0</v>
      </c>
      <c r="H4015" s="1">
        <v>9.0</v>
      </c>
      <c r="I4015" s="1">
        <v>1.21E7</v>
      </c>
      <c r="J4015" s="1" t="s">
        <v>12283</v>
      </c>
    </row>
    <row r="4016">
      <c r="A4016" s="1" t="s">
        <v>12326</v>
      </c>
      <c r="B4016" s="1" t="s">
        <v>12327</v>
      </c>
      <c r="C4016" s="1" t="s">
        <v>12328</v>
      </c>
      <c r="D4016" s="1" t="s">
        <v>12281</v>
      </c>
      <c r="E4016" s="1" t="s">
        <v>12282</v>
      </c>
      <c r="F4016" s="1">
        <v>1671.0</v>
      </c>
      <c r="G4016" s="1">
        <v>41.0</v>
      </c>
      <c r="H4016" s="1">
        <v>38.0</v>
      </c>
      <c r="I4016" s="1">
        <v>1.21E7</v>
      </c>
      <c r="J4016" s="1" t="s">
        <v>12283</v>
      </c>
    </row>
    <row r="4017">
      <c r="A4017" s="1" t="s">
        <v>12329</v>
      </c>
      <c r="B4017" s="1" t="s">
        <v>12330</v>
      </c>
      <c r="C4017" s="1" t="s">
        <v>12331</v>
      </c>
      <c r="D4017" s="1" t="s">
        <v>12281</v>
      </c>
      <c r="E4017" s="1" t="s">
        <v>12282</v>
      </c>
      <c r="F4017" s="1">
        <v>391.0</v>
      </c>
      <c r="G4017" s="1">
        <v>19.0</v>
      </c>
      <c r="H4017" s="1">
        <v>3.0</v>
      </c>
      <c r="I4017" s="1">
        <v>1.21E7</v>
      </c>
      <c r="J4017" s="1" t="s">
        <v>12283</v>
      </c>
    </row>
    <row r="4018">
      <c r="A4018" s="1" t="s">
        <v>12332</v>
      </c>
      <c r="B4018" s="1" t="s">
        <v>12333</v>
      </c>
      <c r="C4018" s="1" t="s">
        <v>12334</v>
      </c>
      <c r="D4018" s="1" t="s">
        <v>12281</v>
      </c>
      <c r="E4018" s="1" t="s">
        <v>12282</v>
      </c>
      <c r="F4018" s="1">
        <v>423.0</v>
      </c>
      <c r="G4018" s="1">
        <v>24.0</v>
      </c>
      <c r="H4018" s="1">
        <v>1.0</v>
      </c>
      <c r="I4018" s="1">
        <v>1.21E7</v>
      </c>
      <c r="J4018" s="1" t="s">
        <v>12283</v>
      </c>
    </row>
    <row r="4019">
      <c r="A4019" s="1" t="s">
        <v>12335</v>
      </c>
      <c r="B4019" s="1" t="s">
        <v>12336</v>
      </c>
      <c r="C4019" s="1" t="s">
        <v>12337</v>
      </c>
      <c r="D4019" s="1" t="s">
        <v>12281</v>
      </c>
      <c r="E4019" s="1" t="s">
        <v>12282</v>
      </c>
      <c r="F4019" s="1">
        <v>1509.0</v>
      </c>
      <c r="G4019" s="1">
        <v>84.0</v>
      </c>
      <c r="H4019" s="1">
        <v>6.0</v>
      </c>
      <c r="I4019" s="1">
        <v>1.21E7</v>
      </c>
      <c r="J4019" s="1" t="s">
        <v>12283</v>
      </c>
    </row>
    <row r="4020">
      <c r="A4020" s="1" t="s">
        <v>12338</v>
      </c>
      <c r="B4020" s="1" t="s">
        <v>12339</v>
      </c>
      <c r="C4020" s="1" t="s">
        <v>12340</v>
      </c>
      <c r="D4020" s="1" t="s">
        <v>12281</v>
      </c>
      <c r="E4020" s="1" t="s">
        <v>12282</v>
      </c>
      <c r="F4020" s="1">
        <v>23964.0</v>
      </c>
      <c r="G4020" s="1">
        <v>393.0</v>
      </c>
      <c r="H4020" s="1">
        <v>331.0</v>
      </c>
      <c r="I4020" s="1">
        <v>1.21E7</v>
      </c>
      <c r="J4020" s="1" t="s">
        <v>12283</v>
      </c>
    </row>
    <row r="4021">
      <c r="A4021" s="1" t="s">
        <v>12341</v>
      </c>
      <c r="B4021" s="1" t="s">
        <v>12342</v>
      </c>
      <c r="C4021" s="1" t="s">
        <v>12343</v>
      </c>
      <c r="D4021" s="1" t="s">
        <v>12281</v>
      </c>
      <c r="E4021" s="1" t="s">
        <v>12282</v>
      </c>
      <c r="F4021" s="1">
        <v>4143.0</v>
      </c>
      <c r="G4021" s="1">
        <v>77.0</v>
      </c>
      <c r="H4021" s="1">
        <v>48.0</v>
      </c>
      <c r="I4021" s="1">
        <v>1.21E7</v>
      </c>
      <c r="J4021" s="1" t="s">
        <v>12283</v>
      </c>
    </row>
    <row r="4022">
      <c r="A4022" s="1" t="s">
        <v>12344</v>
      </c>
      <c r="B4022" s="1" t="s">
        <v>12345</v>
      </c>
      <c r="C4022" s="1" t="s">
        <v>12346</v>
      </c>
      <c r="D4022" s="1" t="s">
        <v>12281</v>
      </c>
      <c r="E4022" s="1" t="s">
        <v>12282</v>
      </c>
      <c r="F4022" s="1">
        <v>1825.0</v>
      </c>
      <c r="G4022" s="1">
        <v>33.0</v>
      </c>
      <c r="H4022" s="1">
        <v>3.0</v>
      </c>
      <c r="I4022" s="1">
        <v>1.21E7</v>
      </c>
      <c r="J4022" s="1" t="s">
        <v>12283</v>
      </c>
    </row>
    <row r="4023">
      <c r="A4023" s="1" t="s">
        <v>12347</v>
      </c>
      <c r="B4023" s="1" t="s">
        <v>12348</v>
      </c>
      <c r="C4023" s="1" t="s">
        <v>12349</v>
      </c>
      <c r="D4023" s="1" t="s">
        <v>12281</v>
      </c>
      <c r="E4023" s="1" t="s">
        <v>12282</v>
      </c>
      <c r="F4023" s="1">
        <v>791.0</v>
      </c>
      <c r="G4023" s="1">
        <v>9.0</v>
      </c>
      <c r="H4023" s="1">
        <v>0.0</v>
      </c>
      <c r="I4023" s="1">
        <v>1.21E7</v>
      </c>
      <c r="J4023" s="1" t="s">
        <v>12283</v>
      </c>
    </row>
    <row r="4024">
      <c r="A4024" s="1" t="s">
        <v>12350</v>
      </c>
      <c r="B4024" s="1" t="s">
        <v>12351</v>
      </c>
      <c r="C4024" s="1" t="s">
        <v>12352</v>
      </c>
      <c r="D4024" s="1" t="s">
        <v>12281</v>
      </c>
      <c r="E4024" s="1" t="s">
        <v>12282</v>
      </c>
      <c r="F4024" s="1">
        <v>19492.0</v>
      </c>
      <c r="G4024" s="1">
        <v>436.0</v>
      </c>
      <c r="H4024" s="1">
        <v>186.0</v>
      </c>
      <c r="I4024" s="1">
        <v>1.21E7</v>
      </c>
      <c r="J4024" s="1" t="s">
        <v>12283</v>
      </c>
    </row>
    <row r="4025">
      <c r="A4025" s="1" t="s">
        <v>12353</v>
      </c>
      <c r="B4025" s="1" t="s">
        <v>12354</v>
      </c>
      <c r="C4025" s="1" t="s">
        <v>12355</v>
      </c>
      <c r="D4025" s="1" t="s">
        <v>12281</v>
      </c>
      <c r="E4025" s="1" t="s">
        <v>12282</v>
      </c>
      <c r="F4025" s="1">
        <v>8492.0</v>
      </c>
      <c r="G4025" s="1">
        <v>56.0</v>
      </c>
      <c r="H4025" s="1">
        <v>27.0</v>
      </c>
      <c r="I4025" s="1">
        <v>1.21E7</v>
      </c>
      <c r="J4025" s="1" t="s">
        <v>12283</v>
      </c>
    </row>
    <row r="4026">
      <c r="A4026" s="1" t="s">
        <v>12356</v>
      </c>
      <c r="B4026" s="1" t="s">
        <v>12357</v>
      </c>
      <c r="C4026" s="1" t="s">
        <v>12355</v>
      </c>
      <c r="D4026" s="1" t="s">
        <v>12281</v>
      </c>
      <c r="E4026" s="1" t="s">
        <v>12282</v>
      </c>
      <c r="F4026" s="1">
        <v>1417.0</v>
      </c>
      <c r="G4026" s="1">
        <v>36.0</v>
      </c>
      <c r="H4026" s="1">
        <v>7.0</v>
      </c>
      <c r="I4026" s="1">
        <v>1.21E7</v>
      </c>
      <c r="J4026" s="1" t="s">
        <v>12283</v>
      </c>
    </row>
    <row r="4027">
      <c r="A4027" s="1" t="s">
        <v>12358</v>
      </c>
      <c r="B4027" s="1" t="s">
        <v>12359</v>
      </c>
      <c r="C4027" s="1" t="s">
        <v>12360</v>
      </c>
      <c r="D4027" s="1" t="s">
        <v>12281</v>
      </c>
      <c r="E4027" s="1" t="s">
        <v>12282</v>
      </c>
      <c r="F4027" s="1">
        <v>2822.0</v>
      </c>
      <c r="G4027" s="1">
        <v>84.0</v>
      </c>
      <c r="H4027" s="1">
        <v>12.0</v>
      </c>
      <c r="I4027" s="1">
        <v>1.21E7</v>
      </c>
      <c r="J4027" s="1" t="s">
        <v>12283</v>
      </c>
    </row>
    <row r="4028">
      <c r="A4028" s="1" t="s">
        <v>12361</v>
      </c>
      <c r="B4028" s="1" t="s">
        <v>12362</v>
      </c>
      <c r="C4028" s="1" t="s">
        <v>12363</v>
      </c>
      <c r="D4028" s="1" t="s">
        <v>12281</v>
      </c>
      <c r="E4028" s="1" t="s">
        <v>12282</v>
      </c>
      <c r="F4028" s="1">
        <v>1759.0</v>
      </c>
      <c r="G4028" s="1">
        <v>61.0</v>
      </c>
      <c r="H4028" s="1">
        <v>29.0</v>
      </c>
      <c r="I4028" s="1">
        <v>1.21E7</v>
      </c>
      <c r="J4028" s="1" t="s">
        <v>12283</v>
      </c>
    </row>
    <row r="4029">
      <c r="A4029" s="1" t="s">
        <v>12364</v>
      </c>
      <c r="B4029" s="1" t="s">
        <v>12365</v>
      </c>
      <c r="C4029" s="1" t="s">
        <v>12366</v>
      </c>
      <c r="D4029" s="1" t="s">
        <v>12281</v>
      </c>
      <c r="E4029" s="1" t="s">
        <v>12282</v>
      </c>
      <c r="F4029" s="1">
        <v>13630.0</v>
      </c>
      <c r="G4029" s="1">
        <v>276.0</v>
      </c>
      <c r="H4029" s="1">
        <v>55.0</v>
      </c>
      <c r="I4029" s="1">
        <v>1.21E7</v>
      </c>
      <c r="J4029" s="1" t="s">
        <v>12283</v>
      </c>
    </row>
    <row r="4030">
      <c r="A4030" s="1" t="s">
        <v>12367</v>
      </c>
      <c r="B4030" s="1" t="s">
        <v>12369</v>
      </c>
      <c r="C4030" s="1" t="s">
        <v>12371</v>
      </c>
      <c r="D4030" s="1" t="s">
        <v>12281</v>
      </c>
      <c r="E4030" s="1" t="s">
        <v>12282</v>
      </c>
      <c r="F4030" s="1">
        <v>382.0</v>
      </c>
      <c r="G4030" s="1">
        <v>8.0</v>
      </c>
      <c r="H4030" s="1">
        <v>0.0</v>
      </c>
      <c r="I4030" s="1">
        <v>1.21E7</v>
      </c>
      <c r="J4030" s="1" t="s">
        <v>12283</v>
      </c>
    </row>
    <row r="4031">
      <c r="A4031" s="1" t="s">
        <v>12373</v>
      </c>
      <c r="B4031" s="1" t="s">
        <v>12374</v>
      </c>
      <c r="C4031" s="1" t="s">
        <v>12375</v>
      </c>
      <c r="D4031" s="1" t="s">
        <v>12281</v>
      </c>
      <c r="E4031" s="1" t="s">
        <v>12282</v>
      </c>
      <c r="F4031" s="1">
        <v>16127.0</v>
      </c>
      <c r="G4031" s="1">
        <v>187.0</v>
      </c>
      <c r="H4031" s="1">
        <v>0.0</v>
      </c>
      <c r="I4031" s="1">
        <v>1.21E7</v>
      </c>
      <c r="J4031" s="1" t="s">
        <v>12283</v>
      </c>
    </row>
    <row r="4032">
      <c r="A4032" s="1" t="s">
        <v>12376</v>
      </c>
      <c r="B4032" s="1" t="s">
        <v>12377</v>
      </c>
      <c r="C4032" s="1" t="s">
        <v>12378</v>
      </c>
      <c r="D4032" s="1" t="s">
        <v>12281</v>
      </c>
      <c r="E4032" s="1" t="s">
        <v>12282</v>
      </c>
      <c r="F4032" s="1">
        <v>0.0</v>
      </c>
      <c r="G4032" s="1">
        <v>7.0</v>
      </c>
      <c r="H4032" s="1">
        <v>0.0</v>
      </c>
      <c r="I4032" s="1">
        <v>1.21E7</v>
      </c>
      <c r="J4032" s="1" t="s">
        <v>12283</v>
      </c>
    </row>
    <row r="4033">
      <c r="A4033" s="1" t="s">
        <v>12379</v>
      </c>
      <c r="B4033" s="1" t="s">
        <v>12380</v>
      </c>
      <c r="C4033" s="1" t="s">
        <v>12381</v>
      </c>
      <c r="D4033" s="1" t="s">
        <v>12281</v>
      </c>
      <c r="E4033" s="1" t="s">
        <v>12282</v>
      </c>
      <c r="F4033" s="1">
        <v>114659.0</v>
      </c>
      <c r="G4033" s="1">
        <v>683.0</v>
      </c>
      <c r="H4033" s="1">
        <v>180.0</v>
      </c>
      <c r="I4033" s="1">
        <v>1.21E7</v>
      </c>
      <c r="J4033" s="1" t="s">
        <v>12283</v>
      </c>
    </row>
    <row r="4034">
      <c r="A4034" s="1" t="s">
        <v>12382</v>
      </c>
      <c r="B4034" s="1" t="s">
        <v>12383</v>
      </c>
      <c r="C4034" s="1" t="s">
        <v>12384</v>
      </c>
      <c r="D4034" s="1" t="s">
        <v>12281</v>
      </c>
      <c r="E4034" s="1" t="s">
        <v>12282</v>
      </c>
      <c r="F4034" s="1">
        <v>39923.0</v>
      </c>
      <c r="G4034" s="1">
        <v>665.0</v>
      </c>
      <c r="H4034" s="1">
        <v>407.0</v>
      </c>
      <c r="I4034" s="1">
        <v>1.21E7</v>
      </c>
      <c r="J4034" s="1" t="s">
        <v>12283</v>
      </c>
    </row>
    <row r="4035">
      <c r="A4035" s="1" t="s">
        <v>12385</v>
      </c>
      <c r="B4035" s="1" t="s">
        <v>12386</v>
      </c>
      <c r="C4035" s="1" t="s">
        <v>12387</v>
      </c>
      <c r="D4035" s="1" t="s">
        <v>12281</v>
      </c>
      <c r="E4035" s="1" t="s">
        <v>12282</v>
      </c>
      <c r="F4035" s="1">
        <v>9566.0</v>
      </c>
      <c r="G4035" s="1">
        <v>405.0</v>
      </c>
      <c r="H4035" s="1">
        <v>18.0</v>
      </c>
      <c r="I4035" s="1">
        <v>1.21E7</v>
      </c>
      <c r="J4035" s="1" t="s">
        <v>12283</v>
      </c>
    </row>
    <row r="4036">
      <c r="A4036" s="1" t="s">
        <v>12388</v>
      </c>
      <c r="B4036" s="1" t="s">
        <v>12389</v>
      </c>
      <c r="C4036" s="1" t="s">
        <v>12390</v>
      </c>
      <c r="D4036" s="1" t="s">
        <v>12281</v>
      </c>
      <c r="E4036" s="1" t="s">
        <v>12282</v>
      </c>
      <c r="F4036" s="1">
        <v>2002.0</v>
      </c>
      <c r="G4036" s="1">
        <v>89.0</v>
      </c>
      <c r="H4036" s="1">
        <v>5.0</v>
      </c>
      <c r="I4036" s="1">
        <v>1.21E7</v>
      </c>
      <c r="J4036" s="1" t="s">
        <v>12283</v>
      </c>
    </row>
    <row r="4037">
      <c r="A4037" s="1" t="s">
        <v>12391</v>
      </c>
      <c r="B4037" s="1" t="s">
        <v>12392</v>
      </c>
      <c r="C4037" s="1" t="s">
        <v>12394</v>
      </c>
      <c r="D4037" s="1" t="s">
        <v>12281</v>
      </c>
      <c r="E4037" s="1" t="s">
        <v>12282</v>
      </c>
      <c r="F4037" s="1">
        <v>11656.0</v>
      </c>
      <c r="G4037" s="1">
        <v>212.0</v>
      </c>
      <c r="H4037" s="1">
        <v>38.0</v>
      </c>
      <c r="I4037" s="1">
        <v>1.21E7</v>
      </c>
      <c r="J4037" s="1" t="s">
        <v>12283</v>
      </c>
    </row>
    <row r="4038">
      <c r="A4038" s="1" t="s">
        <v>12397</v>
      </c>
      <c r="B4038" s="1" t="s">
        <v>12398</v>
      </c>
      <c r="C4038" s="1" t="s">
        <v>12399</v>
      </c>
      <c r="D4038" s="1" t="s">
        <v>12281</v>
      </c>
      <c r="E4038" s="1" t="s">
        <v>12282</v>
      </c>
      <c r="F4038" s="1">
        <v>110404.0</v>
      </c>
      <c r="G4038" s="1">
        <v>451.0</v>
      </c>
      <c r="H4038" s="1">
        <v>48.0</v>
      </c>
      <c r="I4038" s="1">
        <v>1.21E7</v>
      </c>
      <c r="J4038" s="1" t="s">
        <v>12283</v>
      </c>
    </row>
    <row r="4039">
      <c r="A4039" s="1" t="s">
        <v>12400</v>
      </c>
      <c r="B4039" s="1" t="s">
        <v>12401</v>
      </c>
      <c r="C4039" s="1" t="s">
        <v>12402</v>
      </c>
      <c r="D4039" s="1" t="s">
        <v>12281</v>
      </c>
      <c r="E4039" s="1" t="s">
        <v>12282</v>
      </c>
      <c r="F4039" s="1">
        <v>8616.0</v>
      </c>
      <c r="G4039" s="1">
        <v>161.0</v>
      </c>
      <c r="H4039" s="1">
        <v>40.0</v>
      </c>
      <c r="I4039" s="1">
        <v>1.21E7</v>
      </c>
      <c r="J4039" s="1" t="s">
        <v>12283</v>
      </c>
    </row>
    <row r="4040">
      <c r="A4040" s="1" t="s">
        <v>12403</v>
      </c>
      <c r="B4040" s="1" t="s">
        <v>12404</v>
      </c>
      <c r="C4040" s="1" t="s">
        <v>12405</v>
      </c>
      <c r="D4040" s="1" t="s">
        <v>12281</v>
      </c>
      <c r="E4040" s="1" t="s">
        <v>12282</v>
      </c>
      <c r="F4040" s="1">
        <v>6189.0</v>
      </c>
      <c r="G4040" s="1">
        <v>223.0</v>
      </c>
      <c r="H4040" s="1">
        <v>8.0</v>
      </c>
      <c r="I4040" s="1">
        <v>1.21E7</v>
      </c>
      <c r="J4040" s="1" t="s">
        <v>12283</v>
      </c>
    </row>
    <row r="4041">
      <c r="A4041" s="1" t="s">
        <v>12406</v>
      </c>
      <c r="B4041" s="1" t="s">
        <v>12407</v>
      </c>
      <c r="C4041" s="1" t="s">
        <v>12408</v>
      </c>
      <c r="D4041" s="1" t="s">
        <v>12281</v>
      </c>
      <c r="E4041" s="1" t="s">
        <v>12282</v>
      </c>
      <c r="F4041" s="1">
        <v>6414.0</v>
      </c>
      <c r="G4041" s="1">
        <v>196.0</v>
      </c>
      <c r="H4041" s="1">
        <v>8.0</v>
      </c>
      <c r="I4041" s="1">
        <v>1.21E7</v>
      </c>
      <c r="J4041" s="1" t="s">
        <v>12283</v>
      </c>
    </row>
    <row r="4042">
      <c r="A4042" s="1" t="s">
        <v>12409</v>
      </c>
      <c r="B4042" s="1" t="s">
        <v>12410</v>
      </c>
      <c r="C4042" s="1" t="s">
        <v>12411</v>
      </c>
      <c r="D4042" s="1" t="s">
        <v>12281</v>
      </c>
      <c r="E4042" s="1" t="s">
        <v>12282</v>
      </c>
      <c r="F4042" s="1">
        <v>65515.0</v>
      </c>
      <c r="G4042" s="1">
        <v>2919.0</v>
      </c>
      <c r="H4042" s="1">
        <v>145.0</v>
      </c>
      <c r="I4042" s="1">
        <v>1.21E7</v>
      </c>
      <c r="J4042" s="1" t="s">
        <v>12283</v>
      </c>
    </row>
    <row r="4043">
      <c r="A4043" s="1" t="s">
        <v>12412</v>
      </c>
      <c r="B4043" s="1" t="s">
        <v>12413</v>
      </c>
      <c r="C4043" s="1" t="s">
        <v>12414</v>
      </c>
      <c r="D4043" s="1" t="s">
        <v>12281</v>
      </c>
      <c r="E4043" s="1" t="s">
        <v>12282</v>
      </c>
      <c r="F4043" s="1">
        <v>18892.0</v>
      </c>
      <c r="G4043" s="1">
        <v>484.0</v>
      </c>
      <c r="H4043" s="1">
        <v>86.0</v>
      </c>
      <c r="I4043" s="1">
        <v>1.21E7</v>
      </c>
      <c r="J4043" s="1" t="s">
        <v>12283</v>
      </c>
    </row>
    <row r="4044">
      <c r="A4044" s="1" t="s">
        <v>12415</v>
      </c>
      <c r="B4044" s="1" t="s">
        <v>12416</v>
      </c>
      <c r="C4044" s="1" t="s">
        <v>12417</v>
      </c>
      <c r="D4044" s="1" t="s">
        <v>12281</v>
      </c>
      <c r="E4044" s="1" t="s">
        <v>12282</v>
      </c>
      <c r="F4044" s="1">
        <v>33296.0</v>
      </c>
      <c r="G4044" s="1">
        <v>854.0</v>
      </c>
      <c r="H4044" s="1">
        <v>147.0</v>
      </c>
      <c r="I4044" s="1">
        <v>1.21E7</v>
      </c>
      <c r="J4044" s="1" t="s">
        <v>12283</v>
      </c>
    </row>
    <row r="4045">
      <c r="A4045" s="1" t="s">
        <v>12418</v>
      </c>
      <c r="B4045" s="1" t="s">
        <v>12419</v>
      </c>
      <c r="C4045" s="1" t="s">
        <v>12420</v>
      </c>
      <c r="D4045" s="1" t="s">
        <v>12281</v>
      </c>
      <c r="E4045" s="1" t="s">
        <v>12282</v>
      </c>
      <c r="F4045" s="1">
        <v>258832.0</v>
      </c>
      <c r="G4045" s="1">
        <v>4350.0</v>
      </c>
      <c r="H4045" s="1">
        <v>587.0</v>
      </c>
      <c r="I4045" s="1">
        <v>1.21E7</v>
      </c>
      <c r="J4045" s="1" t="s">
        <v>12283</v>
      </c>
    </row>
    <row r="4046">
      <c r="A4046" s="1" t="s">
        <v>12421</v>
      </c>
      <c r="B4046" s="1" t="s">
        <v>12423</v>
      </c>
      <c r="C4046" s="1" t="s">
        <v>12425</v>
      </c>
      <c r="D4046" s="1" t="s">
        <v>12281</v>
      </c>
      <c r="E4046" s="1" t="s">
        <v>12282</v>
      </c>
      <c r="F4046" s="1">
        <v>138883.0</v>
      </c>
      <c r="G4046" s="1">
        <v>5153.0</v>
      </c>
      <c r="H4046" s="1">
        <v>360.0</v>
      </c>
      <c r="I4046" s="1">
        <v>1.21E7</v>
      </c>
      <c r="J4046" s="1" t="s">
        <v>12283</v>
      </c>
    </row>
    <row r="4047">
      <c r="A4047" s="1" t="s">
        <v>12427</v>
      </c>
      <c r="B4047" s="1" t="s">
        <v>12428</v>
      </c>
      <c r="C4047" s="1" t="s">
        <v>12429</v>
      </c>
      <c r="D4047" s="1" t="s">
        <v>12281</v>
      </c>
      <c r="E4047" s="1" t="s">
        <v>12282</v>
      </c>
      <c r="F4047" s="1">
        <v>77264.0</v>
      </c>
      <c r="G4047" s="1">
        <v>7694.0</v>
      </c>
      <c r="H4047" s="1">
        <v>506.0</v>
      </c>
      <c r="I4047" s="1">
        <v>1.21E7</v>
      </c>
      <c r="J4047" s="1" t="s">
        <v>12283</v>
      </c>
    </row>
    <row r="4048">
      <c r="A4048" s="1" t="s">
        <v>12430</v>
      </c>
      <c r="B4048" s="1" t="s">
        <v>12431</v>
      </c>
      <c r="C4048" s="1" t="s">
        <v>12432</v>
      </c>
      <c r="D4048" s="1" t="s">
        <v>12281</v>
      </c>
      <c r="E4048" s="1" t="s">
        <v>12282</v>
      </c>
      <c r="F4048" s="1">
        <v>1661.0</v>
      </c>
      <c r="G4048" s="1">
        <v>27.0</v>
      </c>
      <c r="H4048" s="1">
        <v>6.0</v>
      </c>
      <c r="I4048" s="1">
        <v>1.21E7</v>
      </c>
      <c r="J4048" s="1" t="s">
        <v>12283</v>
      </c>
    </row>
    <row r="4049">
      <c r="A4049" s="1" t="s">
        <v>12433</v>
      </c>
      <c r="B4049" s="1" t="s">
        <v>12434</v>
      </c>
      <c r="C4049" s="1" t="s">
        <v>12435</v>
      </c>
      <c r="D4049" s="1" t="s">
        <v>12281</v>
      </c>
      <c r="E4049" s="1" t="s">
        <v>12282</v>
      </c>
      <c r="F4049" s="1">
        <v>4272.0</v>
      </c>
      <c r="G4049" s="1">
        <v>62.0</v>
      </c>
      <c r="H4049" s="1">
        <v>36.0</v>
      </c>
      <c r="I4049" s="1">
        <v>1.21E7</v>
      </c>
      <c r="J4049" s="1" t="s">
        <v>12283</v>
      </c>
    </row>
    <row r="4050">
      <c r="A4050" s="1" t="s">
        <v>12436</v>
      </c>
      <c r="B4050" s="1" t="s">
        <v>12437</v>
      </c>
      <c r="C4050" s="1" t="s">
        <v>12438</v>
      </c>
      <c r="D4050" s="1" t="s">
        <v>12281</v>
      </c>
      <c r="E4050" s="1" t="s">
        <v>12282</v>
      </c>
      <c r="F4050" s="1">
        <v>10353.0</v>
      </c>
      <c r="G4050" s="1">
        <v>146.0</v>
      </c>
      <c r="H4050" s="1">
        <v>21.0</v>
      </c>
      <c r="I4050" s="1">
        <v>1.21E7</v>
      </c>
      <c r="J4050" s="1" t="s">
        <v>12283</v>
      </c>
    </row>
    <row r="4051">
      <c r="A4051" s="1" t="s">
        <v>12439</v>
      </c>
      <c r="B4051" s="1" t="s">
        <v>12440</v>
      </c>
      <c r="C4051" s="1" t="s">
        <v>12441</v>
      </c>
      <c r="D4051" s="1" t="s">
        <v>12281</v>
      </c>
      <c r="E4051" s="1" t="s">
        <v>12282</v>
      </c>
      <c r="F4051" s="1">
        <v>6731.0</v>
      </c>
      <c r="G4051" s="1">
        <v>68.0</v>
      </c>
      <c r="H4051" s="1">
        <v>2.0</v>
      </c>
      <c r="I4051" s="1">
        <v>1.21E7</v>
      </c>
      <c r="J4051" s="1" t="s">
        <v>12283</v>
      </c>
    </row>
    <row r="4052">
      <c r="A4052" s="1" t="s">
        <v>12442</v>
      </c>
      <c r="B4052" s="1" t="s">
        <v>12443</v>
      </c>
      <c r="C4052" s="1" t="s">
        <v>12444</v>
      </c>
      <c r="D4052" s="1" t="s">
        <v>12281</v>
      </c>
      <c r="E4052" s="1" t="s">
        <v>12282</v>
      </c>
      <c r="F4052" s="1">
        <v>10017.0</v>
      </c>
      <c r="G4052" s="1">
        <v>74.0</v>
      </c>
      <c r="H4052" s="1">
        <v>21.0</v>
      </c>
      <c r="I4052" s="1">
        <v>1.21E7</v>
      </c>
      <c r="J4052" s="1" t="s">
        <v>12283</v>
      </c>
    </row>
    <row r="4053">
      <c r="A4053" s="1" t="s">
        <v>12445</v>
      </c>
      <c r="B4053" s="1" t="s">
        <v>12446</v>
      </c>
      <c r="C4053" s="1" t="s">
        <v>12447</v>
      </c>
      <c r="D4053" s="1" t="s">
        <v>12281</v>
      </c>
      <c r="E4053" s="1" t="s">
        <v>12282</v>
      </c>
      <c r="F4053" s="1">
        <v>2930.0</v>
      </c>
      <c r="G4053" s="1">
        <v>53.0</v>
      </c>
      <c r="H4053" s="1">
        <v>20.0</v>
      </c>
      <c r="I4053" s="1">
        <v>1.21E7</v>
      </c>
      <c r="J4053" s="1" t="s">
        <v>12283</v>
      </c>
    </row>
    <row r="4054">
      <c r="A4054" s="1" t="s">
        <v>12451</v>
      </c>
      <c r="B4054" s="1" t="s">
        <v>12452</v>
      </c>
      <c r="C4054" s="1" t="s">
        <v>12453</v>
      </c>
      <c r="D4054" s="1" t="s">
        <v>12281</v>
      </c>
      <c r="E4054" s="1" t="s">
        <v>12282</v>
      </c>
      <c r="F4054" s="1">
        <v>6417.0</v>
      </c>
      <c r="G4054" s="1">
        <v>111.0</v>
      </c>
      <c r="H4054" s="1">
        <v>65.0</v>
      </c>
      <c r="I4054" s="1">
        <v>1.21E7</v>
      </c>
      <c r="J4054" s="1" t="s">
        <v>12283</v>
      </c>
    </row>
    <row r="4055">
      <c r="A4055" s="1" t="s">
        <v>12454</v>
      </c>
      <c r="B4055" s="1" t="s">
        <v>12455</v>
      </c>
      <c r="C4055" s="1" t="s">
        <v>12456</v>
      </c>
      <c r="D4055" s="1" t="s">
        <v>12281</v>
      </c>
      <c r="E4055" s="1" t="s">
        <v>12282</v>
      </c>
      <c r="F4055" s="1">
        <v>11428.0</v>
      </c>
      <c r="G4055" s="1">
        <v>148.0</v>
      </c>
      <c r="H4055" s="1">
        <v>18.0</v>
      </c>
      <c r="I4055" s="1">
        <v>1.21E7</v>
      </c>
      <c r="J4055" s="1" t="s">
        <v>12283</v>
      </c>
    </row>
    <row r="4056">
      <c r="A4056" s="1" t="s">
        <v>12457</v>
      </c>
      <c r="B4056" s="1" t="s">
        <v>12458</v>
      </c>
      <c r="C4056" s="1" t="s">
        <v>12459</v>
      </c>
      <c r="D4056" s="1" t="s">
        <v>12281</v>
      </c>
      <c r="E4056" s="1" t="s">
        <v>12282</v>
      </c>
      <c r="F4056" s="1">
        <v>4084.0</v>
      </c>
      <c r="G4056" s="1">
        <v>45.0</v>
      </c>
      <c r="H4056" s="1">
        <v>12.0</v>
      </c>
      <c r="I4056" s="1">
        <v>1.21E7</v>
      </c>
      <c r="J4056" s="1" t="s">
        <v>12283</v>
      </c>
    </row>
    <row r="4057">
      <c r="A4057" s="1" t="s">
        <v>12460</v>
      </c>
      <c r="B4057" s="1" t="s">
        <v>12461</v>
      </c>
      <c r="C4057" s="1" t="s">
        <v>12462</v>
      </c>
      <c r="D4057" s="1" t="s">
        <v>12281</v>
      </c>
      <c r="E4057" s="1" t="s">
        <v>12282</v>
      </c>
      <c r="F4057" s="1">
        <v>10677.0</v>
      </c>
      <c r="G4057" s="1">
        <v>227.0</v>
      </c>
      <c r="H4057" s="1">
        <v>252.0</v>
      </c>
      <c r="I4057" s="1">
        <v>1.21E7</v>
      </c>
      <c r="J4057" s="1" t="s">
        <v>12283</v>
      </c>
    </row>
    <row r="4058">
      <c r="A4058" s="1" t="s">
        <v>12463</v>
      </c>
      <c r="B4058" s="1" t="s">
        <v>12464</v>
      </c>
      <c r="C4058" s="1" t="s">
        <v>12465</v>
      </c>
      <c r="D4058" s="1" t="s">
        <v>12281</v>
      </c>
      <c r="E4058" s="1" t="s">
        <v>12282</v>
      </c>
      <c r="F4058" s="1">
        <v>32360.0</v>
      </c>
      <c r="G4058" s="1">
        <v>459.0</v>
      </c>
      <c r="H4058" s="1">
        <v>292.0</v>
      </c>
      <c r="I4058" s="1">
        <v>1.21E7</v>
      </c>
      <c r="J4058" s="1" t="s">
        <v>12283</v>
      </c>
    </row>
    <row r="4059">
      <c r="A4059" s="1" t="s">
        <v>12466</v>
      </c>
      <c r="B4059" s="1" t="s">
        <v>12468</v>
      </c>
      <c r="C4059" s="1" t="s">
        <v>12470</v>
      </c>
      <c r="D4059" s="1" t="s">
        <v>12281</v>
      </c>
      <c r="E4059" s="1" t="s">
        <v>12282</v>
      </c>
      <c r="F4059" s="1">
        <v>48680.0</v>
      </c>
      <c r="G4059" s="1">
        <v>1157.0</v>
      </c>
      <c r="H4059" s="1">
        <v>181.0</v>
      </c>
      <c r="I4059" s="1">
        <v>1.21E7</v>
      </c>
      <c r="J4059" s="1" t="s">
        <v>12283</v>
      </c>
    </row>
    <row r="4060">
      <c r="A4060" s="1" t="s">
        <v>12472</v>
      </c>
      <c r="B4060" s="1" t="s">
        <v>12473</v>
      </c>
      <c r="C4060" s="1" t="s">
        <v>12474</v>
      </c>
      <c r="D4060" s="1" t="s">
        <v>12281</v>
      </c>
      <c r="E4060" s="1" t="s">
        <v>12282</v>
      </c>
      <c r="F4060" s="1">
        <v>17511.0</v>
      </c>
      <c r="G4060" s="1">
        <v>148.0</v>
      </c>
      <c r="H4060" s="1">
        <v>148.0</v>
      </c>
      <c r="I4060" s="1">
        <v>1.21E7</v>
      </c>
      <c r="J4060" s="1" t="s">
        <v>12283</v>
      </c>
    </row>
    <row r="4061">
      <c r="A4061" s="1" t="s">
        <v>12475</v>
      </c>
      <c r="B4061" s="1" t="s">
        <v>12476</v>
      </c>
      <c r="C4061" s="1" t="s">
        <v>12477</v>
      </c>
      <c r="D4061" s="1" t="s">
        <v>12281</v>
      </c>
      <c r="E4061" s="1" t="s">
        <v>12282</v>
      </c>
      <c r="F4061" s="1">
        <v>9637.0</v>
      </c>
      <c r="G4061" s="1">
        <v>186.0</v>
      </c>
      <c r="H4061" s="1">
        <v>86.0</v>
      </c>
      <c r="I4061" s="1">
        <v>1.21E7</v>
      </c>
      <c r="J4061" s="1" t="s">
        <v>12283</v>
      </c>
    </row>
    <row r="4062">
      <c r="A4062" s="1" t="s">
        <v>12478</v>
      </c>
      <c r="B4062" s="1" t="s">
        <v>12479</v>
      </c>
      <c r="C4062" s="1" t="s">
        <v>12480</v>
      </c>
      <c r="D4062" s="1" t="s">
        <v>12281</v>
      </c>
      <c r="E4062" s="1" t="s">
        <v>12282</v>
      </c>
      <c r="F4062" s="1">
        <v>759.0</v>
      </c>
      <c r="G4062" s="1">
        <v>21.0</v>
      </c>
      <c r="H4062" s="1">
        <v>1.0</v>
      </c>
      <c r="I4062" s="1">
        <v>1.21E7</v>
      </c>
      <c r="J4062" s="1" t="s">
        <v>12283</v>
      </c>
    </row>
    <row r="4063">
      <c r="A4063" s="1" t="s">
        <v>12481</v>
      </c>
      <c r="B4063" s="1" t="s">
        <v>12482</v>
      </c>
      <c r="C4063" s="1" t="s">
        <v>12483</v>
      </c>
      <c r="D4063" s="1" t="s">
        <v>12281</v>
      </c>
      <c r="E4063" s="1" t="s">
        <v>12282</v>
      </c>
      <c r="F4063" s="1">
        <v>1361.0</v>
      </c>
      <c r="G4063" s="1">
        <v>20.0</v>
      </c>
      <c r="H4063" s="1">
        <v>1.0</v>
      </c>
      <c r="I4063" s="1">
        <v>1.21E7</v>
      </c>
      <c r="J4063" s="1" t="s">
        <v>12283</v>
      </c>
    </row>
    <row r="4064">
      <c r="A4064" s="1" t="s">
        <v>12484</v>
      </c>
      <c r="B4064" s="1" t="s">
        <v>12485</v>
      </c>
      <c r="C4064" s="1" t="s">
        <v>12486</v>
      </c>
      <c r="D4064" s="1" t="s">
        <v>12281</v>
      </c>
      <c r="E4064" s="1" t="s">
        <v>12282</v>
      </c>
      <c r="F4064" s="1">
        <v>33341.0</v>
      </c>
      <c r="G4064" s="1">
        <v>217.0</v>
      </c>
      <c r="H4064" s="1">
        <v>41.0</v>
      </c>
      <c r="I4064" s="1">
        <v>1.21E7</v>
      </c>
      <c r="J4064" s="1" t="s">
        <v>12283</v>
      </c>
    </row>
    <row r="4065">
      <c r="A4065" s="1" t="s">
        <v>12488</v>
      </c>
      <c r="B4065" s="1" t="s">
        <v>12490</v>
      </c>
      <c r="C4065" s="1" t="s">
        <v>12491</v>
      </c>
      <c r="D4065" s="1" t="s">
        <v>12281</v>
      </c>
      <c r="E4065" s="1" t="s">
        <v>12282</v>
      </c>
      <c r="F4065" s="1">
        <v>792.0</v>
      </c>
      <c r="G4065" s="1">
        <v>6.0</v>
      </c>
      <c r="H4065" s="1">
        <v>1.0</v>
      </c>
      <c r="I4065" s="1">
        <v>1.21E7</v>
      </c>
      <c r="J4065" s="1" t="s">
        <v>12283</v>
      </c>
    </row>
    <row r="4066">
      <c r="A4066" s="1" t="s">
        <v>12492</v>
      </c>
      <c r="B4066" s="1" t="s">
        <v>12493</v>
      </c>
      <c r="C4066" s="1" t="s">
        <v>12494</v>
      </c>
      <c r="D4066" s="1" t="s">
        <v>12281</v>
      </c>
      <c r="E4066" s="1" t="s">
        <v>12282</v>
      </c>
      <c r="F4066" s="1">
        <v>2770.0</v>
      </c>
      <c r="G4066" s="1">
        <v>18.0</v>
      </c>
      <c r="H4066" s="1">
        <v>0.0</v>
      </c>
      <c r="I4066" s="1">
        <v>1.21E7</v>
      </c>
      <c r="J4066" s="1" t="s">
        <v>12283</v>
      </c>
    </row>
    <row r="4067">
      <c r="A4067" s="1" t="s">
        <v>12496</v>
      </c>
      <c r="B4067" s="1" t="s">
        <v>12497</v>
      </c>
      <c r="C4067" s="1" t="s">
        <v>12498</v>
      </c>
      <c r="D4067" s="1" t="s">
        <v>12281</v>
      </c>
      <c r="E4067" s="1" t="s">
        <v>12282</v>
      </c>
      <c r="F4067" s="1">
        <v>19980.0</v>
      </c>
      <c r="G4067" s="1">
        <v>185.0</v>
      </c>
      <c r="H4067" s="1">
        <v>40.0</v>
      </c>
      <c r="I4067" s="1">
        <v>1.21E7</v>
      </c>
      <c r="J4067" s="1" t="s">
        <v>12283</v>
      </c>
    </row>
    <row r="4068">
      <c r="A4068" s="1" t="s">
        <v>12499</v>
      </c>
      <c r="B4068" s="1" t="s">
        <v>12500</v>
      </c>
      <c r="C4068" s="1" t="s">
        <v>12501</v>
      </c>
      <c r="D4068" s="1" t="s">
        <v>12281</v>
      </c>
      <c r="E4068" s="1" t="s">
        <v>12282</v>
      </c>
      <c r="F4068" s="1">
        <v>2212.0</v>
      </c>
      <c r="G4068" s="1">
        <v>17.0</v>
      </c>
      <c r="H4068" s="1">
        <v>1.0</v>
      </c>
      <c r="I4068" s="1">
        <v>1.21E7</v>
      </c>
      <c r="J4068" s="1" t="s">
        <v>12283</v>
      </c>
    </row>
    <row r="4069">
      <c r="A4069" s="1" t="s">
        <v>12502</v>
      </c>
      <c r="B4069" s="1" t="s">
        <v>12503</v>
      </c>
      <c r="C4069" s="1" t="s">
        <v>12504</v>
      </c>
      <c r="D4069" s="1" t="s">
        <v>12281</v>
      </c>
      <c r="E4069" s="1" t="s">
        <v>12282</v>
      </c>
      <c r="F4069" s="1">
        <v>7239.0</v>
      </c>
      <c r="G4069" s="1">
        <v>93.0</v>
      </c>
      <c r="H4069" s="1">
        <v>19.0</v>
      </c>
      <c r="I4069" s="1">
        <v>1.21E7</v>
      </c>
      <c r="J4069" s="1" t="s">
        <v>12283</v>
      </c>
    </row>
    <row r="4070">
      <c r="A4070" s="1" t="s">
        <v>12505</v>
      </c>
      <c r="B4070" s="1" t="s">
        <v>12506</v>
      </c>
      <c r="C4070" s="1" t="s">
        <v>12507</v>
      </c>
      <c r="D4070" s="1" t="s">
        <v>12281</v>
      </c>
      <c r="E4070" s="1" t="s">
        <v>12282</v>
      </c>
      <c r="F4070" s="1">
        <v>6408.0</v>
      </c>
      <c r="G4070" s="1">
        <v>113.0</v>
      </c>
      <c r="H4070" s="1">
        <v>3.0</v>
      </c>
      <c r="I4070" s="1">
        <v>1.21E7</v>
      </c>
      <c r="J4070" s="1" t="s">
        <v>12283</v>
      </c>
    </row>
    <row r="4071">
      <c r="A4071" s="1" t="s">
        <v>12508</v>
      </c>
      <c r="B4071" s="1" t="s">
        <v>12509</v>
      </c>
      <c r="C4071" s="1" t="s">
        <v>12510</v>
      </c>
      <c r="D4071" s="1" t="s">
        <v>12281</v>
      </c>
      <c r="E4071" s="1" t="s">
        <v>12282</v>
      </c>
      <c r="F4071" s="1">
        <v>64908.0</v>
      </c>
      <c r="G4071" s="1">
        <v>556.0</v>
      </c>
      <c r="H4071" s="1">
        <v>126.0</v>
      </c>
      <c r="I4071" s="1">
        <v>1.21E7</v>
      </c>
      <c r="J4071" s="1" t="s">
        <v>12283</v>
      </c>
    </row>
    <row r="4072">
      <c r="A4072" s="1" t="s">
        <v>12511</v>
      </c>
      <c r="B4072" s="1" t="s">
        <v>12512</v>
      </c>
      <c r="C4072" s="1" t="s">
        <v>12513</v>
      </c>
      <c r="D4072" s="1" t="s">
        <v>12281</v>
      </c>
      <c r="E4072" s="1" t="s">
        <v>12282</v>
      </c>
      <c r="F4072" s="1">
        <v>19010.0</v>
      </c>
      <c r="G4072" s="1">
        <v>175.0</v>
      </c>
      <c r="H4072" s="1">
        <v>20.0</v>
      </c>
      <c r="I4072" s="1">
        <v>1.21E7</v>
      </c>
      <c r="J4072" s="1" t="s">
        <v>12283</v>
      </c>
    </row>
    <row r="4073">
      <c r="A4073" s="1" t="s">
        <v>12514</v>
      </c>
      <c r="B4073" s="1" t="s">
        <v>12515</v>
      </c>
      <c r="C4073" s="1" t="s">
        <v>12516</v>
      </c>
      <c r="D4073" s="1" t="s">
        <v>12281</v>
      </c>
      <c r="E4073" s="1" t="s">
        <v>12282</v>
      </c>
      <c r="F4073" s="1">
        <v>47803.0</v>
      </c>
      <c r="G4073" s="1">
        <v>1150.0</v>
      </c>
      <c r="H4073" s="1">
        <v>83.0</v>
      </c>
      <c r="I4073" s="1">
        <v>1.21E7</v>
      </c>
      <c r="J4073" s="1" t="s">
        <v>12283</v>
      </c>
    </row>
    <row r="4074">
      <c r="A4074" s="1" t="s">
        <v>12517</v>
      </c>
      <c r="B4074" s="1" t="s">
        <v>12518</v>
      </c>
      <c r="C4074" s="1" t="s">
        <v>12519</v>
      </c>
      <c r="D4074" s="1" t="s">
        <v>12281</v>
      </c>
      <c r="E4074" s="1" t="s">
        <v>12282</v>
      </c>
      <c r="F4074" s="1">
        <v>319229.0</v>
      </c>
      <c r="G4074" s="1">
        <v>3404.0</v>
      </c>
      <c r="H4074" s="1">
        <v>445.0</v>
      </c>
      <c r="I4074" s="1">
        <v>1.21E7</v>
      </c>
      <c r="J4074" s="1" t="s">
        <v>12283</v>
      </c>
    </row>
    <row r="4075">
      <c r="A4075" s="1" t="s">
        <v>12520</v>
      </c>
      <c r="B4075" s="1" t="s">
        <v>12521</v>
      </c>
      <c r="C4075" s="1" t="s">
        <v>12522</v>
      </c>
      <c r="D4075" s="1" t="s">
        <v>12281</v>
      </c>
      <c r="E4075" s="1" t="s">
        <v>12282</v>
      </c>
      <c r="F4075" s="1">
        <v>21436.0</v>
      </c>
      <c r="G4075" s="1">
        <v>54.0</v>
      </c>
      <c r="H4075" s="1">
        <v>9.0</v>
      </c>
      <c r="I4075" s="1">
        <v>1.21E7</v>
      </c>
      <c r="J4075" s="1" t="s">
        <v>12283</v>
      </c>
    </row>
    <row r="4076">
      <c r="A4076" s="1" t="s">
        <v>12526</v>
      </c>
      <c r="B4076" s="1" t="s">
        <v>12527</v>
      </c>
      <c r="C4076" s="1" t="s">
        <v>12528</v>
      </c>
      <c r="D4076" s="1" t="s">
        <v>12281</v>
      </c>
      <c r="E4076" s="1" t="s">
        <v>12282</v>
      </c>
      <c r="F4076" s="1">
        <v>39251.0</v>
      </c>
      <c r="G4076" s="1">
        <v>327.0</v>
      </c>
      <c r="H4076" s="1">
        <v>15.0</v>
      </c>
      <c r="I4076" s="1">
        <v>1.21E7</v>
      </c>
      <c r="J4076" s="1" t="s">
        <v>12283</v>
      </c>
    </row>
    <row r="4077">
      <c r="A4077" s="1" t="s">
        <v>12529</v>
      </c>
      <c r="B4077" s="1" t="s">
        <v>12530</v>
      </c>
      <c r="C4077" s="1" t="s">
        <v>12531</v>
      </c>
      <c r="D4077" s="1" t="s">
        <v>12281</v>
      </c>
      <c r="E4077" s="1" t="s">
        <v>12282</v>
      </c>
      <c r="F4077" s="1">
        <v>74716.0</v>
      </c>
      <c r="G4077" s="1">
        <v>840.0</v>
      </c>
      <c r="H4077" s="1">
        <v>323.0</v>
      </c>
      <c r="I4077" s="1">
        <v>1.21E7</v>
      </c>
      <c r="J4077" s="1" t="s">
        <v>12283</v>
      </c>
    </row>
    <row r="4078">
      <c r="A4078" s="1" t="s">
        <v>12532</v>
      </c>
      <c r="B4078" s="1" t="s">
        <v>12533</v>
      </c>
      <c r="C4078" s="1" t="s">
        <v>12534</v>
      </c>
      <c r="D4078" s="1" t="s">
        <v>12281</v>
      </c>
      <c r="E4078" s="1" t="s">
        <v>12282</v>
      </c>
      <c r="F4078" s="1">
        <v>3657.0</v>
      </c>
      <c r="G4078" s="1">
        <v>40.0</v>
      </c>
      <c r="H4078" s="1">
        <v>1.0</v>
      </c>
      <c r="I4078" s="1">
        <v>1.21E7</v>
      </c>
      <c r="J4078" s="1" t="s">
        <v>12283</v>
      </c>
    </row>
    <row r="4079">
      <c r="A4079" s="1" t="s">
        <v>12535</v>
      </c>
      <c r="B4079" s="1" t="s">
        <v>12536</v>
      </c>
      <c r="C4079" s="1" t="s">
        <v>12537</v>
      </c>
      <c r="D4079" s="1" t="s">
        <v>12281</v>
      </c>
      <c r="E4079" s="1" t="s">
        <v>12282</v>
      </c>
      <c r="F4079" s="1">
        <v>13727.0</v>
      </c>
      <c r="G4079" s="1">
        <v>409.0</v>
      </c>
      <c r="H4079" s="1">
        <v>73.0</v>
      </c>
      <c r="I4079" s="1">
        <v>1.21E7</v>
      </c>
      <c r="J4079" s="1" t="s">
        <v>12283</v>
      </c>
    </row>
    <row r="4080">
      <c r="A4080" s="1" t="s">
        <v>12538</v>
      </c>
      <c r="B4080" s="1" t="s">
        <v>12539</v>
      </c>
      <c r="C4080" s="1" t="s">
        <v>12540</v>
      </c>
      <c r="D4080" s="1" t="s">
        <v>12281</v>
      </c>
      <c r="E4080" s="1" t="s">
        <v>12282</v>
      </c>
      <c r="F4080" s="1">
        <v>30441.0</v>
      </c>
      <c r="G4080" s="1">
        <v>220.0</v>
      </c>
      <c r="H4080" s="1">
        <v>16.0</v>
      </c>
      <c r="I4080" s="1">
        <v>1.21E7</v>
      </c>
      <c r="J4080" s="1" t="s">
        <v>12283</v>
      </c>
    </row>
    <row r="4081">
      <c r="A4081" s="1" t="s">
        <v>12541</v>
      </c>
      <c r="B4081" s="1" t="s">
        <v>12542</v>
      </c>
      <c r="C4081" s="1" t="s">
        <v>12543</v>
      </c>
      <c r="D4081" s="1" t="s">
        <v>12281</v>
      </c>
      <c r="E4081" s="1" t="s">
        <v>12282</v>
      </c>
      <c r="F4081" s="1">
        <v>8798.0</v>
      </c>
      <c r="G4081" s="1">
        <v>220.0</v>
      </c>
      <c r="H4081" s="1">
        <v>28.0</v>
      </c>
      <c r="I4081" s="1">
        <v>1.21E7</v>
      </c>
      <c r="J4081" s="1" t="s">
        <v>12283</v>
      </c>
    </row>
    <row r="4082">
      <c r="A4082" s="1" t="s">
        <v>12544</v>
      </c>
      <c r="B4082" s="1" t="s">
        <v>12545</v>
      </c>
      <c r="C4082" s="1" t="s">
        <v>12546</v>
      </c>
      <c r="D4082" s="1" t="s">
        <v>12281</v>
      </c>
      <c r="E4082" s="1" t="s">
        <v>12282</v>
      </c>
      <c r="F4082" s="1">
        <v>4569.0</v>
      </c>
      <c r="G4082" s="1">
        <v>80.0</v>
      </c>
      <c r="H4082" s="1">
        <v>13.0</v>
      </c>
      <c r="I4082" s="1">
        <v>1.21E7</v>
      </c>
      <c r="J4082" s="1" t="s">
        <v>12283</v>
      </c>
    </row>
    <row r="4083">
      <c r="A4083" s="1" t="s">
        <v>12547</v>
      </c>
      <c r="B4083" s="1" t="s">
        <v>12548</v>
      </c>
      <c r="C4083" s="1" t="s">
        <v>12549</v>
      </c>
      <c r="D4083" s="1" t="s">
        <v>12281</v>
      </c>
      <c r="E4083" s="1" t="s">
        <v>12282</v>
      </c>
      <c r="F4083" s="1">
        <v>26704.0</v>
      </c>
      <c r="G4083" s="1">
        <v>683.0</v>
      </c>
      <c r="H4083" s="1">
        <v>94.0</v>
      </c>
      <c r="I4083" s="1">
        <v>1.21E7</v>
      </c>
      <c r="J4083" s="1" t="s">
        <v>12283</v>
      </c>
    </row>
    <row r="4084">
      <c r="A4084" s="1" t="s">
        <v>12550</v>
      </c>
      <c r="B4084" s="1" t="s">
        <v>12551</v>
      </c>
      <c r="C4084" s="1" t="s">
        <v>12552</v>
      </c>
      <c r="D4084" s="1" t="s">
        <v>12281</v>
      </c>
      <c r="E4084" s="1" t="s">
        <v>12282</v>
      </c>
      <c r="F4084" s="1">
        <v>10035.0</v>
      </c>
      <c r="G4084" s="1">
        <v>464.0</v>
      </c>
      <c r="H4084" s="1">
        <v>63.0</v>
      </c>
      <c r="I4084" s="1">
        <v>1.21E7</v>
      </c>
      <c r="J4084" s="1" t="s">
        <v>12283</v>
      </c>
    </row>
    <row r="4085">
      <c r="A4085" s="1" t="s">
        <v>12553</v>
      </c>
      <c r="B4085" s="1" t="s">
        <v>12554</v>
      </c>
      <c r="C4085" s="1" t="s">
        <v>12556</v>
      </c>
      <c r="D4085" s="1" t="s">
        <v>12281</v>
      </c>
      <c r="E4085" s="1" t="s">
        <v>12282</v>
      </c>
      <c r="F4085" s="1">
        <v>3803.0</v>
      </c>
      <c r="G4085" s="1">
        <v>143.0</v>
      </c>
      <c r="H4085" s="1">
        <v>21.0</v>
      </c>
      <c r="I4085" s="1">
        <v>1.21E7</v>
      </c>
      <c r="J4085" s="1" t="s">
        <v>12283</v>
      </c>
    </row>
    <row r="4086">
      <c r="A4086" s="1" t="s">
        <v>12559</v>
      </c>
      <c r="B4086" s="1" t="s">
        <v>12560</v>
      </c>
      <c r="C4086" s="1" t="s">
        <v>12561</v>
      </c>
      <c r="D4086" s="1" t="s">
        <v>12281</v>
      </c>
      <c r="E4086" s="1" t="s">
        <v>12282</v>
      </c>
      <c r="F4086" s="1">
        <v>24502.0</v>
      </c>
      <c r="G4086" s="1">
        <v>380.0</v>
      </c>
      <c r="H4086" s="1">
        <v>52.0</v>
      </c>
      <c r="I4086" s="1">
        <v>1.21E7</v>
      </c>
      <c r="J4086" s="1" t="s">
        <v>12283</v>
      </c>
    </row>
    <row r="4087">
      <c r="A4087" s="1" t="s">
        <v>12562</v>
      </c>
      <c r="B4087" s="1" t="s">
        <v>12563</v>
      </c>
      <c r="C4087" s="1" t="s">
        <v>12564</v>
      </c>
      <c r="D4087" s="1" t="s">
        <v>12281</v>
      </c>
      <c r="E4087" s="1" t="s">
        <v>12282</v>
      </c>
      <c r="F4087" s="1">
        <v>4595.0</v>
      </c>
      <c r="G4087" s="1">
        <v>94.0</v>
      </c>
      <c r="H4087" s="1">
        <v>28.0</v>
      </c>
      <c r="I4087" s="1">
        <v>1.21E7</v>
      </c>
      <c r="J4087" s="1" t="s">
        <v>12283</v>
      </c>
    </row>
    <row r="4088">
      <c r="A4088" s="1" t="s">
        <v>12565</v>
      </c>
      <c r="B4088" s="1" t="s">
        <v>12542</v>
      </c>
      <c r="C4088" s="1" t="s">
        <v>12566</v>
      </c>
      <c r="D4088" s="1" t="s">
        <v>12281</v>
      </c>
      <c r="E4088" s="1" t="s">
        <v>12282</v>
      </c>
      <c r="F4088" s="1">
        <v>4312.0</v>
      </c>
      <c r="G4088" s="1">
        <v>47.0</v>
      </c>
      <c r="H4088" s="1">
        <v>11.0</v>
      </c>
      <c r="I4088" s="1">
        <v>1.21E7</v>
      </c>
      <c r="J4088" s="1" t="s">
        <v>12283</v>
      </c>
    </row>
    <row r="4089">
      <c r="A4089" s="1" t="s">
        <v>12567</v>
      </c>
      <c r="B4089" s="1" t="s">
        <v>12568</v>
      </c>
      <c r="C4089" s="1" t="s">
        <v>12569</v>
      </c>
      <c r="D4089" s="1" t="s">
        <v>12281</v>
      </c>
      <c r="E4089" s="1" t="s">
        <v>12282</v>
      </c>
      <c r="F4089" s="1">
        <v>2593.0</v>
      </c>
      <c r="G4089" s="1">
        <v>47.0</v>
      </c>
      <c r="H4089" s="1">
        <v>4.0</v>
      </c>
      <c r="I4089" s="1">
        <v>1.21E7</v>
      </c>
      <c r="J4089" s="1" t="s">
        <v>12283</v>
      </c>
    </row>
    <row r="4090">
      <c r="A4090" s="1" t="s">
        <v>12570</v>
      </c>
      <c r="B4090" s="1" t="s">
        <v>12571</v>
      </c>
      <c r="C4090" s="1" t="s">
        <v>12572</v>
      </c>
      <c r="D4090" s="1" t="s">
        <v>12281</v>
      </c>
      <c r="E4090" s="1" t="s">
        <v>12282</v>
      </c>
      <c r="F4090" s="1">
        <v>35059.0</v>
      </c>
      <c r="G4090" s="1">
        <v>279.0</v>
      </c>
      <c r="H4090" s="1">
        <v>290.0</v>
      </c>
      <c r="I4090" s="1">
        <v>1.21E7</v>
      </c>
      <c r="J4090" s="1" t="s">
        <v>12283</v>
      </c>
    </row>
    <row r="4091">
      <c r="A4091" s="1" t="s">
        <v>12573</v>
      </c>
      <c r="B4091" s="1" t="s">
        <v>12574</v>
      </c>
      <c r="C4091" s="1" t="s">
        <v>12575</v>
      </c>
      <c r="D4091" s="1" t="s">
        <v>12281</v>
      </c>
      <c r="E4091" s="1" t="s">
        <v>12282</v>
      </c>
      <c r="F4091" s="1">
        <v>2206.0</v>
      </c>
      <c r="G4091" s="1">
        <v>49.0</v>
      </c>
      <c r="H4091" s="1">
        <v>8.0</v>
      </c>
      <c r="I4091" s="1">
        <v>1.21E7</v>
      </c>
      <c r="J4091" s="1" t="s">
        <v>12283</v>
      </c>
    </row>
    <row r="4092">
      <c r="A4092" s="1" t="s">
        <v>12576</v>
      </c>
      <c r="B4092" s="1" t="s">
        <v>12577</v>
      </c>
      <c r="C4092" s="1" t="s">
        <v>12578</v>
      </c>
      <c r="D4092" s="1" t="s">
        <v>12281</v>
      </c>
      <c r="E4092" s="1" t="s">
        <v>12282</v>
      </c>
      <c r="F4092" s="1">
        <v>79722.0</v>
      </c>
      <c r="G4092" s="1">
        <v>442.0</v>
      </c>
      <c r="H4092" s="1">
        <v>150.0</v>
      </c>
      <c r="I4092" s="1">
        <v>1.21E7</v>
      </c>
      <c r="J4092" s="1" t="s">
        <v>12283</v>
      </c>
    </row>
    <row r="4093">
      <c r="A4093" s="1" t="s">
        <v>12579</v>
      </c>
      <c r="B4093" s="1" t="s">
        <v>12580</v>
      </c>
      <c r="C4093" s="1" t="s">
        <v>12582</v>
      </c>
      <c r="D4093" s="1" t="s">
        <v>12281</v>
      </c>
      <c r="E4093" s="1" t="s">
        <v>12282</v>
      </c>
      <c r="F4093" s="1">
        <v>7084.0</v>
      </c>
      <c r="G4093" s="1">
        <v>67.0</v>
      </c>
      <c r="H4093" s="1">
        <v>73.0</v>
      </c>
      <c r="I4093" s="1">
        <v>1.21E7</v>
      </c>
      <c r="J4093" s="1" t="s">
        <v>12283</v>
      </c>
    </row>
    <row r="4094">
      <c r="A4094" s="1" t="s">
        <v>12585</v>
      </c>
      <c r="B4094" s="1" t="s">
        <v>12551</v>
      </c>
      <c r="C4094" s="1" t="s">
        <v>12586</v>
      </c>
      <c r="D4094" s="1" t="s">
        <v>12281</v>
      </c>
      <c r="E4094" s="1" t="s">
        <v>12282</v>
      </c>
      <c r="F4094" s="1">
        <v>8424.0</v>
      </c>
      <c r="G4094" s="1">
        <v>89.0</v>
      </c>
      <c r="H4094" s="1">
        <v>83.0</v>
      </c>
      <c r="I4094" s="1">
        <v>1.21E7</v>
      </c>
      <c r="J4094" s="1" t="s">
        <v>12283</v>
      </c>
    </row>
    <row r="4095">
      <c r="A4095" s="1" t="s">
        <v>12587</v>
      </c>
      <c r="B4095" s="1" t="s">
        <v>12554</v>
      </c>
      <c r="C4095" s="1" t="s">
        <v>12588</v>
      </c>
      <c r="D4095" s="1" t="s">
        <v>12281</v>
      </c>
      <c r="E4095" s="1" t="s">
        <v>12282</v>
      </c>
      <c r="F4095" s="1">
        <v>7525.0</v>
      </c>
      <c r="G4095" s="1">
        <v>103.0</v>
      </c>
      <c r="H4095" s="1">
        <v>72.0</v>
      </c>
      <c r="I4095" s="1">
        <v>1.21E7</v>
      </c>
      <c r="J4095" s="1" t="s">
        <v>12283</v>
      </c>
    </row>
    <row r="4096">
      <c r="A4096" s="1" t="s">
        <v>12589</v>
      </c>
      <c r="B4096" s="1" t="s">
        <v>12590</v>
      </c>
      <c r="C4096" s="1" t="s">
        <v>12591</v>
      </c>
      <c r="D4096" s="1" t="s">
        <v>12281</v>
      </c>
      <c r="E4096" s="1" t="s">
        <v>12282</v>
      </c>
      <c r="F4096" s="1">
        <v>1884.0</v>
      </c>
      <c r="G4096" s="1">
        <v>25.0</v>
      </c>
      <c r="H4096" s="1">
        <v>10.0</v>
      </c>
      <c r="I4096" s="1">
        <v>1.21E7</v>
      </c>
      <c r="J4096" s="1" t="s">
        <v>12283</v>
      </c>
    </row>
    <row r="4097">
      <c r="A4097" s="1" t="s">
        <v>12592</v>
      </c>
      <c r="B4097" s="1" t="s">
        <v>12593</v>
      </c>
      <c r="C4097" s="1" t="s">
        <v>12594</v>
      </c>
      <c r="D4097" s="1" t="s">
        <v>12281</v>
      </c>
      <c r="E4097" s="1" t="s">
        <v>12282</v>
      </c>
      <c r="F4097" s="1">
        <v>59593.0</v>
      </c>
      <c r="G4097" s="1">
        <v>753.0</v>
      </c>
      <c r="H4097" s="1">
        <v>590.0</v>
      </c>
      <c r="I4097" s="1">
        <v>1.21E7</v>
      </c>
      <c r="J4097" s="1" t="s">
        <v>12283</v>
      </c>
    </row>
    <row r="4098">
      <c r="A4098" s="1" t="s">
        <v>12595</v>
      </c>
      <c r="B4098" s="1" t="s">
        <v>12596</v>
      </c>
      <c r="C4098" s="1" t="s">
        <v>12597</v>
      </c>
      <c r="D4098" s="1" t="s">
        <v>12281</v>
      </c>
      <c r="E4098" s="1" t="s">
        <v>12282</v>
      </c>
      <c r="F4098" s="1">
        <v>1711.0</v>
      </c>
      <c r="G4098" s="1">
        <v>11.0</v>
      </c>
      <c r="H4098" s="1">
        <v>1.0</v>
      </c>
      <c r="I4098" s="1">
        <v>1.21E7</v>
      </c>
      <c r="J4098" s="1" t="s">
        <v>12283</v>
      </c>
    </row>
    <row r="4099">
      <c r="A4099" s="1" t="s">
        <v>12598</v>
      </c>
      <c r="B4099" s="1" t="s">
        <v>12599</v>
      </c>
      <c r="C4099" s="1" t="s">
        <v>12600</v>
      </c>
      <c r="D4099" s="1" t="s">
        <v>12281</v>
      </c>
      <c r="E4099" s="1" t="s">
        <v>12282</v>
      </c>
      <c r="F4099" s="1">
        <v>15714.0</v>
      </c>
      <c r="G4099" s="1">
        <v>221.0</v>
      </c>
      <c r="H4099" s="1">
        <v>124.0</v>
      </c>
      <c r="I4099" s="1">
        <v>1.21E7</v>
      </c>
      <c r="J4099" s="1" t="s">
        <v>12283</v>
      </c>
    </row>
    <row r="4100">
      <c r="A4100" s="1" t="s">
        <v>12601</v>
      </c>
      <c r="B4100" s="1" t="s">
        <v>12602</v>
      </c>
      <c r="C4100" s="1" t="s">
        <v>12603</v>
      </c>
      <c r="D4100" s="1" t="s">
        <v>12281</v>
      </c>
      <c r="E4100" s="1" t="s">
        <v>12282</v>
      </c>
      <c r="F4100" s="1">
        <v>29836.0</v>
      </c>
      <c r="G4100" s="1">
        <v>507.0</v>
      </c>
      <c r="H4100" s="1">
        <v>771.0</v>
      </c>
      <c r="I4100" s="1">
        <v>1.21E7</v>
      </c>
      <c r="J4100" s="1" t="s">
        <v>12283</v>
      </c>
    </row>
    <row r="4101">
      <c r="A4101" s="1" t="s">
        <v>12604</v>
      </c>
      <c r="B4101" s="1" t="s">
        <v>12606</v>
      </c>
      <c r="C4101" s="1" t="s">
        <v>12607</v>
      </c>
      <c r="D4101" s="1" t="s">
        <v>12281</v>
      </c>
      <c r="E4101" s="1" t="s">
        <v>12282</v>
      </c>
      <c r="F4101" s="1">
        <v>5163.0</v>
      </c>
      <c r="G4101" s="1">
        <v>28.0</v>
      </c>
      <c r="H4101" s="1">
        <v>4.0</v>
      </c>
      <c r="I4101" s="1">
        <v>1.21E7</v>
      </c>
      <c r="J4101" s="1" t="s">
        <v>12283</v>
      </c>
    </row>
    <row r="4102">
      <c r="A4102" s="1" t="s">
        <v>12610</v>
      </c>
      <c r="B4102" s="1" t="s">
        <v>12611</v>
      </c>
      <c r="C4102" s="1" t="s">
        <v>12612</v>
      </c>
      <c r="D4102" s="1" t="s">
        <v>12281</v>
      </c>
      <c r="E4102" s="1" t="s">
        <v>12282</v>
      </c>
      <c r="F4102" s="1">
        <v>42715.0</v>
      </c>
      <c r="G4102" s="1">
        <v>432.0</v>
      </c>
      <c r="H4102" s="1">
        <v>90.0</v>
      </c>
      <c r="I4102" s="1">
        <v>1.21E7</v>
      </c>
      <c r="J4102" s="1" t="s">
        <v>12283</v>
      </c>
    </row>
    <row r="4103">
      <c r="A4103" s="1" t="s">
        <v>12613</v>
      </c>
      <c r="B4103" s="1" t="s">
        <v>12614</v>
      </c>
      <c r="C4103" s="1" t="s">
        <v>12615</v>
      </c>
      <c r="D4103" s="1" t="s">
        <v>12281</v>
      </c>
      <c r="E4103" s="1" t="s">
        <v>12282</v>
      </c>
      <c r="F4103" s="1">
        <v>10284.0</v>
      </c>
      <c r="G4103" s="1">
        <v>79.0</v>
      </c>
      <c r="H4103" s="1">
        <v>31.0</v>
      </c>
      <c r="I4103" s="1">
        <v>1.21E7</v>
      </c>
      <c r="J4103" s="1" t="s">
        <v>12283</v>
      </c>
    </row>
    <row r="4104">
      <c r="A4104" s="1" t="s">
        <v>12616</v>
      </c>
      <c r="B4104" s="1" t="s">
        <v>12617</v>
      </c>
      <c r="C4104" s="1" t="s">
        <v>12618</v>
      </c>
      <c r="D4104" s="1" t="s">
        <v>12281</v>
      </c>
      <c r="E4104" s="1" t="s">
        <v>12282</v>
      </c>
      <c r="F4104" s="1">
        <v>27383.0</v>
      </c>
      <c r="G4104" s="1">
        <v>194.0</v>
      </c>
      <c r="H4104" s="1">
        <v>44.0</v>
      </c>
      <c r="I4104" s="1">
        <v>1.21E7</v>
      </c>
      <c r="J4104" s="1" t="s">
        <v>12283</v>
      </c>
    </row>
    <row r="4105">
      <c r="A4105" s="1" t="s">
        <v>12619</v>
      </c>
      <c r="B4105" s="1" t="s">
        <v>12620</v>
      </c>
      <c r="C4105" s="1" t="s">
        <v>12621</v>
      </c>
      <c r="D4105" s="1" t="s">
        <v>12281</v>
      </c>
      <c r="E4105" s="1" t="s">
        <v>12282</v>
      </c>
      <c r="F4105" s="1">
        <v>69591.0</v>
      </c>
      <c r="G4105" s="1">
        <v>506.0</v>
      </c>
      <c r="H4105" s="1">
        <v>477.0</v>
      </c>
      <c r="I4105" s="1">
        <v>1.21E7</v>
      </c>
      <c r="J4105" s="1" t="s">
        <v>12283</v>
      </c>
    </row>
    <row r="4106">
      <c r="A4106" s="1" t="s">
        <v>12622</v>
      </c>
      <c r="B4106" s="1" t="s">
        <v>12623</v>
      </c>
      <c r="C4106" s="1" t="s">
        <v>12624</v>
      </c>
      <c r="D4106" s="1" t="s">
        <v>12281</v>
      </c>
      <c r="E4106" s="1" t="s">
        <v>12282</v>
      </c>
      <c r="F4106" s="1">
        <v>21544.0</v>
      </c>
      <c r="G4106" s="1">
        <v>198.0</v>
      </c>
      <c r="H4106" s="1">
        <v>21.0</v>
      </c>
      <c r="I4106" s="1">
        <v>1.21E7</v>
      </c>
      <c r="J4106" s="1" t="s">
        <v>12283</v>
      </c>
    </row>
    <row r="4107">
      <c r="A4107" s="1" t="s">
        <v>12625</v>
      </c>
      <c r="B4107" s="1" t="s">
        <v>12626</v>
      </c>
      <c r="C4107" s="1" t="s">
        <v>12627</v>
      </c>
      <c r="D4107" s="1" t="s">
        <v>12281</v>
      </c>
      <c r="E4107" s="1" t="s">
        <v>12282</v>
      </c>
      <c r="F4107" s="1">
        <v>3544.0</v>
      </c>
      <c r="G4107" s="1">
        <v>45.0</v>
      </c>
      <c r="H4107" s="1">
        <v>21.0</v>
      </c>
      <c r="I4107" s="1">
        <v>1.21E7</v>
      </c>
      <c r="J4107" s="1" t="s">
        <v>12283</v>
      </c>
    </row>
    <row r="4108">
      <c r="A4108" s="1" t="s">
        <v>12628</v>
      </c>
      <c r="B4108" s="1" t="s">
        <v>12629</v>
      </c>
      <c r="C4108" s="1" t="s">
        <v>12630</v>
      </c>
      <c r="D4108" s="1" t="s">
        <v>12281</v>
      </c>
      <c r="E4108" s="1" t="s">
        <v>12282</v>
      </c>
      <c r="F4108" s="1">
        <v>5475.0</v>
      </c>
      <c r="G4108" s="1">
        <v>58.0</v>
      </c>
      <c r="H4108" s="1">
        <v>15.0</v>
      </c>
      <c r="I4108" s="1">
        <v>1.21E7</v>
      </c>
      <c r="J4108" s="1" t="s">
        <v>12283</v>
      </c>
    </row>
    <row r="4109">
      <c r="A4109" s="1" t="s">
        <v>12631</v>
      </c>
      <c r="B4109" s="1" t="s">
        <v>12632</v>
      </c>
      <c r="C4109" s="1" t="s">
        <v>12633</v>
      </c>
      <c r="D4109" s="1" t="s">
        <v>12281</v>
      </c>
      <c r="E4109" s="1" t="s">
        <v>12282</v>
      </c>
      <c r="F4109" s="1">
        <v>11443.0</v>
      </c>
      <c r="G4109" s="1">
        <v>205.0</v>
      </c>
      <c r="H4109" s="1">
        <v>104.0</v>
      </c>
      <c r="I4109" s="1">
        <v>1.21E7</v>
      </c>
      <c r="J4109" s="1" t="s">
        <v>12283</v>
      </c>
    </row>
    <row r="4110">
      <c r="A4110" s="1" t="s">
        <v>12634</v>
      </c>
      <c r="B4110" s="1" t="s">
        <v>12635</v>
      </c>
      <c r="C4110" s="1" t="s">
        <v>12636</v>
      </c>
      <c r="D4110" s="1" t="s">
        <v>12281</v>
      </c>
      <c r="E4110" s="1" t="s">
        <v>12282</v>
      </c>
      <c r="F4110" s="1">
        <v>73856.0</v>
      </c>
      <c r="G4110" s="1">
        <v>866.0</v>
      </c>
      <c r="H4110" s="1">
        <v>266.0</v>
      </c>
      <c r="I4110" s="1">
        <v>1.21E7</v>
      </c>
      <c r="J4110" s="1" t="s">
        <v>12283</v>
      </c>
    </row>
    <row r="4111">
      <c r="A4111" s="1" t="s">
        <v>12637</v>
      </c>
      <c r="B4111" s="1" t="s">
        <v>12638</v>
      </c>
      <c r="C4111" s="1" t="s">
        <v>12639</v>
      </c>
      <c r="D4111" s="1" t="s">
        <v>12281</v>
      </c>
      <c r="E4111" s="1" t="s">
        <v>12282</v>
      </c>
      <c r="F4111" s="1">
        <v>12879.0</v>
      </c>
      <c r="G4111" s="1">
        <v>167.0</v>
      </c>
      <c r="H4111" s="1">
        <v>2.0</v>
      </c>
      <c r="I4111" s="1">
        <v>1.21E7</v>
      </c>
      <c r="J4111" s="1" t="s">
        <v>12283</v>
      </c>
    </row>
    <row r="4112">
      <c r="A4112" s="1" t="s">
        <v>12643</v>
      </c>
      <c r="B4112" s="1" t="s">
        <v>12644</v>
      </c>
      <c r="C4112" s="1" t="s">
        <v>12645</v>
      </c>
      <c r="D4112" s="1" t="s">
        <v>12281</v>
      </c>
      <c r="E4112" s="1" t="s">
        <v>12282</v>
      </c>
      <c r="F4112" s="1">
        <v>5228.0</v>
      </c>
      <c r="G4112" s="1">
        <v>35.0</v>
      </c>
      <c r="H4112" s="1">
        <v>35.0</v>
      </c>
      <c r="I4112" s="1">
        <v>1.21E7</v>
      </c>
      <c r="J4112" s="1" t="s">
        <v>12283</v>
      </c>
    </row>
    <row r="4113">
      <c r="A4113" s="1" t="s">
        <v>12646</v>
      </c>
      <c r="B4113" s="1" t="s">
        <v>12647</v>
      </c>
      <c r="C4113" s="1" t="s">
        <v>12648</v>
      </c>
      <c r="D4113" s="1" t="s">
        <v>12281</v>
      </c>
      <c r="E4113" s="1" t="s">
        <v>12282</v>
      </c>
      <c r="F4113" s="1">
        <v>10501.0</v>
      </c>
      <c r="G4113" s="1">
        <v>102.0</v>
      </c>
      <c r="H4113" s="1">
        <v>30.0</v>
      </c>
      <c r="I4113" s="1">
        <v>1.21E7</v>
      </c>
      <c r="J4113" s="1" t="s">
        <v>12283</v>
      </c>
    </row>
    <row r="4114">
      <c r="A4114" s="1" t="s">
        <v>12649</v>
      </c>
      <c r="B4114" s="1" t="s">
        <v>12650</v>
      </c>
      <c r="C4114" s="1" t="s">
        <v>12651</v>
      </c>
      <c r="D4114" s="1" t="s">
        <v>12281</v>
      </c>
      <c r="E4114" s="1" t="s">
        <v>12282</v>
      </c>
      <c r="F4114" s="1">
        <v>5510.0</v>
      </c>
      <c r="G4114" s="1">
        <v>57.0</v>
      </c>
      <c r="H4114" s="1">
        <v>8.0</v>
      </c>
      <c r="I4114" s="1">
        <v>1.21E7</v>
      </c>
      <c r="J4114" s="1" t="s">
        <v>12283</v>
      </c>
    </row>
    <row r="4115">
      <c r="A4115" s="1" t="s">
        <v>12652</v>
      </c>
      <c r="B4115" s="1" t="s">
        <v>12653</v>
      </c>
      <c r="C4115" s="1" t="s">
        <v>12654</v>
      </c>
      <c r="D4115" s="1" t="s">
        <v>12281</v>
      </c>
      <c r="E4115" s="1" t="s">
        <v>12282</v>
      </c>
      <c r="F4115" s="1">
        <v>16610.0</v>
      </c>
      <c r="G4115" s="1">
        <v>177.0</v>
      </c>
      <c r="H4115" s="1">
        <v>7.0</v>
      </c>
      <c r="I4115" s="1">
        <v>1.21E7</v>
      </c>
      <c r="J4115" s="1" t="s">
        <v>12283</v>
      </c>
    </row>
    <row r="4116">
      <c r="A4116" s="1" t="s">
        <v>12655</v>
      </c>
      <c r="B4116" s="1" t="s">
        <v>12656</v>
      </c>
      <c r="C4116" s="1" t="s">
        <v>12657</v>
      </c>
      <c r="D4116" s="1" t="s">
        <v>12281</v>
      </c>
      <c r="E4116" s="1" t="s">
        <v>12282</v>
      </c>
      <c r="F4116" s="1">
        <v>65690.0</v>
      </c>
      <c r="G4116" s="1">
        <v>413.0</v>
      </c>
      <c r="H4116" s="1">
        <v>100.0</v>
      </c>
      <c r="I4116" s="1">
        <v>1.21E7</v>
      </c>
      <c r="J4116" s="1" t="s">
        <v>12283</v>
      </c>
    </row>
    <row r="4117">
      <c r="A4117" s="1" t="s">
        <v>12658</v>
      </c>
      <c r="B4117" s="1" t="s">
        <v>12659</v>
      </c>
      <c r="C4117" s="1" t="s">
        <v>12660</v>
      </c>
      <c r="D4117" s="1" t="s">
        <v>12281</v>
      </c>
      <c r="E4117" s="1" t="s">
        <v>12282</v>
      </c>
      <c r="F4117" s="1">
        <v>4999.0</v>
      </c>
      <c r="G4117" s="1">
        <v>22.0</v>
      </c>
      <c r="H4117" s="1">
        <v>2.0</v>
      </c>
      <c r="I4117" s="1">
        <v>1.21E7</v>
      </c>
      <c r="J4117" s="1" t="s">
        <v>12283</v>
      </c>
    </row>
    <row r="4118">
      <c r="A4118" s="1" t="s">
        <v>12661</v>
      </c>
      <c r="B4118" s="1" t="s">
        <v>12662</v>
      </c>
      <c r="C4118" s="1" t="s">
        <v>12663</v>
      </c>
      <c r="D4118" s="1" t="s">
        <v>12281</v>
      </c>
      <c r="E4118" s="1" t="s">
        <v>12282</v>
      </c>
      <c r="F4118" s="1">
        <v>26193.0</v>
      </c>
      <c r="G4118" s="1">
        <v>49.0</v>
      </c>
      <c r="H4118" s="1">
        <v>2.0</v>
      </c>
      <c r="I4118" s="1">
        <v>1.21E7</v>
      </c>
      <c r="J4118" s="1" t="s">
        <v>12283</v>
      </c>
    </row>
    <row r="4119">
      <c r="A4119" s="1" t="s">
        <v>12664</v>
      </c>
      <c r="B4119" s="1" t="s">
        <v>12665</v>
      </c>
      <c r="C4119" s="1" t="s">
        <v>12666</v>
      </c>
      <c r="D4119" s="1" t="s">
        <v>12281</v>
      </c>
      <c r="E4119" s="1" t="s">
        <v>12282</v>
      </c>
      <c r="F4119" s="1">
        <v>183608.0</v>
      </c>
      <c r="G4119" s="1">
        <v>2221.0</v>
      </c>
      <c r="H4119" s="1">
        <v>1478.0</v>
      </c>
      <c r="I4119" s="1">
        <v>1.21E7</v>
      </c>
      <c r="J4119" s="1" t="s">
        <v>12283</v>
      </c>
    </row>
    <row r="4120">
      <c r="A4120" s="1" t="s">
        <v>12669</v>
      </c>
      <c r="B4120" s="1" t="s">
        <v>12671</v>
      </c>
      <c r="C4120" s="1" t="s">
        <v>12672</v>
      </c>
      <c r="D4120" s="1" t="s">
        <v>12281</v>
      </c>
      <c r="E4120" s="1" t="s">
        <v>12282</v>
      </c>
      <c r="F4120" s="1">
        <v>8522.0</v>
      </c>
      <c r="G4120" s="1">
        <v>78.0</v>
      </c>
      <c r="H4120" s="1">
        <v>58.0</v>
      </c>
      <c r="I4120" s="1">
        <v>1.21E7</v>
      </c>
      <c r="J4120" s="1" t="s">
        <v>12283</v>
      </c>
    </row>
    <row r="4121">
      <c r="A4121" s="1" t="s">
        <v>12673</v>
      </c>
      <c r="B4121" s="1" t="s">
        <v>12674</v>
      </c>
      <c r="C4121" s="1" t="s">
        <v>12675</v>
      </c>
      <c r="D4121" s="1" t="s">
        <v>12281</v>
      </c>
      <c r="E4121" s="1" t="s">
        <v>12282</v>
      </c>
      <c r="F4121" s="1">
        <v>10805.0</v>
      </c>
      <c r="G4121" s="1">
        <v>89.0</v>
      </c>
      <c r="H4121" s="1">
        <v>83.0</v>
      </c>
      <c r="I4121" s="1">
        <v>1.21E7</v>
      </c>
      <c r="J4121" s="1" t="s">
        <v>12283</v>
      </c>
    </row>
    <row r="4122">
      <c r="A4122" s="1" t="s">
        <v>12676</v>
      </c>
      <c r="B4122" s="1" t="s">
        <v>12677</v>
      </c>
      <c r="C4122" s="1" t="s">
        <v>12678</v>
      </c>
      <c r="D4122" s="1" t="s">
        <v>12281</v>
      </c>
      <c r="E4122" s="1" t="s">
        <v>12282</v>
      </c>
      <c r="F4122" s="1">
        <v>23063.0</v>
      </c>
      <c r="G4122" s="1">
        <v>455.0</v>
      </c>
      <c r="H4122" s="1">
        <v>56.0</v>
      </c>
      <c r="I4122" s="1">
        <v>1.21E7</v>
      </c>
      <c r="J4122" s="1" t="s">
        <v>12283</v>
      </c>
    </row>
    <row r="4123">
      <c r="A4123" s="1" t="s">
        <v>12679</v>
      </c>
      <c r="B4123" s="1" t="s">
        <v>12680</v>
      </c>
      <c r="C4123" s="1" t="s">
        <v>12681</v>
      </c>
      <c r="D4123" s="1" t="s">
        <v>12281</v>
      </c>
      <c r="E4123" s="1" t="s">
        <v>12282</v>
      </c>
      <c r="F4123" s="1">
        <v>1974.0</v>
      </c>
      <c r="G4123" s="1">
        <v>33.0</v>
      </c>
      <c r="H4123" s="1">
        <v>28.0</v>
      </c>
      <c r="I4123" s="1">
        <v>1.21E7</v>
      </c>
      <c r="J4123" s="1" t="s">
        <v>12283</v>
      </c>
    </row>
    <row r="4124">
      <c r="A4124" s="1" t="s">
        <v>12682</v>
      </c>
      <c r="B4124" s="1" t="s">
        <v>12683</v>
      </c>
      <c r="C4124" s="1" t="s">
        <v>12684</v>
      </c>
      <c r="D4124" s="1" t="s">
        <v>12281</v>
      </c>
      <c r="E4124" s="1" t="s">
        <v>12282</v>
      </c>
      <c r="F4124" s="1">
        <v>22517.0</v>
      </c>
      <c r="G4124" s="1">
        <v>165.0</v>
      </c>
      <c r="H4124" s="1">
        <v>94.0</v>
      </c>
      <c r="I4124" s="1">
        <v>1.21E7</v>
      </c>
      <c r="J4124" s="1" t="s">
        <v>12283</v>
      </c>
    </row>
    <row r="4125">
      <c r="A4125" s="1" t="s">
        <v>12685</v>
      </c>
      <c r="B4125" s="1" t="s">
        <v>12686</v>
      </c>
      <c r="C4125" s="1" t="s">
        <v>12687</v>
      </c>
      <c r="D4125" s="1" t="s">
        <v>12281</v>
      </c>
      <c r="E4125" s="1" t="s">
        <v>12282</v>
      </c>
      <c r="F4125" s="1">
        <v>12277.0</v>
      </c>
      <c r="G4125" s="1">
        <v>86.0</v>
      </c>
      <c r="H4125" s="1">
        <v>15.0</v>
      </c>
      <c r="I4125" s="1">
        <v>1.21E7</v>
      </c>
      <c r="J4125" s="1" t="s">
        <v>12283</v>
      </c>
    </row>
    <row r="4126">
      <c r="A4126" s="1" t="s">
        <v>12688</v>
      </c>
      <c r="B4126" s="1" t="s">
        <v>12689</v>
      </c>
      <c r="C4126" s="1" t="s">
        <v>12690</v>
      </c>
      <c r="D4126" s="1" t="s">
        <v>12281</v>
      </c>
      <c r="E4126" s="1" t="s">
        <v>12282</v>
      </c>
      <c r="F4126" s="1">
        <v>5321.0</v>
      </c>
      <c r="G4126" s="1">
        <v>113.0</v>
      </c>
      <c r="H4126" s="1">
        <v>74.0</v>
      </c>
      <c r="I4126" s="1">
        <v>1.21E7</v>
      </c>
      <c r="J4126" s="1" t="s">
        <v>12283</v>
      </c>
    </row>
    <row r="4127">
      <c r="A4127" s="1" t="s">
        <v>12693</v>
      </c>
      <c r="B4127" s="1" t="s">
        <v>12695</v>
      </c>
      <c r="C4127" s="1" t="s">
        <v>12696</v>
      </c>
      <c r="D4127" s="1" t="s">
        <v>12281</v>
      </c>
      <c r="E4127" s="1" t="s">
        <v>12282</v>
      </c>
      <c r="F4127" s="1">
        <v>8825.0</v>
      </c>
      <c r="G4127" s="1">
        <v>21.0</v>
      </c>
      <c r="H4127" s="1">
        <v>17.0</v>
      </c>
      <c r="I4127" s="1">
        <v>1.21E7</v>
      </c>
      <c r="J4127" s="1" t="s">
        <v>12283</v>
      </c>
    </row>
    <row r="4128">
      <c r="A4128" s="1" t="s">
        <v>12697</v>
      </c>
      <c r="B4128" s="1" t="s">
        <v>12698</v>
      </c>
      <c r="C4128" s="1" t="s">
        <v>12699</v>
      </c>
      <c r="D4128" s="1" t="s">
        <v>12281</v>
      </c>
      <c r="E4128" s="1" t="s">
        <v>12282</v>
      </c>
      <c r="F4128" s="1">
        <v>56796.0</v>
      </c>
      <c r="G4128" s="1">
        <v>321.0</v>
      </c>
      <c r="H4128" s="1">
        <v>306.0</v>
      </c>
      <c r="I4128" s="1">
        <v>1.21E7</v>
      </c>
      <c r="J4128" s="1" t="s">
        <v>12283</v>
      </c>
    </row>
    <row r="4129">
      <c r="A4129" s="1" t="s">
        <v>12700</v>
      </c>
      <c r="B4129" s="1" t="s">
        <v>12701</v>
      </c>
      <c r="C4129" s="1" t="s">
        <v>12702</v>
      </c>
      <c r="D4129" s="1" t="s">
        <v>12281</v>
      </c>
      <c r="E4129" s="1" t="s">
        <v>12282</v>
      </c>
      <c r="F4129" s="1">
        <v>9590.0</v>
      </c>
      <c r="G4129" s="1">
        <v>80.0</v>
      </c>
      <c r="H4129" s="1">
        <v>84.0</v>
      </c>
      <c r="I4129" s="1">
        <v>1.21E7</v>
      </c>
      <c r="J4129" s="1" t="s">
        <v>12283</v>
      </c>
    </row>
    <row r="4130">
      <c r="A4130" s="1" t="s">
        <v>12703</v>
      </c>
      <c r="B4130" s="1" t="s">
        <v>12704</v>
      </c>
      <c r="C4130" s="1" t="s">
        <v>12705</v>
      </c>
      <c r="D4130" s="1" t="s">
        <v>12281</v>
      </c>
      <c r="E4130" s="1" t="s">
        <v>12282</v>
      </c>
      <c r="F4130" s="1">
        <v>36328.0</v>
      </c>
      <c r="G4130" s="1">
        <v>311.0</v>
      </c>
      <c r="H4130" s="1">
        <v>503.0</v>
      </c>
      <c r="I4130" s="1">
        <v>1.21E7</v>
      </c>
      <c r="J4130" s="1" t="s">
        <v>12283</v>
      </c>
    </row>
    <row r="4131">
      <c r="A4131" s="1" t="s">
        <v>12706</v>
      </c>
      <c r="B4131" s="1" t="s">
        <v>12707</v>
      </c>
      <c r="C4131" s="1" t="s">
        <v>12708</v>
      </c>
      <c r="D4131" s="1" t="s">
        <v>12281</v>
      </c>
      <c r="E4131" s="1" t="s">
        <v>12282</v>
      </c>
      <c r="F4131" s="1">
        <v>20715.0</v>
      </c>
      <c r="G4131" s="1">
        <v>190.0</v>
      </c>
      <c r="H4131" s="1">
        <v>15.0</v>
      </c>
      <c r="I4131" s="1">
        <v>1.21E7</v>
      </c>
      <c r="J4131" s="1" t="s">
        <v>12283</v>
      </c>
    </row>
    <row r="4132">
      <c r="A4132" s="1" t="s">
        <v>12709</v>
      </c>
      <c r="B4132" s="1" t="s">
        <v>12711</v>
      </c>
      <c r="C4132" s="1" t="s">
        <v>12713</v>
      </c>
      <c r="D4132" s="1" t="s">
        <v>12281</v>
      </c>
      <c r="E4132" s="1" t="s">
        <v>12282</v>
      </c>
      <c r="F4132" s="1">
        <v>62563.0</v>
      </c>
      <c r="G4132" s="1">
        <v>1015.0</v>
      </c>
      <c r="H4132" s="1">
        <v>290.0</v>
      </c>
      <c r="I4132" s="1">
        <v>1.21E7</v>
      </c>
      <c r="J4132" s="1" t="s">
        <v>12283</v>
      </c>
    </row>
    <row r="4133">
      <c r="A4133" s="1" t="s">
        <v>12715</v>
      </c>
      <c r="B4133" s="1" t="s">
        <v>12716</v>
      </c>
      <c r="C4133" s="1" t="s">
        <v>12717</v>
      </c>
      <c r="D4133" s="1" t="s">
        <v>12281</v>
      </c>
      <c r="E4133" s="1" t="s">
        <v>12282</v>
      </c>
      <c r="F4133" s="1">
        <v>43965.0</v>
      </c>
      <c r="G4133" s="1">
        <v>332.0</v>
      </c>
      <c r="H4133" s="1">
        <v>87.0</v>
      </c>
      <c r="I4133" s="1">
        <v>1.21E7</v>
      </c>
      <c r="J4133" s="1" t="s">
        <v>12283</v>
      </c>
    </row>
    <row r="4134">
      <c r="A4134" s="1" t="s">
        <v>12718</v>
      </c>
      <c r="B4134" s="1" t="s">
        <v>12719</v>
      </c>
      <c r="C4134" s="1" t="s">
        <v>12720</v>
      </c>
      <c r="D4134" s="1" t="s">
        <v>12281</v>
      </c>
      <c r="E4134" s="1" t="s">
        <v>12282</v>
      </c>
      <c r="F4134" s="1">
        <v>44025.0</v>
      </c>
      <c r="G4134" s="1">
        <v>331.0</v>
      </c>
      <c r="H4134" s="1">
        <v>99.0</v>
      </c>
      <c r="I4134" s="1">
        <v>1.21E7</v>
      </c>
      <c r="J4134" s="1" t="s">
        <v>12283</v>
      </c>
    </row>
    <row r="4135">
      <c r="A4135" s="1" t="s">
        <v>12721</v>
      </c>
      <c r="B4135" s="1" t="s">
        <v>12722</v>
      </c>
      <c r="C4135" s="1" t="s">
        <v>12723</v>
      </c>
      <c r="D4135" s="1" t="s">
        <v>12281</v>
      </c>
      <c r="E4135" s="1" t="s">
        <v>12282</v>
      </c>
      <c r="F4135" s="1">
        <v>5206.0</v>
      </c>
      <c r="G4135" s="1">
        <v>78.0</v>
      </c>
      <c r="H4135" s="1">
        <v>7.0</v>
      </c>
      <c r="I4135" s="1">
        <v>1.21E7</v>
      </c>
      <c r="J4135" s="1" t="s">
        <v>12283</v>
      </c>
    </row>
    <row r="4136">
      <c r="A4136" s="1" t="s">
        <v>12724</v>
      </c>
      <c r="B4136" s="1" t="s">
        <v>12725</v>
      </c>
      <c r="C4136" s="1" t="s">
        <v>12726</v>
      </c>
      <c r="D4136" s="1" t="s">
        <v>12281</v>
      </c>
      <c r="E4136" s="1" t="s">
        <v>12282</v>
      </c>
      <c r="F4136" s="1">
        <v>8079.0</v>
      </c>
      <c r="G4136" s="1">
        <v>263.0</v>
      </c>
      <c r="H4136" s="1">
        <v>45.0</v>
      </c>
      <c r="I4136" s="1">
        <v>1.21E7</v>
      </c>
      <c r="J4136" s="1" t="s">
        <v>12283</v>
      </c>
    </row>
    <row r="4137">
      <c r="A4137" s="1" t="s">
        <v>12727</v>
      </c>
      <c r="B4137" s="1" t="s">
        <v>12728</v>
      </c>
      <c r="C4137" s="1" t="s">
        <v>12729</v>
      </c>
      <c r="D4137" s="1" t="s">
        <v>12281</v>
      </c>
      <c r="E4137" s="1" t="s">
        <v>12282</v>
      </c>
      <c r="F4137" s="1">
        <v>10752.0</v>
      </c>
      <c r="G4137" s="1">
        <v>92.0</v>
      </c>
      <c r="H4137" s="1">
        <v>17.0</v>
      </c>
      <c r="I4137" s="1">
        <v>1.21E7</v>
      </c>
      <c r="J4137" s="1" t="s">
        <v>12283</v>
      </c>
    </row>
    <row r="4138">
      <c r="A4138" s="1" t="s">
        <v>12730</v>
      </c>
      <c r="B4138" s="1" t="s">
        <v>12731</v>
      </c>
      <c r="C4138" s="1" t="s">
        <v>12732</v>
      </c>
      <c r="D4138" s="1" t="s">
        <v>12281</v>
      </c>
      <c r="E4138" s="1" t="s">
        <v>12282</v>
      </c>
      <c r="F4138" s="1">
        <v>70555.0</v>
      </c>
      <c r="G4138" s="1">
        <v>1691.0</v>
      </c>
      <c r="H4138" s="1">
        <v>232.0</v>
      </c>
      <c r="I4138" s="1">
        <v>1.21E7</v>
      </c>
      <c r="J4138" s="1" t="s">
        <v>12283</v>
      </c>
    </row>
    <row r="4139">
      <c r="A4139" s="1" t="s">
        <v>12733</v>
      </c>
      <c r="B4139" s="1" t="s">
        <v>12734</v>
      </c>
      <c r="C4139" s="1" t="s">
        <v>12735</v>
      </c>
      <c r="D4139" s="1" t="s">
        <v>12281</v>
      </c>
      <c r="E4139" s="1" t="s">
        <v>12282</v>
      </c>
      <c r="F4139" s="1">
        <v>5680.0</v>
      </c>
      <c r="G4139" s="1">
        <v>102.0</v>
      </c>
      <c r="H4139" s="1">
        <v>14.0</v>
      </c>
      <c r="I4139" s="1">
        <v>1.21E7</v>
      </c>
      <c r="J4139" s="1" t="s">
        <v>12283</v>
      </c>
    </row>
    <row r="4140">
      <c r="A4140" s="1" t="s">
        <v>12737</v>
      </c>
      <c r="B4140" s="1" t="s">
        <v>12739</v>
      </c>
      <c r="C4140" s="1" t="s">
        <v>12741</v>
      </c>
      <c r="D4140" s="1" t="s">
        <v>12281</v>
      </c>
      <c r="E4140" s="1" t="s">
        <v>12282</v>
      </c>
      <c r="F4140" s="1">
        <v>66553.0</v>
      </c>
      <c r="G4140" s="1">
        <v>238.0</v>
      </c>
      <c r="H4140" s="1">
        <v>90.0</v>
      </c>
      <c r="I4140" s="1">
        <v>1.21E7</v>
      </c>
      <c r="J4140" s="1" t="s">
        <v>12283</v>
      </c>
    </row>
    <row r="4141">
      <c r="A4141" s="1" t="s">
        <v>12742</v>
      </c>
      <c r="B4141" s="1" t="s">
        <v>12743</v>
      </c>
      <c r="C4141" s="1" t="s">
        <v>12744</v>
      </c>
      <c r="D4141" s="1" t="s">
        <v>12281</v>
      </c>
      <c r="E4141" s="1" t="s">
        <v>12282</v>
      </c>
      <c r="F4141" s="1">
        <v>18774.0</v>
      </c>
      <c r="G4141" s="1">
        <v>430.0</v>
      </c>
      <c r="H4141" s="1">
        <v>44.0</v>
      </c>
      <c r="I4141" s="1">
        <v>1.21E7</v>
      </c>
      <c r="J4141" s="1" t="s">
        <v>12283</v>
      </c>
    </row>
    <row r="4142">
      <c r="A4142" s="1" t="s">
        <v>12745</v>
      </c>
      <c r="B4142" s="1" t="s">
        <v>12746</v>
      </c>
      <c r="C4142" s="1" t="s">
        <v>12747</v>
      </c>
      <c r="D4142" s="1" t="s">
        <v>12281</v>
      </c>
      <c r="E4142" s="1" t="s">
        <v>12282</v>
      </c>
      <c r="F4142" s="1">
        <v>315139.0</v>
      </c>
      <c r="G4142" s="1">
        <v>3714.0</v>
      </c>
      <c r="H4142" s="1">
        <v>467.0</v>
      </c>
      <c r="I4142" s="1">
        <v>1.21E7</v>
      </c>
      <c r="J4142" s="1" t="s">
        <v>12283</v>
      </c>
    </row>
    <row r="4143">
      <c r="A4143" s="1" t="s">
        <v>12748</v>
      </c>
      <c r="B4143" s="1" t="s">
        <v>12749</v>
      </c>
      <c r="C4143" s="1" t="s">
        <v>12750</v>
      </c>
      <c r="D4143" s="1" t="s">
        <v>12281</v>
      </c>
      <c r="E4143" s="1" t="s">
        <v>12282</v>
      </c>
      <c r="F4143" s="1">
        <v>31653.0</v>
      </c>
      <c r="G4143" s="1">
        <v>288.0</v>
      </c>
      <c r="H4143" s="1">
        <v>146.0</v>
      </c>
      <c r="I4143" s="1">
        <v>1.21E7</v>
      </c>
      <c r="J4143" s="1" t="s">
        <v>12283</v>
      </c>
    </row>
    <row r="4144">
      <c r="A4144" s="1" t="s">
        <v>12751</v>
      </c>
      <c r="B4144" s="1" t="s">
        <v>12752</v>
      </c>
      <c r="C4144" s="1" t="s">
        <v>12753</v>
      </c>
      <c r="D4144" s="1" t="s">
        <v>12281</v>
      </c>
      <c r="E4144" s="1" t="s">
        <v>12282</v>
      </c>
      <c r="F4144" s="1">
        <v>38895.0</v>
      </c>
      <c r="G4144" s="1">
        <v>280.0</v>
      </c>
      <c r="H4144" s="1">
        <v>279.0</v>
      </c>
      <c r="I4144" s="1">
        <v>1.21E7</v>
      </c>
      <c r="J4144" s="1" t="s">
        <v>12283</v>
      </c>
    </row>
    <row r="4145">
      <c r="A4145" s="1" t="s">
        <v>12757</v>
      </c>
      <c r="B4145" s="1" t="s">
        <v>12758</v>
      </c>
      <c r="C4145" s="1" t="s">
        <v>12759</v>
      </c>
      <c r="D4145" s="1" t="s">
        <v>12281</v>
      </c>
      <c r="E4145" s="1" t="s">
        <v>12282</v>
      </c>
      <c r="F4145" s="1">
        <v>122545.0</v>
      </c>
      <c r="G4145" s="1">
        <v>1325.0</v>
      </c>
      <c r="H4145" s="1">
        <v>515.0</v>
      </c>
      <c r="I4145" s="1">
        <v>1.21E7</v>
      </c>
      <c r="J4145" s="1" t="s">
        <v>12283</v>
      </c>
    </row>
    <row r="4146">
      <c r="A4146" s="1" t="s">
        <v>12760</v>
      </c>
      <c r="B4146" s="1" t="s">
        <v>12761</v>
      </c>
      <c r="C4146" s="1" t="s">
        <v>12762</v>
      </c>
      <c r="D4146" s="1" t="s">
        <v>12281</v>
      </c>
      <c r="E4146" s="1" t="s">
        <v>12282</v>
      </c>
      <c r="F4146" s="1">
        <v>37310.0</v>
      </c>
      <c r="G4146" s="1">
        <v>224.0</v>
      </c>
      <c r="H4146" s="1">
        <v>125.0</v>
      </c>
      <c r="I4146" s="1">
        <v>1.21E7</v>
      </c>
      <c r="J4146" s="1" t="s">
        <v>12283</v>
      </c>
    </row>
    <row r="4147">
      <c r="A4147" s="1" t="s">
        <v>12763</v>
      </c>
      <c r="B4147" s="1" t="s">
        <v>12764</v>
      </c>
      <c r="C4147" s="1" t="s">
        <v>12765</v>
      </c>
      <c r="D4147" s="1" t="s">
        <v>12281</v>
      </c>
      <c r="E4147" s="1" t="s">
        <v>12282</v>
      </c>
      <c r="F4147" s="1">
        <v>697.0</v>
      </c>
      <c r="G4147" s="1">
        <v>17.0</v>
      </c>
      <c r="H4147" s="1">
        <v>0.0</v>
      </c>
      <c r="I4147" s="1">
        <v>1.21E7</v>
      </c>
      <c r="J4147" s="1" t="s">
        <v>12283</v>
      </c>
    </row>
    <row r="4148">
      <c r="A4148" s="1" t="s">
        <v>12766</v>
      </c>
      <c r="B4148" s="1" t="s">
        <v>12767</v>
      </c>
      <c r="C4148" s="1" t="s">
        <v>12768</v>
      </c>
      <c r="D4148" s="1" t="s">
        <v>12281</v>
      </c>
      <c r="E4148" s="1" t="s">
        <v>12282</v>
      </c>
      <c r="F4148" s="1">
        <v>9342.0</v>
      </c>
      <c r="G4148" s="1">
        <v>127.0</v>
      </c>
      <c r="H4148" s="1">
        <v>19.0</v>
      </c>
      <c r="I4148" s="1">
        <v>1.21E7</v>
      </c>
      <c r="J4148" s="1" t="s">
        <v>12283</v>
      </c>
    </row>
    <row r="4149">
      <c r="A4149" s="1" t="s">
        <v>12769</v>
      </c>
      <c r="B4149" s="1" t="s">
        <v>12770</v>
      </c>
      <c r="C4149" s="1" t="s">
        <v>12771</v>
      </c>
      <c r="D4149" s="1" t="s">
        <v>12281</v>
      </c>
      <c r="E4149" s="1" t="s">
        <v>12282</v>
      </c>
      <c r="F4149" s="1">
        <v>6828.0</v>
      </c>
      <c r="G4149" s="1">
        <v>47.0</v>
      </c>
      <c r="H4149" s="1">
        <v>58.0</v>
      </c>
      <c r="I4149" s="1">
        <v>1.21E7</v>
      </c>
      <c r="J4149" s="1" t="s">
        <v>12283</v>
      </c>
    </row>
    <row r="4150">
      <c r="A4150" s="1" t="s">
        <v>12772</v>
      </c>
      <c r="B4150" s="1" t="s">
        <v>12773</v>
      </c>
      <c r="C4150" s="1" t="s">
        <v>12774</v>
      </c>
      <c r="D4150" s="1" t="s">
        <v>12281</v>
      </c>
      <c r="E4150" s="1" t="s">
        <v>12282</v>
      </c>
      <c r="F4150" s="1">
        <v>11017.0</v>
      </c>
      <c r="G4150" s="1">
        <v>67.0</v>
      </c>
      <c r="H4150" s="1">
        <v>7.0</v>
      </c>
      <c r="I4150" s="1">
        <v>1.21E7</v>
      </c>
      <c r="J4150" s="1" t="s">
        <v>12283</v>
      </c>
    </row>
    <row r="4151">
      <c r="A4151" s="1" t="s">
        <v>12775</v>
      </c>
      <c r="B4151" s="1" t="s">
        <v>12776</v>
      </c>
      <c r="C4151" s="1" t="s">
        <v>12777</v>
      </c>
      <c r="D4151" s="1" t="s">
        <v>12281</v>
      </c>
      <c r="E4151" s="1" t="s">
        <v>12282</v>
      </c>
      <c r="F4151" s="1">
        <v>52695.0</v>
      </c>
      <c r="G4151" s="1">
        <v>374.0</v>
      </c>
      <c r="H4151" s="1">
        <v>180.0</v>
      </c>
      <c r="I4151" s="1">
        <v>1.21E7</v>
      </c>
      <c r="J4151" s="1" t="s">
        <v>12283</v>
      </c>
    </row>
    <row r="4152">
      <c r="A4152" s="1" t="s">
        <v>12781</v>
      </c>
      <c r="B4152" s="1" t="s">
        <v>12782</v>
      </c>
      <c r="C4152" s="1" t="s">
        <v>12783</v>
      </c>
      <c r="D4152" s="1" t="s">
        <v>12281</v>
      </c>
      <c r="E4152" s="1" t="s">
        <v>12282</v>
      </c>
      <c r="F4152" s="1">
        <v>85954.0</v>
      </c>
      <c r="G4152" s="1">
        <v>699.0</v>
      </c>
      <c r="H4152" s="1">
        <v>578.0</v>
      </c>
      <c r="I4152" s="1">
        <v>1.21E7</v>
      </c>
      <c r="J4152" s="1" t="s">
        <v>12283</v>
      </c>
    </row>
    <row r="4153">
      <c r="A4153" s="1" t="s">
        <v>12784</v>
      </c>
      <c r="B4153" s="1" t="s">
        <v>12785</v>
      </c>
      <c r="C4153" s="1" t="s">
        <v>12786</v>
      </c>
      <c r="D4153" s="1" t="s">
        <v>12281</v>
      </c>
      <c r="E4153" s="1" t="s">
        <v>12282</v>
      </c>
      <c r="F4153" s="1">
        <v>23569.0</v>
      </c>
      <c r="G4153" s="1">
        <v>201.0</v>
      </c>
      <c r="H4153" s="1">
        <v>133.0</v>
      </c>
      <c r="I4153" s="1">
        <v>1.21E7</v>
      </c>
      <c r="J4153" s="1" t="s">
        <v>12283</v>
      </c>
    </row>
    <row r="4154">
      <c r="A4154" s="1" t="s">
        <v>12787</v>
      </c>
      <c r="B4154" s="1" t="s">
        <v>12788</v>
      </c>
      <c r="C4154" s="1" t="s">
        <v>12789</v>
      </c>
      <c r="D4154" s="1" t="s">
        <v>12281</v>
      </c>
      <c r="E4154" s="1" t="s">
        <v>12282</v>
      </c>
      <c r="F4154" s="1">
        <v>90795.0</v>
      </c>
      <c r="G4154" s="1">
        <v>1208.0</v>
      </c>
      <c r="H4154" s="1">
        <v>533.0</v>
      </c>
      <c r="I4154" s="1">
        <v>1.21E7</v>
      </c>
      <c r="J4154" s="1" t="s">
        <v>12283</v>
      </c>
    </row>
    <row r="4155">
      <c r="A4155" s="1" t="s">
        <v>12790</v>
      </c>
      <c r="B4155" s="1" t="s">
        <v>12791</v>
      </c>
      <c r="C4155" s="1" t="s">
        <v>12792</v>
      </c>
      <c r="D4155" s="1" t="s">
        <v>12281</v>
      </c>
      <c r="E4155" s="1" t="s">
        <v>12282</v>
      </c>
      <c r="F4155" s="1">
        <v>23514.0</v>
      </c>
      <c r="G4155" s="1">
        <v>230.0</v>
      </c>
      <c r="H4155" s="1">
        <v>104.0</v>
      </c>
      <c r="I4155" s="1">
        <v>1.21E7</v>
      </c>
      <c r="J4155" s="1" t="s">
        <v>12283</v>
      </c>
    </row>
    <row r="4156">
      <c r="A4156" s="1" t="s">
        <v>12793</v>
      </c>
      <c r="B4156" s="1" t="s">
        <v>12794</v>
      </c>
      <c r="C4156" s="1" t="s">
        <v>12795</v>
      </c>
      <c r="D4156" s="1" t="s">
        <v>12281</v>
      </c>
      <c r="E4156" s="1" t="s">
        <v>12282</v>
      </c>
      <c r="F4156" s="1">
        <v>16281.0</v>
      </c>
      <c r="G4156" s="1">
        <v>562.0</v>
      </c>
      <c r="H4156" s="1">
        <v>76.0</v>
      </c>
      <c r="I4156" s="1">
        <v>1.21E7</v>
      </c>
      <c r="J4156" s="1" t="s">
        <v>12283</v>
      </c>
    </row>
    <row r="4157">
      <c r="A4157" s="1" t="s">
        <v>12796</v>
      </c>
      <c r="B4157" s="1" t="s">
        <v>12797</v>
      </c>
      <c r="C4157" s="1" t="s">
        <v>12798</v>
      </c>
      <c r="D4157" s="1" t="s">
        <v>12281</v>
      </c>
      <c r="E4157" s="1" t="s">
        <v>12282</v>
      </c>
      <c r="F4157" s="1">
        <v>18492.0</v>
      </c>
      <c r="G4157" s="1">
        <v>373.0</v>
      </c>
      <c r="H4157" s="1">
        <v>110.0</v>
      </c>
      <c r="I4157" s="1">
        <v>1.21E7</v>
      </c>
      <c r="J4157" s="1" t="s">
        <v>12283</v>
      </c>
    </row>
    <row r="4158">
      <c r="A4158" s="1" t="s">
        <v>12799</v>
      </c>
      <c r="B4158" s="1" t="s">
        <v>12800</v>
      </c>
      <c r="C4158" s="1" t="s">
        <v>12801</v>
      </c>
      <c r="D4158" s="1" t="s">
        <v>12281</v>
      </c>
      <c r="E4158" s="1" t="s">
        <v>12282</v>
      </c>
      <c r="F4158" s="1">
        <v>9079.0</v>
      </c>
      <c r="G4158" s="1">
        <v>73.0</v>
      </c>
      <c r="H4158" s="1">
        <v>45.0</v>
      </c>
      <c r="I4158" s="1">
        <v>1.21E7</v>
      </c>
      <c r="J4158" s="1" t="s">
        <v>12283</v>
      </c>
    </row>
    <row r="4159">
      <c r="A4159" s="1" t="s">
        <v>12802</v>
      </c>
      <c r="B4159" s="1" t="s">
        <v>12803</v>
      </c>
      <c r="C4159" s="1" t="s">
        <v>12805</v>
      </c>
      <c r="D4159" s="1" t="s">
        <v>12281</v>
      </c>
      <c r="E4159" s="1" t="s">
        <v>12282</v>
      </c>
      <c r="F4159" s="1">
        <v>14509.0</v>
      </c>
      <c r="G4159" s="1">
        <v>175.0</v>
      </c>
      <c r="H4159" s="1">
        <v>145.0</v>
      </c>
      <c r="I4159" s="1">
        <v>1.21E7</v>
      </c>
      <c r="J4159" s="1" t="s">
        <v>12283</v>
      </c>
    </row>
    <row r="4160">
      <c r="A4160" s="1" t="s">
        <v>12808</v>
      </c>
      <c r="B4160" s="1" t="s">
        <v>12809</v>
      </c>
      <c r="C4160" s="1" t="s">
        <v>12810</v>
      </c>
      <c r="D4160" s="1" t="s">
        <v>12281</v>
      </c>
      <c r="E4160" s="1" t="s">
        <v>12282</v>
      </c>
      <c r="F4160" s="1">
        <v>34354.0</v>
      </c>
      <c r="G4160" s="1">
        <v>248.0</v>
      </c>
      <c r="H4160" s="1">
        <v>577.0</v>
      </c>
      <c r="I4160" s="1">
        <v>1.21E7</v>
      </c>
      <c r="J4160" s="1" t="s">
        <v>12283</v>
      </c>
    </row>
    <row r="4161">
      <c r="A4161" s="1" t="s">
        <v>12811</v>
      </c>
      <c r="B4161" s="1" t="s">
        <v>12812</v>
      </c>
      <c r="C4161" s="1" t="s">
        <v>12813</v>
      </c>
      <c r="D4161" s="1" t="s">
        <v>12281</v>
      </c>
      <c r="E4161" s="1" t="s">
        <v>12282</v>
      </c>
      <c r="F4161" s="1">
        <v>2963.0</v>
      </c>
      <c r="G4161" s="1">
        <v>34.0</v>
      </c>
      <c r="H4161" s="1">
        <v>14.0</v>
      </c>
      <c r="I4161" s="1">
        <v>1.21E7</v>
      </c>
      <c r="J4161" s="1" t="s">
        <v>12283</v>
      </c>
    </row>
    <row r="4162">
      <c r="A4162" s="1" t="s">
        <v>12814</v>
      </c>
      <c r="B4162" s="1" t="s">
        <v>12815</v>
      </c>
      <c r="C4162" s="1" t="s">
        <v>12816</v>
      </c>
      <c r="D4162" s="1" t="s">
        <v>12281</v>
      </c>
      <c r="E4162" s="1" t="s">
        <v>12282</v>
      </c>
      <c r="F4162" s="1">
        <v>10562.0</v>
      </c>
      <c r="G4162" s="1">
        <v>74.0</v>
      </c>
      <c r="H4162" s="1">
        <v>111.0</v>
      </c>
      <c r="I4162" s="1">
        <v>1.21E7</v>
      </c>
      <c r="J4162" s="1" t="s">
        <v>12283</v>
      </c>
    </row>
    <row r="4163">
      <c r="A4163" s="1" t="s">
        <v>12817</v>
      </c>
      <c r="B4163" s="1" t="s">
        <v>12818</v>
      </c>
      <c r="C4163" s="1" t="s">
        <v>12819</v>
      </c>
      <c r="D4163" s="1" t="s">
        <v>12281</v>
      </c>
      <c r="E4163" s="1" t="s">
        <v>12282</v>
      </c>
      <c r="F4163" s="1">
        <v>5008.0</v>
      </c>
      <c r="G4163" s="1">
        <v>68.0</v>
      </c>
      <c r="H4163" s="1">
        <v>4.0</v>
      </c>
      <c r="I4163" s="1">
        <v>1.21E7</v>
      </c>
      <c r="J4163" s="1" t="s">
        <v>12283</v>
      </c>
    </row>
    <row r="4164">
      <c r="A4164" s="1" t="s">
        <v>12820</v>
      </c>
      <c r="B4164" s="1" t="s">
        <v>12821</v>
      </c>
      <c r="C4164" s="1" t="s">
        <v>12822</v>
      </c>
      <c r="D4164" s="1" t="s">
        <v>12281</v>
      </c>
      <c r="E4164" s="1" t="s">
        <v>12282</v>
      </c>
      <c r="F4164" s="1">
        <v>5702.0</v>
      </c>
      <c r="G4164" s="1">
        <v>38.0</v>
      </c>
      <c r="H4164" s="1">
        <v>16.0</v>
      </c>
      <c r="I4164" s="1">
        <v>1.21E7</v>
      </c>
      <c r="J4164" s="1" t="s">
        <v>12283</v>
      </c>
    </row>
    <row r="4165">
      <c r="A4165" s="1" t="s">
        <v>12826</v>
      </c>
      <c r="B4165" s="1" t="s">
        <v>12827</v>
      </c>
      <c r="C4165" s="1" t="s">
        <v>12828</v>
      </c>
      <c r="D4165" s="1" t="s">
        <v>12281</v>
      </c>
      <c r="E4165" s="1" t="s">
        <v>12282</v>
      </c>
      <c r="F4165" s="1">
        <v>302093.0</v>
      </c>
      <c r="G4165" s="1">
        <v>3638.0</v>
      </c>
      <c r="H4165" s="1">
        <v>583.0</v>
      </c>
      <c r="I4165" s="1">
        <v>1.21E7</v>
      </c>
      <c r="J4165" s="1" t="s">
        <v>12283</v>
      </c>
    </row>
    <row r="4166">
      <c r="A4166" s="1" t="s">
        <v>12829</v>
      </c>
      <c r="B4166" s="1" t="s">
        <v>12830</v>
      </c>
      <c r="C4166" s="1" t="s">
        <v>12831</v>
      </c>
      <c r="D4166" s="1" t="s">
        <v>12281</v>
      </c>
      <c r="E4166" s="1" t="s">
        <v>12282</v>
      </c>
      <c r="F4166" s="1">
        <v>92058.0</v>
      </c>
      <c r="G4166" s="1">
        <v>902.0</v>
      </c>
      <c r="H4166" s="1">
        <v>89.0</v>
      </c>
      <c r="I4166" s="1">
        <v>1.21E7</v>
      </c>
      <c r="J4166" s="1" t="s">
        <v>12283</v>
      </c>
    </row>
    <row r="4167">
      <c r="A4167" s="1" t="s">
        <v>12832</v>
      </c>
      <c r="B4167" s="1" t="s">
        <v>12833</v>
      </c>
      <c r="C4167" s="1" t="s">
        <v>12834</v>
      </c>
      <c r="D4167" s="1" t="s">
        <v>12281</v>
      </c>
      <c r="E4167" s="1" t="s">
        <v>12282</v>
      </c>
      <c r="F4167" s="1">
        <v>80079.0</v>
      </c>
      <c r="G4167" s="1">
        <v>627.0</v>
      </c>
      <c r="H4167" s="1">
        <v>80.0</v>
      </c>
      <c r="I4167" s="1">
        <v>1.21E7</v>
      </c>
      <c r="J4167" s="1" t="s">
        <v>12283</v>
      </c>
    </row>
    <row r="4168">
      <c r="A4168" s="1" t="s">
        <v>12835</v>
      </c>
      <c r="B4168" s="1" t="s">
        <v>12836</v>
      </c>
      <c r="C4168" s="1" t="s">
        <v>12837</v>
      </c>
      <c r="D4168" s="1" t="s">
        <v>12281</v>
      </c>
      <c r="E4168" s="1" t="s">
        <v>12282</v>
      </c>
      <c r="F4168" s="1">
        <v>18246.0</v>
      </c>
      <c r="G4168" s="1">
        <v>250.0</v>
      </c>
      <c r="H4168" s="1">
        <v>32.0</v>
      </c>
      <c r="I4168" s="1">
        <v>1.21E7</v>
      </c>
      <c r="J4168" s="1" t="s">
        <v>12283</v>
      </c>
    </row>
    <row r="4169">
      <c r="A4169" s="1" t="s">
        <v>12838</v>
      </c>
      <c r="B4169" s="1" t="s">
        <v>12839</v>
      </c>
      <c r="C4169" s="1" t="s">
        <v>12840</v>
      </c>
      <c r="D4169" s="1" t="s">
        <v>12281</v>
      </c>
      <c r="E4169" s="1" t="s">
        <v>12282</v>
      </c>
      <c r="F4169" s="1">
        <v>97474.0</v>
      </c>
      <c r="G4169" s="1">
        <v>1838.0</v>
      </c>
      <c r="H4169" s="1">
        <v>570.0</v>
      </c>
      <c r="I4169" s="1">
        <v>1.21E7</v>
      </c>
      <c r="J4169" s="1" t="s">
        <v>12283</v>
      </c>
    </row>
    <row r="4170">
      <c r="A4170" s="1" t="s">
        <v>12841</v>
      </c>
      <c r="B4170" s="1" t="s">
        <v>12842</v>
      </c>
      <c r="C4170" s="1" t="s">
        <v>12843</v>
      </c>
      <c r="D4170" s="1" t="s">
        <v>12281</v>
      </c>
      <c r="E4170" s="1" t="s">
        <v>12282</v>
      </c>
      <c r="F4170" s="1">
        <v>98168.0</v>
      </c>
      <c r="G4170" s="1">
        <v>347.0</v>
      </c>
      <c r="H4170" s="1">
        <v>78.0</v>
      </c>
      <c r="I4170" s="1">
        <v>1.21E7</v>
      </c>
      <c r="J4170" s="1" t="s">
        <v>12283</v>
      </c>
    </row>
    <row r="4171">
      <c r="A4171" s="1" t="s">
        <v>12844</v>
      </c>
      <c r="B4171" s="1" t="s">
        <v>12845</v>
      </c>
      <c r="C4171" s="1" t="s">
        <v>12847</v>
      </c>
      <c r="D4171" s="1" t="s">
        <v>12281</v>
      </c>
      <c r="E4171" s="1" t="s">
        <v>12282</v>
      </c>
      <c r="F4171" s="1">
        <v>40030.0</v>
      </c>
      <c r="G4171" s="1">
        <v>1419.0</v>
      </c>
      <c r="H4171" s="1">
        <v>259.0</v>
      </c>
      <c r="I4171" s="1">
        <v>1.21E7</v>
      </c>
      <c r="J4171" s="1" t="s">
        <v>12283</v>
      </c>
    </row>
    <row r="4172">
      <c r="A4172" s="1" t="s">
        <v>12850</v>
      </c>
      <c r="B4172" s="1" t="s">
        <v>12851</v>
      </c>
      <c r="C4172" s="1" t="s">
        <v>12852</v>
      </c>
      <c r="D4172" s="1" t="s">
        <v>12281</v>
      </c>
      <c r="E4172" s="1" t="s">
        <v>12282</v>
      </c>
      <c r="F4172" s="1">
        <v>49837.0</v>
      </c>
      <c r="G4172" s="1">
        <v>312.0</v>
      </c>
      <c r="H4172" s="1">
        <v>627.0</v>
      </c>
      <c r="I4172" s="1">
        <v>1.21E7</v>
      </c>
      <c r="J4172" s="1" t="s">
        <v>12283</v>
      </c>
    </row>
    <row r="4173">
      <c r="A4173" s="1" t="s">
        <v>12853</v>
      </c>
      <c r="B4173" s="1" t="s">
        <v>12854</v>
      </c>
      <c r="C4173" s="1" t="s">
        <v>12855</v>
      </c>
      <c r="D4173" s="1" t="s">
        <v>12281</v>
      </c>
      <c r="E4173" s="1" t="s">
        <v>12282</v>
      </c>
      <c r="F4173" s="1">
        <v>6950.0</v>
      </c>
      <c r="G4173" s="1">
        <v>116.0</v>
      </c>
      <c r="H4173" s="1">
        <v>10.0</v>
      </c>
      <c r="I4173" s="1">
        <v>1.21E7</v>
      </c>
      <c r="J4173" s="1" t="s">
        <v>12283</v>
      </c>
    </row>
    <row r="4174">
      <c r="A4174" s="1" t="s">
        <v>12856</v>
      </c>
      <c r="B4174" s="1" t="s">
        <v>12857</v>
      </c>
      <c r="C4174" s="1" t="s">
        <v>12858</v>
      </c>
      <c r="D4174" s="1" t="s">
        <v>12281</v>
      </c>
      <c r="E4174" s="1" t="s">
        <v>12282</v>
      </c>
      <c r="F4174" s="1">
        <v>19577.0</v>
      </c>
      <c r="G4174" s="1">
        <v>549.0</v>
      </c>
      <c r="H4174" s="1">
        <v>56.0</v>
      </c>
      <c r="I4174" s="1">
        <v>1.21E7</v>
      </c>
      <c r="J4174" s="1" t="s">
        <v>12283</v>
      </c>
    </row>
    <row r="4175">
      <c r="A4175" s="1" t="s">
        <v>12859</v>
      </c>
      <c r="B4175" s="1" t="s">
        <v>12860</v>
      </c>
      <c r="C4175" s="1" t="s">
        <v>12861</v>
      </c>
      <c r="D4175" s="1" t="s">
        <v>12281</v>
      </c>
      <c r="E4175" s="1" t="s">
        <v>12282</v>
      </c>
      <c r="F4175" s="1">
        <v>17365.0</v>
      </c>
      <c r="G4175" s="1">
        <v>158.0</v>
      </c>
      <c r="H4175" s="1">
        <v>118.0</v>
      </c>
      <c r="I4175" s="1">
        <v>1.21E7</v>
      </c>
      <c r="J4175" s="1" t="s">
        <v>12283</v>
      </c>
    </row>
    <row r="4176">
      <c r="A4176" s="1" t="s">
        <v>12862</v>
      </c>
      <c r="B4176" s="1" t="s">
        <v>12864</v>
      </c>
      <c r="C4176" s="1" t="s">
        <v>12866</v>
      </c>
      <c r="D4176" s="1" t="s">
        <v>12281</v>
      </c>
      <c r="E4176" s="1" t="s">
        <v>12282</v>
      </c>
      <c r="F4176" s="1">
        <v>234421.0</v>
      </c>
      <c r="G4176" s="1">
        <v>2917.0</v>
      </c>
      <c r="H4176" s="1">
        <v>355.0</v>
      </c>
      <c r="I4176" s="1">
        <v>1.21E7</v>
      </c>
      <c r="J4176" s="1" t="s">
        <v>12283</v>
      </c>
    </row>
    <row r="4177">
      <c r="A4177" s="1" t="s">
        <v>12870</v>
      </c>
      <c r="B4177" s="1" t="s">
        <v>12871</v>
      </c>
      <c r="C4177" s="1" t="s">
        <v>12872</v>
      </c>
      <c r="D4177" s="1" t="s">
        <v>12281</v>
      </c>
      <c r="E4177" s="1" t="s">
        <v>12282</v>
      </c>
      <c r="F4177" s="1">
        <v>89090.0</v>
      </c>
      <c r="G4177" s="1">
        <v>1007.0</v>
      </c>
      <c r="H4177" s="1">
        <v>99.0</v>
      </c>
      <c r="I4177" s="1">
        <v>1.21E7</v>
      </c>
      <c r="J4177" s="1" t="s">
        <v>12283</v>
      </c>
    </row>
    <row r="4178">
      <c r="A4178" s="1" t="s">
        <v>12873</v>
      </c>
      <c r="B4178" s="1" t="s">
        <v>12874</v>
      </c>
      <c r="C4178" s="1" t="s">
        <v>12875</v>
      </c>
      <c r="D4178" s="1" t="s">
        <v>12281</v>
      </c>
      <c r="E4178" s="1" t="s">
        <v>12282</v>
      </c>
      <c r="F4178" s="1">
        <v>43539.0</v>
      </c>
      <c r="G4178" s="1">
        <v>444.0</v>
      </c>
      <c r="H4178" s="1">
        <v>358.0</v>
      </c>
      <c r="I4178" s="1">
        <v>1.21E7</v>
      </c>
      <c r="J4178" s="1" t="s">
        <v>12283</v>
      </c>
    </row>
    <row r="4179">
      <c r="A4179" s="1" t="s">
        <v>12876</v>
      </c>
      <c r="B4179" s="1" t="s">
        <v>12877</v>
      </c>
      <c r="C4179" s="1" t="s">
        <v>12878</v>
      </c>
      <c r="D4179" s="1" t="s">
        <v>12281</v>
      </c>
      <c r="E4179" s="1" t="s">
        <v>12282</v>
      </c>
      <c r="F4179" s="1">
        <v>50463.0</v>
      </c>
      <c r="G4179" s="1">
        <v>1145.0</v>
      </c>
      <c r="H4179" s="1">
        <v>129.0</v>
      </c>
      <c r="I4179" s="1">
        <v>1.21E7</v>
      </c>
      <c r="J4179" s="1" t="s">
        <v>12283</v>
      </c>
    </row>
    <row r="4180">
      <c r="A4180" s="1" t="s">
        <v>12879</v>
      </c>
      <c r="B4180" s="1" t="s">
        <v>12880</v>
      </c>
      <c r="C4180" s="1" t="s">
        <v>12881</v>
      </c>
      <c r="D4180" s="1" t="s">
        <v>12281</v>
      </c>
      <c r="E4180" s="1" t="s">
        <v>12282</v>
      </c>
      <c r="F4180" s="1">
        <v>41490.0</v>
      </c>
      <c r="G4180" s="1">
        <v>347.0</v>
      </c>
      <c r="H4180" s="1">
        <v>28.0</v>
      </c>
      <c r="I4180" s="1">
        <v>1.21E7</v>
      </c>
      <c r="J4180" s="1" t="s">
        <v>12283</v>
      </c>
    </row>
    <row r="4181">
      <c r="A4181" s="1" t="s">
        <v>12882</v>
      </c>
      <c r="B4181" s="1" t="s">
        <v>12883</v>
      </c>
      <c r="C4181" s="1" t="s">
        <v>12884</v>
      </c>
      <c r="D4181" s="1" t="s">
        <v>12281</v>
      </c>
      <c r="E4181" s="1" t="s">
        <v>12282</v>
      </c>
      <c r="F4181" s="1">
        <v>245408.0</v>
      </c>
      <c r="G4181" s="1">
        <v>2718.0</v>
      </c>
      <c r="H4181" s="1">
        <v>1451.0</v>
      </c>
      <c r="I4181" s="1">
        <v>1.21E7</v>
      </c>
      <c r="J4181" s="1" t="s">
        <v>12283</v>
      </c>
    </row>
    <row r="4182">
      <c r="A4182" s="1" t="s">
        <v>12885</v>
      </c>
      <c r="B4182" s="1" t="s">
        <v>12886</v>
      </c>
      <c r="C4182" s="1" t="s">
        <v>12887</v>
      </c>
      <c r="D4182" s="1" t="s">
        <v>12281</v>
      </c>
      <c r="E4182" s="1" t="s">
        <v>12282</v>
      </c>
      <c r="F4182" s="1">
        <v>31200.0</v>
      </c>
      <c r="G4182" s="1">
        <v>210.0</v>
      </c>
      <c r="H4182" s="1">
        <v>13.0</v>
      </c>
      <c r="I4182" s="1">
        <v>1.21E7</v>
      </c>
      <c r="J4182" s="1" t="s">
        <v>12283</v>
      </c>
    </row>
    <row r="4183">
      <c r="A4183" s="1" t="s">
        <v>12888</v>
      </c>
      <c r="B4183" s="1" t="s">
        <v>12889</v>
      </c>
      <c r="C4183" s="1" t="s">
        <v>12890</v>
      </c>
      <c r="D4183" s="1" t="s">
        <v>12281</v>
      </c>
      <c r="E4183" s="1" t="s">
        <v>12282</v>
      </c>
      <c r="F4183" s="1">
        <v>8323.0</v>
      </c>
      <c r="G4183" s="1">
        <v>150.0</v>
      </c>
      <c r="H4183" s="1">
        <v>13.0</v>
      </c>
      <c r="I4183" s="1">
        <v>1.21E7</v>
      </c>
      <c r="J4183" s="1" t="s">
        <v>12283</v>
      </c>
    </row>
    <row r="4184">
      <c r="A4184" s="1" t="s">
        <v>12892</v>
      </c>
      <c r="B4184" s="1" t="s">
        <v>12894</v>
      </c>
      <c r="C4184" s="1" t="s">
        <v>12896</v>
      </c>
      <c r="D4184" s="1" t="s">
        <v>12281</v>
      </c>
      <c r="E4184" s="1" t="s">
        <v>12282</v>
      </c>
      <c r="F4184" s="1">
        <v>55854.0</v>
      </c>
      <c r="G4184" s="1">
        <v>290.0</v>
      </c>
      <c r="H4184" s="1">
        <v>25.0</v>
      </c>
      <c r="I4184" s="1">
        <v>1.21E7</v>
      </c>
      <c r="J4184" s="1" t="s">
        <v>12283</v>
      </c>
    </row>
    <row r="4185">
      <c r="A4185" s="1" t="s">
        <v>12897</v>
      </c>
      <c r="B4185" s="1" t="s">
        <v>12898</v>
      </c>
      <c r="C4185" s="1" t="s">
        <v>12899</v>
      </c>
      <c r="D4185" s="1" t="s">
        <v>12281</v>
      </c>
      <c r="E4185" s="1" t="s">
        <v>12282</v>
      </c>
      <c r="F4185" s="1">
        <v>19505.0</v>
      </c>
      <c r="G4185" s="1">
        <v>92.0</v>
      </c>
      <c r="H4185" s="1">
        <v>53.0</v>
      </c>
      <c r="I4185" s="1">
        <v>1.21E7</v>
      </c>
      <c r="J4185" s="1" t="s">
        <v>12283</v>
      </c>
    </row>
    <row r="4186">
      <c r="A4186" s="1" t="s">
        <v>12900</v>
      </c>
      <c r="B4186" s="1" t="s">
        <v>12871</v>
      </c>
      <c r="C4186" s="1" t="s">
        <v>12901</v>
      </c>
      <c r="D4186" s="1" t="s">
        <v>12281</v>
      </c>
      <c r="E4186" s="1" t="s">
        <v>12282</v>
      </c>
      <c r="F4186" s="1">
        <v>35543.0</v>
      </c>
      <c r="G4186" s="1">
        <v>235.0</v>
      </c>
      <c r="H4186" s="1">
        <v>86.0</v>
      </c>
      <c r="I4186" s="1">
        <v>1.21E7</v>
      </c>
      <c r="J4186" s="1" t="s">
        <v>12283</v>
      </c>
    </row>
    <row r="4187">
      <c r="A4187" s="1" t="s">
        <v>12902</v>
      </c>
      <c r="B4187" s="1" t="s">
        <v>12877</v>
      </c>
      <c r="C4187" s="1" t="s">
        <v>12903</v>
      </c>
      <c r="D4187" s="1" t="s">
        <v>12281</v>
      </c>
      <c r="E4187" s="1" t="s">
        <v>12282</v>
      </c>
      <c r="F4187" s="1">
        <v>8201.0</v>
      </c>
      <c r="G4187" s="1">
        <v>96.0</v>
      </c>
      <c r="H4187" s="1">
        <v>23.0</v>
      </c>
      <c r="I4187" s="1">
        <v>1.21E7</v>
      </c>
      <c r="J4187" s="1" t="s">
        <v>12283</v>
      </c>
    </row>
    <row r="4188">
      <c r="A4188" s="1" t="s">
        <v>12904</v>
      </c>
      <c r="B4188" s="1" t="s">
        <v>12905</v>
      </c>
      <c r="C4188" s="1" t="s">
        <v>12906</v>
      </c>
      <c r="D4188" s="1" t="s">
        <v>12281</v>
      </c>
      <c r="E4188" s="1" t="s">
        <v>12282</v>
      </c>
      <c r="F4188" s="1">
        <v>34860.0</v>
      </c>
      <c r="G4188" s="1">
        <v>147.0</v>
      </c>
      <c r="H4188" s="1">
        <v>55.0</v>
      </c>
      <c r="I4188" s="1">
        <v>1.21E7</v>
      </c>
      <c r="J4188" s="1" t="s">
        <v>12283</v>
      </c>
    </row>
    <row r="4189">
      <c r="A4189" s="1" t="s">
        <v>12907</v>
      </c>
      <c r="B4189" s="1" t="s">
        <v>12908</v>
      </c>
      <c r="C4189" s="1" t="s">
        <v>12909</v>
      </c>
      <c r="D4189" s="1" t="s">
        <v>12281</v>
      </c>
      <c r="E4189" s="1" t="s">
        <v>12282</v>
      </c>
      <c r="F4189" s="1">
        <v>6196.0</v>
      </c>
      <c r="G4189" s="1">
        <v>100.0</v>
      </c>
      <c r="H4189" s="1">
        <v>14.0</v>
      </c>
      <c r="I4189" s="1">
        <v>1.21E7</v>
      </c>
      <c r="J4189" s="1" t="s">
        <v>12283</v>
      </c>
    </row>
    <row r="4190">
      <c r="A4190" s="1" t="s">
        <v>12910</v>
      </c>
      <c r="B4190" s="1" t="s">
        <v>12911</v>
      </c>
      <c r="C4190" s="1" t="s">
        <v>12912</v>
      </c>
      <c r="D4190" s="1" t="s">
        <v>12281</v>
      </c>
      <c r="E4190" s="1" t="s">
        <v>12282</v>
      </c>
      <c r="F4190" s="1">
        <v>591.0</v>
      </c>
      <c r="G4190" s="1">
        <v>23.0</v>
      </c>
      <c r="H4190" s="1">
        <v>1.0</v>
      </c>
      <c r="I4190" s="1">
        <v>1.21E7</v>
      </c>
      <c r="J4190" s="1" t="s">
        <v>12283</v>
      </c>
    </row>
    <row r="4191">
      <c r="A4191" s="1" t="s">
        <v>12913</v>
      </c>
      <c r="B4191" s="1" t="s">
        <v>12874</v>
      </c>
      <c r="C4191" s="1" t="s">
        <v>12914</v>
      </c>
      <c r="D4191" s="1" t="s">
        <v>12281</v>
      </c>
      <c r="E4191" s="1" t="s">
        <v>12282</v>
      </c>
      <c r="F4191" s="1">
        <v>12356.0</v>
      </c>
      <c r="G4191" s="1">
        <v>102.0</v>
      </c>
      <c r="H4191" s="1">
        <v>117.0</v>
      </c>
      <c r="I4191" s="1">
        <v>1.21E7</v>
      </c>
      <c r="J4191" s="1" t="s">
        <v>12283</v>
      </c>
    </row>
    <row r="4192">
      <c r="A4192" s="1" t="s">
        <v>12918</v>
      </c>
      <c r="B4192" s="1" t="s">
        <v>12919</v>
      </c>
      <c r="C4192" s="1" t="s">
        <v>12920</v>
      </c>
      <c r="D4192" s="1" t="s">
        <v>12281</v>
      </c>
      <c r="E4192" s="1" t="s">
        <v>12282</v>
      </c>
      <c r="F4192" s="1">
        <v>1793.0</v>
      </c>
      <c r="G4192" s="1">
        <v>4.0</v>
      </c>
      <c r="H4192" s="1">
        <v>1.0</v>
      </c>
      <c r="I4192" s="1">
        <v>1.21E7</v>
      </c>
      <c r="J4192" s="1" t="s">
        <v>12283</v>
      </c>
    </row>
    <row r="4193">
      <c r="A4193" s="1" t="s">
        <v>12921</v>
      </c>
      <c r="B4193" s="1" t="s">
        <v>12922</v>
      </c>
      <c r="C4193" s="1" t="s">
        <v>12923</v>
      </c>
      <c r="D4193" s="1" t="s">
        <v>12281</v>
      </c>
      <c r="E4193" s="1" t="s">
        <v>12282</v>
      </c>
      <c r="F4193" s="1">
        <v>170291.0</v>
      </c>
      <c r="G4193" s="1">
        <v>2918.0</v>
      </c>
      <c r="H4193" s="1">
        <v>2485.0</v>
      </c>
      <c r="I4193" s="1">
        <v>1.21E7</v>
      </c>
      <c r="J4193" s="1" t="s">
        <v>12283</v>
      </c>
    </row>
    <row r="4194">
      <c r="A4194" s="1" t="s">
        <v>12924</v>
      </c>
      <c r="B4194" s="1" t="s">
        <v>12925</v>
      </c>
      <c r="C4194" s="1" t="s">
        <v>12926</v>
      </c>
      <c r="D4194" s="1" t="s">
        <v>12281</v>
      </c>
      <c r="E4194" s="1" t="s">
        <v>12282</v>
      </c>
      <c r="F4194" s="1">
        <v>8352.0</v>
      </c>
      <c r="G4194" s="1">
        <v>72.0</v>
      </c>
      <c r="H4194" s="1">
        <v>7.0</v>
      </c>
      <c r="I4194" s="1">
        <v>1.21E7</v>
      </c>
      <c r="J4194" s="1" t="s">
        <v>12283</v>
      </c>
    </row>
    <row r="4195">
      <c r="A4195" s="1" t="s">
        <v>12927</v>
      </c>
      <c r="B4195" s="1" t="s">
        <v>12928</v>
      </c>
      <c r="C4195" s="1" t="s">
        <v>12929</v>
      </c>
      <c r="D4195" s="1" t="s">
        <v>12281</v>
      </c>
      <c r="E4195" s="1" t="s">
        <v>12282</v>
      </c>
      <c r="F4195" s="1">
        <v>85969.0</v>
      </c>
      <c r="G4195" s="1">
        <v>125.0</v>
      </c>
      <c r="H4195" s="1">
        <v>43.0</v>
      </c>
      <c r="I4195" s="1">
        <v>1.21E7</v>
      </c>
      <c r="J4195" s="1" t="s">
        <v>12283</v>
      </c>
    </row>
    <row r="4196">
      <c r="A4196" s="1" t="s">
        <v>12930</v>
      </c>
      <c r="B4196" s="1" t="s">
        <v>12931</v>
      </c>
      <c r="C4196" s="1" t="s">
        <v>12932</v>
      </c>
      <c r="D4196" s="1" t="s">
        <v>12281</v>
      </c>
      <c r="E4196" s="1" t="s">
        <v>12282</v>
      </c>
      <c r="F4196" s="1">
        <v>43830.0</v>
      </c>
      <c r="G4196" s="1">
        <v>433.0</v>
      </c>
      <c r="H4196" s="1">
        <v>132.0</v>
      </c>
      <c r="I4196" s="1">
        <v>1.21E7</v>
      </c>
      <c r="J4196" s="1" t="s">
        <v>12283</v>
      </c>
    </row>
    <row r="4197">
      <c r="A4197" s="1" t="s">
        <v>12933</v>
      </c>
      <c r="B4197" s="1" t="s">
        <v>12934</v>
      </c>
      <c r="C4197" s="1" t="s">
        <v>12935</v>
      </c>
      <c r="D4197" s="1" t="s">
        <v>12281</v>
      </c>
      <c r="E4197" s="1" t="s">
        <v>12282</v>
      </c>
      <c r="F4197" s="1">
        <v>4953.0</v>
      </c>
      <c r="G4197" s="1">
        <v>29.0</v>
      </c>
      <c r="H4197" s="1">
        <v>2.0</v>
      </c>
      <c r="I4197" s="1">
        <v>1.21E7</v>
      </c>
      <c r="J4197" s="1" t="s">
        <v>12283</v>
      </c>
    </row>
    <row r="4198">
      <c r="A4198" s="1" t="s">
        <v>12939</v>
      </c>
      <c r="B4198" s="1" t="s">
        <v>12940</v>
      </c>
      <c r="C4198" s="1" t="s">
        <v>12941</v>
      </c>
      <c r="D4198" s="1" t="s">
        <v>12281</v>
      </c>
      <c r="E4198" s="1" t="s">
        <v>12282</v>
      </c>
      <c r="F4198" s="1">
        <v>9644.0</v>
      </c>
      <c r="G4198" s="1">
        <v>57.0</v>
      </c>
      <c r="H4198" s="1">
        <v>4.0</v>
      </c>
      <c r="I4198" s="1">
        <v>1.21E7</v>
      </c>
      <c r="J4198" s="1" t="s">
        <v>12283</v>
      </c>
    </row>
    <row r="4199">
      <c r="A4199" s="1" t="s">
        <v>12942</v>
      </c>
      <c r="B4199" s="1" t="s">
        <v>12943</v>
      </c>
      <c r="C4199" s="1" t="s">
        <v>12944</v>
      </c>
      <c r="D4199" s="1" t="s">
        <v>12281</v>
      </c>
      <c r="E4199" s="1" t="s">
        <v>12282</v>
      </c>
      <c r="F4199" s="1">
        <v>27740.0</v>
      </c>
      <c r="G4199" s="1">
        <v>155.0</v>
      </c>
      <c r="H4199" s="1">
        <v>239.0</v>
      </c>
      <c r="I4199" s="1">
        <v>1.21E7</v>
      </c>
      <c r="J4199" s="1" t="s">
        <v>12283</v>
      </c>
    </row>
    <row r="4200">
      <c r="A4200" s="1" t="s">
        <v>12945</v>
      </c>
      <c r="B4200" s="1" t="s">
        <v>12946</v>
      </c>
      <c r="C4200" s="1" t="s">
        <v>12947</v>
      </c>
      <c r="D4200" s="1" t="s">
        <v>12281</v>
      </c>
      <c r="E4200" s="1" t="s">
        <v>12282</v>
      </c>
      <c r="F4200" s="1">
        <v>1960.0</v>
      </c>
      <c r="G4200" s="1">
        <v>27.0</v>
      </c>
      <c r="H4200" s="1">
        <v>7.0</v>
      </c>
      <c r="I4200" s="1">
        <v>1.21E7</v>
      </c>
      <c r="J4200" s="1" t="s">
        <v>12283</v>
      </c>
    </row>
    <row r="4201">
      <c r="A4201" s="1" t="s">
        <v>12948</v>
      </c>
      <c r="B4201" s="8" t="s">
        <v>12949</v>
      </c>
      <c r="C4201" s="1" t="s">
        <v>12950</v>
      </c>
      <c r="D4201" s="1" t="s">
        <v>12281</v>
      </c>
      <c r="E4201" s="1" t="s">
        <v>12282</v>
      </c>
      <c r="F4201" s="1">
        <v>26934.0</v>
      </c>
      <c r="G4201" s="1">
        <v>339.0</v>
      </c>
      <c r="H4201" s="1">
        <v>125.0</v>
      </c>
      <c r="I4201" s="1">
        <v>1.21E7</v>
      </c>
      <c r="J4201" s="1" t="s">
        <v>12283</v>
      </c>
    </row>
    <row r="4202">
      <c r="A4202" s="1" t="s">
        <v>12951</v>
      </c>
      <c r="B4202" s="1" t="s">
        <v>12952</v>
      </c>
      <c r="C4202" s="1" t="s">
        <v>12953</v>
      </c>
      <c r="D4202" s="1" t="s">
        <v>12954</v>
      </c>
      <c r="E4202" s="1" t="s">
        <v>12955</v>
      </c>
      <c r="F4202" s="1">
        <v>2385.0</v>
      </c>
      <c r="G4202" s="1">
        <v>53.0</v>
      </c>
      <c r="H4202" s="1">
        <v>0.0</v>
      </c>
      <c r="I4202" s="1">
        <v>7070000.0</v>
      </c>
      <c r="J4202" s="1" t="s">
        <v>12283</v>
      </c>
    </row>
    <row r="4203">
      <c r="A4203" s="1" t="s">
        <v>12958</v>
      </c>
      <c r="B4203" s="1" t="s">
        <v>12960</v>
      </c>
      <c r="C4203" s="1" t="s">
        <v>12961</v>
      </c>
      <c r="D4203" s="1" t="s">
        <v>12954</v>
      </c>
      <c r="E4203" s="1" t="s">
        <v>12955</v>
      </c>
      <c r="F4203" s="1">
        <v>92.0</v>
      </c>
      <c r="G4203" s="1">
        <v>2.0</v>
      </c>
      <c r="H4203" s="1">
        <v>1.0</v>
      </c>
      <c r="I4203" s="1">
        <v>7070000.0</v>
      </c>
      <c r="J4203" s="1" t="s">
        <v>12283</v>
      </c>
    </row>
    <row r="4204">
      <c r="A4204" s="1" t="s">
        <v>12962</v>
      </c>
      <c r="B4204" s="1" t="s">
        <v>12963</v>
      </c>
      <c r="C4204" s="1" t="s">
        <v>12964</v>
      </c>
      <c r="D4204" s="1" t="s">
        <v>12954</v>
      </c>
      <c r="E4204" s="1" t="s">
        <v>12955</v>
      </c>
      <c r="F4204" s="1">
        <v>473.0</v>
      </c>
      <c r="G4204" s="1">
        <v>37.0</v>
      </c>
      <c r="H4204" s="1">
        <v>2.0</v>
      </c>
      <c r="I4204" s="1">
        <v>7070000.0</v>
      </c>
      <c r="J4204" s="1" t="s">
        <v>12283</v>
      </c>
    </row>
    <row r="4205">
      <c r="A4205" s="1" t="s">
        <v>12965</v>
      </c>
      <c r="B4205" s="1" t="s">
        <v>12966</v>
      </c>
      <c r="C4205" s="1" t="s">
        <v>12967</v>
      </c>
      <c r="D4205" s="1" t="s">
        <v>12954</v>
      </c>
      <c r="E4205" s="1" t="s">
        <v>12955</v>
      </c>
      <c r="F4205" s="1">
        <v>316.0</v>
      </c>
      <c r="G4205" s="1">
        <v>4.0</v>
      </c>
      <c r="H4205" s="1">
        <v>0.0</v>
      </c>
      <c r="I4205" s="1">
        <v>7070000.0</v>
      </c>
      <c r="J4205" s="1" t="s">
        <v>12283</v>
      </c>
    </row>
    <row r="4206">
      <c r="A4206" s="1" t="s">
        <v>12968</v>
      </c>
      <c r="B4206" s="1" t="s">
        <v>12969</v>
      </c>
      <c r="C4206" s="1" t="s">
        <v>12970</v>
      </c>
      <c r="D4206" s="1" t="s">
        <v>12954</v>
      </c>
      <c r="E4206" s="1" t="s">
        <v>12955</v>
      </c>
      <c r="F4206" s="1">
        <v>320.0</v>
      </c>
      <c r="G4206" s="1">
        <v>12.0</v>
      </c>
      <c r="H4206" s="1">
        <v>6.0</v>
      </c>
      <c r="I4206" s="1">
        <v>7070000.0</v>
      </c>
      <c r="J4206" s="1" t="s">
        <v>12283</v>
      </c>
    </row>
    <row r="4207">
      <c r="A4207" s="1" t="s">
        <v>12971</v>
      </c>
      <c r="B4207" s="1" t="s">
        <v>12972</v>
      </c>
      <c r="C4207" s="1" t="s">
        <v>12973</v>
      </c>
      <c r="D4207" s="1" t="s">
        <v>12954</v>
      </c>
      <c r="E4207" s="1" t="s">
        <v>12955</v>
      </c>
      <c r="F4207" s="1">
        <v>638.0</v>
      </c>
      <c r="G4207" s="1">
        <v>87.0</v>
      </c>
      <c r="H4207" s="1">
        <v>7.0</v>
      </c>
      <c r="I4207" s="1">
        <v>7070000.0</v>
      </c>
      <c r="J4207" s="1" t="s">
        <v>12283</v>
      </c>
    </row>
    <row r="4208">
      <c r="A4208" s="1" t="s">
        <v>12974</v>
      </c>
      <c r="B4208" s="1" t="s">
        <v>12975</v>
      </c>
      <c r="C4208" s="1" t="s">
        <v>12976</v>
      </c>
      <c r="D4208" s="1" t="s">
        <v>12954</v>
      </c>
      <c r="E4208" s="1" t="s">
        <v>12955</v>
      </c>
      <c r="F4208" s="1">
        <v>320.0</v>
      </c>
      <c r="G4208" s="1">
        <v>18.0</v>
      </c>
      <c r="H4208" s="1">
        <v>3.0</v>
      </c>
      <c r="I4208" s="1">
        <v>7070000.0</v>
      </c>
      <c r="J4208" s="1" t="s">
        <v>12283</v>
      </c>
    </row>
    <row r="4209">
      <c r="A4209" s="1" t="s">
        <v>12977</v>
      </c>
      <c r="B4209" s="1" t="s">
        <v>12978</v>
      </c>
      <c r="C4209" s="1" t="s">
        <v>12979</v>
      </c>
      <c r="D4209" s="1" t="s">
        <v>12954</v>
      </c>
      <c r="E4209" s="1" t="s">
        <v>12955</v>
      </c>
      <c r="F4209" s="1">
        <v>651.0</v>
      </c>
      <c r="G4209" s="1">
        <v>51.0</v>
      </c>
      <c r="H4209" s="1">
        <v>6.0</v>
      </c>
      <c r="I4209" s="1">
        <v>7070000.0</v>
      </c>
      <c r="J4209" s="1" t="s">
        <v>12283</v>
      </c>
    </row>
    <row r="4210">
      <c r="A4210" s="1" t="s">
        <v>12980</v>
      </c>
      <c r="B4210" s="1" t="s">
        <v>12982</v>
      </c>
      <c r="C4210" s="1" t="s">
        <v>12984</v>
      </c>
      <c r="D4210" s="1" t="s">
        <v>12954</v>
      </c>
      <c r="E4210" s="1" t="s">
        <v>12955</v>
      </c>
      <c r="F4210" s="1">
        <v>446.0</v>
      </c>
      <c r="G4210" s="1">
        <v>21.0</v>
      </c>
      <c r="H4210" s="1">
        <v>1.0</v>
      </c>
      <c r="I4210" s="1">
        <v>7070000.0</v>
      </c>
      <c r="J4210" s="1" t="s">
        <v>12283</v>
      </c>
    </row>
    <row r="4211">
      <c r="A4211" s="1" t="s">
        <v>12986</v>
      </c>
      <c r="B4211" s="1" t="s">
        <v>12987</v>
      </c>
      <c r="C4211" s="1" t="s">
        <v>12988</v>
      </c>
      <c r="D4211" s="1" t="s">
        <v>12954</v>
      </c>
      <c r="E4211" s="1" t="s">
        <v>12955</v>
      </c>
      <c r="F4211" s="1">
        <v>807.0</v>
      </c>
      <c r="G4211" s="1">
        <v>39.0</v>
      </c>
      <c r="H4211" s="1">
        <v>6.0</v>
      </c>
      <c r="I4211" s="1">
        <v>7070000.0</v>
      </c>
      <c r="J4211" s="1" t="s">
        <v>12283</v>
      </c>
    </row>
    <row r="4212">
      <c r="A4212" s="1" t="s">
        <v>12989</v>
      </c>
      <c r="B4212" s="1" t="s">
        <v>12990</v>
      </c>
      <c r="C4212" s="1" t="s">
        <v>12991</v>
      </c>
      <c r="D4212" s="1" t="s">
        <v>12954</v>
      </c>
      <c r="E4212" s="1" t="s">
        <v>12955</v>
      </c>
      <c r="F4212" s="1">
        <v>1461.0</v>
      </c>
      <c r="G4212" s="1">
        <v>66.0</v>
      </c>
      <c r="H4212" s="1">
        <v>4.0</v>
      </c>
      <c r="I4212" s="1">
        <v>7070000.0</v>
      </c>
      <c r="J4212" s="1" t="s">
        <v>12283</v>
      </c>
    </row>
    <row r="4213">
      <c r="A4213" s="1" t="s">
        <v>12992</v>
      </c>
      <c r="B4213" s="1" t="s">
        <v>12993</v>
      </c>
      <c r="C4213" s="1" t="s">
        <v>12994</v>
      </c>
      <c r="D4213" s="1" t="s">
        <v>12954</v>
      </c>
      <c r="E4213" s="1" t="s">
        <v>12955</v>
      </c>
      <c r="F4213" s="1">
        <v>6975.0</v>
      </c>
      <c r="G4213" s="1">
        <v>69.0</v>
      </c>
      <c r="H4213" s="1">
        <v>41.0</v>
      </c>
      <c r="I4213" s="1">
        <v>7070000.0</v>
      </c>
      <c r="J4213" s="1" t="s">
        <v>12283</v>
      </c>
    </row>
    <row r="4214">
      <c r="A4214" s="1" t="s">
        <v>12995</v>
      </c>
      <c r="B4214" s="1" t="s">
        <v>12996</v>
      </c>
      <c r="C4214" s="1" t="s">
        <v>12997</v>
      </c>
      <c r="D4214" s="1" t="s">
        <v>12954</v>
      </c>
      <c r="E4214" s="1" t="s">
        <v>12955</v>
      </c>
      <c r="F4214" s="1">
        <v>3314.0</v>
      </c>
      <c r="G4214" s="1">
        <v>84.0</v>
      </c>
      <c r="H4214" s="1">
        <v>53.0</v>
      </c>
      <c r="I4214" s="1">
        <v>7070000.0</v>
      </c>
      <c r="J4214" s="1" t="s">
        <v>12283</v>
      </c>
    </row>
    <row r="4215">
      <c r="A4215" s="1" t="s">
        <v>12998</v>
      </c>
      <c r="B4215" s="1" t="s">
        <v>12999</v>
      </c>
      <c r="C4215" s="1" t="s">
        <v>13000</v>
      </c>
      <c r="D4215" s="1" t="s">
        <v>12954</v>
      </c>
      <c r="E4215" s="1" t="s">
        <v>12955</v>
      </c>
      <c r="F4215" s="1">
        <v>201.0</v>
      </c>
      <c r="G4215" s="1">
        <v>4.0</v>
      </c>
      <c r="H4215" s="1">
        <v>3.0</v>
      </c>
      <c r="I4215" s="1">
        <v>7070000.0</v>
      </c>
      <c r="J4215" s="1" t="s">
        <v>12283</v>
      </c>
    </row>
    <row r="4216">
      <c r="A4216" s="1" t="s">
        <v>13001</v>
      </c>
      <c r="B4216" s="1" t="s">
        <v>13002</v>
      </c>
      <c r="C4216" s="1" t="s">
        <v>13003</v>
      </c>
      <c r="D4216" s="1" t="s">
        <v>12954</v>
      </c>
      <c r="E4216" s="1" t="s">
        <v>12955</v>
      </c>
      <c r="F4216" s="1">
        <v>254.0</v>
      </c>
      <c r="G4216" s="1">
        <v>2.0</v>
      </c>
      <c r="H4216" s="1">
        <v>3.0</v>
      </c>
      <c r="I4216" s="1">
        <v>7070000.0</v>
      </c>
      <c r="J4216" s="1" t="s">
        <v>12283</v>
      </c>
    </row>
    <row r="4217">
      <c r="A4217" s="1" t="s">
        <v>13004</v>
      </c>
      <c r="B4217" s="1" t="s">
        <v>13005</v>
      </c>
      <c r="C4217" s="1" t="s">
        <v>13006</v>
      </c>
      <c r="D4217" s="1" t="s">
        <v>12954</v>
      </c>
      <c r="E4217" s="1" t="s">
        <v>12955</v>
      </c>
      <c r="F4217" s="1">
        <v>1598.0</v>
      </c>
      <c r="G4217" s="1">
        <v>48.0</v>
      </c>
      <c r="H4217" s="1">
        <v>8.0</v>
      </c>
      <c r="I4217" s="1">
        <v>7070000.0</v>
      </c>
      <c r="J4217" s="1" t="s">
        <v>12283</v>
      </c>
    </row>
    <row r="4218">
      <c r="A4218" s="1" t="s">
        <v>13007</v>
      </c>
      <c r="B4218" s="1" t="s">
        <v>13009</v>
      </c>
      <c r="C4218" s="1" t="s">
        <v>13011</v>
      </c>
      <c r="D4218" s="1" t="s">
        <v>12954</v>
      </c>
      <c r="E4218" s="1" t="s">
        <v>12955</v>
      </c>
      <c r="F4218" s="1">
        <v>4761.0</v>
      </c>
      <c r="G4218" s="1">
        <v>55.0</v>
      </c>
      <c r="H4218" s="1">
        <v>18.0</v>
      </c>
      <c r="I4218" s="1">
        <v>7070000.0</v>
      </c>
      <c r="J4218" s="1" t="s">
        <v>12283</v>
      </c>
    </row>
    <row r="4219">
      <c r="A4219" s="1" t="s">
        <v>13013</v>
      </c>
      <c r="B4219" s="1" t="s">
        <v>13014</v>
      </c>
      <c r="C4219" s="1" t="s">
        <v>13015</v>
      </c>
      <c r="D4219" s="1" t="s">
        <v>12954</v>
      </c>
      <c r="E4219" s="1" t="s">
        <v>12955</v>
      </c>
      <c r="F4219" s="1">
        <v>1379.0</v>
      </c>
      <c r="G4219" s="1">
        <v>36.0</v>
      </c>
      <c r="H4219" s="1">
        <v>24.0</v>
      </c>
      <c r="I4219" s="1">
        <v>7070000.0</v>
      </c>
      <c r="J4219" s="1" t="s">
        <v>12283</v>
      </c>
    </row>
    <row r="4220">
      <c r="A4220" s="1" t="s">
        <v>13016</v>
      </c>
      <c r="B4220" s="1" t="s">
        <v>13017</v>
      </c>
      <c r="C4220" s="1" t="s">
        <v>13018</v>
      </c>
      <c r="D4220" s="1" t="s">
        <v>12954</v>
      </c>
      <c r="E4220" s="1" t="s">
        <v>12955</v>
      </c>
      <c r="F4220" s="1">
        <v>1369.0</v>
      </c>
      <c r="G4220" s="1">
        <v>26.0</v>
      </c>
      <c r="H4220" s="1">
        <v>1.0</v>
      </c>
      <c r="I4220" s="1">
        <v>7070000.0</v>
      </c>
      <c r="J4220" s="1" t="s">
        <v>12283</v>
      </c>
    </row>
    <row r="4221">
      <c r="A4221" s="1" t="s">
        <v>13019</v>
      </c>
      <c r="B4221" s="1" t="s">
        <v>13020</v>
      </c>
      <c r="C4221" s="1" t="s">
        <v>13021</v>
      </c>
      <c r="D4221" s="1" t="s">
        <v>12954</v>
      </c>
      <c r="E4221" s="1" t="s">
        <v>12955</v>
      </c>
      <c r="F4221" s="1">
        <v>1370.0</v>
      </c>
      <c r="G4221" s="1">
        <v>25.0</v>
      </c>
      <c r="H4221" s="1">
        <v>20.0</v>
      </c>
      <c r="I4221" s="1">
        <v>7070000.0</v>
      </c>
      <c r="J4221" s="1" t="s">
        <v>12283</v>
      </c>
    </row>
    <row r="4222">
      <c r="A4222" s="1" t="s">
        <v>13022</v>
      </c>
      <c r="B4222" s="1" t="s">
        <v>13023</v>
      </c>
      <c r="C4222" s="1" t="s">
        <v>13024</v>
      </c>
      <c r="D4222" s="1" t="s">
        <v>12954</v>
      </c>
      <c r="E4222" s="1" t="s">
        <v>12955</v>
      </c>
      <c r="F4222" s="1">
        <v>24178.0</v>
      </c>
      <c r="G4222" s="1">
        <v>328.0</v>
      </c>
      <c r="H4222" s="1">
        <v>284.0</v>
      </c>
      <c r="I4222" s="1">
        <v>7070000.0</v>
      </c>
      <c r="J4222" s="1" t="s">
        <v>12283</v>
      </c>
    </row>
    <row r="4223">
      <c r="A4223" s="1" t="s">
        <v>13025</v>
      </c>
      <c r="B4223" s="1" t="s">
        <v>13026</v>
      </c>
      <c r="C4223" s="1" t="s">
        <v>13027</v>
      </c>
      <c r="D4223" s="1" t="s">
        <v>12954</v>
      </c>
      <c r="E4223" s="1" t="s">
        <v>12955</v>
      </c>
      <c r="F4223" s="1">
        <v>3787.0</v>
      </c>
      <c r="G4223" s="1">
        <v>20.0</v>
      </c>
      <c r="H4223" s="1">
        <v>7.0</v>
      </c>
      <c r="I4223" s="1">
        <v>7070000.0</v>
      </c>
      <c r="J4223" s="1" t="s">
        <v>12283</v>
      </c>
    </row>
    <row r="4224">
      <c r="A4224" s="1" t="s">
        <v>13028</v>
      </c>
      <c r="B4224" s="1" t="s">
        <v>13029</v>
      </c>
      <c r="C4224" s="1" t="s">
        <v>13030</v>
      </c>
      <c r="D4224" s="1" t="s">
        <v>12954</v>
      </c>
      <c r="E4224" s="1" t="s">
        <v>12955</v>
      </c>
      <c r="F4224" s="1">
        <v>3667.0</v>
      </c>
      <c r="G4224" s="1">
        <v>69.0</v>
      </c>
      <c r="H4224" s="1">
        <v>8.0</v>
      </c>
      <c r="I4224" s="1">
        <v>7070000.0</v>
      </c>
      <c r="J4224" s="1" t="s">
        <v>12283</v>
      </c>
    </row>
    <row r="4225">
      <c r="A4225" s="1" t="s">
        <v>13032</v>
      </c>
      <c r="B4225" s="1" t="s">
        <v>13034</v>
      </c>
      <c r="C4225" s="1" t="s">
        <v>13035</v>
      </c>
      <c r="D4225" s="1" t="s">
        <v>12954</v>
      </c>
      <c r="E4225" s="1" t="s">
        <v>12955</v>
      </c>
      <c r="F4225" s="1">
        <v>8573.0</v>
      </c>
      <c r="G4225" s="1">
        <v>185.0</v>
      </c>
      <c r="H4225" s="1">
        <v>22.0</v>
      </c>
      <c r="I4225" s="1">
        <v>7070000.0</v>
      </c>
      <c r="J4225" s="1" t="s">
        <v>12283</v>
      </c>
    </row>
    <row r="4226">
      <c r="A4226" s="1" t="s">
        <v>13037</v>
      </c>
      <c r="B4226" s="1" t="s">
        <v>13038</v>
      </c>
      <c r="C4226" s="1" t="s">
        <v>13039</v>
      </c>
      <c r="D4226" s="1" t="s">
        <v>12954</v>
      </c>
      <c r="E4226" s="1" t="s">
        <v>12955</v>
      </c>
      <c r="F4226" s="1">
        <v>265739.0</v>
      </c>
      <c r="G4226" s="1">
        <v>4786.0</v>
      </c>
      <c r="H4226" s="1">
        <v>202.0</v>
      </c>
      <c r="I4226" s="1">
        <v>7070000.0</v>
      </c>
      <c r="J4226" s="1" t="s">
        <v>12283</v>
      </c>
    </row>
    <row r="4227">
      <c r="A4227" s="1" t="s">
        <v>13040</v>
      </c>
      <c r="B4227" s="1" t="s">
        <v>13041</v>
      </c>
      <c r="C4227" s="1" t="s">
        <v>13042</v>
      </c>
      <c r="D4227" s="1" t="s">
        <v>12954</v>
      </c>
      <c r="E4227" s="1" t="s">
        <v>12955</v>
      </c>
      <c r="F4227" s="1">
        <v>132351.0</v>
      </c>
      <c r="G4227" s="1">
        <v>463.0</v>
      </c>
      <c r="H4227" s="1">
        <v>94.0</v>
      </c>
      <c r="I4227" s="1">
        <v>7070000.0</v>
      </c>
      <c r="J4227" s="1" t="s">
        <v>12283</v>
      </c>
    </row>
    <row r="4228">
      <c r="A4228" s="1" t="s">
        <v>13043</v>
      </c>
      <c r="B4228" s="1" t="s">
        <v>13044</v>
      </c>
      <c r="C4228" s="1" t="s">
        <v>13045</v>
      </c>
      <c r="D4228" s="1" t="s">
        <v>12954</v>
      </c>
      <c r="E4228" s="1" t="s">
        <v>12955</v>
      </c>
      <c r="F4228" s="1">
        <v>21101.0</v>
      </c>
      <c r="G4228" s="1">
        <v>526.0</v>
      </c>
      <c r="H4228" s="1">
        <v>241.0</v>
      </c>
      <c r="I4228" s="1">
        <v>7070000.0</v>
      </c>
      <c r="J4228" s="1" t="s">
        <v>12283</v>
      </c>
    </row>
    <row r="4229">
      <c r="A4229" s="1" t="s">
        <v>13046</v>
      </c>
      <c r="B4229" s="1" t="s">
        <v>13047</v>
      </c>
      <c r="C4229" s="1" t="s">
        <v>13048</v>
      </c>
      <c r="D4229" s="1" t="s">
        <v>12954</v>
      </c>
      <c r="E4229" s="1" t="s">
        <v>12955</v>
      </c>
      <c r="F4229" s="1">
        <v>32970.0</v>
      </c>
      <c r="G4229" s="1">
        <v>721.0</v>
      </c>
      <c r="H4229" s="1">
        <v>92.0</v>
      </c>
      <c r="I4229" s="1">
        <v>7070000.0</v>
      </c>
      <c r="J4229" s="1" t="s">
        <v>12283</v>
      </c>
    </row>
    <row r="4230">
      <c r="A4230" s="1" t="s">
        <v>13049</v>
      </c>
      <c r="B4230" s="1" t="s">
        <v>13050</v>
      </c>
      <c r="C4230" s="1" t="s">
        <v>13051</v>
      </c>
      <c r="D4230" s="1" t="s">
        <v>12954</v>
      </c>
      <c r="E4230" s="1" t="s">
        <v>12955</v>
      </c>
      <c r="F4230" s="1">
        <v>40415.0</v>
      </c>
      <c r="G4230" s="1">
        <v>488.0</v>
      </c>
      <c r="H4230" s="1">
        <v>60.0</v>
      </c>
      <c r="I4230" s="1">
        <v>7070000.0</v>
      </c>
      <c r="J4230" s="1" t="s">
        <v>12283</v>
      </c>
    </row>
    <row r="4231">
      <c r="A4231" s="1" t="s">
        <v>13052</v>
      </c>
      <c r="B4231" s="1" t="s">
        <v>13053</v>
      </c>
      <c r="C4231" s="1" t="s">
        <v>13054</v>
      </c>
      <c r="D4231" s="1" t="s">
        <v>12954</v>
      </c>
      <c r="E4231" s="1" t="s">
        <v>12955</v>
      </c>
      <c r="F4231" s="1">
        <v>95686.0</v>
      </c>
      <c r="G4231" s="1">
        <v>2910.0</v>
      </c>
      <c r="H4231" s="1">
        <v>539.0</v>
      </c>
      <c r="I4231" s="1">
        <v>7070000.0</v>
      </c>
      <c r="J4231" s="1" t="s">
        <v>12283</v>
      </c>
    </row>
    <row r="4232">
      <c r="A4232" s="1" t="s">
        <v>13056</v>
      </c>
      <c r="B4232" s="1" t="s">
        <v>13058</v>
      </c>
      <c r="C4232" s="1" t="s">
        <v>13059</v>
      </c>
      <c r="D4232" s="1" t="s">
        <v>12954</v>
      </c>
      <c r="E4232" s="1" t="s">
        <v>12955</v>
      </c>
      <c r="F4232" s="1">
        <v>141897.0</v>
      </c>
      <c r="G4232" s="1">
        <v>3697.0</v>
      </c>
      <c r="H4232" s="1">
        <v>907.0</v>
      </c>
      <c r="I4232" s="1">
        <v>7070000.0</v>
      </c>
      <c r="J4232" s="1" t="s">
        <v>12283</v>
      </c>
    </row>
    <row r="4233">
      <c r="A4233" s="1" t="s">
        <v>13061</v>
      </c>
      <c r="B4233" s="1" t="s">
        <v>13062</v>
      </c>
      <c r="C4233" s="1" t="s">
        <v>13063</v>
      </c>
      <c r="D4233" s="1" t="s">
        <v>12954</v>
      </c>
      <c r="E4233" s="1" t="s">
        <v>12955</v>
      </c>
      <c r="F4233" s="1">
        <v>495.0</v>
      </c>
      <c r="G4233" s="1">
        <v>3.0</v>
      </c>
      <c r="H4233" s="1">
        <v>1.0</v>
      </c>
      <c r="I4233" s="1">
        <v>7070000.0</v>
      </c>
      <c r="J4233" s="1" t="s">
        <v>12283</v>
      </c>
    </row>
    <row r="4234">
      <c r="A4234" s="1" t="s">
        <v>13064</v>
      </c>
      <c r="B4234" s="1" t="s">
        <v>13065</v>
      </c>
      <c r="C4234" s="1" t="s">
        <v>13066</v>
      </c>
      <c r="D4234" s="1" t="s">
        <v>12954</v>
      </c>
      <c r="E4234" s="1" t="s">
        <v>12955</v>
      </c>
      <c r="F4234" s="1">
        <v>3852.0</v>
      </c>
      <c r="G4234" s="1">
        <v>14.0</v>
      </c>
      <c r="H4234" s="1">
        <v>7.0</v>
      </c>
      <c r="I4234" s="1">
        <v>7070000.0</v>
      </c>
      <c r="J4234" s="1" t="s">
        <v>12283</v>
      </c>
    </row>
    <row r="4235">
      <c r="A4235" s="1" t="s">
        <v>13067</v>
      </c>
      <c r="B4235" s="1" t="s">
        <v>13068</v>
      </c>
      <c r="C4235" s="1" t="s">
        <v>13069</v>
      </c>
      <c r="D4235" s="1" t="s">
        <v>12954</v>
      </c>
      <c r="E4235" s="1" t="s">
        <v>12955</v>
      </c>
      <c r="F4235" s="1">
        <v>41694.0</v>
      </c>
      <c r="G4235" s="1">
        <v>498.0</v>
      </c>
      <c r="H4235" s="1">
        <v>235.0</v>
      </c>
      <c r="I4235" s="1">
        <v>7070000.0</v>
      </c>
      <c r="J4235" s="1" t="s">
        <v>12283</v>
      </c>
    </row>
    <row r="4236">
      <c r="A4236" s="1" t="s">
        <v>13070</v>
      </c>
      <c r="B4236" s="1" t="s">
        <v>13071</v>
      </c>
      <c r="C4236" s="1" t="s">
        <v>13072</v>
      </c>
      <c r="D4236" s="1" t="s">
        <v>12954</v>
      </c>
      <c r="E4236" s="1" t="s">
        <v>12955</v>
      </c>
      <c r="F4236" s="1">
        <v>1371.0</v>
      </c>
      <c r="G4236" s="1">
        <v>6.0</v>
      </c>
      <c r="H4236" s="1">
        <v>2.0</v>
      </c>
      <c r="I4236" s="1">
        <v>7070000.0</v>
      </c>
      <c r="J4236" s="1" t="s">
        <v>12283</v>
      </c>
    </row>
    <row r="4237">
      <c r="A4237" s="1" t="s">
        <v>13073</v>
      </c>
      <c r="B4237" s="1" t="s">
        <v>13074</v>
      </c>
      <c r="C4237" s="1" t="s">
        <v>13075</v>
      </c>
      <c r="D4237" s="1" t="s">
        <v>12954</v>
      </c>
      <c r="E4237" s="1" t="s">
        <v>12955</v>
      </c>
      <c r="F4237" s="1">
        <v>6540.0</v>
      </c>
      <c r="G4237" s="1">
        <v>72.0</v>
      </c>
      <c r="H4237" s="1">
        <v>63.0</v>
      </c>
      <c r="I4237" s="1">
        <v>7070000.0</v>
      </c>
      <c r="J4237" s="1" t="s">
        <v>12283</v>
      </c>
    </row>
    <row r="4238">
      <c r="A4238" s="1" t="s">
        <v>13076</v>
      </c>
      <c r="B4238" s="1" t="s">
        <v>13077</v>
      </c>
      <c r="C4238" s="1" t="s">
        <v>13078</v>
      </c>
      <c r="D4238" s="1" t="s">
        <v>12954</v>
      </c>
      <c r="E4238" s="1" t="s">
        <v>12955</v>
      </c>
      <c r="F4238" s="1">
        <v>3249.0</v>
      </c>
      <c r="G4238" s="1">
        <v>28.0</v>
      </c>
      <c r="H4238" s="1">
        <v>14.0</v>
      </c>
      <c r="I4238" s="1">
        <v>7070000.0</v>
      </c>
      <c r="J4238" s="1" t="s">
        <v>12283</v>
      </c>
    </row>
    <row r="4239">
      <c r="A4239" s="1" t="s">
        <v>13079</v>
      </c>
      <c r="B4239" s="1" t="s">
        <v>13080</v>
      </c>
      <c r="C4239" s="1" t="s">
        <v>13081</v>
      </c>
      <c r="D4239" s="1" t="s">
        <v>12954</v>
      </c>
      <c r="E4239" s="1" t="s">
        <v>12955</v>
      </c>
      <c r="F4239" s="1">
        <v>6224.0</v>
      </c>
      <c r="G4239" s="1">
        <v>50.0</v>
      </c>
      <c r="H4239" s="1">
        <v>67.0</v>
      </c>
      <c r="I4239" s="1">
        <v>7070000.0</v>
      </c>
      <c r="J4239" s="1" t="s">
        <v>12283</v>
      </c>
    </row>
    <row r="4240">
      <c r="A4240" s="1" t="s">
        <v>13082</v>
      </c>
      <c r="B4240" s="1" t="s">
        <v>13083</v>
      </c>
      <c r="C4240" s="1" t="s">
        <v>13085</v>
      </c>
      <c r="D4240" s="1" t="s">
        <v>12954</v>
      </c>
      <c r="E4240" s="1" t="s">
        <v>12955</v>
      </c>
      <c r="F4240" s="1">
        <v>7722.0</v>
      </c>
      <c r="G4240" s="1">
        <v>151.0</v>
      </c>
      <c r="H4240" s="1">
        <v>111.0</v>
      </c>
      <c r="I4240" s="1">
        <v>7070000.0</v>
      </c>
      <c r="J4240" s="1" t="s">
        <v>12283</v>
      </c>
    </row>
    <row r="4241">
      <c r="A4241" s="1" t="s">
        <v>13088</v>
      </c>
      <c r="B4241" s="1" t="s">
        <v>13089</v>
      </c>
      <c r="C4241" s="1" t="s">
        <v>13090</v>
      </c>
      <c r="D4241" s="1" t="s">
        <v>12954</v>
      </c>
      <c r="E4241" s="1" t="s">
        <v>12955</v>
      </c>
      <c r="F4241" s="1">
        <v>62524.0</v>
      </c>
      <c r="G4241" s="1">
        <v>771.0</v>
      </c>
      <c r="H4241" s="1">
        <v>417.0</v>
      </c>
      <c r="I4241" s="1">
        <v>7070000.0</v>
      </c>
      <c r="J4241" s="1" t="s">
        <v>12283</v>
      </c>
    </row>
    <row r="4242">
      <c r="A4242" s="1" t="s">
        <v>13091</v>
      </c>
      <c r="B4242" s="1" t="s">
        <v>13092</v>
      </c>
      <c r="C4242" s="1" t="s">
        <v>13093</v>
      </c>
      <c r="D4242" s="1" t="s">
        <v>12954</v>
      </c>
      <c r="E4242" s="1" t="s">
        <v>12955</v>
      </c>
      <c r="F4242" s="1">
        <v>1993.0</v>
      </c>
      <c r="G4242" s="1">
        <v>40.0</v>
      </c>
      <c r="H4242" s="1">
        <v>20.0</v>
      </c>
      <c r="I4242" s="1">
        <v>7070000.0</v>
      </c>
      <c r="J4242" s="1" t="s">
        <v>12283</v>
      </c>
    </row>
    <row r="4243">
      <c r="A4243" s="1" t="s">
        <v>13094</v>
      </c>
      <c r="B4243" s="1" t="s">
        <v>13095</v>
      </c>
      <c r="C4243" s="1" t="s">
        <v>13096</v>
      </c>
      <c r="D4243" s="1" t="s">
        <v>12954</v>
      </c>
      <c r="E4243" s="1" t="s">
        <v>12955</v>
      </c>
      <c r="F4243" s="1">
        <v>2941.0</v>
      </c>
      <c r="G4243" s="1">
        <v>40.0</v>
      </c>
      <c r="H4243" s="1">
        <v>36.0</v>
      </c>
      <c r="I4243" s="1">
        <v>7070000.0</v>
      </c>
      <c r="J4243" s="1" t="s">
        <v>12283</v>
      </c>
    </row>
    <row r="4244">
      <c r="A4244" s="1" t="s">
        <v>13097</v>
      </c>
      <c r="B4244" s="1" t="s">
        <v>13098</v>
      </c>
      <c r="C4244" s="1" t="s">
        <v>13099</v>
      </c>
      <c r="D4244" s="1" t="s">
        <v>12954</v>
      </c>
      <c r="E4244" s="1" t="s">
        <v>12955</v>
      </c>
      <c r="F4244" s="1">
        <v>16287.0</v>
      </c>
      <c r="G4244" s="1">
        <v>175.0</v>
      </c>
      <c r="H4244" s="1">
        <v>94.0</v>
      </c>
      <c r="I4244" s="1">
        <v>7070000.0</v>
      </c>
      <c r="J4244" s="1" t="s">
        <v>12283</v>
      </c>
    </row>
    <row r="4245">
      <c r="A4245" s="1" t="s">
        <v>13100</v>
      </c>
      <c r="B4245" s="1" t="s">
        <v>13101</v>
      </c>
      <c r="C4245" s="1" t="s">
        <v>13102</v>
      </c>
      <c r="D4245" s="1" t="s">
        <v>12954</v>
      </c>
      <c r="E4245" s="1" t="s">
        <v>12955</v>
      </c>
      <c r="F4245" s="1">
        <v>6277.0</v>
      </c>
      <c r="G4245" s="1">
        <v>122.0</v>
      </c>
      <c r="H4245" s="1">
        <v>28.0</v>
      </c>
      <c r="I4245" s="1">
        <v>7070000.0</v>
      </c>
      <c r="J4245" s="1" t="s">
        <v>12283</v>
      </c>
    </row>
    <row r="4246">
      <c r="A4246" s="1" t="s">
        <v>13103</v>
      </c>
      <c r="B4246" s="1" t="s">
        <v>13104</v>
      </c>
      <c r="C4246" s="1" t="s">
        <v>13105</v>
      </c>
      <c r="D4246" s="1" t="s">
        <v>12954</v>
      </c>
      <c r="E4246" s="1" t="s">
        <v>12955</v>
      </c>
      <c r="F4246" s="1">
        <v>32856.0</v>
      </c>
      <c r="G4246" s="1">
        <v>218.0</v>
      </c>
      <c r="H4246" s="1">
        <v>87.0</v>
      </c>
      <c r="I4246" s="1">
        <v>7070000.0</v>
      </c>
      <c r="J4246" s="1" t="s">
        <v>12283</v>
      </c>
    </row>
    <row r="4247">
      <c r="A4247" s="1" t="s">
        <v>13106</v>
      </c>
      <c r="B4247" s="1" t="s">
        <v>13107</v>
      </c>
      <c r="C4247" s="1" t="s">
        <v>13108</v>
      </c>
      <c r="D4247" s="1" t="s">
        <v>12954</v>
      </c>
      <c r="E4247" s="1" t="s">
        <v>12955</v>
      </c>
      <c r="F4247" s="1">
        <v>37077.0</v>
      </c>
      <c r="G4247" s="1">
        <v>603.0</v>
      </c>
      <c r="H4247" s="1">
        <v>579.0</v>
      </c>
      <c r="I4247" s="1">
        <v>7070000.0</v>
      </c>
      <c r="J4247" s="1" t="s">
        <v>12283</v>
      </c>
    </row>
    <row r="4248">
      <c r="A4248" s="1" t="s">
        <v>13109</v>
      </c>
      <c r="B4248" s="1" t="s">
        <v>13110</v>
      </c>
      <c r="C4248" s="1" t="s">
        <v>13111</v>
      </c>
      <c r="D4248" s="1" t="s">
        <v>12954</v>
      </c>
      <c r="E4248" s="1" t="s">
        <v>12955</v>
      </c>
      <c r="F4248" s="1">
        <v>11704.0</v>
      </c>
      <c r="G4248" s="1">
        <v>130.0</v>
      </c>
      <c r="H4248" s="1">
        <v>179.0</v>
      </c>
      <c r="I4248" s="1">
        <v>7070000.0</v>
      </c>
      <c r="J4248" s="1" t="s">
        <v>12283</v>
      </c>
    </row>
    <row r="4249">
      <c r="A4249" s="1" t="s">
        <v>13112</v>
      </c>
      <c r="B4249" s="1" t="s">
        <v>13113</v>
      </c>
      <c r="C4249" s="1" t="s">
        <v>13114</v>
      </c>
      <c r="D4249" s="1" t="s">
        <v>12954</v>
      </c>
      <c r="E4249" s="1" t="s">
        <v>12955</v>
      </c>
      <c r="F4249" s="1">
        <v>2924.0</v>
      </c>
      <c r="G4249" s="1">
        <v>7.0</v>
      </c>
      <c r="H4249" s="1">
        <v>32.0</v>
      </c>
      <c r="I4249" s="1">
        <v>7070000.0</v>
      </c>
      <c r="J4249" s="1" t="s">
        <v>12283</v>
      </c>
    </row>
    <row r="4250">
      <c r="A4250" s="1" t="s">
        <v>13118</v>
      </c>
      <c r="B4250" s="1" t="s">
        <v>13119</v>
      </c>
      <c r="C4250" s="1" t="s">
        <v>13120</v>
      </c>
      <c r="D4250" s="1" t="s">
        <v>12954</v>
      </c>
      <c r="E4250" s="1" t="s">
        <v>12955</v>
      </c>
      <c r="F4250" s="1">
        <v>12490.0</v>
      </c>
      <c r="G4250" s="1">
        <v>121.0</v>
      </c>
      <c r="H4250" s="1">
        <v>177.0</v>
      </c>
      <c r="I4250" s="1">
        <v>7070000.0</v>
      </c>
      <c r="J4250" s="1" t="s">
        <v>12283</v>
      </c>
    </row>
    <row r="4251">
      <c r="A4251" s="1" t="s">
        <v>13121</v>
      </c>
      <c r="B4251" s="1" t="s">
        <v>13122</v>
      </c>
      <c r="C4251" s="1" t="s">
        <v>13123</v>
      </c>
      <c r="D4251" s="1" t="s">
        <v>12954</v>
      </c>
      <c r="E4251" s="1" t="s">
        <v>12955</v>
      </c>
      <c r="F4251" s="1">
        <v>2896.0</v>
      </c>
      <c r="G4251" s="1">
        <v>22.0</v>
      </c>
      <c r="H4251" s="1">
        <v>4.0</v>
      </c>
      <c r="I4251" s="1">
        <v>7070000.0</v>
      </c>
      <c r="J4251" s="1" t="s">
        <v>12283</v>
      </c>
    </row>
    <row r="4252">
      <c r="A4252" s="1" t="s">
        <v>13124</v>
      </c>
      <c r="B4252" s="1" t="s">
        <v>13125</v>
      </c>
      <c r="C4252" s="1" t="s">
        <v>13126</v>
      </c>
      <c r="D4252" s="1" t="s">
        <v>12954</v>
      </c>
      <c r="E4252" s="1" t="s">
        <v>12955</v>
      </c>
      <c r="F4252" s="1">
        <v>9496.0</v>
      </c>
      <c r="G4252" s="1">
        <v>58.0</v>
      </c>
      <c r="H4252" s="1">
        <v>46.0</v>
      </c>
      <c r="I4252" s="1">
        <v>7070000.0</v>
      </c>
      <c r="J4252" s="1" t="s">
        <v>12283</v>
      </c>
    </row>
    <row r="4253">
      <c r="A4253" s="1" t="s">
        <v>13127</v>
      </c>
      <c r="B4253" s="1" t="s">
        <v>13128</v>
      </c>
      <c r="C4253" s="1" t="s">
        <v>13129</v>
      </c>
      <c r="D4253" s="1" t="s">
        <v>12954</v>
      </c>
      <c r="E4253" s="1" t="s">
        <v>12955</v>
      </c>
      <c r="F4253" s="1">
        <v>6790.0</v>
      </c>
      <c r="G4253" s="1">
        <v>122.0</v>
      </c>
      <c r="H4253" s="1">
        <v>27.0</v>
      </c>
      <c r="I4253" s="1">
        <v>7070000.0</v>
      </c>
      <c r="J4253" s="1" t="s">
        <v>12283</v>
      </c>
    </row>
    <row r="4254">
      <c r="A4254" s="1" t="s">
        <v>13130</v>
      </c>
      <c r="B4254" s="1" t="s">
        <v>13131</v>
      </c>
      <c r="C4254" s="1" t="s">
        <v>13132</v>
      </c>
      <c r="D4254" s="1" t="s">
        <v>12954</v>
      </c>
      <c r="E4254" s="1" t="s">
        <v>12955</v>
      </c>
      <c r="F4254" s="1">
        <v>12271.0</v>
      </c>
      <c r="G4254" s="1">
        <v>172.0</v>
      </c>
      <c r="H4254" s="1">
        <v>34.0</v>
      </c>
      <c r="I4254" s="1">
        <v>7070000.0</v>
      </c>
      <c r="J4254" s="1" t="s">
        <v>12283</v>
      </c>
    </row>
    <row r="4255">
      <c r="A4255" s="1" t="s">
        <v>13133</v>
      </c>
      <c r="B4255" s="1" t="s">
        <v>13134</v>
      </c>
      <c r="C4255" s="1" t="s">
        <v>13135</v>
      </c>
      <c r="D4255" s="1" t="s">
        <v>12954</v>
      </c>
      <c r="E4255" s="1" t="s">
        <v>12955</v>
      </c>
      <c r="F4255" s="1">
        <v>6610.0</v>
      </c>
      <c r="G4255" s="1">
        <v>104.0</v>
      </c>
      <c r="H4255" s="1">
        <v>146.0</v>
      </c>
      <c r="I4255" s="1">
        <v>7070000.0</v>
      </c>
      <c r="J4255" s="1" t="s">
        <v>12283</v>
      </c>
    </row>
    <row r="4256">
      <c r="A4256" s="1" t="s">
        <v>13136</v>
      </c>
      <c r="B4256" s="1" t="s">
        <v>13137</v>
      </c>
      <c r="C4256" s="1" t="s">
        <v>13138</v>
      </c>
      <c r="D4256" s="1" t="s">
        <v>12954</v>
      </c>
      <c r="E4256" s="1" t="s">
        <v>12955</v>
      </c>
      <c r="F4256" s="1">
        <v>125660.0</v>
      </c>
      <c r="G4256" s="1">
        <v>2441.0</v>
      </c>
      <c r="H4256" s="1">
        <v>1051.0</v>
      </c>
      <c r="I4256" s="1">
        <v>7070000.0</v>
      </c>
      <c r="J4256" s="1" t="s">
        <v>12283</v>
      </c>
    </row>
    <row r="4257">
      <c r="A4257" s="1" t="s">
        <v>13139</v>
      </c>
      <c r="B4257" s="1" t="s">
        <v>13140</v>
      </c>
      <c r="C4257" s="1" t="s">
        <v>13141</v>
      </c>
      <c r="D4257" s="1" t="s">
        <v>12954</v>
      </c>
      <c r="E4257" s="1" t="s">
        <v>12955</v>
      </c>
      <c r="F4257" s="1">
        <v>11201.0</v>
      </c>
      <c r="G4257" s="1">
        <v>43.0</v>
      </c>
      <c r="H4257" s="1">
        <v>17.0</v>
      </c>
      <c r="I4257" s="1">
        <v>7070000.0</v>
      </c>
      <c r="J4257" s="1" t="s">
        <v>12283</v>
      </c>
    </row>
    <row r="4258">
      <c r="A4258" s="1" t="s">
        <v>13145</v>
      </c>
      <c r="B4258" s="1" t="s">
        <v>13146</v>
      </c>
      <c r="C4258" s="1" t="s">
        <v>13147</v>
      </c>
      <c r="D4258" s="1" t="s">
        <v>12954</v>
      </c>
      <c r="E4258" s="1" t="s">
        <v>12955</v>
      </c>
      <c r="F4258" s="1">
        <v>5500.0</v>
      </c>
      <c r="G4258" s="1">
        <v>18.0</v>
      </c>
      <c r="H4258" s="1">
        <v>8.0</v>
      </c>
      <c r="I4258" s="1">
        <v>7070000.0</v>
      </c>
      <c r="J4258" s="1" t="s">
        <v>12283</v>
      </c>
    </row>
    <row r="4259">
      <c r="A4259" s="1" t="s">
        <v>13148</v>
      </c>
      <c r="B4259" s="1" t="s">
        <v>13149</v>
      </c>
      <c r="C4259" s="1" t="s">
        <v>13150</v>
      </c>
      <c r="D4259" s="1" t="s">
        <v>12954</v>
      </c>
      <c r="E4259" s="1" t="s">
        <v>12955</v>
      </c>
      <c r="F4259" s="1">
        <v>26375.0</v>
      </c>
      <c r="G4259" s="1">
        <v>312.0</v>
      </c>
      <c r="H4259" s="1">
        <v>168.0</v>
      </c>
      <c r="I4259" s="1">
        <v>7070000.0</v>
      </c>
      <c r="J4259" s="1" t="s">
        <v>12283</v>
      </c>
    </row>
    <row r="4260">
      <c r="A4260" s="1" t="s">
        <v>13151</v>
      </c>
      <c r="B4260" s="1" t="s">
        <v>13152</v>
      </c>
      <c r="C4260" s="1" t="s">
        <v>13153</v>
      </c>
      <c r="D4260" s="1" t="s">
        <v>12954</v>
      </c>
      <c r="E4260" s="1" t="s">
        <v>12955</v>
      </c>
      <c r="F4260" s="1">
        <v>1046.0</v>
      </c>
      <c r="G4260" s="1">
        <v>5.0</v>
      </c>
      <c r="H4260" s="1">
        <v>1.0</v>
      </c>
      <c r="I4260" s="1">
        <v>7070000.0</v>
      </c>
      <c r="J4260" s="1" t="s">
        <v>12283</v>
      </c>
    </row>
    <row r="4261">
      <c r="A4261" s="1" t="s">
        <v>13154</v>
      </c>
      <c r="B4261" s="1" t="s">
        <v>13155</v>
      </c>
      <c r="C4261" s="1" t="s">
        <v>13156</v>
      </c>
      <c r="D4261" s="1" t="s">
        <v>12954</v>
      </c>
      <c r="E4261" s="1" t="s">
        <v>12955</v>
      </c>
      <c r="F4261" s="1">
        <v>5358.0</v>
      </c>
      <c r="G4261" s="1">
        <v>51.0</v>
      </c>
      <c r="H4261" s="1">
        <v>55.0</v>
      </c>
      <c r="I4261" s="1">
        <v>7070000.0</v>
      </c>
      <c r="J4261" s="1" t="s">
        <v>12283</v>
      </c>
    </row>
    <row r="4262">
      <c r="A4262" s="1" t="s">
        <v>13157</v>
      </c>
      <c r="B4262" s="1" t="s">
        <v>13158</v>
      </c>
      <c r="C4262" s="1" t="s">
        <v>13159</v>
      </c>
      <c r="D4262" s="1" t="s">
        <v>12954</v>
      </c>
      <c r="E4262" s="1" t="s">
        <v>12955</v>
      </c>
      <c r="F4262" s="1">
        <v>1571.0</v>
      </c>
      <c r="G4262" s="1">
        <v>31.0</v>
      </c>
      <c r="H4262" s="1">
        <v>10.0</v>
      </c>
      <c r="I4262" s="1">
        <v>7070000.0</v>
      </c>
      <c r="J4262" s="1" t="s">
        <v>12283</v>
      </c>
    </row>
    <row r="4263">
      <c r="A4263" s="1" t="s">
        <v>13160</v>
      </c>
      <c r="B4263" s="1" t="s">
        <v>13161</v>
      </c>
      <c r="C4263" s="1" t="s">
        <v>13162</v>
      </c>
      <c r="D4263" s="1" t="s">
        <v>12954</v>
      </c>
      <c r="E4263" s="1" t="s">
        <v>12955</v>
      </c>
      <c r="F4263" s="1">
        <v>5800.0</v>
      </c>
      <c r="G4263" s="1">
        <v>29.0</v>
      </c>
      <c r="H4263" s="1">
        <v>8.0</v>
      </c>
      <c r="I4263" s="1">
        <v>7070000.0</v>
      </c>
      <c r="J4263" s="1" t="s">
        <v>12283</v>
      </c>
    </row>
    <row r="4264">
      <c r="A4264" s="1" t="s">
        <v>13163</v>
      </c>
      <c r="B4264" s="1" t="s">
        <v>13164</v>
      </c>
      <c r="C4264" s="1" t="s">
        <v>13165</v>
      </c>
      <c r="D4264" s="1" t="s">
        <v>12954</v>
      </c>
      <c r="E4264" s="1" t="s">
        <v>12955</v>
      </c>
      <c r="F4264" s="1">
        <v>13368.0</v>
      </c>
      <c r="G4264" s="1">
        <v>152.0</v>
      </c>
      <c r="H4264" s="1">
        <v>245.0</v>
      </c>
      <c r="I4264" s="1">
        <v>7070000.0</v>
      </c>
      <c r="J4264" s="1" t="s">
        <v>12283</v>
      </c>
    </row>
    <row r="4265">
      <c r="A4265" s="1" t="s">
        <v>13166</v>
      </c>
      <c r="B4265" s="1" t="s">
        <v>13167</v>
      </c>
      <c r="C4265" s="1" t="s">
        <v>13168</v>
      </c>
      <c r="D4265" s="1" t="s">
        <v>12954</v>
      </c>
      <c r="E4265" s="1" t="s">
        <v>12955</v>
      </c>
      <c r="F4265" s="1">
        <v>8679.0</v>
      </c>
      <c r="G4265" s="1">
        <v>76.0</v>
      </c>
      <c r="H4265" s="1">
        <v>109.0</v>
      </c>
      <c r="I4265" s="1">
        <v>7070000.0</v>
      </c>
      <c r="J4265" s="1" t="s">
        <v>12283</v>
      </c>
    </row>
    <row r="4266">
      <c r="A4266" s="1" t="s">
        <v>13169</v>
      </c>
      <c r="B4266" s="1" t="s">
        <v>13170</v>
      </c>
      <c r="C4266" s="1" t="s">
        <v>13171</v>
      </c>
      <c r="D4266" s="1" t="s">
        <v>12954</v>
      </c>
      <c r="E4266" s="1" t="s">
        <v>12955</v>
      </c>
      <c r="F4266" s="1">
        <v>1128.0</v>
      </c>
      <c r="G4266" s="1">
        <v>15.0</v>
      </c>
      <c r="H4266" s="1">
        <v>6.0</v>
      </c>
      <c r="I4266" s="1">
        <v>7070000.0</v>
      </c>
      <c r="J4266" s="1" t="s">
        <v>12283</v>
      </c>
    </row>
    <row r="4267">
      <c r="A4267" s="1" t="s">
        <v>13172</v>
      </c>
      <c r="B4267" s="1" t="s">
        <v>13173</v>
      </c>
      <c r="C4267" s="1" t="s">
        <v>13174</v>
      </c>
      <c r="D4267" s="1" t="s">
        <v>12954</v>
      </c>
      <c r="E4267" s="1" t="s">
        <v>12955</v>
      </c>
      <c r="F4267" s="1">
        <v>44540.0</v>
      </c>
      <c r="G4267" s="1">
        <v>434.0</v>
      </c>
      <c r="H4267" s="1">
        <v>116.0</v>
      </c>
      <c r="I4267" s="1">
        <v>7070000.0</v>
      </c>
      <c r="J4267" s="1" t="s">
        <v>12283</v>
      </c>
    </row>
    <row r="4268">
      <c r="A4268" s="1" t="s">
        <v>13175</v>
      </c>
      <c r="B4268" s="1" t="s">
        <v>13176</v>
      </c>
      <c r="C4268" s="1" t="s">
        <v>13177</v>
      </c>
      <c r="D4268" s="1" t="s">
        <v>12954</v>
      </c>
      <c r="E4268" s="1" t="s">
        <v>12955</v>
      </c>
      <c r="F4268" s="1">
        <v>24957.0</v>
      </c>
      <c r="G4268" s="1">
        <v>128.0</v>
      </c>
      <c r="H4268" s="1">
        <v>162.0</v>
      </c>
      <c r="I4268" s="1">
        <v>7070000.0</v>
      </c>
      <c r="J4268" s="1" t="s">
        <v>12283</v>
      </c>
    </row>
    <row r="4269">
      <c r="A4269" s="1" t="s">
        <v>13178</v>
      </c>
      <c r="B4269" s="1" t="s">
        <v>13179</v>
      </c>
      <c r="C4269" s="1" t="s">
        <v>13180</v>
      </c>
      <c r="D4269" s="1" t="s">
        <v>12954</v>
      </c>
      <c r="E4269" s="1" t="s">
        <v>12955</v>
      </c>
      <c r="F4269" s="1">
        <v>86505.0</v>
      </c>
      <c r="G4269" s="1">
        <v>294.0</v>
      </c>
      <c r="H4269" s="1">
        <v>11.0</v>
      </c>
      <c r="I4269" s="1">
        <v>7070000.0</v>
      </c>
      <c r="J4269" s="1" t="s">
        <v>12283</v>
      </c>
    </row>
    <row r="4270">
      <c r="A4270" s="1" t="s">
        <v>13181</v>
      </c>
      <c r="B4270" s="1" t="s">
        <v>13182</v>
      </c>
      <c r="C4270" s="1" t="s">
        <v>13184</v>
      </c>
      <c r="D4270" s="1" t="s">
        <v>12954</v>
      </c>
      <c r="E4270" s="1" t="s">
        <v>12955</v>
      </c>
      <c r="F4270" s="1">
        <v>4722.0</v>
      </c>
      <c r="G4270" s="1">
        <v>22.0</v>
      </c>
      <c r="H4270" s="1">
        <v>16.0</v>
      </c>
      <c r="I4270" s="1">
        <v>7070000.0</v>
      </c>
      <c r="J4270" s="1" t="s">
        <v>12283</v>
      </c>
    </row>
    <row r="4271">
      <c r="A4271" s="1" t="s">
        <v>13187</v>
      </c>
      <c r="B4271" s="1" t="s">
        <v>13188</v>
      </c>
      <c r="C4271" s="1" t="s">
        <v>13189</v>
      </c>
      <c r="D4271" s="1" t="s">
        <v>12954</v>
      </c>
      <c r="E4271" s="1" t="s">
        <v>12955</v>
      </c>
      <c r="F4271" s="1">
        <v>14056.0</v>
      </c>
      <c r="G4271" s="1">
        <v>79.0</v>
      </c>
      <c r="H4271" s="1">
        <v>20.0</v>
      </c>
      <c r="I4271" s="1">
        <v>7070000.0</v>
      </c>
      <c r="J4271" s="1" t="s">
        <v>12283</v>
      </c>
    </row>
    <row r="4272">
      <c r="A4272" s="1" t="s">
        <v>13190</v>
      </c>
      <c r="B4272" s="1" t="s">
        <v>13191</v>
      </c>
      <c r="C4272" s="1" t="s">
        <v>13192</v>
      </c>
      <c r="D4272" s="1" t="s">
        <v>12954</v>
      </c>
      <c r="E4272" s="1" t="s">
        <v>12955</v>
      </c>
      <c r="F4272" s="1">
        <v>4802.0</v>
      </c>
      <c r="G4272" s="1">
        <v>11.0</v>
      </c>
      <c r="H4272" s="1">
        <v>6.0</v>
      </c>
      <c r="I4272" s="1">
        <v>7070000.0</v>
      </c>
      <c r="J4272" s="1" t="s">
        <v>12283</v>
      </c>
    </row>
    <row r="4273">
      <c r="A4273" s="1" t="s">
        <v>13193</v>
      </c>
      <c r="B4273" s="1" t="s">
        <v>13194</v>
      </c>
      <c r="C4273" s="1" t="s">
        <v>13195</v>
      </c>
      <c r="D4273" s="1" t="s">
        <v>12954</v>
      </c>
      <c r="E4273" s="1" t="s">
        <v>12955</v>
      </c>
      <c r="F4273" s="1">
        <v>16841.0</v>
      </c>
      <c r="G4273" s="1">
        <v>315.0</v>
      </c>
      <c r="H4273" s="1">
        <v>266.0</v>
      </c>
      <c r="I4273" s="1">
        <v>7070000.0</v>
      </c>
      <c r="J4273" s="1" t="s">
        <v>12283</v>
      </c>
    </row>
    <row r="4274">
      <c r="A4274" s="1" t="s">
        <v>13196</v>
      </c>
      <c r="B4274" s="1" t="s">
        <v>13197</v>
      </c>
      <c r="C4274" s="1" t="s">
        <v>13198</v>
      </c>
      <c r="D4274" s="1" t="s">
        <v>12954</v>
      </c>
      <c r="E4274" s="1" t="s">
        <v>12955</v>
      </c>
      <c r="F4274" s="1">
        <v>1660.0</v>
      </c>
      <c r="G4274" s="1">
        <v>29.0</v>
      </c>
      <c r="H4274" s="1">
        <v>12.0</v>
      </c>
      <c r="I4274" s="1">
        <v>7070000.0</v>
      </c>
      <c r="J4274" s="1" t="s">
        <v>12283</v>
      </c>
    </row>
    <row r="4275">
      <c r="A4275" s="1" t="s">
        <v>13199</v>
      </c>
      <c r="B4275" s="1" t="s">
        <v>13200</v>
      </c>
      <c r="C4275" s="1" t="s">
        <v>13201</v>
      </c>
      <c r="D4275" s="1" t="s">
        <v>12954</v>
      </c>
      <c r="E4275" s="1" t="s">
        <v>12955</v>
      </c>
      <c r="F4275" s="1">
        <v>4935.0</v>
      </c>
      <c r="G4275" s="1">
        <v>35.0</v>
      </c>
      <c r="H4275" s="1">
        <v>76.0</v>
      </c>
      <c r="I4275" s="1">
        <v>7070000.0</v>
      </c>
      <c r="J4275" s="1" t="s">
        <v>12283</v>
      </c>
    </row>
    <row r="4276">
      <c r="A4276" s="1" t="s">
        <v>13202</v>
      </c>
      <c r="B4276" s="1" t="s">
        <v>13204</v>
      </c>
      <c r="C4276" s="1" t="s">
        <v>13206</v>
      </c>
      <c r="D4276" s="1" t="s">
        <v>12954</v>
      </c>
      <c r="E4276" s="1" t="s">
        <v>12955</v>
      </c>
      <c r="F4276" s="1">
        <v>730.0</v>
      </c>
      <c r="G4276" s="1">
        <v>7.0</v>
      </c>
      <c r="H4276" s="1">
        <v>1.0</v>
      </c>
      <c r="I4276" s="1">
        <v>7070000.0</v>
      </c>
      <c r="J4276" s="1" t="s">
        <v>12283</v>
      </c>
    </row>
    <row r="4277">
      <c r="A4277" s="1" t="s">
        <v>13208</v>
      </c>
      <c r="B4277" s="1" t="s">
        <v>13209</v>
      </c>
      <c r="C4277" s="1" t="s">
        <v>13210</v>
      </c>
      <c r="D4277" s="1" t="s">
        <v>12954</v>
      </c>
      <c r="E4277" s="1" t="s">
        <v>12955</v>
      </c>
      <c r="F4277" s="1">
        <v>31907.0</v>
      </c>
      <c r="G4277" s="1">
        <v>85.0</v>
      </c>
      <c r="H4277" s="1">
        <v>122.0</v>
      </c>
      <c r="I4277" s="1">
        <v>7070000.0</v>
      </c>
      <c r="J4277" s="1" t="s">
        <v>12283</v>
      </c>
    </row>
    <row r="4278">
      <c r="A4278" s="1" t="s">
        <v>13211</v>
      </c>
      <c r="B4278" s="1" t="s">
        <v>13212</v>
      </c>
      <c r="C4278" s="1" t="s">
        <v>13213</v>
      </c>
      <c r="D4278" s="1" t="s">
        <v>12954</v>
      </c>
      <c r="E4278" s="1" t="s">
        <v>12955</v>
      </c>
      <c r="F4278" s="1">
        <v>21545.0</v>
      </c>
      <c r="G4278" s="1">
        <v>281.0</v>
      </c>
      <c r="H4278" s="1">
        <v>73.0</v>
      </c>
      <c r="I4278" s="1">
        <v>7070000.0</v>
      </c>
      <c r="J4278" s="1" t="s">
        <v>12283</v>
      </c>
    </row>
    <row r="4279">
      <c r="A4279" s="1" t="s">
        <v>13214</v>
      </c>
      <c r="B4279" s="1" t="s">
        <v>13215</v>
      </c>
      <c r="C4279" s="1" t="s">
        <v>13216</v>
      </c>
      <c r="D4279" s="1" t="s">
        <v>12954</v>
      </c>
      <c r="E4279" s="1" t="s">
        <v>12955</v>
      </c>
      <c r="F4279" s="1">
        <v>9576.0</v>
      </c>
      <c r="G4279" s="1">
        <v>69.0</v>
      </c>
      <c r="H4279" s="1">
        <v>72.0</v>
      </c>
      <c r="I4279" s="1">
        <v>7070000.0</v>
      </c>
      <c r="J4279" s="1" t="s">
        <v>12283</v>
      </c>
    </row>
    <row r="4280">
      <c r="A4280" s="1" t="s">
        <v>13217</v>
      </c>
      <c r="B4280" s="1" t="s">
        <v>13218</v>
      </c>
      <c r="C4280" s="1" t="s">
        <v>13219</v>
      </c>
      <c r="D4280" s="1" t="s">
        <v>12954</v>
      </c>
      <c r="E4280" s="1" t="s">
        <v>12955</v>
      </c>
      <c r="F4280" s="1">
        <v>5904.0</v>
      </c>
      <c r="G4280" s="1">
        <v>70.0</v>
      </c>
      <c r="H4280" s="1">
        <v>45.0</v>
      </c>
      <c r="I4280" s="1">
        <v>7070000.0</v>
      </c>
      <c r="J4280" s="1" t="s">
        <v>12283</v>
      </c>
    </row>
    <row r="4281">
      <c r="A4281" s="1" t="s">
        <v>13220</v>
      </c>
      <c r="B4281" s="1" t="s">
        <v>13221</v>
      </c>
      <c r="C4281" s="1" t="s">
        <v>13222</v>
      </c>
      <c r="D4281" s="1" t="s">
        <v>12954</v>
      </c>
      <c r="E4281" s="1" t="s">
        <v>12955</v>
      </c>
      <c r="F4281" s="1">
        <v>9851.0</v>
      </c>
      <c r="G4281" s="1">
        <v>112.0</v>
      </c>
      <c r="H4281" s="1">
        <v>44.0</v>
      </c>
      <c r="I4281" s="1">
        <v>7070000.0</v>
      </c>
      <c r="J4281" s="1" t="s">
        <v>12283</v>
      </c>
    </row>
    <row r="4282">
      <c r="A4282" s="1" t="s">
        <v>13223</v>
      </c>
      <c r="B4282" s="1" t="s">
        <v>13224</v>
      </c>
      <c r="C4282" s="1" t="s">
        <v>13225</v>
      </c>
      <c r="D4282" s="1" t="s">
        <v>12954</v>
      </c>
      <c r="E4282" s="1" t="s">
        <v>12955</v>
      </c>
      <c r="F4282" s="1">
        <v>3952.0</v>
      </c>
      <c r="G4282" s="1">
        <v>14.0</v>
      </c>
      <c r="H4282" s="1">
        <v>13.0</v>
      </c>
      <c r="I4282" s="1">
        <v>7070000.0</v>
      </c>
      <c r="J4282" s="1" t="s">
        <v>12283</v>
      </c>
    </row>
    <row r="4283">
      <c r="A4283" s="1" t="s">
        <v>13227</v>
      </c>
      <c r="B4283" s="1" t="s">
        <v>13229</v>
      </c>
      <c r="C4283" s="1" t="s">
        <v>13230</v>
      </c>
      <c r="D4283" s="1" t="s">
        <v>12954</v>
      </c>
      <c r="E4283" s="1" t="s">
        <v>12955</v>
      </c>
      <c r="F4283" s="1">
        <v>18374.0</v>
      </c>
      <c r="G4283" s="1">
        <v>363.0</v>
      </c>
      <c r="H4283" s="1">
        <v>278.0</v>
      </c>
      <c r="I4283" s="1">
        <v>7070000.0</v>
      </c>
      <c r="J4283" s="1" t="s">
        <v>12283</v>
      </c>
    </row>
    <row r="4284">
      <c r="A4284" s="1" t="s">
        <v>13232</v>
      </c>
      <c r="B4284" s="1" t="s">
        <v>13233</v>
      </c>
      <c r="C4284" s="1" t="s">
        <v>13234</v>
      </c>
      <c r="D4284" s="1" t="s">
        <v>12954</v>
      </c>
      <c r="E4284" s="1" t="s">
        <v>12955</v>
      </c>
      <c r="F4284" s="1">
        <v>11140.0</v>
      </c>
      <c r="G4284" s="1">
        <v>94.0</v>
      </c>
      <c r="H4284" s="1">
        <v>116.0</v>
      </c>
      <c r="I4284" s="1">
        <v>7070000.0</v>
      </c>
      <c r="J4284" s="1" t="s">
        <v>12283</v>
      </c>
    </row>
    <row r="4285">
      <c r="A4285" s="1" t="s">
        <v>13235</v>
      </c>
      <c r="B4285" s="1" t="s">
        <v>13236</v>
      </c>
      <c r="C4285" s="1" t="s">
        <v>13237</v>
      </c>
      <c r="D4285" s="1" t="s">
        <v>12954</v>
      </c>
      <c r="E4285" s="1" t="s">
        <v>12955</v>
      </c>
      <c r="F4285" s="1">
        <v>15534.0</v>
      </c>
      <c r="G4285" s="1">
        <v>131.0</v>
      </c>
      <c r="H4285" s="1">
        <v>41.0</v>
      </c>
      <c r="I4285" s="1">
        <v>7070000.0</v>
      </c>
      <c r="J4285" s="1" t="s">
        <v>12283</v>
      </c>
    </row>
    <row r="4286">
      <c r="A4286" s="1" t="s">
        <v>13238</v>
      </c>
      <c r="B4286" s="1" t="s">
        <v>13239</v>
      </c>
      <c r="C4286" s="1" t="s">
        <v>13240</v>
      </c>
      <c r="D4286" s="1" t="s">
        <v>12954</v>
      </c>
      <c r="E4286" s="1" t="s">
        <v>12955</v>
      </c>
      <c r="F4286" s="1">
        <v>5022.0</v>
      </c>
      <c r="G4286" s="1">
        <v>56.0</v>
      </c>
      <c r="H4286" s="1">
        <v>27.0</v>
      </c>
      <c r="I4286" s="1">
        <v>7070000.0</v>
      </c>
      <c r="J4286" s="1" t="s">
        <v>12283</v>
      </c>
    </row>
    <row r="4287">
      <c r="A4287" s="1" t="s">
        <v>13241</v>
      </c>
      <c r="B4287" s="1" t="s">
        <v>13242</v>
      </c>
      <c r="C4287" s="1" t="s">
        <v>13243</v>
      </c>
      <c r="D4287" s="1" t="s">
        <v>12954</v>
      </c>
      <c r="E4287" s="1" t="s">
        <v>12955</v>
      </c>
      <c r="F4287" s="1">
        <v>12861.0</v>
      </c>
      <c r="G4287" s="1">
        <v>27.0</v>
      </c>
      <c r="H4287" s="1">
        <v>34.0</v>
      </c>
      <c r="I4287" s="1">
        <v>7070000.0</v>
      </c>
      <c r="J4287" s="1" t="s">
        <v>12283</v>
      </c>
    </row>
    <row r="4288">
      <c r="A4288" s="1" t="s">
        <v>13244</v>
      </c>
      <c r="B4288" s="1" t="s">
        <v>13245</v>
      </c>
      <c r="C4288" s="1" t="s">
        <v>13246</v>
      </c>
      <c r="D4288" s="1" t="s">
        <v>12954</v>
      </c>
      <c r="E4288" s="1" t="s">
        <v>12955</v>
      </c>
      <c r="F4288" s="1">
        <v>16995.0</v>
      </c>
      <c r="G4288" s="1">
        <v>201.0</v>
      </c>
      <c r="H4288" s="1">
        <v>222.0</v>
      </c>
      <c r="I4288" s="1">
        <v>7070000.0</v>
      </c>
      <c r="J4288" s="1" t="s">
        <v>12283</v>
      </c>
    </row>
    <row r="4289">
      <c r="A4289" s="1" t="s">
        <v>13247</v>
      </c>
      <c r="B4289" s="1" t="s">
        <v>13248</v>
      </c>
      <c r="C4289" s="1" t="s">
        <v>13249</v>
      </c>
      <c r="D4289" s="1" t="s">
        <v>12954</v>
      </c>
      <c r="E4289" s="1" t="s">
        <v>12955</v>
      </c>
      <c r="F4289" s="1">
        <v>5907.0</v>
      </c>
      <c r="G4289" s="1">
        <v>45.0</v>
      </c>
      <c r="H4289" s="1">
        <v>64.0</v>
      </c>
      <c r="I4289" s="1">
        <v>7070000.0</v>
      </c>
      <c r="J4289" s="1" t="s">
        <v>12283</v>
      </c>
    </row>
    <row r="4290">
      <c r="A4290" s="1" t="s">
        <v>13251</v>
      </c>
      <c r="B4290" s="1" t="s">
        <v>13253</v>
      </c>
      <c r="C4290" s="1" t="s">
        <v>13255</v>
      </c>
      <c r="D4290" s="1" t="s">
        <v>12954</v>
      </c>
      <c r="E4290" s="1" t="s">
        <v>12955</v>
      </c>
      <c r="F4290" s="1">
        <v>64494.0</v>
      </c>
      <c r="G4290" s="1">
        <v>1338.0</v>
      </c>
      <c r="H4290" s="1">
        <v>553.0</v>
      </c>
      <c r="I4290" s="1">
        <v>7070000.0</v>
      </c>
      <c r="J4290" s="1" t="s">
        <v>12283</v>
      </c>
    </row>
    <row r="4291">
      <c r="A4291" s="1" t="s">
        <v>13256</v>
      </c>
      <c r="B4291" s="1" t="s">
        <v>13257</v>
      </c>
      <c r="C4291" s="1" t="s">
        <v>13258</v>
      </c>
      <c r="D4291" s="1" t="s">
        <v>12954</v>
      </c>
      <c r="E4291" s="1" t="s">
        <v>12955</v>
      </c>
      <c r="F4291" s="1">
        <v>19619.0</v>
      </c>
      <c r="G4291" s="1">
        <v>135.0</v>
      </c>
      <c r="H4291" s="1">
        <v>78.0</v>
      </c>
      <c r="I4291" s="1">
        <v>7070000.0</v>
      </c>
      <c r="J4291" s="1" t="s">
        <v>12283</v>
      </c>
    </row>
    <row r="4292">
      <c r="A4292" s="1" t="s">
        <v>13259</v>
      </c>
      <c r="B4292" s="1" t="s">
        <v>13260</v>
      </c>
      <c r="C4292" s="1" t="s">
        <v>13261</v>
      </c>
      <c r="D4292" s="1" t="s">
        <v>12954</v>
      </c>
      <c r="E4292" s="1" t="s">
        <v>12955</v>
      </c>
      <c r="F4292" s="1">
        <v>35507.0</v>
      </c>
      <c r="G4292" s="1">
        <v>217.0</v>
      </c>
      <c r="H4292" s="1">
        <v>180.0</v>
      </c>
      <c r="I4292" s="1">
        <v>7070000.0</v>
      </c>
      <c r="J4292" s="1" t="s">
        <v>12283</v>
      </c>
    </row>
    <row r="4293">
      <c r="A4293" s="1" t="s">
        <v>13262</v>
      </c>
      <c r="B4293" s="1" t="s">
        <v>13263</v>
      </c>
      <c r="C4293" s="1" t="s">
        <v>13264</v>
      </c>
      <c r="D4293" s="1" t="s">
        <v>12954</v>
      </c>
      <c r="E4293" s="1" t="s">
        <v>12955</v>
      </c>
      <c r="F4293" s="1">
        <v>243293.0</v>
      </c>
      <c r="G4293" s="1">
        <v>1498.0</v>
      </c>
      <c r="H4293" s="1">
        <v>476.0</v>
      </c>
      <c r="I4293" s="1">
        <v>7070000.0</v>
      </c>
      <c r="J4293" s="1" t="s">
        <v>12283</v>
      </c>
    </row>
    <row r="4294">
      <c r="A4294" s="1" t="s">
        <v>13265</v>
      </c>
      <c r="B4294" s="1" t="s">
        <v>13266</v>
      </c>
      <c r="C4294" s="1" t="s">
        <v>13267</v>
      </c>
      <c r="D4294" s="1" t="s">
        <v>12954</v>
      </c>
      <c r="E4294" s="1" t="s">
        <v>12955</v>
      </c>
      <c r="F4294" s="1">
        <v>103910.0</v>
      </c>
      <c r="G4294" s="1">
        <v>1037.0</v>
      </c>
      <c r="H4294" s="1">
        <v>215.0</v>
      </c>
      <c r="I4294" s="1">
        <v>7070000.0</v>
      </c>
      <c r="J4294" s="1" t="s">
        <v>12283</v>
      </c>
    </row>
    <row r="4295">
      <c r="A4295" s="1" t="s">
        <v>13268</v>
      </c>
      <c r="B4295" s="1" t="s">
        <v>13269</v>
      </c>
      <c r="C4295" s="1" t="s">
        <v>13270</v>
      </c>
      <c r="D4295" s="1" t="s">
        <v>12954</v>
      </c>
      <c r="E4295" s="1" t="s">
        <v>12955</v>
      </c>
      <c r="F4295" s="1">
        <v>32128.0</v>
      </c>
      <c r="G4295" s="1">
        <v>163.0</v>
      </c>
      <c r="H4295" s="1">
        <v>43.0</v>
      </c>
      <c r="I4295" s="1">
        <v>7070000.0</v>
      </c>
      <c r="J4295" s="1" t="s">
        <v>12283</v>
      </c>
    </row>
    <row r="4296">
      <c r="A4296" s="1" t="s">
        <v>13271</v>
      </c>
      <c r="B4296" s="1" t="s">
        <v>13272</v>
      </c>
      <c r="C4296" s="1" t="s">
        <v>13273</v>
      </c>
      <c r="D4296" s="1" t="s">
        <v>12954</v>
      </c>
      <c r="E4296" s="1" t="s">
        <v>12955</v>
      </c>
      <c r="F4296" s="1">
        <v>145759.0</v>
      </c>
      <c r="G4296" s="1">
        <v>735.0</v>
      </c>
      <c r="H4296" s="1">
        <v>813.0</v>
      </c>
      <c r="I4296" s="1">
        <v>7070000.0</v>
      </c>
      <c r="J4296" s="1" t="s">
        <v>12283</v>
      </c>
    </row>
    <row r="4297">
      <c r="A4297" s="1" t="s">
        <v>13277</v>
      </c>
      <c r="B4297" s="1" t="s">
        <v>13278</v>
      </c>
      <c r="C4297" s="1" t="s">
        <v>13279</v>
      </c>
      <c r="D4297" s="1" t="s">
        <v>12954</v>
      </c>
      <c r="E4297" s="1" t="s">
        <v>12955</v>
      </c>
      <c r="F4297" s="1">
        <v>12558.0</v>
      </c>
      <c r="G4297" s="1">
        <v>186.0</v>
      </c>
      <c r="H4297" s="1">
        <v>200.0</v>
      </c>
      <c r="I4297" s="1">
        <v>7070000.0</v>
      </c>
      <c r="J4297" s="1" t="s">
        <v>12283</v>
      </c>
    </row>
    <row r="4298">
      <c r="A4298" s="1" t="s">
        <v>13280</v>
      </c>
      <c r="B4298" s="1" t="s">
        <v>13281</v>
      </c>
      <c r="C4298" s="1" t="s">
        <v>13282</v>
      </c>
      <c r="D4298" s="1" t="s">
        <v>12954</v>
      </c>
      <c r="E4298" s="1" t="s">
        <v>12955</v>
      </c>
      <c r="F4298" s="1">
        <v>5709.0</v>
      </c>
      <c r="G4298" s="1">
        <v>22.0</v>
      </c>
      <c r="H4298" s="1">
        <v>3.0</v>
      </c>
      <c r="I4298" s="1">
        <v>7070000.0</v>
      </c>
      <c r="J4298" s="1" t="s">
        <v>12283</v>
      </c>
    </row>
    <row r="4299">
      <c r="A4299" s="1" t="s">
        <v>13283</v>
      </c>
      <c r="B4299" s="1" t="s">
        <v>13284</v>
      </c>
      <c r="C4299" s="1" t="s">
        <v>13285</v>
      </c>
      <c r="D4299" s="1" t="s">
        <v>12954</v>
      </c>
      <c r="E4299" s="1" t="s">
        <v>12955</v>
      </c>
      <c r="F4299" s="1">
        <v>20719.0</v>
      </c>
      <c r="G4299" s="1">
        <v>201.0</v>
      </c>
      <c r="H4299" s="1">
        <v>158.0</v>
      </c>
      <c r="I4299" s="1">
        <v>7070000.0</v>
      </c>
      <c r="J4299" s="1" t="s">
        <v>12283</v>
      </c>
    </row>
    <row r="4300">
      <c r="A4300" s="1" t="s">
        <v>13286</v>
      </c>
      <c r="B4300" s="1" t="s">
        <v>12952</v>
      </c>
      <c r="C4300" s="1" t="s">
        <v>13287</v>
      </c>
      <c r="D4300" s="1" t="s">
        <v>12954</v>
      </c>
      <c r="E4300" s="1" t="s">
        <v>12955</v>
      </c>
      <c r="F4300" s="1">
        <v>34277.0</v>
      </c>
      <c r="G4300" s="1">
        <v>263.0</v>
      </c>
      <c r="H4300" s="1">
        <v>9.0</v>
      </c>
      <c r="I4300" s="1">
        <v>7070000.0</v>
      </c>
      <c r="J4300" s="1" t="s">
        <v>12283</v>
      </c>
    </row>
    <row r="4301">
      <c r="A4301" s="1" t="s">
        <v>13288</v>
      </c>
      <c r="B4301" s="1" t="s">
        <v>13289</v>
      </c>
      <c r="C4301" s="1" t="s">
        <v>13290</v>
      </c>
      <c r="D4301" s="1" t="s">
        <v>12954</v>
      </c>
      <c r="E4301" s="1" t="s">
        <v>12955</v>
      </c>
      <c r="F4301" s="1">
        <v>31399.0</v>
      </c>
      <c r="G4301" s="1">
        <v>691.0</v>
      </c>
      <c r="H4301" s="1">
        <v>55.0</v>
      </c>
      <c r="I4301" s="1">
        <v>7070000.0</v>
      </c>
      <c r="J4301" s="1" t="s">
        <v>12283</v>
      </c>
    </row>
    <row r="4302">
      <c r="A4302" s="1" t="s">
        <v>13291</v>
      </c>
      <c r="B4302" s="1" t="s">
        <v>13292</v>
      </c>
      <c r="C4302" s="1" t="s">
        <v>13293</v>
      </c>
      <c r="D4302" s="1" t="s">
        <v>12954</v>
      </c>
      <c r="E4302" s="1" t="s">
        <v>12955</v>
      </c>
      <c r="F4302" s="1">
        <v>9367.0</v>
      </c>
      <c r="G4302" s="1">
        <v>100.0</v>
      </c>
      <c r="H4302" s="1">
        <v>13.0</v>
      </c>
      <c r="I4302" s="1">
        <v>7070000.0</v>
      </c>
      <c r="J4302" s="1" t="s">
        <v>12283</v>
      </c>
    </row>
    <row r="4303">
      <c r="A4303" s="1" t="s">
        <v>13294</v>
      </c>
      <c r="B4303" s="1" t="s">
        <v>13296</v>
      </c>
      <c r="C4303" s="1" t="s">
        <v>13298</v>
      </c>
      <c r="D4303" s="1" t="s">
        <v>12954</v>
      </c>
      <c r="E4303" s="1" t="s">
        <v>12955</v>
      </c>
      <c r="F4303" s="1">
        <v>29608.0</v>
      </c>
      <c r="G4303" s="1">
        <v>260.0</v>
      </c>
      <c r="H4303" s="1">
        <v>56.0</v>
      </c>
      <c r="I4303" s="1">
        <v>7070000.0</v>
      </c>
      <c r="J4303" s="1" t="s">
        <v>12283</v>
      </c>
    </row>
    <row r="4304">
      <c r="A4304" s="1" t="s">
        <v>13300</v>
      </c>
      <c r="B4304" s="1" t="s">
        <v>13301</v>
      </c>
      <c r="C4304" s="1" t="s">
        <v>13302</v>
      </c>
      <c r="D4304" s="1" t="s">
        <v>12954</v>
      </c>
      <c r="E4304" s="1" t="s">
        <v>12955</v>
      </c>
      <c r="F4304" s="1">
        <v>59454.0</v>
      </c>
      <c r="G4304" s="1">
        <v>821.0</v>
      </c>
      <c r="H4304" s="1">
        <v>46.0</v>
      </c>
      <c r="I4304" s="1">
        <v>7070000.0</v>
      </c>
      <c r="J4304" s="1" t="s">
        <v>12283</v>
      </c>
    </row>
    <row r="4305">
      <c r="A4305" s="1" t="s">
        <v>13303</v>
      </c>
      <c r="B4305" s="1" t="s">
        <v>13304</v>
      </c>
      <c r="C4305" s="1" t="s">
        <v>13305</v>
      </c>
      <c r="D4305" s="1" t="s">
        <v>12954</v>
      </c>
      <c r="E4305" s="1" t="s">
        <v>12955</v>
      </c>
      <c r="F4305" s="1">
        <v>67875.0</v>
      </c>
      <c r="G4305" s="1">
        <v>296.0</v>
      </c>
      <c r="H4305" s="1">
        <v>71.0</v>
      </c>
      <c r="I4305" s="1">
        <v>7070000.0</v>
      </c>
      <c r="J4305" s="1" t="s">
        <v>12283</v>
      </c>
    </row>
    <row r="4306">
      <c r="A4306" s="1" t="s">
        <v>13306</v>
      </c>
      <c r="B4306" s="1" t="s">
        <v>13307</v>
      </c>
      <c r="C4306" s="1" t="s">
        <v>13308</v>
      </c>
      <c r="D4306" s="1" t="s">
        <v>12954</v>
      </c>
      <c r="E4306" s="1" t="s">
        <v>12955</v>
      </c>
      <c r="F4306" s="1">
        <v>2258.0</v>
      </c>
      <c r="G4306" s="1">
        <v>16.0</v>
      </c>
      <c r="H4306" s="1">
        <v>3.0</v>
      </c>
      <c r="I4306" s="1">
        <v>7070000.0</v>
      </c>
      <c r="J4306" s="1" t="s">
        <v>12283</v>
      </c>
    </row>
    <row r="4307">
      <c r="A4307" s="1" t="s">
        <v>13309</v>
      </c>
      <c r="B4307" s="1" t="s">
        <v>13310</v>
      </c>
      <c r="C4307" s="1" t="s">
        <v>13311</v>
      </c>
      <c r="D4307" s="1" t="s">
        <v>12954</v>
      </c>
      <c r="E4307" s="1" t="s">
        <v>12955</v>
      </c>
      <c r="F4307" s="1">
        <v>23195.0</v>
      </c>
      <c r="G4307" s="1">
        <v>202.0</v>
      </c>
      <c r="H4307" s="1">
        <v>259.0</v>
      </c>
      <c r="I4307" s="1">
        <v>7070000.0</v>
      </c>
      <c r="J4307" s="1" t="s">
        <v>12283</v>
      </c>
    </row>
    <row r="4308">
      <c r="A4308" s="1" t="s">
        <v>13312</v>
      </c>
      <c r="B4308" s="1" t="s">
        <v>13313</v>
      </c>
      <c r="C4308" s="1" t="s">
        <v>13314</v>
      </c>
      <c r="D4308" s="1" t="s">
        <v>12954</v>
      </c>
      <c r="E4308" s="1" t="s">
        <v>12955</v>
      </c>
      <c r="F4308" s="1">
        <v>2785.0</v>
      </c>
      <c r="G4308" s="1">
        <v>27.0</v>
      </c>
      <c r="H4308" s="1">
        <v>5.0</v>
      </c>
      <c r="I4308" s="1">
        <v>7070000.0</v>
      </c>
      <c r="J4308" s="1" t="s">
        <v>12283</v>
      </c>
    </row>
    <row r="4309">
      <c r="A4309" s="1" t="s">
        <v>13315</v>
      </c>
      <c r="B4309" s="1" t="s">
        <v>13316</v>
      </c>
      <c r="C4309" s="1" t="s">
        <v>13317</v>
      </c>
      <c r="D4309" s="1" t="s">
        <v>12954</v>
      </c>
      <c r="E4309" s="1" t="s">
        <v>12955</v>
      </c>
      <c r="F4309" s="1">
        <v>16127.0</v>
      </c>
      <c r="G4309" s="1">
        <v>127.0</v>
      </c>
      <c r="H4309" s="1">
        <v>23.0</v>
      </c>
      <c r="I4309" s="1">
        <v>7070000.0</v>
      </c>
      <c r="J4309" s="1" t="s">
        <v>12283</v>
      </c>
    </row>
    <row r="4310">
      <c r="A4310" s="1" t="s">
        <v>13318</v>
      </c>
      <c r="B4310" s="1" t="s">
        <v>13319</v>
      </c>
      <c r="C4310" s="1" t="s">
        <v>13320</v>
      </c>
      <c r="D4310" s="1" t="s">
        <v>12954</v>
      </c>
      <c r="E4310" s="1" t="s">
        <v>12955</v>
      </c>
      <c r="F4310" s="1">
        <v>1229.0</v>
      </c>
      <c r="G4310" s="1">
        <v>21.0</v>
      </c>
      <c r="H4310" s="1">
        <v>4.0</v>
      </c>
      <c r="I4310" s="1">
        <v>7070000.0</v>
      </c>
      <c r="J4310" s="1" t="s">
        <v>12283</v>
      </c>
    </row>
    <row r="4311">
      <c r="A4311" s="1" t="s">
        <v>13324</v>
      </c>
      <c r="B4311" s="1" t="s">
        <v>13325</v>
      </c>
      <c r="C4311" s="1" t="s">
        <v>13326</v>
      </c>
      <c r="D4311" s="1" t="s">
        <v>12954</v>
      </c>
      <c r="E4311" s="1" t="s">
        <v>12955</v>
      </c>
      <c r="F4311" s="1">
        <v>5185.0</v>
      </c>
      <c r="G4311" s="1">
        <v>29.0</v>
      </c>
      <c r="H4311" s="1">
        <v>7.0</v>
      </c>
      <c r="I4311" s="1">
        <v>7070000.0</v>
      </c>
      <c r="J4311" s="1" t="s">
        <v>12283</v>
      </c>
    </row>
    <row r="4312">
      <c r="A4312" s="1" t="s">
        <v>13327</v>
      </c>
      <c r="B4312" s="1" t="s">
        <v>13328</v>
      </c>
      <c r="C4312" s="1" t="s">
        <v>13329</v>
      </c>
      <c r="D4312" s="1" t="s">
        <v>12954</v>
      </c>
      <c r="E4312" s="1" t="s">
        <v>12955</v>
      </c>
      <c r="F4312" s="1">
        <v>24734.0</v>
      </c>
      <c r="G4312" s="1">
        <v>214.0</v>
      </c>
      <c r="H4312" s="1">
        <v>72.0</v>
      </c>
      <c r="I4312" s="1">
        <v>7070000.0</v>
      </c>
      <c r="J4312" s="1" t="s">
        <v>12283</v>
      </c>
    </row>
    <row r="4313">
      <c r="A4313" s="1" t="s">
        <v>13330</v>
      </c>
      <c r="B4313" s="1" t="s">
        <v>13331</v>
      </c>
      <c r="C4313" s="1" t="s">
        <v>13332</v>
      </c>
      <c r="D4313" s="1" t="s">
        <v>12954</v>
      </c>
      <c r="E4313" s="1" t="s">
        <v>12955</v>
      </c>
      <c r="F4313" s="1">
        <v>13678.0</v>
      </c>
      <c r="G4313" s="1">
        <v>35.0</v>
      </c>
      <c r="H4313" s="1">
        <v>5.0</v>
      </c>
      <c r="I4313" s="1">
        <v>7070000.0</v>
      </c>
      <c r="J4313" s="1" t="s">
        <v>12283</v>
      </c>
    </row>
    <row r="4314">
      <c r="A4314" s="1" t="s">
        <v>13333</v>
      </c>
      <c r="B4314" s="1" t="s">
        <v>13334</v>
      </c>
      <c r="C4314" s="1" t="s">
        <v>13335</v>
      </c>
      <c r="D4314" s="1" t="s">
        <v>12954</v>
      </c>
      <c r="E4314" s="1" t="s">
        <v>12955</v>
      </c>
      <c r="F4314" s="1">
        <v>4905.0</v>
      </c>
      <c r="G4314" s="1">
        <v>48.0</v>
      </c>
      <c r="H4314" s="1">
        <v>2.0</v>
      </c>
      <c r="I4314" s="1">
        <v>7070000.0</v>
      </c>
      <c r="J4314" s="1" t="s">
        <v>12283</v>
      </c>
    </row>
    <row r="4315">
      <c r="A4315" s="1" t="s">
        <v>13336</v>
      </c>
      <c r="B4315" s="1" t="s">
        <v>13337</v>
      </c>
      <c r="C4315" s="1" t="s">
        <v>13338</v>
      </c>
      <c r="D4315" s="1" t="s">
        <v>12954</v>
      </c>
      <c r="E4315" s="1" t="s">
        <v>12955</v>
      </c>
      <c r="F4315" s="1">
        <v>6383.0</v>
      </c>
      <c r="G4315" s="1">
        <v>108.0</v>
      </c>
      <c r="H4315" s="1">
        <v>35.0</v>
      </c>
      <c r="I4315" s="1">
        <v>7070000.0</v>
      </c>
      <c r="J4315" s="1" t="s">
        <v>12283</v>
      </c>
    </row>
    <row r="4316">
      <c r="A4316" s="1" t="s">
        <v>13342</v>
      </c>
      <c r="B4316" s="1" t="s">
        <v>13343</v>
      </c>
      <c r="C4316" s="1" t="s">
        <v>13344</v>
      </c>
      <c r="D4316" s="1" t="s">
        <v>12954</v>
      </c>
      <c r="E4316" s="1" t="s">
        <v>12955</v>
      </c>
      <c r="F4316" s="1">
        <v>5680.0</v>
      </c>
      <c r="G4316" s="1">
        <v>46.0</v>
      </c>
      <c r="H4316" s="1">
        <v>15.0</v>
      </c>
      <c r="I4316" s="1">
        <v>7070000.0</v>
      </c>
      <c r="J4316" s="1" t="s">
        <v>12283</v>
      </c>
    </row>
    <row r="4317">
      <c r="A4317" s="1" t="s">
        <v>13345</v>
      </c>
      <c r="B4317" s="1" t="s">
        <v>13346</v>
      </c>
      <c r="C4317" s="1" t="s">
        <v>13347</v>
      </c>
      <c r="D4317" s="1" t="s">
        <v>12954</v>
      </c>
      <c r="E4317" s="1" t="s">
        <v>12955</v>
      </c>
      <c r="F4317" s="1">
        <v>2523.0</v>
      </c>
      <c r="G4317" s="1">
        <v>21.0</v>
      </c>
      <c r="H4317" s="1">
        <v>7.0</v>
      </c>
      <c r="I4317" s="1">
        <v>7070000.0</v>
      </c>
      <c r="J4317" s="1" t="s">
        <v>12283</v>
      </c>
    </row>
    <row r="4318">
      <c r="A4318" s="1" t="s">
        <v>13348</v>
      </c>
      <c r="B4318" s="1" t="s">
        <v>13349</v>
      </c>
      <c r="C4318" s="1" t="s">
        <v>13350</v>
      </c>
      <c r="D4318" s="1" t="s">
        <v>12954</v>
      </c>
      <c r="E4318" s="1" t="s">
        <v>12955</v>
      </c>
      <c r="F4318" s="1">
        <v>68910.0</v>
      </c>
      <c r="G4318" s="1">
        <v>200.0</v>
      </c>
      <c r="H4318" s="1">
        <v>244.0</v>
      </c>
      <c r="I4318" s="1">
        <v>7070000.0</v>
      </c>
      <c r="J4318" s="1" t="s">
        <v>12283</v>
      </c>
    </row>
    <row r="4319">
      <c r="A4319" s="1" t="s">
        <v>13351</v>
      </c>
      <c r="B4319" s="1" t="s">
        <v>13352</v>
      </c>
      <c r="C4319" s="1" t="s">
        <v>13353</v>
      </c>
      <c r="D4319" s="1" t="s">
        <v>12954</v>
      </c>
      <c r="E4319" s="1" t="s">
        <v>12955</v>
      </c>
      <c r="F4319" s="1">
        <v>5938.0</v>
      </c>
      <c r="G4319" s="1">
        <v>43.0</v>
      </c>
      <c r="H4319" s="1">
        <v>32.0</v>
      </c>
      <c r="I4319" s="1">
        <v>7070000.0</v>
      </c>
      <c r="J4319" s="1" t="s">
        <v>12283</v>
      </c>
    </row>
    <row r="4320">
      <c r="A4320" s="1" t="s">
        <v>13354</v>
      </c>
      <c r="B4320" s="1" t="s">
        <v>13355</v>
      </c>
      <c r="C4320" s="1" t="s">
        <v>13356</v>
      </c>
      <c r="D4320" s="1" t="s">
        <v>12954</v>
      </c>
      <c r="E4320" s="1" t="s">
        <v>12955</v>
      </c>
      <c r="F4320" s="1">
        <v>24090.0</v>
      </c>
      <c r="G4320" s="1">
        <v>415.0</v>
      </c>
      <c r="H4320" s="1">
        <v>62.0</v>
      </c>
      <c r="I4320" s="1">
        <v>7070000.0</v>
      </c>
      <c r="J4320" s="1" t="s">
        <v>12283</v>
      </c>
    </row>
    <row r="4321">
      <c r="A4321" s="1" t="s">
        <v>13357</v>
      </c>
      <c r="B4321" s="1" t="s">
        <v>13358</v>
      </c>
      <c r="C4321" s="1" t="s">
        <v>13359</v>
      </c>
      <c r="D4321" s="1" t="s">
        <v>12954</v>
      </c>
      <c r="E4321" s="1" t="s">
        <v>12955</v>
      </c>
      <c r="F4321" s="1">
        <v>24469.0</v>
      </c>
      <c r="G4321" s="1">
        <v>216.0</v>
      </c>
      <c r="H4321" s="1">
        <v>14.0</v>
      </c>
      <c r="I4321" s="1">
        <v>7070000.0</v>
      </c>
      <c r="J4321" s="1" t="s">
        <v>12283</v>
      </c>
    </row>
    <row r="4322">
      <c r="A4322" s="1" t="s">
        <v>13362</v>
      </c>
      <c r="B4322" s="1" t="s">
        <v>13363</v>
      </c>
      <c r="C4322" s="1" t="s">
        <v>13364</v>
      </c>
      <c r="D4322" s="1" t="s">
        <v>12954</v>
      </c>
      <c r="E4322" s="1" t="s">
        <v>12955</v>
      </c>
      <c r="F4322" s="1">
        <v>82929.0</v>
      </c>
      <c r="G4322" s="1">
        <v>257.0</v>
      </c>
      <c r="H4322" s="1">
        <v>16.0</v>
      </c>
      <c r="I4322" s="1">
        <v>7070000.0</v>
      </c>
      <c r="J4322" s="1" t="s">
        <v>12283</v>
      </c>
    </row>
    <row r="4323">
      <c r="A4323" s="1" t="s">
        <v>13365</v>
      </c>
      <c r="B4323" s="1" t="s">
        <v>13366</v>
      </c>
      <c r="C4323" s="1" t="s">
        <v>13367</v>
      </c>
      <c r="D4323" s="1" t="s">
        <v>12954</v>
      </c>
      <c r="E4323" s="1" t="s">
        <v>12955</v>
      </c>
      <c r="F4323" s="1">
        <v>37691.0</v>
      </c>
      <c r="G4323" s="1">
        <v>156.0</v>
      </c>
      <c r="H4323" s="1">
        <v>176.0</v>
      </c>
      <c r="I4323" s="1">
        <v>7070000.0</v>
      </c>
      <c r="J4323" s="1" t="s">
        <v>12283</v>
      </c>
    </row>
    <row r="4324">
      <c r="A4324" s="1" t="s">
        <v>13369</v>
      </c>
      <c r="B4324" s="1" t="s">
        <v>13370</v>
      </c>
      <c r="C4324" s="1" t="s">
        <v>13371</v>
      </c>
      <c r="D4324" s="1" t="s">
        <v>12954</v>
      </c>
      <c r="E4324" s="1" t="s">
        <v>12955</v>
      </c>
      <c r="F4324" s="1">
        <v>12130.0</v>
      </c>
      <c r="G4324" s="1">
        <v>110.0</v>
      </c>
      <c r="H4324" s="1">
        <v>202.0</v>
      </c>
      <c r="I4324" s="1">
        <v>7070000.0</v>
      </c>
      <c r="J4324" s="1" t="s">
        <v>12283</v>
      </c>
    </row>
    <row r="4325">
      <c r="A4325" s="1" t="s">
        <v>13372</v>
      </c>
      <c r="B4325" s="1" t="s">
        <v>13373</v>
      </c>
      <c r="C4325" s="1" t="s">
        <v>13374</v>
      </c>
      <c r="D4325" s="1" t="s">
        <v>12954</v>
      </c>
      <c r="E4325" s="1" t="s">
        <v>12955</v>
      </c>
      <c r="F4325" s="1">
        <v>7056.0</v>
      </c>
      <c r="G4325" s="1">
        <v>23.0</v>
      </c>
      <c r="H4325" s="1">
        <v>11.0</v>
      </c>
      <c r="I4325" s="1">
        <v>7070000.0</v>
      </c>
      <c r="J4325" s="1" t="s">
        <v>12283</v>
      </c>
    </row>
    <row r="4326">
      <c r="A4326" s="1" t="s">
        <v>13375</v>
      </c>
      <c r="B4326" s="1" t="s">
        <v>13376</v>
      </c>
      <c r="C4326" s="1" t="s">
        <v>13377</v>
      </c>
      <c r="D4326" s="1" t="s">
        <v>12954</v>
      </c>
      <c r="E4326" s="1" t="s">
        <v>12955</v>
      </c>
      <c r="F4326" s="1">
        <v>7615.0</v>
      </c>
      <c r="G4326" s="1">
        <v>43.0</v>
      </c>
      <c r="H4326" s="1">
        <v>26.0</v>
      </c>
      <c r="I4326" s="1">
        <v>7070000.0</v>
      </c>
      <c r="J4326" s="1" t="s">
        <v>12283</v>
      </c>
    </row>
    <row r="4327">
      <c r="A4327" s="1" t="s">
        <v>13378</v>
      </c>
      <c r="B4327" s="1" t="s">
        <v>13379</v>
      </c>
      <c r="C4327" s="1" t="s">
        <v>13380</v>
      </c>
      <c r="D4327" s="1" t="s">
        <v>12954</v>
      </c>
      <c r="E4327" s="1" t="s">
        <v>12955</v>
      </c>
      <c r="F4327" s="1">
        <v>3355.0</v>
      </c>
      <c r="G4327" s="1">
        <v>53.0</v>
      </c>
      <c r="H4327" s="1">
        <v>27.0</v>
      </c>
      <c r="I4327" s="1">
        <v>7070000.0</v>
      </c>
      <c r="J4327" s="1" t="s">
        <v>12283</v>
      </c>
    </row>
    <row r="4328">
      <c r="A4328" s="1" t="s">
        <v>13381</v>
      </c>
      <c r="B4328" s="1" t="s">
        <v>13382</v>
      </c>
      <c r="C4328" s="1" t="s">
        <v>13383</v>
      </c>
      <c r="D4328" s="1" t="s">
        <v>12954</v>
      </c>
      <c r="E4328" s="1" t="s">
        <v>12955</v>
      </c>
      <c r="F4328" s="1">
        <v>1399.0</v>
      </c>
      <c r="G4328" s="1">
        <v>20.0</v>
      </c>
      <c r="H4328" s="1">
        <v>5.0</v>
      </c>
      <c r="I4328" s="1">
        <v>7070000.0</v>
      </c>
      <c r="J4328" s="1" t="s">
        <v>12283</v>
      </c>
    </row>
    <row r="4329">
      <c r="A4329" s="1" t="s">
        <v>13385</v>
      </c>
      <c r="B4329" s="1" t="s">
        <v>13387</v>
      </c>
      <c r="C4329" s="1" t="s">
        <v>13389</v>
      </c>
      <c r="D4329" s="1" t="s">
        <v>12954</v>
      </c>
      <c r="E4329" s="1" t="s">
        <v>12955</v>
      </c>
      <c r="F4329" s="1">
        <v>2172.0</v>
      </c>
      <c r="G4329" s="1">
        <v>41.0</v>
      </c>
      <c r="H4329" s="1">
        <v>41.0</v>
      </c>
      <c r="I4329" s="1">
        <v>7070000.0</v>
      </c>
      <c r="J4329" s="1" t="s">
        <v>12283</v>
      </c>
    </row>
    <row r="4330">
      <c r="A4330" s="1" t="s">
        <v>13390</v>
      </c>
      <c r="B4330" s="1" t="s">
        <v>13391</v>
      </c>
      <c r="C4330" s="1" t="s">
        <v>13392</v>
      </c>
      <c r="D4330" s="1" t="s">
        <v>12954</v>
      </c>
      <c r="E4330" s="1" t="s">
        <v>12955</v>
      </c>
      <c r="F4330" s="1">
        <v>129274.0</v>
      </c>
      <c r="G4330" s="1">
        <v>213.0</v>
      </c>
      <c r="H4330" s="1">
        <v>205.0</v>
      </c>
      <c r="I4330" s="1">
        <v>7070000.0</v>
      </c>
      <c r="J4330" s="1" t="s">
        <v>12283</v>
      </c>
    </row>
    <row r="4331">
      <c r="A4331" s="1" t="s">
        <v>13393</v>
      </c>
      <c r="B4331" s="1" t="s">
        <v>13394</v>
      </c>
      <c r="C4331" s="1" t="s">
        <v>13395</v>
      </c>
      <c r="D4331" s="1" t="s">
        <v>12954</v>
      </c>
      <c r="E4331" s="1" t="s">
        <v>12955</v>
      </c>
      <c r="F4331" s="1">
        <v>8112.0</v>
      </c>
      <c r="G4331" s="1">
        <v>59.0</v>
      </c>
      <c r="H4331" s="1">
        <v>58.0</v>
      </c>
      <c r="I4331" s="1">
        <v>7070000.0</v>
      </c>
      <c r="J4331" s="1" t="s">
        <v>12283</v>
      </c>
    </row>
    <row r="4332">
      <c r="A4332" s="1" t="s">
        <v>13396</v>
      </c>
      <c r="B4332" s="1" t="s">
        <v>13397</v>
      </c>
      <c r="C4332" s="1" t="s">
        <v>13398</v>
      </c>
      <c r="D4332" s="1" t="s">
        <v>12954</v>
      </c>
      <c r="E4332" s="1" t="s">
        <v>12955</v>
      </c>
      <c r="F4332" s="1">
        <v>4581.0</v>
      </c>
      <c r="G4332" s="1">
        <v>37.0</v>
      </c>
      <c r="H4332" s="1">
        <v>25.0</v>
      </c>
      <c r="I4332" s="1">
        <v>7070000.0</v>
      </c>
      <c r="J4332" s="1" t="s">
        <v>12283</v>
      </c>
    </row>
    <row r="4333">
      <c r="A4333" s="1" t="s">
        <v>13399</v>
      </c>
      <c r="B4333" s="1" t="s">
        <v>13400</v>
      </c>
      <c r="C4333" s="1" t="s">
        <v>13401</v>
      </c>
      <c r="D4333" s="1" t="s">
        <v>12954</v>
      </c>
      <c r="E4333" s="1" t="s">
        <v>12955</v>
      </c>
      <c r="F4333" s="1">
        <v>11683.0</v>
      </c>
      <c r="G4333" s="1">
        <v>142.0</v>
      </c>
      <c r="H4333" s="1">
        <v>75.0</v>
      </c>
      <c r="I4333" s="1">
        <v>7070000.0</v>
      </c>
      <c r="J4333" s="1" t="s">
        <v>12283</v>
      </c>
    </row>
    <row r="4334">
      <c r="A4334" s="1" t="s">
        <v>13403</v>
      </c>
      <c r="B4334" s="1" t="s">
        <v>13405</v>
      </c>
      <c r="C4334" s="1" t="s">
        <v>13407</v>
      </c>
      <c r="D4334" s="1" t="s">
        <v>12954</v>
      </c>
      <c r="E4334" s="1" t="s">
        <v>12955</v>
      </c>
      <c r="F4334" s="1">
        <v>8630.0</v>
      </c>
      <c r="G4334" s="1">
        <v>61.0</v>
      </c>
      <c r="H4334" s="1">
        <v>55.0</v>
      </c>
      <c r="I4334" s="1">
        <v>7070000.0</v>
      </c>
      <c r="J4334" s="1" t="s">
        <v>12283</v>
      </c>
    </row>
    <row r="4335">
      <c r="A4335" s="1" t="s">
        <v>13408</v>
      </c>
      <c r="B4335" s="1" t="s">
        <v>13409</v>
      </c>
      <c r="C4335" s="1" t="s">
        <v>13410</v>
      </c>
      <c r="D4335" s="1" t="s">
        <v>12954</v>
      </c>
      <c r="E4335" s="1" t="s">
        <v>12955</v>
      </c>
      <c r="F4335" s="1">
        <v>2069.0</v>
      </c>
      <c r="G4335" s="1">
        <v>23.0</v>
      </c>
      <c r="H4335" s="1">
        <v>3.0</v>
      </c>
      <c r="I4335" s="1">
        <v>7070000.0</v>
      </c>
      <c r="J4335" s="1" t="s">
        <v>12283</v>
      </c>
    </row>
    <row r="4336">
      <c r="A4336" s="1" t="s">
        <v>13411</v>
      </c>
      <c r="B4336" s="1" t="s">
        <v>13412</v>
      </c>
      <c r="C4336" s="1" t="s">
        <v>13413</v>
      </c>
      <c r="D4336" s="1" t="s">
        <v>12954</v>
      </c>
      <c r="E4336" s="1" t="s">
        <v>12955</v>
      </c>
      <c r="F4336" s="1">
        <v>55069.0</v>
      </c>
      <c r="G4336" s="1">
        <v>487.0</v>
      </c>
      <c r="H4336" s="1">
        <v>225.0</v>
      </c>
      <c r="I4336" s="1">
        <v>7070000.0</v>
      </c>
      <c r="J4336" s="1" t="s">
        <v>12283</v>
      </c>
    </row>
    <row r="4337">
      <c r="A4337" s="1" t="s">
        <v>13414</v>
      </c>
      <c r="B4337" s="1" t="s">
        <v>13415</v>
      </c>
      <c r="C4337" s="1" t="s">
        <v>13416</v>
      </c>
      <c r="D4337" s="1" t="s">
        <v>12954</v>
      </c>
      <c r="E4337" s="1" t="s">
        <v>12955</v>
      </c>
      <c r="F4337" s="1">
        <v>3665.0</v>
      </c>
      <c r="G4337" s="1">
        <v>44.0</v>
      </c>
      <c r="H4337" s="1">
        <v>32.0</v>
      </c>
      <c r="I4337" s="1">
        <v>7070000.0</v>
      </c>
      <c r="J4337" s="1" t="s">
        <v>12283</v>
      </c>
    </row>
    <row r="4338">
      <c r="A4338" s="1" t="s">
        <v>13417</v>
      </c>
      <c r="B4338" s="1" t="s">
        <v>13418</v>
      </c>
      <c r="C4338" s="1" t="s">
        <v>13419</v>
      </c>
      <c r="D4338" s="1" t="s">
        <v>12954</v>
      </c>
      <c r="E4338" s="1" t="s">
        <v>12955</v>
      </c>
      <c r="F4338" s="1">
        <v>35020.0</v>
      </c>
      <c r="G4338" s="1">
        <v>219.0</v>
      </c>
      <c r="H4338" s="1">
        <v>31.0</v>
      </c>
      <c r="I4338" s="1">
        <v>7070000.0</v>
      </c>
      <c r="J4338" s="1" t="s">
        <v>12283</v>
      </c>
    </row>
    <row r="4339">
      <c r="A4339" s="1" t="s">
        <v>13420</v>
      </c>
      <c r="B4339" s="1" t="s">
        <v>13421</v>
      </c>
      <c r="C4339" s="1" t="s">
        <v>13422</v>
      </c>
      <c r="D4339" s="1" t="s">
        <v>12954</v>
      </c>
      <c r="E4339" s="1" t="s">
        <v>12955</v>
      </c>
      <c r="F4339" s="1">
        <v>87329.0</v>
      </c>
      <c r="G4339" s="1">
        <v>1081.0</v>
      </c>
      <c r="H4339" s="1">
        <v>182.0</v>
      </c>
      <c r="I4339" s="1">
        <v>7070000.0</v>
      </c>
      <c r="J4339" s="1" t="s">
        <v>12283</v>
      </c>
    </row>
    <row r="4340">
      <c r="A4340" s="1" t="s">
        <v>13423</v>
      </c>
      <c r="B4340" s="1" t="s">
        <v>13424</v>
      </c>
      <c r="C4340" s="1" t="s">
        <v>13425</v>
      </c>
      <c r="D4340" s="1" t="s">
        <v>12954</v>
      </c>
      <c r="E4340" s="1" t="s">
        <v>12955</v>
      </c>
      <c r="F4340" s="1">
        <v>1127.0</v>
      </c>
      <c r="G4340" s="1">
        <v>3.0</v>
      </c>
      <c r="H4340" s="1">
        <v>3.0</v>
      </c>
      <c r="I4340" s="1">
        <v>7070000.0</v>
      </c>
      <c r="J4340" s="1" t="s">
        <v>12283</v>
      </c>
    </row>
    <row r="4341">
      <c r="A4341" s="1" t="s">
        <v>13426</v>
      </c>
      <c r="B4341" s="1" t="s">
        <v>13427</v>
      </c>
      <c r="C4341" s="1" t="s">
        <v>13428</v>
      </c>
      <c r="D4341" s="1" t="s">
        <v>12954</v>
      </c>
      <c r="E4341" s="1" t="s">
        <v>12955</v>
      </c>
      <c r="F4341" s="1">
        <v>27598.0</v>
      </c>
      <c r="G4341" s="1">
        <v>233.0</v>
      </c>
      <c r="H4341" s="1">
        <v>240.0</v>
      </c>
      <c r="I4341" s="1">
        <v>7070000.0</v>
      </c>
      <c r="J4341" s="1" t="s">
        <v>12283</v>
      </c>
    </row>
    <row r="4342">
      <c r="A4342" s="1" t="s">
        <v>13429</v>
      </c>
      <c r="B4342" s="1" t="s">
        <v>13431</v>
      </c>
      <c r="C4342" s="1" t="s">
        <v>13433</v>
      </c>
      <c r="D4342" s="1" t="s">
        <v>12954</v>
      </c>
      <c r="E4342" s="1" t="s">
        <v>12955</v>
      </c>
      <c r="F4342" s="1">
        <v>4945.0</v>
      </c>
      <c r="G4342" s="1">
        <v>59.0</v>
      </c>
      <c r="H4342" s="1">
        <v>37.0</v>
      </c>
      <c r="I4342" s="1">
        <v>7070000.0</v>
      </c>
      <c r="J4342" s="1" t="s">
        <v>12283</v>
      </c>
    </row>
    <row r="4343">
      <c r="A4343" s="1" t="s">
        <v>13435</v>
      </c>
      <c r="B4343" s="1" t="s">
        <v>13436</v>
      </c>
      <c r="C4343" s="1" t="s">
        <v>13437</v>
      </c>
      <c r="D4343" s="1" t="s">
        <v>12954</v>
      </c>
      <c r="E4343" s="1" t="s">
        <v>12955</v>
      </c>
      <c r="F4343" s="1">
        <v>19880.0</v>
      </c>
      <c r="G4343" s="1">
        <v>231.0</v>
      </c>
      <c r="H4343" s="1">
        <v>42.0</v>
      </c>
      <c r="I4343" s="1">
        <v>7070000.0</v>
      </c>
      <c r="J4343" s="1" t="s">
        <v>12283</v>
      </c>
    </row>
    <row r="4344">
      <c r="A4344" s="1" t="s">
        <v>13438</v>
      </c>
      <c r="B4344" s="1" t="s">
        <v>13439</v>
      </c>
      <c r="C4344" s="1" t="s">
        <v>13440</v>
      </c>
      <c r="D4344" s="1" t="s">
        <v>12954</v>
      </c>
      <c r="E4344" s="1" t="s">
        <v>12955</v>
      </c>
      <c r="F4344" s="1">
        <v>119564.0</v>
      </c>
      <c r="G4344" s="1">
        <v>761.0</v>
      </c>
      <c r="H4344" s="1">
        <v>249.0</v>
      </c>
      <c r="I4344" s="1">
        <v>7070000.0</v>
      </c>
      <c r="J4344" s="1" t="s">
        <v>12283</v>
      </c>
    </row>
    <row r="4345">
      <c r="A4345" s="1" t="s">
        <v>13441</v>
      </c>
      <c r="B4345" s="1" t="s">
        <v>13442</v>
      </c>
      <c r="C4345" s="1" t="s">
        <v>13443</v>
      </c>
      <c r="D4345" s="1" t="s">
        <v>12954</v>
      </c>
      <c r="E4345" s="1" t="s">
        <v>12955</v>
      </c>
      <c r="F4345" s="1">
        <v>14716.0</v>
      </c>
      <c r="G4345" s="1">
        <v>171.0</v>
      </c>
      <c r="H4345" s="1">
        <v>50.0</v>
      </c>
      <c r="I4345" s="1">
        <v>7070000.0</v>
      </c>
      <c r="J4345" s="1" t="s">
        <v>12283</v>
      </c>
    </row>
    <row r="4346">
      <c r="A4346" s="1" t="s">
        <v>13444</v>
      </c>
      <c r="B4346" s="1" t="s">
        <v>13445</v>
      </c>
      <c r="C4346" s="1" t="s">
        <v>13446</v>
      </c>
      <c r="D4346" s="1" t="s">
        <v>12954</v>
      </c>
      <c r="E4346" s="1" t="s">
        <v>12955</v>
      </c>
      <c r="F4346" s="1">
        <v>20266.0</v>
      </c>
      <c r="G4346" s="1">
        <v>341.0</v>
      </c>
      <c r="H4346" s="1">
        <v>152.0</v>
      </c>
      <c r="I4346" s="1">
        <v>7070000.0</v>
      </c>
      <c r="J4346" s="1" t="s">
        <v>12283</v>
      </c>
    </row>
    <row r="4347">
      <c r="A4347" s="1" t="s">
        <v>13447</v>
      </c>
      <c r="B4347" s="1" t="s">
        <v>13448</v>
      </c>
      <c r="C4347" s="1" t="s">
        <v>13449</v>
      </c>
      <c r="D4347" s="1" t="s">
        <v>12954</v>
      </c>
      <c r="E4347" s="1" t="s">
        <v>12955</v>
      </c>
      <c r="F4347" s="1">
        <v>26146.0</v>
      </c>
      <c r="G4347" s="1">
        <v>514.0</v>
      </c>
      <c r="H4347" s="1">
        <v>112.0</v>
      </c>
      <c r="I4347" s="1">
        <v>7070000.0</v>
      </c>
      <c r="J4347" s="1" t="s">
        <v>12283</v>
      </c>
    </row>
    <row r="4348">
      <c r="A4348" s="1" t="s">
        <v>13450</v>
      </c>
      <c r="B4348" s="1" t="s">
        <v>13452</v>
      </c>
      <c r="C4348" s="1" t="s">
        <v>13454</v>
      </c>
      <c r="D4348" s="1" t="s">
        <v>12954</v>
      </c>
      <c r="E4348" s="1" t="s">
        <v>12955</v>
      </c>
      <c r="F4348" s="1">
        <v>14561.0</v>
      </c>
      <c r="G4348" s="1">
        <v>265.0</v>
      </c>
      <c r="H4348" s="1">
        <v>37.0</v>
      </c>
      <c r="I4348" s="1">
        <v>7070000.0</v>
      </c>
      <c r="J4348" s="1" t="s">
        <v>12283</v>
      </c>
    </row>
    <row r="4349">
      <c r="A4349" s="1" t="s">
        <v>13456</v>
      </c>
      <c r="B4349" s="1" t="s">
        <v>13457</v>
      </c>
      <c r="C4349" s="1" t="s">
        <v>13458</v>
      </c>
      <c r="D4349" s="1" t="s">
        <v>12954</v>
      </c>
      <c r="E4349" s="1" t="s">
        <v>12955</v>
      </c>
      <c r="F4349" s="1">
        <v>5013.0</v>
      </c>
      <c r="G4349" s="1">
        <v>75.0</v>
      </c>
      <c r="H4349" s="1">
        <v>18.0</v>
      </c>
      <c r="I4349" s="1">
        <v>7070000.0</v>
      </c>
      <c r="J4349" s="1" t="s">
        <v>12283</v>
      </c>
    </row>
    <row r="4350">
      <c r="A4350" s="1" t="s">
        <v>13459</v>
      </c>
      <c r="B4350" s="1" t="s">
        <v>13460</v>
      </c>
      <c r="C4350" s="1" t="s">
        <v>13461</v>
      </c>
      <c r="D4350" s="1" t="s">
        <v>12954</v>
      </c>
      <c r="E4350" s="1" t="s">
        <v>12955</v>
      </c>
      <c r="F4350" s="1">
        <v>4443.0</v>
      </c>
      <c r="G4350" s="1">
        <v>44.0</v>
      </c>
      <c r="H4350" s="1">
        <v>23.0</v>
      </c>
      <c r="I4350" s="1">
        <v>7070000.0</v>
      </c>
      <c r="J4350" s="1" t="s">
        <v>12283</v>
      </c>
    </row>
    <row r="4351">
      <c r="A4351" s="1" t="s">
        <v>13462</v>
      </c>
      <c r="B4351" s="1" t="s">
        <v>13463</v>
      </c>
      <c r="C4351" s="1" t="s">
        <v>13464</v>
      </c>
      <c r="D4351" s="1" t="s">
        <v>12954</v>
      </c>
      <c r="E4351" s="1" t="s">
        <v>12955</v>
      </c>
      <c r="F4351" s="1">
        <v>33678.0</v>
      </c>
      <c r="G4351" s="1">
        <v>455.0</v>
      </c>
      <c r="H4351" s="1">
        <v>95.0</v>
      </c>
      <c r="I4351" s="1">
        <v>7070000.0</v>
      </c>
      <c r="J4351" s="1" t="s">
        <v>12283</v>
      </c>
    </row>
    <row r="4352">
      <c r="A4352" s="1" t="s">
        <v>13465</v>
      </c>
      <c r="B4352" s="1" t="s">
        <v>13466</v>
      </c>
      <c r="C4352" s="1" t="s">
        <v>13467</v>
      </c>
      <c r="D4352" s="1" t="s">
        <v>12954</v>
      </c>
      <c r="E4352" s="1" t="s">
        <v>12955</v>
      </c>
      <c r="F4352" s="1">
        <v>8026.0</v>
      </c>
      <c r="G4352" s="1">
        <v>145.0</v>
      </c>
      <c r="H4352" s="1">
        <v>101.0</v>
      </c>
      <c r="I4352" s="1">
        <v>7070000.0</v>
      </c>
      <c r="J4352" s="1" t="s">
        <v>12283</v>
      </c>
    </row>
    <row r="4353">
      <c r="A4353" s="1" t="s">
        <v>13468</v>
      </c>
      <c r="B4353" s="1" t="s">
        <v>13469</v>
      </c>
      <c r="C4353" s="1" t="s">
        <v>13470</v>
      </c>
      <c r="D4353" s="1" t="s">
        <v>12954</v>
      </c>
      <c r="E4353" s="1" t="s">
        <v>12955</v>
      </c>
      <c r="F4353" s="1">
        <v>33891.0</v>
      </c>
      <c r="G4353" s="1">
        <v>355.0</v>
      </c>
      <c r="H4353" s="1">
        <v>223.0</v>
      </c>
      <c r="I4353" s="1">
        <v>7070000.0</v>
      </c>
      <c r="J4353" s="1" t="s">
        <v>12283</v>
      </c>
    </row>
    <row r="4354">
      <c r="A4354" s="1" t="s">
        <v>13471</v>
      </c>
      <c r="B4354" s="1" t="s">
        <v>13472</v>
      </c>
      <c r="C4354" s="1" t="s">
        <v>13473</v>
      </c>
      <c r="D4354" s="1" t="s">
        <v>12954</v>
      </c>
      <c r="E4354" s="1" t="s">
        <v>12955</v>
      </c>
      <c r="F4354" s="1">
        <v>2115.0</v>
      </c>
      <c r="G4354" s="1">
        <v>30.0</v>
      </c>
      <c r="H4354" s="1">
        <v>4.0</v>
      </c>
      <c r="I4354" s="1">
        <v>7070000.0</v>
      </c>
      <c r="J4354" s="1" t="s">
        <v>12283</v>
      </c>
    </row>
    <row r="4355">
      <c r="A4355" s="1" t="s">
        <v>13476</v>
      </c>
      <c r="B4355" s="1" t="s">
        <v>13478</v>
      </c>
      <c r="C4355" s="1" t="s">
        <v>13479</v>
      </c>
      <c r="D4355" s="1" t="s">
        <v>12954</v>
      </c>
      <c r="E4355" s="1" t="s">
        <v>12955</v>
      </c>
      <c r="F4355" s="1">
        <v>70524.0</v>
      </c>
      <c r="G4355" s="1">
        <v>482.0</v>
      </c>
      <c r="H4355" s="1">
        <v>145.0</v>
      </c>
      <c r="I4355" s="1">
        <v>7070000.0</v>
      </c>
      <c r="J4355" s="1" t="s">
        <v>12283</v>
      </c>
    </row>
    <row r="4356">
      <c r="A4356" s="1" t="s">
        <v>13480</v>
      </c>
      <c r="B4356" s="1" t="s">
        <v>13481</v>
      </c>
      <c r="C4356" s="1" t="s">
        <v>13482</v>
      </c>
      <c r="D4356" s="1" t="s">
        <v>12954</v>
      </c>
      <c r="E4356" s="1" t="s">
        <v>12955</v>
      </c>
      <c r="F4356" s="1">
        <v>979.0</v>
      </c>
      <c r="G4356" s="1">
        <v>15.0</v>
      </c>
      <c r="H4356" s="1">
        <v>3.0</v>
      </c>
      <c r="I4356" s="1">
        <v>7070000.0</v>
      </c>
      <c r="J4356" s="1" t="s">
        <v>12283</v>
      </c>
    </row>
    <row r="4357">
      <c r="A4357" s="1" t="s">
        <v>13483</v>
      </c>
      <c r="B4357" s="1" t="s">
        <v>13484</v>
      </c>
      <c r="C4357" s="1" t="s">
        <v>13485</v>
      </c>
      <c r="D4357" s="1" t="s">
        <v>12954</v>
      </c>
      <c r="E4357" s="1" t="s">
        <v>12955</v>
      </c>
      <c r="F4357" s="1">
        <v>12917.0</v>
      </c>
      <c r="G4357" s="1">
        <v>71.0</v>
      </c>
      <c r="H4357" s="1">
        <v>79.0</v>
      </c>
      <c r="I4357" s="1">
        <v>7070000.0</v>
      </c>
      <c r="J4357" s="1" t="s">
        <v>12283</v>
      </c>
    </row>
    <row r="4358">
      <c r="A4358" s="1" t="s">
        <v>13486</v>
      </c>
      <c r="B4358" s="1" t="s">
        <v>13487</v>
      </c>
      <c r="C4358" s="1" t="s">
        <v>13488</v>
      </c>
      <c r="D4358" s="1" t="s">
        <v>12954</v>
      </c>
      <c r="E4358" s="1" t="s">
        <v>12955</v>
      </c>
      <c r="F4358" s="1">
        <v>1455.0</v>
      </c>
      <c r="G4358" s="1">
        <v>18.0</v>
      </c>
      <c r="H4358" s="1">
        <v>12.0</v>
      </c>
      <c r="I4358" s="1">
        <v>7070000.0</v>
      </c>
      <c r="J4358" s="1" t="s">
        <v>12283</v>
      </c>
    </row>
    <row r="4359">
      <c r="A4359" s="1" t="s">
        <v>13489</v>
      </c>
      <c r="B4359" s="1" t="s">
        <v>13490</v>
      </c>
      <c r="C4359" s="1" t="s">
        <v>13491</v>
      </c>
      <c r="D4359" s="1" t="s">
        <v>12954</v>
      </c>
      <c r="E4359" s="1" t="s">
        <v>12955</v>
      </c>
      <c r="F4359" s="1">
        <v>11158.0</v>
      </c>
      <c r="G4359" s="1">
        <v>126.0</v>
      </c>
      <c r="H4359" s="1">
        <v>73.0</v>
      </c>
      <c r="I4359" s="1">
        <v>7070000.0</v>
      </c>
      <c r="J4359" s="1" t="s">
        <v>12283</v>
      </c>
    </row>
    <row r="4360">
      <c r="A4360" s="1" t="s">
        <v>13492</v>
      </c>
      <c r="B4360" s="1" t="s">
        <v>13494</v>
      </c>
      <c r="C4360" s="1" t="s">
        <v>13496</v>
      </c>
      <c r="D4360" s="1" t="s">
        <v>12954</v>
      </c>
      <c r="E4360" s="1" t="s">
        <v>12955</v>
      </c>
      <c r="F4360" s="1">
        <v>17351.0</v>
      </c>
      <c r="G4360" s="1">
        <v>111.0</v>
      </c>
      <c r="H4360" s="1">
        <v>60.0</v>
      </c>
      <c r="I4360" s="1">
        <v>7070000.0</v>
      </c>
      <c r="J4360" s="1" t="s">
        <v>12283</v>
      </c>
    </row>
    <row r="4361">
      <c r="A4361" s="1" t="s">
        <v>13498</v>
      </c>
      <c r="B4361" s="1" t="s">
        <v>13499</v>
      </c>
      <c r="C4361" s="1" t="s">
        <v>13500</v>
      </c>
      <c r="D4361" s="1" t="s">
        <v>12954</v>
      </c>
      <c r="E4361" s="1" t="s">
        <v>12955</v>
      </c>
      <c r="F4361" s="1">
        <v>16718.0</v>
      </c>
      <c r="G4361" s="1">
        <v>151.0</v>
      </c>
      <c r="H4361" s="1">
        <v>116.0</v>
      </c>
      <c r="I4361" s="1">
        <v>7070000.0</v>
      </c>
      <c r="J4361" s="1" t="s">
        <v>12283</v>
      </c>
    </row>
    <row r="4362">
      <c r="A4362" s="1" t="s">
        <v>13501</v>
      </c>
      <c r="B4362" s="1" t="s">
        <v>13502</v>
      </c>
      <c r="C4362" s="1" t="s">
        <v>13503</v>
      </c>
      <c r="D4362" s="1" t="s">
        <v>12954</v>
      </c>
      <c r="E4362" s="1" t="s">
        <v>12955</v>
      </c>
      <c r="F4362" s="1">
        <v>6249.0</v>
      </c>
      <c r="G4362" s="1">
        <v>94.0</v>
      </c>
      <c r="H4362" s="1">
        <v>74.0</v>
      </c>
      <c r="I4362" s="1">
        <v>7070000.0</v>
      </c>
      <c r="J4362" s="1" t="s">
        <v>12283</v>
      </c>
    </row>
    <row r="4363">
      <c r="A4363" s="1" t="s">
        <v>13504</v>
      </c>
      <c r="B4363" s="1" t="s">
        <v>13505</v>
      </c>
      <c r="C4363" s="1" t="s">
        <v>13506</v>
      </c>
      <c r="D4363" s="1" t="s">
        <v>12954</v>
      </c>
      <c r="E4363" s="1" t="s">
        <v>12955</v>
      </c>
      <c r="F4363" s="1">
        <v>348.0</v>
      </c>
      <c r="G4363" s="1">
        <v>4.0</v>
      </c>
      <c r="H4363" s="1">
        <v>1.0</v>
      </c>
      <c r="I4363" s="1">
        <v>7070000.0</v>
      </c>
      <c r="J4363" s="1" t="s">
        <v>12283</v>
      </c>
    </row>
    <row r="4364">
      <c r="A4364" s="1" t="s">
        <v>13507</v>
      </c>
      <c r="B4364" s="1" t="s">
        <v>13508</v>
      </c>
      <c r="C4364" s="1" t="s">
        <v>13509</v>
      </c>
      <c r="D4364" s="1" t="s">
        <v>12954</v>
      </c>
      <c r="E4364" s="1" t="s">
        <v>12955</v>
      </c>
      <c r="F4364" s="1">
        <v>24338.0</v>
      </c>
      <c r="G4364" s="1">
        <v>358.0</v>
      </c>
      <c r="H4364" s="1">
        <v>162.0</v>
      </c>
      <c r="I4364" s="1">
        <v>7070000.0</v>
      </c>
      <c r="J4364" s="1" t="s">
        <v>12283</v>
      </c>
    </row>
    <row r="4365">
      <c r="A4365" s="1" t="s">
        <v>13510</v>
      </c>
      <c r="B4365" s="1" t="s">
        <v>13511</v>
      </c>
      <c r="C4365" s="1" t="s">
        <v>13512</v>
      </c>
      <c r="D4365" s="1" t="s">
        <v>12954</v>
      </c>
      <c r="E4365" s="1" t="s">
        <v>12955</v>
      </c>
      <c r="F4365" s="1">
        <v>6486.0</v>
      </c>
      <c r="G4365" s="1">
        <v>100.0</v>
      </c>
      <c r="H4365" s="1">
        <v>34.0</v>
      </c>
      <c r="I4365" s="1">
        <v>7070000.0</v>
      </c>
      <c r="J4365" s="1" t="s">
        <v>12283</v>
      </c>
    </row>
    <row r="4366">
      <c r="A4366" s="1" t="s">
        <v>13513</v>
      </c>
      <c r="B4366" s="1" t="s">
        <v>13514</v>
      </c>
      <c r="C4366" s="1" t="s">
        <v>13515</v>
      </c>
      <c r="D4366" s="1" t="s">
        <v>12954</v>
      </c>
      <c r="E4366" s="1" t="s">
        <v>12955</v>
      </c>
      <c r="F4366" s="1">
        <v>3529.0</v>
      </c>
      <c r="G4366" s="1">
        <v>35.0</v>
      </c>
      <c r="H4366" s="1">
        <v>53.0</v>
      </c>
      <c r="I4366" s="1">
        <v>7070000.0</v>
      </c>
      <c r="J4366" s="1" t="s">
        <v>12283</v>
      </c>
    </row>
    <row r="4367">
      <c r="A4367" s="1" t="s">
        <v>13518</v>
      </c>
      <c r="B4367" s="1" t="s">
        <v>13520</v>
      </c>
      <c r="C4367" s="1" t="s">
        <v>13521</v>
      </c>
      <c r="D4367" s="1" t="s">
        <v>12954</v>
      </c>
      <c r="E4367" s="1" t="s">
        <v>12955</v>
      </c>
      <c r="F4367" s="1">
        <v>39729.0</v>
      </c>
      <c r="G4367" s="1">
        <v>372.0</v>
      </c>
      <c r="H4367" s="1">
        <v>179.0</v>
      </c>
      <c r="I4367" s="1">
        <v>7070000.0</v>
      </c>
      <c r="J4367" s="1" t="s">
        <v>12283</v>
      </c>
    </row>
    <row r="4368">
      <c r="A4368" s="1" t="s">
        <v>13522</v>
      </c>
      <c r="B4368" s="1" t="s">
        <v>13523</v>
      </c>
      <c r="C4368" s="1" t="s">
        <v>13524</v>
      </c>
      <c r="D4368" s="1" t="s">
        <v>12954</v>
      </c>
      <c r="E4368" s="1" t="s">
        <v>12955</v>
      </c>
      <c r="F4368" s="1">
        <v>9839.0</v>
      </c>
      <c r="G4368" s="1">
        <v>38.0</v>
      </c>
      <c r="H4368" s="1">
        <v>35.0</v>
      </c>
      <c r="I4368" s="1">
        <v>7070000.0</v>
      </c>
      <c r="J4368" s="1" t="s">
        <v>12283</v>
      </c>
    </row>
    <row r="4369">
      <c r="A4369" s="1" t="s">
        <v>13525</v>
      </c>
      <c r="B4369" s="1" t="s">
        <v>13526</v>
      </c>
      <c r="C4369" s="1" t="s">
        <v>13527</v>
      </c>
      <c r="D4369" s="1" t="s">
        <v>12954</v>
      </c>
      <c r="E4369" s="1" t="s">
        <v>12955</v>
      </c>
      <c r="F4369" s="1">
        <v>27274.0</v>
      </c>
      <c r="G4369" s="1">
        <v>283.0</v>
      </c>
      <c r="H4369" s="1">
        <v>144.0</v>
      </c>
      <c r="I4369" s="1">
        <v>7070000.0</v>
      </c>
      <c r="J4369" s="1" t="s">
        <v>12283</v>
      </c>
    </row>
    <row r="4370">
      <c r="A4370" s="1" t="s">
        <v>13528</v>
      </c>
      <c r="B4370" s="1" t="s">
        <v>13529</v>
      </c>
      <c r="C4370" s="1" t="s">
        <v>13530</v>
      </c>
      <c r="D4370" s="1" t="s">
        <v>12954</v>
      </c>
      <c r="E4370" s="1" t="s">
        <v>12955</v>
      </c>
      <c r="F4370" s="1">
        <v>18448.0</v>
      </c>
      <c r="G4370" s="1">
        <v>378.0</v>
      </c>
      <c r="H4370" s="1">
        <v>129.0</v>
      </c>
      <c r="I4370" s="1">
        <v>7070000.0</v>
      </c>
      <c r="J4370" s="1" t="s">
        <v>12283</v>
      </c>
    </row>
    <row r="4371">
      <c r="A4371" s="1" t="s">
        <v>13531</v>
      </c>
      <c r="B4371" s="1" t="s">
        <v>13532</v>
      </c>
      <c r="C4371" s="1" t="s">
        <v>13533</v>
      </c>
      <c r="D4371" s="1" t="s">
        <v>12954</v>
      </c>
      <c r="E4371" s="1" t="s">
        <v>12955</v>
      </c>
      <c r="F4371" s="1">
        <v>90226.0</v>
      </c>
      <c r="G4371" s="1">
        <v>351.0</v>
      </c>
      <c r="H4371" s="1">
        <v>160.0</v>
      </c>
      <c r="I4371" s="1">
        <v>7070000.0</v>
      </c>
      <c r="J4371" s="1" t="s">
        <v>12283</v>
      </c>
    </row>
    <row r="4372">
      <c r="A4372" s="1" t="s">
        <v>13534</v>
      </c>
      <c r="B4372" s="1" t="s">
        <v>13535</v>
      </c>
      <c r="C4372" s="1" t="s">
        <v>13536</v>
      </c>
      <c r="D4372" s="1" t="s">
        <v>12954</v>
      </c>
      <c r="E4372" s="1" t="s">
        <v>12955</v>
      </c>
      <c r="F4372" s="1">
        <v>14984.0</v>
      </c>
      <c r="G4372" s="1">
        <v>298.0</v>
      </c>
      <c r="H4372" s="1">
        <v>119.0</v>
      </c>
      <c r="I4372" s="1">
        <v>7070000.0</v>
      </c>
      <c r="J4372" s="1" t="s">
        <v>12283</v>
      </c>
    </row>
    <row r="4373">
      <c r="A4373" s="1" t="s">
        <v>13539</v>
      </c>
      <c r="B4373" s="1" t="s">
        <v>13540</v>
      </c>
      <c r="C4373" s="1" t="s">
        <v>13541</v>
      </c>
      <c r="D4373" s="1" t="s">
        <v>12954</v>
      </c>
      <c r="E4373" s="1" t="s">
        <v>12955</v>
      </c>
      <c r="F4373" s="1">
        <v>5455.0</v>
      </c>
      <c r="G4373" s="1">
        <v>101.0</v>
      </c>
      <c r="H4373" s="1">
        <v>21.0</v>
      </c>
      <c r="I4373" s="1">
        <v>7070000.0</v>
      </c>
      <c r="J4373" s="1" t="s">
        <v>12283</v>
      </c>
    </row>
    <row r="4374">
      <c r="A4374" s="1" t="s">
        <v>13543</v>
      </c>
      <c r="B4374" s="1" t="s">
        <v>13544</v>
      </c>
      <c r="C4374" s="1" t="s">
        <v>13545</v>
      </c>
      <c r="D4374" s="1" t="s">
        <v>12954</v>
      </c>
      <c r="E4374" s="1" t="s">
        <v>12955</v>
      </c>
      <c r="F4374" s="1">
        <v>14346.0</v>
      </c>
      <c r="G4374" s="1">
        <v>53.0</v>
      </c>
      <c r="H4374" s="1">
        <v>33.0</v>
      </c>
      <c r="I4374" s="1">
        <v>7070000.0</v>
      </c>
      <c r="J4374" s="1" t="s">
        <v>12283</v>
      </c>
    </row>
    <row r="4375">
      <c r="A4375" s="1" t="s">
        <v>13546</v>
      </c>
      <c r="B4375" s="1" t="s">
        <v>13547</v>
      </c>
      <c r="C4375" s="1" t="s">
        <v>13548</v>
      </c>
      <c r="D4375" s="1" t="s">
        <v>12954</v>
      </c>
      <c r="E4375" s="1" t="s">
        <v>12955</v>
      </c>
      <c r="F4375" s="1">
        <v>7410.0</v>
      </c>
      <c r="G4375" s="1">
        <v>60.0</v>
      </c>
      <c r="H4375" s="1">
        <v>42.0</v>
      </c>
      <c r="I4375" s="1">
        <v>7070000.0</v>
      </c>
      <c r="J4375" s="1" t="s">
        <v>12283</v>
      </c>
    </row>
    <row r="4376">
      <c r="A4376" s="1" t="s">
        <v>13549</v>
      </c>
      <c r="B4376" s="1" t="s">
        <v>13550</v>
      </c>
      <c r="C4376" s="1" t="s">
        <v>13551</v>
      </c>
      <c r="D4376" s="1" t="s">
        <v>12954</v>
      </c>
      <c r="E4376" s="1" t="s">
        <v>12955</v>
      </c>
      <c r="F4376" s="1">
        <v>44964.0</v>
      </c>
      <c r="G4376" s="1">
        <v>215.0</v>
      </c>
      <c r="H4376" s="1">
        <v>129.0</v>
      </c>
      <c r="I4376" s="1">
        <v>7070000.0</v>
      </c>
      <c r="J4376" s="1" t="s">
        <v>12283</v>
      </c>
    </row>
    <row r="4377">
      <c r="A4377" s="1" t="s">
        <v>13552</v>
      </c>
      <c r="B4377" s="1" t="s">
        <v>13553</v>
      </c>
      <c r="C4377" s="1" t="s">
        <v>13554</v>
      </c>
      <c r="D4377" s="1" t="s">
        <v>12954</v>
      </c>
      <c r="E4377" s="1" t="s">
        <v>12955</v>
      </c>
      <c r="F4377" s="1">
        <v>110006.0</v>
      </c>
      <c r="G4377" s="1">
        <v>599.0</v>
      </c>
      <c r="H4377" s="1">
        <v>293.0</v>
      </c>
      <c r="I4377" s="1">
        <v>7070000.0</v>
      </c>
      <c r="J4377" s="1" t="s">
        <v>12283</v>
      </c>
    </row>
    <row r="4378">
      <c r="A4378" s="1" t="s">
        <v>13556</v>
      </c>
      <c r="B4378" s="1" t="s">
        <v>13559</v>
      </c>
      <c r="C4378" s="1" t="s">
        <v>13560</v>
      </c>
      <c r="D4378" s="1" t="s">
        <v>12954</v>
      </c>
      <c r="E4378" s="1" t="s">
        <v>12955</v>
      </c>
      <c r="F4378" s="1">
        <v>7908.0</v>
      </c>
      <c r="G4378" s="1">
        <v>82.0</v>
      </c>
      <c r="H4378" s="1">
        <v>28.0</v>
      </c>
      <c r="I4378" s="1">
        <v>7070000.0</v>
      </c>
      <c r="J4378" s="1" t="s">
        <v>12283</v>
      </c>
    </row>
    <row r="4379">
      <c r="A4379" s="1" t="s">
        <v>13561</v>
      </c>
      <c r="B4379" s="1" t="s">
        <v>13562</v>
      </c>
      <c r="C4379" s="1" t="s">
        <v>13563</v>
      </c>
      <c r="D4379" s="1" t="s">
        <v>12954</v>
      </c>
      <c r="E4379" s="1" t="s">
        <v>12955</v>
      </c>
      <c r="F4379" s="1">
        <v>99983.0</v>
      </c>
      <c r="G4379" s="1">
        <v>259.0</v>
      </c>
      <c r="H4379" s="1">
        <v>13.0</v>
      </c>
      <c r="I4379" s="1">
        <v>7070000.0</v>
      </c>
      <c r="J4379" s="1" t="s">
        <v>12283</v>
      </c>
    </row>
    <row r="4380">
      <c r="A4380" s="1" t="s">
        <v>13564</v>
      </c>
      <c r="B4380" s="1" t="s">
        <v>13565</v>
      </c>
      <c r="C4380" s="1" t="s">
        <v>13566</v>
      </c>
      <c r="D4380" s="1" t="s">
        <v>12954</v>
      </c>
      <c r="E4380" s="1" t="s">
        <v>12955</v>
      </c>
      <c r="F4380" s="1">
        <v>3111.0</v>
      </c>
      <c r="G4380" s="1">
        <v>26.0</v>
      </c>
      <c r="H4380" s="1">
        <v>7.0</v>
      </c>
      <c r="I4380" s="1">
        <v>7070000.0</v>
      </c>
      <c r="J4380" s="1" t="s">
        <v>12283</v>
      </c>
    </row>
    <row r="4381">
      <c r="A4381" s="1" t="s">
        <v>13567</v>
      </c>
      <c r="B4381" s="1" t="s">
        <v>13568</v>
      </c>
      <c r="C4381" s="1" t="s">
        <v>13569</v>
      </c>
      <c r="D4381" s="1" t="s">
        <v>12954</v>
      </c>
      <c r="E4381" s="1" t="s">
        <v>12955</v>
      </c>
      <c r="F4381" s="1">
        <v>3728.0</v>
      </c>
      <c r="G4381" s="1">
        <v>62.0</v>
      </c>
      <c r="H4381" s="1">
        <v>63.0</v>
      </c>
      <c r="I4381" s="1">
        <v>7070000.0</v>
      </c>
      <c r="J4381" s="1" t="s">
        <v>12283</v>
      </c>
    </row>
    <row r="4382">
      <c r="A4382" s="1" t="s">
        <v>13570</v>
      </c>
      <c r="B4382" s="1" t="s">
        <v>13571</v>
      </c>
      <c r="C4382" s="1" t="s">
        <v>13573</v>
      </c>
      <c r="D4382" s="1" t="s">
        <v>12954</v>
      </c>
      <c r="E4382" s="1" t="s">
        <v>12955</v>
      </c>
      <c r="F4382" s="1">
        <v>10622.0</v>
      </c>
      <c r="G4382" s="1">
        <v>167.0</v>
      </c>
      <c r="H4382" s="1">
        <v>90.0</v>
      </c>
      <c r="I4382" s="1">
        <v>7070000.0</v>
      </c>
      <c r="J4382" s="1" t="s">
        <v>12283</v>
      </c>
    </row>
    <row r="4383">
      <c r="A4383" s="1" t="s">
        <v>13576</v>
      </c>
      <c r="B4383" s="1" t="s">
        <v>13577</v>
      </c>
      <c r="C4383" s="1" t="s">
        <v>13578</v>
      </c>
      <c r="D4383" s="1" t="s">
        <v>12954</v>
      </c>
      <c r="E4383" s="1" t="s">
        <v>12955</v>
      </c>
      <c r="F4383" s="1">
        <v>117891.0</v>
      </c>
      <c r="G4383" s="1">
        <v>433.0</v>
      </c>
      <c r="H4383" s="1">
        <v>280.0</v>
      </c>
      <c r="I4383" s="1">
        <v>7070000.0</v>
      </c>
      <c r="J4383" s="1" t="s">
        <v>12283</v>
      </c>
    </row>
    <row r="4384">
      <c r="A4384" s="1" t="s">
        <v>13579</v>
      </c>
      <c r="B4384" s="1" t="s">
        <v>13580</v>
      </c>
      <c r="C4384" s="1" t="s">
        <v>13581</v>
      </c>
      <c r="D4384" s="1" t="s">
        <v>12954</v>
      </c>
      <c r="E4384" s="1" t="s">
        <v>12955</v>
      </c>
      <c r="F4384" s="1">
        <v>14258.0</v>
      </c>
      <c r="G4384" s="1">
        <v>202.0</v>
      </c>
      <c r="H4384" s="1">
        <v>45.0</v>
      </c>
      <c r="I4384" s="1">
        <v>7070000.0</v>
      </c>
      <c r="J4384" s="1" t="s">
        <v>12283</v>
      </c>
    </row>
    <row r="4385">
      <c r="A4385" s="1" t="s">
        <v>13582</v>
      </c>
      <c r="B4385" s="1" t="s">
        <v>13583</v>
      </c>
      <c r="C4385" s="1" t="s">
        <v>13584</v>
      </c>
      <c r="D4385" s="1" t="s">
        <v>12954</v>
      </c>
      <c r="E4385" s="1" t="s">
        <v>12955</v>
      </c>
      <c r="F4385" s="1">
        <v>4440.0</v>
      </c>
      <c r="G4385" s="1">
        <v>72.0</v>
      </c>
      <c r="H4385" s="1">
        <v>17.0</v>
      </c>
      <c r="I4385" s="1">
        <v>7070000.0</v>
      </c>
      <c r="J4385" s="1" t="s">
        <v>12283</v>
      </c>
    </row>
    <row r="4386">
      <c r="A4386" s="1" t="s">
        <v>13585</v>
      </c>
      <c r="B4386" s="1" t="s">
        <v>13586</v>
      </c>
      <c r="C4386" s="1" t="s">
        <v>13587</v>
      </c>
      <c r="D4386" s="1" t="s">
        <v>12954</v>
      </c>
      <c r="E4386" s="1" t="s">
        <v>12955</v>
      </c>
      <c r="F4386" s="1">
        <v>1946.0</v>
      </c>
      <c r="G4386" s="1">
        <v>27.0</v>
      </c>
      <c r="H4386" s="1">
        <v>14.0</v>
      </c>
      <c r="I4386" s="1">
        <v>7070000.0</v>
      </c>
      <c r="J4386" s="1" t="s">
        <v>12283</v>
      </c>
    </row>
    <row r="4387">
      <c r="A4387" s="1" t="s">
        <v>13588</v>
      </c>
      <c r="B4387" s="1" t="s">
        <v>13589</v>
      </c>
      <c r="C4387" s="1" t="s">
        <v>13590</v>
      </c>
      <c r="D4387" s="1" t="s">
        <v>12954</v>
      </c>
      <c r="E4387" s="1" t="s">
        <v>12955</v>
      </c>
      <c r="F4387" s="1">
        <v>2776.0</v>
      </c>
      <c r="G4387" s="1">
        <v>24.0</v>
      </c>
      <c r="H4387" s="1">
        <v>1.0</v>
      </c>
      <c r="I4387" s="1">
        <v>7070000.0</v>
      </c>
      <c r="J4387" s="1" t="s">
        <v>12283</v>
      </c>
    </row>
    <row r="4388">
      <c r="A4388" s="1" t="s">
        <v>13591</v>
      </c>
      <c r="B4388" s="1" t="s">
        <v>13592</v>
      </c>
      <c r="C4388" s="1" t="s">
        <v>13593</v>
      </c>
      <c r="D4388" s="1" t="s">
        <v>12954</v>
      </c>
      <c r="E4388" s="1" t="s">
        <v>12955</v>
      </c>
      <c r="F4388" s="1">
        <v>14778.0</v>
      </c>
      <c r="G4388" s="1">
        <v>163.0</v>
      </c>
      <c r="H4388" s="1">
        <v>27.0</v>
      </c>
      <c r="I4388" s="1">
        <v>7070000.0</v>
      </c>
      <c r="J4388" s="1" t="s">
        <v>12283</v>
      </c>
    </row>
    <row r="4389">
      <c r="A4389" s="1" t="s">
        <v>13594</v>
      </c>
      <c r="B4389" s="1" t="s">
        <v>13595</v>
      </c>
      <c r="C4389" s="1" t="s">
        <v>13596</v>
      </c>
      <c r="D4389" s="1" t="s">
        <v>12954</v>
      </c>
      <c r="E4389" s="1" t="s">
        <v>12955</v>
      </c>
      <c r="F4389" s="1">
        <v>4131.0</v>
      </c>
      <c r="G4389" s="1">
        <v>42.0</v>
      </c>
      <c r="H4389" s="1">
        <v>6.0</v>
      </c>
      <c r="I4389" s="1">
        <v>7070000.0</v>
      </c>
      <c r="J4389" s="1" t="s">
        <v>12283</v>
      </c>
    </row>
    <row r="4390">
      <c r="A4390" s="1" t="s">
        <v>13597</v>
      </c>
      <c r="B4390" s="1" t="s">
        <v>13598</v>
      </c>
      <c r="C4390" s="1" t="s">
        <v>13599</v>
      </c>
      <c r="D4390" s="1" t="s">
        <v>12954</v>
      </c>
      <c r="E4390" s="1" t="s">
        <v>12955</v>
      </c>
      <c r="F4390" s="1">
        <v>188529.0</v>
      </c>
      <c r="G4390" s="1">
        <v>2401.0</v>
      </c>
      <c r="H4390" s="1">
        <v>1116.0</v>
      </c>
      <c r="I4390" s="1">
        <v>7070000.0</v>
      </c>
      <c r="J4390" s="1" t="s">
        <v>12283</v>
      </c>
    </row>
    <row r="4391">
      <c r="A4391" s="1" t="s">
        <v>13600</v>
      </c>
      <c r="B4391" s="1" t="s">
        <v>13601</v>
      </c>
      <c r="C4391" s="1" t="s">
        <v>13602</v>
      </c>
      <c r="D4391" s="1" t="s">
        <v>12954</v>
      </c>
      <c r="E4391" s="1" t="s">
        <v>12955</v>
      </c>
      <c r="F4391" s="1">
        <v>14067.0</v>
      </c>
      <c r="G4391" s="1">
        <v>159.0</v>
      </c>
      <c r="H4391" s="1">
        <v>148.0</v>
      </c>
      <c r="I4391" s="1">
        <v>7070000.0</v>
      </c>
      <c r="J4391" s="1" t="s">
        <v>12283</v>
      </c>
    </row>
    <row r="4392">
      <c r="A4392" s="1" t="s">
        <v>13603</v>
      </c>
      <c r="B4392" s="1" t="s">
        <v>13604</v>
      </c>
      <c r="C4392" s="1" t="s">
        <v>13605</v>
      </c>
      <c r="D4392" s="1" t="s">
        <v>12954</v>
      </c>
      <c r="E4392" s="1" t="s">
        <v>12955</v>
      </c>
      <c r="F4392" s="1">
        <v>10879.0</v>
      </c>
      <c r="G4392" s="1">
        <v>50.0</v>
      </c>
      <c r="H4392" s="1">
        <v>21.0</v>
      </c>
      <c r="I4392" s="1">
        <v>7070000.0</v>
      </c>
      <c r="J4392" s="1" t="s">
        <v>12283</v>
      </c>
    </row>
    <row r="4393">
      <c r="A4393" s="1" t="s">
        <v>13609</v>
      </c>
      <c r="B4393" s="1" t="s">
        <v>13610</v>
      </c>
      <c r="C4393" s="1" t="s">
        <v>13611</v>
      </c>
      <c r="D4393" s="1" t="s">
        <v>12954</v>
      </c>
      <c r="E4393" s="1" t="s">
        <v>12955</v>
      </c>
      <c r="F4393" s="1">
        <v>1680.0</v>
      </c>
      <c r="G4393" s="1">
        <v>17.0</v>
      </c>
      <c r="H4393" s="1">
        <v>1.0</v>
      </c>
      <c r="I4393" s="1">
        <v>7070000.0</v>
      </c>
      <c r="J4393" s="1" t="s">
        <v>12283</v>
      </c>
    </row>
    <row r="4394">
      <c r="A4394" s="1" t="s">
        <v>13612</v>
      </c>
      <c r="B4394" s="1" t="s">
        <v>13613</v>
      </c>
      <c r="C4394" s="1" t="s">
        <v>13614</v>
      </c>
      <c r="D4394" s="1" t="s">
        <v>12954</v>
      </c>
      <c r="E4394" s="1" t="s">
        <v>12955</v>
      </c>
      <c r="F4394" s="1">
        <v>11515.0</v>
      </c>
      <c r="G4394" s="1">
        <v>118.0</v>
      </c>
      <c r="H4394" s="1">
        <v>69.0</v>
      </c>
      <c r="I4394" s="1">
        <v>7070000.0</v>
      </c>
      <c r="J4394" s="1" t="s">
        <v>12283</v>
      </c>
    </row>
    <row r="4395">
      <c r="A4395" s="1" t="s">
        <v>13615</v>
      </c>
      <c r="B4395" s="1" t="s">
        <v>13616</v>
      </c>
      <c r="C4395" s="1" t="s">
        <v>13617</v>
      </c>
      <c r="D4395" s="1" t="s">
        <v>12954</v>
      </c>
      <c r="E4395" s="1" t="s">
        <v>12955</v>
      </c>
      <c r="F4395" s="1">
        <v>8401.0</v>
      </c>
      <c r="G4395" s="1">
        <v>57.0</v>
      </c>
      <c r="H4395" s="1">
        <v>104.0</v>
      </c>
      <c r="I4395" s="1">
        <v>7070000.0</v>
      </c>
      <c r="J4395" s="1" t="s">
        <v>12283</v>
      </c>
    </row>
    <row r="4396">
      <c r="A4396" s="1" t="s">
        <v>13618</v>
      </c>
      <c r="B4396" s="1" t="s">
        <v>13619</v>
      </c>
      <c r="C4396" s="1" t="s">
        <v>13620</v>
      </c>
      <c r="D4396" s="1" t="s">
        <v>12954</v>
      </c>
      <c r="E4396" s="1" t="s">
        <v>12955</v>
      </c>
      <c r="F4396" s="1">
        <v>4966.0</v>
      </c>
      <c r="G4396" s="1">
        <v>36.0</v>
      </c>
      <c r="H4396" s="1">
        <v>34.0</v>
      </c>
      <c r="I4396" s="1">
        <v>7070000.0</v>
      </c>
      <c r="J4396" s="1" t="s">
        <v>12283</v>
      </c>
    </row>
    <row r="4397">
      <c r="A4397" s="1" t="s">
        <v>13621</v>
      </c>
      <c r="B4397" s="1" t="s">
        <v>13622</v>
      </c>
      <c r="C4397" s="1" t="s">
        <v>13623</v>
      </c>
      <c r="D4397" s="1" t="s">
        <v>12954</v>
      </c>
      <c r="E4397" s="1" t="s">
        <v>12955</v>
      </c>
      <c r="F4397" s="1">
        <v>5413.0</v>
      </c>
      <c r="G4397" s="1">
        <v>81.0</v>
      </c>
      <c r="H4397" s="1">
        <v>25.0</v>
      </c>
      <c r="I4397" s="1">
        <v>7070000.0</v>
      </c>
      <c r="J4397" s="1" t="s">
        <v>12283</v>
      </c>
    </row>
    <row r="4398">
      <c r="A4398" s="1" t="s">
        <v>13624</v>
      </c>
      <c r="B4398" s="1" t="s">
        <v>13625</v>
      </c>
      <c r="C4398" s="1" t="s">
        <v>13626</v>
      </c>
      <c r="D4398" s="1" t="s">
        <v>12954</v>
      </c>
      <c r="E4398" s="1" t="s">
        <v>12955</v>
      </c>
      <c r="F4398" s="1">
        <v>1569.0</v>
      </c>
      <c r="G4398" s="1">
        <v>16.0</v>
      </c>
      <c r="H4398" s="1">
        <v>12.0</v>
      </c>
      <c r="I4398" s="1">
        <v>7070000.0</v>
      </c>
      <c r="J4398" s="1" t="s">
        <v>12283</v>
      </c>
    </row>
    <row r="4399">
      <c r="A4399" s="1" t="s">
        <v>13628</v>
      </c>
      <c r="B4399" s="1" t="s">
        <v>13630</v>
      </c>
      <c r="C4399" s="1" t="s">
        <v>13632</v>
      </c>
      <c r="D4399" s="1" t="s">
        <v>12954</v>
      </c>
      <c r="E4399" s="1" t="s">
        <v>12955</v>
      </c>
      <c r="F4399" s="1">
        <v>7339.0</v>
      </c>
      <c r="G4399" s="1">
        <v>87.0</v>
      </c>
      <c r="H4399" s="1">
        <v>42.0</v>
      </c>
      <c r="I4399" s="1">
        <v>7070000.0</v>
      </c>
      <c r="J4399" s="1" t="s">
        <v>12283</v>
      </c>
    </row>
    <row r="4400">
      <c r="A4400" s="1" t="s">
        <v>13633</v>
      </c>
      <c r="B4400" s="1" t="s">
        <v>13634</v>
      </c>
      <c r="C4400" s="1" t="s">
        <v>13635</v>
      </c>
      <c r="D4400" s="1" t="s">
        <v>12954</v>
      </c>
      <c r="E4400" s="1" t="s">
        <v>12955</v>
      </c>
      <c r="F4400" s="1">
        <v>6190.0</v>
      </c>
      <c r="G4400" s="1">
        <v>33.0</v>
      </c>
      <c r="H4400" s="1">
        <v>6.0</v>
      </c>
      <c r="I4400" s="1">
        <v>7070000.0</v>
      </c>
      <c r="J4400" s="1" t="s">
        <v>12283</v>
      </c>
    </row>
    <row r="4401">
      <c r="A4401" s="1" t="s">
        <v>13636</v>
      </c>
      <c r="B4401" s="1" t="s">
        <v>13637</v>
      </c>
      <c r="C4401" s="1" t="s">
        <v>13638</v>
      </c>
      <c r="D4401" s="1" t="s">
        <v>12954</v>
      </c>
      <c r="E4401" s="1" t="s">
        <v>12955</v>
      </c>
      <c r="F4401" s="1">
        <v>15436.0</v>
      </c>
      <c r="G4401" s="1">
        <v>152.0</v>
      </c>
      <c r="H4401" s="1">
        <v>134.0</v>
      </c>
      <c r="I4401" s="1">
        <v>7070000.0</v>
      </c>
      <c r="J4401" s="1" t="s">
        <v>12283</v>
      </c>
    </row>
    <row r="4402">
      <c r="A4402" s="1" t="s">
        <v>13639</v>
      </c>
      <c r="B4402" s="1" t="s">
        <v>13640</v>
      </c>
      <c r="C4402" s="1" t="s">
        <v>13641</v>
      </c>
      <c r="D4402" s="1" t="s">
        <v>13642</v>
      </c>
      <c r="E4402" s="1" t="s">
        <v>13643</v>
      </c>
      <c r="F4402" s="1">
        <v>7785.0</v>
      </c>
      <c r="G4402" s="1">
        <v>85.0</v>
      </c>
      <c r="H4402" s="1">
        <v>2.0</v>
      </c>
      <c r="I4402" s="1">
        <v>9330000.0</v>
      </c>
      <c r="J4402" s="1" t="s">
        <v>12283</v>
      </c>
    </row>
    <row r="4403">
      <c r="A4403" s="1" t="s">
        <v>13644</v>
      </c>
      <c r="B4403" s="1" t="s">
        <v>13645</v>
      </c>
      <c r="C4403" s="1" t="s">
        <v>13646</v>
      </c>
      <c r="D4403" s="1" t="s">
        <v>13642</v>
      </c>
      <c r="E4403" s="1" t="s">
        <v>13643</v>
      </c>
      <c r="F4403" s="1">
        <v>7082.0</v>
      </c>
      <c r="G4403" s="1">
        <v>87.0</v>
      </c>
      <c r="H4403" s="1">
        <v>2.0</v>
      </c>
      <c r="I4403" s="1">
        <v>9330000.0</v>
      </c>
      <c r="J4403" s="1" t="s">
        <v>12283</v>
      </c>
    </row>
    <row r="4404">
      <c r="A4404" s="1" t="s">
        <v>13647</v>
      </c>
      <c r="B4404" s="8" t="s">
        <v>13648</v>
      </c>
      <c r="C4404" s="1" t="s">
        <v>13649</v>
      </c>
      <c r="D4404" s="1" t="s">
        <v>13642</v>
      </c>
      <c r="E4404" s="1" t="s">
        <v>13643</v>
      </c>
      <c r="F4404" s="1">
        <v>1853.0</v>
      </c>
      <c r="G4404" s="1">
        <v>93.0</v>
      </c>
      <c r="H4404" s="1">
        <v>6.0</v>
      </c>
      <c r="I4404" s="1">
        <v>9330000.0</v>
      </c>
      <c r="J4404" s="1" t="s">
        <v>12283</v>
      </c>
    </row>
    <row r="4405">
      <c r="A4405" s="1" t="s">
        <v>13650</v>
      </c>
      <c r="B4405" s="1" t="s">
        <v>13651</v>
      </c>
      <c r="C4405" s="1" t="s">
        <v>13652</v>
      </c>
      <c r="D4405" s="1" t="s">
        <v>13642</v>
      </c>
      <c r="E4405" s="1" t="s">
        <v>13643</v>
      </c>
      <c r="F4405" s="1">
        <v>10015.0</v>
      </c>
      <c r="G4405" s="1">
        <v>124.0</v>
      </c>
      <c r="H4405" s="1">
        <v>2.0</v>
      </c>
      <c r="I4405" s="1">
        <v>9330000.0</v>
      </c>
      <c r="J4405" s="1" t="s">
        <v>12283</v>
      </c>
    </row>
    <row r="4406">
      <c r="A4406" s="1" t="s">
        <v>13656</v>
      </c>
      <c r="B4406" s="8" t="s">
        <v>13657</v>
      </c>
      <c r="C4406" s="1" t="s">
        <v>13658</v>
      </c>
      <c r="D4406" s="1" t="s">
        <v>13642</v>
      </c>
      <c r="E4406" s="1" t="s">
        <v>13643</v>
      </c>
      <c r="F4406" s="1">
        <v>1983.0</v>
      </c>
      <c r="G4406" s="1">
        <v>29.0</v>
      </c>
      <c r="H4406" s="1">
        <v>3.0</v>
      </c>
      <c r="I4406" s="1">
        <v>9330000.0</v>
      </c>
      <c r="J4406" s="1" t="s">
        <v>12283</v>
      </c>
    </row>
    <row r="4407">
      <c r="A4407" s="1" t="s">
        <v>13659</v>
      </c>
      <c r="B4407" s="1" t="s">
        <v>13660</v>
      </c>
      <c r="C4407" s="1" t="s">
        <v>13661</v>
      </c>
      <c r="D4407" s="1" t="s">
        <v>13642</v>
      </c>
      <c r="E4407" s="1" t="s">
        <v>13643</v>
      </c>
      <c r="F4407" s="1">
        <v>120412.0</v>
      </c>
      <c r="G4407" s="1">
        <v>1405.0</v>
      </c>
      <c r="H4407" s="1">
        <v>24.0</v>
      </c>
      <c r="I4407" s="1">
        <v>9330000.0</v>
      </c>
      <c r="J4407" s="1" t="s">
        <v>12283</v>
      </c>
    </row>
    <row r="4408">
      <c r="A4408" s="1" t="s">
        <v>13662</v>
      </c>
      <c r="B4408" s="8" t="s">
        <v>13663</v>
      </c>
      <c r="C4408" s="1" t="s">
        <v>13664</v>
      </c>
      <c r="D4408" s="1" t="s">
        <v>13642</v>
      </c>
      <c r="E4408" s="1" t="s">
        <v>13643</v>
      </c>
      <c r="F4408" s="1">
        <v>17911.0</v>
      </c>
      <c r="G4408" s="1">
        <v>216.0</v>
      </c>
      <c r="H4408" s="1">
        <v>0.0</v>
      </c>
      <c r="I4408" s="1">
        <v>9330000.0</v>
      </c>
      <c r="J4408" s="1" t="s">
        <v>12283</v>
      </c>
    </row>
    <row r="4409">
      <c r="A4409" s="1" t="s">
        <v>13665</v>
      </c>
      <c r="B4409" s="1" t="s">
        <v>13666</v>
      </c>
      <c r="C4409" s="1" t="s">
        <v>13667</v>
      </c>
      <c r="D4409" s="1" t="s">
        <v>13642</v>
      </c>
      <c r="E4409" s="1" t="s">
        <v>13643</v>
      </c>
      <c r="F4409" s="1">
        <v>1666.0</v>
      </c>
      <c r="G4409" s="1">
        <v>39.0</v>
      </c>
      <c r="H4409" s="1">
        <v>6.0</v>
      </c>
      <c r="I4409" s="1">
        <v>9330000.0</v>
      </c>
      <c r="J4409" s="1" t="s">
        <v>12283</v>
      </c>
    </row>
    <row r="4410">
      <c r="A4410" s="1" t="s">
        <v>13668</v>
      </c>
      <c r="B4410" s="1" t="s">
        <v>13669</v>
      </c>
      <c r="C4410" s="1" t="s">
        <v>13670</v>
      </c>
      <c r="D4410" s="1" t="s">
        <v>13642</v>
      </c>
      <c r="E4410" s="1" t="s">
        <v>13643</v>
      </c>
      <c r="F4410" s="1">
        <v>5573.0</v>
      </c>
      <c r="G4410" s="1">
        <v>168.0</v>
      </c>
      <c r="H4410" s="1">
        <v>59.0</v>
      </c>
      <c r="I4410" s="1">
        <v>9330000.0</v>
      </c>
      <c r="J4410" s="1" t="s">
        <v>12283</v>
      </c>
    </row>
    <row r="4411">
      <c r="A4411" s="1" t="s">
        <v>13671</v>
      </c>
      <c r="B4411" s="1" t="s">
        <v>13673</v>
      </c>
      <c r="C4411" s="1" t="s">
        <v>13675</v>
      </c>
      <c r="D4411" s="1" t="s">
        <v>13642</v>
      </c>
      <c r="E4411" s="1" t="s">
        <v>13643</v>
      </c>
      <c r="F4411" s="1">
        <v>915.0</v>
      </c>
      <c r="G4411" s="1">
        <v>11.0</v>
      </c>
      <c r="H4411" s="1">
        <v>1.0</v>
      </c>
      <c r="I4411" s="1">
        <v>9330000.0</v>
      </c>
      <c r="J4411" s="1" t="s">
        <v>12283</v>
      </c>
    </row>
    <row r="4412">
      <c r="A4412" s="1" t="s">
        <v>13677</v>
      </c>
      <c r="B4412" s="1" t="s">
        <v>13678</v>
      </c>
      <c r="C4412" s="1" t="s">
        <v>13679</v>
      </c>
      <c r="D4412" s="1" t="s">
        <v>13642</v>
      </c>
      <c r="E4412" s="1" t="s">
        <v>13643</v>
      </c>
      <c r="F4412" s="1">
        <v>5193.0</v>
      </c>
      <c r="G4412" s="1">
        <v>71.0</v>
      </c>
      <c r="H4412" s="1">
        <v>9.0</v>
      </c>
      <c r="I4412" s="1">
        <v>9330000.0</v>
      </c>
      <c r="J4412" s="1" t="s">
        <v>12283</v>
      </c>
    </row>
    <row r="4413">
      <c r="A4413" s="1" t="s">
        <v>13680</v>
      </c>
      <c r="B4413" s="1" t="s">
        <v>13681</v>
      </c>
      <c r="C4413" s="1" t="s">
        <v>13682</v>
      </c>
      <c r="D4413" s="1" t="s">
        <v>13642</v>
      </c>
      <c r="E4413" s="1" t="s">
        <v>13643</v>
      </c>
      <c r="F4413" s="1">
        <v>17565.0</v>
      </c>
      <c r="G4413" s="1">
        <v>275.0</v>
      </c>
      <c r="H4413" s="1">
        <v>55.0</v>
      </c>
      <c r="I4413" s="1">
        <v>9330000.0</v>
      </c>
      <c r="J4413" s="1" t="s">
        <v>12283</v>
      </c>
    </row>
    <row r="4414">
      <c r="A4414" s="1" t="s">
        <v>13683</v>
      </c>
      <c r="B4414" s="1" t="s">
        <v>13684</v>
      </c>
      <c r="C4414" s="1" t="s">
        <v>13685</v>
      </c>
      <c r="D4414" s="1" t="s">
        <v>13642</v>
      </c>
      <c r="E4414" s="1" t="s">
        <v>13643</v>
      </c>
      <c r="F4414" s="1">
        <v>74203.0</v>
      </c>
      <c r="G4414" s="1">
        <v>1925.0</v>
      </c>
      <c r="H4414" s="1">
        <v>202.0</v>
      </c>
      <c r="I4414" s="1">
        <v>9330000.0</v>
      </c>
      <c r="J4414" s="1" t="s">
        <v>12283</v>
      </c>
    </row>
    <row r="4415">
      <c r="A4415" s="1" t="s">
        <v>13686</v>
      </c>
      <c r="B4415" s="1" t="s">
        <v>13687</v>
      </c>
      <c r="C4415" s="1" t="s">
        <v>13688</v>
      </c>
      <c r="D4415" s="1" t="s">
        <v>13642</v>
      </c>
      <c r="E4415" s="1" t="s">
        <v>13643</v>
      </c>
      <c r="F4415" s="1">
        <v>165227.0</v>
      </c>
      <c r="G4415" s="1">
        <v>1163.0</v>
      </c>
      <c r="H4415" s="1">
        <v>427.0</v>
      </c>
      <c r="I4415" s="1">
        <v>9330000.0</v>
      </c>
      <c r="J4415" s="1" t="s">
        <v>12283</v>
      </c>
    </row>
    <row r="4416">
      <c r="A4416" s="1" t="s">
        <v>13689</v>
      </c>
      <c r="B4416" s="1" t="s">
        <v>13690</v>
      </c>
      <c r="C4416" s="1" t="s">
        <v>13691</v>
      </c>
      <c r="D4416" s="1" t="s">
        <v>13642</v>
      </c>
      <c r="E4416" s="1" t="s">
        <v>13643</v>
      </c>
      <c r="F4416" s="1">
        <v>11358.0</v>
      </c>
      <c r="G4416" s="1">
        <v>179.0</v>
      </c>
      <c r="H4416" s="1">
        <v>70.0</v>
      </c>
      <c r="I4416" s="1">
        <v>9330000.0</v>
      </c>
      <c r="J4416" s="1" t="s">
        <v>12283</v>
      </c>
    </row>
    <row r="4417">
      <c r="A4417" s="1" t="s">
        <v>13695</v>
      </c>
      <c r="B4417" s="1" t="s">
        <v>13696</v>
      </c>
      <c r="C4417" s="1" t="s">
        <v>13697</v>
      </c>
      <c r="D4417" s="1" t="s">
        <v>13642</v>
      </c>
      <c r="E4417" s="1" t="s">
        <v>13643</v>
      </c>
      <c r="F4417" s="1">
        <v>56583.0</v>
      </c>
      <c r="G4417" s="1">
        <v>472.0</v>
      </c>
      <c r="H4417" s="1">
        <v>137.0</v>
      </c>
      <c r="I4417" s="1">
        <v>9330000.0</v>
      </c>
      <c r="J4417" s="1" t="s">
        <v>12283</v>
      </c>
    </row>
    <row r="4418">
      <c r="A4418" s="1" t="s">
        <v>13698</v>
      </c>
      <c r="B4418" s="1" t="s">
        <v>13699</v>
      </c>
      <c r="C4418" s="1" t="s">
        <v>13700</v>
      </c>
      <c r="D4418" s="1" t="s">
        <v>13642</v>
      </c>
      <c r="E4418" s="1" t="s">
        <v>13643</v>
      </c>
      <c r="F4418" s="1">
        <v>3707.0</v>
      </c>
      <c r="G4418" s="1">
        <v>53.0</v>
      </c>
      <c r="H4418" s="1">
        <v>10.0</v>
      </c>
      <c r="I4418" s="1">
        <v>9330000.0</v>
      </c>
      <c r="J4418" s="1" t="s">
        <v>12283</v>
      </c>
    </row>
    <row r="4419">
      <c r="A4419" s="1" t="s">
        <v>13701</v>
      </c>
      <c r="B4419" s="1" t="s">
        <v>13702</v>
      </c>
      <c r="C4419" s="1" t="s">
        <v>13703</v>
      </c>
      <c r="D4419" s="1" t="s">
        <v>13642</v>
      </c>
      <c r="E4419" s="1" t="s">
        <v>13643</v>
      </c>
      <c r="F4419" s="1">
        <v>7915.0</v>
      </c>
      <c r="G4419" s="1">
        <v>88.0</v>
      </c>
      <c r="H4419" s="1">
        <v>17.0</v>
      </c>
      <c r="I4419" s="1">
        <v>9330000.0</v>
      </c>
      <c r="J4419" s="1" t="s">
        <v>12283</v>
      </c>
    </row>
    <row r="4420">
      <c r="A4420" s="1" t="s">
        <v>13704</v>
      </c>
      <c r="B4420" s="1" t="s">
        <v>13705</v>
      </c>
      <c r="C4420" s="1" t="s">
        <v>13706</v>
      </c>
      <c r="D4420" s="1" t="s">
        <v>13642</v>
      </c>
      <c r="E4420" s="1" t="s">
        <v>13643</v>
      </c>
      <c r="F4420" s="1">
        <v>25724.0</v>
      </c>
      <c r="G4420" s="1">
        <v>570.0</v>
      </c>
      <c r="H4420" s="1">
        <v>78.0</v>
      </c>
      <c r="I4420" s="1">
        <v>9330000.0</v>
      </c>
      <c r="J4420" s="1" t="s">
        <v>12283</v>
      </c>
    </row>
    <row r="4421">
      <c r="A4421" s="1" t="s">
        <v>13707</v>
      </c>
      <c r="B4421" s="1" t="s">
        <v>13708</v>
      </c>
      <c r="C4421" s="1" t="s">
        <v>13710</v>
      </c>
      <c r="D4421" s="1" t="s">
        <v>13642</v>
      </c>
      <c r="E4421" s="1" t="s">
        <v>13643</v>
      </c>
      <c r="F4421" s="1">
        <v>11360.0</v>
      </c>
      <c r="G4421" s="1">
        <v>175.0</v>
      </c>
      <c r="H4421" s="1">
        <v>43.0</v>
      </c>
      <c r="I4421" s="1">
        <v>9330000.0</v>
      </c>
      <c r="J4421" s="1" t="s">
        <v>12283</v>
      </c>
    </row>
    <row r="4422">
      <c r="A4422" s="1" t="s">
        <v>13713</v>
      </c>
      <c r="B4422" s="1" t="s">
        <v>13714</v>
      </c>
      <c r="C4422" s="1" t="s">
        <v>13715</v>
      </c>
      <c r="D4422" s="1" t="s">
        <v>13642</v>
      </c>
      <c r="E4422" s="1" t="s">
        <v>13643</v>
      </c>
      <c r="F4422" s="1">
        <v>130514.0</v>
      </c>
      <c r="G4422" s="1">
        <v>1670.0</v>
      </c>
      <c r="H4422" s="1">
        <v>825.0</v>
      </c>
      <c r="I4422" s="1">
        <v>9330000.0</v>
      </c>
      <c r="J4422" s="1" t="s">
        <v>12283</v>
      </c>
    </row>
    <row r="4423">
      <c r="A4423" s="1" t="s">
        <v>13716</v>
      </c>
      <c r="B4423" s="1" t="s">
        <v>13717</v>
      </c>
      <c r="C4423" s="1" t="s">
        <v>13718</v>
      </c>
      <c r="D4423" s="1" t="s">
        <v>13642</v>
      </c>
      <c r="E4423" s="1" t="s">
        <v>13643</v>
      </c>
      <c r="F4423" s="1">
        <v>73003.0</v>
      </c>
      <c r="G4423" s="1">
        <v>389.0</v>
      </c>
      <c r="H4423" s="1">
        <v>0.0</v>
      </c>
      <c r="I4423" s="1">
        <v>9330000.0</v>
      </c>
      <c r="J4423" s="1" t="s">
        <v>12283</v>
      </c>
    </row>
    <row r="4424">
      <c r="A4424" s="1" t="s">
        <v>13719</v>
      </c>
      <c r="B4424" s="1" t="s">
        <v>13720</v>
      </c>
      <c r="C4424" s="1" t="s">
        <v>13721</v>
      </c>
      <c r="D4424" s="1" t="s">
        <v>13642</v>
      </c>
      <c r="E4424" s="1" t="s">
        <v>13643</v>
      </c>
      <c r="F4424" s="1">
        <v>0.0</v>
      </c>
      <c r="G4424" s="1">
        <v>5.0</v>
      </c>
      <c r="H4424" s="1">
        <v>0.0</v>
      </c>
      <c r="I4424" s="1">
        <v>9330000.0</v>
      </c>
      <c r="J4424" s="1" t="s">
        <v>12283</v>
      </c>
    </row>
    <row r="4425">
      <c r="A4425" s="1" t="s">
        <v>13722</v>
      </c>
      <c r="B4425" s="1" t="s">
        <v>13723</v>
      </c>
      <c r="C4425" s="1" t="s">
        <v>13724</v>
      </c>
      <c r="D4425" s="1" t="s">
        <v>13642</v>
      </c>
      <c r="E4425" s="1" t="s">
        <v>13643</v>
      </c>
      <c r="F4425" s="1">
        <v>5571.0</v>
      </c>
      <c r="G4425" s="1">
        <v>65.0</v>
      </c>
      <c r="H4425" s="1">
        <v>13.0</v>
      </c>
      <c r="I4425" s="1">
        <v>9330000.0</v>
      </c>
      <c r="J4425" s="1" t="s">
        <v>12283</v>
      </c>
    </row>
    <row r="4426">
      <c r="A4426" s="1" t="s">
        <v>13725</v>
      </c>
      <c r="B4426" s="1" t="s">
        <v>13726</v>
      </c>
      <c r="C4426" s="1" t="s">
        <v>13727</v>
      </c>
      <c r="D4426" s="1" t="s">
        <v>13642</v>
      </c>
      <c r="E4426" s="1" t="s">
        <v>13643</v>
      </c>
      <c r="F4426" s="1">
        <v>10638.0</v>
      </c>
      <c r="G4426" s="1">
        <v>159.0</v>
      </c>
      <c r="H4426" s="1">
        <v>18.0</v>
      </c>
      <c r="I4426" s="1">
        <v>9330000.0</v>
      </c>
      <c r="J4426" s="1" t="s">
        <v>12283</v>
      </c>
    </row>
    <row r="4427">
      <c r="A4427" s="1" t="s">
        <v>13728</v>
      </c>
      <c r="B4427" s="1" t="s">
        <v>13729</v>
      </c>
      <c r="C4427" s="1" t="s">
        <v>13730</v>
      </c>
      <c r="D4427" s="1" t="s">
        <v>13642</v>
      </c>
      <c r="E4427" s="1" t="s">
        <v>13643</v>
      </c>
      <c r="F4427" s="1">
        <v>20819.0</v>
      </c>
      <c r="G4427" s="1">
        <v>100.0</v>
      </c>
      <c r="H4427" s="1">
        <v>24.0</v>
      </c>
      <c r="I4427" s="1">
        <v>9330000.0</v>
      </c>
      <c r="J4427" s="1" t="s">
        <v>12283</v>
      </c>
    </row>
    <row r="4428">
      <c r="A4428" s="1" t="s">
        <v>13731</v>
      </c>
      <c r="B4428" s="1" t="s">
        <v>13732</v>
      </c>
      <c r="C4428" s="1" t="s">
        <v>13733</v>
      </c>
      <c r="D4428" s="1" t="s">
        <v>13642</v>
      </c>
      <c r="E4428" s="1" t="s">
        <v>13643</v>
      </c>
      <c r="F4428" s="1">
        <v>0.0</v>
      </c>
      <c r="G4428" s="1">
        <v>1.0</v>
      </c>
      <c r="H4428" s="1">
        <v>0.0</v>
      </c>
      <c r="I4428" s="1">
        <v>9330000.0</v>
      </c>
      <c r="J4428" s="1" t="s">
        <v>12283</v>
      </c>
    </row>
    <row r="4429">
      <c r="A4429" s="1" t="s">
        <v>13734</v>
      </c>
      <c r="B4429" s="1" t="s">
        <v>13736</v>
      </c>
      <c r="C4429" s="1" t="s">
        <v>13738</v>
      </c>
      <c r="D4429" s="1" t="s">
        <v>13642</v>
      </c>
      <c r="E4429" s="1" t="s">
        <v>13643</v>
      </c>
      <c r="F4429" s="1">
        <v>3236.0</v>
      </c>
      <c r="G4429" s="1">
        <v>45.0</v>
      </c>
      <c r="H4429" s="1">
        <v>16.0</v>
      </c>
      <c r="I4429" s="1">
        <v>9330000.0</v>
      </c>
      <c r="J4429" s="1" t="s">
        <v>12283</v>
      </c>
    </row>
    <row r="4430">
      <c r="A4430" s="1" t="s">
        <v>13740</v>
      </c>
      <c r="B4430" s="8" t="s">
        <v>13741</v>
      </c>
      <c r="C4430" s="1" t="s">
        <v>13742</v>
      </c>
      <c r="D4430" s="1" t="s">
        <v>13642</v>
      </c>
      <c r="E4430" s="1" t="s">
        <v>13643</v>
      </c>
      <c r="F4430" s="1">
        <v>15972.0</v>
      </c>
      <c r="G4430" s="1">
        <v>244.0</v>
      </c>
      <c r="H4430" s="1">
        <v>44.0</v>
      </c>
      <c r="I4430" s="1">
        <v>9330000.0</v>
      </c>
      <c r="J4430" s="1" t="s">
        <v>12283</v>
      </c>
    </row>
    <row r="4431">
      <c r="A4431" s="1" t="s">
        <v>13743</v>
      </c>
      <c r="B4431" s="1" t="s">
        <v>13744</v>
      </c>
      <c r="C4431" s="1" t="s">
        <v>13745</v>
      </c>
      <c r="D4431" s="1" t="s">
        <v>13642</v>
      </c>
      <c r="E4431" s="1" t="s">
        <v>13643</v>
      </c>
      <c r="F4431" s="1">
        <v>86672.0</v>
      </c>
      <c r="G4431" s="1">
        <v>1467.0</v>
      </c>
      <c r="H4431" s="1">
        <v>308.0</v>
      </c>
      <c r="I4431" s="1">
        <v>9330000.0</v>
      </c>
      <c r="J4431" s="1" t="s">
        <v>12283</v>
      </c>
    </row>
    <row r="4432">
      <c r="A4432" s="1" t="s">
        <v>13746</v>
      </c>
      <c r="B4432" s="1" t="s">
        <v>13747</v>
      </c>
      <c r="C4432" s="1" t="s">
        <v>13748</v>
      </c>
      <c r="D4432" s="1" t="s">
        <v>13642</v>
      </c>
      <c r="E4432" s="1" t="s">
        <v>13643</v>
      </c>
      <c r="F4432" s="1">
        <v>6894.0</v>
      </c>
      <c r="G4432" s="1">
        <v>89.0</v>
      </c>
      <c r="H4432" s="1">
        <v>9.0</v>
      </c>
      <c r="I4432" s="1">
        <v>9330000.0</v>
      </c>
      <c r="J4432" s="1" t="s">
        <v>12283</v>
      </c>
    </row>
    <row r="4433">
      <c r="A4433" s="1" t="s">
        <v>13749</v>
      </c>
      <c r="B4433" s="1" t="s">
        <v>13750</v>
      </c>
      <c r="C4433" s="1" t="s">
        <v>13751</v>
      </c>
      <c r="D4433" s="1" t="s">
        <v>13642</v>
      </c>
      <c r="E4433" s="1" t="s">
        <v>13643</v>
      </c>
      <c r="F4433" s="1">
        <v>6814.0</v>
      </c>
      <c r="G4433" s="1">
        <v>50.0</v>
      </c>
      <c r="H4433" s="1">
        <v>3.0</v>
      </c>
      <c r="I4433" s="1">
        <v>9330000.0</v>
      </c>
      <c r="J4433" s="1" t="s">
        <v>12283</v>
      </c>
    </row>
    <row r="4434">
      <c r="A4434" s="1" t="s">
        <v>13752</v>
      </c>
      <c r="B4434" s="1" t="s">
        <v>13753</v>
      </c>
      <c r="C4434" s="1" t="s">
        <v>13754</v>
      </c>
      <c r="D4434" s="1" t="s">
        <v>13642</v>
      </c>
      <c r="E4434" s="1" t="s">
        <v>13643</v>
      </c>
      <c r="F4434" s="1">
        <v>18285.0</v>
      </c>
      <c r="G4434" s="1">
        <v>200.0</v>
      </c>
      <c r="H4434" s="1">
        <v>3.0</v>
      </c>
      <c r="I4434" s="1">
        <v>9330000.0</v>
      </c>
      <c r="J4434" s="1" t="s">
        <v>12283</v>
      </c>
    </row>
    <row r="4435">
      <c r="A4435" s="1" t="s">
        <v>13755</v>
      </c>
      <c r="B4435" s="1" t="s">
        <v>13756</v>
      </c>
      <c r="C4435" s="1" t="s">
        <v>13757</v>
      </c>
      <c r="D4435" s="1" t="s">
        <v>13642</v>
      </c>
      <c r="E4435" s="1" t="s">
        <v>13643</v>
      </c>
      <c r="F4435" s="1">
        <v>10057.0</v>
      </c>
      <c r="G4435" s="1">
        <v>161.0</v>
      </c>
      <c r="H4435" s="1">
        <v>0.0</v>
      </c>
      <c r="I4435" s="1">
        <v>9330000.0</v>
      </c>
      <c r="J4435" s="1" t="s">
        <v>12283</v>
      </c>
    </row>
    <row r="4436">
      <c r="A4436" s="1" t="s">
        <v>13758</v>
      </c>
      <c r="B4436" s="1" t="s">
        <v>13760</v>
      </c>
      <c r="C4436" s="1" t="s">
        <v>13762</v>
      </c>
      <c r="D4436" s="1" t="s">
        <v>13642</v>
      </c>
      <c r="E4436" s="1" t="s">
        <v>13643</v>
      </c>
      <c r="F4436" s="1">
        <v>17818.0</v>
      </c>
      <c r="G4436" s="1">
        <v>280.0</v>
      </c>
      <c r="H4436" s="1">
        <v>95.0</v>
      </c>
      <c r="I4436" s="1">
        <v>9330000.0</v>
      </c>
      <c r="J4436" s="1" t="s">
        <v>12283</v>
      </c>
    </row>
    <row r="4437">
      <c r="A4437" s="1" t="s">
        <v>13764</v>
      </c>
      <c r="B4437" s="1" t="s">
        <v>13765</v>
      </c>
      <c r="C4437" s="1" t="s">
        <v>13766</v>
      </c>
      <c r="D4437" s="1" t="s">
        <v>13642</v>
      </c>
      <c r="E4437" s="1" t="s">
        <v>13643</v>
      </c>
      <c r="F4437" s="1">
        <v>15236.0</v>
      </c>
      <c r="G4437" s="1">
        <v>196.0</v>
      </c>
      <c r="H4437" s="1">
        <v>39.0</v>
      </c>
      <c r="I4437" s="1">
        <v>9330000.0</v>
      </c>
      <c r="J4437" s="1" t="s">
        <v>12283</v>
      </c>
    </row>
    <row r="4438">
      <c r="A4438" s="1" t="s">
        <v>13767</v>
      </c>
      <c r="B4438" s="1" t="s">
        <v>13756</v>
      </c>
      <c r="C4438" s="1" t="s">
        <v>13768</v>
      </c>
      <c r="D4438" s="1" t="s">
        <v>13642</v>
      </c>
      <c r="E4438" s="1" t="s">
        <v>13643</v>
      </c>
      <c r="F4438" s="1">
        <v>4562.0</v>
      </c>
      <c r="G4438" s="1">
        <v>75.0</v>
      </c>
      <c r="H4438" s="1">
        <v>14.0</v>
      </c>
      <c r="I4438" s="1">
        <v>9330000.0</v>
      </c>
      <c r="J4438" s="1" t="s">
        <v>12283</v>
      </c>
    </row>
    <row r="4439">
      <c r="A4439" s="1" t="s">
        <v>13769</v>
      </c>
      <c r="B4439" s="1" t="s">
        <v>13770</v>
      </c>
      <c r="C4439" s="1" t="s">
        <v>13771</v>
      </c>
      <c r="D4439" s="1" t="s">
        <v>13642</v>
      </c>
      <c r="E4439" s="1" t="s">
        <v>13643</v>
      </c>
      <c r="F4439" s="1">
        <v>6087.0</v>
      </c>
      <c r="G4439" s="1">
        <v>110.0</v>
      </c>
      <c r="H4439" s="1">
        <v>0.0</v>
      </c>
      <c r="I4439" s="1">
        <v>9330000.0</v>
      </c>
      <c r="J4439" s="1" t="s">
        <v>12283</v>
      </c>
    </row>
    <row r="4440">
      <c r="A4440" s="1" t="s">
        <v>13772</v>
      </c>
      <c r="B4440" s="1" t="s">
        <v>13773</v>
      </c>
      <c r="C4440" s="1" t="s">
        <v>13774</v>
      </c>
      <c r="D4440" s="1" t="s">
        <v>13642</v>
      </c>
      <c r="E4440" s="1" t="s">
        <v>13643</v>
      </c>
      <c r="F4440" s="1">
        <v>9191.0</v>
      </c>
      <c r="G4440" s="1">
        <v>82.0</v>
      </c>
      <c r="H4440" s="1">
        <v>6.0</v>
      </c>
      <c r="I4440" s="1">
        <v>9330000.0</v>
      </c>
      <c r="J4440" s="1" t="s">
        <v>12283</v>
      </c>
    </row>
    <row r="4441">
      <c r="A4441" s="1" t="s">
        <v>13775</v>
      </c>
      <c r="B4441" s="8" t="s">
        <v>13776</v>
      </c>
      <c r="C4441" s="1" t="s">
        <v>13777</v>
      </c>
      <c r="D4441" s="1" t="s">
        <v>13642</v>
      </c>
      <c r="E4441" s="1" t="s">
        <v>13643</v>
      </c>
      <c r="F4441" s="1">
        <v>17032.0</v>
      </c>
      <c r="G4441" s="1">
        <v>162.0</v>
      </c>
      <c r="H4441" s="1">
        <v>109.0</v>
      </c>
      <c r="I4441" s="1">
        <v>9330000.0</v>
      </c>
      <c r="J4441" s="1" t="s">
        <v>12283</v>
      </c>
    </row>
    <row r="4442">
      <c r="A4442" s="1" t="s">
        <v>13778</v>
      </c>
      <c r="B4442" s="1" t="s">
        <v>13779</v>
      </c>
      <c r="C4442" s="1" t="s">
        <v>13780</v>
      </c>
      <c r="D4442" s="1" t="s">
        <v>13642</v>
      </c>
      <c r="E4442" s="1" t="s">
        <v>13643</v>
      </c>
      <c r="F4442" s="1">
        <v>22393.0</v>
      </c>
      <c r="G4442" s="1">
        <v>126.0</v>
      </c>
      <c r="H4442" s="1">
        <v>0.0</v>
      </c>
      <c r="I4442" s="1">
        <v>9330000.0</v>
      </c>
      <c r="J4442" s="1" t="s">
        <v>12283</v>
      </c>
    </row>
    <row r="4443">
      <c r="A4443" s="1" t="s">
        <v>13784</v>
      </c>
      <c r="B4443" s="1" t="s">
        <v>13785</v>
      </c>
      <c r="C4443" s="1" t="s">
        <v>13786</v>
      </c>
      <c r="D4443" s="1" t="s">
        <v>13642</v>
      </c>
      <c r="E4443" s="1" t="s">
        <v>13643</v>
      </c>
      <c r="F4443" s="1">
        <v>10401.0</v>
      </c>
      <c r="G4443" s="1">
        <v>106.0</v>
      </c>
      <c r="H4443" s="1">
        <v>2.0</v>
      </c>
      <c r="I4443" s="1">
        <v>9330000.0</v>
      </c>
      <c r="J4443" s="1" t="s">
        <v>12283</v>
      </c>
    </row>
    <row r="4444">
      <c r="A4444" s="1" t="s">
        <v>13787</v>
      </c>
      <c r="B4444" s="1" t="s">
        <v>13788</v>
      </c>
      <c r="C4444" s="1" t="s">
        <v>13789</v>
      </c>
      <c r="D4444" s="1" t="s">
        <v>13642</v>
      </c>
      <c r="E4444" s="1" t="s">
        <v>13643</v>
      </c>
      <c r="F4444" s="1">
        <v>64143.0</v>
      </c>
      <c r="G4444" s="1">
        <v>87.0</v>
      </c>
      <c r="H4444" s="1">
        <v>0.0</v>
      </c>
      <c r="I4444" s="1">
        <v>9330000.0</v>
      </c>
      <c r="J4444" s="1" t="s">
        <v>12283</v>
      </c>
    </row>
    <row r="4445">
      <c r="A4445" s="1" t="s">
        <v>13790</v>
      </c>
      <c r="B4445" s="1" t="s">
        <v>13791</v>
      </c>
      <c r="C4445" s="1" t="s">
        <v>13792</v>
      </c>
      <c r="D4445" s="1" t="s">
        <v>13642</v>
      </c>
      <c r="E4445" s="1" t="s">
        <v>13643</v>
      </c>
      <c r="F4445" s="1">
        <v>4565.0</v>
      </c>
      <c r="G4445" s="1">
        <v>126.0</v>
      </c>
      <c r="H4445" s="1">
        <v>23.0</v>
      </c>
      <c r="I4445" s="1">
        <v>9330000.0</v>
      </c>
      <c r="J4445" s="1" t="s">
        <v>12283</v>
      </c>
    </row>
    <row r="4446">
      <c r="A4446" s="1" t="s">
        <v>13793</v>
      </c>
      <c r="B4446" s="1" t="s">
        <v>13794</v>
      </c>
      <c r="C4446" s="1" t="s">
        <v>13795</v>
      </c>
      <c r="D4446" s="1" t="s">
        <v>13642</v>
      </c>
      <c r="E4446" s="1" t="s">
        <v>13643</v>
      </c>
      <c r="F4446" s="1">
        <v>94379.0</v>
      </c>
      <c r="G4446" s="1">
        <v>389.0</v>
      </c>
      <c r="H4446" s="1">
        <v>0.0</v>
      </c>
      <c r="I4446" s="1">
        <v>9330000.0</v>
      </c>
      <c r="J4446" s="1" t="s">
        <v>12283</v>
      </c>
    </row>
    <row r="4447">
      <c r="A4447" s="1" t="s">
        <v>13796</v>
      </c>
      <c r="B4447" s="1" t="s">
        <v>13797</v>
      </c>
      <c r="C4447" s="1" t="s">
        <v>13798</v>
      </c>
      <c r="D4447" s="1" t="s">
        <v>13642</v>
      </c>
      <c r="E4447" s="1" t="s">
        <v>13643</v>
      </c>
      <c r="F4447" s="1">
        <v>16869.0</v>
      </c>
      <c r="G4447" s="1">
        <v>125.0</v>
      </c>
      <c r="H4447" s="1">
        <v>72.0</v>
      </c>
      <c r="I4447" s="1">
        <v>9330000.0</v>
      </c>
      <c r="J4447" s="1" t="s">
        <v>12283</v>
      </c>
    </row>
    <row r="4448">
      <c r="A4448" s="1" t="s">
        <v>13799</v>
      </c>
      <c r="B4448" s="1" t="s">
        <v>13788</v>
      </c>
      <c r="C4448" s="1" t="s">
        <v>13800</v>
      </c>
      <c r="D4448" s="1" t="s">
        <v>13642</v>
      </c>
      <c r="E4448" s="1" t="s">
        <v>13643</v>
      </c>
      <c r="F4448" s="1">
        <v>12606.0</v>
      </c>
      <c r="G4448" s="1">
        <v>99.0</v>
      </c>
      <c r="H4448" s="1">
        <v>0.0</v>
      </c>
      <c r="I4448" s="1">
        <v>9330000.0</v>
      </c>
      <c r="J4448" s="1" t="s">
        <v>12283</v>
      </c>
    </row>
    <row r="4449">
      <c r="A4449" s="1" t="s">
        <v>13801</v>
      </c>
      <c r="B4449" s="1" t="s">
        <v>13802</v>
      </c>
      <c r="C4449" s="1" t="s">
        <v>13803</v>
      </c>
      <c r="D4449" s="1" t="s">
        <v>13642</v>
      </c>
      <c r="E4449" s="1" t="s">
        <v>13643</v>
      </c>
      <c r="F4449" s="1">
        <v>18217.0</v>
      </c>
      <c r="G4449" s="1">
        <v>185.0</v>
      </c>
      <c r="H4449" s="1">
        <v>84.0</v>
      </c>
      <c r="I4449" s="1">
        <v>9330000.0</v>
      </c>
      <c r="J4449" s="1" t="s">
        <v>12283</v>
      </c>
    </row>
    <row r="4450">
      <c r="A4450" s="1" t="s">
        <v>13804</v>
      </c>
      <c r="B4450" s="1" t="s">
        <v>13805</v>
      </c>
      <c r="C4450" s="1" t="s">
        <v>13806</v>
      </c>
      <c r="D4450" s="1" t="s">
        <v>13642</v>
      </c>
      <c r="E4450" s="1" t="s">
        <v>13643</v>
      </c>
      <c r="F4450" s="1">
        <v>2001.0</v>
      </c>
      <c r="G4450" s="1">
        <v>19.0</v>
      </c>
      <c r="H4450" s="1">
        <v>0.0</v>
      </c>
      <c r="I4450" s="1">
        <v>9330000.0</v>
      </c>
      <c r="J4450" s="1" t="s">
        <v>12283</v>
      </c>
    </row>
    <row r="4451">
      <c r="A4451" s="1" t="s">
        <v>13808</v>
      </c>
      <c r="B4451" s="1" t="s">
        <v>13810</v>
      </c>
      <c r="C4451" s="1" t="s">
        <v>13812</v>
      </c>
      <c r="D4451" s="1" t="s">
        <v>13642</v>
      </c>
      <c r="E4451" s="1" t="s">
        <v>13643</v>
      </c>
      <c r="F4451" s="1">
        <v>13911.0</v>
      </c>
      <c r="G4451" s="1">
        <v>165.0</v>
      </c>
      <c r="H4451" s="1">
        <v>0.0</v>
      </c>
      <c r="I4451" s="1">
        <v>9330000.0</v>
      </c>
      <c r="J4451" s="1" t="s">
        <v>12283</v>
      </c>
    </row>
    <row r="4452">
      <c r="A4452" s="1" t="s">
        <v>13813</v>
      </c>
      <c r="B4452" s="1" t="s">
        <v>13814</v>
      </c>
      <c r="C4452" s="1" t="s">
        <v>13815</v>
      </c>
      <c r="D4452" s="1" t="s">
        <v>13642</v>
      </c>
      <c r="E4452" s="1" t="s">
        <v>13643</v>
      </c>
      <c r="F4452" s="1">
        <v>19421.0</v>
      </c>
      <c r="G4452" s="1">
        <v>142.0</v>
      </c>
      <c r="H4452" s="1">
        <v>160.0</v>
      </c>
      <c r="I4452" s="1">
        <v>9330000.0</v>
      </c>
      <c r="J4452" s="1" t="s">
        <v>12283</v>
      </c>
    </row>
    <row r="4453">
      <c r="A4453" s="1" t="s">
        <v>13816</v>
      </c>
      <c r="B4453" s="1" t="s">
        <v>13817</v>
      </c>
      <c r="C4453" s="1" t="s">
        <v>13818</v>
      </c>
      <c r="D4453" s="1" t="s">
        <v>13642</v>
      </c>
      <c r="E4453" s="1" t="s">
        <v>13643</v>
      </c>
      <c r="F4453" s="1">
        <v>3995.0</v>
      </c>
      <c r="G4453" s="1">
        <v>44.0</v>
      </c>
      <c r="H4453" s="1">
        <v>32.0</v>
      </c>
      <c r="I4453" s="1">
        <v>9330000.0</v>
      </c>
      <c r="J4453" s="1" t="s">
        <v>12283</v>
      </c>
    </row>
    <row r="4454">
      <c r="A4454" s="1" t="s">
        <v>13819</v>
      </c>
      <c r="B4454" s="1" t="s">
        <v>13820</v>
      </c>
      <c r="C4454" s="1" t="s">
        <v>13821</v>
      </c>
      <c r="D4454" s="1" t="s">
        <v>13642</v>
      </c>
      <c r="E4454" s="1" t="s">
        <v>13643</v>
      </c>
      <c r="F4454" s="1">
        <v>261610.0</v>
      </c>
      <c r="G4454" s="1">
        <v>5341.0</v>
      </c>
      <c r="H4454" s="1">
        <v>1058.0</v>
      </c>
      <c r="I4454" s="1">
        <v>9330000.0</v>
      </c>
      <c r="J4454" s="1" t="s">
        <v>12283</v>
      </c>
    </row>
    <row r="4455">
      <c r="A4455" s="1" t="s">
        <v>13825</v>
      </c>
      <c r="B4455" s="1" t="s">
        <v>13826</v>
      </c>
      <c r="C4455" s="1" t="s">
        <v>13827</v>
      </c>
      <c r="D4455" s="1" t="s">
        <v>13642</v>
      </c>
      <c r="E4455" s="1" t="s">
        <v>13643</v>
      </c>
      <c r="F4455" s="1">
        <v>4162.0</v>
      </c>
      <c r="G4455" s="1">
        <v>45.0</v>
      </c>
      <c r="H4455" s="1">
        <v>5.0</v>
      </c>
      <c r="I4455" s="1">
        <v>9330000.0</v>
      </c>
      <c r="J4455" s="1" t="s">
        <v>12283</v>
      </c>
    </row>
    <row r="4456">
      <c r="A4456" s="1" t="s">
        <v>13828</v>
      </c>
      <c r="B4456" s="8" t="s">
        <v>13829</v>
      </c>
      <c r="C4456" s="1" t="s">
        <v>13830</v>
      </c>
      <c r="D4456" s="1" t="s">
        <v>13642</v>
      </c>
      <c r="E4456" s="1" t="s">
        <v>13643</v>
      </c>
      <c r="F4456" s="1">
        <v>27938.0</v>
      </c>
      <c r="G4456" s="1">
        <v>513.0</v>
      </c>
      <c r="H4456" s="1">
        <v>368.0</v>
      </c>
      <c r="I4456" s="1">
        <v>9330000.0</v>
      </c>
      <c r="J4456" s="1" t="s">
        <v>12283</v>
      </c>
    </row>
    <row r="4457">
      <c r="A4457" s="1" t="s">
        <v>13831</v>
      </c>
      <c r="B4457" s="1" t="s">
        <v>13832</v>
      </c>
      <c r="C4457" s="1" t="s">
        <v>13833</v>
      </c>
      <c r="D4457" s="1" t="s">
        <v>13642</v>
      </c>
      <c r="E4457" s="1" t="s">
        <v>13643</v>
      </c>
      <c r="F4457" s="1">
        <v>16228.0</v>
      </c>
      <c r="G4457" s="1">
        <v>228.0</v>
      </c>
      <c r="H4457" s="1">
        <v>0.0</v>
      </c>
      <c r="I4457" s="1">
        <v>9330000.0</v>
      </c>
      <c r="J4457" s="1" t="s">
        <v>12283</v>
      </c>
    </row>
    <row r="4458">
      <c r="A4458" s="1" t="s">
        <v>13834</v>
      </c>
      <c r="B4458" s="1" t="s">
        <v>13835</v>
      </c>
      <c r="C4458" s="1" t="s">
        <v>13837</v>
      </c>
      <c r="D4458" s="1" t="s">
        <v>13642</v>
      </c>
      <c r="E4458" s="1" t="s">
        <v>13643</v>
      </c>
      <c r="F4458" s="1">
        <v>9793.0</v>
      </c>
      <c r="G4458" s="1">
        <v>154.0</v>
      </c>
      <c r="H4458" s="1">
        <v>28.0</v>
      </c>
      <c r="I4458" s="1">
        <v>9330000.0</v>
      </c>
      <c r="J4458" s="1" t="s">
        <v>12283</v>
      </c>
    </row>
    <row r="4459">
      <c r="A4459" s="1" t="s">
        <v>13840</v>
      </c>
      <c r="B4459" s="1" t="s">
        <v>13841</v>
      </c>
      <c r="C4459" s="1" t="s">
        <v>13842</v>
      </c>
      <c r="D4459" s="1" t="s">
        <v>13642</v>
      </c>
      <c r="E4459" s="1" t="s">
        <v>13643</v>
      </c>
      <c r="F4459" s="1">
        <v>13446.0</v>
      </c>
      <c r="G4459" s="1">
        <v>133.0</v>
      </c>
      <c r="H4459" s="1">
        <v>77.0</v>
      </c>
      <c r="I4459" s="1">
        <v>9330000.0</v>
      </c>
      <c r="J4459" s="1" t="s">
        <v>12283</v>
      </c>
    </row>
    <row r="4460">
      <c r="A4460" s="1" t="s">
        <v>13843</v>
      </c>
      <c r="B4460" s="1" t="s">
        <v>13844</v>
      </c>
      <c r="C4460" s="1" t="s">
        <v>13845</v>
      </c>
      <c r="D4460" s="1" t="s">
        <v>13642</v>
      </c>
      <c r="E4460" s="1" t="s">
        <v>13643</v>
      </c>
      <c r="F4460" s="1">
        <v>174977.0</v>
      </c>
      <c r="G4460" s="1">
        <v>1159.0</v>
      </c>
      <c r="H4460" s="1">
        <v>0.0</v>
      </c>
      <c r="I4460" s="1">
        <v>9330000.0</v>
      </c>
      <c r="J4460" s="1" t="s">
        <v>12283</v>
      </c>
    </row>
    <row r="4461">
      <c r="A4461" s="1" t="s">
        <v>13846</v>
      </c>
      <c r="B4461" s="1" t="s">
        <v>13847</v>
      </c>
      <c r="C4461" s="1" t="s">
        <v>13848</v>
      </c>
      <c r="D4461" s="1" t="s">
        <v>13642</v>
      </c>
      <c r="E4461" s="1" t="s">
        <v>13643</v>
      </c>
      <c r="F4461" s="1">
        <v>28314.0</v>
      </c>
      <c r="G4461" s="1">
        <v>186.0</v>
      </c>
      <c r="H4461" s="1">
        <v>0.0</v>
      </c>
      <c r="I4461" s="1">
        <v>9330000.0</v>
      </c>
      <c r="J4461" s="1" t="s">
        <v>12283</v>
      </c>
    </row>
    <row r="4462">
      <c r="A4462" s="1" t="s">
        <v>13849</v>
      </c>
      <c r="B4462" s="8" t="s">
        <v>13850</v>
      </c>
      <c r="C4462" s="1" t="s">
        <v>13851</v>
      </c>
      <c r="D4462" s="1" t="s">
        <v>13642</v>
      </c>
      <c r="E4462" s="1" t="s">
        <v>13643</v>
      </c>
      <c r="F4462" s="1">
        <v>2858.0</v>
      </c>
      <c r="G4462" s="1">
        <v>37.0</v>
      </c>
      <c r="H4462" s="1">
        <v>3.0</v>
      </c>
      <c r="I4462" s="1">
        <v>9330000.0</v>
      </c>
      <c r="J4462" s="1" t="s">
        <v>12283</v>
      </c>
    </row>
    <row r="4463">
      <c r="A4463" s="1" t="s">
        <v>13852</v>
      </c>
      <c r="B4463" s="1" t="s">
        <v>13853</v>
      </c>
      <c r="C4463" s="1" t="s">
        <v>13854</v>
      </c>
      <c r="D4463" s="1" t="s">
        <v>13642</v>
      </c>
      <c r="E4463" s="1" t="s">
        <v>13643</v>
      </c>
      <c r="F4463" s="1">
        <v>3034.0</v>
      </c>
      <c r="G4463" s="1">
        <v>26.0</v>
      </c>
      <c r="H4463" s="1">
        <v>13.0</v>
      </c>
      <c r="I4463" s="1">
        <v>9330000.0</v>
      </c>
      <c r="J4463" s="1" t="s">
        <v>12283</v>
      </c>
    </row>
    <row r="4464">
      <c r="A4464" s="1" t="s">
        <v>13855</v>
      </c>
      <c r="B4464" s="1" t="s">
        <v>13856</v>
      </c>
      <c r="C4464" s="1" t="s">
        <v>13857</v>
      </c>
      <c r="D4464" s="1" t="s">
        <v>13642</v>
      </c>
      <c r="E4464" s="1" t="s">
        <v>13643</v>
      </c>
      <c r="F4464" s="1">
        <v>29271.0</v>
      </c>
      <c r="G4464" s="1">
        <v>282.0</v>
      </c>
      <c r="H4464" s="1">
        <v>44.0</v>
      </c>
      <c r="I4464" s="1">
        <v>9330000.0</v>
      </c>
      <c r="J4464" s="1" t="s">
        <v>12283</v>
      </c>
    </row>
    <row r="4465">
      <c r="A4465" s="1" t="s">
        <v>13860</v>
      </c>
      <c r="B4465" s="1" t="s">
        <v>13862</v>
      </c>
      <c r="C4465" s="1" t="s">
        <v>13863</v>
      </c>
      <c r="D4465" s="1" t="s">
        <v>13642</v>
      </c>
      <c r="E4465" s="1" t="s">
        <v>13643</v>
      </c>
      <c r="F4465" s="1">
        <v>14653.0</v>
      </c>
      <c r="G4465" s="1">
        <v>172.0</v>
      </c>
      <c r="H4465" s="1">
        <v>39.0</v>
      </c>
      <c r="I4465" s="1">
        <v>9330000.0</v>
      </c>
      <c r="J4465" s="1" t="s">
        <v>12283</v>
      </c>
    </row>
    <row r="4466">
      <c r="A4466" s="1" t="s">
        <v>13864</v>
      </c>
      <c r="B4466" s="1" t="s">
        <v>13865</v>
      </c>
      <c r="C4466" s="1" t="s">
        <v>13866</v>
      </c>
      <c r="D4466" s="1" t="s">
        <v>13642</v>
      </c>
      <c r="E4466" s="1" t="s">
        <v>13643</v>
      </c>
      <c r="F4466" s="1">
        <v>15246.0</v>
      </c>
      <c r="G4466" s="1">
        <v>177.0</v>
      </c>
      <c r="H4466" s="1">
        <v>186.0</v>
      </c>
      <c r="I4466" s="1">
        <v>9330000.0</v>
      </c>
      <c r="J4466" s="1" t="s">
        <v>12283</v>
      </c>
    </row>
    <row r="4467">
      <c r="A4467" s="1" t="s">
        <v>13867</v>
      </c>
      <c r="B4467" s="1" t="s">
        <v>13868</v>
      </c>
      <c r="C4467" s="1" t="s">
        <v>13869</v>
      </c>
      <c r="D4467" s="1" t="s">
        <v>13642</v>
      </c>
      <c r="E4467" s="1" t="s">
        <v>13643</v>
      </c>
      <c r="F4467" s="1">
        <v>12298.0</v>
      </c>
      <c r="G4467" s="1">
        <v>141.0</v>
      </c>
      <c r="H4467" s="1">
        <v>121.0</v>
      </c>
      <c r="I4467" s="1">
        <v>9330000.0</v>
      </c>
      <c r="J4467" s="1" t="s">
        <v>12283</v>
      </c>
    </row>
    <row r="4468">
      <c r="A4468" s="1" t="s">
        <v>13870</v>
      </c>
      <c r="B4468" s="1" t="s">
        <v>13871</v>
      </c>
      <c r="C4468" s="1" t="s">
        <v>13872</v>
      </c>
      <c r="D4468" s="1" t="s">
        <v>13642</v>
      </c>
      <c r="E4468" s="1" t="s">
        <v>13643</v>
      </c>
      <c r="F4468" s="1">
        <v>101603.0</v>
      </c>
      <c r="G4468" s="1">
        <v>888.0</v>
      </c>
      <c r="H4468" s="1">
        <v>339.0</v>
      </c>
      <c r="I4468" s="1">
        <v>9330000.0</v>
      </c>
      <c r="J4468" s="1" t="s">
        <v>12283</v>
      </c>
    </row>
    <row r="4469">
      <c r="A4469" s="1" t="s">
        <v>13873</v>
      </c>
      <c r="B4469" s="1" t="s">
        <v>13874</v>
      </c>
      <c r="C4469" s="1" t="s">
        <v>13875</v>
      </c>
      <c r="D4469" s="1" t="s">
        <v>13642</v>
      </c>
      <c r="E4469" s="1" t="s">
        <v>13643</v>
      </c>
      <c r="F4469" s="1">
        <v>14645.0</v>
      </c>
      <c r="G4469" s="1">
        <v>272.0</v>
      </c>
      <c r="H4469" s="1">
        <v>300.0</v>
      </c>
      <c r="I4469" s="1">
        <v>9330000.0</v>
      </c>
      <c r="J4469" s="1" t="s">
        <v>12283</v>
      </c>
    </row>
    <row r="4470">
      <c r="A4470" s="1" t="s">
        <v>13876</v>
      </c>
      <c r="B4470" s="1" t="s">
        <v>13877</v>
      </c>
      <c r="C4470" s="1" t="s">
        <v>13878</v>
      </c>
      <c r="D4470" s="1" t="s">
        <v>13642</v>
      </c>
      <c r="E4470" s="1" t="s">
        <v>13643</v>
      </c>
      <c r="F4470" s="1">
        <v>2793.0</v>
      </c>
      <c r="G4470" s="1">
        <v>66.0</v>
      </c>
      <c r="H4470" s="1">
        <v>5.0</v>
      </c>
      <c r="I4470" s="1">
        <v>9330000.0</v>
      </c>
      <c r="J4470" s="1" t="s">
        <v>12283</v>
      </c>
    </row>
    <row r="4471">
      <c r="A4471" s="1" t="s">
        <v>13879</v>
      </c>
      <c r="B4471" s="1" t="s">
        <v>13880</v>
      </c>
      <c r="C4471" s="1" t="s">
        <v>13881</v>
      </c>
      <c r="D4471" s="1" t="s">
        <v>13642</v>
      </c>
      <c r="E4471" s="1" t="s">
        <v>13643</v>
      </c>
      <c r="F4471" s="1">
        <v>14682.0</v>
      </c>
      <c r="G4471" s="1">
        <v>311.0</v>
      </c>
      <c r="H4471" s="1">
        <v>125.0</v>
      </c>
      <c r="I4471" s="1">
        <v>9330000.0</v>
      </c>
      <c r="J4471" s="1" t="s">
        <v>12283</v>
      </c>
    </row>
    <row r="4472">
      <c r="A4472" s="1" t="s">
        <v>13882</v>
      </c>
      <c r="B4472" s="1" t="s">
        <v>13883</v>
      </c>
      <c r="C4472" s="1" t="s">
        <v>13884</v>
      </c>
      <c r="D4472" s="1" t="s">
        <v>13642</v>
      </c>
      <c r="E4472" s="1" t="s">
        <v>13643</v>
      </c>
      <c r="F4472" s="1">
        <v>8261.0</v>
      </c>
      <c r="G4472" s="1">
        <v>79.0</v>
      </c>
      <c r="H4472" s="1">
        <v>9.0</v>
      </c>
      <c r="I4472" s="1">
        <v>9330000.0</v>
      </c>
      <c r="J4472" s="1" t="s">
        <v>12283</v>
      </c>
    </row>
    <row r="4473">
      <c r="A4473" s="1" t="s">
        <v>13887</v>
      </c>
      <c r="B4473" s="1" t="s">
        <v>13889</v>
      </c>
      <c r="C4473" s="1" t="s">
        <v>13890</v>
      </c>
      <c r="D4473" s="1" t="s">
        <v>13642</v>
      </c>
      <c r="E4473" s="1" t="s">
        <v>13643</v>
      </c>
      <c r="F4473" s="1">
        <v>133837.0</v>
      </c>
      <c r="G4473" s="1">
        <v>743.0</v>
      </c>
      <c r="H4473" s="1">
        <v>377.0</v>
      </c>
      <c r="I4473" s="1">
        <v>9330000.0</v>
      </c>
      <c r="J4473" s="1" t="s">
        <v>12283</v>
      </c>
    </row>
    <row r="4474">
      <c r="A4474" s="1" t="s">
        <v>13891</v>
      </c>
      <c r="B4474" s="1" t="s">
        <v>13892</v>
      </c>
      <c r="C4474" s="1" t="s">
        <v>13893</v>
      </c>
      <c r="D4474" s="1" t="s">
        <v>13642</v>
      </c>
      <c r="E4474" s="1" t="s">
        <v>13643</v>
      </c>
      <c r="F4474" s="1">
        <v>136468.0</v>
      </c>
      <c r="G4474" s="1">
        <v>647.0</v>
      </c>
      <c r="H4474" s="1">
        <v>197.0</v>
      </c>
      <c r="I4474" s="1">
        <v>9330000.0</v>
      </c>
      <c r="J4474" s="1" t="s">
        <v>12283</v>
      </c>
    </row>
    <row r="4475">
      <c r="A4475" s="1" t="s">
        <v>13894</v>
      </c>
      <c r="B4475" s="1" t="s">
        <v>13895</v>
      </c>
      <c r="C4475" s="1" t="s">
        <v>13896</v>
      </c>
      <c r="D4475" s="1" t="s">
        <v>13642</v>
      </c>
      <c r="E4475" s="1" t="s">
        <v>13643</v>
      </c>
      <c r="F4475" s="1">
        <v>14748.0</v>
      </c>
      <c r="G4475" s="1">
        <v>78.0</v>
      </c>
      <c r="H4475" s="1">
        <v>16.0</v>
      </c>
      <c r="I4475" s="1">
        <v>9330000.0</v>
      </c>
      <c r="J4475" s="1" t="s">
        <v>12283</v>
      </c>
    </row>
    <row r="4476">
      <c r="A4476" s="1" t="s">
        <v>13897</v>
      </c>
      <c r="B4476" s="1" t="s">
        <v>13898</v>
      </c>
      <c r="C4476" s="1" t="s">
        <v>13899</v>
      </c>
      <c r="D4476" s="1" t="s">
        <v>13642</v>
      </c>
      <c r="E4476" s="1" t="s">
        <v>13643</v>
      </c>
      <c r="F4476" s="1">
        <v>4264.0</v>
      </c>
      <c r="G4476" s="1">
        <v>88.0</v>
      </c>
      <c r="H4476" s="1">
        <v>8.0</v>
      </c>
      <c r="I4476" s="1">
        <v>9330000.0</v>
      </c>
      <c r="J4476" s="1" t="s">
        <v>12283</v>
      </c>
    </row>
    <row r="4477">
      <c r="A4477" s="1" t="s">
        <v>13900</v>
      </c>
      <c r="B4477" s="1" t="s">
        <v>13901</v>
      </c>
      <c r="C4477" s="1" t="s">
        <v>13902</v>
      </c>
      <c r="D4477" s="1" t="s">
        <v>13642</v>
      </c>
      <c r="E4477" s="1" t="s">
        <v>13643</v>
      </c>
      <c r="F4477" s="1">
        <v>1235109.0</v>
      </c>
      <c r="G4477" s="1">
        <v>1151.0</v>
      </c>
      <c r="H4477" s="1">
        <v>1467.0</v>
      </c>
      <c r="I4477" s="1">
        <v>9330000.0</v>
      </c>
      <c r="J4477" s="1" t="s">
        <v>12283</v>
      </c>
    </row>
    <row r="4478">
      <c r="A4478" s="1" t="s">
        <v>13903</v>
      </c>
      <c r="B4478" s="1" t="s">
        <v>13904</v>
      </c>
      <c r="C4478" s="1" t="s">
        <v>13905</v>
      </c>
      <c r="D4478" s="1" t="s">
        <v>13642</v>
      </c>
      <c r="E4478" s="1" t="s">
        <v>13643</v>
      </c>
      <c r="F4478" s="1">
        <v>2684.0</v>
      </c>
      <c r="G4478" s="1">
        <v>20.0</v>
      </c>
      <c r="H4478" s="1">
        <v>47.0</v>
      </c>
      <c r="I4478" s="1">
        <v>9330000.0</v>
      </c>
      <c r="J4478" s="1" t="s">
        <v>12283</v>
      </c>
    </row>
    <row r="4479">
      <c r="A4479" s="1" t="s">
        <v>13908</v>
      </c>
      <c r="B4479" s="1" t="s">
        <v>13910</v>
      </c>
      <c r="C4479" s="1" t="s">
        <v>13911</v>
      </c>
      <c r="D4479" s="1" t="s">
        <v>13642</v>
      </c>
      <c r="E4479" s="1" t="s">
        <v>13643</v>
      </c>
      <c r="F4479" s="1">
        <v>28021.0</v>
      </c>
      <c r="G4479" s="1">
        <v>124.0</v>
      </c>
      <c r="H4479" s="1">
        <v>38.0</v>
      </c>
      <c r="I4479" s="1">
        <v>9330000.0</v>
      </c>
      <c r="J4479" s="1" t="s">
        <v>12283</v>
      </c>
    </row>
    <row r="4480">
      <c r="A4480" s="1" t="s">
        <v>13912</v>
      </c>
      <c r="B4480" s="1" t="s">
        <v>13913</v>
      </c>
      <c r="C4480" s="1" t="s">
        <v>13914</v>
      </c>
      <c r="D4480" s="1" t="s">
        <v>13642</v>
      </c>
      <c r="E4480" s="1" t="s">
        <v>13643</v>
      </c>
      <c r="F4480" s="1">
        <v>6025.0</v>
      </c>
      <c r="G4480" s="1">
        <v>137.0</v>
      </c>
      <c r="H4480" s="1">
        <v>7.0</v>
      </c>
      <c r="I4480" s="1">
        <v>9330000.0</v>
      </c>
      <c r="J4480" s="1" t="s">
        <v>12283</v>
      </c>
    </row>
    <row r="4481">
      <c r="A4481" s="1" t="s">
        <v>13915</v>
      </c>
      <c r="B4481" s="1" t="s">
        <v>13916</v>
      </c>
      <c r="C4481" s="1" t="s">
        <v>13917</v>
      </c>
      <c r="D4481" s="1" t="s">
        <v>13642</v>
      </c>
      <c r="E4481" s="1" t="s">
        <v>13643</v>
      </c>
      <c r="F4481" s="1">
        <v>32628.0</v>
      </c>
      <c r="G4481" s="1">
        <v>202.0</v>
      </c>
      <c r="H4481" s="1">
        <v>42.0</v>
      </c>
      <c r="I4481" s="1">
        <v>9330000.0</v>
      </c>
      <c r="J4481" s="1" t="s">
        <v>12283</v>
      </c>
    </row>
    <row r="4482">
      <c r="A4482" s="1" t="s">
        <v>13918</v>
      </c>
      <c r="B4482" s="1" t="s">
        <v>13919</v>
      </c>
      <c r="C4482" s="1" t="s">
        <v>13920</v>
      </c>
      <c r="D4482" s="1" t="s">
        <v>13642</v>
      </c>
      <c r="E4482" s="1" t="s">
        <v>13643</v>
      </c>
      <c r="F4482" s="1">
        <v>215591.0</v>
      </c>
      <c r="G4482" s="1">
        <v>1054.0</v>
      </c>
      <c r="H4482" s="1">
        <v>505.0</v>
      </c>
      <c r="I4482" s="1">
        <v>9330000.0</v>
      </c>
      <c r="J4482" s="1" t="s">
        <v>12283</v>
      </c>
    </row>
    <row r="4483">
      <c r="A4483" s="1" t="s">
        <v>13921</v>
      </c>
      <c r="B4483" s="1" t="s">
        <v>13922</v>
      </c>
      <c r="C4483" s="1" t="s">
        <v>13923</v>
      </c>
      <c r="D4483" s="1" t="s">
        <v>13642</v>
      </c>
      <c r="E4483" s="1" t="s">
        <v>13643</v>
      </c>
      <c r="F4483" s="1">
        <v>94403.0</v>
      </c>
      <c r="G4483" s="1">
        <v>641.0</v>
      </c>
      <c r="H4483" s="1">
        <v>175.0</v>
      </c>
      <c r="I4483" s="1">
        <v>9330000.0</v>
      </c>
      <c r="J4483" s="1" t="s">
        <v>12283</v>
      </c>
    </row>
    <row r="4484">
      <c r="A4484" s="1" t="s">
        <v>13927</v>
      </c>
      <c r="B4484" s="1" t="s">
        <v>13928</v>
      </c>
      <c r="C4484" s="1" t="s">
        <v>13929</v>
      </c>
      <c r="D4484" s="1" t="s">
        <v>13642</v>
      </c>
      <c r="E4484" s="1" t="s">
        <v>13643</v>
      </c>
      <c r="F4484" s="1">
        <v>45575.0</v>
      </c>
      <c r="G4484" s="1">
        <v>169.0</v>
      </c>
      <c r="H4484" s="1">
        <v>55.0</v>
      </c>
      <c r="I4484" s="1">
        <v>9330000.0</v>
      </c>
      <c r="J4484" s="1" t="s">
        <v>12283</v>
      </c>
    </row>
    <row r="4485">
      <c r="A4485" s="1" t="s">
        <v>13930</v>
      </c>
      <c r="B4485" s="1" t="s">
        <v>13931</v>
      </c>
      <c r="C4485" s="1" t="s">
        <v>13932</v>
      </c>
      <c r="D4485" s="1" t="s">
        <v>13642</v>
      </c>
      <c r="E4485" s="1" t="s">
        <v>13643</v>
      </c>
      <c r="F4485" s="1">
        <v>120502.0</v>
      </c>
      <c r="G4485" s="1">
        <v>443.0</v>
      </c>
      <c r="H4485" s="1">
        <v>0.0</v>
      </c>
      <c r="I4485" s="1">
        <v>9330000.0</v>
      </c>
      <c r="J4485" s="1" t="s">
        <v>12283</v>
      </c>
    </row>
    <row r="4486">
      <c r="A4486" s="1" t="s">
        <v>13933</v>
      </c>
      <c r="B4486" s="1" t="s">
        <v>13934</v>
      </c>
      <c r="C4486" s="1" t="s">
        <v>13935</v>
      </c>
      <c r="D4486" s="1" t="s">
        <v>13642</v>
      </c>
      <c r="E4486" s="1" t="s">
        <v>13643</v>
      </c>
      <c r="F4486" s="1">
        <v>273952.0</v>
      </c>
      <c r="G4486" s="1">
        <v>1326.0</v>
      </c>
      <c r="H4486" s="1">
        <v>0.0</v>
      </c>
      <c r="I4486" s="1">
        <v>9330000.0</v>
      </c>
      <c r="J4486" s="1" t="s">
        <v>12283</v>
      </c>
    </row>
    <row r="4487">
      <c r="A4487" s="1" t="s">
        <v>13936</v>
      </c>
      <c r="B4487" s="1" t="s">
        <v>13937</v>
      </c>
      <c r="C4487" s="1" t="s">
        <v>13938</v>
      </c>
      <c r="D4487" s="1" t="s">
        <v>13642</v>
      </c>
      <c r="E4487" s="1" t="s">
        <v>13643</v>
      </c>
      <c r="F4487" s="1">
        <v>168644.0</v>
      </c>
      <c r="G4487" s="1">
        <v>1924.0</v>
      </c>
      <c r="H4487" s="1">
        <v>380.0</v>
      </c>
      <c r="I4487" s="1">
        <v>9330000.0</v>
      </c>
      <c r="J4487" s="1" t="s">
        <v>12283</v>
      </c>
    </row>
    <row r="4488">
      <c r="A4488" s="1" t="s">
        <v>13939</v>
      </c>
      <c r="B4488" s="1" t="s">
        <v>13940</v>
      </c>
      <c r="C4488" s="1" t="s">
        <v>13941</v>
      </c>
      <c r="D4488" s="1" t="s">
        <v>13642</v>
      </c>
      <c r="E4488" s="1" t="s">
        <v>13643</v>
      </c>
      <c r="F4488" s="1">
        <v>5968.0</v>
      </c>
      <c r="G4488" s="1">
        <v>54.0</v>
      </c>
      <c r="H4488" s="1">
        <v>25.0</v>
      </c>
      <c r="I4488" s="1">
        <v>9330000.0</v>
      </c>
      <c r="J4488" s="1" t="s">
        <v>12283</v>
      </c>
    </row>
    <row r="4489">
      <c r="A4489" s="1" t="s">
        <v>13942</v>
      </c>
      <c r="B4489" s="1" t="s">
        <v>13943</v>
      </c>
      <c r="C4489" s="1" t="s">
        <v>13944</v>
      </c>
      <c r="D4489" s="1" t="s">
        <v>13642</v>
      </c>
      <c r="E4489" s="1" t="s">
        <v>13643</v>
      </c>
      <c r="F4489" s="1">
        <v>132973.0</v>
      </c>
      <c r="G4489" s="1">
        <v>905.0</v>
      </c>
      <c r="H4489" s="1">
        <v>375.0</v>
      </c>
      <c r="I4489" s="1">
        <v>9330000.0</v>
      </c>
      <c r="J4489" s="1" t="s">
        <v>12283</v>
      </c>
    </row>
    <row r="4490">
      <c r="A4490" s="1" t="s">
        <v>13946</v>
      </c>
      <c r="B4490" s="1" t="s">
        <v>13948</v>
      </c>
      <c r="C4490" s="1" t="s">
        <v>13950</v>
      </c>
      <c r="D4490" s="1" t="s">
        <v>13642</v>
      </c>
      <c r="E4490" s="1" t="s">
        <v>13643</v>
      </c>
      <c r="F4490" s="1">
        <v>4164.0</v>
      </c>
      <c r="G4490" s="1">
        <v>78.0</v>
      </c>
      <c r="H4490" s="1">
        <v>16.0</v>
      </c>
      <c r="I4490" s="1">
        <v>9330000.0</v>
      </c>
      <c r="J4490" s="1" t="s">
        <v>12283</v>
      </c>
    </row>
    <row r="4491">
      <c r="A4491" s="1" t="s">
        <v>13951</v>
      </c>
      <c r="B4491" s="1" t="s">
        <v>13952</v>
      </c>
      <c r="C4491" s="1" t="s">
        <v>13953</v>
      </c>
      <c r="D4491" s="1" t="s">
        <v>13642</v>
      </c>
      <c r="E4491" s="1" t="s">
        <v>13643</v>
      </c>
      <c r="F4491" s="1">
        <v>791442.0</v>
      </c>
      <c r="G4491" s="1">
        <v>3003.0</v>
      </c>
      <c r="H4491" s="1">
        <v>1360.0</v>
      </c>
      <c r="I4491" s="1">
        <v>9330000.0</v>
      </c>
      <c r="J4491" s="1" t="s">
        <v>12283</v>
      </c>
    </row>
    <row r="4492">
      <c r="A4492" s="1" t="s">
        <v>13954</v>
      </c>
      <c r="B4492" s="8" t="s">
        <v>13955</v>
      </c>
      <c r="C4492" s="1" t="s">
        <v>13956</v>
      </c>
      <c r="D4492" s="1" t="s">
        <v>13642</v>
      </c>
      <c r="E4492" s="1" t="s">
        <v>13643</v>
      </c>
      <c r="F4492" s="1">
        <v>21899.0</v>
      </c>
      <c r="G4492" s="1">
        <v>347.0</v>
      </c>
      <c r="H4492" s="1">
        <v>29.0</v>
      </c>
      <c r="I4492" s="1">
        <v>9330000.0</v>
      </c>
      <c r="J4492" s="1" t="s">
        <v>12283</v>
      </c>
    </row>
    <row r="4493">
      <c r="A4493" s="1" t="s">
        <v>13957</v>
      </c>
      <c r="B4493" s="8" t="s">
        <v>13958</v>
      </c>
      <c r="C4493" s="1" t="s">
        <v>13959</v>
      </c>
      <c r="D4493" s="1" t="s">
        <v>13642</v>
      </c>
      <c r="E4493" s="1" t="s">
        <v>13643</v>
      </c>
      <c r="F4493" s="1">
        <v>11977.0</v>
      </c>
      <c r="G4493" s="1">
        <v>146.0</v>
      </c>
      <c r="H4493" s="1">
        <v>48.0</v>
      </c>
      <c r="I4493" s="1">
        <v>9330000.0</v>
      </c>
      <c r="J4493" s="1" t="s">
        <v>12283</v>
      </c>
    </row>
    <row r="4494">
      <c r="A4494" s="1" t="s">
        <v>13960</v>
      </c>
      <c r="B4494" s="1" t="s">
        <v>13961</v>
      </c>
      <c r="C4494" s="1" t="s">
        <v>13962</v>
      </c>
      <c r="D4494" s="1" t="s">
        <v>13642</v>
      </c>
      <c r="E4494" s="1" t="s">
        <v>13643</v>
      </c>
      <c r="F4494" s="1">
        <v>4452.0</v>
      </c>
      <c r="G4494" s="1">
        <v>42.0</v>
      </c>
      <c r="H4494" s="1">
        <v>26.0</v>
      </c>
      <c r="I4494" s="1">
        <v>9330000.0</v>
      </c>
      <c r="J4494" s="1" t="s">
        <v>12283</v>
      </c>
    </row>
    <row r="4495">
      <c r="A4495" s="1" t="s">
        <v>13963</v>
      </c>
      <c r="B4495" s="1" t="s">
        <v>13964</v>
      </c>
      <c r="C4495" s="1" t="s">
        <v>13965</v>
      </c>
      <c r="D4495" s="1" t="s">
        <v>13642</v>
      </c>
      <c r="E4495" s="1" t="s">
        <v>13643</v>
      </c>
      <c r="F4495" s="1">
        <v>2852.0</v>
      </c>
      <c r="G4495" s="1">
        <v>32.0</v>
      </c>
      <c r="H4495" s="1">
        <v>23.0</v>
      </c>
      <c r="I4495" s="1">
        <v>9330000.0</v>
      </c>
      <c r="J4495" s="1" t="s">
        <v>12283</v>
      </c>
    </row>
    <row r="4496">
      <c r="A4496" s="1" t="s">
        <v>13969</v>
      </c>
      <c r="B4496" s="1" t="s">
        <v>13970</v>
      </c>
      <c r="C4496" s="1" t="s">
        <v>13971</v>
      </c>
      <c r="D4496" s="1" t="s">
        <v>13642</v>
      </c>
      <c r="E4496" s="1" t="s">
        <v>13643</v>
      </c>
      <c r="F4496" s="1">
        <v>246692.0</v>
      </c>
      <c r="G4496" s="1">
        <v>336.0</v>
      </c>
      <c r="H4496" s="1">
        <v>266.0</v>
      </c>
      <c r="I4496" s="1">
        <v>9330000.0</v>
      </c>
      <c r="J4496" s="1" t="s">
        <v>12283</v>
      </c>
    </row>
    <row r="4497">
      <c r="A4497" s="1" t="s">
        <v>13972</v>
      </c>
      <c r="B4497" s="1" t="s">
        <v>13973</v>
      </c>
      <c r="C4497" s="1" t="s">
        <v>13974</v>
      </c>
      <c r="D4497" s="1" t="s">
        <v>13642</v>
      </c>
      <c r="E4497" s="1" t="s">
        <v>13643</v>
      </c>
      <c r="F4497" s="1">
        <v>14928.0</v>
      </c>
      <c r="G4497" s="1">
        <v>131.0</v>
      </c>
      <c r="H4497" s="1">
        <v>4.0</v>
      </c>
      <c r="I4497" s="1">
        <v>9330000.0</v>
      </c>
      <c r="J4497" s="1" t="s">
        <v>12283</v>
      </c>
    </row>
    <row r="4498">
      <c r="A4498" s="1" t="s">
        <v>13975</v>
      </c>
      <c r="B4498" s="1" t="s">
        <v>13976</v>
      </c>
      <c r="C4498" s="1" t="s">
        <v>13977</v>
      </c>
      <c r="D4498" s="1" t="s">
        <v>13642</v>
      </c>
      <c r="E4498" s="1" t="s">
        <v>13643</v>
      </c>
      <c r="F4498" s="1">
        <v>10199.0</v>
      </c>
      <c r="G4498" s="1">
        <v>98.0</v>
      </c>
      <c r="H4498" s="1">
        <v>6.0</v>
      </c>
      <c r="I4498" s="1">
        <v>9330000.0</v>
      </c>
      <c r="J4498" s="1" t="s">
        <v>12283</v>
      </c>
    </row>
    <row r="4499">
      <c r="A4499" s="1" t="s">
        <v>13978</v>
      </c>
      <c r="B4499" s="1" t="s">
        <v>13979</v>
      </c>
      <c r="C4499" s="1" t="s">
        <v>13980</v>
      </c>
      <c r="D4499" s="1" t="s">
        <v>13642</v>
      </c>
      <c r="E4499" s="1" t="s">
        <v>13643</v>
      </c>
      <c r="F4499" s="1">
        <v>17243.0</v>
      </c>
      <c r="G4499" s="1">
        <v>142.0</v>
      </c>
      <c r="H4499" s="1">
        <v>5.0</v>
      </c>
      <c r="I4499" s="1">
        <v>9330000.0</v>
      </c>
      <c r="J4499" s="1" t="s">
        <v>12283</v>
      </c>
    </row>
    <row r="4500">
      <c r="A4500" s="1" t="s">
        <v>13981</v>
      </c>
      <c r="B4500" s="1" t="s">
        <v>13982</v>
      </c>
      <c r="C4500" s="1" t="s">
        <v>13983</v>
      </c>
      <c r="D4500" s="1" t="s">
        <v>13642</v>
      </c>
      <c r="E4500" s="1" t="s">
        <v>13643</v>
      </c>
      <c r="F4500" s="1">
        <v>44136.0</v>
      </c>
      <c r="G4500" s="1">
        <v>171.0</v>
      </c>
      <c r="H4500" s="1">
        <v>85.0</v>
      </c>
      <c r="I4500" s="1">
        <v>9330000.0</v>
      </c>
      <c r="J4500" s="1" t="s">
        <v>12283</v>
      </c>
    </row>
    <row r="4501">
      <c r="A4501" s="1" t="s">
        <v>13984</v>
      </c>
      <c r="B4501" s="1" t="s">
        <v>13985</v>
      </c>
      <c r="C4501" s="1" t="s">
        <v>13986</v>
      </c>
      <c r="D4501" s="1" t="s">
        <v>13642</v>
      </c>
      <c r="E4501" s="1" t="s">
        <v>13643</v>
      </c>
      <c r="F4501" s="1">
        <v>446173.0</v>
      </c>
      <c r="G4501" s="1">
        <v>2636.0</v>
      </c>
      <c r="H4501" s="1">
        <v>969.0</v>
      </c>
      <c r="I4501" s="1">
        <v>9330000.0</v>
      </c>
      <c r="J4501" s="1" t="s">
        <v>12283</v>
      </c>
    </row>
    <row r="4502">
      <c r="A4502" s="1" t="s">
        <v>13990</v>
      </c>
      <c r="B4502" s="1" t="s">
        <v>13991</v>
      </c>
      <c r="C4502" s="1" t="s">
        <v>13992</v>
      </c>
      <c r="D4502" s="1" t="s">
        <v>13642</v>
      </c>
      <c r="E4502" s="1" t="s">
        <v>13643</v>
      </c>
      <c r="F4502" s="1">
        <v>45289.0</v>
      </c>
      <c r="G4502" s="1">
        <v>276.0</v>
      </c>
      <c r="H4502" s="1">
        <v>148.0</v>
      </c>
      <c r="I4502" s="1">
        <v>9330000.0</v>
      </c>
      <c r="J4502" s="1" t="s">
        <v>12283</v>
      </c>
    </row>
    <row r="4503">
      <c r="A4503" s="1" t="s">
        <v>13993</v>
      </c>
      <c r="B4503" s="1" t="s">
        <v>13994</v>
      </c>
      <c r="C4503" s="1" t="s">
        <v>13995</v>
      </c>
      <c r="D4503" s="1" t="s">
        <v>13642</v>
      </c>
      <c r="E4503" s="1" t="s">
        <v>13643</v>
      </c>
      <c r="F4503" s="1">
        <v>9651.0</v>
      </c>
      <c r="G4503" s="1">
        <v>51.0</v>
      </c>
      <c r="H4503" s="1">
        <v>72.0</v>
      </c>
      <c r="I4503" s="1">
        <v>9330000.0</v>
      </c>
      <c r="J4503" s="1" t="s">
        <v>12283</v>
      </c>
    </row>
    <row r="4504">
      <c r="A4504" s="1" t="s">
        <v>13996</v>
      </c>
      <c r="B4504" s="1" t="s">
        <v>13997</v>
      </c>
      <c r="C4504" s="1" t="s">
        <v>13998</v>
      </c>
      <c r="D4504" s="1" t="s">
        <v>13642</v>
      </c>
      <c r="E4504" s="1" t="s">
        <v>13643</v>
      </c>
      <c r="F4504" s="1">
        <v>2325.0</v>
      </c>
      <c r="G4504" s="1">
        <v>23.0</v>
      </c>
      <c r="H4504" s="1">
        <v>11.0</v>
      </c>
      <c r="I4504" s="1">
        <v>9330000.0</v>
      </c>
      <c r="J4504" s="1" t="s">
        <v>12283</v>
      </c>
    </row>
    <row r="4505">
      <c r="A4505" s="1" t="s">
        <v>13999</v>
      </c>
      <c r="B4505" s="8" t="s">
        <v>14000</v>
      </c>
      <c r="C4505" s="1" t="s">
        <v>14001</v>
      </c>
      <c r="D4505" s="1" t="s">
        <v>13642</v>
      </c>
      <c r="E4505" s="1" t="s">
        <v>13643</v>
      </c>
      <c r="F4505" s="1">
        <v>268303.0</v>
      </c>
      <c r="G4505" s="1">
        <v>3187.0</v>
      </c>
      <c r="H4505" s="1">
        <v>820.0</v>
      </c>
      <c r="I4505" s="1">
        <v>9330000.0</v>
      </c>
      <c r="J4505" s="1" t="s">
        <v>12283</v>
      </c>
    </row>
    <row r="4506">
      <c r="A4506" s="1" t="s">
        <v>14002</v>
      </c>
      <c r="B4506" s="1" t="s">
        <v>14003</v>
      </c>
      <c r="C4506" s="1" t="s">
        <v>14004</v>
      </c>
      <c r="D4506" s="1" t="s">
        <v>13642</v>
      </c>
      <c r="E4506" s="1" t="s">
        <v>13643</v>
      </c>
      <c r="F4506" s="1">
        <v>5632.0</v>
      </c>
      <c r="G4506" s="1">
        <v>66.0</v>
      </c>
      <c r="H4506" s="1">
        <v>24.0</v>
      </c>
      <c r="I4506" s="1">
        <v>9330000.0</v>
      </c>
      <c r="J4506" s="1" t="s">
        <v>12283</v>
      </c>
    </row>
    <row r="4507">
      <c r="A4507" s="1" t="s">
        <v>14008</v>
      </c>
      <c r="B4507" s="1" t="s">
        <v>14009</v>
      </c>
      <c r="C4507" s="1" t="s">
        <v>14010</v>
      </c>
      <c r="D4507" s="1" t="s">
        <v>13642</v>
      </c>
      <c r="E4507" s="1" t="s">
        <v>13643</v>
      </c>
      <c r="F4507" s="1">
        <v>4667.0</v>
      </c>
      <c r="G4507" s="1">
        <v>62.0</v>
      </c>
      <c r="H4507" s="1">
        <v>11.0</v>
      </c>
      <c r="I4507" s="1">
        <v>9330000.0</v>
      </c>
      <c r="J4507" s="1" t="s">
        <v>12283</v>
      </c>
    </row>
    <row r="4508">
      <c r="A4508" s="1" t="s">
        <v>14011</v>
      </c>
      <c r="B4508" s="1" t="s">
        <v>14012</v>
      </c>
      <c r="C4508" s="1" t="s">
        <v>14013</v>
      </c>
      <c r="D4508" s="1" t="s">
        <v>13642</v>
      </c>
      <c r="E4508" s="1" t="s">
        <v>13643</v>
      </c>
      <c r="F4508" s="1">
        <v>3317.0</v>
      </c>
      <c r="G4508" s="1">
        <v>58.0</v>
      </c>
      <c r="H4508" s="1">
        <v>19.0</v>
      </c>
      <c r="I4508" s="1">
        <v>9330000.0</v>
      </c>
      <c r="J4508" s="1" t="s">
        <v>12283</v>
      </c>
    </row>
    <row r="4509">
      <c r="A4509" s="1" t="s">
        <v>14014</v>
      </c>
      <c r="B4509" s="1" t="s">
        <v>14015</v>
      </c>
      <c r="C4509" s="1" t="s">
        <v>14016</v>
      </c>
      <c r="D4509" s="1" t="s">
        <v>13642</v>
      </c>
      <c r="E4509" s="1" t="s">
        <v>13643</v>
      </c>
      <c r="F4509" s="1">
        <v>55443.0</v>
      </c>
      <c r="G4509" s="1">
        <v>406.0</v>
      </c>
      <c r="H4509" s="1">
        <v>199.0</v>
      </c>
      <c r="I4509" s="1">
        <v>9330000.0</v>
      </c>
      <c r="J4509" s="1" t="s">
        <v>12283</v>
      </c>
    </row>
    <row r="4510">
      <c r="A4510" s="1" t="s">
        <v>14017</v>
      </c>
      <c r="B4510" s="1" t="s">
        <v>14018</v>
      </c>
      <c r="C4510" s="1" t="s">
        <v>14019</v>
      </c>
      <c r="D4510" s="1" t="s">
        <v>13642</v>
      </c>
      <c r="E4510" s="1" t="s">
        <v>13643</v>
      </c>
      <c r="F4510" s="1">
        <v>6806.0</v>
      </c>
      <c r="G4510" s="1">
        <v>135.0</v>
      </c>
      <c r="H4510" s="1">
        <v>109.0</v>
      </c>
      <c r="I4510" s="1">
        <v>9330000.0</v>
      </c>
      <c r="J4510" s="1" t="s">
        <v>12283</v>
      </c>
    </row>
    <row r="4511">
      <c r="A4511" s="1" t="s">
        <v>14020</v>
      </c>
      <c r="B4511" s="1" t="s">
        <v>14021</v>
      </c>
      <c r="C4511" s="1" t="s">
        <v>14022</v>
      </c>
      <c r="D4511" s="1" t="s">
        <v>13642</v>
      </c>
      <c r="E4511" s="1" t="s">
        <v>13643</v>
      </c>
      <c r="F4511" s="1">
        <v>8268.0</v>
      </c>
      <c r="G4511" s="1">
        <v>71.0</v>
      </c>
      <c r="H4511" s="1">
        <v>75.0</v>
      </c>
      <c r="I4511" s="1">
        <v>9330000.0</v>
      </c>
      <c r="J4511" s="1" t="s">
        <v>12283</v>
      </c>
    </row>
    <row r="4512">
      <c r="A4512" s="1" t="s">
        <v>14023</v>
      </c>
      <c r="B4512" s="1" t="s">
        <v>14024</v>
      </c>
      <c r="C4512" s="1" t="s">
        <v>14025</v>
      </c>
      <c r="D4512" s="1" t="s">
        <v>13642</v>
      </c>
      <c r="E4512" s="1" t="s">
        <v>13643</v>
      </c>
      <c r="F4512" s="1">
        <v>5447.0</v>
      </c>
      <c r="G4512" s="1">
        <v>88.0</v>
      </c>
      <c r="H4512" s="1">
        <v>15.0</v>
      </c>
      <c r="I4512" s="1">
        <v>9330000.0</v>
      </c>
      <c r="J4512" s="1" t="s">
        <v>12283</v>
      </c>
    </row>
    <row r="4513">
      <c r="A4513" s="1" t="s">
        <v>14026</v>
      </c>
      <c r="B4513" s="1" t="s">
        <v>14028</v>
      </c>
      <c r="C4513" s="1" t="s">
        <v>14030</v>
      </c>
      <c r="D4513" s="1" t="s">
        <v>13642</v>
      </c>
      <c r="E4513" s="1" t="s">
        <v>13643</v>
      </c>
      <c r="F4513" s="1">
        <v>16857.0</v>
      </c>
      <c r="G4513" s="1">
        <v>122.0</v>
      </c>
      <c r="H4513" s="1">
        <v>39.0</v>
      </c>
      <c r="I4513" s="1">
        <v>9330000.0</v>
      </c>
      <c r="J4513" s="1" t="s">
        <v>12283</v>
      </c>
    </row>
    <row r="4514">
      <c r="A4514" s="1" t="s">
        <v>14032</v>
      </c>
      <c r="B4514" s="1" t="s">
        <v>14033</v>
      </c>
      <c r="C4514" s="1" t="s">
        <v>14034</v>
      </c>
      <c r="D4514" s="1" t="s">
        <v>13642</v>
      </c>
      <c r="E4514" s="1" t="s">
        <v>13643</v>
      </c>
      <c r="F4514" s="1">
        <v>8504.0</v>
      </c>
      <c r="G4514" s="1">
        <v>65.0</v>
      </c>
      <c r="H4514" s="1">
        <v>6.0</v>
      </c>
      <c r="I4514" s="1">
        <v>9330000.0</v>
      </c>
      <c r="J4514" s="1" t="s">
        <v>12283</v>
      </c>
    </row>
    <row r="4515">
      <c r="A4515" s="1" t="s">
        <v>14035</v>
      </c>
      <c r="B4515" s="1" t="s">
        <v>14036</v>
      </c>
      <c r="C4515" s="1" t="s">
        <v>14037</v>
      </c>
      <c r="D4515" s="1" t="s">
        <v>13642</v>
      </c>
      <c r="E4515" s="1" t="s">
        <v>13643</v>
      </c>
      <c r="F4515" s="1">
        <v>37664.0</v>
      </c>
      <c r="G4515" s="1">
        <v>1423.0</v>
      </c>
      <c r="H4515" s="1">
        <v>457.0</v>
      </c>
      <c r="I4515" s="1">
        <v>9330000.0</v>
      </c>
      <c r="J4515" s="1" t="s">
        <v>12283</v>
      </c>
    </row>
    <row r="4516">
      <c r="A4516" s="1" t="s">
        <v>14038</v>
      </c>
      <c r="B4516" s="1" t="s">
        <v>14039</v>
      </c>
      <c r="C4516" s="1" t="s">
        <v>14040</v>
      </c>
      <c r="D4516" s="1" t="s">
        <v>13642</v>
      </c>
      <c r="E4516" s="1" t="s">
        <v>13643</v>
      </c>
      <c r="F4516" s="1">
        <v>11848.0</v>
      </c>
      <c r="G4516" s="1">
        <v>76.0</v>
      </c>
      <c r="H4516" s="1">
        <v>8.0</v>
      </c>
      <c r="I4516" s="1">
        <v>9330000.0</v>
      </c>
      <c r="J4516" s="1" t="s">
        <v>12283</v>
      </c>
    </row>
    <row r="4517">
      <c r="A4517" s="1" t="s">
        <v>14041</v>
      </c>
      <c r="B4517" s="1" t="s">
        <v>14042</v>
      </c>
      <c r="C4517" s="1" t="s">
        <v>14043</v>
      </c>
      <c r="D4517" s="1" t="s">
        <v>13642</v>
      </c>
      <c r="E4517" s="1" t="s">
        <v>13643</v>
      </c>
      <c r="F4517" s="1">
        <v>11712.0</v>
      </c>
      <c r="G4517" s="1">
        <v>108.0</v>
      </c>
      <c r="H4517" s="1">
        <v>19.0</v>
      </c>
      <c r="I4517" s="1">
        <v>9330000.0</v>
      </c>
      <c r="J4517" s="1" t="s">
        <v>12283</v>
      </c>
    </row>
    <row r="4518">
      <c r="A4518" s="1" t="s">
        <v>14044</v>
      </c>
      <c r="B4518" s="1" t="s">
        <v>14045</v>
      </c>
      <c r="C4518" s="1" t="s">
        <v>14046</v>
      </c>
      <c r="D4518" s="1" t="s">
        <v>13642</v>
      </c>
      <c r="E4518" s="1" t="s">
        <v>13643</v>
      </c>
      <c r="F4518" s="1">
        <v>10008.0</v>
      </c>
      <c r="G4518" s="1">
        <v>89.0</v>
      </c>
      <c r="H4518" s="1">
        <v>19.0</v>
      </c>
      <c r="I4518" s="1">
        <v>9330000.0</v>
      </c>
      <c r="J4518" s="1" t="s">
        <v>12283</v>
      </c>
    </row>
    <row r="4519">
      <c r="A4519" s="1" t="s">
        <v>14050</v>
      </c>
      <c r="B4519" s="1" t="s">
        <v>14051</v>
      </c>
      <c r="C4519" s="1" t="s">
        <v>14052</v>
      </c>
      <c r="D4519" s="1" t="s">
        <v>13642</v>
      </c>
      <c r="E4519" s="1" t="s">
        <v>13643</v>
      </c>
      <c r="F4519" s="1">
        <v>14833.0</v>
      </c>
      <c r="G4519" s="1">
        <v>95.0</v>
      </c>
      <c r="H4519" s="1">
        <v>18.0</v>
      </c>
      <c r="I4519" s="1">
        <v>9330000.0</v>
      </c>
      <c r="J4519" s="1" t="s">
        <v>12283</v>
      </c>
    </row>
    <row r="4520">
      <c r="A4520" s="1" t="s">
        <v>14053</v>
      </c>
      <c r="B4520" s="1" t="s">
        <v>14054</v>
      </c>
      <c r="C4520" s="1" t="s">
        <v>14055</v>
      </c>
      <c r="D4520" s="1" t="s">
        <v>13642</v>
      </c>
      <c r="E4520" s="1" t="s">
        <v>13643</v>
      </c>
      <c r="F4520" s="1">
        <v>88972.0</v>
      </c>
      <c r="G4520" s="1">
        <v>323.0</v>
      </c>
      <c r="H4520" s="1">
        <v>263.0</v>
      </c>
      <c r="I4520" s="1">
        <v>9330000.0</v>
      </c>
      <c r="J4520" s="1" t="s">
        <v>12283</v>
      </c>
    </row>
    <row r="4521">
      <c r="A4521" s="1" t="s">
        <v>14056</v>
      </c>
      <c r="B4521" s="1" t="s">
        <v>14057</v>
      </c>
      <c r="C4521" s="1" t="s">
        <v>14058</v>
      </c>
      <c r="D4521" s="1" t="s">
        <v>13642</v>
      </c>
      <c r="E4521" s="1" t="s">
        <v>13643</v>
      </c>
      <c r="F4521" s="1">
        <v>124906.0</v>
      </c>
      <c r="G4521" s="1">
        <v>1448.0</v>
      </c>
      <c r="H4521" s="1">
        <v>475.0</v>
      </c>
      <c r="I4521" s="1">
        <v>9330000.0</v>
      </c>
      <c r="J4521" s="1" t="s">
        <v>12283</v>
      </c>
    </row>
    <row r="4522">
      <c r="A4522" s="1" t="s">
        <v>14059</v>
      </c>
      <c r="B4522" s="1" t="s">
        <v>14060</v>
      </c>
      <c r="C4522" s="1" t="s">
        <v>14061</v>
      </c>
      <c r="D4522" s="1" t="s">
        <v>13642</v>
      </c>
      <c r="E4522" s="1" t="s">
        <v>13643</v>
      </c>
      <c r="F4522" s="1">
        <v>42299.0</v>
      </c>
      <c r="G4522" s="1">
        <v>479.0</v>
      </c>
      <c r="H4522" s="1">
        <v>104.0</v>
      </c>
      <c r="I4522" s="1">
        <v>9330000.0</v>
      </c>
      <c r="J4522" s="1" t="s">
        <v>12283</v>
      </c>
    </row>
    <row r="4523">
      <c r="A4523" s="1" t="s">
        <v>14062</v>
      </c>
      <c r="B4523" s="1" t="s">
        <v>14063</v>
      </c>
      <c r="C4523" s="1" t="s">
        <v>14064</v>
      </c>
      <c r="D4523" s="1" t="s">
        <v>13642</v>
      </c>
      <c r="E4523" s="1" t="s">
        <v>13643</v>
      </c>
      <c r="F4523" s="1">
        <v>22744.0</v>
      </c>
      <c r="G4523" s="1">
        <v>198.0</v>
      </c>
      <c r="H4523" s="1">
        <v>13.0</v>
      </c>
      <c r="I4523" s="1">
        <v>9330000.0</v>
      </c>
      <c r="J4523" s="1" t="s">
        <v>12283</v>
      </c>
    </row>
    <row r="4524">
      <c r="A4524" s="1" t="s">
        <v>14068</v>
      </c>
      <c r="B4524" s="1" t="s">
        <v>14069</v>
      </c>
      <c r="C4524" s="1" t="s">
        <v>14070</v>
      </c>
      <c r="D4524" s="1" t="s">
        <v>13642</v>
      </c>
      <c r="E4524" s="1" t="s">
        <v>13643</v>
      </c>
      <c r="F4524" s="1">
        <v>11953.0</v>
      </c>
      <c r="G4524" s="1">
        <v>45.0</v>
      </c>
      <c r="H4524" s="1">
        <v>41.0</v>
      </c>
      <c r="I4524" s="1">
        <v>9330000.0</v>
      </c>
      <c r="J4524" s="1" t="s">
        <v>12283</v>
      </c>
    </row>
    <row r="4525">
      <c r="A4525" s="1" t="s">
        <v>14071</v>
      </c>
      <c r="B4525" s="1" t="s">
        <v>14072</v>
      </c>
      <c r="C4525" s="1" t="s">
        <v>14073</v>
      </c>
      <c r="D4525" s="1" t="s">
        <v>13642</v>
      </c>
      <c r="E4525" s="1" t="s">
        <v>13643</v>
      </c>
      <c r="F4525" s="1">
        <v>79398.0</v>
      </c>
      <c r="G4525" s="1">
        <v>765.0</v>
      </c>
      <c r="H4525" s="1">
        <v>116.0</v>
      </c>
      <c r="I4525" s="1">
        <v>9330000.0</v>
      </c>
      <c r="J4525" s="1" t="s">
        <v>12283</v>
      </c>
    </row>
    <row r="4526">
      <c r="A4526" s="1" t="s">
        <v>14074</v>
      </c>
      <c r="B4526" s="1" t="s">
        <v>14075</v>
      </c>
      <c r="C4526" s="1" t="s">
        <v>14076</v>
      </c>
      <c r="D4526" s="1" t="s">
        <v>13642</v>
      </c>
      <c r="E4526" s="1" t="s">
        <v>13643</v>
      </c>
      <c r="F4526" s="1">
        <v>27751.0</v>
      </c>
      <c r="G4526" s="1">
        <v>509.0</v>
      </c>
      <c r="H4526" s="1">
        <v>138.0</v>
      </c>
      <c r="I4526" s="1">
        <v>9330000.0</v>
      </c>
      <c r="J4526" s="1" t="s">
        <v>12283</v>
      </c>
    </row>
    <row r="4527">
      <c r="A4527" s="1" t="s">
        <v>14077</v>
      </c>
      <c r="B4527" s="1" t="s">
        <v>14078</v>
      </c>
      <c r="C4527" s="1" t="s">
        <v>14079</v>
      </c>
      <c r="D4527" s="1" t="s">
        <v>13642</v>
      </c>
      <c r="E4527" s="1" t="s">
        <v>13643</v>
      </c>
      <c r="F4527" s="1">
        <v>15165.0</v>
      </c>
      <c r="G4527" s="1">
        <v>114.0</v>
      </c>
      <c r="H4527" s="1">
        <v>118.0</v>
      </c>
      <c r="I4527" s="1">
        <v>9330000.0</v>
      </c>
      <c r="J4527" s="1" t="s">
        <v>12283</v>
      </c>
    </row>
    <row r="4528">
      <c r="A4528" s="1" t="s">
        <v>14080</v>
      </c>
      <c r="B4528" s="1" t="s">
        <v>14081</v>
      </c>
      <c r="C4528" s="1" t="s">
        <v>14082</v>
      </c>
      <c r="D4528" s="1" t="s">
        <v>13642</v>
      </c>
      <c r="E4528" s="1" t="s">
        <v>13643</v>
      </c>
      <c r="F4528" s="1">
        <v>12498.0</v>
      </c>
      <c r="G4528" s="1">
        <v>404.0</v>
      </c>
      <c r="H4528" s="1">
        <v>15.0</v>
      </c>
      <c r="I4528" s="1">
        <v>9330000.0</v>
      </c>
      <c r="J4528" s="1" t="s">
        <v>12283</v>
      </c>
    </row>
    <row r="4529">
      <c r="A4529" s="1" t="s">
        <v>14083</v>
      </c>
      <c r="B4529" s="8" t="s">
        <v>14084</v>
      </c>
      <c r="C4529" s="1" t="s">
        <v>14085</v>
      </c>
      <c r="D4529" s="1" t="s">
        <v>13642</v>
      </c>
      <c r="E4529" s="1" t="s">
        <v>13643</v>
      </c>
      <c r="F4529" s="1">
        <v>30574.0</v>
      </c>
      <c r="G4529" s="1">
        <v>274.0</v>
      </c>
      <c r="H4529" s="1">
        <v>81.0</v>
      </c>
      <c r="I4529" s="1">
        <v>9330000.0</v>
      </c>
      <c r="J4529" s="1" t="s">
        <v>12283</v>
      </c>
    </row>
    <row r="4530">
      <c r="A4530" s="1" t="s">
        <v>14086</v>
      </c>
      <c r="B4530" s="1" t="s">
        <v>14087</v>
      </c>
      <c r="C4530" s="1" t="s">
        <v>14088</v>
      </c>
      <c r="D4530" s="1" t="s">
        <v>13642</v>
      </c>
      <c r="E4530" s="1" t="s">
        <v>13643</v>
      </c>
      <c r="F4530" s="1">
        <v>35879.0</v>
      </c>
      <c r="G4530" s="1">
        <v>682.0</v>
      </c>
      <c r="H4530" s="1">
        <v>477.0</v>
      </c>
      <c r="I4530" s="1">
        <v>9330000.0</v>
      </c>
      <c r="J4530" s="1" t="s">
        <v>12283</v>
      </c>
    </row>
    <row r="4531">
      <c r="A4531" s="1" t="s">
        <v>14089</v>
      </c>
      <c r="B4531" s="1" t="s">
        <v>14090</v>
      </c>
      <c r="C4531" s="1" t="s">
        <v>14091</v>
      </c>
      <c r="D4531" s="1" t="s">
        <v>13642</v>
      </c>
      <c r="E4531" s="1" t="s">
        <v>13643</v>
      </c>
      <c r="F4531" s="1">
        <v>43089.0</v>
      </c>
      <c r="G4531" s="1">
        <v>577.0</v>
      </c>
      <c r="H4531" s="1">
        <v>315.0</v>
      </c>
      <c r="I4531" s="1">
        <v>9330000.0</v>
      </c>
      <c r="J4531" s="1" t="s">
        <v>12283</v>
      </c>
    </row>
    <row r="4532">
      <c r="A4532" s="1" t="s">
        <v>14094</v>
      </c>
      <c r="B4532" s="8" t="s">
        <v>14096</v>
      </c>
      <c r="C4532" s="1" t="s">
        <v>14097</v>
      </c>
      <c r="D4532" s="1" t="s">
        <v>13642</v>
      </c>
      <c r="E4532" s="1" t="s">
        <v>13643</v>
      </c>
      <c r="F4532" s="1">
        <v>41353.0</v>
      </c>
      <c r="G4532" s="1">
        <v>402.0</v>
      </c>
      <c r="H4532" s="1">
        <v>438.0</v>
      </c>
      <c r="I4532" s="1">
        <v>9330000.0</v>
      </c>
      <c r="J4532" s="1" t="s">
        <v>12283</v>
      </c>
    </row>
    <row r="4533">
      <c r="A4533" s="1" t="s">
        <v>14098</v>
      </c>
      <c r="B4533" s="1" t="s">
        <v>14099</v>
      </c>
      <c r="C4533" s="1" t="s">
        <v>14100</v>
      </c>
      <c r="D4533" s="1" t="s">
        <v>13642</v>
      </c>
      <c r="E4533" s="1" t="s">
        <v>13643</v>
      </c>
      <c r="F4533" s="1">
        <v>6052.0</v>
      </c>
      <c r="G4533" s="1">
        <v>74.0</v>
      </c>
      <c r="H4533" s="1">
        <v>18.0</v>
      </c>
      <c r="I4533" s="1">
        <v>9330000.0</v>
      </c>
      <c r="J4533" s="1" t="s">
        <v>12283</v>
      </c>
    </row>
    <row r="4534">
      <c r="A4534" s="1" t="s">
        <v>14101</v>
      </c>
      <c r="B4534" s="1" t="s">
        <v>14102</v>
      </c>
      <c r="C4534" s="1" t="s">
        <v>14103</v>
      </c>
      <c r="D4534" s="1" t="s">
        <v>13642</v>
      </c>
      <c r="E4534" s="1" t="s">
        <v>13643</v>
      </c>
      <c r="F4534" s="1">
        <v>8526.0</v>
      </c>
      <c r="G4534" s="1">
        <v>120.0</v>
      </c>
      <c r="H4534" s="1">
        <v>0.0</v>
      </c>
      <c r="I4534" s="1">
        <v>9330000.0</v>
      </c>
      <c r="J4534" s="1" t="s">
        <v>12283</v>
      </c>
    </row>
    <row r="4535">
      <c r="A4535" s="1" t="s">
        <v>14104</v>
      </c>
      <c r="B4535" s="1" t="s">
        <v>14105</v>
      </c>
      <c r="C4535" s="1" t="s">
        <v>14106</v>
      </c>
      <c r="D4535" s="1" t="s">
        <v>13642</v>
      </c>
      <c r="E4535" s="1" t="s">
        <v>13643</v>
      </c>
      <c r="F4535" s="1">
        <v>12966.0</v>
      </c>
      <c r="G4535" s="1">
        <v>86.0</v>
      </c>
      <c r="H4535" s="1">
        <v>26.0</v>
      </c>
      <c r="I4535" s="1">
        <v>9330000.0</v>
      </c>
      <c r="J4535" s="1" t="s">
        <v>12283</v>
      </c>
    </row>
    <row r="4536">
      <c r="A4536" s="1" t="s">
        <v>14107</v>
      </c>
      <c r="B4536" s="1" t="s">
        <v>14108</v>
      </c>
      <c r="C4536" s="1" t="s">
        <v>14109</v>
      </c>
      <c r="D4536" s="1" t="s">
        <v>13642</v>
      </c>
      <c r="E4536" s="1" t="s">
        <v>13643</v>
      </c>
      <c r="F4536" s="1">
        <v>9098.0</v>
      </c>
      <c r="G4536" s="1">
        <v>197.0</v>
      </c>
      <c r="H4536" s="1">
        <v>20.0</v>
      </c>
      <c r="I4536" s="1">
        <v>9330000.0</v>
      </c>
      <c r="J4536" s="1" t="s">
        <v>12283</v>
      </c>
    </row>
    <row r="4537">
      <c r="A4537" s="1" t="s">
        <v>14110</v>
      </c>
      <c r="B4537" s="1" t="s">
        <v>14112</v>
      </c>
      <c r="C4537" s="1" t="s">
        <v>14114</v>
      </c>
      <c r="D4537" s="1" t="s">
        <v>13642</v>
      </c>
      <c r="E4537" s="1" t="s">
        <v>13643</v>
      </c>
      <c r="F4537" s="1">
        <v>11728.0</v>
      </c>
      <c r="G4537" s="1">
        <v>91.0</v>
      </c>
      <c r="H4537" s="1">
        <v>2.0</v>
      </c>
      <c r="I4537" s="1">
        <v>9330000.0</v>
      </c>
      <c r="J4537" s="1" t="s">
        <v>12283</v>
      </c>
    </row>
    <row r="4538">
      <c r="A4538" s="1" t="s">
        <v>14116</v>
      </c>
      <c r="B4538" s="1" t="s">
        <v>14117</v>
      </c>
      <c r="C4538" s="1" t="s">
        <v>14118</v>
      </c>
      <c r="D4538" s="1" t="s">
        <v>13642</v>
      </c>
      <c r="E4538" s="1" t="s">
        <v>13643</v>
      </c>
      <c r="F4538" s="1">
        <v>12303.0</v>
      </c>
      <c r="G4538" s="1">
        <v>72.0</v>
      </c>
      <c r="H4538" s="1">
        <v>65.0</v>
      </c>
      <c r="I4538" s="1">
        <v>9330000.0</v>
      </c>
      <c r="J4538" s="1" t="s">
        <v>12283</v>
      </c>
    </row>
    <row r="4539">
      <c r="A4539" s="1" t="s">
        <v>14119</v>
      </c>
      <c r="B4539" s="1" t="s">
        <v>14120</v>
      </c>
      <c r="C4539" s="1" t="s">
        <v>14121</v>
      </c>
      <c r="D4539" s="1" t="s">
        <v>13642</v>
      </c>
      <c r="E4539" s="1" t="s">
        <v>13643</v>
      </c>
      <c r="F4539" s="1">
        <v>36178.0</v>
      </c>
      <c r="G4539" s="1">
        <v>340.0</v>
      </c>
      <c r="H4539" s="1">
        <v>314.0</v>
      </c>
      <c r="I4539" s="1">
        <v>9330000.0</v>
      </c>
      <c r="J4539" s="1" t="s">
        <v>12283</v>
      </c>
    </row>
    <row r="4540">
      <c r="A4540" s="1" t="s">
        <v>14122</v>
      </c>
      <c r="B4540" s="8" t="s">
        <v>14123</v>
      </c>
      <c r="C4540" s="1" t="s">
        <v>14124</v>
      </c>
      <c r="D4540" s="1" t="s">
        <v>13642</v>
      </c>
      <c r="E4540" s="1" t="s">
        <v>13643</v>
      </c>
      <c r="F4540" s="1">
        <v>13609.0</v>
      </c>
      <c r="G4540" s="1">
        <v>441.0</v>
      </c>
      <c r="H4540" s="1">
        <v>33.0</v>
      </c>
      <c r="I4540" s="1">
        <v>9330000.0</v>
      </c>
      <c r="J4540" s="1" t="s">
        <v>12283</v>
      </c>
    </row>
    <row r="4541">
      <c r="A4541" s="1" t="s">
        <v>14125</v>
      </c>
      <c r="B4541" s="1" t="s">
        <v>14126</v>
      </c>
      <c r="C4541" s="1" t="s">
        <v>14127</v>
      </c>
      <c r="D4541" s="1" t="s">
        <v>13642</v>
      </c>
      <c r="E4541" s="1" t="s">
        <v>13643</v>
      </c>
      <c r="F4541" s="1">
        <v>4703.0</v>
      </c>
      <c r="G4541" s="1">
        <v>33.0</v>
      </c>
      <c r="H4541" s="1">
        <v>7.0</v>
      </c>
      <c r="I4541" s="1">
        <v>9330000.0</v>
      </c>
      <c r="J4541" s="1" t="s">
        <v>12283</v>
      </c>
    </row>
    <row r="4542">
      <c r="A4542" s="1" t="s">
        <v>14128</v>
      </c>
      <c r="B4542" s="1" t="s">
        <v>14129</v>
      </c>
      <c r="C4542" s="1" t="s">
        <v>14130</v>
      </c>
      <c r="D4542" s="1" t="s">
        <v>13642</v>
      </c>
      <c r="E4542" s="1" t="s">
        <v>13643</v>
      </c>
      <c r="F4542" s="1">
        <v>17136.0</v>
      </c>
      <c r="G4542" s="1">
        <v>78.0</v>
      </c>
      <c r="H4542" s="1">
        <v>134.0</v>
      </c>
      <c r="I4542" s="1">
        <v>9330000.0</v>
      </c>
      <c r="J4542" s="1" t="s">
        <v>12283</v>
      </c>
    </row>
    <row r="4543">
      <c r="A4543" s="1" t="s">
        <v>14131</v>
      </c>
      <c r="B4543" s="1" t="s">
        <v>14132</v>
      </c>
      <c r="C4543" s="1" t="s">
        <v>14133</v>
      </c>
      <c r="D4543" s="1" t="s">
        <v>13642</v>
      </c>
      <c r="E4543" s="1" t="s">
        <v>13643</v>
      </c>
      <c r="F4543" s="1">
        <v>4193.0</v>
      </c>
      <c r="G4543" s="1">
        <v>36.0</v>
      </c>
      <c r="H4543" s="1">
        <v>5.0</v>
      </c>
      <c r="I4543" s="1">
        <v>9330000.0</v>
      </c>
      <c r="J4543" s="1" t="s">
        <v>12283</v>
      </c>
    </row>
    <row r="4544">
      <c r="A4544" s="1" t="s">
        <v>14134</v>
      </c>
      <c r="B4544" s="1" t="s">
        <v>14135</v>
      </c>
      <c r="C4544" s="1" t="s">
        <v>14136</v>
      </c>
      <c r="D4544" s="1" t="s">
        <v>13642</v>
      </c>
      <c r="E4544" s="1" t="s">
        <v>13643</v>
      </c>
      <c r="F4544" s="1">
        <v>2025.0</v>
      </c>
      <c r="G4544" s="1">
        <v>21.0</v>
      </c>
      <c r="H4544" s="1">
        <v>9.0</v>
      </c>
      <c r="I4544" s="1">
        <v>9330000.0</v>
      </c>
      <c r="J4544" s="1" t="s">
        <v>12283</v>
      </c>
    </row>
    <row r="4545">
      <c r="A4545" s="1" t="s">
        <v>14139</v>
      </c>
      <c r="B4545" s="8" t="s">
        <v>14141</v>
      </c>
      <c r="C4545" s="1" t="s">
        <v>14142</v>
      </c>
      <c r="D4545" s="1" t="s">
        <v>13642</v>
      </c>
      <c r="E4545" s="1" t="s">
        <v>13643</v>
      </c>
      <c r="F4545" s="1">
        <v>5991.0</v>
      </c>
      <c r="G4545" s="1">
        <v>52.0</v>
      </c>
      <c r="H4545" s="1">
        <v>9.0</v>
      </c>
      <c r="I4545" s="1">
        <v>9330000.0</v>
      </c>
      <c r="J4545" s="1" t="s">
        <v>12283</v>
      </c>
    </row>
    <row r="4546">
      <c r="A4546" s="1" t="s">
        <v>14143</v>
      </c>
      <c r="B4546" s="1" t="s">
        <v>14144</v>
      </c>
      <c r="C4546" s="1" t="s">
        <v>14145</v>
      </c>
      <c r="D4546" s="1" t="s">
        <v>13642</v>
      </c>
      <c r="E4546" s="1" t="s">
        <v>13643</v>
      </c>
      <c r="F4546" s="1">
        <v>6902.0</v>
      </c>
      <c r="G4546" s="1">
        <v>55.0</v>
      </c>
      <c r="H4546" s="1">
        <v>37.0</v>
      </c>
      <c r="I4546" s="1">
        <v>9330000.0</v>
      </c>
      <c r="J4546" s="1" t="s">
        <v>12283</v>
      </c>
    </row>
    <row r="4547">
      <c r="A4547" s="1" t="s">
        <v>14146</v>
      </c>
      <c r="B4547" s="1" t="s">
        <v>14147</v>
      </c>
      <c r="C4547" s="1" t="s">
        <v>14148</v>
      </c>
      <c r="D4547" s="1" t="s">
        <v>13642</v>
      </c>
      <c r="E4547" s="1" t="s">
        <v>13643</v>
      </c>
      <c r="F4547" s="1">
        <v>20341.0</v>
      </c>
      <c r="G4547" s="1">
        <v>193.0</v>
      </c>
      <c r="H4547" s="1">
        <v>109.0</v>
      </c>
      <c r="I4547" s="1">
        <v>9330000.0</v>
      </c>
      <c r="J4547" s="1" t="s">
        <v>12283</v>
      </c>
    </row>
    <row r="4548">
      <c r="A4548" s="1" t="s">
        <v>14149</v>
      </c>
      <c r="B4548" s="1" t="s">
        <v>14150</v>
      </c>
      <c r="C4548" s="1" t="s">
        <v>14151</v>
      </c>
      <c r="D4548" s="1" t="s">
        <v>13642</v>
      </c>
      <c r="E4548" s="1" t="s">
        <v>13643</v>
      </c>
      <c r="F4548" s="1">
        <v>34175.0</v>
      </c>
      <c r="G4548" s="1">
        <v>172.0</v>
      </c>
      <c r="H4548" s="1">
        <v>0.0</v>
      </c>
      <c r="I4548" s="1">
        <v>9330000.0</v>
      </c>
      <c r="J4548" s="1" t="s">
        <v>12283</v>
      </c>
    </row>
    <row r="4549">
      <c r="A4549" s="1" t="s">
        <v>14154</v>
      </c>
      <c r="B4549" s="1" t="s">
        <v>14156</v>
      </c>
      <c r="C4549" s="1" t="s">
        <v>14157</v>
      </c>
      <c r="D4549" s="1" t="s">
        <v>13642</v>
      </c>
      <c r="E4549" s="1" t="s">
        <v>13643</v>
      </c>
      <c r="F4549" s="1">
        <v>1718.0</v>
      </c>
      <c r="G4549" s="1">
        <v>24.0</v>
      </c>
      <c r="H4549" s="1">
        <v>15.0</v>
      </c>
      <c r="I4549" s="1">
        <v>9330000.0</v>
      </c>
      <c r="J4549" s="1" t="s">
        <v>12283</v>
      </c>
    </row>
    <row r="4550">
      <c r="A4550" s="1" t="s">
        <v>14158</v>
      </c>
      <c r="B4550" s="1" t="s">
        <v>14159</v>
      </c>
      <c r="C4550" s="1" t="s">
        <v>14160</v>
      </c>
      <c r="D4550" s="1" t="s">
        <v>13642</v>
      </c>
      <c r="E4550" s="1" t="s">
        <v>13643</v>
      </c>
      <c r="F4550" s="1">
        <v>8378.0</v>
      </c>
      <c r="G4550" s="1">
        <v>84.0</v>
      </c>
      <c r="H4550" s="1">
        <v>58.0</v>
      </c>
      <c r="I4550" s="1">
        <v>9330000.0</v>
      </c>
      <c r="J4550" s="1" t="s">
        <v>12283</v>
      </c>
    </row>
    <row r="4551">
      <c r="A4551" s="1" t="s">
        <v>14161</v>
      </c>
      <c r="B4551" s="1" t="s">
        <v>14162</v>
      </c>
      <c r="C4551" s="1" t="s">
        <v>14163</v>
      </c>
      <c r="D4551" s="1" t="s">
        <v>13642</v>
      </c>
      <c r="E4551" s="1" t="s">
        <v>13643</v>
      </c>
      <c r="F4551" s="1">
        <v>19484.0</v>
      </c>
      <c r="G4551" s="1">
        <v>196.0</v>
      </c>
      <c r="H4551" s="1">
        <v>40.0</v>
      </c>
      <c r="I4551" s="1">
        <v>9330000.0</v>
      </c>
      <c r="J4551" s="1" t="s">
        <v>12283</v>
      </c>
    </row>
    <row r="4552">
      <c r="A4552" s="1" t="s">
        <v>14164</v>
      </c>
      <c r="B4552" s="1" t="s">
        <v>14165</v>
      </c>
      <c r="C4552" s="1" t="s">
        <v>14166</v>
      </c>
      <c r="D4552" s="1" t="s">
        <v>13642</v>
      </c>
      <c r="E4552" s="1" t="s">
        <v>13643</v>
      </c>
      <c r="F4552" s="1">
        <v>31620.0</v>
      </c>
      <c r="G4552" s="1">
        <v>121.0</v>
      </c>
      <c r="H4552" s="1">
        <v>0.0</v>
      </c>
      <c r="I4552" s="1">
        <v>9330000.0</v>
      </c>
      <c r="J4552" s="1" t="s">
        <v>12283</v>
      </c>
    </row>
    <row r="4553">
      <c r="A4553" s="1" t="s">
        <v>14167</v>
      </c>
      <c r="B4553" s="1" t="s">
        <v>14168</v>
      </c>
      <c r="C4553" s="1" t="s">
        <v>14169</v>
      </c>
      <c r="D4553" s="1" t="s">
        <v>13642</v>
      </c>
      <c r="E4553" s="1" t="s">
        <v>13643</v>
      </c>
      <c r="F4553" s="1">
        <v>134160.0</v>
      </c>
      <c r="G4553" s="1">
        <v>2782.0</v>
      </c>
      <c r="H4553" s="1">
        <v>461.0</v>
      </c>
      <c r="I4553" s="1">
        <v>9330000.0</v>
      </c>
      <c r="J4553" s="1" t="s">
        <v>12283</v>
      </c>
    </row>
    <row r="4554">
      <c r="A4554" s="1" t="s">
        <v>14171</v>
      </c>
      <c r="B4554" s="1" t="s">
        <v>14172</v>
      </c>
      <c r="C4554" s="1" t="s">
        <v>14173</v>
      </c>
      <c r="D4554" s="1" t="s">
        <v>13642</v>
      </c>
      <c r="E4554" s="1" t="s">
        <v>13643</v>
      </c>
      <c r="F4554" s="1">
        <v>9694.0</v>
      </c>
      <c r="G4554" s="1">
        <v>98.0</v>
      </c>
      <c r="H4554" s="1">
        <v>75.0</v>
      </c>
      <c r="I4554" s="1">
        <v>9330000.0</v>
      </c>
      <c r="J4554" s="1" t="s">
        <v>12283</v>
      </c>
    </row>
    <row r="4555">
      <c r="A4555" s="1" t="s">
        <v>14174</v>
      </c>
      <c r="B4555" s="1" t="s">
        <v>14150</v>
      </c>
      <c r="C4555" s="1" t="s">
        <v>14175</v>
      </c>
      <c r="D4555" s="1" t="s">
        <v>13642</v>
      </c>
      <c r="E4555" s="1" t="s">
        <v>13643</v>
      </c>
      <c r="F4555" s="1">
        <v>80390.0</v>
      </c>
      <c r="G4555" s="1">
        <v>490.0</v>
      </c>
      <c r="H4555" s="1">
        <v>0.0</v>
      </c>
      <c r="I4555" s="1">
        <v>9330000.0</v>
      </c>
      <c r="J4555" s="1" t="s">
        <v>12283</v>
      </c>
    </row>
    <row r="4556">
      <c r="A4556" s="1" t="s">
        <v>14176</v>
      </c>
      <c r="B4556" s="1" t="s">
        <v>14177</v>
      </c>
      <c r="C4556" s="1" t="s">
        <v>14179</v>
      </c>
      <c r="D4556" s="1" t="s">
        <v>13642</v>
      </c>
      <c r="E4556" s="1" t="s">
        <v>13643</v>
      </c>
      <c r="F4556" s="1">
        <v>370551.0</v>
      </c>
      <c r="G4556" s="1">
        <v>4449.0</v>
      </c>
      <c r="H4556" s="1">
        <v>1461.0</v>
      </c>
      <c r="I4556" s="1">
        <v>9330000.0</v>
      </c>
      <c r="J4556" s="1" t="s">
        <v>12283</v>
      </c>
    </row>
    <row r="4557">
      <c r="A4557" s="1" t="s">
        <v>14181</v>
      </c>
      <c r="B4557" s="1" t="s">
        <v>14182</v>
      </c>
      <c r="C4557" s="1" t="s">
        <v>14183</v>
      </c>
      <c r="D4557" s="1" t="s">
        <v>13642</v>
      </c>
      <c r="E4557" s="1" t="s">
        <v>13643</v>
      </c>
      <c r="F4557" s="1">
        <v>4643.0</v>
      </c>
      <c r="G4557" s="1">
        <v>70.0</v>
      </c>
      <c r="H4557" s="1">
        <v>36.0</v>
      </c>
      <c r="I4557" s="1">
        <v>9330000.0</v>
      </c>
      <c r="J4557" s="1" t="s">
        <v>12283</v>
      </c>
    </row>
    <row r="4558">
      <c r="A4558" s="1" t="s">
        <v>14184</v>
      </c>
      <c r="B4558" s="1" t="s">
        <v>14185</v>
      </c>
      <c r="C4558" s="1" t="s">
        <v>14186</v>
      </c>
      <c r="D4558" s="1" t="s">
        <v>13642</v>
      </c>
      <c r="E4558" s="1" t="s">
        <v>13643</v>
      </c>
      <c r="F4558" s="1">
        <v>15564.0</v>
      </c>
      <c r="G4558" s="1">
        <v>157.0</v>
      </c>
      <c r="H4558" s="1">
        <v>15.0</v>
      </c>
      <c r="I4558" s="1">
        <v>9330000.0</v>
      </c>
      <c r="J4558" s="1" t="s">
        <v>12283</v>
      </c>
    </row>
    <row r="4559">
      <c r="A4559" s="1" t="s">
        <v>14187</v>
      </c>
      <c r="B4559" s="1" t="s">
        <v>14188</v>
      </c>
      <c r="C4559" s="1" t="s">
        <v>14189</v>
      </c>
      <c r="D4559" s="1" t="s">
        <v>13642</v>
      </c>
      <c r="E4559" s="1" t="s">
        <v>13643</v>
      </c>
      <c r="F4559" s="1">
        <v>9132.0</v>
      </c>
      <c r="G4559" s="1">
        <v>134.0</v>
      </c>
      <c r="H4559" s="1">
        <v>44.0</v>
      </c>
      <c r="I4559" s="1">
        <v>9330000.0</v>
      </c>
      <c r="J4559" s="1" t="s">
        <v>12283</v>
      </c>
    </row>
    <row r="4560">
      <c r="A4560" s="1" t="s">
        <v>14190</v>
      </c>
      <c r="B4560" s="1" t="s">
        <v>14191</v>
      </c>
      <c r="C4560" s="1" t="s">
        <v>14192</v>
      </c>
      <c r="D4560" s="1" t="s">
        <v>13642</v>
      </c>
      <c r="E4560" s="1" t="s">
        <v>13643</v>
      </c>
      <c r="F4560" s="1">
        <v>30569.0</v>
      </c>
      <c r="G4560" s="1">
        <v>132.0</v>
      </c>
      <c r="H4560" s="1">
        <v>50.0</v>
      </c>
      <c r="I4560" s="1">
        <v>9330000.0</v>
      </c>
      <c r="J4560" s="1" t="s">
        <v>12283</v>
      </c>
    </row>
    <row r="4561">
      <c r="A4561" s="1" t="s">
        <v>14193</v>
      </c>
      <c r="B4561" s="1" t="s">
        <v>14194</v>
      </c>
      <c r="C4561" s="1" t="s">
        <v>14195</v>
      </c>
      <c r="D4561" s="1" t="s">
        <v>13642</v>
      </c>
      <c r="E4561" s="1" t="s">
        <v>13643</v>
      </c>
      <c r="F4561" s="1">
        <v>31125.0</v>
      </c>
      <c r="G4561" s="1">
        <v>179.0</v>
      </c>
      <c r="H4561" s="1">
        <v>2.0</v>
      </c>
      <c r="I4561" s="1">
        <v>9330000.0</v>
      </c>
      <c r="J4561" s="1" t="s">
        <v>12283</v>
      </c>
    </row>
    <row r="4562">
      <c r="A4562" s="1" t="s">
        <v>14196</v>
      </c>
      <c r="B4562" s="1" t="s">
        <v>14198</v>
      </c>
      <c r="C4562" s="1" t="s">
        <v>14200</v>
      </c>
      <c r="D4562" s="1" t="s">
        <v>13642</v>
      </c>
      <c r="E4562" s="1" t="s">
        <v>13643</v>
      </c>
      <c r="F4562" s="1">
        <v>13612.0</v>
      </c>
      <c r="G4562" s="1">
        <v>96.0</v>
      </c>
      <c r="H4562" s="1">
        <v>1.0</v>
      </c>
      <c r="I4562" s="1">
        <v>9330000.0</v>
      </c>
      <c r="J4562" s="1" t="s">
        <v>12283</v>
      </c>
    </row>
    <row r="4563">
      <c r="A4563" s="1" t="s">
        <v>14202</v>
      </c>
      <c r="B4563" s="8" t="s">
        <v>14203</v>
      </c>
      <c r="C4563" s="1" t="s">
        <v>14204</v>
      </c>
      <c r="D4563" s="1" t="s">
        <v>13642</v>
      </c>
      <c r="E4563" s="1" t="s">
        <v>13643</v>
      </c>
      <c r="F4563" s="1">
        <v>47496.0</v>
      </c>
      <c r="G4563" s="1">
        <v>561.0</v>
      </c>
      <c r="H4563" s="1">
        <v>777.0</v>
      </c>
      <c r="I4563" s="1">
        <v>9330000.0</v>
      </c>
      <c r="J4563" s="1" t="s">
        <v>12283</v>
      </c>
    </row>
    <row r="4564">
      <c r="A4564" s="1" t="s">
        <v>14205</v>
      </c>
      <c r="B4564" s="1" t="s">
        <v>14206</v>
      </c>
      <c r="C4564" s="1" t="s">
        <v>14207</v>
      </c>
      <c r="D4564" s="1" t="s">
        <v>13642</v>
      </c>
      <c r="E4564" s="1" t="s">
        <v>13643</v>
      </c>
      <c r="F4564" s="1">
        <v>123348.0</v>
      </c>
      <c r="G4564" s="1">
        <v>911.0</v>
      </c>
      <c r="H4564" s="1">
        <v>429.0</v>
      </c>
      <c r="I4564" s="1">
        <v>9330000.0</v>
      </c>
      <c r="J4564" s="1" t="s">
        <v>12283</v>
      </c>
    </row>
    <row r="4565">
      <c r="A4565" s="1" t="s">
        <v>14208</v>
      </c>
      <c r="B4565" s="1" t="s">
        <v>14209</v>
      </c>
      <c r="C4565" s="1" t="s">
        <v>14210</v>
      </c>
      <c r="D4565" s="1" t="s">
        <v>13642</v>
      </c>
      <c r="E4565" s="1" t="s">
        <v>13643</v>
      </c>
      <c r="F4565" s="1">
        <v>227074.0</v>
      </c>
      <c r="G4565" s="1">
        <v>1040.0</v>
      </c>
      <c r="H4565" s="1">
        <v>340.0</v>
      </c>
      <c r="I4565" s="1">
        <v>9330000.0</v>
      </c>
      <c r="J4565" s="1" t="s">
        <v>12283</v>
      </c>
    </row>
    <row r="4566">
      <c r="A4566" s="1" t="s">
        <v>14211</v>
      </c>
      <c r="B4566" s="1" t="s">
        <v>14212</v>
      </c>
      <c r="C4566" s="1" t="s">
        <v>14213</v>
      </c>
      <c r="D4566" s="1" t="s">
        <v>13642</v>
      </c>
      <c r="E4566" s="1" t="s">
        <v>13643</v>
      </c>
      <c r="F4566" s="1">
        <v>2806.0</v>
      </c>
      <c r="G4566" s="1">
        <v>32.0</v>
      </c>
      <c r="H4566" s="1">
        <v>8.0</v>
      </c>
      <c r="I4566" s="1">
        <v>9330000.0</v>
      </c>
      <c r="J4566" s="1" t="s">
        <v>12283</v>
      </c>
    </row>
    <row r="4567">
      <c r="A4567" s="1" t="s">
        <v>14214</v>
      </c>
      <c r="B4567" s="1" t="s">
        <v>14216</v>
      </c>
      <c r="C4567" s="1" t="s">
        <v>14217</v>
      </c>
      <c r="D4567" s="1" t="s">
        <v>13642</v>
      </c>
      <c r="E4567" s="1" t="s">
        <v>13643</v>
      </c>
      <c r="F4567" s="1">
        <v>12115.0</v>
      </c>
      <c r="G4567" s="1">
        <v>105.0</v>
      </c>
      <c r="H4567" s="1">
        <v>50.0</v>
      </c>
      <c r="I4567" s="1">
        <v>9330000.0</v>
      </c>
      <c r="J4567" s="1" t="s">
        <v>12283</v>
      </c>
    </row>
    <row r="4568">
      <c r="A4568" s="1" t="s">
        <v>14220</v>
      </c>
      <c r="B4568" s="1" t="s">
        <v>14221</v>
      </c>
      <c r="C4568" s="1" t="s">
        <v>14222</v>
      </c>
      <c r="D4568" s="1" t="s">
        <v>13642</v>
      </c>
      <c r="E4568" s="1" t="s">
        <v>13643</v>
      </c>
      <c r="F4568" s="1">
        <v>13119.0</v>
      </c>
      <c r="G4568" s="1">
        <v>132.0</v>
      </c>
      <c r="H4568" s="1">
        <v>18.0</v>
      </c>
      <c r="I4568" s="1">
        <v>9330000.0</v>
      </c>
      <c r="J4568" s="1" t="s">
        <v>12283</v>
      </c>
    </row>
    <row r="4569">
      <c r="A4569" s="1" t="s">
        <v>14223</v>
      </c>
      <c r="B4569" s="1" t="s">
        <v>14224</v>
      </c>
      <c r="C4569" s="1" t="s">
        <v>14225</v>
      </c>
      <c r="D4569" s="1" t="s">
        <v>13642</v>
      </c>
      <c r="E4569" s="1" t="s">
        <v>13643</v>
      </c>
      <c r="F4569" s="1">
        <v>6646.0</v>
      </c>
      <c r="G4569" s="1">
        <v>52.0</v>
      </c>
      <c r="H4569" s="1">
        <v>47.0</v>
      </c>
      <c r="I4569" s="1">
        <v>9330000.0</v>
      </c>
      <c r="J4569" s="1" t="s">
        <v>12283</v>
      </c>
    </row>
    <row r="4570">
      <c r="A4570" s="1" t="s">
        <v>14226</v>
      </c>
      <c r="B4570" s="1" t="s">
        <v>14227</v>
      </c>
      <c r="C4570" s="1" t="s">
        <v>14228</v>
      </c>
      <c r="D4570" s="1" t="s">
        <v>13642</v>
      </c>
      <c r="E4570" s="1" t="s">
        <v>13643</v>
      </c>
      <c r="F4570" s="1">
        <v>6469.0</v>
      </c>
      <c r="G4570" s="1">
        <v>152.0</v>
      </c>
      <c r="H4570" s="1">
        <v>16.0</v>
      </c>
      <c r="I4570" s="1">
        <v>9330000.0</v>
      </c>
      <c r="J4570" s="1" t="s">
        <v>12283</v>
      </c>
    </row>
    <row r="4571">
      <c r="A4571" s="1" t="s">
        <v>14229</v>
      </c>
      <c r="B4571" s="1" t="s">
        <v>14230</v>
      </c>
      <c r="C4571" s="1" t="s">
        <v>14231</v>
      </c>
      <c r="D4571" s="1" t="s">
        <v>13642</v>
      </c>
      <c r="E4571" s="1" t="s">
        <v>13643</v>
      </c>
      <c r="F4571" s="1">
        <v>23697.0</v>
      </c>
      <c r="G4571" s="1">
        <v>323.0</v>
      </c>
      <c r="H4571" s="1">
        <v>251.0</v>
      </c>
      <c r="I4571" s="1">
        <v>9330000.0</v>
      </c>
      <c r="J4571" s="1" t="s">
        <v>12283</v>
      </c>
    </row>
    <row r="4572">
      <c r="A4572" s="1" t="s">
        <v>14232</v>
      </c>
      <c r="B4572" s="1" t="s">
        <v>14233</v>
      </c>
      <c r="C4572" s="1" t="s">
        <v>14234</v>
      </c>
      <c r="D4572" s="1" t="s">
        <v>13642</v>
      </c>
      <c r="E4572" s="1" t="s">
        <v>13643</v>
      </c>
      <c r="F4572" s="1">
        <v>10715.0</v>
      </c>
      <c r="G4572" s="1">
        <v>127.0</v>
      </c>
      <c r="H4572" s="1">
        <v>40.0</v>
      </c>
      <c r="I4572" s="1">
        <v>9330000.0</v>
      </c>
      <c r="J4572" s="1" t="s">
        <v>12283</v>
      </c>
    </row>
    <row r="4573">
      <c r="A4573" s="1" t="s">
        <v>14235</v>
      </c>
      <c r="B4573" s="1" t="s">
        <v>14236</v>
      </c>
      <c r="C4573" s="1" t="s">
        <v>14237</v>
      </c>
      <c r="D4573" s="1" t="s">
        <v>13642</v>
      </c>
      <c r="E4573" s="1" t="s">
        <v>13643</v>
      </c>
      <c r="F4573" s="1">
        <v>65115.0</v>
      </c>
      <c r="G4573" s="1">
        <v>660.0</v>
      </c>
      <c r="H4573" s="1">
        <v>333.0</v>
      </c>
      <c r="I4573" s="1">
        <v>9330000.0</v>
      </c>
      <c r="J4573" s="1" t="s">
        <v>12283</v>
      </c>
    </row>
    <row r="4574">
      <c r="A4574" s="1" t="s">
        <v>14240</v>
      </c>
      <c r="B4574" s="1" t="s">
        <v>14236</v>
      </c>
      <c r="C4574" s="1" t="s">
        <v>14242</v>
      </c>
      <c r="D4574" s="1" t="s">
        <v>13642</v>
      </c>
      <c r="E4574" s="1" t="s">
        <v>13643</v>
      </c>
      <c r="F4574" s="1">
        <v>40187.0</v>
      </c>
      <c r="G4574" s="1">
        <v>232.0</v>
      </c>
      <c r="H4574" s="1">
        <v>168.0</v>
      </c>
      <c r="I4574" s="1">
        <v>9330000.0</v>
      </c>
      <c r="J4574" s="1" t="s">
        <v>12283</v>
      </c>
    </row>
    <row r="4575">
      <c r="A4575" s="1" t="s">
        <v>14243</v>
      </c>
      <c r="B4575" s="1" t="s">
        <v>14244</v>
      </c>
      <c r="C4575" s="1" t="s">
        <v>14245</v>
      </c>
      <c r="D4575" s="1" t="s">
        <v>13642</v>
      </c>
      <c r="E4575" s="1" t="s">
        <v>13643</v>
      </c>
      <c r="F4575" s="1">
        <v>43502.0</v>
      </c>
      <c r="G4575" s="1">
        <v>427.0</v>
      </c>
      <c r="H4575" s="1">
        <v>348.0</v>
      </c>
      <c r="I4575" s="1">
        <v>9330000.0</v>
      </c>
      <c r="J4575" s="1" t="s">
        <v>12283</v>
      </c>
    </row>
    <row r="4576">
      <c r="A4576" s="1" t="s">
        <v>14246</v>
      </c>
      <c r="B4576" s="1" t="s">
        <v>14247</v>
      </c>
      <c r="C4576" s="1" t="s">
        <v>14248</v>
      </c>
      <c r="D4576" s="1" t="s">
        <v>13642</v>
      </c>
      <c r="E4576" s="1" t="s">
        <v>13643</v>
      </c>
      <c r="F4576" s="1">
        <v>39311.0</v>
      </c>
      <c r="G4576" s="1">
        <v>134.0</v>
      </c>
      <c r="H4576" s="1">
        <v>59.0</v>
      </c>
      <c r="I4576" s="1">
        <v>9330000.0</v>
      </c>
      <c r="J4576" s="1" t="s">
        <v>12283</v>
      </c>
    </row>
    <row r="4577">
      <c r="A4577" s="1" t="s">
        <v>14249</v>
      </c>
      <c r="B4577" s="1" t="s">
        <v>14250</v>
      </c>
      <c r="C4577" s="1" t="s">
        <v>14251</v>
      </c>
      <c r="D4577" s="1" t="s">
        <v>13642</v>
      </c>
      <c r="E4577" s="1" t="s">
        <v>13643</v>
      </c>
      <c r="F4577" s="1">
        <v>7559.0</v>
      </c>
      <c r="G4577" s="1">
        <v>176.0</v>
      </c>
      <c r="H4577" s="1">
        <v>3.0</v>
      </c>
      <c r="I4577" s="1">
        <v>9330000.0</v>
      </c>
      <c r="J4577" s="1" t="s">
        <v>12283</v>
      </c>
    </row>
    <row r="4578">
      <c r="A4578" s="1" t="s">
        <v>14252</v>
      </c>
      <c r="B4578" s="1" t="s">
        <v>14253</v>
      </c>
      <c r="C4578" s="1" t="s">
        <v>14254</v>
      </c>
      <c r="D4578" s="1" t="s">
        <v>13642</v>
      </c>
      <c r="E4578" s="1" t="s">
        <v>13643</v>
      </c>
      <c r="F4578" s="1">
        <v>67013.0</v>
      </c>
      <c r="G4578" s="1">
        <v>989.0</v>
      </c>
      <c r="H4578" s="1">
        <v>430.0</v>
      </c>
      <c r="I4578" s="1">
        <v>9330000.0</v>
      </c>
      <c r="J4578" s="1" t="s">
        <v>12283</v>
      </c>
    </row>
    <row r="4579">
      <c r="A4579" s="1" t="s">
        <v>14255</v>
      </c>
      <c r="B4579" s="1" t="s">
        <v>14256</v>
      </c>
      <c r="C4579" s="1" t="s">
        <v>14257</v>
      </c>
      <c r="D4579" s="1" t="s">
        <v>13642</v>
      </c>
      <c r="E4579" s="1" t="s">
        <v>13643</v>
      </c>
      <c r="F4579" s="1">
        <v>24048.0</v>
      </c>
      <c r="G4579" s="1">
        <v>225.0</v>
      </c>
      <c r="H4579" s="1">
        <v>107.0</v>
      </c>
      <c r="I4579" s="1">
        <v>9330000.0</v>
      </c>
      <c r="J4579" s="1" t="s">
        <v>12283</v>
      </c>
    </row>
    <row r="4580">
      <c r="A4580" s="1" t="s">
        <v>14259</v>
      </c>
      <c r="B4580" s="1" t="s">
        <v>14261</v>
      </c>
      <c r="C4580" s="1" t="s">
        <v>14263</v>
      </c>
      <c r="D4580" s="1" t="s">
        <v>13642</v>
      </c>
      <c r="E4580" s="1" t="s">
        <v>13643</v>
      </c>
      <c r="F4580" s="1">
        <v>469084.0</v>
      </c>
      <c r="G4580" s="1">
        <v>5626.0</v>
      </c>
      <c r="H4580" s="1">
        <v>2844.0</v>
      </c>
      <c r="I4580" s="1">
        <v>9330000.0</v>
      </c>
      <c r="J4580" s="1" t="s">
        <v>12283</v>
      </c>
    </row>
    <row r="4581">
      <c r="A4581" s="1" t="s">
        <v>14264</v>
      </c>
      <c r="B4581" s="1" t="s">
        <v>14265</v>
      </c>
      <c r="C4581" s="1" t="s">
        <v>14266</v>
      </c>
      <c r="D4581" s="1" t="s">
        <v>13642</v>
      </c>
      <c r="E4581" s="1" t="s">
        <v>13643</v>
      </c>
      <c r="F4581" s="1">
        <v>4924.0</v>
      </c>
      <c r="G4581" s="1">
        <v>62.0</v>
      </c>
      <c r="H4581" s="1">
        <v>34.0</v>
      </c>
      <c r="I4581" s="1">
        <v>9330000.0</v>
      </c>
      <c r="J4581" s="1" t="s">
        <v>12283</v>
      </c>
    </row>
    <row r="4582">
      <c r="A4582" s="1" t="s">
        <v>14267</v>
      </c>
      <c r="B4582" s="1" t="s">
        <v>14268</v>
      </c>
      <c r="C4582" s="1" t="s">
        <v>14269</v>
      </c>
      <c r="D4582" s="1" t="s">
        <v>13642</v>
      </c>
      <c r="E4582" s="1" t="s">
        <v>13643</v>
      </c>
      <c r="F4582" s="1">
        <v>11996.0</v>
      </c>
      <c r="G4582" s="1">
        <v>142.0</v>
      </c>
      <c r="H4582" s="1">
        <v>39.0</v>
      </c>
      <c r="I4582" s="1">
        <v>9330000.0</v>
      </c>
      <c r="J4582" s="1" t="s">
        <v>12283</v>
      </c>
    </row>
    <row r="4583">
      <c r="A4583" s="1" t="s">
        <v>14270</v>
      </c>
      <c r="B4583" s="1" t="s">
        <v>14271</v>
      </c>
      <c r="C4583" s="1" t="s">
        <v>14272</v>
      </c>
      <c r="D4583" s="1" t="s">
        <v>13642</v>
      </c>
      <c r="E4583" s="1" t="s">
        <v>13643</v>
      </c>
      <c r="F4583" s="1">
        <v>30652.0</v>
      </c>
      <c r="G4583" s="1">
        <v>350.0</v>
      </c>
      <c r="H4583" s="1">
        <v>47.0</v>
      </c>
      <c r="I4583" s="1">
        <v>9330000.0</v>
      </c>
      <c r="J4583" s="1" t="s">
        <v>12283</v>
      </c>
    </row>
    <row r="4584">
      <c r="A4584" s="1" t="s">
        <v>14273</v>
      </c>
      <c r="B4584" s="1" t="s">
        <v>14274</v>
      </c>
      <c r="C4584" s="1" t="s">
        <v>14275</v>
      </c>
      <c r="D4584" s="1" t="s">
        <v>13642</v>
      </c>
      <c r="E4584" s="1" t="s">
        <v>13643</v>
      </c>
      <c r="F4584" s="1">
        <v>29492.0</v>
      </c>
      <c r="G4584" s="1">
        <v>321.0</v>
      </c>
      <c r="H4584" s="1">
        <v>59.0</v>
      </c>
      <c r="I4584" s="1">
        <v>9330000.0</v>
      </c>
      <c r="J4584" s="1" t="s">
        <v>12283</v>
      </c>
    </row>
    <row r="4585">
      <c r="A4585" s="1" t="s">
        <v>14276</v>
      </c>
      <c r="B4585" s="1" t="s">
        <v>14277</v>
      </c>
      <c r="C4585" s="1" t="s">
        <v>14278</v>
      </c>
      <c r="D4585" s="1" t="s">
        <v>13642</v>
      </c>
      <c r="E4585" s="1" t="s">
        <v>13643</v>
      </c>
      <c r="F4585" s="1">
        <v>22186.0</v>
      </c>
      <c r="G4585" s="1">
        <v>240.0</v>
      </c>
      <c r="H4585" s="1">
        <v>35.0</v>
      </c>
      <c r="I4585" s="1">
        <v>9330000.0</v>
      </c>
      <c r="J4585" s="1" t="s">
        <v>12283</v>
      </c>
    </row>
    <row r="4586">
      <c r="A4586" s="1" t="s">
        <v>14279</v>
      </c>
      <c r="B4586" s="1" t="s">
        <v>14280</v>
      </c>
      <c r="C4586" s="1" t="s">
        <v>14281</v>
      </c>
      <c r="D4586" s="1" t="s">
        <v>13642</v>
      </c>
      <c r="E4586" s="1" t="s">
        <v>13643</v>
      </c>
      <c r="F4586" s="1">
        <v>12964.0</v>
      </c>
      <c r="G4586" s="1">
        <v>136.0</v>
      </c>
      <c r="H4586" s="1">
        <v>12.0</v>
      </c>
      <c r="I4586" s="1">
        <v>9330000.0</v>
      </c>
      <c r="J4586" s="1" t="s">
        <v>12283</v>
      </c>
    </row>
    <row r="4587">
      <c r="A4587" s="1" t="s">
        <v>14284</v>
      </c>
      <c r="B4587" s="1" t="s">
        <v>14286</v>
      </c>
      <c r="C4587" s="1" t="s">
        <v>14287</v>
      </c>
      <c r="D4587" s="1" t="s">
        <v>13642</v>
      </c>
      <c r="E4587" s="1" t="s">
        <v>13643</v>
      </c>
      <c r="F4587" s="1">
        <v>19381.0</v>
      </c>
      <c r="G4587" s="1">
        <v>137.0</v>
      </c>
      <c r="H4587" s="1">
        <v>0.0</v>
      </c>
      <c r="I4587" s="1">
        <v>9330000.0</v>
      </c>
      <c r="J4587" s="1" t="s">
        <v>12283</v>
      </c>
    </row>
    <row r="4588">
      <c r="A4588" s="1" t="s">
        <v>14288</v>
      </c>
      <c r="B4588" s="1" t="s">
        <v>14289</v>
      </c>
      <c r="C4588" s="1" t="s">
        <v>14290</v>
      </c>
      <c r="D4588" s="1" t="s">
        <v>13642</v>
      </c>
      <c r="E4588" s="1" t="s">
        <v>13643</v>
      </c>
      <c r="F4588" s="1">
        <v>5470.0</v>
      </c>
      <c r="G4588" s="1">
        <v>43.0</v>
      </c>
      <c r="H4588" s="1">
        <v>32.0</v>
      </c>
      <c r="I4588" s="1">
        <v>9330000.0</v>
      </c>
      <c r="J4588" s="1" t="s">
        <v>12283</v>
      </c>
    </row>
    <row r="4589">
      <c r="A4589" s="1" t="s">
        <v>14291</v>
      </c>
      <c r="B4589" s="1" t="s">
        <v>14292</v>
      </c>
      <c r="C4589" s="1" t="s">
        <v>14293</v>
      </c>
      <c r="D4589" s="1" t="s">
        <v>13642</v>
      </c>
      <c r="E4589" s="1" t="s">
        <v>13643</v>
      </c>
      <c r="F4589" s="1">
        <v>58261.0</v>
      </c>
      <c r="G4589" s="1">
        <v>1492.0</v>
      </c>
      <c r="H4589" s="1">
        <v>730.0</v>
      </c>
      <c r="I4589" s="1">
        <v>9330000.0</v>
      </c>
      <c r="J4589" s="1" t="s">
        <v>12283</v>
      </c>
    </row>
    <row r="4590">
      <c r="A4590" s="1" t="s">
        <v>14294</v>
      </c>
      <c r="B4590" s="1" t="s">
        <v>14295</v>
      </c>
      <c r="C4590" s="1" t="s">
        <v>14296</v>
      </c>
      <c r="D4590" s="1" t="s">
        <v>13642</v>
      </c>
      <c r="E4590" s="1" t="s">
        <v>13643</v>
      </c>
      <c r="F4590" s="1">
        <v>16902.0</v>
      </c>
      <c r="G4590" s="1">
        <v>122.0</v>
      </c>
      <c r="H4590" s="1">
        <v>52.0</v>
      </c>
      <c r="I4590" s="1">
        <v>9330000.0</v>
      </c>
      <c r="J4590" s="1" t="s">
        <v>12283</v>
      </c>
    </row>
    <row r="4591">
      <c r="A4591" s="1" t="s">
        <v>14297</v>
      </c>
      <c r="B4591" s="1" t="s">
        <v>14298</v>
      </c>
      <c r="C4591" s="1" t="s">
        <v>14299</v>
      </c>
      <c r="D4591" s="1" t="s">
        <v>13642</v>
      </c>
      <c r="E4591" s="1" t="s">
        <v>13643</v>
      </c>
      <c r="F4591" s="1">
        <v>5013.0</v>
      </c>
      <c r="G4591" s="1">
        <v>48.0</v>
      </c>
      <c r="H4591" s="1">
        <v>47.0</v>
      </c>
      <c r="I4591" s="1">
        <v>9330000.0</v>
      </c>
      <c r="J4591" s="1" t="s">
        <v>12283</v>
      </c>
    </row>
    <row r="4592">
      <c r="A4592" s="1" t="s">
        <v>14300</v>
      </c>
      <c r="B4592" s="1" t="s">
        <v>14301</v>
      </c>
      <c r="C4592" s="1" t="s">
        <v>14302</v>
      </c>
      <c r="D4592" s="1" t="s">
        <v>13642</v>
      </c>
      <c r="E4592" s="1" t="s">
        <v>13643</v>
      </c>
      <c r="F4592" s="1">
        <v>295190.0</v>
      </c>
      <c r="G4592" s="1">
        <v>3951.0</v>
      </c>
      <c r="H4592" s="1">
        <v>599.0</v>
      </c>
      <c r="I4592" s="1">
        <v>9330000.0</v>
      </c>
      <c r="J4592" s="1" t="s">
        <v>12283</v>
      </c>
    </row>
    <row r="4593">
      <c r="A4593" s="1" t="s">
        <v>14303</v>
      </c>
      <c r="B4593" s="1" t="s">
        <v>14304</v>
      </c>
      <c r="C4593" s="1" t="s">
        <v>14305</v>
      </c>
      <c r="D4593" s="1" t="s">
        <v>13642</v>
      </c>
      <c r="E4593" s="1" t="s">
        <v>13643</v>
      </c>
      <c r="F4593" s="1">
        <v>306098.0</v>
      </c>
      <c r="G4593" s="1">
        <v>4516.0</v>
      </c>
      <c r="H4593" s="1">
        <v>1104.0</v>
      </c>
      <c r="I4593" s="1">
        <v>9330000.0</v>
      </c>
      <c r="J4593" s="1" t="s">
        <v>12283</v>
      </c>
    </row>
    <row r="4594">
      <c r="A4594" s="1" t="s">
        <v>14306</v>
      </c>
      <c r="B4594" s="8" t="s">
        <v>14307</v>
      </c>
      <c r="C4594" s="1" t="s">
        <v>14308</v>
      </c>
      <c r="D4594" s="1" t="s">
        <v>13642</v>
      </c>
      <c r="E4594" s="1" t="s">
        <v>13643</v>
      </c>
      <c r="F4594" s="1">
        <v>14136.0</v>
      </c>
      <c r="G4594" s="1">
        <v>65.0</v>
      </c>
      <c r="H4594" s="1">
        <v>35.0</v>
      </c>
      <c r="I4594" s="1">
        <v>9330000.0</v>
      </c>
      <c r="J4594" s="1" t="s">
        <v>12283</v>
      </c>
    </row>
    <row r="4595">
      <c r="A4595" s="1" t="s">
        <v>14309</v>
      </c>
      <c r="B4595" s="1" t="s">
        <v>14310</v>
      </c>
      <c r="C4595" s="1" t="s">
        <v>14311</v>
      </c>
      <c r="D4595" s="1" t="s">
        <v>13642</v>
      </c>
      <c r="E4595" s="1" t="s">
        <v>13643</v>
      </c>
      <c r="F4595" s="1">
        <v>25238.0</v>
      </c>
      <c r="G4595" s="1">
        <v>220.0</v>
      </c>
      <c r="H4595" s="1">
        <v>61.0</v>
      </c>
      <c r="I4595" s="1">
        <v>9330000.0</v>
      </c>
      <c r="J4595" s="1" t="s">
        <v>12283</v>
      </c>
    </row>
    <row r="4596">
      <c r="A4596" s="1" t="s">
        <v>14312</v>
      </c>
      <c r="B4596" s="1" t="s">
        <v>14313</v>
      </c>
      <c r="C4596" s="1" t="s">
        <v>14315</v>
      </c>
      <c r="D4596" s="1" t="s">
        <v>13642</v>
      </c>
      <c r="E4596" s="1" t="s">
        <v>13643</v>
      </c>
      <c r="F4596" s="1">
        <v>31881.0</v>
      </c>
      <c r="G4596" s="1">
        <v>157.0</v>
      </c>
      <c r="H4596" s="1">
        <v>17.0</v>
      </c>
      <c r="I4596" s="1">
        <v>9330000.0</v>
      </c>
      <c r="J4596" s="1" t="s">
        <v>12283</v>
      </c>
    </row>
    <row r="4597">
      <c r="A4597" s="1" t="s">
        <v>14318</v>
      </c>
      <c r="B4597" s="1" t="s">
        <v>14319</v>
      </c>
      <c r="C4597" s="1" t="s">
        <v>14320</v>
      </c>
      <c r="D4597" s="1" t="s">
        <v>13642</v>
      </c>
      <c r="E4597" s="1" t="s">
        <v>13643</v>
      </c>
      <c r="F4597" s="1">
        <v>13837.0</v>
      </c>
      <c r="G4597" s="1">
        <v>137.0</v>
      </c>
      <c r="H4597" s="1">
        <v>109.0</v>
      </c>
      <c r="I4597" s="1">
        <v>9330000.0</v>
      </c>
      <c r="J4597" s="1" t="s">
        <v>12283</v>
      </c>
    </row>
    <row r="4598">
      <c r="A4598" s="1" t="s">
        <v>14321</v>
      </c>
      <c r="B4598" s="1" t="s">
        <v>14322</v>
      </c>
      <c r="C4598" s="1" t="s">
        <v>14323</v>
      </c>
      <c r="D4598" s="1" t="s">
        <v>13642</v>
      </c>
      <c r="E4598" s="1" t="s">
        <v>13643</v>
      </c>
      <c r="F4598" s="1">
        <v>44685.0</v>
      </c>
      <c r="G4598" s="1">
        <v>560.0</v>
      </c>
      <c r="H4598" s="1">
        <v>38.0</v>
      </c>
      <c r="I4598" s="1">
        <v>9330000.0</v>
      </c>
      <c r="J4598" s="1" t="s">
        <v>12283</v>
      </c>
    </row>
    <row r="4599">
      <c r="A4599" s="1" t="s">
        <v>14324</v>
      </c>
      <c r="B4599" s="1" t="s">
        <v>14325</v>
      </c>
      <c r="C4599" s="1" t="s">
        <v>14326</v>
      </c>
      <c r="D4599" s="1" t="s">
        <v>13642</v>
      </c>
      <c r="E4599" s="1" t="s">
        <v>13643</v>
      </c>
      <c r="F4599" s="1">
        <v>5026.0</v>
      </c>
      <c r="G4599" s="1">
        <v>59.0</v>
      </c>
      <c r="H4599" s="1">
        <v>18.0</v>
      </c>
      <c r="I4599" s="1">
        <v>9330000.0</v>
      </c>
      <c r="J4599" s="1" t="s">
        <v>12283</v>
      </c>
    </row>
    <row r="4600">
      <c r="A4600" s="1" t="s">
        <v>14327</v>
      </c>
      <c r="B4600" s="1" t="s">
        <v>14328</v>
      </c>
      <c r="C4600" s="1" t="s">
        <v>14329</v>
      </c>
      <c r="D4600" s="1" t="s">
        <v>13642</v>
      </c>
      <c r="E4600" s="1" t="s">
        <v>13643</v>
      </c>
      <c r="F4600" s="1">
        <v>10494.0</v>
      </c>
      <c r="G4600" s="1">
        <v>130.0</v>
      </c>
      <c r="H4600" s="1">
        <v>97.0</v>
      </c>
      <c r="I4600" s="1">
        <v>9330000.0</v>
      </c>
      <c r="J4600" s="1" t="s">
        <v>12283</v>
      </c>
    </row>
    <row r="4601">
      <c r="A4601" s="1" t="s">
        <v>14330</v>
      </c>
      <c r="B4601" s="1" t="s">
        <v>14331</v>
      </c>
      <c r="C4601" s="1" t="s">
        <v>14332</v>
      </c>
      <c r="D4601" s="1" t="s">
        <v>13642</v>
      </c>
      <c r="E4601" s="1" t="s">
        <v>13643</v>
      </c>
      <c r="F4601" s="1">
        <v>11838.0</v>
      </c>
      <c r="G4601" s="1">
        <v>101.0</v>
      </c>
      <c r="H4601" s="1">
        <v>17.0</v>
      </c>
      <c r="I4601" s="1">
        <v>9330000.0</v>
      </c>
      <c r="J4601" s="1" t="s">
        <v>12283</v>
      </c>
    </row>
    <row r="4602">
      <c r="A4602" s="1" t="s">
        <v>14336</v>
      </c>
      <c r="B4602" s="1" t="s">
        <v>14337</v>
      </c>
      <c r="C4602" s="1" t="s">
        <v>14338</v>
      </c>
      <c r="D4602" s="1" t="s">
        <v>14339</v>
      </c>
      <c r="E4602" s="1" t="s">
        <v>14340</v>
      </c>
      <c r="F4602" s="1">
        <v>119.0</v>
      </c>
      <c r="G4602" s="1">
        <v>3.0</v>
      </c>
      <c r="H4602" s="1">
        <v>0.0</v>
      </c>
      <c r="I4602" s="1">
        <v>6400000.0</v>
      </c>
      <c r="J4602" s="1" t="s">
        <v>12283</v>
      </c>
    </row>
    <row r="4603">
      <c r="A4603" s="1" t="s">
        <v>14341</v>
      </c>
      <c r="B4603" s="1" t="s">
        <v>14342</v>
      </c>
      <c r="C4603" s="1" t="s">
        <v>14343</v>
      </c>
      <c r="D4603" s="1" t="s">
        <v>14339</v>
      </c>
      <c r="E4603" s="1" t="s">
        <v>14340</v>
      </c>
      <c r="F4603" s="1">
        <v>174.0</v>
      </c>
      <c r="G4603" s="1">
        <v>12.0</v>
      </c>
      <c r="H4603" s="1">
        <v>1.0</v>
      </c>
      <c r="I4603" s="1">
        <v>6400000.0</v>
      </c>
      <c r="J4603" s="1" t="s">
        <v>12283</v>
      </c>
    </row>
    <row r="4604">
      <c r="A4604" s="1" t="s">
        <v>14344</v>
      </c>
      <c r="B4604" s="1" t="s">
        <v>14345</v>
      </c>
      <c r="C4604" s="1" t="s">
        <v>14346</v>
      </c>
      <c r="D4604" s="1" t="s">
        <v>14339</v>
      </c>
      <c r="E4604" s="1" t="s">
        <v>14340</v>
      </c>
      <c r="F4604" s="1">
        <v>8431.0</v>
      </c>
      <c r="G4604" s="1">
        <v>420.0</v>
      </c>
      <c r="H4604" s="1">
        <v>124.0</v>
      </c>
      <c r="I4604" s="1">
        <v>6400000.0</v>
      </c>
      <c r="J4604" s="1" t="s">
        <v>12283</v>
      </c>
    </row>
    <row r="4605">
      <c r="A4605" s="1" t="s">
        <v>14347</v>
      </c>
      <c r="B4605" s="1" t="s">
        <v>14348</v>
      </c>
      <c r="C4605" s="1" t="s">
        <v>14349</v>
      </c>
      <c r="D4605" s="1" t="s">
        <v>14339</v>
      </c>
      <c r="E4605" s="1" t="s">
        <v>14340</v>
      </c>
      <c r="F4605" s="1">
        <v>1685.0</v>
      </c>
      <c r="G4605" s="1">
        <v>81.0</v>
      </c>
      <c r="H4605" s="1">
        <v>31.0</v>
      </c>
      <c r="I4605" s="1">
        <v>6400000.0</v>
      </c>
      <c r="J4605" s="1" t="s">
        <v>12283</v>
      </c>
    </row>
    <row r="4606">
      <c r="A4606" s="1" t="s">
        <v>14350</v>
      </c>
      <c r="B4606" s="1" t="s">
        <v>14351</v>
      </c>
      <c r="C4606" s="1" t="s">
        <v>14352</v>
      </c>
      <c r="D4606" s="1" t="s">
        <v>14339</v>
      </c>
      <c r="E4606" s="1" t="s">
        <v>14340</v>
      </c>
      <c r="F4606" s="1">
        <v>967.0</v>
      </c>
      <c r="G4606" s="1">
        <v>50.0</v>
      </c>
      <c r="H4606" s="1">
        <v>35.0</v>
      </c>
      <c r="I4606" s="1">
        <v>6400000.0</v>
      </c>
      <c r="J4606" s="1" t="s">
        <v>12283</v>
      </c>
    </row>
    <row r="4607">
      <c r="A4607" s="1" t="s">
        <v>14354</v>
      </c>
      <c r="B4607" s="1" t="s">
        <v>14356</v>
      </c>
      <c r="C4607" s="1" t="s">
        <v>14358</v>
      </c>
      <c r="D4607" s="1" t="s">
        <v>14339</v>
      </c>
      <c r="E4607" s="1" t="s">
        <v>14340</v>
      </c>
      <c r="F4607" s="1">
        <v>8344.0</v>
      </c>
      <c r="G4607" s="1">
        <v>458.0</v>
      </c>
      <c r="H4607" s="1">
        <v>22.0</v>
      </c>
      <c r="I4607" s="1">
        <v>6400000.0</v>
      </c>
      <c r="J4607" s="1" t="s">
        <v>12283</v>
      </c>
    </row>
    <row r="4608">
      <c r="A4608" s="1" t="s">
        <v>14359</v>
      </c>
      <c r="B4608" s="1" t="s">
        <v>14360</v>
      </c>
      <c r="C4608" s="1" t="s">
        <v>14361</v>
      </c>
      <c r="D4608" s="1" t="s">
        <v>14339</v>
      </c>
      <c r="E4608" s="1" t="s">
        <v>14340</v>
      </c>
      <c r="F4608" s="1">
        <v>2701.0</v>
      </c>
      <c r="G4608" s="1">
        <v>130.0</v>
      </c>
      <c r="H4608" s="1">
        <v>27.0</v>
      </c>
      <c r="I4608" s="1">
        <v>6400000.0</v>
      </c>
      <c r="J4608" s="1" t="s">
        <v>12283</v>
      </c>
    </row>
    <row r="4609">
      <c r="A4609" s="1" t="s">
        <v>14362</v>
      </c>
      <c r="B4609" s="1" t="s">
        <v>14363</v>
      </c>
      <c r="C4609" s="1" t="s">
        <v>14364</v>
      </c>
      <c r="D4609" s="1" t="s">
        <v>14339</v>
      </c>
      <c r="E4609" s="1" t="s">
        <v>14340</v>
      </c>
      <c r="F4609" s="1">
        <v>5684.0</v>
      </c>
      <c r="G4609" s="1">
        <v>71.0</v>
      </c>
      <c r="H4609" s="1">
        <v>44.0</v>
      </c>
      <c r="I4609" s="1">
        <v>6400000.0</v>
      </c>
      <c r="J4609" s="1" t="s">
        <v>12283</v>
      </c>
    </row>
    <row r="4610">
      <c r="A4610" s="1" t="s">
        <v>14365</v>
      </c>
      <c r="B4610" s="1" t="s">
        <v>14366</v>
      </c>
      <c r="C4610" s="1" t="s">
        <v>14367</v>
      </c>
      <c r="D4610" s="1" t="s">
        <v>14339</v>
      </c>
      <c r="E4610" s="1" t="s">
        <v>14340</v>
      </c>
      <c r="F4610" s="1">
        <v>36174.0</v>
      </c>
      <c r="G4610" s="1">
        <v>578.0</v>
      </c>
      <c r="H4610" s="1">
        <v>503.0</v>
      </c>
      <c r="I4610" s="1">
        <v>6400000.0</v>
      </c>
      <c r="J4610" s="1" t="s">
        <v>12283</v>
      </c>
    </row>
    <row r="4611">
      <c r="A4611" s="1" t="s">
        <v>14368</v>
      </c>
      <c r="B4611" s="1" t="s">
        <v>14369</v>
      </c>
      <c r="C4611" s="1" t="s">
        <v>14370</v>
      </c>
      <c r="D4611" s="1" t="s">
        <v>14339</v>
      </c>
      <c r="E4611" s="1" t="s">
        <v>14340</v>
      </c>
      <c r="F4611" s="1">
        <v>6442.0</v>
      </c>
      <c r="G4611" s="1">
        <v>326.0</v>
      </c>
      <c r="H4611" s="1">
        <v>34.0</v>
      </c>
      <c r="I4611" s="1">
        <v>6400000.0</v>
      </c>
      <c r="J4611" s="1" t="s">
        <v>12283</v>
      </c>
    </row>
    <row r="4612">
      <c r="A4612" s="1" t="s">
        <v>14371</v>
      </c>
      <c r="B4612" s="1" t="s">
        <v>14372</v>
      </c>
      <c r="C4612" s="1" t="s">
        <v>14374</v>
      </c>
      <c r="D4612" s="1" t="s">
        <v>14339</v>
      </c>
      <c r="E4612" s="1" t="s">
        <v>14340</v>
      </c>
      <c r="F4612" s="1">
        <v>21504.0</v>
      </c>
      <c r="G4612" s="1">
        <v>571.0</v>
      </c>
      <c r="H4612" s="1">
        <v>101.0</v>
      </c>
      <c r="I4612" s="1">
        <v>6400000.0</v>
      </c>
      <c r="J4612" s="1" t="s">
        <v>12283</v>
      </c>
    </row>
    <row r="4613">
      <c r="A4613" s="1" t="s">
        <v>14377</v>
      </c>
      <c r="B4613" s="1" t="s">
        <v>14378</v>
      </c>
      <c r="C4613" s="1" t="s">
        <v>14379</v>
      </c>
      <c r="D4613" s="1" t="s">
        <v>14339</v>
      </c>
      <c r="E4613" s="1" t="s">
        <v>14340</v>
      </c>
      <c r="F4613" s="1">
        <v>6811.0</v>
      </c>
      <c r="G4613" s="1">
        <v>254.0</v>
      </c>
      <c r="H4613" s="1">
        <v>46.0</v>
      </c>
      <c r="I4613" s="1">
        <v>6400000.0</v>
      </c>
      <c r="J4613" s="1" t="s">
        <v>12283</v>
      </c>
    </row>
    <row r="4614">
      <c r="A4614" s="1" t="s">
        <v>14380</v>
      </c>
      <c r="B4614" s="1" t="s">
        <v>14381</v>
      </c>
      <c r="C4614" s="1" t="s">
        <v>14382</v>
      </c>
      <c r="D4614" s="1" t="s">
        <v>14339</v>
      </c>
      <c r="E4614" s="1" t="s">
        <v>14340</v>
      </c>
      <c r="F4614" s="1">
        <v>2419.0</v>
      </c>
      <c r="G4614" s="1">
        <v>74.0</v>
      </c>
      <c r="H4614" s="1">
        <v>32.0</v>
      </c>
      <c r="I4614" s="1">
        <v>6400000.0</v>
      </c>
      <c r="J4614" s="1" t="s">
        <v>12283</v>
      </c>
    </row>
    <row r="4615">
      <c r="A4615" s="1" t="s">
        <v>14383</v>
      </c>
      <c r="B4615" s="1" t="s">
        <v>14384</v>
      </c>
      <c r="C4615" s="1" t="s">
        <v>14385</v>
      </c>
      <c r="D4615" s="1" t="s">
        <v>14339</v>
      </c>
      <c r="E4615" s="1" t="s">
        <v>14340</v>
      </c>
      <c r="F4615" s="1">
        <v>19951.0</v>
      </c>
      <c r="G4615" s="1">
        <v>1071.0</v>
      </c>
      <c r="H4615" s="1">
        <v>107.0</v>
      </c>
      <c r="I4615" s="1">
        <v>6400000.0</v>
      </c>
      <c r="J4615" s="1" t="s">
        <v>12283</v>
      </c>
    </row>
    <row r="4616">
      <c r="A4616" s="1" t="s">
        <v>14386</v>
      </c>
      <c r="B4616" s="1" t="s">
        <v>14387</v>
      </c>
      <c r="C4616" s="1" t="s">
        <v>14388</v>
      </c>
      <c r="D4616" s="1" t="s">
        <v>14339</v>
      </c>
      <c r="E4616" s="1" t="s">
        <v>14340</v>
      </c>
      <c r="F4616" s="1">
        <v>55264.0</v>
      </c>
      <c r="G4616" s="1">
        <v>601.0</v>
      </c>
      <c r="H4616" s="1">
        <v>536.0</v>
      </c>
      <c r="I4616" s="1">
        <v>6400000.0</v>
      </c>
      <c r="J4616" s="1" t="s">
        <v>12283</v>
      </c>
    </row>
    <row r="4617">
      <c r="A4617" s="1" t="s">
        <v>14389</v>
      </c>
      <c r="B4617" s="1" t="s">
        <v>14390</v>
      </c>
      <c r="C4617" s="1" t="s">
        <v>14391</v>
      </c>
      <c r="D4617" s="1" t="s">
        <v>14339</v>
      </c>
      <c r="E4617" s="1" t="s">
        <v>14340</v>
      </c>
      <c r="F4617" s="1">
        <v>8463.0</v>
      </c>
      <c r="G4617" s="1">
        <v>212.0</v>
      </c>
      <c r="H4617" s="1">
        <v>35.0</v>
      </c>
      <c r="I4617" s="1">
        <v>6400000.0</v>
      </c>
      <c r="J4617" s="1" t="s">
        <v>12283</v>
      </c>
    </row>
    <row r="4618">
      <c r="A4618" s="1" t="s">
        <v>14393</v>
      </c>
      <c r="B4618" s="1" t="s">
        <v>14395</v>
      </c>
      <c r="C4618" s="1" t="s">
        <v>14397</v>
      </c>
      <c r="D4618" s="1" t="s">
        <v>14339</v>
      </c>
      <c r="E4618" s="1" t="s">
        <v>14340</v>
      </c>
      <c r="F4618" s="1">
        <v>7901.0</v>
      </c>
      <c r="G4618" s="1">
        <v>361.0</v>
      </c>
      <c r="H4618" s="1">
        <v>60.0</v>
      </c>
      <c r="I4618" s="1">
        <v>6400000.0</v>
      </c>
      <c r="J4618" s="1" t="s">
        <v>12283</v>
      </c>
    </row>
    <row r="4619">
      <c r="A4619" s="1" t="s">
        <v>14398</v>
      </c>
      <c r="B4619" s="1" t="s">
        <v>14399</v>
      </c>
      <c r="C4619" s="1" t="s">
        <v>14400</v>
      </c>
      <c r="D4619" s="1" t="s">
        <v>14339</v>
      </c>
      <c r="E4619" s="1" t="s">
        <v>14340</v>
      </c>
      <c r="F4619" s="1">
        <v>6159.0</v>
      </c>
      <c r="G4619" s="1">
        <v>107.0</v>
      </c>
      <c r="H4619" s="1">
        <v>75.0</v>
      </c>
      <c r="I4619" s="1">
        <v>6400000.0</v>
      </c>
      <c r="J4619" s="1" t="s">
        <v>12283</v>
      </c>
    </row>
    <row r="4620">
      <c r="A4620" s="1" t="s">
        <v>14401</v>
      </c>
      <c r="B4620" s="1" t="s">
        <v>14402</v>
      </c>
      <c r="C4620" s="1" t="s">
        <v>14403</v>
      </c>
      <c r="D4620" s="1" t="s">
        <v>14339</v>
      </c>
      <c r="E4620" s="1" t="s">
        <v>14340</v>
      </c>
      <c r="F4620" s="1">
        <v>7101.0</v>
      </c>
      <c r="G4620" s="1">
        <v>231.0</v>
      </c>
      <c r="H4620" s="1">
        <v>34.0</v>
      </c>
      <c r="I4620" s="1">
        <v>6400000.0</v>
      </c>
      <c r="J4620" s="1" t="s">
        <v>12283</v>
      </c>
    </row>
    <row r="4621">
      <c r="A4621" s="1" t="s">
        <v>14404</v>
      </c>
      <c r="B4621" s="1" t="s">
        <v>14405</v>
      </c>
      <c r="C4621" s="1" t="s">
        <v>14406</v>
      </c>
      <c r="D4621" s="1" t="s">
        <v>14339</v>
      </c>
      <c r="E4621" s="1" t="s">
        <v>14340</v>
      </c>
      <c r="F4621" s="1">
        <v>8245.0</v>
      </c>
      <c r="G4621" s="1">
        <v>326.0</v>
      </c>
      <c r="H4621" s="1">
        <v>42.0</v>
      </c>
      <c r="I4621" s="1">
        <v>6400000.0</v>
      </c>
      <c r="J4621" s="1" t="s">
        <v>12283</v>
      </c>
    </row>
    <row r="4622">
      <c r="A4622" s="1" t="s">
        <v>14407</v>
      </c>
      <c r="B4622" s="1" t="s">
        <v>14408</v>
      </c>
      <c r="C4622" s="1" t="s">
        <v>14409</v>
      </c>
      <c r="D4622" s="1" t="s">
        <v>14339</v>
      </c>
      <c r="E4622" s="1" t="s">
        <v>14340</v>
      </c>
      <c r="F4622" s="1">
        <v>9971.0</v>
      </c>
      <c r="G4622" s="1">
        <v>300.0</v>
      </c>
      <c r="H4622" s="1">
        <v>31.0</v>
      </c>
      <c r="I4622" s="1">
        <v>6400000.0</v>
      </c>
      <c r="J4622" s="1" t="s">
        <v>12283</v>
      </c>
    </row>
    <row r="4623">
      <c r="A4623" s="1" t="s">
        <v>14410</v>
      </c>
      <c r="B4623" s="1" t="s">
        <v>14411</v>
      </c>
      <c r="C4623" s="1" t="s">
        <v>14412</v>
      </c>
      <c r="D4623" s="1" t="s">
        <v>14339</v>
      </c>
      <c r="E4623" s="1" t="s">
        <v>14340</v>
      </c>
      <c r="F4623" s="1">
        <v>29094.0</v>
      </c>
      <c r="G4623" s="1">
        <v>365.0</v>
      </c>
      <c r="H4623" s="1">
        <v>120.0</v>
      </c>
      <c r="I4623" s="1">
        <v>6400000.0</v>
      </c>
      <c r="J4623" s="1" t="s">
        <v>12283</v>
      </c>
    </row>
    <row r="4624">
      <c r="A4624" s="1" t="s">
        <v>14413</v>
      </c>
      <c r="B4624" s="1" t="s">
        <v>14414</v>
      </c>
      <c r="C4624" s="1" t="s">
        <v>14415</v>
      </c>
      <c r="D4624" s="1" t="s">
        <v>14339</v>
      </c>
      <c r="E4624" s="1" t="s">
        <v>14340</v>
      </c>
      <c r="F4624" s="1">
        <v>185492.0</v>
      </c>
      <c r="G4624" s="1">
        <v>2235.0</v>
      </c>
      <c r="H4624" s="1">
        <v>1037.0</v>
      </c>
      <c r="I4624" s="1">
        <v>6400000.0</v>
      </c>
      <c r="J4624" s="1" t="s">
        <v>12283</v>
      </c>
    </row>
    <row r="4625">
      <c r="A4625" s="1" t="s">
        <v>14419</v>
      </c>
      <c r="B4625" s="1" t="s">
        <v>14420</v>
      </c>
      <c r="C4625" s="1" t="s">
        <v>14421</v>
      </c>
      <c r="D4625" s="1" t="s">
        <v>14339</v>
      </c>
      <c r="E4625" s="1" t="s">
        <v>14340</v>
      </c>
      <c r="F4625" s="1">
        <v>22339.0</v>
      </c>
      <c r="G4625" s="1">
        <v>248.0</v>
      </c>
      <c r="H4625" s="1">
        <v>198.0</v>
      </c>
      <c r="I4625" s="1">
        <v>6400000.0</v>
      </c>
      <c r="J4625" s="1" t="s">
        <v>12283</v>
      </c>
    </row>
    <row r="4626">
      <c r="A4626" s="1" t="s">
        <v>14422</v>
      </c>
      <c r="B4626" s="1" t="s">
        <v>14423</v>
      </c>
      <c r="C4626" s="1" t="s">
        <v>14424</v>
      </c>
      <c r="D4626" s="1" t="s">
        <v>14339</v>
      </c>
      <c r="E4626" s="1" t="s">
        <v>14340</v>
      </c>
      <c r="F4626" s="1">
        <v>77927.0</v>
      </c>
      <c r="G4626" s="1">
        <v>1324.0</v>
      </c>
      <c r="H4626" s="1">
        <v>668.0</v>
      </c>
      <c r="I4626" s="1">
        <v>6400000.0</v>
      </c>
      <c r="J4626" s="1" t="s">
        <v>12283</v>
      </c>
    </row>
    <row r="4627">
      <c r="A4627" s="1" t="s">
        <v>14425</v>
      </c>
      <c r="B4627" s="1" t="s">
        <v>14426</v>
      </c>
      <c r="C4627" s="1" t="s">
        <v>14427</v>
      </c>
      <c r="D4627" s="1" t="s">
        <v>14339</v>
      </c>
      <c r="E4627" s="1" t="s">
        <v>14340</v>
      </c>
      <c r="F4627" s="1">
        <v>15723.0</v>
      </c>
      <c r="G4627" s="1">
        <v>815.0</v>
      </c>
      <c r="H4627" s="1">
        <v>205.0</v>
      </c>
      <c r="I4627" s="1">
        <v>6400000.0</v>
      </c>
      <c r="J4627" s="1" t="s">
        <v>12283</v>
      </c>
    </row>
    <row r="4628">
      <c r="A4628" s="1" t="s">
        <v>14428</v>
      </c>
      <c r="B4628" s="1" t="s">
        <v>14429</v>
      </c>
      <c r="C4628" s="1" t="s">
        <v>14430</v>
      </c>
      <c r="D4628" s="1" t="s">
        <v>14339</v>
      </c>
      <c r="E4628" s="1" t="s">
        <v>14340</v>
      </c>
      <c r="F4628" s="1">
        <v>38095.0</v>
      </c>
      <c r="G4628" s="1">
        <v>567.0</v>
      </c>
      <c r="H4628" s="1">
        <v>392.0</v>
      </c>
      <c r="I4628" s="1">
        <v>6400000.0</v>
      </c>
      <c r="J4628" s="1" t="s">
        <v>12283</v>
      </c>
    </row>
    <row r="4629">
      <c r="A4629" s="1" t="s">
        <v>14431</v>
      </c>
      <c r="B4629" s="1" t="s">
        <v>14432</v>
      </c>
      <c r="C4629" s="1" t="s">
        <v>14433</v>
      </c>
      <c r="D4629" s="1" t="s">
        <v>14339</v>
      </c>
      <c r="E4629" s="1" t="s">
        <v>14340</v>
      </c>
      <c r="F4629" s="1">
        <v>82833.0</v>
      </c>
      <c r="G4629" s="1">
        <v>1207.0</v>
      </c>
      <c r="H4629" s="1">
        <v>664.0</v>
      </c>
      <c r="I4629" s="1">
        <v>6400000.0</v>
      </c>
      <c r="J4629" s="1" t="s">
        <v>12283</v>
      </c>
    </row>
    <row r="4630">
      <c r="A4630" s="1" t="s">
        <v>14434</v>
      </c>
      <c r="B4630" s="1" t="s">
        <v>14435</v>
      </c>
      <c r="C4630" s="1" t="s">
        <v>14436</v>
      </c>
      <c r="D4630" s="1" t="s">
        <v>14339</v>
      </c>
      <c r="E4630" s="1" t="s">
        <v>14340</v>
      </c>
      <c r="F4630" s="1">
        <v>54002.0</v>
      </c>
      <c r="G4630" s="1">
        <v>720.0</v>
      </c>
      <c r="H4630" s="1">
        <v>252.0</v>
      </c>
      <c r="I4630" s="1">
        <v>6400000.0</v>
      </c>
      <c r="J4630" s="1" t="s">
        <v>12283</v>
      </c>
    </row>
    <row r="4631">
      <c r="A4631" s="1" t="s">
        <v>14437</v>
      </c>
      <c r="B4631" s="1" t="s">
        <v>14439</v>
      </c>
      <c r="C4631" s="1" t="s">
        <v>14441</v>
      </c>
      <c r="D4631" s="1" t="s">
        <v>14339</v>
      </c>
      <c r="E4631" s="1" t="s">
        <v>14340</v>
      </c>
      <c r="F4631" s="1">
        <v>241663.0</v>
      </c>
      <c r="G4631" s="1">
        <v>3114.0</v>
      </c>
      <c r="H4631" s="1">
        <v>356.0</v>
      </c>
      <c r="I4631" s="1">
        <v>6400000.0</v>
      </c>
      <c r="J4631" s="1" t="s">
        <v>12283</v>
      </c>
    </row>
    <row r="4632">
      <c r="A4632" s="1" t="s">
        <v>14443</v>
      </c>
      <c r="B4632" s="1" t="s">
        <v>14444</v>
      </c>
      <c r="C4632" s="1" t="s">
        <v>14445</v>
      </c>
      <c r="D4632" s="1" t="s">
        <v>14339</v>
      </c>
      <c r="E4632" s="1" t="s">
        <v>14340</v>
      </c>
      <c r="F4632" s="1">
        <v>17982.0</v>
      </c>
      <c r="G4632" s="1">
        <v>517.0</v>
      </c>
      <c r="H4632" s="1">
        <v>194.0</v>
      </c>
      <c r="I4632" s="1">
        <v>6400000.0</v>
      </c>
      <c r="J4632" s="1" t="s">
        <v>12283</v>
      </c>
    </row>
    <row r="4633">
      <c r="A4633" s="1" t="s">
        <v>14446</v>
      </c>
      <c r="B4633" s="1" t="s">
        <v>14447</v>
      </c>
      <c r="C4633" s="1" t="s">
        <v>14448</v>
      </c>
      <c r="D4633" s="1" t="s">
        <v>14339</v>
      </c>
      <c r="E4633" s="1" t="s">
        <v>14340</v>
      </c>
      <c r="F4633" s="1">
        <v>13493.0</v>
      </c>
      <c r="G4633" s="1">
        <v>207.0</v>
      </c>
      <c r="H4633" s="1">
        <v>110.0</v>
      </c>
      <c r="I4633" s="1">
        <v>6400000.0</v>
      </c>
      <c r="J4633" s="1" t="s">
        <v>12283</v>
      </c>
    </row>
    <row r="4634">
      <c r="A4634" s="1" t="s">
        <v>14449</v>
      </c>
      <c r="B4634" s="1" t="s">
        <v>14450</v>
      </c>
      <c r="C4634" s="1" t="s">
        <v>14451</v>
      </c>
      <c r="D4634" s="1" t="s">
        <v>14339</v>
      </c>
      <c r="E4634" s="1" t="s">
        <v>14340</v>
      </c>
      <c r="F4634" s="1">
        <v>19225.0</v>
      </c>
      <c r="G4634" s="1">
        <v>340.0</v>
      </c>
      <c r="H4634" s="1">
        <v>25.0</v>
      </c>
      <c r="I4634" s="1">
        <v>6400000.0</v>
      </c>
      <c r="J4634" s="1" t="s">
        <v>12283</v>
      </c>
    </row>
    <row r="4635">
      <c r="A4635" s="1" t="s">
        <v>14452</v>
      </c>
      <c r="B4635" s="1" t="s">
        <v>14453</v>
      </c>
      <c r="C4635" s="1" t="s">
        <v>14454</v>
      </c>
      <c r="D4635" s="1" t="s">
        <v>14339</v>
      </c>
      <c r="E4635" s="1" t="s">
        <v>14340</v>
      </c>
      <c r="F4635" s="1">
        <v>21924.0</v>
      </c>
      <c r="G4635" s="1">
        <v>392.0</v>
      </c>
      <c r="H4635" s="1">
        <v>369.0</v>
      </c>
      <c r="I4635" s="1">
        <v>6400000.0</v>
      </c>
      <c r="J4635" s="1" t="s">
        <v>12283</v>
      </c>
    </row>
    <row r="4636">
      <c r="A4636" s="1" t="s">
        <v>14456</v>
      </c>
      <c r="B4636" s="1" t="s">
        <v>14458</v>
      </c>
      <c r="C4636" s="1" t="s">
        <v>14460</v>
      </c>
      <c r="D4636" s="1" t="s">
        <v>14339</v>
      </c>
      <c r="E4636" s="1" t="s">
        <v>14340</v>
      </c>
      <c r="F4636" s="1">
        <v>24450.0</v>
      </c>
      <c r="G4636" s="1">
        <v>572.0</v>
      </c>
      <c r="H4636" s="1">
        <v>83.0</v>
      </c>
      <c r="I4636" s="1">
        <v>6400000.0</v>
      </c>
      <c r="J4636" s="1" t="s">
        <v>12283</v>
      </c>
    </row>
    <row r="4637">
      <c r="A4637" s="1" t="s">
        <v>14461</v>
      </c>
      <c r="B4637" s="1" t="s">
        <v>14462</v>
      </c>
      <c r="C4637" s="1" t="s">
        <v>14463</v>
      </c>
      <c r="D4637" s="1" t="s">
        <v>14339</v>
      </c>
      <c r="E4637" s="1" t="s">
        <v>14340</v>
      </c>
      <c r="F4637" s="1">
        <v>16215.0</v>
      </c>
      <c r="G4637" s="1">
        <v>416.0</v>
      </c>
      <c r="H4637" s="1">
        <v>75.0</v>
      </c>
      <c r="I4637" s="1">
        <v>6400000.0</v>
      </c>
      <c r="J4637" s="1" t="s">
        <v>12283</v>
      </c>
    </row>
    <row r="4638">
      <c r="A4638" s="1" t="s">
        <v>14464</v>
      </c>
      <c r="B4638" s="1" t="s">
        <v>14465</v>
      </c>
      <c r="C4638" s="1" t="s">
        <v>14466</v>
      </c>
      <c r="D4638" s="1" t="s">
        <v>14339</v>
      </c>
      <c r="E4638" s="1" t="s">
        <v>14340</v>
      </c>
      <c r="F4638" s="1">
        <v>13299.0</v>
      </c>
      <c r="G4638" s="1">
        <v>258.0</v>
      </c>
      <c r="H4638" s="1">
        <v>17.0</v>
      </c>
      <c r="I4638" s="1">
        <v>6400000.0</v>
      </c>
      <c r="J4638" s="1" t="s">
        <v>12283</v>
      </c>
    </row>
    <row r="4639">
      <c r="A4639" s="1" t="s">
        <v>14467</v>
      </c>
      <c r="B4639" s="1" t="s">
        <v>14468</v>
      </c>
      <c r="C4639" s="1" t="s">
        <v>14469</v>
      </c>
      <c r="D4639" s="1" t="s">
        <v>14339</v>
      </c>
      <c r="E4639" s="1" t="s">
        <v>14340</v>
      </c>
      <c r="F4639" s="1">
        <v>12006.0</v>
      </c>
      <c r="G4639" s="1">
        <v>390.0</v>
      </c>
      <c r="H4639" s="1">
        <v>65.0</v>
      </c>
      <c r="I4639" s="1">
        <v>6400000.0</v>
      </c>
      <c r="J4639" s="1" t="s">
        <v>12283</v>
      </c>
    </row>
    <row r="4640">
      <c r="A4640" s="1" t="s">
        <v>14470</v>
      </c>
      <c r="B4640" s="1" t="s">
        <v>14471</v>
      </c>
      <c r="C4640" s="1" t="s">
        <v>14472</v>
      </c>
      <c r="D4640" s="1" t="s">
        <v>14339</v>
      </c>
      <c r="E4640" s="1" t="s">
        <v>14340</v>
      </c>
      <c r="F4640" s="1">
        <v>10729.0</v>
      </c>
      <c r="G4640" s="1">
        <v>344.0</v>
      </c>
      <c r="H4640" s="1">
        <v>43.0</v>
      </c>
      <c r="I4640" s="1">
        <v>6400000.0</v>
      </c>
      <c r="J4640" s="1" t="s">
        <v>12283</v>
      </c>
    </row>
    <row r="4641">
      <c r="A4641" s="1" t="s">
        <v>14475</v>
      </c>
      <c r="B4641" s="1" t="s">
        <v>14477</v>
      </c>
      <c r="C4641" s="1" t="s">
        <v>14478</v>
      </c>
      <c r="D4641" s="1" t="s">
        <v>14339</v>
      </c>
      <c r="E4641" s="1" t="s">
        <v>14340</v>
      </c>
      <c r="F4641" s="1">
        <v>16710.0</v>
      </c>
      <c r="G4641" s="1">
        <v>627.0</v>
      </c>
      <c r="H4641" s="1">
        <v>94.0</v>
      </c>
      <c r="I4641" s="1">
        <v>6400000.0</v>
      </c>
      <c r="J4641" s="1" t="s">
        <v>12283</v>
      </c>
    </row>
    <row r="4642">
      <c r="A4642" s="1" t="s">
        <v>14479</v>
      </c>
      <c r="B4642" s="1" t="s">
        <v>14480</v>
      </c>
      <c r="C4642" s="1" t="s">
        <v>14481</v>
      </c>
      <c r="D4642" s="1" t="s">
        <v>14339</v>
      </c>
      <c r="E4642" s="1" t="s">
        <v>14340</v>
      </c>
      <c r="F4642" s="1">
        <v>5799.0</v>
      </c>
      <c r="G4642" s="1">
        <v>240.0</v>
      </c>
      <c r="H4642" s="1">
        <v>18.0</v>
      </c>
      <c r="I4642" s="1">
        <v>6400000.0</v>
      </c>
      <c r="J4642" s="1" t="s">
        <v>12283</v>
      </c>
    </row>
    <row r="4643">
      <c r="A4643" s="1" t="s">
        <v>14482</v>
      </c>
      <c r="B4643" s="1" t="s">
        <v>14483</v>
      </c>
      <c r="C4643" s="1" t="s">
        <v>14484</v>
      </c>
      <c r="D4643" s="1" t="s">
        <v>14339</v>
      </c>
      <c r="E4643" s="1" t="s">
        <v>14340</v>
      </c>
      <c r="F4643" s="1">
        <v>7118.0</v>
      </c>
      <c r="G4643" s="1">
        <v>180.0</v>
      </c>
      <c r="H4643" s="1">
        <v>22.0</v>
      </c>
      <c r="I4643" s="1">
        <v>6400000.0</v>
      </c>
      <c r="J4643" s="1" t="s">
        <v>12283</v>
      </c>
    </row>
    <row r="4644">
      <c r="A4644" s="1" t="s">
        <v>14485</v>
      </c>
      <c r="B4644" s="1" t="s">
        <v>14486</v>
      </c>
      <c r="C4644" s="1" t="s">
        <v>14487</v>
      </c>
      <c r="D4644" s="1" t="s">
        <v>14339</v>
      </c>
      <c r="E4644" s="1" t="s">
        <v>14340</v>
      </c>
      <c r="F4644" s="1">
        <v>67596.0</v>
      </c>
      <c r="G4644" s="1">
        <v>799.0</v>
      </c>
      <c r="H4644" s="1">
        <v>403.0</v>
      </c>
      <c r="I4644" s="1">
        <v>6400000.0</v>
      </c>
      <c r="J4644" s="1" t="s">
        <v>12283</v>
      </c>
    </row>
    <row r="4645">
      <c r="A4645" s="1" t="s">
        <v>14488</v>
      </c>
      <c r="B4645" s="1" t="s">
        <v>14489</v>
      </c>
      <c r="C4645" s="1" t="s">
        <v>14490</v>
      </c>
      <c r="D4645" s="1" t="s">
        <v>14339</v>
      </c>
      <c r="E4645" s="1" t="s">
        <v>14340</v>
      </c>
      <c r="F4645" s="1">
        <v>8390.0</v>
      </c>
      <c r="G4645" s="1">
        <v>370.0</v>
      </c>
      <c r="H4645" s="1">
        <v>117.0</v>
      </c>
      <c r="I4645" s="1">
        <v>6400000.0</v>
      </c>
      <c r="J4645" s="1" t="s">
        <v>12283</v>
      </c>
    </row>
    <row r="4646">
      <c r="A4646" s="1" t="s">
        <v>14491</v>
      </c>
      <c r="B4646" s="1" t="s">
        <v>14492</v>
      </c>
      <c r="C4646" s="1" t="s">
        <v>14493</v>
      </c>
      <c r="D4646" s="1" t="s">
        <v>14339</v>
      </c>
      <c r="E4646" s="1" t="s">
        <v>14340</v>
      </c>
      <c r="F4646" s="1">
        <v>56671.0</v>
      </c>
      <c r="G4646" s="1">
        <v>589.0</v>
      </c>
      <c r="H4646" s="1">
        <v>514.0</v>
      </c>
      <c r="I4646" s="1">
        <v>6400000.0</v>
      </c>
      <c r="J4646" s="1" t="s">
        <v>12283</v>
      </c>
    </row>
    <row r="4647">
      <c r="A4647" s="1" t="s">
        <v>14494</v>
      </c>
      <c r="B4647" s="1" t="s">
        <v>14495</v>
      </c>
      <c r="C4647" s="1" t="s">
        <v>14496</v>
      </c>
      <c r="D4647" s="1" t="s">
        <v>14339</v>
      </c>
      <c r="E4647" s="1" t="s">
        <v>14340</v>
      </c>
      <c r="F4647" s="1">
        <v>24385.0</v>
      </c>
      <c r="G4647" s="1">
        <v>628.0</v>
      </c>
      <c r="H4647" s="1">
        <v>169.0</v>
      </c>
      <c r="I4647" s="1">
        <v>6400000.0</v>
      </c>
      <c r="J4647" s="1" t="s">
        <v>12283</v>
      </c>
    </row>
    <row r="4648">
      <c r="A4648" s="1" t="s">
        <v>14497</v>
      </c>
      <c r="B4648" s="1" t="s">
        <v>14498</v>
      </c>
      <c r="C4648" s="1" t="s">
        <v>14499</v>
      </c>
      <c r="D4648" s="1" t="s">
        <v>14339</v>
      </c>
      <c r="E4648" s="1" t="s">
        <v>14340</v>
      </c>
      <c r="F4648" s="1">
        <v>12939.0</v>
      </c>
      <c r="G4648" s="1">
        <v>152.0</v>
      </c>
      <c r="H4648" s="1">
        <v>159.0</v>
      </c>
      <c r="I4648" s="1">
        <v>6400000.0</v>
      </c>
      <c r="J4648" s="1" t="s">
        <v>12283</v>
      </c>
    </row>
    <row r="4649">
      <c r="A4649" s="1" t="s">
        <v>14501</v>
      </c>
      <c r="B4649" s="1" t="s">
        <v>14503</v>
      </c>
      <c r="C4649" s="1" t="s">
        <v>14505</v>
      </c>
      <c r="D4649" s="1" t="s">
        <v>14339</v>
      </c>
      <c r="E4649" s="1" t="s">
        <v>14340</v>
      </c>
      <c r="F4649" s="1">
        <v>320976.0</v>
      </c>
      <c r="G4649" s="1">
        <v>3542.0</v>
      </c>
      <c r="H4649" s="1">
        <v>3149.0</v>
      </c>
      <c r="I4649" s="1">
        <v>6400000.0</v>
      </c>
      <c r="J4649" s="1" t="s">
        <v>12283</v>
      </c>
    </row>
    <row r="4650">
      <c r="A4650" s="1" t="s">
        <v>14506</v>
      </c>
      <c r="B4650" s="1" t="s">
        <v>14507</v>
      </c>
      <c r="C4650" s="1" t="s">
        <v>14508</v>
      </c>
      <c r="D4650" s="1" t="s">
        <v>14339</v>
      </c>
      <c r="E4650" s="1" t="s">
        <v>14340</v>
      </c>
      <c r="F4650" s="1">
        <v>4726.0</v>
      </c>
      <c r="G4650" s="1">
        <v>98.0</v>
      </c>
      <c r="H4650" s="1">
        <v>8.0</v>
      </c>
      <c r="I4650" s="1">
        <v>6400000.0</v>
      </c>
      <c r="J4650" s="1" t="s">
        <v>12283</v>
      </c>
    </row>
    <row r="4651">
      <c r="A4651" s="1" t="s">
        <v>14509</v>
      </c>
      <c r="B4651" s="1" t="s">
        <v>14510</v>
      </c>
      <c r="C4651" s="1" t="s">
        <v>14511</v>
      </c>
      <c r="D4651" s="1" t="s">
        <v>14339</v>
      </c>
      <c r="E4651" s="1" t="s">
        <v>14340</v>
      </c>
      <c r="F4651" s="1">
        <v>8340.0</v>
      </c>
      <c r="G4651" s="1">
        <v>901.0</v>
      </c>
      <c r="H4651" s="1">
        <v>43.0</v>
      </c>
      <c r="I4651" s="1">
        <v>6400000.0</v>
      </c>
      <c r="J4651" s="1" t="s">
        <v>12283</v>
      </c>
    </row>
    <row r="4652">
      <c r="A4652" s="1" t="s">
        <v>14512</v>
      </c>
      <c r="B4652" s="1" t="s">
        <v>14513</v>
      </c>
      <c r="C4652" s="1" t="s">
        <v>14514</v>
      </c>
      <c r="D4652" s="1" t="s">
        <v>14339</v>
      </c>
      <c r="E4652" s="1" t="s">
        <v>14340</v>
      </c>
      <c r="F4652" s="1">
        <v>14735.0</v>
      </c>
      <c r="G4652" s="1">
        <v>245.0</v>
      </c>
      <c r="H4652" s="1">
        <v>34.0</v>
      </c>
      <c r="I4652" s="1">
        <v>6400000.0</v>
      </c>
      <c r="J4652" s="1" t="s">
        <v>12283</v>
      </c>
    </row>
    <row r="4653">
      <c r="A4653" s="1" t="s">
        <v>14515</v>
      </c>
      <c r="B4653" s="1" t="s">
        <v>14516</v>
      </c>
      <c r="C4653" s="1" t="s">
        <v>14517</v>
      </c>
      <c r="D4653" s="1" t="s">
        <v>14339</v>
      </c>
      <c r="E4653" s="1" t="s">
        <v>14340</v>
      </c>
      <c r="F4653" s="1">
        <v>6609.0</v>
      </c>
      <c r="G4653" s="1">
        <v>308.0</v>
      </c>
      <c r="H4653" s="1">
        <v>85.0</v>
      </c>
      <c r="I4653" s="1">
        <v>6400000.0</v>
      </c>
      <c r="J4653" s="1" t="s">
        <v>12283</v>
      </c>
    </row>
    <row r="4654">
      <c r="A4654" s="1" t="s">
        <v>14518</v>
      </c>
      <c r="B4654" s="1" t="s">
        <v>14519</v>
      </c>
      <c r="C4654" s="1" t="s">
        <v>14520</v>
      </c>
      <c r="D4654" s="1" t="s">
        <v>14339</v>
      </c>
      <c r="E4654" s="1" t="s">
        <v>14340</v>
      </c>
      <c r="F4654" s="1">
        <v>78942.0</v>
      </c>
      <c r="G4654" s="1">
        <v>1129.0</v>
      </c>
      <c r="H4654" s="1">
        <v>251.0</v>
      </c>
      <c r="I4654" s="1">
        <v>6400000.0</v>
      </c>
      <c r="J4654" s="1" t="s">
        <v>12283</v>
      </c>
    </row>
    <row r="4655">
      <c r="A4655" s="1" t="s">
        <v>14522</v>
      </c>
      <c r="B4655" s="1" t="s">
        <v>14523</v>
      </c>
      <c r="C4655" s="1" t="s">
        <v>14525</v>
      </c>
      <c r="D4655" s="1" t="s">
        <v>14339</v>
      </c>
      <c r="E4655" s="1" t="s">
        <v>14340</v>
      </c>
      <c r="F4655" s="1">
        <v>242414.0</v>
      </c>
      <c r="G4655" s="1">
        <v>3488.0</v>
      </c>
      <c r="H4655" s="1">
        <v>1214.0</v>
      </c>
      <c r="I4655" s="1">
        <v>6400000.0</v>
      </c>
      <c r="J4655" s="1" t="s">
        <v>12283</v>
      </c>
    </row>
    <row r="4656">
      <c r="A4656" s="1" t="s">
        <v>14527</v>
      </c>
      <c r="B4656" s="1" t="s">
        <v>14528</v>
      </c>
      <c r="C4656" s="1" t="s">
        <v>14529</v>
      </c>
      <c r="D4656" s="1" t="s">
        <v>14339</v>
      </c>
      <c r="E4656" s="1" t="s">
        <v>14340</v>
      </c>
      <c r="F4656" s="1">
        <v>14864.0</v>
      </c>
      <c r="G4656" s="1">
        <v>376.0</v>
      </c>
      <c r="H4656" s="1">
        <v>32.0</v>
      </c>
      <c r="I4656" s="1">
        <v>6400000.0</v>
      </c>
      <c r="J4656" s="1" t="s">
        <v>12283</v>
      </c>
    </row>
    <row r="4657">
      <c r="A4657" s="1" t="s">
        <v>14530</v>
      </c>
      <c r="B4657" s="1" t="s">
        <v>14531</v>
      </c>
      <c r="C4657" s="1" t="s">
        <v>14532</v>
      </c>
      <c r="D4657" s="1" t="s">
        <v>14339</v>
      </c>
      <c r="E4657" s="1" t="s">
        <v>14340</v>
      </c>
      <c r="F4657" s="1">
        <v>64548.0</v>
      </c>
      <c r="G4657" s="1">
        <v>755.0</v>
      </c>
      <c r="H4657" s="1">
        <v>508.0</v>
      </c>
      <c r="I4657" s="1">
        <v>6400000.0</v>
      </c>
      <c r="J4657" s="1" t="s">
        <v>12283</v>
      </c>
    </row>
    <row r="4658">
      <c r="A4658" s="1" t="s">
        <v>14533</v>
      </c>
      <c r="B4658" s="1" t="s">
        <v>14534</v>
      </c>
      <c r="C4658" s="1" t="s">
        <v>14535</v>
      </c>
      <c r="D4658" s="1" t="s">
        <v>14339</v>
      </c>
      <c r="E4658" s="1" t="s">
        <v>14340</v>
      </c>
      <c r="F4658" s="1">
        <v>14251.0</v>
      </c>
      <c r="G4658" s="1">
        <v>404.0</v>
      </c>
      <c r="H4658" s="1">
        <v>108.0</v>
      </c>
      <c r="I4658" s="1">
        <v>6400000.0</v>
      </c>
      <c r="J4658" s="1" t="s">
        <v>12283</v>
      </c>
    </row>
    <row r="4659">
      <c r="A4659" s="1" t="s">
        <v>14536</v>
      </c>
      <c r="B4659" s="1" t="s">
        <v>14537</v>
      </c>
      <c r="C4659" s="1" t="s">
        <v>14538</v>
      </c>
      <c r="D4659" s="1" t="s">
        <v>14339</v>
      </c>
      <c r="E4659" s="1" t="s">
        <v>14340</v>
      </c>
      <c r="F4659" s="1">
        <v>66290.0</v>
      </c>
      <c r="G4659" s="1">
        <v>887.0</v>
      </c>
      <c r="H4659" s="1">
        <v>740.0</v>
      </c>
      <c r="I4659" s="1">
        <v>6400000.0</v>
      </c>
      <c r="J4659" s="1" t="s">
        <v>12283</v>
      </c>
    </row>
    <row r="4660">
      <c r="A4660" s="1" t="s">
        <v>14539</v>
      </c>
      <c r="B4660" s="1" t="s">
        <v>14540</v>
      </c>
      <c r="C4660" s="1" t="s">
        <v>14541</v>
      </c>
      <c r="D4660" s="1" t="s">
        <v>14339</v>
      </c>
      <c r="E4660" s="1" t="s">
        <v>14340</v>
      </c>
      <c r="F4660" s="1">
        <v>14023.0</v>
      </c>
      <c r="G4660" s="1">
        <v>758.0</v>
      </c>
      <c r="H4660" s="1">
        <v>39.0</v>
      </c>
      <c r="I4660" s="1">
        <v>6400000.0</v>
      </c>
      <c r="J4660" s="1" t="s">
        <v>12283</v>
      </c>
    </row>
    <row r="4661">
      <c r="A4661" s="1" t="s">
        <v>14542</v>
      </c>
      <c r="B4661" s="1" t="s">
        <v>14543</v>
      </c>
      <c r="C4661" s="1" t="s">
        <v>14544</v>
      </c>
      <c r="D4661" s="1" t="s">
        <v>14339</v>
      </c>
      <c r="E4661" s="1" t="s">
        <v>14340</v>
      </c>
      <c r="F4661" s="1">
        <v>108472.0</v>
      </c>
      <c r="G4661" s="1">
        <v>1308.0</v>
      </c>
      <c r="H4661" s="1">
        <v>501.0</v>
      </c>
      <c r="I4661" s="1">
        <v>6400000.0</v>
      </c>
      <c r="J4661" s="1" t="s">
        <v>12283</v>
      </c>
    </row>
    <row r="4662">
      <c r="A4662" s="1" t="s">
        <v>14545</v>
      </c>
      <c r="B4662" s="1" t="s">
        <v>14546</v>
      </c>
      <c r="C4662" s="1" t="s">
        <v>14547</v>
      </c>
      <c r="D4662" s="1" t="s">
        <v>14339</v>
      </c>
      <c r="E4662" s="1" t="s">
        <v>14340</v>
      </c>
      <c r="F4662" s="1">
        <v>13432.0</v>
      </c>
      <c r="G4662" s="1">
        <v>220.0</v>
      </c>
      <c r="H4662" s="1">
        <v>65.0</v>
      </c>
      <c r="I4662" s="1">
        <v>6400000.0</v>
      </c>
      <c r="J4662" s="1" t="s">
        <v>12283</v>
      </c>
    </row>
    <row r="4663">
      <c r="A4663" s="1" t="s">
        <v>14550</v>
      </c>
      <c r="B4663" s="1" t="s">
        <v>14552</v>
      </c>
      <c r="C4663" s="1" t="s">
        <v>14553</v>
      </c>
      <c r="D4663" s="1" t="s">
        <v>14339</v>
      </c>
      <c r="E4663" s="1" t="s">
        <v>14340</v>
      </c>
      <c r="F4663" s="1">
        <v>158209.0</v>
      </c>
      <c r="G4663" s="1">
        <v>1631.0</v>
      </c>
      <c r="H4663" s="1">
        <v>1127.0</v>
      </c>
      <c r="I4663" s="1">
        <v>6400000.0</v>
      </c>
      <c r="J4663" s="1" t="s">
        <v>12283</v>
      </c>
    </row>
    <row r="4664">
      <c r="A4664" s="1" t="s">
        <v>14554</v>
      </c>
      <c r="B4664" s="1" t="s">
        <v>14555</v>
      </c>
      <c r="C4664" s="1" t="s">
        <v>14556</v>
      </c>
      <c r="D4664" s="1" t="s">
        <v>14339</v>
      </c>
      <c r="E4664" s="1" t="s">
        <v>14340</v>
      </c>
      <c r="F4664" s="1">
        <v>202455.0</v>
      </c>
      <c r="G4664" s="1">
        <v>9722.0</v>
      </c>
      <c r="H4664" s="1">
        <v>889.0</v>
      </c>
      <c r="I4664" s="1">
        <v>6400000.0</v>
      </c>
      <c r="J4664" s="1" t="s">
        <v>12283</v>
      </c>
    </row>
    <row r="4665">
      <c r="A4665" s="1" t="s">
        <v>14557</v>
      </c>
      <c r="B4665" s="1" t="s">
        <v>14558</v>
      </c>
      <c r="C4665" s="1" t="s">
        <v>14559</v>
      </c>
      <c r="D4665" s="1" t="s">
        <v>14339</v>
      </c>
      <c r="E4665" s="1" t="s">
        <v>14340</v>
      </c>
      <c r="F4665" s="1">
        <v>6736.0</v>
      </c>
      <c r="G4665" s="1">
        <v>103.0</v>
      </c>
      <c r="H4665" s="1">
        <v>24.0</v>
      </c>
      <c r="I4665" s="1">
        <v>6400000.0</v>
      </c>
      <c r="J4665" s="1" t="s">
        <v>12283</v>
      </c>
    </row>
    <row r="4666">
      <c r="A4666" s="1" t="s">
        <v>14560</v>
      </c>
      <c r="B4666" s="1" t="s">
        <v>14561</v>
      </c>
      <c r="C4666" s="1" t="s">
        <v>14562</v>
      </c>
      <c r="D4666" s="1" t="s">
        <v>14339</v>
      </c>
      <c r="E4666" s="1" t="s">
        <v>14340</v>
      </c>
      <c r="F4666" s="1">
        <v>19441.0</v>
      </c>
      <c r="G4666" s="1">
        <v>295.0</v>
      </c>
      <c r="H4666" s="1">
        <v>41.0</v>
      </c>
      <c r="I4666" s="1">
        <v>6400000.0</v>
      </c>
      <c r="J4666" s="1" t="s">
        <v>12283</v>
      </c>
    </row>
    <row r="4667">
      <c r="A4667" s="1" t="s">
        <v>14563</v>
      </c>
      <c r="B4667" s="1" t="s">
        <v>14564</v>
      </c>
      <c r="C4667" s="1" t="s">
        <v>14565</v>
      </c>
      <c r="D4667" s="1" t="s">
        <v>14339</v>
      </c>
      <c r="E4667" s="1" t="s">
        <v>14340</v>
      </c>
      <c r="F4667" s="1">
        <v>34140.0</v>
      </c>
      <c r="G4667" s="1">
        <v>1966.0</v>
      </c>
      <c r="H4667" s="1">
        <v>473.0</v>
      </c>
      <c r="I4667" s="1">
        <v>6400000.0</v>
      </c>
      <c r="J4667" s="1" t="s">
        <v>12283</v>
      </c>
    </row>
    <row r="4668">
      <c r="A4668" s="1" t="s">
        <v>14566</v>
      </c>
      <c r="B4668" s="1" t="s">
        <v>14567</v>
      </c>
      <c r="C4668" s="1" t="s">
        <v>14568</v>
      </c>
      <c r="D4668" s="1" t="s">
        <v>14339</v>
      </c>
      <c r="E4668" s="1" t="s">
        <v>14340</v>
      </c>
      <c r="F4668" s="1">
        <v>450316.0</v>
      </c>
      <c r="G4668" s="1">
        <v>5596.0</v>
      </c>
      <c r="H4668" s="1">
        <v>3397.0</v>
      </c>
      <c r="I4668" s="1">
        <v>6400000.0</v>
      </c>
      <c r="J4668" s="1" t="s">
        <v>12283</v>
      </c>
    </row>
    <row r="4669">
      <c r="A4669" s="1" t="s">
        <v>14569</v>
      </c>
      <c r="B4669" s="1" t="s">
        <v>14570</v>
      </c>
      <c r="C4669" s="1" t="s">
        <v>14571</v>
      </c>
      <c r="D4669" s="1" t="s">
        <v>14339</v>
      </c>
      <c r="E4669" s="1" t="s">
        <v>14340</v>
      </c>
      <c r="F4669" s="1">
        <v>106848.0</v>
      </c>
      <c r="G4669" s="1">
        <v>3509.0</v>
      </c>
      <c r="H4669" s="1">
        <v>892.0</v>
      </c>
      <c r="I4669" s="1">
        <v>6400000.0</v>
      </c>
      <c r="J4669" s="1" t="s">
        <v>12283</v>
      </c>
    </row>
    <row r="4670">
      <c r="A4670" s="1" t="s">
        <v>14572</v>
      </c>
      <c r="B4670" s="1" t="s">
        <v>14573</v>
      </c>
      <c r="C4670" s="1" t="s">
        <v>14574</v>
      </c>
      <c r="D4670" s="1" t="s">
        <v>14339</v>
      </c>
      <c r="E4670" s="1" t="s">
        <v>14340</v>
      </c>
      <c r="F4670" s="1">
        <v>6686.0</v>
      </c>
      <c r="G4670" s="1">
        <v>134.0</v>
      </c>
      <c r="H4670" s="1">
        <v>19.0</v>
      </c>
      <c r="I4670" s="1">
        <v>6400000.0</v>
      </c>
      <c r="J4670" s="1" t="s">
        <v>12283</v>
      </c>
    </row>
    <row r="4671">
      <c r="A4671" s="1" t="s">
        <v>14578</v>
      </c>
      <c r="B4671" s="1" t="s">
        <v>14579</v>
      </c>
      <c r="C4671" s="1" t="s">
        <v>14580</v>
      </c>
      <c r="D4671" s="1" t="s">
        <v>14339</v>
      </c>
      <c r="E4671" s="1" t="s">
        <v>14340</v>
      </c>
      <c r="F4671" s="1">
        <v>80915.0</v>
      </c>
      <c r="G4671" s="1">
        <v>1152.0</v>
      </c>
      <c r="H4671" s="1">
        <v>304.0</v>
      </c>
      <c r="I4671" s="1">
        <v>6400000.0</v>
      </c>
      <c r="J4671" s="1" t="s">
        <v>12283</v>
      </c>
    </row>
    <row r="4672">
      <c r="A4672" s="1" t="s">
        <v>14581</v>
      </c>
      <c r="B4672" s="1" t="s">
        <v>14582</v>
      </c>
      <c r="C4672" s="1" t="s">
        <v>14583</v>
      </c>
      <c r="D4672" s="1" t="s">
        <v>14339</v>
      </c>
      <c r="E4672" s="1" t="s">
        <v>14340</v>
      </c>
      <c r="F4672" s="1">
        <v>12339.0</v>
      </c>
      <c r="G4672" s="1">
        <v>522.0</v>
      </c>
      <c r="H4672" s="1">
        <v>124.0</v>
      </c>
      <c r="I4672" s="1">
        <v>6400000.0</v>
      </c>
      <c r="J4672" s="1" t="s">
        <v>12283</v>
      </c>
    </row>
    <row r="4673">
      <c r="A4673" s="1" t="s">
        <v>14584</v>
      </c>
      <c r="B4673" s="1" t="s">
        <v>14585</v>
      </c>
      <c r="C4673" s="1" t="s">
        <v>14586</v>
      </c>
      <c r="D4673" s="1" t="s">
        <v>14339</v>
      </c>
      <c r="E4673" s="1" t="s">
        <v>14340</v>
      </c>
      <c r="F4673" s="1">
        <v>13590.0</v>
      </c>
      <c r="G4673" s="1">
        <v>369.0</v>
      </c>
      <c r="H4673" s="1">
        <v>121.0</v>
      </c>
      <c r="I4673" s="1">
        <v>6400000.0</v>
      </c>
      <c r="J4673" s="1" t="s">
        <v>12283</v>
      </c>
    </row>
    <row r="4674">
      <c r="A4674" s="1" t="s">
        <v>14587</v>
      </c>
      <c r="B4674" s="1" t="s">
        <v>14588</v>
      </c>
      <c r="C4674" s="1" t="s">
        <v>14589</v>
      </c>
      <c r="D4674" s="1" t="s">
        <v>14339</v>
      </c>
      <c r="E4674" s="1" t="s">
        <v>14340</v>
      </c>
      <c r="F4674" s="1">
        <v>33642.0</v>
      </c>
      <c r="G4674" s="1">
        <v>1511.0</v>
      </c>
      <c r="H4674" s="1">
        <v>202.0</v>
      </c>
      <c r="I4674" s="1">
        <v>6400000.0</v>
      </c>
      <c r="J4674" s="1" t="s">
        <v>12283</v>
      </c>
    </row>
    <row r="4675">
      <c r="A4675" s="1" t="s">
        <v>14590</v>
      </c>
      <c r="B4675" s="1" t="s">
        <v>14591</v>
      </c>
      <c r="C4675" s="1" t="s">
        <v>14592</v>
      </c>
      <c r="D4675" s="1" t="s">
        <v>14339</v>
      </c>
      <c r="E4675" s="1" t="s">
        <v>14340</v>
      </c>
      <c r="F4675" s="1">
        <v>53537.0</v>
      </c>
      <c r="G4675" s="1">
        <v>1100.0</v>
      </c>
      <c r="H4675" s="1">
        <v>373.0</v>
      </c>
      <c r="I4675" s="1">
        <v>6400000.0</v>
      </c>
      <c r="J4675" s="1" t="s">
        <v>12283</v>
      </c>
    </row>
    <row r="4676">
      <c r="A4676" s="1" t="s">
        <v>14593</v>
      </c>
      <c r="B4676" s="1" t="s">
        <v>14594</v>
      </c>
      <c r="C4676" s="1" t="s">
        <v>14595</v>
      </c>
      <c r="D4676" s="1" t="s">
        <v>14339</v>
      </c>
      <c r="E4676" s="1" t="s">
        <v>14340</v>
      </c>
      <c r="F4676" s="1">
        <v>54591.0</v>
      </c>
      <c r="G4676" s="1">
        <v>819.0</v>
      </c>
      <c r="H4676" s="1">
        <v>421.0</v>
      </c>
      <c r="I4676" s="1">
        <v>6400000.0</v>
      </c>
      <c r="J4676" s="1" t="s">
        <v>12283</v>
      </c>
    </row>
    <row r="4677">
      <c r="A4677" s="1" t="s">
        <v>14596</v>
      </c>
      <c r="B4677" s="1" t="s">
        <v>14598</v>
      </c>
      <c r="C4677" s="1" t="s">
        <v>14600</v>
      </c>
      <c r="D4677" s="1" t="s">
        <v>14339</v>
      </c>
      <c r="E4677" s="1" t="s">
        <v>14340</v>
      </c>
      <c r="F4677" s="1">
        <v>10891.0</v>
      </c>
      <c r="G4677" s="1">
        <v>232.0</v>
      </c>
      <c r="H4677" s="1">
        <v>39.0</v>
      </c>
      <c r="I4677" s="1">
        <v>6400000.0</v>
      </c>
      <c r="J4677" s="1" t="s">
        <v>12283</v>
      </c>
    </row>
    <row r="4678">
      <c r="A4678" s="1" t="s">
        <v>14602</v>
      </c>
      <c r="B4678" s="1" t="s">
        <v>14603</v>
      </c>
      <c r="C4678" s="1" t="s">
        <v>14604</v>
      </c>
      <c r="D4678" s="1" t="s">
        <v>14339</v>
      </c>
      <c r="E4678" s="1" t="s">
        <v>14340</v>
      </c>
      <c r="F4678" s="1">
        <v>43946.0</v>
      </c>
      <c r="G4678" s="1">
        <v>2026.0</v>
      </c>
      <c r="H4678" s="1">
        <v>302.0</v>
      </c>
      <c r="I4678" s="1">
        <v>6400000.0</v>
      </c>
      <c r="J4678" s="1" t="s">
        <v>12283</v>
      </c>
    </row>
    <row r="4679">
      <c r="A4679" s="1" t="s">
        <v>14605</v>
      </c>
      <c r="B4679" s="1" t="s">
        <v>14606</v>
      </c>
      <c r="C4679" s="1" t="s">
        <v>14607</v>
      </c>
      <c r="D4679" s="1" t="s">
        <v>14339</v>
      </c>
      <c r="E4679" s="1" t="s">
        <v>14340</v>
      </c>
      <c r="F4679" s="1">
        <v>1359300.0</v>
      </c>
      <c r="G4679" s="1">
        <v>11721.0</v>
      </c>
      <c r="H4679" s="1">
        <v>2509.0</v>
      </c>
      <c r="I4679" s="1">
        <v>6400000.0</v>
      </c>
      <c r="J4679" s="1" t="s">
        <v>12283</v>
      </c>
    </row>
    <row r="4680">
      <c r="A4680" s="1" t="s">
        <v>14608</v>
      </c>
      <c r="B4680" s="1" t="s">
        <v>14609</v>
      </c>
      <c r="C4680" s="1" t="s">
        <v>14610</v>
      </c>
      <c r="D4680" s="1" t="s">
        <v>14339</v>
      </c>
      <c r="E4680" s="1" t="s">
        <v>14340</v>
      </c>
      <c r="F4680" s="1">
        <v>8695.0</v>
      </c>
      <c r="G4680" s="1">
        <v>473.0</v>
      </c>
      <c r="H4680" s="1">
        <v>49.0</v>
      </c>
      <c r="I4680" s="1">
        <v>6400000.0</v>
      </c>
      <c r="J4680" s="1" t="s">
        <v>12283</v>
      </c>
    </row>
    <row r="4681">
      <c r="A4681" s="1" t="s">
        <v>14611</v>
      </c>
      <c r="B4681" s="1" t="s">
        <v>14612</v>
      </c>
      <c r="C4681" s="1" t="s">
        <v>14613</v>
      </c>
      <c r="D4681" s="1" t="s">
        <v>14339</v>
      </c>
      <c r="E4681" s="1" t="s">
        <v>14340</v>
      </c>
      <c r="F4681" s="1">
        <v>25720.0</v>
      </c>
      <c r="G4681" s="1">
        <v>490.0</v>
      </c>
      <c r="H4681" s="1">
        <v>425.0</v>
      </c>
      <c r="I4681" s="1">
        <v>6400000.0</v>
      </c>
      <c r="J4681" s="1" t="s">
        <v>12283</v>
      </c>
    </row>
    <row r="4682">
      <c r="A4682" s="1" t="s">
        <v>14614</v>
      </c>
      <c r="B4682" s="1" t="s">
        <v>14615</v>
      </c>
      <c r="C4682" s="1" t="s">
        <v>14616</v>
      </c>
      <c r="D4682" s="1" t="s">
        <v>14339</v>
      </c>
      <c r="E4682" s="1" t="s">
        <v>14340</v>
      </c>
      <c r="F4682" s="1">
        <v>19571.0</v>
      </c>
      <c r="G4682" s="1">
        <v>355.0</v>
      </c>
      <c r="H4682" s="1">
        <v>227.0</v>
      </c>
      <c r="I4682" s="1">
        <v>6400000.0</v>
      </c>
      <c r="J4682" s="1" t="s">
        <v>12283</v>
      </c>
    </row>
    <row r="4683">
      <c r="A4683" s="1" t="s">
        <v>14617</v>
      </c>
      <c r="B4683" s="1" t="s">
        <v>14618</v>
      </c>
      <c r="C4683" s="1" t="s">
        <v>14619</v>
      </c>
      <c r="D4683" s="1" t="s">
        <v>14339</v>
      </c>
      <c r="E4683" s="1" t="s">
        <v>14340</v>
      </c>
      <c r="F4683" s="1">
        <v>64970.0</v>
      </c>
      <c r="G4683" s="1">
        <v>747.0</v>
      </c>
      <c r="H4683" s="1">
        <v>611.0</v>
      </c>
      <c r="I4683" s="1">
        <v>6400000.0</v>
      </c>
      <c r="J4683" s="1" t="s">
        <v>12283</v>
      </c>
    </row>
    <row r="4684">
      <c r="A4684" s="1" t="s">
        <v>14620</v>
      </c>
      <c r="B4684" s="1" t="s">
        <v>14621</v>
      </c>
      <c r="C4684" s="1" t="s">
        <v>14623</v>
      </c>
      <c r="D4684" s="1" t="s">
        <v>14339</v>
      </c>
      <c r="E4684" s="1" t="s">
        <v>14340</v>
      </c>
      <c r="F4684" s="1">
        <v>10900.0</v>
      </c>
      <c r="G4684" s="1">
        <v>396.0</v>
      </c>
      <c r="H4684" s="1">
        <v>53.0</v>
      </c>
      <c r="I4684" s="1">
        <v>6400000.0</v>
      </c>
      <c r="J4684" s="1" t="s">
        <v>12283</v>
      </c>
    </row>
    <row r="4685">
      <c r="A4685" s="1" t="s">
        <v>14626</v>
      </c>
      <c r="B4685" s="1" t="s">
        <v>14627</v>
      </c>
      <c r="C4685" s="1" t="s">
        <v>14628</v>
      </c>
      <c r="D4685" s="1" t="s">
        <v>14339</v>
      </c>
      <c r="E4685" s="1" t="s">
        <v>14340</v>
      </c>
      <c r="F4685" s="1">
        <v>65314.0</v>
      </c>
      <c r="G4685" s="1">
        <v>1003.0</v>
      </c>
      <c r="H4685" s="1">
        <v>353.0</v>
      </c>
      <c r="I4685" s="1">
        <v>6400000.0</v>
      </c>
      <c r="J4685" s="1" t="s">
        <v>12283</v>
      </c>
    </row>
    <row r="4686">
      <c r="A4686" s="1" t="s">
        <v>14629</v>
      </c>
      <c r="B4686" s="1" t="s">
        <v>14630</v>
      </c>
      <c r="C4686" s="1" t="s">
        <v>14631</v>
      </c>
      <c r="D4686" s="1" t="s">
        <v>14339</v>
      </c>
      <c r="E4686" s="1" t="s">
        <v>14340</v>
      </c>
      <c r="F4686" s="1">
        <v>170431.0</v>
      </c>
      <c r="G4686" s="1">
        <v>6697.0</v>
      </c>
      <c r="H4686" s="1">
        <v>894.0</v>
      </c>
      <c r="I4686" s="1">
        <v>6400000.0</v>
      </c>
      <c r="J4686" s="1" t="s">
        <v>12283</v>
      </c>
    </row>
    <row r="4687">
      <c r="A4687" s="1" t="s">
        <v>14632</v>
      </c>
      <c r="B4687" s="1" t="s">
        <v>14633</v>
      </c>
      <c r="C4687" s="1" t="s">
        <v>14634</v>
      </c>
      <c r="D4687" s="1" t="s">
        <v>14339</v>
      </c>
      <c r="E4687" s="1" t="s">
        <v>14340</v>
      </c>
      <c r="F4687" s="1">
        <v>60142.0</v>
      </c>
      <c r="G4687" s="1">
        <v>1383.0</v>
      </c>
      <c r="H4687" s="1">
        <v>341.0</v>
      </c>
      <c r="I4687" s="1">
        <v>6400000.0</v>
      </c>
      <c r="J4687" s="1" t="s">
        <v>12283</v>
      </c>
    </row>
    <row r="4688">
      <c r="A4688" s="1" t="s">
        <v>14635</v>
      </c>
      <c r="B4688" s="1" t="s">
        <v>14636</v>
      </c>
      <c r="C4688" s="1" t="s">
        <v>14637</v>
      </c>
      <c r="D4688" s="1" t="s">
        <v>14339</v>
      </c>
      <c r="E4688" s="1" t="s">
        <v>14340</v>
      </c>
      <c r="F4688" s="1">
        <v>19331.0</v>
      </c>
      <c r="G4688" s="1">
        <v>432.0</v>
      </c>
      <c r="H4688" s="1">
        <v>128.0</v>
      </c>
      <c r="I4688" s="1">
        <v>6400000.0</v>
      </c>
      <c r="J4688" s="1" t="s">
        <v>12283</v>
      </c>
    </row>
    <row r="4689">
      <c r="A4689" s="1" t="s">
        <v>14638</v>
      </c>
      <c r="B4689" s="1" t="s">
        <v>14639</v>
      </c>
      <c r="C4689" s="1" t="s">
        <v>14640</v>
      </c>
      <c r="D4689" s="1" t="s">
        <v>14339</v>
      </c>
      <c r="E4689" s="1" t="s">
        <v>14340</v>
      </c>
      <c r="F4689" s="1">
        <v>19987.0</v>
      </c>
      <c r="G4689" s="1">
        <v>502.0</v>
      </c>
      <c r="H4689" s="1">
        <v>23.0</v>
      </c>
      <c r="I4689" s="1">
        <v>6400000.0</v>
      </c>
      <c r="J4689" s="1" t="s">
        <v>12283</v>
      </c>
    </row>
    <row r="4690">
      <c r="A4690" s="1" t="s">
        <v>14643</v>
      </c>
      <c r="B4690" s="1" t="s">
        <v>14645</v>
      </c>
      <c r="C4690" s="1" t="s">
        <v>14646</v>
      </c>
      <c r="D4690" s="1" t="s">
        <v>14339</v>
      </c>
      <c r="E4690" s="1" t="s">
        <v>14340</v>
      </c>
      <c r="F4690" s="1">
        <v>15455.0</v>
      </c>
      <c r="G4690" s="1">
        <v>280.0</v>
      </c>
      <c r="H4690" s="1">
        <v>153.0</v>
      </c>
      <c r="I4690" s="1">
        <v>6400000.0</v>
      </c>
      <c r="J4690" s="1" t="s">
        <v>12283</v>
      </c>
    </row>
    <row r="4691">
      <c r="A4691" s="1" t="s">
        <v>14647</v>
      </c>
      <c r="B4691" s="1" t="s">
        <v>14648</v>
      </c>
      <c r="C4691" s="1" t="s">
        <v>14649</v>
      </c>
      <c r="D4691" s="1" t="s">
        <v>14339</v>
      </c>
      <c r="E4691" s="1" t="s">
        <v>14340</v>
      </c>
      <c r="F4691" s="1">
        <v>50569.0</v>
      </c>
      <c r="G4691" s="1">
        <v>1428.0</v>
      </c>
      <c r="H4691" s="1">
        <v>328.0</v>
      </c>
      <c r="I4691" s="1">
        <v>6400000.0</v>
      </c>
      <c r="J4691" s="1" t="s">
        <v>12283</v>
      </c>
    </row>
    <row r="4692">
      <c r="A4692" s="1" t="s">
        <v>14650</v>
      </c>
      <c r="B4692" s="1" t="s">
        <v>14651</v>
      </c>
      <c r="C4692" s="1" t="s">
        <v>14652</v>
      </c>
      <c r="D4692" s="1" t="s">
        <v>14339</v>
      </c>
      <c r="E4692" s="1" t="s">
        <v>14340</v>
      </c>
      <c r="F4692" s="1">
        <v>2592.0</v>
      </c>
      <c r="G4692" s="1">
        <v>47.0</v>
      </c>
      <c r="H4692" s="1">
        <v>5.0</v>
      </c>
      <c r="I4692" s="1">
        <v>6400000.0</v>
      </c>
      <c r="J4692" s="1" t="s">
        <v>12283</v>
      </c>
    </row>
    <row r="4693">
      <c r="A4693" s="1" t="s">
        <v>14653</v>
      </c>
      <c r="B4693" s="1" t="s">
        <v>14654</v>
      </c>
      <c r="C4693" s="1" t="s">
        <v>14655</v>
      </c>
      <c r="D4693" s="1" t="s">
        <v>14339</v>
      </c>
      <c r="E4693" s="1" t="s">
        <v>14340</v>
      </c>
      <c r="F4693" s="1">
        <v>16588.0</v>
      </c>
      <c r="G4693" s="1">
        <v>461.0</v>
      </c>
      <c r="H4693" s="1">
        <v>54.0</v>
      </c>
      <c r="I4693" s="1">
        <v>6400000.0</v>
      </c>
      <c r="J4693" s="1" t="s">
        <v>12283</v>
      </c>
    </row>
    <row r="4694">
      <c r="A4694" s="1" t="s">
        <v>14656</v>
      </c>
      <c r="B4694" s="1" t="s">
        <v>14657</v>
      </c>
      <c r="C4694" s="1" t="s">
        <v>14658</v>
      </c>
      <c r="D4694" s="1" t="s">
        <v>14339</v>
      </c>
      <c r="E4694" s="1" t="s">
        <v>14340</v>
      </c>
      <c r="F4694" s="1">
        <v>11726.0</v>
      </c>
      <c r="G4694" s="1">
        <v>211.0</v>
      </c>
      <c r="H4694" s="1">
        <v>115.0</v>
      </c>
      <c r="I4694" s="1">
        <v>6400000.0</v>
      </c>
      <c r="J4694" s="1" t="s">
        <v>12283</v>
      </c>
    </row>
    <row r="4695">
      <c r="A4695" s="1" t="s">
        <v>14662</v>
      </c>
      <c r="B4695" s="1" t="s">
        <v>14663</v>
      </c>
      <c r="C4695" s="1" t="s">
        <v>14664</v>
      </c>
      <c r="D4695" s="1" t="s">
        <v>14339</v>
      </c>
      <c r="E4695" s="1" t="s">
        <v>14340</v>
      </c>
      <c r="F4695" s="1">
        <v>15790.0</v>
      </c>
      <c r="G4695" s="1">
        <v>684.0</v>
      </c>
      <c r="H4695" s="1">
        <v>69.0</v>
      </c>
      <c r="I4695" s="1">
        <v>6400000.0</v>
      </c>
      <c r="J4695" s="1" t="s">
        <v>12283</v>
      </c>
    </row>
    <row r="4696">
      <c r="A4696" s="1" t="s">
        <v>14665</v>
      </c>
      <c r="B4696" s="1" t="s">
        <v>14666</v>
      </c>
      <c r="C4696" s="1" t="s">
        <v>14667</v>
      </c>
      <c r="D4696" s="1" t="s">
        <v>14339</v>
      </c>
      <c r="E4696" s="1" t="s">
        <v>14340</v>
      </c>
      <c r="F4696" s="1">
        <v>14214.0</v>
      </c>
      <c r="G4696" s="1">
        <v>155.0</v>
      </c>
      <c r="H4696" s="1">
        <v>51.0</v>
      </c>
      <c r="I4696" s="1">
        <v>6400000.0</v>
      </c>
      <c r="J4696" s="1" t="s">
        <v>12283</v>
      </c>
    </row>
    <row r="4697">
      <c r="A4697" s="1" t="s">
        <v>14668</v>
      </c>
      <c r="B4697" s="1" t="s">
        <v>14669</v>
      </c>
      <c r="C4697" s="1" t="s">
        <v>14670</v>
      </c>
      <c r="D4697" s="1" t="s">
        <v>14339</v>
      </c>
      <c r="E4697" s="1" t="s">
        <v>14340</v>
      </c>
      <c r="F4697" s="1">
        <v>7201.0</v>
      </c>
      <c r="G4697" s="1">
        <v>171.0</v>
      </c>
      <c r="H4697" s="1">
        <v>15.0</v>
      </c>
      <c r="I4697" s="1">
        <v>6400000.0</v>
      </c>
      <c r="J4697" s="1" t="s">
        <v>12283</v>
      </c>
    </row>
    <row r="4698">
      <c r="A4698" s="1" t="s">
        <v>14671</v>
      </c>
      <c r="B4698" s="1" t="s">
        <v>14672</v>
      </c>
      <c r="C4698" s="1" t="s">
        <v>14673</v>
      </c>
      <c r="D4698" s="1" t="s">
        <v>14339</v>
      </c>
      <c r="E4698" s="1" t="s">
        <v>14340</v>
      </c>
      <c r="F4698" s="1">
        <v>24222.0</v>
      </c>
      <c r="G4698" s="1">
        <v>421.0</v>
      </c>
      <c r="H4698" s="1">
        <v>30.0</v>
      </c>
      <c r="I4698" s="1">
        <v>6400000.0</v>
      </c>
      <c r="J4698" s="1" t="s">
        <v>12283</v>
      </c>
    </row>
    <row r="4699">
      <c r="A4699" s="1" t="s">
        <v>14674</v>
      </c>
      <c r="B4699" s="1" t="s">
        <v>14675</v>
      </c>
      <c r="C4699" s="1" t="s">
        <v>14676</v>
      </c>
      <c r="D4699" s="1" t="s">
        <v>14339</v>
      </c>
      <c r="E4699" s="1" t="s">
        <v>14340</v>
      </c>
      <c r="F4699" s="1">
        <v>12912.0</v>
      </c>
      <c r="G4699" s="1">
        <v>310.0</v>
      </c>
      <c r="H4699" s="1">
        <v>12.0</v>
      </c>
      <c r="I4699" s="1">
        <v>6400000.0</v>
      </c>
      <c r="J4699" s="1" t="s">
        <v>12283</v>
      </c>
    </row>
    <row r="4700">
      <c r="A4700" s="1" t="s">
        <v>14677</v>
      </c>
      <c r="B4700" s="1" t="s">
        <v>14678</v>
      </c>
      <c r="C4700" s="1" t="s">
        <v>14679</v>
      </c>
      <c r="D4700" s="1" t="s">
        <v>14339</v>
      </c>
      <c r="E4700" s="1" t="s">
        <v>14340</v>
      </c>
      <c r="F4700" s="1">
        <v>162178.0</v>
      </c>
      <c r="G4700" s="1">
        <v>2004.0</v>
      </c>
      <c r="H4700" s="1">
        <v>1078.0</v>
      </c>
      <c r="I4700" s="1">
        <v>6400000.0</v>
      </c>
      <c r="J4700" s="1" t="s">
        <v>12283</v>
      </c>
    </row>
    <row r="4701">
      <c r="A4701" s="1" t="s">
        <v>14680</v>
      </c>
      <c r="B4701" s="1" t="s">
        <v>14681</v>
      </c>
      <c r="C4701" s="1" t="s">
        <v>14682</v>
      </c>
      <c r="D4701" s="1" t="s">
        <v>14339</v>
      </c>
      <c r="E4701" s="1" t="s">
        <v>14340</v>
      </c>
      <c r="F4701" s="1">
        <v>17743.0</v>
      </c>
      <c r="G4701" s="1">
        <v>526.0</v>
      </c>
      <c r="H4701" s="1">
        <v>94.0</v>
      </c>
      <c r="I4701" s="1">
        <v>6400000.0</v>
      </c>
      <c r="J4701" s="1" t="s">
        <v>12283</v>
      </c>
    </row>
    <row r="4702">
      <c r="A4702" s="1" t="s">
        <v>14686</v>
      </c>
      <c r="B4702" s="1" t="s">
        <v>14687</v>
      </c>
      <c r="C4702" s="1" t="s">
        <v>14688</v>
      </c>
      <c r="D4702" s="1" t="s">
        <v>14339</v>
      </c>
      <c r="E4702" s="1" t="s">
        <v>14340</v>
      </c>
      <c r="F4702" s="1">
        <v>83342.0</v>
      </c>
      <c r="G4702" s="1">
        <v>1144.0</v>
      </c>
      <c r="H4702" s="1">
        <v>685.0</v>
      </c>
      <c r="I4702" s="1">
        <v>6400000.0</v>
      </c>
      <c r="J4702" s="1" t="s">
        <v>12283</v>
      </c>
    </row>
    <row r="4703">
      <c r="A4703" s="1" t="s">
        <v>14689</v>
      </c>
      <c r="B4703" s="1" t="s">
        <v>14690</v>
      </c>
      <c r="C4703" s="1" t="s">
        <v>14691</v>
      </c>
      <c r="D4703" s="1" t="s">
        <v>14339</v>
      </c>
      <c r="E4703" s="1" t="s">
        <v>14340</v>
      </c>
      <c r="F4703" s="1">
        <v>14905.0</v>
      </c>
      <c r="G4703" s="1">
        <v>354.0</v>
      </c>
      <c r="H4703" s="1">
        <v>13.0</v>
      </c>
      <c r="I4703" s="1">
        <v>6400000.0</v>
      </c>
      <c r="J4703" s="1" t="s">
        <v>12283</v>
      </c>
    </row>
    <row r="4704">
      <c r="A4704" s="1" t="s">
        <v>14692</v>
      </c>
      <c r="B4704" s="1" t="s">
        <v>14693</v>
      </c>
      <c r="C4704" s="1" t="s">
        <v>14694</v>
      </c>
      <c r="D4704" s="1" t="s">
        <v>14339</v>
      </c>
      <c r="E4704" s="1" t="s">
        <v>14340</v>
      </c>
      <c r="F4704" s="1">
        <v>26429.0</v>
      </c>
      <c r="G4704" s="1">
        <v>275.0</v>
      </c>
      <c r="H4704" s="1">
        <v>146.0</v>
      </c>
      <c r="I4704" s="1">
        <v>6400000.0</v>
      </c>
      <c r="J4704" s="1" t="s">
        <v>12283</v>
      </c>
    </row>
    <row r="4705">
      <c r="A4705" s="1" t="s">
        <v>14695</v>
      </c>
      <c r="B4705" s="1" t="s">
        <v>14696</v>
      </c>
      <c r="C4705" s="1" t="s">
        <v>14697</v>
      </c>
      <c r="D4705" s="1" t="s">
        <v>14339</v>
      </c>
      <c r="E4705" s="1" t="s">
        <v>14340</v>
      </c>
      <c r="F4705" s="1">
        <v>224126.0</v>
      </c>
      <c r="G4705" s="1">
        <v>2066.0</v>
      </c>
      <c r="H4705" s="1">
        <v>1003.0</v>
      </c>
      <c r="I4705" s="1">
        <v>6400000.0</v>
      </c>
      <c r="J4705" s="1" t="s">
        <v>12283</v>
      </c>
    </row>
    <row r="4706">
      <c r="A4706" s="1" t="s">
        <v>14698</v>
      </c>
      <c r="B4706" s="1" t="s">
        <v>14699</v>
      </c>
      <c r="C4706" s="1" t="s">
        <v>14700</v>
      </c>
      <c r="D4706" s="1" t="s">
        <v>14339</v>
      </c>
      <c r="E4706" s="1" t="s">
        <v>14340</v>
      </c>
      <c r="F4706" s="1">
        <v>31988.0</v>
      </c>
      <c r="G4706" s="1">
        <v>448.0</v>
      </c>
      <c r="H4706" s="1">
        <v>348.0</v>
      </c>
      <c r="I4706" s="1">
        <v>6400000.0</v>
      </c>
      <c r="J4706" s="1" t="s">
        <v>12283</v>
      </c>
    </row>
    <row r="4707">
      <c r="A4707" s="1" t="s">
        <v>14703</v>
      </c>
      <c r="B4707" s="1" t="s">
        <v>14705</v>
      </c>
      <c r="C4707" s="1" t="s">
        <v>14706</v>
      </c>
      <c r="D4707" s="1" t="s">
        <v>14339</v>
      </c>
      <c r="E4707" s="1" t="s">
        <v>14340</v>
      </c>
      <c r="F4707" s="1">
        <v>5224.0</v>
      </c>
      <c r="G4707" s="1">
        <v>102.0</v>
      </c>
      <c r="H4707" s="1">
        <v>27.0</v>
      </c>
      <c r="I4707" s="1">
        <v>6400000.0</v>
      </c>
      <c r="J4707" s="1" t="s">
        <v>12283</v>
      </c>
    </row>
    <row r="4708">
      <c r="A4708" s="1" t="s">
        <v>14707</v>
      </c>
      <c r="B4708" s="1" t="s">
        <v>14708</v>
      </c>
      <c r="C4708" s="1" t="s">
        <v>14709</v>
      </c>
      <c r="D4708" s="1" t="s">
        <v>14339</v>
      </c>
      <c r="E4708" s="1" t="s">
        <v>14340</v>
      </c>
      <c r="F4708" s="1">
        <v>4923.0</v>
      </c>
      <c r="G4708" s="1">
        <v>118.0</v>
      </c>
      <c r="H4708" s="1">
        <v>10.0</v>
      </c>
      <c r="I4708" s="1">
        <v>6400000.0</v>
      </c>
      <c r="J4708" s="1" t="s">
        <v>12283</v>
      </c>
    </row>
    <row r="4709">
      <c r="A4709" s="1" t="s">
        <v>14710</v>
      </c>
      <c r="B4709" s="1" t="s">
        <v>14711</v>
      </c>
      <c r="C4709" s="1" t="s">
        <v>14712</v>
      </c>
      <c r="D4709" s="1" t="s">
        <v>14339</v>
      </c>
      <c r="E4709" s="1" t="s">
        <v>14340</v>
      </c>
      <c r="F4709" s="1">
        <v>37000.0</v>
      </c>
      <c r="G4709" s="1">
        <v>398.0</v>
      </c>
      <c r="H4709" s="1">
        <v>550.0</v>
      </c>
      <c r="I4709" s="1">
        <v>6400000.0</v>
      </c>
      <c r="J4709" s="1" t="s">
        <v>12283</v>
      </c>
    </row>
    <row r="4710">
      <c r="A4710" s="1" t="s">
        <v>14713</v>
      </c>
      <c r="B4710" s="1" t="s">
        <v>14714</v>
      </c>
      <c r="C4710" s="1" t="s">
        <v>14715</v>
      </c>
      <c r="D4710" s="1" t="s">
        <v>14339</v>
      </c>
      <c r="E4710" s="1" t="s">
        <v>14340</v>
      </c>
      <c r="F4710" s="1">
        <v>19120.0</v>
      </c>
      <c r="G4710" s="1">
        <v>217.0</v>
      </c>
      <c r="H4710" s="1">
        <v>84.0</v>
      </c>
      <c r="I4710" s="1">
        <v>6400000.0</v>
      </c>
      <c r="J4710" s="1" t="s">
        <v>12283</v>
      </c>
    </row>
    <row r="4711">
      <c r="A4711" s="1" t="s">
        <v>14716</v>
      </c>
      <c r="B4711" s="1" t="s">
        <v>14717</v>
      </c>
      <c r="C4711" s="1" t="s">
        <v>14718</v>
      </c>
      <c r="D4711" s="1" t="s">
        <v>14339</v>
      </c>
      <c r="E4711" s="1" t="s">
        <v>14340</v>
      </c>
      <c r="F4711" s="1">
        <v>26826.0</v>
      </c>
      <c r="G4711" s="1">
        <v>259.0</v>
      </c>
      <c r="H4711" s="1">
        <v>299.0</v>
      </c>
      <c r="I4711" s="1">
        <v>6400000.0</v>
      </c>
      <c r="J4711" s="1" t="s">
        <v>12283</v>
      </c>
    </row>
    <row r="4712">
      <c r="A4712" s="1" t="s">
        <v>14719</v>
      </c>
      <c r="B4712" s="1" t="s">
        <v>14720</v>
      </c>
      <c r="C4712" s="1" t="s">
        <v>14721</v>
      </c>
      <c r="D4712" s="1" t="s">
        <v>14339</v>
      </c>
      <c r="E4712" s="1" t="s">
        <v>14340</v>
      </c>
      <c r="F4712" s="1">
        <v>56971.0</v>
      </c>
      <c r="G4712" s="1">
        <v>574.0</v>
      </c>
      <c r="H4712" s="1">
        <v>181.0</v>
      </c>
      <c r="I4712" s="1">
        <v>6400000.0</v>
      </c>
      <c r="J4712" s="1" t="s">
        <v>12283</v>
      </c>
    </row>
    <row r="4713">
      <c r="A4713" s="1" t="s">
        <v>14725</v>
      </c>
      <c r="B4713" s="1" t="s">
        <v>14726</v>
      </c>
      <c r="C4713" s="1" t="s">
        <v>14727</v>
      </c>
      <c r="D4713" s="1" t="s">
        <v>14339</v>
      </c>
      <c r="E4713" s="1" t="s">
        <v>14340</v>
      </c>
      <c r="F4713" s="1">
        <v>51799.0</v>
      </c>
      <c r="G4713" s="1">
        <v>1185.0</v>
      </c>
      <c r="H4713" s="1">
        <v>719.0</v>
      </c>
      <c r="I4713" s="1">
        <v>6400000.0</v>
      </c>
      <c r="J4713" s="1" t="s">
        <v>12283</v>
      </c>
    </row>
    <row r="4714">
      <c r="A4714" s="1" t="s">
        <v>14728</v>
      </c>
      <c r="B4714" s="1" t="s">
        <v>14729</v>
      </c>
      <c r="C4714" s="1" t="s">
        <v>14730</v>
      </c>
      <c r="D4714" s="1" t="s">
        <v>14339</v>
      </c>
      <c r="E4714" s="1" t="s">
        <v>14340</v>
      </c>
      <c r="F4714" s="1">
        <v>34614.0</v>
      </c>
      <c r="G4714" s="1">
        <v>785.0</v>
      </c>
      <c r="H4714" s="1">
        <v>275.0</v>
      </c>
      <c r="I4714" s="1">
        <v>6400000.0</v>
      </c>
      <c r="J4714" s="1" t="s">
        <v>12283</v>
      </c>
    </row>
    <row r="4715">
      <c r="A4715" s="1" t="s">
        <v>14731</v>
      </c>
      <c r="B4715" s="1" t="s">
        <v>14732</v>
      </c>
      <c r="C4715" s="1" t="s">
        <v>14733</v>
      </c>
      <c r="D4715" s="1" t="s">
        <v>14339</v>
      </c>
      <c r="E4715" s="1" t="s">
        <v>14340</v>
      </c>
      <c r="F4715" s="1">
        <v>12291.0</v>
      </c>
      <c r="G4715" s="1">
        <v>480.0</v>
      </c>
      <c r="H4715" s="1">
        <v>16.0</v>
      </c>
      <c r="I4715" s="1">
        <v>6400000.0</v>
      </c>
      <c r="J4715" s="1" t="s">
        <v>12283</v>
      </c>
    </row>
    <row r="4716">
      <c r="A4716" s="1" t="s">
        <v>14734</v>
      </c>
      <c r="B4716" s="1" t="s">
        <v>14735</v>
      </c>
      <c r="C4716" s="1" t="s">
        <v>14736</v>
      </c>
      <c r="D4716" s="1" t="s">
        <v>14339</v>
      </c>
      <c r="E4716" s="1" t="s">
        <v>14340</v>
      </c>
      <c r="F4716" s="1">
        <v>20879.0</v>
      </c>
      <c r="G4716" s="1">
        <v>549.0</v>
      </c>
      <c r="H4716" s="1">
        <v>48.0</v>
      </c>
      <c r="I4716" s="1">
        <v>6400000.0</v>
      </c>
      <c r="J4716" s="1" t="s">
        <v>12283</v>
      </c>
    </row>
    <row r="4717">
      <c r="A4717" s="1" t="s">
        <v>14737</v>
      </c>
      <c r="B4717" s="1" t="s">
        <v>14738</v>
      </c>
      <c r="C4717" s="1" t="s">
        <v>14739</v>
      </c>
      <c r="D4717" s="1" t="s">
        <v>14339</v>
      </c>
      <c r="E4717" s="1" t="s">
        <v>14340</v>
      </c>
      <c r="F4717" s="1">
        <v>17143.0</v>
      </c>
      <c r="G4717" s="1">
        <v>259.0</v>
      </c>
      <c r="H4717" s="1">
        <v>418.0</v>
      </c>
      <c r="I4717" s="1">
        <v>6400000.0</v>
      </c>
      <c r="J4717" s="1" t="s">
        <v>12283</v>
      </c>
    </row>
    <row r="4718">
      <c r="A4718" s="1" t="s">
        <v>14740</v>
      </c>
      <c r="B4718" s="1" t="s">
        <v>14741</v>
      </c>
      <c r="C4718" s="1" t="s">
        <v>14742</v>
      </c>
      <c r="D4718" s="1" t="s">
        <v>14339</v>
      </c>
      <c r="E4718" s="1" t="s">
        <v>14340</v>
      </c>
      <c r="F4718" s="1">
        <v>15379.0</v>
      </c>
      <c r="G4718" s="1">
        <v>410.0</v>
      </c>
      <c r="H4718" s="1">
        <v>82.0</v>
      </c>
      <c r="I4718" s="1">
        <v>6400000.0</v>
      </c>
      <c r="J4718" s="1" t="s">
        <v>12283</v>
      </c>
    </row>
    <row r="4719">
      <c r="A4719" s="1" t="s">
        <v>14743</v>
      </c>
      <c r="B4719" s="1" t="s">
        <v>14744</v>
      </c>
      <c r="C4719" s="1" t="s">
        <v>14746</v>
      </c>
      <c r="D4719" s="1" t="s">
        <v>14339</v>
      </c>
      <c r="E4719" s="1" t="s">
        <v>14340</v>
      </c>
      <c r="F4719" s="1">
        <v>25680.0</v>
      </c>
      <c r="G4719" s="1">
        <v>274.0</v>
      </c>
      <c r="H4719" s="1">
        <v>52.0</v>
      </c>
      <c r="I4719" s="1">
        <v>6400000.0</v>
      </c>
      <c r="J4719" s="1" t="s">
        <v>12283</v>
      </c>
    </row>
    <row r="4720">
      <c r="A4720" s="1" t="s">
        <v>14749</v>
      </c>
      <c r="B4720" s="1" t="s">
        <v>14750</v>
      </c>
      <c r="C4720" s="1" t="s">
        <v>14751</v>
      </c>
      <c r="D4720" s="1" t="s">
        <v>14339</v>
      </c>
      <c r="E4720" s="1" t="s">
        <v>14340</v>
      </c>
      <c r="F4720" s="1">
        <v>11124.0</v>
      </c>
      <c r="G4720" s="1">
        <v>145.0</v>
      </c>
      <c r="H4720" s="1">
        <v>64.0</v>
      </c>
      <c r="I4720" s="1">
        <v>6400000.0</v>
      </c>
      <c r="J4720" s="1" t="s">
        <v>12283</v>
      </c>
    </row>
    <row r="4721">
      <c r="A4721" s="1" t="s">
        <v>14752</v>
      </c>
      <c r="B4721" s="1" t="s">
        <v>14753</v>
      </c>
      <c r="C4721" s="1" t="s">
        <v>14754</v>
      </c>
      <c r="D4721" s="1" t="s">
        <v>14339</v>
      </c>
      <c r="E4721" s="1" t="s">
        <v>14340</v>
      </c>
      <c r="F4721" s="1">
        <v>51957.0</v>
      </c>
      <c r="G4721" s="1">
        <v>593.0</v>
      </c>
      <c r="H4721" s="1">
        <v>210.0</v>
      </c>
      <c r="I4721" s="1">
        <v>6400000.0</v>
      </c>
      <c r="J4721" s="1" t="s">
        <v>12283</v>
      </c>
    </row>
    <row r="4722">
      <c r="A4722" s="1" t="s">
        <v>14755</v>
      </c>
      <c r="B4722" s="1" t="s">
        <v>14756</v>
      </c>
      <c r="C4722" s="1" t="s">
        <v>14757</v>
      </c>
      <c r="D4722" s="1" t="s">
        <v>14339</v>
      </c>
      <c r="E4722" s="1" t="s">
        <v>14340</v>
      </c>
      <c r="F4722" s="1">
        <v>35342.0</v>
      </c>
      <c r="G4722" s="1">
        <v>1160.0</v>
      </c>
      <c r="H4722" s="1">
        <v>315.0</v>
      </c>
      <c r="I4722" s="1">
        <v>6400000.0</v>
      </c>
      <c r="J4722" s="1" t="s">
        <v>12283</v>
      </c>
    </row>
    <row r="4723">
      <c r="A4723" s="1" t="s">
        <v>14758</v>
      </c>
      <c r="B4723" s="1" t="s">
        <v>14759</v>
      </c>
      <c r="C4723" s="1" t="s">
        <v>14760</v>
      </c>
      <c r="D4723" s="1" t="s">
        <v>14339</v>
      </c>
      <c r="E4723" s="1" t="s">
        <v>14340</v>
      </c>
      <c r="F4723" s="1">
        <v>38892.0</v>
      </c>
      <c r="G4723" s="1">
        <v>631.0</v>
      </c>
      <c r="H4723" s="1">
        <v>453.0</v>
      </c>
      <c r="I4723" s="1">
        <v>6400000.0</v>
      </c>
      <c r="J4723" s="1" t="s">
        <v>12283</v>
      </c>
    </row>
    <row r="4724">
      <c r="A4724" s="1" t="s">
        <v>14761</v>
      </c>
      <c r="B4724" s="1" t="s">
        <v>14762</v>
      </c>
      <c r="C4724" s="1" t="s">
        <v>14763</v>
      </c>
      <c r="D4724" s="1" t="s">
        <v>14339</v>
      </c>
      <c r="E4724" s="1" t="s">
        <v>14340</v>
      </c>
      <c r="F4724" s="1">
        <v>77088.0</v>
      </c>
      <c r="G4724" s="1">
        <v>1068.0</v>
      </c>
      <c r="H4724" s="1">
        <v>711.0</v>
      </c>
      <c r="I4724" s="1">
        <v>6400000.0</v>
      </c>
      <c r="J4724" s="1" t="s">
        <v>12283</v>
      </c>
    </row>
    <row r="4725">
      <c r="A4725" s="1" t="s">
        <v>14764</v>
      </c>
      <c r="B4725" s="1" t="s">
        <v>14765</v>
      </c>
      <c r="C4725" s="1" t="s">
        <v>14766</v>
      </c>
      <c r="D4725" s="1" t="s">
        <v>14339</v>
      </c>
      <c r="E4725" s="1" t="s">
        <v>14340</v>
      </c>
      <c r="F4725" s="1">
        <v>38739.0</v>
      </c>
      <c r="G4725" s="1">
        <v>546.0</v>
      </c>
      <c r="H4725" s="1">
        <v>600.0</v>
      </c>
      <c r="I4725" s="1">
        <v>6400000.0</v>
      </c>
      <c r="J4725" s="1" t="s">
        <v>12283</v>
      </c>
    </row>
    <row r="4726">
      <c r="A4726" s="1" t="s">
        <v>14767</v>
      </c>
      <c r="B4726" s="1" t="s">
        <v>14768</v>
      </c>
      <c r="C4726" s="1" t="s">
        <v>14769</v>
      </c>
      <c r="D4726" s="1" t="s">
        <v>14339</v>
      </c>
      <c r="E4726" s="1" t="s">
        <v>14340</v>
      </c>
      <c r="F4726" s="1">
        <v>22456.0</v>
      </c>
      <c r="G4726" s="1">
        <v>341.0</v>
      </c>
      <c r="H4726" s="1">
        <v>63.0</v>
      </c>
      <c r="I4726" s="1">
        <v>6400000.0</v>
      </c>
      <c r="J4726" s="1" t="s">
        <v>12283</v>
      </c>
    </row>
    <row r="4727">
      <c r="A4727" s="1" t="s">
        <v>14770</v>
      </c>
      <c r="B4727" s="1" t="s">
        <v>14771</v>
      </c>
      <c r="C4727" s="1" t="s">
        <v>14772</v>
      </c>
      <c r="D4727" s="1" t="s">
        <v>14339</v>
      </c>
      <c r="E4727" s="1" t="s">
        <v>14340</v>
      </c>
      <c r="F4727" s="1">
        <v>562282.0</v>
      </c>
      <c r="G4727" s="1">
        <v>7098.0</v>
      </c>
      <c r="H4727" s="1">
        <v>1664.0</v>
      </c>
      <c r="I4727" s="1">
        <v>6400000.0</v>
      </c>
      <c r="J4727" s="1" t="s">
        <v>12283</v>
      </c>
    </row>
    <row r="4728">
      <c r="A4728" s="1" t="s">
        <v>14773</v>
      </c>
      <c r="B4728" s="1" t="s">
        <v>14774</v>
      </c>
      <c r="C4728" s="1" t="s">
        <v>14775</v>
      </c>
      <c r="D4728" s="1" t="s">
        <v>14339</v>
      </c>
      <c r="E4728" s="1" t="s">
        <v>14340</v>
      </c>
      <c r="F4728" s="1">
        <v>163585.0</v>
      </c>
      <c r="G4728" s="1">
        <v>4595.0</v>
      </c>
      <c r="H4728" s="1">
        <v>788.0</v>
      </c>
      <c r="I4728" s="1">
        <v>6400000.0</v>
      </c>
      <c r="J4728" s="1" t="s">
        <v>12283</v>
      </c>
    </row>
    <row r="4729">
      <c r="A4729" s="1" t="s">
        <v>14776</v>
      </c>
      <c r="B4729" s="1" t="s">
        <v>14777</v>
      </c>
      <c r="C4729" s="1" t="s">
        <v>14778</v>
      </c>
      <c r="D4729" s="1" t="s">
        <v>14339</v>
      </c>
      <c r="E4729" s="1" t="s">
        <v>14340</v>
      </c>
      <c r="F4729" s="1">
        <v>27749.0</v>
      </c>
      <c r="G4729" s="1">
        <v>306.0</v>
      </c>
      <c r="H4729" s="1">
        <v>14.0</v>
      </c>
      <c r="I4729" s="1">
        <v>6400000.0</v>
      </c>
      <c r="J4729" s="1" t="s">
        <v>12283</v>
      </c>
    </row>
    <row r="4730">
      <c r="A4730" s="1" t="s">
        <v>14779</v>
      </c>
      <c r="B4730" s="1" t="s">
        <v>14780</v>
      </c>
      <c r="C4730" s="1" t="s">
        <v>14781</v>
      </c>
      <c r="D4730" s="1" t="s">
        <v>14339</v>
      </c>
      <c r="E4730" s="1" t="s">
        <v>14340</v>
      </c>
      <c r="F4730" s="1">
        <v>9632.0</v>
      </c>
      <c r="G4730" s="1">
        <v>277.0</v>
      </c>
      <c r="H4730" s="1">
        <v>114.0</v>
      </c>
      <c r="I4730" s="1">
        <v>6400000.0</v>
      </c>
      <c r="J4730" s="1" t="s">
        <v>12283</v>
      </c>
    </row>
    <row r="4731">
      <c r="A4731" s="1" t="s">
        <v>14782</v>
      </c>
      <c r="B4731" s="1" t="s">
        <v>14783</v>
      </c>
      <c r="C4731" s="1" t="s">
        <v>14784</v>
      </c>
      <c r="D4731" s="1" t="s">
        <v>14339</v>
      </c>
      <c r="E4731" s="1" t="s">
        <v>14340</v>
      </c>
      <c r="F4731" s="1">
        <v>171799.0</v>
      </c>
      <c r="G4731" s="1">
        <v>3321.0</v>
      </c>
      <c r="H4731" s="1">
        <v>991.0</v>
      </c>
      <c r="I4731" s="1">
        <v>6400000.0</v>
      </c>
      <c r="J4731" s="1" t="s">
        <v>12283</v>
      </c>
    </row>
    <row r="4732">
      <c r="A4732" s="1" t="s">
        <v>14789</v>
      </c>
      <c r="B4732" s="1" t="s">
        <v>14791</v>
      </c>
      <c r="C4732" s="1" t="s">
        <v>14793</v>
      </c>
      <c r="D4732" s="1" t="s">
        <v>14339</v>
      </c>
      <c r="E4732" s="1" t="s">
        <v>14340</v>
      </c>
      <c r="F4732" s="1">
        <v>26522.0</v>
      </c>
      <c r="G4732" s="1">
        <v>902.0</v>
      </c>
      <c r="H4732" s="1">
        <v>99.0</v>
      </c>
      <c r="I4732" s="1">
        <v>6400000.0</v>
      </c>
      <c r="J4732" s="1" t="s">
        <v>12283</v>
      </c>
    </row>
    <row r="4733">
      <c r="A4733" s="1" t="s">
        <v>14794</v>
      </c>
      <c r="B4733" s="1" t="s">
        <v>14795</v>
      </c>
      <c r="C4733" s="1" t="s">
        <v>14796</v>
      </c>
      <c r="D4733" s="1" t="s">
        <v>14339</v>
      </c>
      <c r="E4733" s="1" t="s">
        <v>14340</v>
      </c>
      <c r="F4733" s="1">
        <v>8083.0</v>
      </c>
      <c r="G4733" s="1">
        <v>118.0</v>
      </c>
      <c r="H4733" s="1">
        <v>53.0</v>
      </c>
      <c r="I4733" s="1">
        <v>6400000.0</v>
      </c>
      <c r="J4733" s="1" t="s">
        <v>12283</v>
      </c>
    </row>
    <row r="4734">
      <c r="A4734" s="1" t="s">
        <v>14797</v>
      </c>
      <c r="B4734" s="1" t="s">
        <v>14798</v>
      </c>
      <c r="C4734" s="1" t="s">
        <v>14799</v>
      </c>
      <c r="D4734" s="1" t="s">
        <v>14339</v>
      </c>
      <c r="E4734" s="1" t="s">
        <v>14340</v>
      </c>
      <c r="F4734" s="1">
        <v>19342.0</v>
      </c>
      <c r="G4734" s="1">
        <v>1187.0</v>
      </c>
      <c r="H4734" s="1">
        <v>116.0</v>
      </c>
      <c r="I4734" s="1">
        <v>6400000.0</v>
      </c>
      <c r="J4734" s="1" t="s">
        <v>12283</v>
      </c>
    </row>
    <row r="4735">
      <c r="A4735" s="1" t="s">
        <v>14800</v>
      </c>
      <c r="B4735" s="1" t="s">
        <v>14801</v>
      </c>
      <c r="C4735" s="1" t="s">
        <v>14802</v>
      </c>
      <c r="D4735" s="1" t="s">
        <v>14339</v>
      </c>
      <c r="E4735" s="1" t="s">
        <v>14340</v>
      </c>
      <c r="F4735" s="1">
        <v>67192.0</v>
      </c>
      <c r="G4735" s="1">
        <v>1068.0</v>
      </c>
      <c r="H4735" s="1">
        <v>271.0</v>
      </c>
      <c r="I4735" s="1">
        <v>6400000.0</v>
      </c>
      <c r="J4735" s="1" t="s">
        <v>12283</v>
      </c>
    </row>
    <row r="4736">
      <c r="A4736" s="1" t="s">
        <v>14803</v>
      </c>
      <c r="B4736" s="1" t="s">
        <v>14804</v>
      </c>
      <c r="C4736" s="1" t="s">
        <v>14805</v>
      </c>
      <c r="D4736" s="1" t="s">
        <v>14339</v>
      </c>
      <c r="E4736" s="1" t="s">
        <v>14340</v>
      </c>
      <c r="F4736" s="1">
        <v>468915.0</v>
      </c>
      <c r="G4736" s="1">
        <v>19816.0</v>
      </c>
      <c r="H4736" s="1">
        <v>1390.0</v>
      </c>
      <c r="I4736" s="1">
        <v>6400000.0</v>
      </c>
      <c r="J4736" s="1" t="s">
        <v>12283</v>
      </c>
    </row>
    <row r="4737">
      <c r="A4737" s="1" t="s">
        <v>14806</v>
      </c>
      <c r="B4737" s="1" t="s">
        <v>14807</v>
      </c>
      <c r="C4737" s="1" t="s">
        <v>14808</v>
      </c>
      <c r="D4737" s="1" t="s">
        <v>14339</v>
      </c>
      <c r="E4737" s="1" t="s">
        <v>14340</v>
      </c>
      <c r="F4737" s="1">
        <v>24059.0</v>
      </c>
      <c r="G4737" s="1">
        <v>378.0</v>
      </c>
      <c r="H4737" s="1">
        <v>367.0</v>
      </c>
      <c r="I4737" s="1">
        <v>6400000.0</v>
      </c>
      <c r="J4737" s="1" t="s">
        <v>12283</v>
      </c>
    </row>
    <row r="4738">
      <c r="A4738" s="1" t="s">
        <v>14809</v>
      </c>
      <c r="B4738" s="1" t="s">
        <v>14810</v>
      </c>
      <c r="C4738" s="1" t="s">
        <v>14811</v>
      </c>
      <c r="D4738" s="1" t="s">
        <v>14339</v>
      </c>
      <c r="E4738" s="1" t="s">
        <v>14340</v>
      </c>
      <c r="F4738" s="1">
        <v>43549.0</v>
      </c>
      <c r="G4738" s="1">
        <v>678.0</v>
      </c>
      <c r="H4738" s="1">
        <v>269.0</v>
      </c>
      <c r="I4738" s="1">
        <v>6400000.0</v>
      </c>
      <c r="J4738" s="1" t="s">
        <v>12283</v>
      </c>
    </row>
    <row r="4739">
      <c r="A4739" s="1" t="s">
        <v>14812</v>
      </c>
      <c r="B4739" s="1" t="s">
        <v>14813</v>
      </c>
      <c r="C4739" s="1" t="s">
        <v>14814</v>
      </c>
      <c r="D4739" s="1" t="s">
        <v>14339</v>
      </c>
      <c r="E4739" s="1" t="s">
        <v>14340</v>
      </c>
      <c r="F4739" s="1">
        <v>10259.0</v>
      </c>
      <c r="G4739" s="1">
        <v>236.0</v>
      </c>
      <c r="H4739" s="1">
        <v>132.0</v>
      </c>
      <c r="I4739" s="1">
        <v>6400000.0</v>
      </c>
      <c r="J4739" s="1" t="s">
        <v>12283</v>
      </c>
    </row>
    <row r="4740">
      <c r="A4740" s="1" t="s">
        <v>14818</v>
      </c>
      <c r="B4740" s="1" t="s">
        <v>14819</v>
      </c>
      <c r="C4740" s="1" t="s">
        <v>14820</v>
      </c>
      <c r="D4740" s="1" t="s">
        <v>14339</v>
      </c>
      <c r="E4740" s="1" t="s">
        <v>14340</v>
      </c>
      <c r="F4740" s="1">
        <v>11988.0</v>
      </c>
      <c r="G4740" s="1">
        <v>263.0</v>
      </c>
      <c r="H4740" s="1">
        <v>46.0</v>
      </c>
      <c r="I4740" s="1">
        <v>6400000.0</v>
      </c>
      <c r="J4740" s="1" t="s">
        <v>12283</v>
      </c>
    </row>
    <row r="4741">
      <c r="A4741" s="1" t="s">
        <v>14821</v>
      </c>
      <c r="B4741" s="1" t="s">
        <v>14822</v>
      </c>
      <c r="C4741" s="1" t="s">
        <v>14823</v>
      </c>
      <c r="D4741" s="1" t="s">
        <v>14339</v>
      </c>
      <c r="E4741" s="1" t="s">
        <v>14340</v>
      </c>
      <c r="F4741" s="1">
        <v>12090.0</v>
      </c>
      <c r="G4741" s="1">
        <v>202.0</v>
      </c>
      <c r="H4741" s="1">
        <v>69.0</v>
      </c>
      <c r="I4741" s="1">
        <v>6400000.0</v>
      </c>
      <c r="J4741" s="1" t="s">
        <v>12283</v>
      </c>
    </row>
    <row r="4742">
      <c r="A4742" s="1" t="s">
        <v>14824</v>
      </c>
      <c r="B4742" s="1" t="s">
        <v>14825</v>
      </c>
      <c r="C4742" s="1" t="s">
        <v>14826</v>
      </c>
      <c r="D4742" s="1" t="s">
        <v>14339</v>
      </c>
      <c r="E4742" s="1" t="s">
        <v>14340</v>
      </c>
      <c r="F4742" s="1">
        <v>7777.0</v>
      </c>
      <c r="G4742" s="1">
        <v>97.0</v>
      </c>
      <c r="H4742" s="1">
        <v>43.0</v>
      </c>
      <c r="I4742" s="1">
        <v>6400000.0</v>
      </c>
      <c r="J4742" s="1" t="s">
        <v>12283</v>
      </c>
    </row>
    <row r="4743">
      <c r="A4743" s="1" t="s">
        <v>14827</v>
      </c>
      <c r="B4743" s="1" t="s">
        <v>14828</v>
      </c>
      <c r="C4743" s="1" t="s">
        <v>14829</v>
      </c>
      <c r="D4743" s="1" t="s">
        <v>14339</v>
      </c>
      <c r="E4743" s="1" t="s">
        <v>14340</v>
      </c>
      <c r="F4743" s="1">
        <v>7090.0</v>
      </c>
      <c r="G4743" s="1">
        <v>342.0</v>
      </c>
      <c r="H4743" s="1">
        <v>25.0</v>
      </c>
      <c r="I4743" s="1">
        <v>6400000.0</v>
      </c>
      <c r="J4743" s="1" t="s">
        <v>12283</v>
      </c>
    </row>
    <row r="4744">
      <c r="A4744" s="1" t="s">
        <v>14832</v>
      </c>
      <c r="B4744" s="1" t="s">
        <v>14834</v>
      </c>
      <c r="C4744" s="1" t="s">
        <v>14835</v>
      </c>
      <c r="D4744" s="1" t="s">
        <v>14339</v>
      </c>
      <c r="E4744" s="1" t="s">
        <v>14340</v>
      </c>
      <c r="F4744" s="1">
        <v>17838.0</v>
      </c>
      <c r="G4744" s="1">
        <v>259.0</v>
      </c>
      <c r="H4744" s="1">
        <v>125.0</v>
      </c>
      <c r="I4744" s="1">
        <v>6400000.0</v>
      </c>
      <c r="J4744" s="1" t="s">
        <v>12283</v>
      </c>
    </row>
    <row r="4745">
      <c r="A4745" s="1" t="s">
        <v>14836</v>
      </c>
      <c r="B4745" s="1" t="s">
        <v>14837</v>
      </c>
      <c r="C4745" s="1" t="s">
        <v>14838</v>
      </c>
      <c r="D4745" s="1" t="s">
        <v>14339</v>
      </c>
      <c r="E4745" s="1" t="s">
        <v>14340</v>
      </c>
      <c r="F4745" s="1">
        <v>9992.0</v>
      </c>
      <c r="G4745" s="1">
        <v>134.0</v>
      </c>
      <c r="H4745" s="1">
        <v>92.0</v>
      </c>
      <c r="I4745" s="1">
        <v>6400000.0</v>
      </c>
      <c r="J4745" s="1" t="s">
        <v>12283</v>
      </c>
    </row>
    <row r="4746">
      <c r="A4746" s="1" t="s">
        <v>14839</v>
      </c>
      <c r="B4746" s="1" t="s">
        <v>14840</v>
      </c>
      <c r="C4746" s="1" t="s">
        <v>14841</v>
      </c>
      <c r="D4746" s="1" t="s">
        <v>14339</v>
      </c>
      <c r="E4746" s="1" t="s">
        <v>14340</v>
      </c>
      <c r="F4746" s="1">
        <v>122134.0</v>
      </c>
      <c r="G4746" s="1">
        <v>1235.0</v>
      </c>
      <c r="H4746" s="1">
        <v>899.0</v>
      </c>
      <c r="I4746" s="1">
        <v>6400000.0</v>
      </c>
      <c r="J4746" s="1" t="s">
        <v>12283</v>
      </c>
    </row>
    <row r="4747">
      <c r="A4747" s="1" t="s">
        <v>14842</v>
      </c>
      <c r="B4747" s="1" t="s">
        <v>14843</v>
      </c>
      <c r="C4747" s="1" t="s">
        <v>14844</v>
      </c>
      <c r="D4747" s="1" t="s">
        <v>14339</v>
      </c>
      <c r="E4747" s="1" t="s">
        <v>14340</v>
      </c>
      <c r="F4747" s="1">
        <v>42995.0</v>
      </c>
      <c r="G4747" s="1">
        <v>1350.0</v>
      </c>
      <c r="H4747" s="1">
        <v>153.0</v>
      </c>
      <c r="I4747" s="1">
        <v>6400000.0</v>
      </c>
      <c r="J4747" s="1" t="s">
        <v>12283</v>
      </c>
    </row>
    <row r="4748">
      <c r="A4748" s="1" t="s">
        <v>14845</v>
      </c>
      <c r="B4748" s="1" t="s">
        <v>14846</v>
      </c>
      <c r="C4748" s="1" t="s">
        <v>14847</v>
      </c>
      <c r="D4748" s="1" t="s">
        <v>14339</v>
      </c>
      <c r="E4748" s="1" t="s">
        <v>14340</v>
      </c>
      <c r="F4748" s="1">
        <v>197478.0</v>
      </c>
      <c r="G4748" s="1">
        <v>2696.0</v>
      </c>
      <c r="H4748" s="1">
        <v>689.0</v>
      </c>
      <c r="I4748" s="1">
        <v>6400000.0</v>
      </c>
      <c r="J4748" s="1" t="s">
        <v>12283</v>
      </c>
    </row>
    <row r="4749">
      <c r="A4749" s="1" t="s">
        <v>14848</v>
      </c>
      <c r="B4749" s="1" t="s">
        <v>14849</v>
      </c>
      <c r="C4749" s="1" t="s">
        <v>14850</v>
      </c>
      <c r="D4749" s="1" t="s">
        <v>14339</v>
      </c>
      <c r="E4749" s="1" t="s">
        <v>14340</v>
      </c>
      <c r="F4749" s="1">
        <v>51655.0</v>
      </c>
      <c r="G4749" s="1">
        <v>1096.0</v>
      </c>
      <c r="H4749" s="1">
        <v>899.0</v>
      </c>
      <c r="I4749" s="1">
        <v>6400000.0</v>
      </c>
      <c r="J4749" s="1" t="s">
        <v>12283</v>
      </c>
    </row>
    <row r="4750">
      <c r="A4750" s="1" t="s">
        <v>14852</v>
      </c>
      <c r="B4750" s="1" t="s">
        <v>14854</v>
      </c>
      <c r="C4750" s="1" t="s">
        <v>14856</v>
      </c>
      <c r="D4750" s="1" t="s">
        <v>14339</v>
      </c>
      <c r="E4750" s="1" t="s">
        <v>14340</v>
      </c>
      <c r="F4750" s="1">
        <v>41240.0</v>
      </c>
      <c r="G4750" s="1">
        <v>1211.0</v>
      </c>
      <c r="H4750" s="1">
        <v>467.0</v>
      </c>
      <c r="I4750" s="1">
        <v>6400000.0</v>
      </c>
      <c r="J4750" s="1" t="s">
        <v>12283</v>
      </c>
    </row>
    <row r="4751">
      <c r="A4751" s="1" t="s">
        <v>14857</v>
      </c>
      <c r="B4751" s="1" t="s">
        <v>14858</v>
      </c>
      <c r="C4751" s="1" t="s">
        <v>14859</v>
      </c>
      <c r="D4751" s="1" t="s">
        <v>14339</v>
      </c>
      <c r="E4751" s="1" t="s">
        <v>14340</v>
      </c>
      <c r="F4751" s="1">
        <v>7867.0</v>
      </c>
      <c r="G4751" s="1">
        <v>332.0</v>
      </c>
      <c r="H4751" s="1">
        <v>40.0</v>
      </c>
      <c r="I4751" s="1">
        <v>6400000.0</v>
      </c>
      <c r="J4751" s="1" t="s">
        <v>12283</v>
      </c>
    </row>
    <row r="4752">
      <c r="A4752" s="1" t="s">
        <v>14860</v>
      </c>
      <c r="B4752" s="1" t="s">
        <v>14861</v>
      </c>
      <c r="C4752" s="1" t="s">
        <v>14862</v>
      </c>
      <c r="D4752" s="1" t="s">
        <v>14339</v>
      </c>
      <c r="E4752" s="1" t="s">
        <v>14340</v>
      </c>
      <c r="F4752" s="1">
        <v>10055.0</v>
      </c>
      <c r="G4752" s="1">
        <v>451.0</v>
      </c>
      <c r="H4752" s="1">
        <v>57.0</v>
      </c>
      <c r="I4752" s="1">
        <v>6400000.0</v>
      </c>
      <c r="J4752" s="1" t="s">
        <v>12283</v>
      </c>
    </row>
    <row r="4753">
      <c r="A4753" s="1" t="s">
        <v>14863</v>
      </c>
      <c r="B4753" s="1" t="s">
        <v>14864</v>
      </c>
      <c r="C4753" s="1" t="s">
        <v>14865</v>
      </c>
      <c r="D4753" s="1" t="s">
        <v>14339</v>
      </c>
      <c r="E4753" s="1" t="s">
        <v>14340</v>
      </c>
      <c r="F4753" s="1">
        <v>20714.0</v>
      </c>
      <c r="G4753" s="1">
        <v>656.0</v>
      </c>
      <c r="H4753" s="1">
        <v>126.0</v>
      </c>
      <c r="I4753" s="1">
        <v>6400000.0</v>
      </c>
      <c r="J4753" s="1" t="s">
        <v>12283</v>
      </c>
    </row>
    <row r="4754">
      <c r="A4754" s="1" t="s">
        <v>14866</v>
      </c>
      <c r="B4754" s="1" t="s">
        <v>14867</v>
      </c>
      <c r="C4754" s="1" t="s">
        <v>14868</v>
      </c>
      <c r="D4754" s="1" t="s">
        <v>14339</v>
      </c>
      <c r="E4754" s="1" t="s">
        <v>14340</v>
      </c>
      <c r="F4754" s="1">
        <v>32170.0</v>
      </c>
      <c r="G4754" s="1">
        <v>1409.0</v>
      </c>
      <c r="H4754" s="1">
        <v>89.0</v>
      </c>
      <c r="I4754" s="1">
        <v>6400000.0</v>
      </c>
      <c r="J4754" s="1" t="s">
        <v>12283</v>
      </c>
    </row>
    <row r="4755">
      <c r="A4755" s="1" t="s">
        <v>14869</v>
      </c>
      <c r="B4755" s="1" t="s">
        <v>14870</v>
      </c>
      <c r="C4755" s="1" t="s">
        <v>14871</v>
      </c>
      <c r="D4755" s="1" t="s">
        <v>14339</v>
      </c>
      <c r="E4755" s="1" t="s">
        <v>14340</v>
      </c>
      <c r="F4755" s="1">
        <v>8175.0</v>
      </c>
      <c r="G4755" s="1">
        <v>572.0</v>
      </c>
      <c r="H4755" s="1">
        <v>47.0</v>
      </c>
      <c r="I4755" s="1">
        <v>6400000.0</v>
      </c>
      <c r="J4755" s="1" t="s">
        <v>12283</v>
      </c>
    </row>
    <row r="4756">
      <c r="A4756" s="1" t="s">
        <v>14872</v>
      </c>
      <c r="B4756" s="1" t="s">
        <v>14873</v>
      </c>
      <c r="C4756" s="1" t="s">
        <v>14874</v>
      </c>
      <c r="D4756" s="1" t="s">
        <v>14339</v>
      </c>
      <c r="E4756" s="1" t="s">
        <v>14340</v>
      </c>
      <c r="F4756" s="1">
        <v>9594.0</v>
      </c>
      <c r="G4756" s="1">
        <v>147.0</v>
      </c>
      <c r="H4756" s="1">
        <v>105.0</v>
      </c>
      <c r="I4756" s="1">
        <v>6400000.0</v>
      </c>
      <c r="J4756" s="1" t="s">
        <v>12283</v>
      </c>
    </row>
    <row r="4757">
      <c r="A4757" s="1" t="s">
        <v>14878</v>
      </c>
      <c r="B4757" s="1" t="s">
        <v>14879</v>
      </c>
      <c r="C4757" s="1" t="s">
        <v>14880</v>
      </c>
      <c r="D4757" s="1" t="s">
        <v>14339</v>
      </c>
      <c r="E4757" s="1" t="s">
        <v>14340</v>
      </c>
      <c r="F4757" s="1">
        <v>7542.0</v>
      </c>
      <c r="G4757" s="1">
        <v>240.0</v>
      </c>
      <c r="H4757" s="1">
        <v>117.0</v>
      </c>
      <c r="I4757" s="1">
        <v>6400000.0</v>
      </c>
      <c r="J4757" s="1" t="s">
        <v>12283</v>
      </c>
    </row>
    <row r="4758">
      <c r="A4758" s="1" t="s">
        <v>14881</v>
      </c>
      <c r="B4758" s="1" t="s">
        <v>14882</v>
      </c>
      <c r="C4758" s="1" t="s">
        <v>14883</v>
      </c>
      <c r="D4758" s="1" t="s">
        <v>14339</v>
      </c>
      <c r="E4758" s="1" t="s">
        <v>14340</v>
      </c>
      <c r="F4758" s="1">
        <v>61562.0</v>
      </c>
      <c r="G4758" s="1">
        <v>1820.0</v>
      </c>
      <c r="H4758" s="1">
        <v>331.0</v>
      </c>
      <c r="I4758" s="1">
        <v>6400000.0</v>
      </c>
      <c r="J4758" s="1" t="s">
        <v>12283</v>
      </c>
    </row>
    <row r="4759">
      <c r="A4759" s="1" t="s">
        <v>14884</v>
      </c>
      <c r="B4759" s="1" t="s">
        <v>14885</v>
      </c>
      <c r="C4759" s="1" t="s">
        <v>14886</v>
      </c>
      <c r="D4759" s="1" t="s">
        <v>14339</v>
      </c>
      <c r="E4759" s="1" t="s">
        <v>14340</v>
      </c>
      <c r="F4759" s="1">
        <v>64950.0</v>
      </c>
      <c r="G4759" s="1">
        <v>809.0</v>
      </c>
      <c r="H4759" s="1">
        <v>349.0</v>
      </c>
      <c r="I4759" s="1">
        <v>6400000.0</v>
      </c>
      <c r="J4759" s="1" t="s">
        <v>12283</v>
      </c>
    </row>
    <row r="4760">
      <c r="A4760" s="1" t="s">
        <v>14887</v>
      </c>
      <c r="B4760" s="1" t="s">
        <v>14888</v>
      </c>
      <c r="C4760" s="1" t="s">
        <v>14889</v>
      </c>
      <c r="D4760" s="1" t="s">
        <v>14339</v>
      </c>
      <c r="E4760" s="1" t="s">
        <v>14340</v>
      </c>
      <c r="F4760" s="1">
        <v>7130.0</v>
      </c>
      <c r="G4760" s="1">
        <v>153.0</v>
      </c>
      <c r="H4760" s="1">
        <v>14.0</v>
      </c>
      <c r="I4760" s="1">
        <v>6400000.0</v>
      </c>
      <c r="J4760" s="1" t="s">
        <v>12283</v>
      </c>
    </row>
    <row r="4761">
      <c r="A4761" s="1" t="s">
        <v>14890</v>
      </c>
      <c r="B4761" s="1" t="s">
        <v>14891</v>
      </c>
      <c r="C4761" s="1" t="s">
        <v>14892</v>
      </c>
      <c r="D4761" s="1" t="s">
        <v>14339</v>
      </c>
      <c r="E4761" s="1" t="s">
        <v>14340</v>
      </c>
      <c r="F4761" s="1">
        <v>106510.0</v>
      </c>
      <c r="G4761" s="1">
        <v>1973.0</v>
      </c>
      <c r="H4761" s="1">
        <v>602.0</v>
      </c>
      <c r="I4761" s="1">
        <v>6400000.0</v>
      </c>
      <c r="J4761" s="1" t="s">
        <v>12283</v>
      </c>
    </row>
    <row r="4762">
      <c r="A4762" s="1" t="s">
        <v>14893</v>
      </c>
      <c r="B4762" s="1" t="s">
        <v>14894</v>
      </c>
      <c r="C4762" s="1" t="s">
        <v>14895</v>
      </c>
      <c r="D4762" s="1" t="s">
        <v>14339</v>
      </c>
      <c r="E4762" s="1" t="s">
        <v>14340</v>
      </c>
      <c r="F4762" s="1">
        <v>22809.0</v>
      </c>
      <c r="G4762" s="1">
        <v>474.0</v>
      </c>
      <c r="H4762" s="1">
        <v>219.0</v>
      </c>
      <c r="I4762" s="1">
        <v>6400000.0</v>
      </c>
      <c r="J4762" s="1" t="s">
        <v>12283</v>
      </c>
    </row>
    <row r="4763">
      <c r="A4763" s="1" t="s">
        <v>14896</v>
      </c>
      <c r="B4763" s="1" t="s">
        <v>14897</v>
      </c>
      <c r="C4763" s="1" t="s">
        <v>14898</v>
      </c>
      <c r="D4763" s="1" t="s">
        <v>14339</v>
      </c>
      <c r="E4763" s="1" t="s">
        <v>14340</v>
      </c>
      <c r="F4763" s="1">
        <v>12441.0</v>
      </c>
      <c r="G4763" s="1">
        <v>183.0</v>
      </c>
      <c r="H4763" s="1">
        <v>99.0</v>
      </c>
      <c r="I4763" s="1">
        <v>6400000.0</v>
      </c>
      <c r="J4763" s="1" t="s">
        <v>12283</v>
      </c>
    </row>
    <row r="4764">
      <c r="A4764" s="1" t="s">
        <v>14899</v>
      </c>
      <c r="B4764" s="1" t="s">
        <v>14900</v>
      </c>
      <c r="C4764" s="1" t="s">
        <v>14901</v>
      </c>
      <c r="D4764" s="1" t="s">
        <v>14339</v>
      </c>
      <c r="E4764" s="1" t="s">
        <v>14340</v>
      </c>
      <c r="F4764" s="1">
        <v>119554.0</v>
      </c>
      <c r="G4764" s="1">
        <v>1309.0</v>
      </c>
      <c r="H4764" s="1">
        <v>272.0</v>
      </c>
      <c r="I4764" s="1">
        <v>6400000.0</v>
      </c>
      <c r="J4764" s="1" t="s">
        <v>12283</v>
      </c>
    </row>
    <row r="4765">
      <c r="A4765" s="1" t="s">
        <v>14902</v>
      </c>
      <c r="B4765" s="1" t="s">
        <v>14904</v>
      </c>
      <c r="C4765" s="1" t="s">
        <v>14906</v>
      </c>
      <c r="D4765" s="1" t="s">
        <v>14339</v>
      </c>
      <c r="E4765" s="1" t="s">
        <v>14340</v>
      </c>
      <c r="F4765" s="1">
        <v>6118.0</v>
      </c>
      <c r="G4765" s="1">
        <v>84.0</v>
      </c>
      <c r="H4765" s="1">
        <v>3.0</v>
      </c>
      <c r="I4765" s="1">
        <v>6400000.0</v>
      </c>
      <c r="J4765" s="1" t="s">
        <v>12283</v>
      </c>
    </row>
    <row r="4766">
      <c r="A4766" s="1" t="s">
        <v>14908</v>
      </c>
      <c r="B4766" s="1" t="s">
        <v>14909</v>
      </c>
      <c r="C4766" s="1" t="s">
        <v>14910</v>
      </c>
      <c r="D4766" s="1" t="s">
        <v>14339</v>
      </c>
      <c r="E4766" s="1" t="s">
        <v>14340</v>
      </c>
      <c r="F4766" s="1">
        <v>54844.0</v>
      </c>
      <c r="G4766" s="1">
        <v>705.0</v>
      </c>
      <c r="H4766" s="1">
        <v>557.0</v>
      </c>
      <c r="I4766" s="1">
        <v>6400000.0</v>
      </c>
      <c r="J4766" s="1" t="s">
        <v>12283</v>
      </c>
    </row>
    <row r="4767">
      <c r="A4767" s="1" t="s">
        <v>14911</v>
      </c>
      <c r="B4767" s="1" t="s">
        <v>14912</v>
      </c>
      <c r="C4767" s="1" t="s">
        <v>14913</v>
      </c>
      <c r="D4767" s="1" t="s">
        <v>14339</v>
      </c>
      <c r="E4767" s="1" t="s">
        <v>14340</v>
      </c>
      <c r="F4767" s="1">
        <v>101156.0</v>
      </c>
      <c r="G4767" s="1">
        <v>1102.0</v>
      </c>
      <c r="H4767" s="1">
        <v>521.0</v>
      </c>
      <c r="I4767" s="1">
        <v>6400000.0</v>
      </c>
      <c r="J4767" s="1" t="s">
        <v>12283</v>
      </c>
    </row>
    <row r="4768">
      <c r="A4768" s="1" t="s">
        <v>14914</v>
      </c>
      <c r="B4768" s="1" t="s">
        <v>14915</v>
      </c>
      <c r="C4768" s="1" t="s">
        <v>14916</v>
      </c>
      <c r="D4768" s="1" t="s">
        <v>14339</v>
      </c>
      <c r="E4768" s="1" t="s">
        <v>14340</v>
      </c>
      <c r="F4768" s="1">
        <v>5566.0</v>
      </c>
      <c r="G4768" s="1">
        <v>71.0</v>
      </c>
      <c r="H4768" s="1">
        <v>9.0</v>
      </c>
      <c r="I4768" s="1">
        <v>6400000.0</v>
      </c>
      <c r="J4768" s="1" t="s">
        <v>12283</v>
      </c>
    </row>
    <row r="4769">
      <c r="A4769" s="1" t="s">
        <v>14917</v>
      </c>
      <c r="B4769" s="1" t="s">
        <v>14918</v>
      </c>
      <c r="C4769" s="1" t="s">
        <v>14919</v>
      </c>
      <c r="D4769" s="1" t="s">
        <v>14339</v>
      </c>
      <c r="E4769" s="1" t="s">
        <v>14340</v>
      </c>
      <c r="F4769" s="1">
        <v>11242.0</v>
      </c>
      <c r="G4769" s="1">
        <v>111.0</v>
      </c>
      <c r="H4769" s="1">
        <v>64.0</v>
      </c>
      <c r="I4769" s="1">
        <v>6400000.0</v>
      </c>
      <c r="J4769" s="1" t="s">
        <v>12283</v>
      </c>
    </row>
    <row r="4770">
      <c r="A4770" s="1" t="s">
        <v>14920</v>
      </c>
      <c r="B4770" s="1" t="s">
        <v>14921</v>
      </c>
      <c r="C4770" s="1" t="s">
        <v>14922</v>
      </c>
      <c r="D4770" s="1" t="s">
        <v>14339</v>
      </c>
      <c r="E4770" s="1" t="s">
        <v>14340</v>
      </c>
      <c r="F4770" s="1">
        <v>47133.0</v>
      </c>
      <c r="G4770" s="1">
        <v>500.0</v>
      </c>
      <c r="H4770" s="1">
        <v>454.0</v>
      </c>
      <c r="I4770" s="1">
        <v>6400000.0</v>
      </c>
      <c r="J4770" s="1" t="s">
        <v>12283</v>
      </c>
    </row>
    <row r="4771">
      <c r="A4771" s="1" t="s">
        <v>14923</v>
      </c>
      <c r="B4771" s="1" t="s">
        <v>14924</v>
      </c>
      <c r="C4771" s="1" t="s">
        <v>14925</v>
      </c>
      <c r="D4771" s="1" t="s">
        <v>14339</v>
      </c>
      <c r="E4771" s="1" t="s">
        <v>14340</v>
      </c>
      <c r="F4771" s="1">
        <v>7958.0</v>
      </c>
      <c r="G4771" s="1">
        <v>215.0</v>
      </c>
      <c r="H4771" s="1">
        <v>25.0</v>
      </c>
      <c r="I4771" s="1">
        <v>6400000.0</v>
      </c>
      <c r="J4771" s="1" t="s">
        <v>12283</v>
      </c>
    </row>
    <row r="4772">
      <c r="A4772" s="1" t="s">
        <v>14929</v>
      </c>
      <c r="B4772" s="1" t="s">
        <v>14930</v>
      </c>
      <c r="C4772" s="1" t="s">
        <v>14931</v>
      </c>
      <c r="D4772" s="1" t="s">
        <v>14339</v>
      </c>
      <c r="E4772" s="1" t="s">
        <v>14340</v>
      </c>
      <c r="F4772" s="1">
        <v>24542.0</v>
      </c>
      <c r="G4772" s="1">
        <v>1128.0</v>
      </c>
      <c r="H4772" s="1">
        <v>142.0</v>
      </c>
      <c r="I4772" s="1">
        <v>6400000.0</v>
      </c>
      <c r="J4772" s="1" t="s">
        <v>12283</v>
      </c>
    </row>
    <row r="4773">
      <c r="A4773" s="1" t="s">
        <v>14932</v>
      </c>
      <c r="B4773" s="1" t="s">
        <v>14933</v>
      </c>
      <c r="C4773" s="1" t="s">
        <v>14934</v>
      </c>
      <c r="D4773" s="1" t="s">
        <v>14339</v>
      </c>
      <c r="E4773" s="1" t="s">
        <v>14340</v>
      </c>
      <c r="F4773" s="1">
        <v>10471.0</v>
      </c>
      <c r="G4773" s="1">
        <v>190.0</v>
      </c>
      <c r="H4773" s="1">
        <v>150.0</v>
      </c>
      <c r="I4773" s="1">
        <v>6400000.0</v>
      </c>
      <c r="J4773" s="1" t="s">
        <v>12283</v>
      </c>
    </row>
    <row r="4774">
      <c r="A4774" s="1" t="s">
        <v>14935</v>
      </c>
      <c r="B4774" s="1" t="s">
        <v>14936</v>
      </c>
      <c r="C4774" s="1" t="s">
        <v>14937</v>
      </c>
      <c r="D4774" s="1" t="s">
        <v>14339</v>
      </c>
      <c r="E4774" s="1" t="s">
        <v>14340</v>
      </c>
      <c r="F4774" s="1">
        <v>15487.0</v>
      </c>
      <c r="G4774" s="1">
        <v>299.0</v>
      </c>
      <c r="H4774" s="1">
        <v>63.0</v>
      </c>
      <c r="I4774" s="1">
        <v>6400000.0</v>
      </c>
      <c r="J4774" s="1" t="s">
        <v>12283</v>
      </c>
    </row>
    <row r="4775">
      <c r="A4775" s="1" t="s">
        <v>14938</v>
      </c>
      <c r="B4775" s="1" t="s">
        <v>14939</v>
      </c>
      <c r="C4775" s="1" t="s">
        <v>14940</v>
      </c>
      <c r="D4775" s="1" t="s">
        <v>14339</v>
      </c>
      <c r="E4775" s="1" t="s">
        <v>14340</v>
      </c>
      <c r="F4775" s="1">
        <v>9676.0</v>
      </c>
      <c r="G4775" s="1">
        <v>430.0</v>
      </c>
      <c r="H4775" s="1">
        <v>9.0</v>
      </c>
      <c r="I4775" s="1">
        <v>6400000.0</v>
      </c>
      <c r="J4775" s="1" t="s">
        <v>12283</v>
      </c>
    </row>
    <row r="4776">
      <c r="A4776" s="1" t="s">
        <v>14941</v>
      </c>
      <c r="B4776" s="1" t="s">
        <v>14942</v>
      </c>
      <c r="C4776" s="1" t="s">
        <v>14943</v>
      </c>
      <c r="D4776" s="1" t="s">
        <v>14339</v>
      </c>
      <c r="E4776" s="1" t="s">
        <v>14340</v>
      </c>
      <c r="F4776" s="1">
        <v>79730.0</v>
      </c>
      <c r="G4776" s="1">
        <v>1355.0</v>
      </c>
      <c r="H4776" s="1">
        <v>928.0</v>
      </c>
      <c r="I4776" s="1">
        <v>6400000.0</v>
      </c>
      <c r="J4776" s="1" t="s">
        <v>12283</v>
      </c>
    </row>
    <row r="4777">
      <c r="A4777" s="1" t="s">
        <v>14944</v>
      </c>
      <c r="B4777" s="1" t="s">
        <v>14945</v>
      </c>
      <c r="C4777" s="1" t="s">
        <v>14946</v>
      </c>
      <c r="D4777" s="1" t="s">
        <v>14339</v>
      </c>
      <c r="E4777" s="1" t="s">
        <v>14340</v>
      </c>
      <c r="F4777" s="1">
        <v>21284.0</v>
      </c>
      <c r="G4777" s="1">
        <v>861.0</v>
      </c>
      <c r="H4777" s="1">
        <v>143.0</v>
      </c>
      <c r="I4777" s="1">
        <v>6400000.0</v>
      </c>
      <c r="J4777" s="1" t="s">
        <v>12283</v>
      </c>
    </row>
    <row r="4778">
      <c r="A4778" s="1" t="s">
        <v>14947</v>
      </c>
      <c r="B4778" s="1" t="s">
        <v>14948</v>
      </c>
      <c r="C4778" s="1" t="s">
        <v>14949</v>
      </c>
      <c r="D4778" s="1" t="s">
        <v>14339</v>
      </c>
      <c r="E4778" s="1" t="s">
        <v>14340</v>
      </c>
      <c r="F4778" s="1">
        <v>20269.0</v>
      </c>
      <c r="G4778" s="1">
        <v>543.0</v>
      </c>
      <c r="H4778" s="1">
        <v>78.0</v>
      </c>
      <c r="I4778" s="1">
        <v>6400000.0</v>
      </c>
      <c r="J4778" s="1" t="s">
        <v>12283</v>
      </c>
    </row>
    <row r="4779">
      <c r="A4779" s="1" t="s">
        <v>14950</v>
      </c>
      <c r="B4779" s="1" t="s">
        <v>14951</v>
      </c>
      <c r="C4779" s="1" t="s">
        <v>14952</v>
      </c>
      <c r="D4779" s="1" t="s">
        <v>14339</v>
      </c>
      <c r="E4779" s="1" t="s">
        <v>14340</v>
      </c>
      <c r="F4779" s="1">
        <v>57130.0</v>
      </c>
      <c r="G4779" s="1">
        <v>764.0</v>
      </c>
      <c r="H4779" s="1">
        <v>324.0</v>
      </c>
      <c r="I4779" s="1">
        <v>6400000.0</v>
      </c>
      <c r="J4779" s="1" t="s">
        <v>12283</v>
      </c>
    </row>
    <row r="4780">
      <c r="A4780" s="1" t="s">
        <v>14956</v>
      </c>
      <c r="B4780" s="1" t="s">
        <v>14957</v>
      </c>
      <c r="C4780" s="1" t="s">
        <v>14958</v>
      </c>
      <c r="D4780" s="1" t="s">
        <v>14339</v>
      </c>
      <c r="E4780" s="1" t="s">
        <v>14340</v>
      </c>
      <c r="F4780" s="1">
        <v>7017.0</v>
      </c>
      <c r="G4780" s="1">
        <v>210.0</v>
      </c>
      <c r="H4780" s="1">
        <v>5.0</v>
      </c>
      <c r="I4780" s="1">
        <v>6400000.0</v>
      </c>
      <c r="J4780" s="1" t="s">
        <v>12283</v>
      </c>
    </row>
    <row r="4781">
      <c r="A4781" s="1" t="s">
        <v>14959</v>
      </c>
      <c r="B4781" s="1" t="s">
        <v>14960</v>
      </c>
      <c r="C4781" s="1" t="s">
        <v>14961</v>
      </c>
      <c r="D4781" s="1" t="s">
        <v>14339</v>
      </c>
      <c r="E4781" s="1" t="s">
        <v>14340</v>
      </c>
      <c r="F4781" s="1">
        <v>5327.0</v>
      </c>
      <c r="G4781" s="1">
        <v>166.0</v>
      </c>
      <c r="H4781" s="1">
        <v>6.0</v>
      </c>
      <c r="I4781" s="1">
        <v>6400000.0</v>
      </c>
      <c r="J4781" s="1" t="s">
        <v>12283</v>
      </c>
    </row>
    <row r="4782">
      <c r="A4782" s="1" t="s">
        <v>14962</v>
      </c>
      <c r="B4782" s="1" t="s">
        <v>14963</v>
      </c>
      <c r="C4782" s="1" t="s">
        <v>14964</v>
      </c>
      <c r="D4782" s="1" t="s">
        <v>14339</v>
      </c>
      <c r="E4782" s="1" t="s">
        <v>14340</v>
      </c>
      <c r="F4782" s="1">
        <v>111167.0</v>
      </c>
      <c r="G4782" s="1">
        <v>833.0</v>
      </c>
      <c r="H4782" s="1">
        <v>294.0</v>
      </c>
      <c r="I4782" s="1">
        <v>6400000.0</v>
      </c>
      <c r="J4782" s="1" t="s">
        <v>12283</v>
      </c>
    </row>
    <row r="4783">
      <c r="A4783" s="1" t="s">
        <v>14965</v>
      </c>
      <c r="B4783" s="1" t="s">
        <v>14966</v>
      </c>
      <c r="C4783" s="1" t="s">
        <v>14967</v>
      </c>
      <c r="D4783" s="1" t="s">
        <v>14339</v>
      </c>
      <c r="E4783" s="1" t="s">
        <v>14340</v>
      </c>
      <c r="F4783" s="1">
        <v>14221.0</v>
      </c>
      <c r="G4783" s="1">
        <v>261.0</v>
      </c>
      <c r="H4783" s="1">
        <v>19.0</v>
      </c>
      <c r="I4783" s="1">
        <v>6400000.0</v>
      </c>
      <c r="J4783" s="1" t="s">
        <v>12283</v>
      </c>
    </row>
    <row r="4784">
      <c r="A4784" s="1" t="s">
        <v>14968</v>
      </c>
      <c r="B4784" s="1" t="s">
        <v>14969</v>
      </c>
      <c r="C4784" s="1" t="s">
        <v>14970</v>
      </c>
      <c r="D4784" s="1" t="s">
        <v>14339</v>
      </c>
      <c r="E4784" s="1" t="s">
        <v>14340</v>
      </c>
      <c r="F4784" s="1">
        <v>12257.0</v>
      </c>
      <c r="G4784" s="1">
        <v>174.0</v>
      </c>
      <c r="H4784" s="1">
        <v>28.0</v>
      </c>
      <c r="I4784" s="1">
        <v>6400000.0</v>
      </c>
      <c r="J4784" s="1" t="s">
        <v>12283</v>
      </c>
    </row>
    <row r="4785">
      <c r="A4785" s="1" t="s">
        <v>14971</v>
      </c>
      <c r="B4785" s="8" t="s">
        <v>14972</v>
      </c>
      <c r="C4785" s="1" t="s">
        <v>14973</v>
      </c>
      <c r="D4785" s="1" t="s">
        <v>14339</v>
      </c>
      <c r="E4785" s="1" t="s">
        <v>14340</v>
      </c>
      <c r="F4785" s="1">
        <v>10866.0</v>
      </c>
      <c r="G4785" s="1">
        <v>470.0</v>
      </c>
      <c r="H4785" s="1">
        <v>105.0</v>
      </c>
      <c r="I4785" s="1">
        <v>6400000.0</v>
      </c>
      <c r="J4785" s="1" t="s">
        <v>12283</v>
      </c>
    </row>
    <row r="4786">
      <c r="A4786" s="1" t="s">
        <v>14974</v>
      </c>
      <c r="B4786" s="1" t="s">
        <v>14975</v>
      </c>
      <c r="C4786" s="1" t="s">
        <v>14976</v>
      </c>
      <c r="D4786" s="1" t="s">
        <v>14339</v>
      </c>
      <c r="E4786" s="1" t="s">
        <v>14340</v>
      </c>
      <c r="F4786" s="1">
        <v>110184.0</v>
      </c>
      <c r="G4786" s="1">
        <v>1375.0</v>
      </c>
      <c r="H4786" s="1">
        <v>389.0</v>
      </c>
      <c r="I4786" s="1">
        <v>6400000.0</v>
      </c>
      <c r="J4786" s="1" t="s">
        <v>12283</v>
      </c>
    </row>
    <row r="4787">
      <c r="A4787" s="1" t="s">
        <v>14977</v>
      </c>
      <c r="B4787" s="1" t="s">
        <v>14978</v>
      </c>
      <c r="C4787" s="1" t="s">
        <v>14979</v>
      </c>
      <c r="D4787" s="1" t="s">
        <v>14339</v>
      </c>
      <c r="E4787" s="1" t="s">
        <v>14340</v>
      </c>
      <c r="F4787" s="1">
        <v>37535.0</v>
      </c>
      <c r="G4787" s="1">
        <v>406.0</v>
      </c>
      <c r="H4787" s="1">
        <v>241.0</v>
      </c>
      <c r="I4787" s="1">
        <v>6400000.0</v>
      </c>
      <c r="J4787" s="1" t="s">
        <v>12283</v>
      </c>
    </row>
    <row r="4788">
      <c r="A4788" s="1" t="s">
        <v>14980</v>
      </c>
      <c r="B4788" s="1" t="s">
        <v>14981</v>
      </c>
      <c r="C4788" s="1" t="s">
        <v>14982</v>
      </c>
      <c r="D4788" s="1" t="s">
        <v>14339</v>
      </c>
      <c r="E4788" s="1" t="s">
        <v>14340</v>
      </c>
      <c r="F4788" s="1">
        <v>298389.0</v>
      </c>
      <c r="G4788" s="1">
        <v>13411.0</v>
      </c>
      <c r="H4788" s="1">
        <v>1470.0</v>
      </c>
      <c r="I4788" s="1">
        <v>6400000.0</v>
      </c>
      <c r="J4788" s="1" t="s">
        <v>12283</v>
      </c>
    </row>
    <row r="4789">
      <c r="A4789" s="1" t="s">
        <v>14983</v>
      </c>
      <c r="B4789" s="1" t="s">
        <v>14984</v>
      </c>
      <c r="C4789" s="1" t="s">
        <v>14985</v>
      </c>
      <c r="D4789" s="1" t="s">
        <v>14339</v>
      </c>
      <c r="E4789" s="1" t="s">
        <v>14340</v>
      </c>
      <c r="F4789" s="1">
        <v>15088.0</v>
      </c>
      <c r="G4789" s="1">
        <v>275.0</v>
      </c>
      <c r="H4789" s="1">
        <v>40.0</v>
      </c>
      <c r="I4789" s="1">
        <v>6400000.0</v>
      </c>
      <c r="J4789" s="1" t="s">
        <v>12283</v>
      </c>
    </row>
    <row r="4790">
      <c r="A4790" s="1" t="s">
        <v>14989</v>
      </c>
      <c r="B4790" s="1" t="s">
        <v>14990</v>
      </c>
      <c r="C4790" s="1" t="s">
        <v>14991</v>
      </c>
      <c r="D4790" s="1" t="s">
        <v>14339</v>
      </c>
      <c r="E4790" s="1" t="s">
        <v>14340</v>
      </c>
      <c r="F4790" s="1">
        <v>84504.0</v>
      </c>
      <c r="G4790" s="1">
        <v>1029.0</v>
      </c>
      <c r="H4790" s="1">
        <v>491.0</v>
      </c>
      <c r="I4790" s="1">
        <v>6400000.0</v>
      </c>
      <c r="J4790" s="1" t="s">
        <v>12283</v>
      </c>
    </row>
    <row r="4791">
      <c r="A4791" s="1" t="s">
        <v>14992</v>
      </c>
      <c r="B4791" s="1" t="s">
        <v>14993</v>
      </c>
      <c r="C4791" s="1" t="s">
        <v>14994</v>
      </c>
      <c r="D4791" s="1" t="s">
        <v>14339</v>
      </c>
      <c r="E4791" s="1" t="s">
        <v>14340</v>
      </c>
      <c r="F4791" s="1">
        <v>42556.0</v>
      </c>
      <c r="G4791" s="1">
        <v>323.0</v>
      </c>
      <c r="H4791" s="1">
        <v>69.0</v>
      </c>
      <c r="I4791" s="1">
        <v>6400000.0</v>
      </c>
      <c r="J4791" s="1" t="s">
        <v>12283</v>
      </c>
    </row>
    <row r="4792">
      <c r="A4792" s="1" t="s">
        <v>14995</v>
      </c>
      <c r="B4792" s="1" t="s">
        <v>14996</v>
      </c>
      <c r="C4792" s="1" t="s">
        <v>14997</v>
      </c>
      <c r="D4792" s="1" t="s">
        <v>14339</v>
      </c>
      <c r="E4792" s="1" t="s">
        <v>14340</v>
      </c>
      <c r="F4792" s="1">
        <v>30720.0</v>
      </c>
      <c r="G4792" s="1">
        <v>684.0</v>
      </c>
      <c r="H4792" s="1">
        <v>97.0</v>
      </c>
      <c r="I4792" s="1">
        <v>6400000.0</v>
      </c>
      <c r="J4792" s="1" t="s">
        <v>12283</v>
      </c>
    </row>
    <row r="4793">
      <c r="A4793" s="1" t="s">
        <v>14998</v>
      </c>
      <c r="B4793" s="1" t="s">
        <v>14999</v>
      </c>
      <c r="C4793" s="1" t="s">
        <v>15000</v>
      </c>
      <c r="D4793" s="1" t="s">
        <v>14339</v>
      </c>
      <c r="E4793" s="1" t="s">
        <v>14340</v>
      </c>
      <c r="F4793" s="1">
        <v>59867.0</v>
      </c>
      <c r="G4793" s="1">
        <v>821.0</v>
      </c>
      <c r="H4793" s="1">
        <v>324.0</v>
      </c>
      <c r="I4793" s="1">
        <v>6400000.0</v>
      </c>
      <c r="J4793" s="1" t="s">
        <v>12283</v>
      </c>
    </row>
    <row r="4794">
      <c r="A4794" s="1" t="s">
        <v>15001</v>
      </c>
      <c r="B4794" s="1" t="s">
        <v>15002</v>
      </c>
      <c r="C4794" s="1" t="s">
        <v>15003</v>
      </c>
      <c r="D4794" s="1" t="s">
        <v>14339</v>
      </c>
      <c r="E4794" s="1" t="s">
        <v>14340</v>
      </c>
      <c r="F4794" s="1">
        <v>15437.0</v>
      </c>
      <c r="G4794" s="1">
        <v>366.0</v>
      </c>
      <c r="H4794" s="1">
        <v>88.0</v>
      </c>
      <c r="I4794" s="1">
        <v>6400000.0</v>
      </c>
      <c r="J4794" s="1" t="s">
        <v>12283</v>
      </c>
    </row>
    <row r="4795">
      <c r="A4795" s="1" t="s">
        <v>15004</v>
      </c>
      <c r="B4795" s="1" t="s">
        <v>15002</v>
      </c>
      <c r="C4795" s="1" t="s">
        <v>15006</v>
      </c>
      <c r="D4795" s="1" t="s">
        <v>14339</v>
      </c>
      <c r="E4795" s="1" t="s">
        <v>14340</v>
      </c>
      <c r="F4795" s="1">
        <v>20280.0</v>
      </c>
      <c r="G4795" s="1">
        <v>315.0</v>
      </c>
      <c r="H4795" s="1">
        <v>412.0</v>
      </c>
      <c r="I4795" s="1">
        <v>6400000.0</v>
      </c>
      <c r="J4795" s="1" t="s">
        <v>12283</v>
      </c>
    </row>
    <row r="4796">
      <c r="A4796" s="1" t="s">
        <v>15008</v>
      </c>
      <c r="B4796" s="1" t="s">
        <v>15010</v>
      </c>
      <c r="C4796" s="1" t="s">
        <v>15011</v>
      </c>
      <c r="D4796" s="1" t="s">
        <v>14339</v>
      </c>
      <c r="E4796" s="1" t="s">
        <v>14340</v>
      </c>
      <c r="F4796" s="1">
        <v>27989.0</v>
      </c>
      <c r="G4796" s="1">
        <v>357.0</v>
      </c>
      <c r="H4796" s="1">
        <v>414.0</v>
      </c>
      <c r="I4796" s="1">
        <v>6400000.0</v>
      </c>
      <c r="J4796" s="1" t="s">
        <v>12283</v>
      </c>
    </row>
    <row r="4797">
      <c r="A4797" s="1" t="s">
        <v>15012</v>
      </c>
      <c r="B4797" s="1" t="s">
        <v>15013</v>
      </c>
      <c r="C4797" s="1" t="s">
        <v>15014</v>
      </c>
      <c r="D4797" s="1" t="s">
        <v>14339</v>
      </c>
      <c r="E4797" s="1" t="s">
        <v>14340</v>
      </c>
      <c r="F4797" s="1">
        <v>17457.0</v>
      </c>
      <c r="G4797" s="1">
        <v>279.0</v>
      </c>
      <c r="H4797" s="1">
        <v>2.0</v>
      </c>
      <c r="I4797" s="1">
        <v>6400000.0</v>
      </c>
      <c r="J4797" s="1" t="s">
        <v>12283</v>
      </c>
    </row>
    <row r="4798">
      <c r="A4798" s="1" t="s">
        <v>15015</v>
      </c>
      <c r="B4798" s="1" t="s">
        <v>15016</v>
      </c>
      <c r="C4798" s="1" t="s">
        <v>15017</v>
      </c>
      <c r="D4798" s="1" t="s">
        <v>14339</v>
      </c>
      <c r="E4798" s="1" t="s">
        <v>14340</v>
      </c>
      <c r="F4798" s="1">
        <v>14062.0</v>
      </c>
      <c r="G4798" s="1">
        <v>200.0</v>
      </c>
      <c r="H4798" s="1">
        <v>181.0</v>
      </c>
      <c r="I4798" s="1">
        <v>6400000.0</v>
      </c>
      <c r="J4798" s="1" t="s">
        <v>12283</v>
      </c>
    </row>
    <row r="4799">
      <c r="A4799" s="1" t="s">
        <v>15018</v>
      </c>
      <c r="B4799" s="1" t="s">
        <v>15019</v>
      </c>
      <c r="C4799" s="1" t="s">
        <v>15020</v>
      </c>
      <c r="D4799" s="1" t="s">
        <v>14339</v>
      </c>
      <c r="E4799" s="1" t="s">
        <v>14340</v>
      </c>
      <c r="F4799" s="1">
        <v>13373.0</v>
      </c>
      <c r="G4799" s="1">
        <v>396.0</v>
      </c>
      <c r="H4799" s="1">
        <v>8.0</v>
      </c>
      <c r="I4799" s="1">
        <v>6400000.0</v>
      </c>
      <c r="J4799" s="1" t="s">
        <v>12283</v>
      </c>
    </row>
    <row r="4800">
      <c r="A4800" s="1" t="s">
        <v>15021</v>
      </c>
      <c r="B4800" s="1" t="s">
        <v>15022</v>
      </c>
      <c r="C4800" s="1" t="s">
        <v>15023</v>
      </c>
      <c r="D4800" s="1" t="s">
        <v>14339</v>
      </c>
      <c r="E4800" s="1" t="s">
        <v>14340</v>
      </c>
      <c r="F4800" s="1">
        <v>204865.0</v>
      </c>
      <c r="G4800" s="1">
        <v>3273.0</v>
      </c>
      <c r="H4800" s="1">
        <v>807.0</v>
      </c>
      <c r="I4800" s="1">
        <v>6400000.0</v>
      </c>
      <c r="J4800" s="1" t="s">
        <v>12283</v>
      </c>
    </row>
    <row r="4801">
      <c r="A4801" s="1" t="s">
        <v>15024</v>
      </c>
      <c r="B4801" s="1" t="s">
        <v>15025</v>
      </c>
      <c r="C4801" s="1" t="s">
        <v>15026</v>
      </c>
      <c r="D4801" s="1" t="s">
        <v>14339</v>
      </c>
      <c r="E4801" s="1" t="s">
        <v>14340</v>
      </c>
      <c r="F4801" s="1">
        <v>167242.0</v>
      </c>
      <c r="G4801" s="1">
        <v>5286.0</v>
      </c>
      <c r="H4801" s="1">
        <v>1480.0</v>
      </c>
      <c r="I4801" s="1">
        <v>6400000.0</v>
      </c>
      <c r="J4801" s="1" t="s">
        <v>12283</v>
      </c>
    </row>
    <row r="4802">
      <c r="A4802" s="1" t="s">
        <v>15030</v>
      </c>
      <c r="B4802" s="1" t="s">
        <v>15031</v>
      </c>
      <c r="C4802" s="1" t="s">
        <v>15032</v>
      </c>
      <c r="D4802" s="1" t="s">
        <v>15033</v>
      </c>
      <c r="E4802" s="1" t="s">
        <v>15034</v>
      </c>
      <c r="F4802" s="1">
        <v>1790295.0</v>
      </c>
      <c r="G4802" s="1">
        <v>32915.0</v>
      </c>
      <c r="H4802" s="1">
        <v>2083.0</v>
      </c>
      <c r="I4802" s="1">
        <v>7920000.0</v>
      </c>
      <c r="J4802" s="1" t="s">
        <v>12283</v>
      </c>
    </row>
    <row r="4803">
      <c r="A4803" s="1" t="s">
        <v>15035</v>
      </c>
      <c r="B4803" s="1" t="s">
        <v>15036</v>
      </c>
      <c r="C4803" s="1" t="s">
        <v>15037</v>
      </c>
      <c r="D4803" s="1" t="s">
        <v>15033</v>
      </c>
      <c r="E4803" s="1" t="s">
        <v>15034</v>
      </c>
      <c r="F4803" s="1">
        <v>118957.0</v>
      </c>
      <c r="G4803" s="1">
        <v>2882.0</v>
      </c>
      <c r="H4803" s="1">
        <v>217.0</v>
      </c>
      <c r="I4803" s="1">
        <v>7920000.0</v>
      </c>
      <c r="J4803" s="1" t="s">
        <v>12283</v>
      </c>
    </row>
    <row r="4804">
      <c r="A4804" s="1" t="s">
        <v>15038</v>
      </c>
      <c r="B4804" s="1" t="s">
        <v>15039</v>
      </c>
      <c r="C4804" s="1" t="s">
        <v>15040</v>
      </c>
      <c r="D4804" s="1" t="s">
        <v>15033</v>
      </c>
      <c r="E4804" s="1" t="s">
        <v>15034</v>
      </c>
      <c r="F4804" s="1">
        <v>36746.0</v>
      </c>
      <c r="G4804" s="1">
        <v>1044.0</v>
      </c>
      <c r="H4804" s="1">
        <v>30.0</v>
      </c>
      <c r="I4804" s="1">
        <v>7920000.0</v>
      </c>
      <c r="J4804" s="1" t="s">
        <v>12283</v>
      </c>
    </row>
    <row r="4805">
      <c r="A4805" s="1" t="s">
        <v>15041</v>
      </c>
      <c r="B4805" s="1" t="s">
        <v>15042</v>
      </c>
      <c r="C4805" s="1" t="s">
        <v>15044</v>
      </c>
      <c r="D4805" s="1" t="s">
        <v>15033</v>
      </c>
      <c r="E4805" s="1" t="s">
        <v>15034</v>
      </c>
      <c r="F4805" s="1">
        <v>33955.0</v>
      </c>
      <c r="G4805" s="1">
        <v>615.0</v>
      </c>
      <c r="H4805" s="1">
        <v>15.0</v>
      </c>
      <c r="I4805" s="1">
        <v>7920000.0</v>
      </c>
      <c r="J4805" s="1" t="s">
        <v>12283</v>
      </c>
    </row>
    <row r="4806">
      <c r="A4806" s="1" t="s">
        <v>15049</v>
      </c>
      <c r="B4806" s="1" t="s">
        <v>15050</v>
      </c>
      <c r="C4806" s="1" t="s">
        <v>15051</v>
      </c>
      <c r="D4806" s="1" t="s">
        <v>15033</v>
      </c>
      <c r="E4806" s="1" t="s">
        <v>15034</v>
      </c>
      <c r="F4806" s="1">
        <v>29788.0</v>
      </c>
      <c r="G4806" s="1">
        <v>968.0</v>
      </c>
      <c r="H4806" s="1">
        <v>61.0</v>
      </c>
      <c r="I4806" s="1">
        <v>7920000.0</v>
      </c>
      <c r="J4806" s="1" t="s">
        <v>12283</v>
      </c>
    </row>
    <row r="4807">
      <c r="A4807" s="1" t="s">
        <v>15052</v>
      </c>
      <c r="B4807" s="1" t="s">
        <v>15053</v>
      </c>
      <c r="C4807" s="1" t="s">
        <v>15054</v>
      </c>
      <c r="D4807" s="1" t="s">
        <v>15033</v>
      </c>
      <c r="E4807" s="1" t="s">
        <v>15034</v>
      </c>
      <c r="F4807" s="1">
        <v>307202.0</v>
      </c>
      <c r="G4807" s="1">
        <v>8571.0</v>
      </c>
      <c r="H4807" s="1">
        <v>290.0</v>
      </c>
      <c r="I4807" s="1">
        <v>7920000.0</v>
      </c>
      <c r="J4807" s="1" t="s">
        <v>12283</v>
      </c>
    </row>
    <row r="4808">
      <c r="A4808" s="1" t="s">
        <v>15055</v>
      </c>
      <c r="B4808" s="1" t="s">
        <v>15056</v>
      </c>
      <c r="C4808" s="1" t="s">
        <v>15057</v>
      </c>
      <c r="D4808" s="1" t="s">
        <v>15033</v>
      </c>
      <c r="E4808" s="1" t="s">
        <v>15034</v>
      </c>
      <c r="F4808" s="1">
        <v>2341014.0</v>
      </c>
      <c r="G4808" s="1">
        <v>37143.0</v>
      </c>
      <c r="H4808" s="1">
        <v>3433.0</v>
      </c>
      <c r="I4808" s="1">
        <v>7920000.0</v>
      </c>
      <c r="J4808" s="1" t="s">
        <v>12283</v>
      </c>
    </row>
    <row r="4809">
      <c r="A4809" s="1" t="s">
        <v>15058</v>
      </c>
      <c r="B4809" s="1" t="s">
        <v>15059</v>
      </c>
      <c r="C4809" s="1" t="s">
        <v>15060</v>
      </c>
      <c r="D4809" s="1" t="s">
        <v>15033</v>
      </c>
      <c r="E4809" s="1" t="s">
        <v>15034</v>
      </c>
      <c r="F4809" s="1">
        <v>64861.0</v>
      </c>
      <c r="G4809" s="1">
        <v>926.0</v>
      </c>
      <c r="H4809" s="1">
        <v>80.0</v>
      </c>
      <c r="I4809" s="1">
        <v>7920000.0</v>
      </c>
      <c r="J4809" s="1" t="s">
        <v>12283</v>
      </c>
    </row>
    <row r="4810">
      <c r="A4810" s="1" t="s">
        <v>15061</v>
      </c>
      <c r="B4810" s="1" t="s">
        <v>15062</v>
      </c>
      <c r="C4810" s="1" t="s">
        <v>15063</v>
      </c>
      <c r="D4810" s="1" t="s">
        <v>15033</v>
      </c>
      <c r="E4810" s="1" t="s">
        <v>15034</v>
      </c>
      <c r="F4810" s="1">
        <v>54474.0</v>
      </c>
      <c r="G4810" s="1">
        <v>1578.0</v>
      </c>
      <c r="H4810" s="1">
        <v>46.0</v>
      </c>
      <c r="I4810" s="1">
        <v>7920000.0</v>
      </c>
      <c r="J4810" s="1" t="s">
        <v>12283</v>
      </c>
    </row>
    <row r="4811">
      <c r="A4811" s="1" t="s">
        <v>15066</v>
      </c>
      <c r="B4811" s="1" t="s">
        <v>15068</v>
      </c>
      <c r="C4811" s="1" t="s">
        <v>15069</v>
      </c>
      <c r="D4811" s="1" t="s">
        <v>15033</v>
      </c>
      <c r="E4811" s="1" t="s">
        <v>15034</v>
      </c>
      <c r="F4811" s="1">
        <v>100883.0</v>
      </c>
      <c r="G4811" s="1">
        <v>4203.0</v>
      </c>
      <c r="H4811" s="1">
        <v>164.0</v>
      </c>
      <c r="I4811" s="1">
        <v>7920000.0</v>
      </c>
      <c r="J4811" s="1" t="s">
        <v>12283</v>
      </c>
    </row>
    <row r="4812">
      <c r="A4812" s="1" t="s">
        <v>15070</v>
      </c>
      <c r="B4812" s="1" t="s">
        <v>15071</v>
      </c>
      <c r="C4812" s="1" t="s">
        <v>15072</v>
      </c>
      <c r="D4812" s="1" t="s">
        <v>15033</v>
      </c>
      <c r="E4812" s="1" t="s">
        <v>15034</v>
      </c>
      <c r="F4812" s="1">
        <v>5397992.0</v>
      </c>
      <c r="G4812" s="1">
        <v>143111.0</v>
      </c>
      <c r="H4812" s="1">
        <v>16199.0</v>
      </c>
      <c r="I4812" s="1">
        <v>7920000.0</v>
      </c>
      <c r="J4812" s="1" t="s">
        <v>12283</v>
      </c>
    </row>
    <row r="4813">
      <c r="A4813" s="1" t="s">
        <v>15073</v>
      </c>
      <c r="B4813" s="1" t="s">
        <v>15074</v>
      </c>
      <c r="C4813" s="1" t="s">
        <v>15075</v>
      </c>
      <c r="D4813" s="1" t="s">
        <v>15033</v>
      </c>
      <c r="E4813" s="1" t="s">
        <v>15034</v>
      </c>
      <c r="F4813" s="1">
        <v>237099.0</v>
      </c>
      <c r="G4813" s="1">
        <v>8654.0</v>
      </c>
      <c r="H4813" s="1">
        <v>157.0</v>
      </c>
      <c r="I4813" s="1">
        <v>7920000.0</v>
      </c>
      <c r="J4813" s="1" t="s">
        <v>12283</v>
      </c>
    </row>
    <row r="4814">
      <c r="A4814" s="1" t="s">
        <v>15076</v>
      </c>
      <c r="B4814" s="1" t="s">
        <v>15077</v>
      </c>
      <c r="C4814" s="1" t="s">
        <v>15078</v>
      </c>
      <c r="D4814" s="1" t="s">
        <v>15033</v>
      </c>
      <c r="E4814" s="1" t="s">
        <v>15034</v>
      </c>
      <c r="F4814" s="1">
        <v>247028.0</v>
      </c>
      <c r="G4814" s="1">
        <v>8461.0</v>
      </c>
      <c r="H4814" s="1">
        <v>180.0</v>
      </c>
      <c r="I4814" s="1">
        <v>7920000.0</v>
      </c>
      <c r="J4814" s="1" t="s">
        <v>12283</v>
      </c>
    </row>
    <row r="4815">
      <c r="A4815" s="1" t="s">
        <v>15079</v>
      </c>
      <c r="B4815" s="1" t="s">
        <v>15080</v>
      </c>
      <c r="C4815" s="1" t="s">
        <v>15081</v>
      </c>
      <c r="D4815" s="1" t="s">
        <v>15033</v>
      </c>
      <c r="E4815" s="1" t="s">
        <v>15034</v>
      </c>
      <c r="F4815" s="1">
        <v>3746624.0</v>
      </c>
      <c r="G4815" s="1">
        <v>104050.0</v>
      </c>
      <c r="H4815" s="1">
        <v>8725.0</v>
      </c>
      <c r="I4815" s="1">
        <v>7920000.0</v>
      </c>
      <c r="J4815" s="1" t="s">
        <v>12283</v>
      </c>
    </row>
    <row r="4816">
      <c r="A4816" s="1" t="s">
        <v>15083</v>
      </c>
      <c r="B4816" s="1" t="s">
        <v>15085</v>
      </c>
      <c r="C4816" s="1" t="s">
        <v>15087</v>
      </c>
      <c r="D4816" s="1" t="s">
        <v>15033</v>
      </c>
      <c r="E4816" s="1" t="s">
        <v>15034</v>
      </c>
      <c r="F4816" s="1">
        <v>157345.0</v>
      </c>
      <c r="G4816" s="1">
        <v>6632.0</v>
      </c>
      <c r="H4816" s="1">
        <v>122.0</v>
      </c>
      <c r="I4816" s="1">
        <v>7920000.0</v>
      </c>
      <c r="J4816" s="1" t="s">
        <v>12283</v>
      </c>
    </row>
    <row r="4817">
      <c r="A4817" s="1" t="s">
        <v>15088</v>
      </c>
      <c r="B4817" s="1" t="s">
        <v>15089</v>
      </c>
      <c r="C4817" s="1" t="s">
        <v>15090</v>
      </c>
      <c r="D4817" s="1" t="s">
        <v>15033</v>
      </c>
      <c r="E4817" s="1" t="s">
        <v>15034</v>
      </c>
      <c r="F4817" s="1">
        <v>494150.0</v>
      </c>
      <c r="G4817" s="1">
        <v>27033.0</v>
      </c>
      <c r="H4817" s="1">
        <v>783.0</v>
      </c>
      <c r="I4817" s="1">
        <v>7920000.0</v>
      </c>
      <c r="J4817" s="1" t="s">
        <v>12283</v>
      </c>
    </row>
    <row r="4818">
      <c r="A4818" s="1" t="s">
        <v>15091</v>
      </c>
      <c r="B4818" s="1" t="s">
        <v>15092</v>
      </c>
      <c r="C4818" s="1" t="s">
        <v>15093</v>
      </c>
      <c r="D4818" s="1" t="s">
        <v>15033</v>
      </c>
      <c r="E4818" s="1" t="s">
        <v>15034</v>
      </c>
      <c r="F4818" s="1">
        <v>1070780.0</v>
      </c>
      <c r="G4818" s="1">
        <v>18085.0</v>
      </c>
      <c r="H4818" s="1">
        <v>2561.0</v>
      </c>
      <c r="I4818" s="1">
        <v>7920000.0</v>
      </c>
      <c r="J4818" s="1" t="s">
        <v>12283</v>
      </c>
    </row>
    <row r="4819">
      <c r="A4819" s="1" t="s">
        <v>15094</v>
      </c>
      <c r="B4819" s="1" t="s">
        <v>15095</v>
      </c>
      <c r="C4819" s="1" t="s">
        <v>15096</v>
      </c>
      <c r="D4819" s="1" t="s">
        <v>15033</v>
      </c>
      <c r="E4819" s="1" t="s">
        <v>15034</v>
      </c>
      <c r="F4819" s="1">
        <v>860632.0</v>
      </c>
      <c r="G4819" s="1">
        <v>50623.0</v>
      </c>
      <c r="H4819" s="1">
        <v>536.0</v>
      </c>
      <c r="I4819" s="1">
        <v>7920000.0</v>
      </c>
      <c r="J4819" s="1" t="s">
        <v>12283</v>
      </c>
    </row>
    <row r="4820">
      <c r="A4820" s="1" t="s">
        <v>15097</v>
      </c>
      <c r="B4820" s="1" t="s">
        <v>15098</v>
      </c>
      <c r="C4820" s="1" t="s">
        <v>15099</v>
      </c>
      <c r="D4820" s="1" t="s">
        <v>15033</v>
      </c>
      <c r="E4820" s="1" t="s">
        <v>15034</v>
      </c>
      <c r="F4820" s="1">
        <v>4170438.0</v>
      </c>
      <c r="G4820" s="1">
        <v>95126.0</v>
      </c>
      <c r="H4820" s="1">
        <v>4075.0</v>
      </c>
      <c r="I4820" s="1">
        <v>7920000.0</v>
      </c>
      <c r="J4820" s="1" t="s">
        <v>12283</v>
      </c>
    </row>
    <row r="4821">
      <c r="A4821" s="1" t="s">
        <v>15100</v>
      </c>
      <c r="B4821" s="1" t="s">
        <v>15101</v>
      </c>
      <c r="C4821" s="1" t="s">
        <v>15102</v>
      </c>
      <c r="D4821" s="1" t="s">
        <v>15033</v>
      </c>
      <c r="E4821" s="1" t="s">
        <v>15034</v>
      </c>
      <c r="F4821" s="1">
        <v>550955.0</v>
      </c>
      <c r="G4821" s="1">
        <v>20080.0</v>
      </c>
      <c r="H4821" s="1">
        <v>542.0</v>
      </c>
      <c r="I4821" s="1">
        <v>7920000.0</v>
      </c>
      <c r="J4821" s="1" t="s">
        <v>12283</v>
      </c>
    </row>
    <row r="4822">
      <c r="A4822" s="1" t="s">
        <v>15106</v>
      </c>
      <c r="B4822" s="1" t="s">
        <v>15107</v>
      </c>
      <c r="C4822" s="1" t="s">
        <v>15108</v>
      </c>
      <c r="D4822" s="1" t="s">
        <v>15033</v>
      </c>
      <c r="E4822" s="1" t="s">
        <v>15034</v>
      </c>
      <c r="F4822" s="1">
        <v>634587.0</v>
      </c>
      <c r="G4822" s="1">
        <v>27058.0</v>
      </c>
      <c r="H4822" s="1">
        <v>770.0</v>
      </c>
      <c r="I4822" s="1">
        <v>7920000.0</v>
      </c>
      <c r="J4822" s="1" t="s">
        <v>12283</v>
      </c>
    </row>
    <row r="4823">
      <c r="A4823" s="1" t="s">
        <v>15109</v>
      </c>
      <c r="B4823" s="1" t="s">
        <v>15110</v>
      </c>
      <c r="C4823" s="1" t="s">
        <v>15111</v>
      </c>
      <c r="D4823" s="1" t="s">
        <v>15033</v>
      </c>
      <c r="E4823" s="1" t="s">
        <v>15034</v>
      </c>
      <c r="F4823" s="1">
        <v>698825.0</v>
      </c>
      <c r="G4823" s="1">
        <v>22235.0</v>
      </c>
      <c r="H4823" s="1">
        <v>1338.0</v>
      </c>
      <c r="I4823" s="1">
        <v>7920000.0</v>
      </c>
      <c r="J4823" s="1" t="s">
        <v>12283</v>
      </c>
    </row>
    <row r="4824">
      <c r="A4824" s="1" t="s">
        <v>15112</v>
      </c>
      <c r="B4824" s="1" t="s">
        <v>15113</v>
      </c>
      <c r="C4824" s="1" t="s">
        <v>15114</v>
      </c>
      <c r="D4824" s="1" t="s">
        <v>15033</v>
      </c>
      <c r="E4824" s="1" t="s">
        <v>15034</v>
      </c>
      <c r="F4824" s="1">
        <v>602637.0</v>
      </c>
      <c r="G4824" s="1">
        <v>31969.0</v>
      </c>
      <c r="H4824" s="1">
        <v>1025.0</v>
      </c>
      <c r="I4824" s="1">
        <v>7920000.0</v>
      </c>
      <c r="J4824" s="1" t="s">
        <v>12283</v>
      </c>
    </row>
    <row r="4825">
      <c r="A4825" s="1" t="s">
        <v>15115</v>
      </c>
      <c r="B4825" s="1" t="s">
        <v>15116</v>
      </c>
      <c r="C4825" s="1" t="s">
        <v>15117</v>
      </c>
      <c r="D4825" s="1" t="s">
        <v>15033</v>
      </c>
      <c r="E4825" s="1" t="s">
        <v>15034</v>
      </c>
      <c r="F4825" s="1">
        <v>767212.0</v>
      </c>
      <c r="G4825" s="1">
        <v>17140.0</v>
      </c>
      <c r="H4825" s="1">
        <v>691.0</v>
      </c>
      <c r="I4825" s="1">
        <v>7920000.0</v>
      </c>
      <c r="J4825" s="1" t="s">
        <v>12283</v>
      </c>
    </row>
    <row r="4826">
      <c r="A4826" s="1" t="s">
        <v>15118</v>
      </c>
      <c r="B4826" s="1" t="s">
        <v>15119</v>
      </c>
      <c r="C4826" s="1" t="s">
        <v>15120</v>
      </c>
      <c r="D4826" s="1" t="s">
        <v>15033</v>
      </c>
      <c r="E4826" s="1" t="s">
        <v>15034</v>
      </c>
      <c r="F4826" s="1">
        <v>1028081.0</v>
      </c>
      <c r="G4826" s="1">
        <v>72041.0</v>
      </c>
      <c r="H4826" s="1">
        <v>3024.0</v>
      </c>
      <c r="I4826" s="1">
        <v>7920000.0</v>
      </c>
      <c r="J4826" s="1" t="s">
        <v>12283</v>
      </c>
    </row>
    <row r="4827">
      <c r="A4827" s="1" t="s">
        <v>15124</v>
      </c>
      <c r="B4827" s="1" t="s">
        <v>15125</v>
      </c>
      <c r="C4827" s="1" t="s">
        <v>15126</v>
      </c>
      <c r="D4827" s="1" t="s">
        <v>15033</v>
      </c>
      <c r="E4827" s="1" t="s">
        <v>15034</v>
      </c>
      <c r="F4827" s="1">
        <v>1082243.0</v>
      </c>
      <c r="G4827" s="1">
        <v>25522.0</v>
      </c>
      <c r="H4827" s="1">
        <v>305.0</v>
      </c>
      <c r="I4827" s="1">
        <v>7920000.0</v>
      </c>
      <c r="J4827" s="1" t="s">
        <v>12283</v>
      </c>
    </row>
    <row r="4828">
      <c r="A4828" s="1" t="s">
        <v>15127</v>
      </c>
      <c r="B4828" s="1" t="s">
        <v>15128</v>
      </c>
      <c r="C4828" s="1" t="s">
        <v>15129</v>
      </c>
      <c r="D4828" s="1" t="s">
        <v>15033</v>
      </c>
      <c r="E4828" s="1" t="s">
        <v>15034</v>
      </c>
      <c r="F4828" s="1">
        <v>740934.0</v>
      </c>
      <c r="G4828" s="1">
        <v>21860.0</v>
      </c>
      <c r="H4828" s="1">
        <v>450.0</v>
      </c>
      <c r="I4828" s="1">
        <v>7920000.0</v>
      </c>
      <c r="J4828" s="1" t="s">
        <v>12283</v>
      </c>
    </row>
    <row r="4829">
      <c r="A4829" s="1" t="s">
        <v>15130</v>
      </c>
      <c r="B4829" s="1" t="s">
        <v>15131</v>
      </c>
      <c r="C4829" s="1" t="s">
        <v>15132</v>
      </c>
      <c r="D4829" s="1" t="s">
        <v>15033</v>
      </c>
      <c r="E4829" s="1" t="s">
        <v>15034</v>
      </c>
      <c r="F4829" s="1">
        <v>6996862.0</v>
      </c>
      <c r="G4829" s="1">
        <v>117313.0</v>
      </c>
      <c r="H4829" s="1">
        <v>8907.0</v>
      </c>
      <c r="I4829" s="1">
        <v>7920000.0</v>
      </c>
      <c r="J4829" s="1" t="s">
        <v>12283</v>
      </c>
    </row>
    <row r="4830">
      <c r="A4830" s="1" t="s">
        <v>15133</v>
      </c>
      <c r="B4830" s="1" t="s">
        <v>15134</v>
      </c>
      <c r="C4830" s="1" t="s">
        <v>15135</v>
      </c>
      <c r="D4830" s="1" t="s">
        <v>15033</v>
      </c>
      <c r="E4830" s="1" t="s">
        <v>15034</v>
      </c>
      <c r="F4830" s="1">
        <v>511476.0</v>
      </c>
      <c r="G4830" s="1">
        <v>19546.0</v>
      </c>
      <c r="H4830" s="1">
        <v>869.0</v>
      </c>
      <c r="I4830" s="1">
        <v>7920000.0</v>
      </c>
      <c r="J4830" s="1" t="s">
        <v>12283</v>
      </c>
    </row>
    <row r="4831">
      <c r="A4831" s="1" t="s">
        <v>15136</v>
      </c>
      <c r="B4831" s="1" t="s">
        <v>15137</v>
      </c>
      <c r="C4831" s="1" t="s">
        <v>15138</v>
      </c>
      <c r="D4831" s="1" t="s">
        <v>15033</v>
      </c>
      <c r="E4831" s="1" t="s">
        <v>15034</v>
      </c>
      <c r="F4831" s="1">
        <v>181086.0</v>
      </c>
      <c r="G4831" s="1">
        <v>3967.0</v>
      </c>
      <c r="H4831" s="1">
        <v>252.0</v>
      </c>
      <c r="I4831" s="1">
        <v>7920000.0</v>
      </c>
      <c r="J4831" s="1" t="s">
        <v>12283</v>
      </c>
    </row>
    <row r="4832">
      <c r="A4832" s="1" t="s">
        <v>15139</v>
      </c>
      <c r="B4832" s="1" t="s">
        <v>15140</v>
      </c>
      <c r="C4832" s="1" t="s">
        <v>15141</v>
      </c>
      <c r="D4832" s="1" t="s">
        <v>15033</v>
      </c>
      <c r="E4832" s="1" t="s">
        <v>15034</v>
      </c>
      <c r="F4832" s="1">
        <v>7531633.0</v>
      </c>
      <c r="G4832" s="1">
        <v>185642.0</v>
      </c>
      <c r="H4832" s="1">
        <v>26555.0</v>
      </c>
      <c r="I4832" s="1">
        <v>7920000.0</v>
      </c>
      <c r="J4832" s="1" t="s">
        <v>12283</v>
      </c>
    </row>
    <row r="4833">
      <c r="A4833" s="1" t="s">
        <v>15145</v>
      </c>
      <c r="B4833" s="1" t="s">
        <v>15146</v>
      </c>
      <c r="C4833" s="1" t="s">
        <v>15147</v>
      </c>
      <c r="D4833" s="1" t="s">
        <v>15033</v>
      </c>
      <c r="E4833" s="1" t="s">
        <v>15034</v>
      </c>
      <c r="F4833" s="1">
        <v>884372.0</v>
      </c>
      <c r="G4833" s="1">
        <v>35339.0</v>
      </c>
      <c r="H4833" s="1">
        <v>1826.0</v>
      </c>
      <c r="I4833" s="1">
        <v>7920000.0</v>
      </c>
      <c r="J4833" s="1" t="s">
        <v>12283</v>
      </c>
    </row>
    <row r="4834">
      <c r="A4834" s="1" t="s">
        <v>15148</v>
      </c>
      <c r="B4834" s="1" t="s">
        <v>15149</v>
      </c>
      <c r="C4834" s="1" t="s">
        <v>15150</v>
      </c>
      <c r="D4834" s="1" t="s">
        <v>15033</v>
      </c>
      <c r="E4834" s="1" t="s">
        <v>15034</v>
      </c>
      <c r="F4834" s="1">
        <v>8528964.0</v>
      </c>
      <c r="G4834" s="1">
        <v>181427.0</v>
      </c>
      <c r="H4834" s="1">
        <v>2436.0</v>
      </c>
      <c r="I4834" s="1">
        <v>7920000.0</v>
      </c>
      <c r="J4834" s="1" t="s">
        <v>12283</v>
      </c>
    </row>
    <row r="4835">
      <c r="A4835" s="1" t="s">
        <v>15151</v>
      </c>
      <c r="B4835" s="1" t="s">
        <v>15152</v>
      </c>
      <c r="C4835" s="1" t="s">
        <v>15153</v>
      </c>
      <c r="D4835" s="1" t="s">
        <v>15033</v>
      </c>
      <c r="E4835" s="1" t="s">
        <v>15034</v>
      </c>
      <c r="F4835" s="1">
        <v>145101.0</v>
      </c>
      <c r="G4835" s="1">
        <v>5102.0</v>
      </c>
      <c r="H4835" s="1">
        <v>88.0</v>
      </c>
      <c r="I4835" s="1">
        <v>7920000.0</v>
      </c>
      <c r="J4835" s="1" t="s">
        <v>12283</v>
      </c>
    </row>
    <row r="4836">
      <c r="A4836" s="1" t="s">
        <v>15154</v>
      </c>
      <c r="B4836" s="1" t="s">
        <v>15155</v>
      </c>
      <c r="C4836" s="1" t="s">
        <v>15156</v>
      </c>
      <c r="D4836" s="1" t="s">
        <v>15033</v>
      </c>
      <c r="E4836" s="1" t="s">
        <v>15034</v>
      </c>
      <c r="F4836" s="1">
        <v>462181.0</v>
      </c>
      <c r="G4836" s="1">
        <v>14600.0</v>
      </c>
      <c r="H4836" s="1">
        <v>551.0</v>
      </c>
      <c r="I4836" s="1">
        <v>7920000.0</v>
      </c>
      <c r="J4836" s="1" t="s">
        <v>12283</v>
      </c>
    </row>
    <row r="4837">
      <c r="A4837" s="1" t="s">
        <v>15157</v>
      </c>
      <c r="B4837" s="1" t="s">
        <v>15158</v>
      </c>
      <c r="C4837" s="1" t="s">
        <v>15159</v>
      </c>
      <c r="D4837" s="1" t="s">
        <v>15033</v>
      </c>
      <c r="E4837" s="1" t="s">
        <v>15034</v>
      </c>
      <c r="F4837" s="1">
        <v>588936.0</v>
      </c>
      <c r="G4837" s="1">
        <v>24356.0</v>
      </c>
      <c r="H4837" s="1">
        <v>778.0</v>
      </c>
      <c r="I4837" s="1">
        <v>7920000.0</v>
      </c>
      <c r="J4837" s="1" t="s">
        <v>12283</v>
      </c>
    </row>
    <row r="4838">
      <c r="A4838" s="1" t="s">
        <v>15160</v>
      </c>
      <c r="B4838" s="1" t="s">
        <v>15161</v>
      </c>
      <c r="C4838" s="1" t="s">
        <v>15163</v>
      </c>
      <c r="D4838" s="1" t="s">
        <v>15033</v>
      </c>
      <c r="E4838" s="1" t="s">
        <v>15034</v>
      </c>
      <c r="F4838" s="1">
        <v>7805979.0</v>
      </c>
      <c r="G4838" s="1">
        <v>315166.0</v>
      </c>
      <c r="H4838" s="1">
        <v>13010.0</v>
      </c>
      <c r="I4838" s="1">
        <v>7920000.0</v>
      </c>
      <c r="J4838" s="1" t="s">
        <v>12283</v>
      </c>
    </row>
    <row r="4839">
      <c r="A4839" s="1" t="s">
        <v>15166</v>
      </c>
      <c r="B4839" s="1" t="s">
        <v>15167</v>
      </c>
      <c r="C4839" s="1" t="s">
        <v>15168</v>
      </c>
      <c r="D4839" s="1" t="s">
        <v>15033</v>
      </c>
      <c r="E4839" s="1" t="s">
        <v>15034</v>
      </c>
      <c r="F4839" s="1">
        <v>2753529.0</v>
      </c>
      <c r="G4839" s="1">
        <v>55001.0</v>
      </c>
      <c r="H4839" s="1">
        <v>9118.0</v>
      </c>
      <c r="I4839" s="1">
        <v>7920000.0</v>
      </c>
      <c r="J4839" s="1" t="s">
        <v>12283</v>
      </c>
    </row>
    <row r="4840">
      <c r="A4840" s="1" t="s">
        <v>15169</v>
      </c>
      <c r="B4840" s="1" t="s">
        <v>15170</v>
      </c>
      <c r="C4840" s="1" t="s">
        <v>15171</v>
      </c>
      <c r="D4840" s="1" t="s">
        <v>15033</v>
      </c>
      <c r="E4840" s="1" t="s">
        <v>15034</v>
      </c>
      <c r="F4840" s="1">
        <v>4278928.0</v>
      </c>
      <c r="G4840" s="1">
        <v>96690.0</v>
      </c>
      <c r="H4840" s="1">
        <v>13191.0</v>
      </c>
      <c r="I4840" s="1">
        <v>7920000.0</v>
      </c>
      <c r="J4840" s="1" t="s">
        <v>12283</v>
      </c>
    </row>
    <row r="4841">
      <c r="A4841" s="1" t="s">
        <v>15172</v>
      </c>
      <c r="B4841" s="1" t="s">
        <v>15173</v>
      </c>
      <c r="C4841" s="1" t="s">
        <v>15174</v>
      </c>
      <c r="D4841" s="1" t="s">
        <v>15033</v>
      </c>
      <c r="E4841" s="1" t="s">
        <v>15034</v>
      </c>
      <c r="F4841" s="1">
        <v>788930.0</v>
      </c>
      <c r="G4841" s="1">
        <v>15397.0</v>
      </c>
      <c r="H4841" s="1">
        <v>187.0</v>
      </c>
      <c r="I4841" s="1">
        <v>7920000.0</v>
      </c>
      <c r="J4841" s="1" t="s">
        <v>12283</v>
      </c>
    </row>
    <row r="4842">
      <c r="A4842" s="1" t="s">
        <v>15175</v>
      </c>
      <c r="B4842" s="1" t="s">
        <v>15176</v>
      </c>
      <c r="C4842" s="1" t="s">
        <v>15177</v>
      </c>
      <c r="D4842" s="1" t="s">
        <v>15033</v>
      </c>
      <c r="E4842" s="1" t="s">
        <v>15034</v>
      </c>
      <c r="F4842" s="1">
        <v>3155922.0</v>
      </c>
      <c r="G4842" s="1">
        <v>83603.0</v>
      </c>
      <c r="H4842" s="1">
        <v>5225.0</v>
      </c>
      <c r="I4842" s="1">
        <v>7920000.0</v>
      </c>
      <c r="J4842" s="1" t="s">
        <v>12283</v>
      </c>
    </row>
    <row r="4843">
      <c r="A4843" s="1" t="s">
        <v>15181</v>
      </c>
      <c r="B4843" s="1" t="s">
        <v>15182</v>
      </c>
      <c r="C4843" s="1" t="s">
        <v>15183</v>
      </c>
      <c r="D4843" s="1" t="s">
        <v>15033</v>
      </c>
      <c r="E4843" s="1" t="s">
        <v>15034</v>
      </c>
      <c r="F4843" s="1">
        <v>2516252.0</v>
      </c>
      <c r="G4843" s="1">
        <v>60669.0</v>
      </c>
      <c r="H4843" s="1">
        <v>4404.0</v>
      </c>
      <c r="I4843" s="1">
        <v>7920000.0</v>
      </c>
      <c r="J4843" s="1" t="s">
        <v>12283</v>
      </c>
    </row>
    <row r="4844">
      <c r="A4844" s="1" t="s">
        <v>15184</v>
      </c>
      <c r="B4844" s="1" t="s">
        <v>15185</v>
      </c>
      <c r="C4844" s="1" t="s">
        <v>9276</v>
      </c>
      <c r="D4844" s="1" t="s">
        <v>15033</v>
      </c>
      <c r="E4844" s="1" t="s">
        <v>15034</v>
      </c>
      <c r="F4844" s="1">
        <v>2126464.0</v>
      </c>
      <c r="G4844" s="1">
        <v>79342.0</v>
      </c>
      <c r="H4844" s="1">
        <v>5937.0</v>
      </c>
      <c r="I4844" s="1">
        <v>7920000.0</v>
      </c>
      <c r="J4844" s="1" t="s">
        <v>12283</v>
      </c>
    </row>
    <row r="4845">
      <c r="A4845" s="1" t="s">
        <v>15186</v>
      </c>
      <c r="B4845" s="1" t="s">
        <v>15187</v>
      </c>
      <c r="C4845" s="1" t="s">
        <v>15188</v>
      </c>
      <c r="D4845" s="1" t="s">
        <v>15033</v>
      </c>
      <c r="E4845" s="1" t="s">
        <v>15034</v>
      </c>
      <c r="F4845" s="1">
        <v>403442.0</v>
      </c>
      <c r="G4845" s="1">
        <v>9276.0</v>
      </c>
      <c r="H4845" s="1">
        <v>133.0</v>
      </c>
      <c r="I4845" s="1">
        <v>7920000.0</v>
      </c>
      <c r="J4845" s="1" t="s">
        <v>12283</v>
      </c>
    </row>
    <row r="4846">
      <c r="A4846" s="1" t="s">
        <v>15189</v>
      </c>
      <c r="B4846" s="1" t="s">
        <v>15190</v>
      </c>
      <c r="C4846" s="1" t="s">
        <v>15191</v>
      </c>
      <c r="D4846" s="1" t="s">
        <v>15033</v>
      </c>
      <c r="E4846" s="1" t="s">
        <v>15034</v>
      </c>
      <c r="F4846" s="1">
        <v>3773202.0</v>
      </c>
      <c r="G4846" s="1">
        <v>126709.0</v>
      </c>
      <c r="H4846" s="1">
        <v>7797.0</v>
      </c>
      <c r="I4846" s="1">
        <v>7920000.0</v>
      </c>
      <c r="J4846" s="1" t="s">
        <v>12283</v>
      </c>
    </row>
    <row r="4847">
      <c r="A4847" s="1" t="s">
        <v>15192</v>
      </c>
      <c r="B4847" s="1" t="s">
        <v>15193</v>
      </c>
      <c r="C4847" s="1" t="s">
        <v>15194</v>
      </c>
      <c r="D4847" s="1" t="s">
        <v>15033</v>
      </c>
      <c r="E4847" s="1" t="s">
        <v>15034</v>
      </c>
      <c r="F4847" s="1">
        <v>2129834.0</v>
      </c>
      <c r="G4847" s="1">
        <v>57183.0</v>
      </c>
      <c r="H4847" s="1">
        <v>2655.0</v>
      </c>
      <c r="I4847" s="1">
        <v>7920000.0</v>
      </c>
      <c r="J4847" s="1" t="s">
        <v>12283</v>
      </c>
    </row>
    <row r="4848">
      <c r="A4848" s="1" t="s">
        <v>15195</v>
      </c>
      <c r="B4848" s="1" t="s">
        <v>15196</v>
      </c>
      <c r="C4848" s="1" t="s">
        <v>15197</v>
      </c>
      <c r="D4848" s="1" t="s">
        <v>15033</v>
      </c>
      <c r="E4848" s="1" t="s">
        <v>15034</v>
      </c>
      <c r="F4848" s="1">
        <v>5283046.0</v>
      </c>
      <c r="G4848" s="1">
        <v>111219.0</v>
      </c>
      <c r="H4848" s="1">
        <v>6959.0</v>
      </c>
      <c r="I4848" s="1">
        <v>7920000.0</v>
      </c>
      <c r="J4848" s="1" t="s">
        <v>12283</v>
      </c>
    </row>
    <row r="4849">
      <c r="A4849" s="1" t="s">
        <v>15198</v>
      </c>
      <c r="B4849" s="1" t="s">
        <v>15199</v>
      </c>
      <c r="C4849" s="1" t="s">
        <v>15200</v>
      </c>
      <c r="D4849" s="1" t="s">
        <v>15033</v>
      </c>
      <c r="E4849" s="1" t="s">
        <v>15034</v>
      </c>
      <c r="F4849" s="1">
        <v>6050091.0</v>
      </c>
      <c r="G4849" s="1">
        <v>162597.0</v>
      </c>
      <c r="H4849" s="1">
        <v>23474.0</v>
      </c>
      <c r="I4849" s="1">
        <v>7920000.0</v>
      </c>
      <c r="J4849" s="1" t="s">
        <v>12283</v>
      </c>
    </row>
    <row r="4850">
      <c r="A4850" s="1" t="s">
        <v>15201</v>
      </c>
      <c r="B4850" s="1" t="s">
        <v>15202</v>
      </c>
      <c r="C4850" s="1" t="s">
        <v>15203</v>
      </c>
      <c r="D4850" s="1" t="s">
        <v>15033</v>
      </c>
      <c r="E4850" s="1" t="s">
        <v>15034</v>
      </c>
      <c r="F4850" s="1">
        <v>5460670.0</v>
      </c>
      <c r="G4850" s="1">
        <v>118134.0</v>
      </c>
      <c r="H4850" s="1">
        <v>6711.0</v>
      </c>
      <c r="I4850" s="1">
        <v>7920000.0</v>
      </c>
      <c r="J4850" s="1" t="s">
        <v>12283</v>
      </c>
    </row>
    <row r="4851">
      <c r="A4851" s="1" t="s">
        <v>15205</v>
      </c>
      <c r="B4851" s="1" t="s">
        <v>15207</v>
      </c>
      <c r="C4851" s="1" t="s">
        <v>15209</v>
      </c>
      <c r="D4851" s="1" t="s">
        <v>15033</v>
      </c>
      <c r="E4851" s="1" t="s">
        <v>15034</v>
      </c>
      <c r="F4851" s="1">
        <v>152573.0</v>
      </c>
      <c r="G4851" s="1">
        <v>3256.0</v>
      </c>
      <c r="H4851" s="1">
        <v>101.0</v>
      </c>
      <c r="I4851" s="1">
        <v>7920000.0</v>
      </c>
      <c r="J4851" s="1" t="s">
        <v>12283</v>
      </c>
    </row>
    <row r="4852">
      <c r="A4852" s="1" t="s">
        <v>15210</v>
      </c>
      <c r="B4852" s="1" t="s">
        <v>15211</v>
      </c>
      <c r="C4852" s="1" t="s">
        <v>15212</v>
      </c>
      <c r="D4852" s="1" t="s">
        <v>15033</v>
      </c>
      <c r="E4852" s="1" t="s">
        <v>15034</v>
      </c>
      <c r="F4852" s="1">
        <v>2232190.0</v>
      </c>
      <c r="G4852" s="1">
        <v>51226.0</v>
      </c>
      <c r="H4852" s="1">
        <v>4137.0</v>
      </c>
      <c r="I4852" s="1">
        <v>7920000.0</v>
      </c>
      <c r="J4852" s="1" t="s">
        <v>12283</v>
      </c>
    </row>
    <row r="4853">
      <c r="A4853" s="1" t="s">
        <v>15213</v>
      </c>
      <c r="B4853" s="1" t="s">
        <v>15214</v>
      </c>
      <c r="C4853" s="1" t="s">
        <v>15215</v>
      </c>
      <c r="D4853" s="1" t="s">
        <v>15033</v>
      </c>
      <c r="E4853" s="1" t="s">
        <v>15034</v>
      </c>
      <c r="F4853" s="1">
        <v>187161.0</v>
      </c>
      <c r="G4853" s="1">
        <v>4860.0</v>
      </c>
      <c r="H4853" s="1">
        <v>129.0</v>
      </c>
      <c r="I4853" s="1">
        <v>7920000.0</v>
      </c>
      <c r="J4853" s="1" t="s">
        <v>12283</v>
      </c>
    </row>
    <row r="4854">
      <c r="A4854" s="1" t="s">
        <v>15216</v>
      </c>
      <c r="B4854" s="1" t="s">
        <v>15217</v>
      </c>
      <c r="C4854" s="1" t="s">
        <v>15218</v>
      </c>
      <c r="D4854" s="1" t="s">
        <v>15033</v>
      </c>
      <c r="E4854" s="1" t="s">
        <v>15034</v>
      </c>
      <c r="F4854" s="1">
        <v>4205851.0</v>
      </c>
      <c r="G4854" s="1">
        <v>103878.0</v>
      </c>
      <c r="H4854" s="1">
        <v>10215.0</v>
      </c>
      <c r="I4854" s="1">
        <v>7920000.0</v>
      </c>
      <c r="J4854" s="1" t="s">
        <v>12283</v>
      </c>
    </row>
    <row r="4855">
      <c r="A4855" s="1" t="s">
        <v>15221</v>
      </c>
      <c r="B4855" s="1" t="s">
        <v>15223</v>
      </c>
      <c r="C4855" s="1" t="s">
        <v>15224</v>
      </c>
      <c r="D4855" s="1" t="s">
        <v>15033</v>
      </c>
      <c r="E4855" s="1" t="s">
        <v>15034</v>
      </c>
      <c r="F4855" s="1">
        <v>229361.0</v>
      </c>
      <c r="G4855" s="1">
        <v>9258.0</v>
      </c>
      <c r="H4855" s="1">
        <v>238.0</v>
      </c>
      <c r="I4855" s="1">
        <v>7920000.0</v>
      </c>
      <c r="J4855" s="1" t="s">
        <v>12283</v>
      </c>
    </row>
    <row r="4856">
      <c r="A4856" s="1" t="s">
        <v>15225</v>
      </c>
      <c r="B4856" s="1" t="s">
        <v>15226</v>
      </c>
      <c r="C4856" s="1" t="s">
        <v>15227</v>
      </c>
      <c r="D4856" s="1" t="s">
        <v>15033</v>
      </c>
      <c r="E4856" s="1" t="s">
        <v>15034</v>
      </c>
      <c r="F4856" s="1">
        <v>3985004.0</v>
      </c>
      <c r="G4856" s="1">
        <v>82467.0</v>
      </c>
      <c r="H4856" s="1">
        <v>4439.0</v>
      </c>
      <c r="I4856" s="1">
        <v>7920000.0</v>
      </c>
      <c r="J4856" s="1" t="s">
        <v>12283</v>
      </c>
    </row>
    <row r="4857">
      <c r="A4857" s="1" t="s">
        <v>15228</v>
      </c>
      <c r="B4857" s="1" t="s">
        <v>15229</v>
      </c>
      <c r="C4857" s="1" t="s">
        <v>15230</v>
      </c>
      <c r="D4857" s="1" t="s">
        <v>15033</v>
      </c>
      <c r="E4857" s="1" t="s">
        <v>15034</v>
      </c>
      <c r="F4857" s="1">
        <v>2566998.0</v>
      </c>
      <c r="G4857" s="1">
        <v>65307.0</v>
      </c>
      <c r="H4857" s="1">
        <v>5514.0</v>
      </c>
      <c r="I4857" s="1">
        <v>7920000.0</v>
      </c>
      <c r="J4857" s="1" t="s">
        <v>12283</v>
      </c>
    </row>
    <row r="4858">
      <c r="A4858" s="1" t="s">
        <v>15231</v>
      </c>
      <c r="B4858" s="1" t="s">
        <v>15232</v>
      </c>
      <c r="C4858" s="1" t="s">
        <v>15233</v>
      </c>
      <c r="D4858" s="1" t="s">
        <v>15033</v>
      </c>
      <c r="E4858" s="1" t="s">
        <v>15034</v>
      </c>
      <c r="F4858" s="1">
        <v>464284.0</v>
      </c>
      <c r="G4858" s="1">
        <v>20563.0</v>
      </c>
      <c r="H4858" s="1">
        <v>1622.0</v>
      </c>
      <c r="I4858" s="1">
        <v>7920000.0</v>
      </c>
      <c r="J4858" s="1" t="s">
        <v>12283</v>
      </c>
    </row>
    <row r="4859">
      <c r="A4859" s="1" t="s">
        <v>15236</v>
      </c>
      <c r="B4859" s="1" t="s">
        <v>15238</v>
      </c>
      <c r="C4859" s="1" t="s">
        <v>15239</v>
      </c>
      <c r="D4859" s="1" t="s">
        <v>15033</v>
      </c>
      <c r="E4859" s="1" t="s">
        <v>15034</v>
      </c>
      <c r="F4859" s="1">
        <v>5857508.0</v>
      </c>
      <c r="G4859" s="1">
        <v>105373.0</v>
      </c>
      <c r="H4859" s="1">
        <v>9340.0</v>
      </c>
      <c r="I4859" s="1">
        <v>7920000.0</v>
      </c>
      <c r="J4859" s="1" t="s">
        <v>12283</v>
      </c>
    </row>
    <row r="4860">
      <c r="A4860" s="1" t="s">
        <v>15240</v>
      </c>
      <c r="B4860" s="1" t="s">
        <v>15241</v>
      </c>
      <c r="C4860" s="1" t="s">
        <v>15242</v>
      </c>
      <c r="D4860" s="1" t="s">
        <v>15033</v>
      </c>
      <c r="E4860" s="1" t="s">
        <v>15034</v>
      </c>
      <c r="F4860" s="1">
        <v>2422843.0</v>
      </c>
      <c r="G4860" s="1">
        <v>69404.0</v>
      </c>
      <c r="H4860" s="1">
        <v>7013.0</v>
      </c>
      <c r="I4860" s="1">
        <v>7920000.0</v>
      </c>
      <c r="J4860" s="1" t="s">
        <v>12283</v>
      </c>
    </row>
    <row r="4861">
      <c r="A4861" s="1" t="s">
        <v>15243</v>
      </c>
      <c r="B4861" s="1" t="s">
        <v>15244</v>
      </c>
      <c r="C4861" s="1" t="s">
        <v>15245</v>
      </c>
      <c r="D4861" s="1" t="s">
        <v>15033</v>
      </c>
      <c r="E4861" s="1" t="s">
        <v>15034</v>
      </c>
      <c r="F4861" s="1">
        <v>594786.0</v>
      </c>
      <c r="G4861" s="1">
        <v>19331.0</v>
      </c>
      <c r="H4861" s="1">
        <v>627.0</v>
      </c>
      <c r="I4861" s="1">
        <v>7920000.0</v>
      </c>
      <c r="J4861" s="1" t="s">
        <v>12283</v>
      </c>
    </row>
    <row r="4862">
      <c r="A4862" s="1" t="s">
        <v>15246</v>
      </c>
      <c r="B4862" s="1" t="s">
        <v>15247</v>
      </c>
      <c r="C4862" s="1" t="s">
        <v>15248</v>
      </c>
      <c r="D4862" s="1" t="s">
        <v>15033</v>
      </c>
      <c r="E4862" s="1" t="s">
        <v>15034</v>
      </c>
      <c r="F4862" s="1">
        <v>5710216.0</v>
      </c>
      <c r="G4862" s="1">
        <v>111864.0</v>
      </c>
      <c r="H4862" s="1">
        <v>8805.0</v>
      </c>
      <c r="I4862" s="1">
        <v>7920000.0</v>
      </c>
      <c r="J4862" s="1" t="s">
        <v>12283</v>
      </c>
    </row>
    <row r="4863">
      <c r="A4863" s="1" t="s">
        <v>15249</v>
      </c>
      <c r="B4863" s="1" t="s">
        <v>15250</v>
      </c>
      <c r="C4863" s="1" t="s">
        <v>15251</v>
      </c>
      <c r="D4863" s="1" t="s">
        <v>15033</v>
      </c>
      <c r="E4863" s="1" t="s">
        <v>15034</v>
      </c>
      <c r="F4863" s="1">
        <v>4055592.0</v>
      </c>
      <c r="G4863" s="1">
        <v>121795.0</v>
      </c>
      <c r="H4863" s="1">
        <v>13539.0</v>
      </c>
      <c r="I4863" s="1">
        <v>7920000.0</v>
      </c>
      <c r="J4863" s="1" t="s">
        <v>12283</v>
      </c>
    </row>
    <row r="4864">
      <c r="A4864" s="1" t="s">
        <v>15255</v>
      </c>
      <c r="B4864" s="1" t="s">
        <v>15256</v>
      </c>
      <c r="C4864" s="1" t="s">
        <v>15257</v>
      </c>
      <c r="D4864" s="1" t="s">
        <v>15033</v>
      </c>
      <c r="E4864" s="1" t="s">
        <v>15034</v>
      </c>
      <c r="F4864" s="1">
        <v>1983098.0</v>
      </c>
      <c r="G4864" s="1">
        <v>65273.0</v>
      </c>
      <c r="H4864" s="1">
        <v>1506.0</v>
      </c>
      <c r="I4864" s="1">
        <v>7920000.0</v>
      </c>
      <c r="J4864" s="1" t="s">
        <v>12283</v>
      </c>
    </row>
    <row r="4865">
      <c r="A4865" s="1" t="s">
        <v>15258</v>
      </c>
      <c r="B4865" s="1" t="s">
        <v>15259</v>
      </c>
      <c r="C4865" s="1" t="s">
        <v>15260</v>
      </c>
      <c r="D4865" s="1" t="s">
        <v>15033</v>
      </c>
      <c r="E4865" s="1" t="s">
        <v>15034</v>
      </c>
      <c r="F4865" s="1">
        <v>3145556.0</v>
      </c>
      <c r="G4865" s="1">
        <v>61517.0</v>
      </c>
      <c r="H4865" s="1">
        <v>3245.0</v>
      </c>
      <c r="I4865" s="1">
        <v>7920000.0</v>
      </c>
      <c r="J4865" s="1" t="s">
        <v>12283</v>
      </c>
    </row>
    <row r="4866">
      <c r="A4866" s="1" t="s">
        <v>15261</v>
      </c>
      <c r="B4866" s="1" t="s">
        <v>15262</v>
      </c>
      <c r="C4866" s="1" t="s">
        <v>15263</v>
      </c>
      <c r="D4866" s="1" t="s">
        <v>15033</v>
      </c>
      <c r="E4866" s="1" t="s">
        <v>15034</v>
      </c>
      <c r="F4866" s="1">
        <v>4095732.0</v>
      </c>
      <c r="G4866" s="1">
        <v>95008.0</v>
      </c>
      <c r="H4866" s="1">
        <v>2521.0</v>
      </c>
      <c r="I4866" s="1">
        <v>7920000.0</v>
      </c>
      <c r="J4866" s="1" t="s">
        <v>12283</v>
      </c>
    </row>
    <row r="4867">
      <c r="A4867" s="1" t="s">
        <v>15264</v>
      </c>
      <c r="B4867" s="1" t="s">
        <v>15265</v>
      </c>
      <c r="C4867" s="1" t="s">
        <v>15266</v>
      </c>
      <c r="D4867" s="1" t="s">
        <v>15033</v>
      </c>
      <c r="E4867" s="1" t="s">
        <v>15034</v>
      </c>
      <c r="F4867" s="1">
        <v>1095448.0</v>
      </c>
      <c r="G4867" s="1">
        <v>22115.0</v>
      </c>
      <c r="H4867" s="1">
        <v>161.0</v>
      </c>
      <c r="I4867" s="1">
        <v>7920000.0</v>
      </c>
      <c r="J4867" s="1" t="s">
        <v>12283</v>
      </c>
    </row>
    <row r="4868">
      <c r="A4868" s="1" t="s">
        <v>15267</v>
      </c>
      <c r="B4868" s="1" t="s">
        <v>15268</v>
      </c>
      <c r="C4868" s="1" t="s">
        <v>15269</v>
      </c>
      <c r="D4868" s="1" t="s">
        <v>15033</v>
      </c>
      <c r="E4868" s="1" t="s">
        <v>15034</v>
      </c>
      <c r="F4868" s="1">
        <v>3100026.0</v>
      </c>
      <c r="G4868" s="1">
        <v>53363.0</v>
      </c>
      <c r="H4868" s="1">
        <v>2830.0</v>
      </c>
      <c r="I4868" s="1">
        <v>7920000.0</v>
      </c>
      <c r="J4868" s="1" t="s">
        <v>12283</v>
      </c>
    </row>
    <row r="4869">
      <c r="A4869" s="1" t="s">
        <v>15273</v>
      </c>
      <c r="B4869" s="1" t="s">
        <v>15274</v>
      </c>
      <c r="C4869" s="1" t="s">
        <v>15275</v>
      </c>
      <c r="D4869" s="1" t="s">
        <v>15033</v>
      </c>
      <c r="E4869" s="1" t="s">
        <v>15034</v>
      </c>
      <c r="F4869" s="1">
        <v>3606172.0</v>
      </c>
      <c r="G4869" s="1">
        <v>120593.0</v>
      </c>
      <c r="H4869" s="1">
        <v>6633.0</v>
      </c>
      <c r="I4869" s="1">
        <v>7920000.0</v>
      </c>
      <c r="J4869" s="1" t="s">
        <v>12283</v>
      </c>
    </row>
    <row r="4870">
      <c r="A4870" s="1" t="s">
        <v>15276</v>
      </c>
      <c r="B4870" s="1" t="s">
        <v>15277</v>
      </c>
      <c r="C4870" s="1" t="s">
        <v>15278</v>
      </c>
      <c r="D4870" s="1" t="s">
        <v>15033</v>
      </c>
      <c r="E4870" s="1" t="s">
        <v>15034</v>
      </c>
      <c r="F4870" s="1">
        <v>5678876.0</v>
      </c>
      <c r="G4870" s="1">
        <v>102107.0</v>
      </c>
      <c r="H4870" s="1">
        <v>8045.0</v>
      </c>
      <c r="I4870" s="1">
        <v>7920000.0</v>
      </c>
      <c r="J4870" s="1" t="s">
        <v>12283</v>
      </c>
    </row>
    <row r="4871">
      <c r="A4871" s="1" t="s">
        <v>15279</v>
      </c>
      <c r="B4871" s="1" t="s">
        <v>15280</v>
      </c>
      <c r="C4871" s="1" t="s">
        <v>15281</v>
      </c>
      <c r="D4871" s="1" t="s">
        <v>15033</v>
      </c>
      <c r="E4871" s="1" t="s">
        <v>15034</v>
      </c>
      <c r="F4871" s="1">
        <v>1471989.0</v>
      </c>
      <c r="G4871" s="1">
        <v>40404.0</v>
      </c>
      <c r="H4871" s="1">
        <v>650.0</v>
      </c>
      <c r="I4871" s="1">
        <v>7920000.0</v>
      </c>
      <c r="J4871" s="1" t="s">
        <v>12283</v>
      </c>
    </row>
    <row r="4872">
      <c r="A4872" s="1" t="s">
        <v>15282</v>
      </c>
      <c r="B4872" s="1" t="s">
        <v>15283</v>
      </c>
      <c r="C4872" s="1" t="s">
        <v>15284</v>
      </c>
      <c r="D4872" s="1" t="s">
        <v>15033</v>
      </c>
      <c r="E4872" s="1" t="s">
        <v>15034</v>
      </c>
      <c r="F4872" s="1">
        <v>5328316.0</v>
      </c>
      <c r="G4872" s="1">
        <v>135116.0</v>
      </c>
      <c r="H4872" s="1">
        <v>9029.0</v>
      </c>
      <c r="I4872" s="1">
        <v>7920000.0</v>
      </c>
      <c r="J4872" s="1" t="s">
        <v>12283</v>
      </c>
    </row>
    <row r="4873">
      <c r="A4873" s="1" t="s">
        <v>15285</v>
      </c>
      <c r="B4873" s="1" t="s">
        <v>15286</v>
      </c>
      <c r="C4873" s="1" t="s">
        <v>15287</v>
      </c>
      <c r="D4873" s="1" t="s">
        <v>15033</v>
      </c>
      <c r="E4873" s="1" t="s">
        <v>15034</v>
      </c>
      <c r="F4873" s="1">
        <v>4912463.0</v>
      </c>
      <c r="G4873" s="1">
        <v>138425.0</v>
      </c>
      <c r="H4873" s="1">
        <v>11020.0</v>
      </c>
      <c r="I4873" s="1">
        <v>7920000.0</v>
      </c>
      <c r="J4873" s="1" t="s">
        <v>12283</v>
      </c>
    </row>
    <row r="4874">
      <c r="A4874" s="1" t="s">
        <v>15288</v>
      </c>
      <c r="B4874" s="1" t="s">
        <v>15289</v>
      </c>
      <c r="C4874" s="1" t="s">
        <v>15290</v>
      </c>
      <c r="D4874" s="1" t="s">
        <v>15033</v>
      </c>
      <c r="E4874" s="1" t="s">
        <v>15034</v>
      </c>
      <c r="F4874" s="1">
        <v>993516.0</v>
      </c>
      <c r="G4874" s="1">
        <v>33608.0</v>
      </c>
      <c r="H4874" s="1">
        <v>415.0</v>
      </c>
      <c r="I4874" s="1">
        <v>7920000.0</v>
      </c>
      <c r="J4874" s="1" t="s">
        <v>12283</v>
      </c>
    </row>
    <row r="4875">
      <c r="A4875" s="1" t="s">
        <v>15291</v>
      </c>
      <c r="B4875" s="1" t="s">
        <v>15292</v>
      </c>
      <c r="C4875" s="1" t="s">
        <v>15293</v>
      </c>
      <c r="D4875" s="1" t="s">
        <v>15033</v>
      </c>
      <c r="E4875" s="1" t="s">
        <v>15034</v>
      </c>
      <c r="F4875" s="1">
        <v>1525147.0</v>
      </c>
      <c r="G4875" s="1">
        <v>58887.0</v>
      </c>
      <c r="H4875" s="1">
        <v>1550.0</v>
      </c>
      <c r="I4875" s="1">
        <v>7920000.0</v>
      </c>
      <c r="J4875" s="1" t="s">
        <v>12283</v>
      </c>
    </row>
    <row r="4876">
      <c r="A4876" s="1" t="s">
        <v>15294</v>
      </c>
      <c r="B4876" s="1" t="s">
        <v>15295</v>
      </c>
      <c r="C4876" s="1" t="s">
        <v>15296</v>
      </c>
      <c r="D4876" s="1" t="s">
        <v>15033</v>
      </c>
      <c r="E4876" s="1" t="s">
        <v>15034</v>
      </c>
      <c r="F4876" s="1">
        <v>3462604.0</v>
      </c>
      <c r="G4876" s="1">
        <v>74529.0</v>
      </c>
      <c r="H4876" s="1">
        <v>5237.0</v>
      </c>
      <c r="I4876" s="1">
        <v>7920000.0</v>
      </c>
      <c r="J4876" s="1" t="s">
        <v>12283</v>
      </c>
    </row>
    <row r="4877">
      <c r="A4877" s="1" t="s">
        <v>15297</v>
      </c>
      <c r="B4877" s="1" t="s">
        <v>15298</v>
      </c>
      <c r="C4877" s="1" t="s">
        <v>15299</v>
      </c>
      <c r="D4877" s="1" t="s">
        <v>15033</v>
      </c>
      <c r="E4877" s="1" t="s">
        <v>15034</v>
      </c>
      <c r="F4877" s="1">
        <v>2422819.0</v>
      </c>
      <c r="G4877" s="1">
        <v>51846.0</v>
      </c>
      <c r="H4877" s="1">
        <v>3714.0</v>
      </c>
      <c r="I4877" s="1">
        <v>7920000.0</v>
      </c>
      <c r="J4877" s="1" t="s">
        <v>12283</v>
      </c>
    </row>
    <row r="4878">
      <c r="A4878" s="1" t="s">
        <v>15300</v>
      </c>
      <c r="B4878" s="1" t="s">
        <v>15301</v>
      </c>
      <c r="C4878" s="1" t="s">
        <v>15302</v>
      </c>
      <c r="D4878" s="1" t="s">
        <v>15033</v>
      </c>
      <c r="E4878" s="1" t="s">
        <v>15034</v>
      </c>
      <c r="F4878" s="1">
        <v>586276.0</v>
      </c>
      <c r="G4878" s="1">
        <v>29349.0</v>
      </c>
      <c r="H4878" s="1">
        <v>1136.0</v>
      </c>
      <c r="I4878" s="1">
        <v>7920000.0</v>
      </c>
      <c r="J4878" s="1" t="s">
        <v>12283</v>
      </c>
    </row>
    <row r="4879">
      <c r="A4879" s="1" t="s">
        <v>15303</v>
      </c>
      <c r="B4879" s="1" t="s">
        <v>15304</v>
      </c>
      <c r="C4879" s="1" t="s">
        <v>15305</v>
      </c>
      <c r="D4879" s="1" t="s">
        <v>15033</v>
      </c>
      <c r="E4879" s="1" t="s">
        <v>15034</v>
      </c>
      <c r="F4879" s="1">
        <v>2888210.0</v>
      </c>
      <c r="G4879" s="1">
        <v>155554.0</v>
      </c>
      <c r="H4879" s="1">
        <v>2034.0</v>
      </c>
      <c r="I4879" s="1">
        <v>7920000.0</v>
      </c>
      <c r="J4879" s="1" t="s">
        <v>12283</v>
      </c>
    </row>
    <row r="4880">
      <c r="A4880" s="1" t="s">
        <v>15306</v>
      </c>
      <c r="B4880" s="1" t="s">
        <v>15307</v>
      </c>
      <c r="C4880" s="1" t="s">
        <v>15308</v>
      </c>
      <c r="D4880" s="1" t="s">
        <v>15033</v>
      </c>
      <c r="E4880" s="1" t="s">
        <v>15034</v>
      </c>
      <c r="F4880" s="1">
        <v>4153222.0</v>
      </c>
      <c r="G4880" s="1">
        <v>213625.0</v>
      </c>
      <c r="H4880" s="1">
        <v>2122.0</v>
      </c>
      <c r="I4880" s="1">
        <v>7920000.0</v>
      </c>
      <c r="J4880" s="1" t="s">
        <v>12283</v>
      </c>
    </row>
    <row r="4881">
      <c r="A4881" s="1" t="s">
        <v>15310</v>
      </c>
      <c r="B4881" s="1" t="s">
        <v>15312</v>
      </c>
      <c r="C4881" s="1" t="s">
        <v>15314</v>
      </c>
      <c r="D4881" s="1" t="s">
        <v>15033</v>
      </c>
      <c r="E4881" s="1" t="s">
        <v>15034</v>
      </c>
      <c r="F4881" s="1">
        <v>3889345.0</v>
      </c>
      <c r="G4881" s="1">
        <v>159761.0</v>
      </c>
      <c r="H4881" s="1">
        <v>3126.0</v>
      </c>
      <c r="I4881" s="1">
        <v>7920000.0</v>
      </c>
      <c r="J4881" s="1" t="s">
        <v>12283</v>
      </c>
    </row>
    <row r="4882">
      <c r="A4882" s="1" t="s">
        <v>15315</v>
      </c>
      <c r="B4882" s="1" t="s">
        <v>15316</v>
      </c>
      <c r="C4882" s="1" t="s">
        <v>15317</v>
      </c>
      <c r="D4882" s="1" t="s">
        <v>15033</v>
      </c>
      <c r="E4882" s="1" t="s">
        <v>15034</v>
      </c>
      <c r="F4882" s="1">
        <v>1008293.0</v>
      </c>
      <c r="G4882" s="1">
        <v>47852.0</v>
      </c>
      <c r="H4882" s="1">
        <v>633.0</v>
      </c>
      <c r="I4882" s="1">
        <v>7920000.0</v>
      </c>
      <c r="J4882" s="1" t="s">
        <v>12283</v>
      </c>
    </row>
    <row r="4883">
      <c r="A4883" s="1" t="s">
        <v>15318</v>
      </c>
      <c r="B4883" s="1" t="s">
        <v>15319</v>
      </c>
      <c r="C4883" s="1" t="s">
        <v>15320</v>
      </c>
      <c r="D4883" s="1" t="s">
        <v>15033</v>
      </c>
      <c r="E4883" s="1" t="s">
        <v>15034</v>
      </c>
      <c r="F4883" s="1">
        <v>959993.0</v>
      </c>
      <c r="G4883" s="1">
        <v>46963.0</v>
      </c>
      <c r="H4883" s="1">
        <v>773.0</v>
      </c>
      <c r="I4883" s="1">
        <v>7920000.0</v>
      </c>
      <c r="J4883" s="1" t="s">
        <v>12283</v>
      </c>
    </row>
    <row r="4884">
      <c r="A4884" s="1" t="s">
        <v>15321</v>
      </c>
      <c r="B4884" s="1" t="s">
        <v>15322</v>
      </c>
      <c r="C4884" s="1" t="s">
        <v>15323</v>
      </c>
      <c r="D4884" s="1" t="s">
        <v>15033</v>
      </c>
      <c r="E4884" s="1" t="s">
        <v>15034</v>
      </c>
      <c r="F4884" s="1">
        <v>370147.0</v>
      </c>
      <c r="G4884" s="1">
        <v>20042.0</v>
      </c>
      <c r="H4884" s="1">
        <v>445.0</v>
      </c>
      <c r="I4884" s="1">
        <v>7920000.0</v>
      </c>
      <c r="J4884" s="1" t="s">
        <v>12283</v>
      </c>
    </row>
    <row r="4885">
      <c r="A4885" s="1" t="s">
        <v>15324</v>
      </c>
      <c r="B4885" s="1" t="s">
        <v>15325</v>
      </c>
      <c r="C4885" s="1" t="s">
        <v>15326</v>
      </c>
      <c r="D4885" s="1" t="s">
        <v>15033</v>
      </c>
      <c r="E4885" s="1" t="s">
        <v>15034</v>
      </c>
      <c r="F4885" s="1">
        <v>1511846.0</v>
      </c>
      <c r="G4885" s="1">
        <v>66994.0</v>
      </c>
      <c r="H4885" s="1">
        <v>357.0</v>
      </c>
      <c r="I4885" s="1">
        <v>7920000.0</v>
      </c>
      <c r="J4885" s="1" t="s">
        <v>12283</v>
      </c>
    </row>
    <row r="4886">
      <c r="A4886" s="1" t="s">
        <v>15327</v>
      </c>
      <c r="B4886" s="1" t="s">
        <v>15328</v>
      </c>
      <c r="C4886" s="1" t="s">
        <v>15329</v>
      </c>
      <c r="D4886" s="1" t="s">
        <v>15033</v>
      </c>
      <c r="E4886" s="1" t="s">
        <v>15034</v>
      </c>
      <c r="F4886" s="1">
        <v>2976437.0</v>
      </c>
      <c r="G4886" s="1">
        <v>57026.0</v>
      </c>
      <c r="H4886" s="1">
        <v>12356.0</v>
      </c>
      <c r="I4886" s="1">
        <v>7920000.0</v>
      </c>
      <c r="J4886" s="1" t="s">
        <v>12283</v>
      </c>
    </row>
    <row r="4887">
      <c r="A4887" s="1" t="s">
        <v>15330</v>
      </c>
      <c r="B4887" s="1" t="s">
        <v>15331</v>
      </c>
      <c r="C4887" s="1" t="s">
        <v>15332</v>
      </c>
      <c r="D4887" s="1" t="s">
        <v>15033</v>
      </c>
      <c r="E4887" s="1" t="s">
        <v>15034</v>
      </c>
      <c r="F4887" s="1">
        <v>947161.0</v>
      </c>
      <c r="G4887" s="1">
        <v>50879.0</v>
      </c>
      <c r="H4887" s="1">
        <v>1721.0</v>
      </c>
      <c r="I4887" s="1">
        <v>7920000.0</v>
      </c>
      <c r="J4887" s="1" t="s">
        <v>12283</v>
      </c>
    </row>
    <row r="4888">
      <c r="A4888" s="1" t="s">
        <v>15336</v>
      </c>
      <c r="B4888" s="1" t="s">
        <v>15337</v>
      </c>
      <c r="C4888" s="1" t="s">
        <v>15338</v>
      </c>
      <c r="D4888" s="1" t="s">
        <v>15033</v>
      </c>
      <c r="E4888" s="1" t="s">
        <v>15034</v>
      </c>
      <c r="F4888" s="1">
        <v>553079.0</v>
      </c>
      <c r="G4888" s="1">
        <v>31601.0</v>
      </c>
      <c r="H4888" s="1">
        <v>163.0</v>
      </c>
      <c r="I4888" s="1">
        <v>7920000.0</v>
      </c>
      <c r="J4888" s="1" t="s">
        <v>12283</v>
      </c>
    </row>
    <row r="4889">
      <c r="A4889" s="1" t="s">
        <v>15339</v>
      </c>
      <c r="B4889" s="1" t="s">
        <v>15340</v>
      </c>
      <c r="C4889" s="1" t="s">
        <v>15341</v>
      </c>
      <c r="D4889" s="1" t="s">
        <v>15033</v>
      </c>
      <c r="E4889" s="1" t="s">
        <v>15034</v>
      </c>
      <c r="F4889" s="1">
        <v>5036144.0</v>
      </c>
      <c r="G4889" s="1">
        <v>263193.0</v>
      </c>
      <c r="H4889" s="1">
        <v>6296.0</v>
      </c>
      <c r="I4889" s="1">
        <v>7920000.0</v>
      </c>
      <c r="J4889" s="1" t="s">
        <v>12283</v>
      </c>
    </row>
    <row r="4890">
      <c r="A4890" s="1" t="s">
        <v>15342</v>
      </c>
      <c r="B4890" s="1" t="s">
        <v>15343</v>
      </c>
      <c r="C4890" s="1" t="s">
        <v>15344</v>
      </c>
      <c r="D4890" s="1" t="s">
        <v>15033</v>
      </c>
      <c r="E4890" s="1" t="s">
        <v>15034</v>
      </c>
      <c r="F4890" s="1">
        <v>357205.0</v>
      </c>
      <c r="G4890" s="1">
        <v>15028.0</v>
      </c>
      <c r="H4890" s="1">
        <v>180.0</v>
      </c>
      <c r="I4890" s="1">
        <v>7920000.0</v>
      </c>
      <c r="J4890" s="1" t="s">
        <v>12283</v>
      </c>
    </row>
    <row r="4891">
      <c r="A4891" s="1" t="s">
        <v>15345</v>
      </c>
      <c r="B4891" s="1" t="s">
        <v>15346</v>
      </c>
      <c r="C4891" s="1" t="s">
        <v>15347</v>
      </c>
      <c r="D4891" s="1" t="s">
        <v>15033</v>
      </c>
      <c r="E4891" s="1" t="s">
        <v>15034</v>
      </c>
      <c r="F4891" s="1">
        <v>1303635.0</v>
      </c>
      <c r="G4891" s="1">
        <v>60983.0</v>
      </c>
      <c r="H4891" s="1">
        <v>1871.0</v>
      </c>
      <c r="I4891" s="1">
        <v>7920000.0</v>
      </c>
      <c r="J4891" s="1" t="s">
        <v>12283</v>
      </c>
    </row>
    <row r="4892">
      <c r="A4892" s="1" t="s">
        <v>15349</v>
      </c>
      <c r="B4892" s="1" t="s">
        <v>15351</v>
      </c>
      <c r="C4892" s="1" t="s">
        <v>15353</v>
      </c>
      <c r="D4892" s="1" t="s">
        <v>15033</v>
      </c>
      <c r="E4892" s="1" t="s">
        <v>15034</v>
      </c>
      <c r="F4892" s="1">
        <v>3953231.0</v>
      </c>
      <c r="G4892" s="1">
        <v>223266.0</v>
      </c>
      <c r="H4892" s="1">
        <v>5225.0</v>
      </c>
      <c r="I4892" s="1">
        <v>7920000.0</v>
      </c>
      <c r="J4892" s="1" t="s">
        <v>12283</v>
      </c>
    </row>
    <row r="4893">
      <c r="A4893" s="1" t="s">
        <v>15354</v>
      </c>
      <c r="B4893" s="1" t="s">
        <v>15355</v>
      </c>
      <c r="C4893" s="1" t="s">
        <v>15356</v>
      </c>
      <c r="D4893" s="1" t="s">
        <v>15033</v>
      </c>
      <c r="E4893" s="1" t="s">
        <v>15034</v>
      </c>
      <c r="F4893" s="1">
        <v>877110.0</v>
      </c>
      <c r="G4893" s="1">
        <v>48070.0</v>
      </c>
      <c r="H4893" s="1">
        <v>2503.0</v>
      </c>
      <c r="I4893" s="1">
        <v>7920000.0</v>
      </c>
      <c r="J4893" s="1" t="s">
        <v>12283</v>
      </c>
    </row>
    <row r="4894">
      <c r="A4894" s="1" t="s">
        <v>15357</v>
      </c>
      <c r="B4894" s="1" t="s">
        <v>15358</v>
      </c>
      <c r="C4894" s="1" t="s">
        <v>15359</v>
      </c>
      <c r="D4894" s="1" t="s">
        <v>15033</v>
      </c>
      <c r="E4894" s="1" t="s">
        <v>15034</v>
      </c>
      <c r="F4894" s="1">
        <v>1662153.0</v>
      </c>
      <c r="G4894" s="1">
        <v>76542.0</v>
      </c>
      <c r="H4894" s="1">
        <v>3486.0</v>
      </c>
      <c r="I4894" s="1">
        <v>7920000.0</v>
      </c>
      <c r="J4894" s="1" t="s">
        <v>12283</v>
      </c>
    </row>
    <row r="4895">
      <c r="A4895" s="1" t="s">
        <v>15360</v>
      </c>
      <c r="B4895" s="1" t="s">
        <v>15361</v>
      </c>
      <c r="C4895" s="1" t="s">
        <v>15362</v>
      </c>
      <c r="D4895" s="1" t="s">
        <v>15033</v>
      </c>
      <c r="E4895" s="1" t="s">
        <v>15034</v>
      </c>
      <c r="F4895" s="1">
        <v>129478.0</v>
      </c>
      <c r="G4895" s="1">
        <v>5945.0</v>
      </c>
      <c r="H4895" s="1">
        <v>162.0</v>
      </c>
      <c r="I4895" s="1">
        <v>7920000.0</v>
      </c>
      <c r="J4895" s="1" t="s">
        <v>12283</v>
      </c>
    </row>
    <row r="4896">
      <c r="A4896" s="1" t="s">
        <v>15363</v>
      </c>
      <c r="B4896" s="1" t="s">
        <v>15364</v>
      </c>
      <c r="C4896" s="1" t="s">
        <v>15365</v>
      </c>
      <c r="D4896" s="1" t="s">
        <v>15033</v>
      </c>
      <c r="E4896" s="1" t="s">
        <v>15034</v>
      </c>
      <c r="F4896" s="1">
        <v>1355151.0</v>
      </c>
      <c r="G4896" s="1">
        <v>72784.0</v>
      </c>
      <c r="H4896" s="1">
        <v>1600.0</v>
      </c>
      <c r="I4896" s="1">
        <v>7920000.0</v>
      </c>
      <c r="J4896" s="1" t="s">
        <v>12283</v>
      </c>
    </row>
    <row r="4897">
      <c r="A4897" s="1" t="s">
        <v>15366</v>
      </c>
      <c r="B4897" s="1" t="s">
        <v>15367</v>
      </c>
      <c r="C4897" s="1" t="s">
        <v>15368</v>
      </c>
      <c r="D4897" s="1" t="s">
        <v>15033</v>
      </c>
      <c r="E4897" s="1" t="s">
        <v>15034</v>
      </c>
      <c r="F4897" s="1">
        <v>339648.0</v>
      </c>
      <c r="G4897" s="1">
        <v>17830.0</v>
      </c>
      <c r="H4897" s="1">
        <v>272.0</v>
      </c>
      <c r="I4897" s="1">
        <v>7920000.0</v>
      </c>
      <c r="J4897" s="1" t="s">
        <v>12283</v>
      </c>
    </row>
    <row r="4898">
      <c r="A4898" s="1" t="s">
        <v>15369</v>
      </c>
      <c r="B4898" s="1" t="s">
        <v>15371</v>
      </c>
      <c r="C4898" s="1" t="s">
        <v>15372</v>
      </c>
      <c r="D4898" s="1" t="s">
        <v>15033</v>
      </c>
      <c r="E4898" s="1" t="s">
        <v>15034</v>
      </c>
      <c r="F4898" s="1">
        <v>1895851.0</v>
      </c>
      <c r="G4898" s="1">
        <v>48263.0</v>
      </c>
      <c r="H4898" s="1">
        <v>2861.0</v>
      </c>
      <c r="I4898" s="1">
        <v>7920000.0</v>
      </c>
      <c r="J4898" s="1" t="s">
        <v>12283</v>
      </c>
    </row>
    <row r="4899">
      <c r="A4899" s="1" t="s">
        <v>15375</v>
      </c>
      <c r="B4899" s="1" t="s">
        <v>15376</v>
      </c>
      <c r="C4899" s="1" t="s">
        <v>15377</v>
      </c>
      <c r="D4899" s="1" t="s">
        <v>15033</v>
      </c>
      <c r="E4899" s="1" t="s">
        <v>15034</v>
      </c>
      <c r="F4899" s="1">
        <v>1065458.0</v>
      </c>
      <c r="G4899" s="1">
        <v>51166.0</v>
      </c>
      <c r="H4899" s="1">
        <v>1259.0</v>
      </c>
      <c r="I4899" s="1">
        <v>7920000.0</v>
      </c>
      <c r="J4899" s="1" t="s">
        <v>12283</v>
      </c>
    </row>
    <row r="4900">
      <c r="A4900" s="1" t="s">
        <v>15378</v>
      </c>
      <c r="B4900" s="1" t="s">
        <v>15379</v>
      </c>
      <c r="C4900" s="1" t="s">
        <v>15380</v>
      </c>
      <c r="D4900" s="1" t="s">
        <v>15033</v>
      </c>
      <c r="E4900" s="1" t="s">
        <v>15034</v>
      </c>
      <c r="F4900" s="1">
        <v>942334.0</v>
      </c>
      <c r="G4900" s="1">
        <v>53267.0</v>
      </c>
      <c r="H4900" s="1">
        <v>618.0</v>
      </c>
      <c r="I4900" s="1">
        <v>7920000.0</v>
      </c>
      <c r="J4900" s="1" t="s">
        <v>12283</v>
      </c>
    </row>
    <row r="4901">
      <c r="A4901" s="1" t="s">
        <v>15381</v>
      </c>
      <c r="B4901" s="1" t="s">
        <v>15382</v>
      </c>
      <c r="C4901" s="1" t="s">
        <v>15383</v>
      </c>
      <c r="D4901" s="1" t="s">
        <v>15033</v>
      </c>
      <c r="E4901" s="1" t="s">
        <v>15034</v>
      </c>
      <c r="F4901" s="1">
        <v>1227442.0</v>
      </c>
      <c r="G4901" s="1">
        <v>84761.0</v>
      </c>
      <c r="H4901" s="1">
        <v>1270.0</v>
      </c>
      <c r="I4901" s="1">
        <v>7920000.0</v>
      </c>
      <c r="J4901" s="1" t="s">
        <v>12283</v>
      </c>
    </row>
    <row r="4902">
      <c r="A4902" s="1" t="s">
        <v>15384</v>
      </c>
      <c r="B4902" s="1" t="s">
        <v>15385</v>
      </c>
      <c r="C4902" s="1" t="s">
        <v>15386</v>
      </c>
      <c r="D4902" s="1" t="s">
        <v>15033</v>
      </c>
      <c r="E4902" s="1" t="s">
        <v>15034</v>
      </c>
      <c r="F4902" s="1">
        <v>7078222.0</v>
      </c>
      <c r="G4902" s="1">
        <v>176243.0</v>
      </c>
      <c r="H4902" s="1">
        <v>15172.0</v>
      </c>
      <c r="I4902" s="1">
        <v>7920000.0</v>
      </c>
      <c r="J4902" s="1" t="s">
        <v>12283</v>
      </c>
    </row>
    <row r="4903">
      <c r="A4903" s="1" t="s">
        <v>15387</v>
      </c>
      <c r="B4903" s="1" t="s">
        <v>15388</v>
      </c>
      <c r="C4903" s="1" t="s">
        <v>15389</v>
      </c>
      <c r="D4903" s="1" t="s">
        <v>15033</v>
      </c>
      <c r="E4903" s="1" t="s">
        <v>15034</v>
      </c>
      <c r="F4903" s="1">
        <v>2342473.0</v>
      </c>
      <c r="G4903" s="1">
        <v>120825.0</v>
      </c>
      <c r="H4903" s="1">
        <v>674.0</v>
      </c>
      <c r="I4903" s="1">
        <v>7920000.0</v>
      </c>
      <c r="J4903" s="1" t="s">
        <v>12283</v>
      </c>
    </row>
    <row r="4904">
      <c r="A4904" s="1" t="s">
        <v>15390</v>
      </c>
      <c r="B4904" s="1" t="s">
        <v>15391</v>
      </c>
      <c r="C4904" s="1" t="s">
        <v>15392</v>
      </c>
      <c r="D4904" s="1" t="s">
        <v>15033</v>
      </c>
      <c r="E4904" s="1" t="s">
        <v>15034</v>
      </c>
      <c r="F4904" s="1">
        <v>3712788.0</v>
      </c>
      <c r="G4904" s="1">
        <v>243906.0</v>
      </c>
      <c r="H4904" s="1">
        <v>1917.0</v>
      </c>
      <c r="I4904" s="1">
        <v>7920000.0</v>
      </c>
      <c r="J4904" s="1" t="s">
        <v>12283</v>
      </c>
    </row>
    <row r="4905">
      <c r="A4905" s="1" t="s">
        <v>15393</v>
      </c>
      <c r="B4905" s="1" t="s">
        <v>15394</v>
      </c>
      <c r="C4905" s="1" t="s">
        <v>15395</v>
      </c>
      <c r="D4905" s="1" t="s">
        <v>15033</v>
      </c>
      <c r="E4905" s="1" t="s">
        <v>15034</v>
      </c>
      <c r="F4905" s="1">
        <v>3330192.0</v>
      </c>
      <c r="G4905" s="1">
        <v>83551.0</v>
      </c>
      <c r="H4905" s="1">
        <v>4177.0</v>
      </c>
      <c r="I4905" s="1">
        <v>7920000.0</v>
      </c>
      <c r="J4905" s="1" t="s">
        <v>12283</v>
      </c>
    </row>
    <row r="4906">
      <c r="A4906" s="1" t="s">
        <v>15396</v>
      </c>
      <c r="B4906" s="1" t="s">
        <v>15397</v>
      </c>
      <c r="C4906" s="1" t="s">
        <v>15398</v>
      </c>
      <c r="D4906" s="1" t="s">
        <v>15033</v>
      </c>
      <c r="E4906" s="1" t="s">
        <v>15034</v>
      </c>
      <c r="F4906" s="1">
        <v>393759.0</v>
      </c>
      <c r="G4906" s="1">
        <v>23224.0</v>
      </c>
      <c r="H4906" s="1">
        <v>488.0</v>
      </c>
      <c r="I4906" s="1">
        <v>7920000.0</v>
      </c>
      <c r="J4906" s="1" t="s">
        <v>12283</v>
      </c>
    </row>
    <row r="4907">
      <c r="A4907" s="1" t="s">
        <v>15402</v>
      </c>
      <c r="B4907" s="1" t="s">
        <v>15403</v>
      </c>
      <c r="C4907" s="1" t="s">
        <v>15404</v>
      </c>
      <c r="D4907" s="1" t="s">
        <v>15033</v>
      </c>
      <c r="E4907" s="1" t="s">
        <v>15034</v>
      </c>
      <c r="F4907" s="1">
        <v>3945559.0</v>
      </c>
      <c r="G4907" s="1">
        <v>365646.0</v>
      </c>
      <c r="H4907" s="1">
        <v>1175.0</v>
      </c>
      <c r="I4907" s="1">
        <v>7920000.0</v>
      </c>
      <c r="J4907" s="1" t="s">
        <v>12283</v>
      </c>
    </row>
    <row r="4908">
      <c r="A4908" s="1" t="s">
        <v>15405</v>
      </c>
      <c r="B4908" s="1" t="s">
        <v>15406</v>
      </c>
      <c r="C4908" s="1" t="s">
        <v>15407</v>
      </c>
      <c r="D4908" s="1" t="s">
        <v>15033</v>
      </c>
      <c r="E4908" s="1" t="s">
        <v>15034</v>
      </c>
      <c r="F4908" s="1">
        <v>751541.0</v>
      </c>
      <c r="G4908" s="1">
        <v>29968.0</v>
      </c>
      <c r="H4908" s="1">
        <v>1836.0</v>
      </c>
      <c r="I4908" s="1">
        <v>7920000.0</v>
      </c>
      <c r="J4908" s="1" t="s">
        <v>12283</v>
      </c>
    </row>
    <row r="4909">
      <c r="A4909" s="1" t="s">
        <v>15408</v>
      </c>
      <c r="B4909" s="1" t="s">
        <v>15409</v>
      </c>
      <c r="C4909" s="1" t="s">
        <v>15410</v>
      </c>
      <c r="D4909" s="1" t="s">
        <v>15033</v>
      </c>
      <c r="E4909" s="1" t="s">
        <v>15034</v>
      </c>
      <c r="F4909" s="1">
        <v>6571287.0</v>
      </c>
      <c r="G4909" s="1">
        <v>358013.0</v>
      </c>
      <c r="H4909" s="1">
        <v>3541.0</v>
      </c>
      <c r="I4909" s="1">
        <v>7920000.0</v>
      </c>
      <c r="J4909" s="1" t="s">
        <v>12283</v>
      </c>
    </row>
    <row r="4910">
      <c r="A4910" s="1" t="s">
        <v>15411</v>
      </c>
      <c r="B4910" s="1" t="s">
        <v>15412</v>
      </c>
      <c r="C4910" s="1" t="s">
        <v>15413</v>
      </c>
      <c r="D4910" s="1" t="s">
        <v>15033</v>
      </c>
      <c r="E4910" s="1" t="s">
        <v>15034</v>
      </c>
      <c r="F4910" s="1">
        <v>4667506.0</v>
      </c>
      <c r="G4910" s="1">
        <v>330123.0</v>
      </c>
      <c r="H4910" s="1">
        <v>2496.0</v>
      </c>
      <c r="I4910" s="1">
        <v>7920000.0</v>
      </c>
      <c r="J4910" s="1" t="s">
        <v>12283</v>
      </c>
    </row>
    <row r="4911">
      <c r="A4911" s="1" t="s">
        <v>15414</v>
      </c>
      <c r="B4911" s="1" t="s">
        <v>15415</v>
      </c>
      <c r="C4911" s="1" t="s">
        <v>15416</v>
      </c>
      <c r="D4911" s="1" t="s">
        <v>15033</v>
      </c>
      <c r="E4911" s="1" t="s">
        <v>15034</v>
      </c>
      <c r="F4911" s="1">
        <v>2465307.0</v>
      </c>
      <c r="G4911" s="1">
        <v>111563.0</v>
      </c>
      <c r="H4911" s="1">
        <v>1382.0</v>
      </c>
      <c r="I4911" s="1">
        <v>7920000.0</v>
      </c>
      <c r="J4911" s="1" t="s">
        <v>12283</v>
      </c>
    </row>
    <row r="4912">
      <c r="A4912" s="1" t="s">
        <v>15417</v>
      </c>
      <c r="B4912" s="1" t="s">
        <v>15418</v>
      </c>
      <c r="C4912" s="1" t="s">
        <v>15419</v>
      </c>
      <c r="D4912" s="1" t="s">
        <v>15033</v>
      </c>
      <c r="E4912" s="1" t="s">
        <v>15034</v>
      </c>
      <c r="F4912" s="1">
        <v>1991442.0</v>
      </c>
      <c r="G4912" s="1">
        <v>47035.0</v>
      </c>
      <c r="H4912" s="1">
        <v>4253.0</v>
      </c>
      <c r="I4912" s="1">
        <v>7920000.0</v>
      </c>
      <c r="J4912" s="1" t="s">
        <v>12283</v>
      </c>
    </row>
    <row r="4913">
      <c r="A4913" s="1" t="s">
        <v>15421</v>
      </c>
      <c r="B4913" s="1" t="s">
        <v>15423</v>
      </c>
      <c r="C4913" s="1" t="s">
        <v>15425</v>
      </c>
      <c r="D4913" s="1" t="s">
        <v>15033</v>
      </c>
      <c r="E4913" s="1" t="s">
        <v>15034</v>
      </c>
      <c r="F4913" s="1">
        <v>1854884.0</v>
      </c>
      <c r="G4913" s="1">
        <v>106088.0</v>
      </c>
      <c r="H4913" s="1">
        <v>3596.0</v>
      </c>
      <c r="I4913" s="1">
        <v>7920000.0</v>
      </c>
      <c r="J4913" s="1" t="s">
        <v>12283</v>
      </c>
    </row>
    <row r="4914">
      <c r="A4914" s="1" t="s">
        <v>15426</v>
      </c>
      <c r="B4914" s="1" t="s">
        <v>15427</v>
      </c>
      <c r="C4914" s="1" t="s">
        <v>15428</v>
      </c>
      <c r="D4914" s="1" t="s">
        <v>15033</v>
      </c>
      <c r="E4914" s="1" t="s">
        <v>15034</v>
      </c>
      <c r="F4914" s="1">
        <v>3117402.0</v>
      </c>
      <c r="G4914" s="1">
        <v>68701.0</v>
      </c>
      <c r="H4914" s="1">
        <v>5474.0</v>
      </c>
      <c r="I4914" s="1">
        <v>7920000.0</v>
      </c>
      <c r="J4914" s="1" t="s">
        <v>12283</v>
      </c>
    </row>
    <row r="4915">
      <c r="A4915" s="1" t="s">
        <v>15429</v>
      </c>
      <c r="B4915" s="1" t="s">
        <v>15430</v>
      </c>
      <c r="C4915" s="1" t="s">
        <v>15431</v>
      </c>
      <c r="D4915" s="1" t="s">
        <v>15033</v>
      </c>
      <c r="E4915" s="1" t="s">
        <v>15034</v>
      </c>
      <c r="F4915" s="1">
        <v>802925.0</v>
      </c>
      <c r="G4915" s="1">
        <v>51323.0</v>
      </c>
      <c r="H4915" s="1">
        <v>854.0</v>
      </c>
      <c r="I4915" s="1">
        <v>7920000.0</v>
      </c>
      <c r="J4915" s="1" t="s">
        <v>12283</v>
      </c>
    </row>
    <row r="4916">
      <c r="A4916" s="1" t="s">
        <v>15432</v>
      </c>
      <c r="B4916" s="1" t="s">
        <v>15433</v>
      </c>
      <c r="C4916" s="1" t="s">
        <v>15434</v>
      </c>
      <c r="D4916" s="1" t="s">
        <v>15033</v>
      </c>
      <c r="E4916" s="1" t="s">
        <v>15034</v>
      </c>
      <c r="F4916" s="1">
        <v>390352.0</v>
      </c>
      <c r="G4916" s="1">
        <v>23728.0</v>
      </c>
      <c r="H4916" s="1">
        <v>291.0</v>
      </c>
      <c r="I4916" s="1">
        <v>7920000.0</v>
      </c>
      <c r="J4916" s="1" t="s">
        <v>12283</v>
      </c>
    </row>
    <row r="4917">
      <c r="A4917" s="1" t="s">
        <v>15435</v>
      </c>
      <c r="B4917" s="1" t="s">
        <v>15436</v>
      </c>
      <c r="C4917" s="1" t="s">
        <v>15437</v>
      </c>
      <c r="D4917" s="1" t="s">
        <v>15033</v>
      </c>
      <c r="E4917" s="1" t="s">
        <v>15034</v>
      </c>
      <c r="F4917" s="1">
        <v>1982550.0</v>
      </c>
      <c r="G4917" s="1">
        <v>109921.0</v>
      </c>
      <c r="H4917" s="1">
        <v>1841.0</v>
      </c>
      <c r="I4917" s="1">
        <v>7920000.0</v>
      </c>
      <c r="J4917" s="1" t="s">
        <v>12283</v>
      </c>
    </row>
    <row r="4918">
      <c r="A4918" s="1" t="s">
        <v>15438</v>
      </c>
      <c r="B4918" s="1" t="s">
        <v>15439</v>
      </c>
      <c r="C4918" s="1" t="s">
        <v>15440</v>
      </c>
      <c r="D4918" s="1" t="s">
        <v>15033</v>
      </c>
      <c r="E4918" s="1" t="s">
        <v>15034</v>
      </c>
      <c r="F4918" s="1">
        <v>2184566.0</v>
      </c>
      <c r="G4918" s="1">
        <v>64944.0</v>
      </c>
      <c r="H4918" s="1">
        <v>8637.0</v>
      </c>
      <c r="I4918" s="1">
        <v>7920000.0</v>
      </c>
      <c r="J4918" s="1" t="s">
        <v>12283</v>
      </c>
    </row>
    <row r="4919">
      <c r="A4919" s="1" t="s">
        <v>15441</v>
      </c>
      <c r="B4919" s="1" t="s">
        <v>15442</v>
      </c>
      <c r="C4919" s="1" t="s">
        <v>15443</v>
      </c>
      <c r="D4919" s="1" t="s">
        <v>15033</v>
      </c>
      <c r="E4919" s="1" t="s">
        <v>15034</v>
      </c>
      <c r="F4919" s="1">
        <v>1347549.0</v>
      </c>
      <c r="G4919" s="1">
        <v>88692.0</v>
      </c>
      <c r="H4919" s="1">
        <v>675.0</v>
      </c>
      <c r="I4919" s="1">
        <v>7920000.0</v>
      </c>
      <c r="J4919" s="1" t="s">
        <v>12283</v>
      </c>
    </row>
    <row r="4920">
      <c r="A4920" s="1" t="s">
        <v>15444</v>
      </c>
      <c r="B4920" s="1" t="s">
        <v>15445</v>
      </c>
      <c r="C4920" s="1" t="s">
        <v>15446</v>
      </c>
      <c r="D4920" s="1" t="s">
        <v>15033</v>
      </c>
      <c r="E4920" s="1" t="s">
        <v>15034</v>
      </c>
      <c r="F4920" s="1">
        <v>738664.0</v>
      </c>
      <c r="G4920" s="1">
        <v>43608.0</v>
      </c>
      <c r="H4920" s="1">
        <v>348.0</v>
      </c>
      <c r="I4920" s="1">
        <v>7920000.0</v>
      </c>
      <c r="J4920" s="1" t="s">
        <v>12283</v>
      </c>
    </row>
    <row r="4921">
      <c r="A4921" s="1" t="s">
        <v>15447</v>
      </c>
      <c r="B4921" s="1" t="s">
        <v>15448</v>
      </c>
      <c r="C4921" s="1" t="s">
        <v>15449</v>
      </c>
      <c r="D4921" s="1" t="s">
        <v>15033</v>
      </c>
      <c r="E4921" s="1" t="s">
        <v>15034</v>
      </c>
      <c r="F4921" s="1">
        <v>3787686.0</v>
      </c>
      <c r="G4921" s="1">
        <v>206928.0</v>
      </c>
      <c r="H4921" s="1">
        <v>2979.0</v>
      </c>
      <c r="I4921" s="1">
        <v>7920000.0</v>
      </c>
      <c r="J4921" s="1" t="s">
        <v>12283</v>
      </c>
    </row>
    <row r="4922">
      <c r="A4922" s="1" t="s">
        <v>15450</v>
      </c>
      <c r="B4922" s="1" t="s">
        <v>15451</v>
      </c>
      <c r="C4922" s="1" t="s">
        <v>15452</v>
      </c>
      <c r="D4922" s="1" t="s">
        <v>15033</v>
      </c>
      <c r="E4922" s="1" t="s">
        <v>15034</v>
      </c>
      <c r="F4922" s="1">
        <v>1121843.0</v>
      </c>
      <c r="G4922" s="1">
        <v>71647.0</v>
      </c>
      <c r="H4922" s="1">
        <v>928.0</v>
      </c>
      <c r="I4922" s="1">
        <v>7920000.0</v>
      </c>
      <c r="J4922" s="1" t="s">
        <v>12283</v>
      </c>
    </row>
    <row r="4923">
      <c r="A4923" s="1" t="s">
        <v>15453</v>
      </c>
      <c r="B4923" s="1" t="s">
        <v>15454</v>
      </c>
      <c r="C4923" s="1" t="s">
        <v>15456</v>
      </c>
      <c r="D4923" s="1" t="s">
        <v>15033</v>
      </c>
      <c r="E4923" s="1" t="s">
        <v>15034</v>
      </c>
      <c r="F4923" s="1">
        <v>4706262.0</v>
      </c>
      <c r="G4923" s="1">
        <v>223305.0</v>
      </c>
      <c r="H4923" s="1">
        <v>2751.0</v>
      </c>
      <c r="I4923" s="1">
        <v>7920000.0</v>
      </c>
      <c r="J4923" s="1" t="s">
        <v>12283</v>
      </c>
    </row>
    <row r="4924">
      <c r="A4924" s="1" t="s">
        <v>15459</v>
      </c>
      <c r="B4924" s="1" t="s">
        <v>15460</v>
      </c>
      <c r="C4924" s="1" t="s">
        <v>15461</v>
      </c>
      <c r="D4924" s="1" t="s">
        <v>15033</v>
      </c>
      <c r="E4924" s="1" t="s">
        <v>15034</v>
      </c>
      <c r="F4924" s="1">
        <v>1840006.0</v>
      </c>
      <c r="G4924" s="1">
        <v>107661.0</v>
      </c>
      <c r="H4924" s="1">
        <v>2081.0</v>
      </c>
      <c r="I4924" s="1">
        <v>7920000.0</v>
      </c>
      <c r="J4924" s="1" t="s">
        <v>12283</v>
      </c>
    </row>
    <row r="4925">
      <c r="A4925" s="1" t="s">
        <v>15462</v>
      </c>
      <c r="B4925" s="1" t="s">
        <v>15463</v>
      </c>
      <c r="C4925" s="1" t="s">
        <v>15464</v>
      </c>
      <c r="D4925" s="1" t="s">
        <v>15033</v>
      </c>
      <c r="E4925" s="1" t="s">
        <v>15034</v>
      </c>
      <c r="F4925" s="1">
        <v>2361554.0</v>
      </c>
      <c r="G4925" s="1">
        <v>135431.0</v>
      </c>
      <c r="H4925" s="1">
        <v>2145.0</v>
      </c>
      <c r="I4925" s="1">
        <v>7920000.0</v>
      </c>
      <c r="J4925" s="1" t="s">
        <v>12283</v>
      </c>
    </row>
    <row r="4926">
      <c r="A4926" s="1" t="s">
        <v>15465</v>
      </c>
      <c r="B4926" s="1" t="s">
        <v>15466</v>
      </c>
      <c r="C4926" s="1" t="s">
        <v>15467</v>
      </c>
      <c r="D4926" s="1" t="s">
        <v>15033</v>
      </c>
      <c r="E4926" s="1" t="s">
        <v>15034</v>
      </c>
      <c r="F4926" s="1">
        <v>1364972.0</v>
      </c>
      <c r="G4926" s="1">
        <v>110220.0</v>
      </c>
      <c r="H4926" s="1">
        <v>1721.0</v>
      </c>
      <c r="I4926" s="1">
        <v>7920000.0</v>
      </c>
      <c r="J4926" s="1" t="s">
        <v>12283</v>
      </c>
    </row>
    <row r="4927">
      <c r="A4927" s="1" t="s">
        <v>15468</v>
      </c>
      <c r="B4927" s="1" t="s">
        <v>15469</v>
      </c>
      <c r="C4927" s="1" t="s">
        <v>15470</v>
      </c>
      <c r="D4927" s="1" t="s">
        <v>15033</v>
      </c>
      <c r="E4927" s="1" t="s">
        <v>15034</v>
      </c>
      <c r="F4927" s="1">
        <v>2565252.0</v>
      </c>
      <c r="G4927" s="1">
        <v>85502.0</v>
      </c>
      <c r="H4927" s="1">
        <v>26424.0</v>
      </c>
      <c r="I4927" s="1">
        <v>7920000.0</v>
      </c>
      <c r="J4927" s="1" t="s">
        <v>12283</v>
      </c>
    </row>
    <row r="4928">
      <c r="A4928" s="1" t="s">
        <v>15471</v>
      </c>
      <c r="B4928" s="1" t="s">
        <v>15472</v>
      </c>
      <c r="C4928" s="1" t="s">
        <v>15473</v>
      </c>
      <c r="D4928" s="1" t="s">
        <v>15033</v>
      </c>
      <c r="E4928" s="1" t="s">
        <v>15034</v>
      </c>
      <c r="F4928" s="1">
        <v>1399675.0</v>
      </c>
      <c r="G4928" s="1">
        <v>76851.0</v>
      </c>
      <c r="H4928" s="1">
        <v>2203.0</v>
      </c>
      <c r="I4928" s="1">
        <v>7920000.0</v>
      </c>
      <c r="J4928" s="1" t="s">
        <v>12283</v>
      </c>
    </row>
    <row r="4929">
      <c r="A4929" s="1" t="s">
        <v>15474</v>
      </c>
      <c r="B4929" s="1" t="s">
        <v>15475</v>
      </c>
      <c r="C4929" s="1" t="s">
        <v>15476</v>
      </c>
      <c r="D4929" s="1" t="s">
        <v>15033</v>
      </c>
      <c r="E4929" s="1" t="s">
        <v>15034</v>
      </c>
      <c r="F4929" s="1">
        <v>5814517.0</v>
      </c>
      <c r="G4929" s="1">
        <v>157538.0</v>
      </c>
      <c r="H4929" s="1">
        <v>30064.0</v>
      </c>
      <c r="I4929" s="1">
        <v>7920000.0</v>
      </c>
      <c r="J4929" s="1" t="s">
        <v>12283</v>
      </c>
    </row>
    <row r="4930">
      <c r="A4930" s="1" t="s">
        <v>15477</v>
      </c>
      <c r="B4930" s="1" t="s">
        <v>15478</v>
      </c>
      <c r="C4930" s="1" t="s">
        <v>15479</v>
      </c>
      <c r="D4930" s="1" t="s">
        <v>15033</v>
      </c>
      <c r="E4930" s="1" t="s">
        <v>15034</v>
      </c>
      <c r="F4930" s="1">
        <v>499355.0</v>
      </c>
      <c r="G4930" s="1">
        <v>30163.0</v>
      </c>
      <c r="H4930" s="1">
        <v>1324.0</v>
      </c>
      <c r="I4930" s="1">
        <v>7920000.0</v>
      </c>
      <c r="J4930" s="1" t="s">
        <v>12283</v>
      </c>
    </row>
    <row r="4931">
      <c r="A4931" s="1" t="s">
        <v>15480</v>
      </c>
      <c r="B4931" s="1" t="s">
        <v>15481</v>
      </c>
      <c r="C4931" s="1" t="s">
        <v>15482</v>
      </c>
      <c r="D4931" s="1" t="s">
        <v>15033</v>
      </c>
      <c r="E4931" s="1" t="s">
        <v>15034</v>
      </c>
      <c r="F4931" s="1">
        <v>1186384.0</v>
      </c>
      <c r="G4931" s="1">
        <v>74225.0</v>
      </c>
      <c r="H4931" s="1">
        <v>1447.0</v>
      </c>
      <c r="I4931" s="1">
        <v>7920000.0</v>
      </c>
      <c r="J4931" s="1" t="s">
        <v>12283</v>
      </c>
    </row>
    <row r="4932">
      <c r="A4932" s="1" t="s">
        <v>15483</v>
      </c>
      <c r="B4932" s="1" t="s">
        <v>15485</v>
      </c>
      <c r="C4932" s="1" t="s">
        <v>15487</v>
      </c>
      <c r="D4932" s="1" t="s">
        <v>15033</v>
      </c>
      <c r="E4932" s="1" t="s">
        <v>15034</v>
      </c>
      <c r="F4932" s="1">
        <v>1704665.0</v>
      </c>
      <c r="G4932" s="1">
        <v>43048.0</v>
      </c>
      <c r="H4932" s="1">
        <v>6341.0</v>
      </c>
      <c r="I4932" s="1">
        <v>7920000.0</v>
      </c>
      <c r="J4932" s="1" t="s">
        <v>12283</v>
      </c>
    </row>
    <row r="4933">
      <c r="A4933" s="1" t="s">
        <v>15489</v>
      </c>
      <c r="B4933" s="1" t="s">
        <v>15490</v>
      </c>
      <c r="C4933" s="1" t="s">
        <v>15491</v>
      </c>
      <c r="D4933" s="1" t="s">
        <v>15033</v>
      </c>
      <c r="E4933" s="1" t="s">
        <v>15034</v>
      </c>
      <c r="F4933" s="1">
        <v>4072584.0</v>
      </c>
      <c r="G4933" s="1">
        <v>157541.0</v>
      </c>
      <c r="H4933" s="1">
        <v>2577.0</v>
      </c>
      <c r="I4933" s="1">
        <v>7920000.0</v>
      </c>
      <c r="J4933" s="1" t="s">
        <v>12283</v>
      </c>
    </row>
    <row r="4934">
      <c r="A4934" s="1" t="s">
        <v>15492</v>
      </c>
      <c r="B4934" s="1" t="s">
        <v>15493</v>
      </c>
      <c r="C4934" s="1" t="s">
        <v>15494</v>
      </c>
      <c r="D4934" s="1" t="s">
        <v>15033</v>
      </c>
      <c r="E4934" s="1" t="s">
        <v>15034</v>
      </c>
      <c r="F4934" s="1">
        <v>1858458.0</v>
      </c>
      <c r="G4934" s="1">
        <v>91713.0</v>
      </c>
      <c r="H4934" s="1">
        <v>687.0</v>
      </c>
      <c r="I4934" s="1">
        <v>7920000.0</v>
      </c>
      <c r="J4934" s="1" t="s">
        <v>12283</v>
      </c>
    </row>
    <row r="4935">
      <c r="A4935" s="1" t="s">
        <v>15495</v>
      </c>
      <c r="B4935" s="1" t="s">
        <v>15496</v>
      </c>
      <c r="C4935" s="1" t="s">
        <v>15497</v>
      </c>
      <c r="D4935" s="1" t="s">
        <v>15033</v>
      </c>
      <c r="E4935" s="1" t="s">
        <v>15034</v>
      </c>
      <c r="F4935" s="1">
        <v>5447415.0</v>
      </c>
      <c r="G4935" s="1">
        <v>123348.0</v>
      </c>
      <c r="H4935" s="1">
        <v>11460.0</v>
      </c>
      <c r="I4935" s="1">
        <v>7920000.0</v>
      </c>
      <c r="J4935" s="1" t="s">
        <v>12283</v>
      </c>
    </row>
    <row r="4936">
      <c r="A4936" s="1" t="s">
        <v>15498</v>
      </c>
      <c r="B4936" s="1" t="s">
        <v>15499</v>
      </c>
      <c r="C4936" s="1" t="s">
        <v>15500</v>
      </c>
      <c r="D4936" s="1" t="s">
        <v>15033</v>
      </c>
      <c r="E4936" s="1" t="s">
        <v>15034</v>
      </c>
      <c r="F4936" s="1">
        <v>1634900.0</v>
      </c>
      <c r="G4936" s="1">
        <v>92003.0</v>
      </c>
      <c r="H4936" s="1">
        <v>4013.0</v>
      </c>
      <c r="I4936" s="1">
        <v>7920000.0</v>
      </c>
      <c r="J4936" s="1" t="s">
        <v>12283</v>
      </c>
    </row>
    <row r="4937">
      <c r="A4937" s="1" t="s">
        <v>15501</v>
      </c>
      <c r="B4937" s="1" t="s">
        <v>15502</v>
      </c>
      <c r="C4937" s="1" t="s">
        <v>15503</v>
      </c>
      <c r="D4937" s="1" t="s">
        <v>15033</v>
      </c>
      <c r="E4937" s="1" t="s">
        <v>15034</v>
      </c>
      <c r="F4937" s="1">
        <v>2501182.0</v>
      </c>
      <c r="G4937" s="1">
        <v>123725.0</v>
      </c>
      <c r="H4937" s="1">
        <v>3906.0</v>
      </c>
      <c r="I4937" s="1">
        <v>7920000.0</v>
      </c>
      <c r="J4937" s="1" t="s">
        <v>12283</v>
      </c>
    </row>
    <row r="4938">
      <c r="A4938" s="1" t="s">
        <v>15504</v>
      </c>
      <c r="B4938" s="1" t="s">
        <v>15505</v>
      </c>
      <c r="C4938" s="1" t="s">
        <v>15506</v>
      </c>
      <c r="D4938" s="1" t="s">
        <v>15033</v>
      </c>
      <c r="E4938" s="1" t="s">
        <v>15034</v>
      </c>
      <c r="F4938" s="1">
        <v>1628769.0</v>
      </c>
      <c r="G4938" s="1">
        <v>79424.0</v>
      </c>
      <c r="H4938" s="1">
        <v>611.0</v>
      </c>
      <c r="I4938" s="1">
        <v>7920000.0</v>
      </c>
      <c r="J4938" s="1" t="s">
        <v>12283</v>
      </c>
    </row>
    <row r="4939">
      <c r="A4939" s="1" t="s">
        <v>15508</v>
      </c>
      <c r="B4939" s="1" t="s">
        <v>15510</v>
      </c>
      <c r="C4939" s="1" t="s">
        <v>15512</v>
      </c>
      <c r="D4939" s="1" t="s">
        <v>15033</v>
      </c>
      <c r="E4939" s="1" t="s">
        <v>15034</v>
      </c>
      <c r="F4939" s="1">
        <v>589095.0</v>
      </c>
      <c r="G4939" s="1">
        <v>32380.0</v>
      </c>
      <c r="H4939" s="1">
        <v>718.0</v>
      </c>
      <c r="I4939" s="1">
        <v>7920000.0</v>
      </c>
      <c r="J4939" s="1" t="s">
        <v>12283</v>
      </c>
    </row>
    <row r="4940">
      <c r="A4940" s="1" t="s">
        <v>15513</v>
      </c>
      <c r="B4940" s="1" t="s">
        <v>15514</v>
      </c>
      <c r="C4940" s="1" t="s">
        <v>15515</v>
      </c>
      <c r="D4940" s="1" t="s">
        <v>15033</v>
      </c>
      <c r="E4940" s="1" t="s">
        <v>15034</v>
      </c>
      <c r="F4940" s="1">
        <v>5550470.0</v>
      </c>
      <c r="G4940" s="1">
        <v>187475.0</v>
      </c>
      <c r="H4940" s="1">
        <v>11720.0</v>
      </c>
      <c r="I4940" s="1">
        <v>7920000.0</v>
      </c>
      <c r="J4940" s="1" t="s">
        <v>12283</v>
      </c>
    </row>
    <row r="4941">
      <c r="A4941" s="1" t="s">
        <v>15516</v>
      </c>
      <c r="B4941" s="1" t="s">
        <v>15517</v>
      </c>
      <c r="C4941" s="1" t="s">
        <v>15518</v>
      </c>
      <c r="D4941" s="1" t="s">
        <v>15033</v>
      </c>
      <c r="E4941" s="1" t="s">
        <v>15034</v>
      </c>
      <c r="F4941" s="1">
        <v>2934832.0</v>
      </c>
      <c r="G4941" s="1">
        <v>161118.0</v>
      </c>
      <c r="H4941" s="1">
        <v>3974.0</v>
      </c>
      <c r="I4941" s="1">
        <v>7920000.0</v>
      </c>
      <c r="J4941" s="1" t="s">
        <v>12283</v>
      </c>
    </row>
    <row r="4942">
      <c r="A4942" s="1" t="s">
        <v>15519</v>
      </c>
      <c r="B4942" s="1" t="s">
        <v>15520</v>
      </c>
      <c r="C4942" s="1" t="s">
        <v>15521</v>
      </c>
      <c r="D4942" s="1" t="s">
        <v>15033</v>
      </c>
      <c r="E4942" s="1" t="s">
        <v>15034</v>
      </c>
      <c r="F4942" s="1">
        <v>1945859.0</v>
      </c>
      <c r="G4942" s="1">
        <v>103147.0</v>
      </c>
      <c r="H4942" s="1">
        <v>2850.0</v>
      </c>
      <c r="I4942" s="1">
        <v>7920000.0</v>
      </c>
      <c r="J4942" s="1" t="s">
        <v>12283</v>
      </c>
    </row>
    <row r="4943">
      <c r="A4943" s="1" t="s">
        <v>15522</v>
      </c>
      <c r="B4943" s="1" t="s">
        <v>15523</v>
      </c>
      <c r="C4943" s="1" t="s">
        <v>15524</v>
      </c>
      <c r="D4943" s="1" t="s">
        <v>15033</v>
      </c>
      <c r="E4943" s="1" t="s">
        <v>15034</v>
      </c>
      <c r="F4943" s="1">
        <v>1345850.0</v>
      </c>
      <c r="G4943" s="1">
        <v>71642.0</v>
      </c>
      <c r="H4943" s="1">
        <v>1942.0</v>
      </c>
      <c r="I4943" s="1">
        <v>7920000.0</v>
      </c>
      <c r="J4943" s="1" t="s">
        <v>12283</v>
      </c>
    </row>
    <row r="4944">
      <c r="A4944" s="1" t="s">
        <v>15525</v>
      </c>
      <c r="B4944" s="1" t="s">
        <v>15526</v>
      </c>
      <c r="C4944" s="1" t="s">
        <v>15527</v>
      </c>
      <c r="D4944" s="1" t="s">
        <v>15033</v>
      </c>
      <c r="E4944" s="1" t="s">
        <v>15034</v>
      </c>
      <c r="F4944" s="1">
        <v>1.310413E7</v>
      </c>
      <c r="G4944" s="1">
        <v>710188.0</v>
      </c>
      <c r="H4944" s="1">
        <v>11070.0</v>
      </c>
      <c r="I4944" s="1">
        <v>7920000.0</v>
      </c>
      <c r="J4944" s="1" t="s">
        <v>12283</v>
      </c>
    </row>
    <row r="4945">
      <c r="A4945" s="1" t="s">
        <v>15531</v>
      </c>
      <c r="B4945" s="1" t="s">
        <v>15532</v>
      </c>
      <c r="C4945" s="1" t="s">
        <v>15533</v>
      </c>
      <c r="D4945" s="1" t="s">
        <v>15033</v>
      </c>
      <c r="E4945" s="1" t="s">
        <v>15034</v>
      </c>
      <c r="F4945" s="1">
        <v>3098734.0</v>
      </c>
      <c r="G4945" s="1">
        <v>98030.0</v>
      </c>
      <c r="H4945" s="1">
        <v>12001.0</v>
      </c>
      <c r="I4945" s="1">
        <v>7920000.0</v>
      </c>
      <c r="J4945" s="1" t="s">
        <v>12283</v>
      </c>
    </row>
    <row r="4946">
      <c r="A4946" s="1" t="s">
        <v>15534</v>
      </c>
      <c r="B4946" s="1" t="s">
        <v>15535</v>
      </c>
      <c r="C4946" s="1" t="s">
        <v>15536</v>
      </c>
      <c r="D4946" s="1" t="s">
        <v>15033</v>
      </c>
      <c r="E4946" s="1" t="s">
        <v>15034</v>
      </c>
      <c r="F4946" s="1">
        <v>805432.0</v>
      </c>
      <c r="G4946" s="1">
        <v>63834.0</v>
      </c>
      <c r="H4946" s="1">
        <v>1570.0</v>
      </c>
      <c r="I4946" s="1">
        <v>7920000.0</v>
      </c>
      <c r="J4946" s="1" t="s">
        <v>12283</v>
      </c>
    </row>
    <row r="4947">
      <c r="A4947" s="1" t="s">
        <v>15537</v>
      </c>
      <c r="B4947" s="1" t="s">
        <v>15541</v>
      </c>
      <c r="C4947" s="1" t="s">
        <v>15542</v>
      </c>
      <c r="D4947" s="1" t="s">
        <v>15033</v>
      </c>
      <c r="E4947" s="1" t="s">
        <v>15034</v>
      </c>
      <c r="F4947" s="1">
        <v>2449171.0</v>
      </c>
      <c r="G4947" s="1">
        <v>146956.0</v>
      </c>
      <c r="H4947" s="1">
        <v>5488.0</v>
      </c>
      <c r="I4947" s="1">
        <v>7920000.0</v>
      </c>
      <c r="J4947" s="1" t="s">
        <v>12283</v>
      </c>
    </row>
    <row r="4948">
      <c r="A4948" s="1" t="s">
        <v>15543</v>
      </c>
      <c r="B4948" s="1" t="s">
        <v>15544</v>
      </c>
      <c r="C4948" s="1" t="s">
        <v>15545</v>
      </c>
      <c r="D4948" s="1" t="s">
        <v>15033</v>
      </c>
      <c r="E4948" s="1" t="s">
        <v>15034</v>
      </c>
      <c r="F4948" s="1">
        <v>1884039.0</v>
      </c>
      <c r="G4948" s="1">
        <v>96463.0</v>
      </c>
      <c r="H4948" s="1">
        <v>2605.0</v>
      </c>
      <c r="I4948" s="1">
        <v>7920000.0</v>
      </c>
      <c r="J4948" s="1" t="s">
        <v>12283</v>
      </c>
    </row>
    <row r="4949">
      <c r="A4949" s="1" t="s">
        <v>15546</v>
      </c>
      <c r="B4949" s="1" t="s">
        <v>15547</v>
      </c>
      <c r="C4949" s="1" t="s">
        <v>15548</v>
      </c>
      <c r="D4949" s="1" t="s">
        <v>15033</v>
      </c>
      <c r="E4949" s="1" t="s">
        <v>15034</v>
      </c>
      <c r="F4949" s="1">
        <v>2339267.0</v>
      </c>
      <c r="G4949" s="1">
        <v>101056.0</v>
      </c>
      <c r="H4949" s="1">
        <v>2642.0</v>
      </c>
      <c r="I4949" s="1">
        <v>7920000.0</v>
      </c>
      <c r="J4949" s="1" t="s">
        <v>12283</v>
      </c>
    </row>
    <row r="4950">
      <c r="A4950" s="1" t="s">
        <v>15549</v>
      </c>
      <c r="B4950" s="1" t="s">
        <v>15550</v>
      </c>
      <c r="C4950" s="1" t="s">
        <v>15551</v>
      </c>
      <c r="D4950" s="1" t="s">
        <v>15033</v>
      </c>
      <c r="E4950" s="1" t="s">
        <v>15034</v>
      </c>
      <c r="F4950" s="1">
        <v>1297510.0</v>
      </c>
      <c r="G4950" s="1">
        <v>85859.0</v>
      </c>
      <c r="H4950" s="1">
        <v>2674.0</v>
      </c>
      <c r="I4950" s="1">
        <v>7920000.0</v>
      </c>
      <c r="J4950" s="1" t="s">
        <v>12283</v>
      </c>
    </row>
    <row r="4951">
      <c r="A4951" s="1" t="s">
        <v>15554</v>
      </c>
      <c r="B4951" s="1" t="s">
        <v>15556</v>
      </c>
      <c r="C4951" s="1" t="s">
        <v>15557</v>
      </c>
      <c r="D4951" s="1" t="s">
        <v>15033</v>
      </c>
      <c r="E4951" s="1" t="s">
        <v>15034</v>
      </c>
      <c r="F4951" s="1">
        <v>1.0264077E7</v>
      </c>
      <c r="G4951" s="1">
        <v>665023.0</v>
      </c>
      <c r="H4951" s="1">
        <v>10056.0</v>
      </c>
      <c r="I4951" s="1">
        <v>7920000.0</v>
      </c>
      <c r="J4951" s="1" t="s">
        <v>12283</v>
      </c>
    </row>
    <row r="4952">
      <c r="A4952" s="1" t="s">
        <v>15558</v>
      </c>
      <c r="B4952" s="1" t="s">
        <v>15559</v>
      </c>
      <c r="C4952" s="1" t="s">
        <v>15560</v>
      </c>
      <c r="D4952" s="1" t="s">
        <v>15033</v>
      </c>
      <c r="E4952" s="1" t="s">
        <v>15034</v>
      </c>
      <c r="F4952" s="1">
        <v>2975152.0</v>
      </c>
      <c r="G4952" s="1">
        <v>123835.0</v>
      </c>
      <c r="H4952" s="1">
        <v>4111.0</v>
      </c>
      <c r="I4952" s="1">
        <v>7920000.0</v>
      </c>
      <c r="J4952" s="1" t="s">
        <v>12283</v>
      </c>
    </row>
    <row r="4953">
      <c r="A4953" s="1" t="s">
        <v>15561</v>
      </c>
      <c r="B4953" s="1" t="s">
        <v>15562</v>
      </c>
      <c r="C4953" s="1" t="s">
        <v>15563</v>
      </c>
      <c r="D4953" s="1" t="s">
        <v>15033</v>
      </c>
      <c r="E4953" s="1" t="s">
        <v>15034</v>
      </c>
      <c r="F4953" s="1">
        <v>5082063.0</v>
      </c>
      <c r="G4953" s="1">
        <v>150631.0</v>
      </c>
      <c r="H4953" s="1">
        <v>25211.0</v>
      </c>
      <c r="I4953" s="1">
        <v>7920000.0</v>
      </c>
      <c r="J4953" s="1" t="s">
        <v>12283</v>
      </c>
    </row>
    <row r="4954">
      <c r="A4954" s="1" t="s">
        <v>15564</v>
      </c>
      <c r="B4954" s="1" t="s">
        <v>15565</v>
      </c>
      <c r="C4954" s="1" t="s">
        <v>15566</v>
      </c>
      <c r="D4954" s="1" t="s">
        <v>15033</v>
      </c>
      <c r="E4954" s="1" t="s">
        <v>15034</v>
      </c>
      <c r="F4954" s="1">
        <v>899214.0</v>
      </c>
      <c r="G4954" s="1">
        <v>60544.0</v>
      </c>
      <c r="H4954" s="1">
        <v>1318.0</v>
      </c>
      <c r="I4954" s="1">
        <v>7920000.0</v>
      </c>
      <c r="J4954" s="1" t="s">
        <v>12283</v>
      </c>
    </row>
    <row r="4955">
      <c r="A4955" s="1" t="s">
        <v>15567</v>
      </c>
      <c r="B4955" s="1" t="s">
        <v>15568</v>
      </c>
      <c r="C4955" s="1" t="s">
        <v>15569</v>
      </c>
      <c r="D4955" s="1" t="s">
        <v>15033</v>
      </c>
      <c r="E4955" s="1" t="s">
        <v>15034</v>
      </c>
      <c r="F4955" s="1">
        <v>3450021.0</v>
      </c>
      <c r="G4955" s="1">
        <v>144582.0</v>
      </c>
      <c r="H4955" s="1">
        <v>1956.0</v>
      </c>
      <c r="I4955" s="1">
        <v>7920000.0</v>
      </c>
      <c r="J4955" s="1" t="s">
        <v>12283</v>
      </c>
    </row>
    <row r="4956">
      <c r="A4956" s="1" t="s">
        <v>15570</v>
      </c>
      <c r="B4956" s="1" t="s">
        <v>15571</v>
      </c>
      <c r="C4956" s="1" t="s">
        <v>15572</v>
      </c>
      <c r="D4956" s="1" t="s">
        <v>15033</v>
      </c>
      <c r="E4956" s="1" t="s">
        <v>15034</v>
      </c>
      <c r="F4956" s="1">
        <v>882623.0</v>
      </c>
      <c r="G4956" s="1">
        <v>41738.0</v>
      </c>
      <c r="H4956" s="1">
        <v>2884.0</v>
      </c>
      <c r="I4956" s="1">
        <v>7920000.0</v>
      </c>
      <c r="J4956" s="1" t="s">
        <v>12283</v>
      </c>
    </row>
    <row r="4957">
      <c r="A4957" s="1" t="s">
        <v>15573</v>
      </c>
      <c r="B4957" s="1" t="s">
        <v>15575</v>
      </c>
      <c r="C4957" s="1" t="s">
        <v>15577</v>
      </c>
      <c r="D4957" s="1" t="s">
        <v>15033</v>
      </c>
      <c r="E4957" s="1" t="s">
        <v>15034</v>
      </c>
      <c r="F4957" s="1">
        <v>6174259.0</v>
      </c>
      <c r="G4957" s="1">
        <v>264107.0</v>
      </c>
      <c r="H4957" s="1">
        <v>3078.0</v>
      </c>
      <c r="I4957" s="1">
        <v>7920000.0</v>
      </c>
      <c r="J4957" s="1" t="s">
        <v>12283</v>
      </c>
    </row>
    <row r="4958">
      <c r="A4958" s="1" t="s">
        <v>15579</v>
      </c>
      <c r="B4958" s="1" t="s">
        <v>15580</v>
      </c>
      <c r="C4958" s="1" t="s">
        <v>15581</v>
      </c>
      <c r="D4958" s="1" t="s">
        <v>15033</v>
      </c>
      <c r="E4958" s="1" t="s">
        <v>15034</v>
      </c>
      <c r="F4958" s="1">
        <v>2236079.0</v>
      </c>
      <c r="G4958" s="1">
        <v>97915.0</v>
      </c>
      <c r="H4958" s="1">
        <v>6242.0</v>
      </c>
      <c r="I4958" s="1">
        <v>7920000.0</v>
      </c>
      <c r="J4958" s="1" t="s">
        <v>12283</v>
      </c>
    </row>
    <row r="4959">
      <c r="A4959" s="1" t="s">
        <v>15582</v>
      </c>
      <c r="B4959" s="1" t="s">
        <v>15583</v>
      </c>
      <c r="C4959" s="1" t="s">
        <v>15584</v>
      </c>
      <c r="D4959" s="1" t="s">
        <v>15033</v>
      </c>
      <c r="E4959" s="1" t="s">
        <v>15034</v>
      </c>
      <c r="F4959" s="1">
        <v>5511802.0</v>
      </c>
      <c r="G4959" s="1">
        <v>112996.0</v>
      </c>
      <c r="H4959" s="1">
        <v>9003.0</v>
      </c>
      <c r="I4959" s="1">
        <v>7920000.0</v>
      </c>
      <c r="J4959" s="1" t="s">
        <v>12283</v>
      </c>
    </row>
    <row r="4960">
      <c r="A4960" s="1" t="s">
        <v>15585</v>
      </c>
      <c r="B4960" s="1" t="s">
        <v>15586</v>
      </c>
      <c r="C4960" s="1" t="s">
        <v>15587</v>
      </c>
      <c r="D4960" s="1" t="s">
        <v>15033</v>
      </c>
      <c r="E4960" s="1" t="s">
        <v>15034</v>
      </c>
      <c r="F4960" s="1">
        <v>1270435.0</v>
      </c>
      <c r="G4960" s="1">
        <v>89117.0</v>
      </c>
      <c r="H4960" s="1">
        <v>867.0</v>
      </c>
      <c r="I4960" s="1">
        <v>7920000.0</v>
      </c>
      <c r="J4960" s="1" t="s">
        <v>12283</v>
      </c>
    </row>
    <row r="4961">
      <c r="A4961" s="1" t="s">
        <v>15588</v>
      </c>
      <c r="B4961" s="1" t="s">
        <v>15589</v>
      </c>
      <c r="C4961" s="1" t="s">
        <v>15590</v>
      </c>
      <c r="D4961" s="1" t="s">
        <v>15033</v>
      </c>
      <c r="E4961" s="1" t="s">
        <v>15034</v>
      </c>
      <c r="F4961" s="1">
        <v>1155584.0</v>
      </c>
      <c r="G4961" s="1">
        <v>63407.0</v>
      </c>
      <c r="H4961" s="1">
        <v>1613.0</v>
      </c>
      <c r="I4961" s="1">
        <v>7920000.0</v>
      </c>
      <c r="J4961" s="1" t="s">
        <v>12283</v>
      </c>
    </row>
    <row r="4962">
      <c r="A4962" s="1" t="s">
        <v>15591</v>
      </c>
      <c r="B4962" s="1" t="s">
        <v>15592</v>
      </c>
      <c r="C4962" s="1" t="s">
        <v>15593</v>
      </c>
      <c r="D4962" s="1" t="s">
        <v>15033</v>
      </c>
      <c r="E4962" s="1" t="s">
        <v>15034</v>
      </c>
      <c r="F4962" s="1">
        <v>293483.0</v>
      </c>
      <c r="G4962" s="1">
        <v>17375.0</v>
      </c>
      <c r="H4962" s="1">
        <v>135.0</v>
      </c>
      <c r="I4962" s="1">
        <v>7920000.0</v>
      </c>
      <c r="J4962" s="1" t="s">
        <v>12283</v>
      </c>
    </row>
    <row r="4963">
      <c r="A4963" s="1" t="s">
        <v>15596</v>
      </c>
      <c r="B4963" s="1" t="s">
        <v>15598</v>
      </c>
      <c r="C4963" s="1" t="s">
        <v>15599</v>
      </c>
      <c r="D4963" s="1" t="s">
        <v>15033</v>
      </c>
      <c r="E4963" s="1" t="s">
        <v>15034</v>
      </c>
      <c r="F4963" s="1">
        <v>248468.0</v>
      </c>
      <c r="G4963" s="1">
        <v>14038.0</v>
      </c>
      <c r="H4963" s="1">
        <v>174.0</v>
      </c>
      <c r="I4963" s="1">
        <v>7920000.0</v>
      </c>
      <c r="J4963" s="1" t="s">
        <v>12283</v>
      </c>
    </row>
    <row r="4964">
      <c r="A4964" s="1" t="s">
        <v>15600</v>
      </c>
      <c r="B4964" s="1" t="s">
        <v>15601</v>
      </c>
      <c r="C4964" s="1" t="s">
        <v>15602</v>
      </c>
      <c r="D4964" s="1" t="s">
        <v>15033</v>
      </c>
      <c r="E4964" s="1" t="s">
        <v>15034</v>
      </c>
      <c r="F4964" s="1">
        <v>194126.0</v>
      </c>
      <c r="G4964" s="1">
        <v>7720.0</v>
      </c>
      <c r="H4964" s="1">
        <v>73.0</v>
      </c>
      <c r="I4964" s="1">
        <v>7920000.0</v>
      </c>
      <c r="J4964" s="1" t="s">
        <v>12283</v>
      </c>
    </row>
    <row r="4965">
      <c r="A4965" s="1" t="s">
        <v>15603</v>
      </c>
      <c r="B4965" s="1" t="s">
        <v>15604</v>
      </c>
      <c r="C4965" s="1" t="s">
        <v>15605</v>
      </c>
      <c r="D4965" s="1" t="s">
        <v>15033</v>
      </c>
      <c r="E4965" s="1" t="s">
        <v>15034</v>
      </c>
      <c r="F4965" s="1">
        <v>441907.0</v>
      </c>
      <c r="G4965" s="1">
        <v>15430.0</v>
      </c>
      <c r="H4965" s="1">
        <v>562.0</v>
      </c>
      <c r="I4965" s="1">
        <v>7920000.0</v>
      </c>
      <c r="J4965" s="1" t="s">
        <v>12283</v>
      </c>
    </row>
    <row r="4966">
      <c r="A4966" s="1" t="s">
        <v>15606</v>
      </c>
      <c r="B4966" s="1" t="s">
        <v>15607</v>
      </c>
      <c r="C4966" s="1" t="s">
        <v>15608</v>
      </c>
      <c r="D4966" s="1" t="s">
        <v>15033</v>
      </c>
      <c r="E4966" s="1" t="s">
        <v>15034</v>
      </c>
      <c r="F4966" s="1">
        <v>1308636.0</v>
      </c>
      <c r="G4966" s="1">
        <v>83847.0</v>
      </c>
      <c r="H4966" s="1">
        <v>4202.0</v>
      </c>
      <c r="I4966" s="1">
        <v>7920000.0</v>
      </c>
      <c r="J4966" s="1" t="s">
        <v>12283</v>
      </c>
    </row>
    <row r="4967">
      <c r="A4967" s="1" t="s">
        <v>15609</v>
      </c>
      <c r="B4967" s="1" t="s">
        <v>15610</v>
      </c>
      <c r="C4967" s="1" t="s">
        <v>15611</v>
      </c>
      <c r="D4967" s="1" t="s">
        <v>15033</v>
      </c>
      <c r="E4967" s="1" t="s">
        <v>15034</v>
      </c>
      <c r="F4967" s="1">
        <v>303656.0</v>
      </c>
      <c r="G4967" s="1">
        <v>18267.0</v>
      </c>
      <c r="H4967" s="1">
        <v>778.0</v>
      </c>
      <c r="I4967" s="1">
        <v>7920000.0</v>
      </c>
      <c r="J4967" s="1" t="s">
        <v>12283</v>
      </c>
    </row>
    <row r="4968">
      <c r="A4968" s="1" t="s">
        <v>15613</v>
      </c>
      <c r="B4968" s="1" t="s">
        <v>15615</v>
      </c>
      <c r="C4968" s="1" t="s">
        <v>15617</v>
      </c>
      <c r="D4968" s="1" t="s">
        <v>15033</v>
      </c>
      <c r="E4968" s="1" t="s">
        <v>15034</v>
      </c>
      <c r="F4968" s="1">
        <v>441410.0</v>
      </c>
      <c r="G4968" s="1">
        <v>24246.0</v>
      </c>
      <c r="H4968" s="1">
        <v>316.0</v>
      </c>
      <c r="I4968" s="1">
        <v>7920000.0</v>
      </c>
      <c r="J4968" s="1" t="s">
        <v>12283</v>
      </c>
    </row>
    <row r="4969">
      <c r="A4969" s="1" t="s">
        <v>15618</v>
      </c>
      <c r="B4969" s="1" t="s">
        <v>15619</v>
      </c>
      <c r="C4969" s="1" t="s">
        <v>15620</v>
      </c>
      <c r="D4969" s="1" t="s">
        <v>15033</v>
      </c>
      <c r="E4969" s="1" t="s">
        <v>15034</v>
      </c>
      <c r="F4969" s="1">
        <v>1795616.0</v>
      </c>
      <c r="G4969" s="1">
        <v>104275.0</v>
      </c>
      <c r="H4969" s="1">
        <v>1289.0</v>
      </c>
      <c r="I4969" s="1">
        <v>7920000.0</v>
      </c>
      <c r="J4969" s="1" t="s">
        <v>12283</v>
      </c>
    </row>
    <row r="4970">
      <c r="A4970" s="1" t="s">
        <v>15621</v>
      </c>
      <c r="B4970" s="1" t="s">
        <v>15622</v>
      </c>
      <c r="C4970" s="1" t="s">
        <v>15623</v>
      </c>
      <c r="D4970" s="1" t="s">
        <v>15033</v>
      </c>
      <c r="E4970" s="1" t="s">
        <v>15034</v>
      </c>
      <c r="F4970" s="1">
        <v>6155803.0</v>
      </c>
      <c r="G4970" s="1">
        <v>295941.0</v>
      </c>
      <c r="H4970" s="1">
        <v>1370.0</v>
      </c>
      <c r="I4970" s="1">
        <v>7920000.0</v>
      </c>
      <c r="J4970" s="1" t="s">
        <v>12283</v>
      </c>
    </row>
    <row r="4971">
      <c r="A4971" s="1" t="s">
        <v>15624</v>
      </c>
      <c r="B4971" s="1" t="s">
        <v>15625</v>
      </c>
      <c r="C4971" s="1" t="s">
        <v>15626</v>
      </c>
      <c r="D4971" s="1" t="s">
        <v>15033</v>
      </c>
      <c r="E4971" s="1" t="s">
        <v>15034</v>
      </c>
      <c r="F4971" s="1">
        <v>3289024.0</v>
      </c>
      <c r="G4971" s="1">
        <v>74290.0</v>
      </c>
      <c r="H4971" s="1">
        <v>5004.0</v>
      </c>
      <c r="I4971" s="1">
        <v>7920000.0</v>
      </c>
      <c r="J4971" s="1" t="s">
        <v>12283</v>
      </c>
    </row>
    <row r="4972">
      <c r="A4972" s="1" t="s">
        <v>15627</v>
      </c>
      <c r="B4972" s="1" t="s">
        <v>15628</v>
      </c>
      <c r="C4972" s="1" t="s">
        <v>15630</v>
      </c>
      <c r="D4972" s="1" t="s">
        <v>15033</v>
      </c>
      <c r="E4972" s="1" t="s">
        <v>15034</v>
      </c>
      <c r="F4972" s="1">
        <v>1852755.0</v>
      </c>
      <c r="G4972" s="1">
        <v>96881.0</v>
      </c>
      <c r="H4972" s="1">
        <v>3593.0</v>
      </c>
      <c r="I4972" s="1">
        <v>7920000.0</v>
      </c>
      <c r="J4972" s="1" t="s">
        <v>12283</v>
      </c>
    </row>
    <row r="4973">
      <c r="A4973" s="1" t="s">
        <v>15633</v>
      </c>
      <c r="B4973" s="1" t="s">
        <v>15634</v>
      </c>
      <c r="C4973" s="1" t="s">
        <v>15635</v>
      </c>
      <c r="D4973" s="1" t="s">
        <v>15033</v>
      </c>
      <c r="E4973" s="1" t="s">
        <v>15034</v>
      </c>
      <c r="F4973" s="1">
        <v>125229.0</v>
      </c>
      <c r="G4973" s="1">
        <v>4872.0</v>
      </c>
      <c r="H4973" s="1">
        <v>73.0</v>
      </c>
      <c r="I4973" s="1">
        <v>7920000.0</v>
      </c>
      <c r="J4973" s="1" t="s">
        <v>12283</v>
      </c>
    </row>
    <row r="4974">
      <c r="A4974" s="1" t="s">
        <v>15636</v>
      </c>
      <c r="B4974" s="1" t="s">
        <v>15637</v>
      </c>
      <c r="C4974" s="1" t="s">
        <v>15638</v>
      </c>
      <c r="D4974" s="1" t="s">
        <v>15033</v>
      </c>
      <c r="E4974" s="1" t="s">
        <v>15034</v>
      </c>
      <c r="F4974" s="1">
        <v>6887880.0</v>
      </c>
      <c r="G4974" s="1">
        <v>182002.0</v>
      </c>
      <c r="H4974" s="1">
        <v>12209.0</v>
      </c>
      <c r="I4974" s="1">
        <v>7920000.0</v>
      </c>
      <c r="J4974" s="1" t="s">
        <v>12283</v>
      </c>
    </row>
    <row r="4975">
      <c r="A4975" s="1" t="s">
        <v>15639</v>
      </c>
      <c r="B4975" s="1" t="s">
        <v>15640</v>
      </c>
      <c r="C4975" s="1" t="s">
        <v>15644</v>
      </c>
      <c r="D4975" s="1" t="s">
        <v>15033</v>
      </c>
      <c r="E4975" s="1" t="s">
        <v>15034</v>
      </c>
      <c r="F4975" s="1">
        <v>512188.0</v>
      </c>
      <c r="G4975" s="1">
        <v>26026.0</v>
      </c>
      <c r="H4975" s="1">
        <v>646.0</v>
      </c>
      <c r="I4975" s="1">
        <v>7920000.0</v>
      </c>
      <c r="J4975" s="1" t="s">
        <v>12283</v>
      </c>
    </row>
    <row r="4976">
      <c r="A4976" s="1" t="s">
        <v>15645</v>
      </c>
      <c r="B4976" s="1" t="s">
        <v>15646</v>
      </c>
      <c r="C4976" s="1" t="s">
        <v>15647</v>
      </c>
      <c r="D4976" s="1" t="s">
        <v>15033</v>
      </c>
      <c r="E4976" s="1" t="s">
        <v>15034</v>
      </c>
      <c r="F4976" s="1">
        <v>557197.0</v>
      </c>
      <c r="G4976" s="1">
        <v>30331.0</v>
      </c>
      <c r="H4976" s="1">
        <v>1283.0</v>
      </c>
      <c r="I4976" s="1">
        <v>7920000.0</v>
      </c>
      <c r="J4976" s="1" t="s">
        <v>12283</v>
      </c>
    </row>
    <row r="4977">
      <c r="A4977" s="1" t="s">
        <v>15648</v>
      </c>
      <c r="B4977" s="1" t="s">
        <v>15649</v>
      </c>
      <c r="C4977" s="1" t="s">
        <v>15650</v>
      </c>
      <c r="D4977" s="1" t="s">
        <v>15033</v>
      </c>
      <c r="E4977" s="1" t="s">
        <v>15034</v>
      </c>
      <c r="F4977" s="1">
        <v>2389219.0</v>
      </c>
      <c r="G4977" s="1">
        <v>71898.0</v>
      </c>
      <c r="H4977" s="1">
        <v>13826.0</v>
      </c>
      <c r="I4977" s="1">
        <v>7920000.0</v>
      </c>
      <c r="J4977" s="1" t="s">
        <v>12283</v>
      </c>
    </row>
    <row r="4978">
      <c r="A4978" s="1" t="s">
        <v>15651</v>
      </c>
      <c r="B4978" s="1" t="s">
        <v>15652</v>
      </c>
      <c r="C4978" s="1" t="s">
        <v>15653</v>
      </c>
      <c r="D4978" s="1" t="s">
        <v>15033</v>
      </c>
      <c r="E4978" s="1" t="s">
        <v>15034</v>
      </c>
      <c r="F4978" s="1">
        <v>2321752.0</v>
      </c>
      <c r="G4978" s="1">
        <v>91930.0</v>
      </c>
      <c r="H4978" s="1">
        <v>7053.0</v>
      </c>
      <c r="I4978" s="1">
        <v>7920000.0</v>
      </c>
      <c r="J4978" s="1" t="s">
        <v>12283</v>
      </c>
    </row>
    <row r="4979">
      <c r="A4979" s="1" t="s">
        <v>15654</v>
      </c>
      <c r="B4979" s="1" t="s">
        <v>15656</v>
      </c>
      <c r="C4979" s="1" t="s">
        <v>15658</v>
      </c>
      <c r="D4979" s="1" t="s">
        <v>15033</v>
      </c>
      <c r="E4979" s="1" t="s">
        <v>15034</v>
      </c>
      <c r="F4979" s="1">
        <v>8563357.0</v>
      </c>
      <c r="G4979" s="1">
        <v>219796.0</v>
      </c>
      <c r="H4979" s="1">
        <v>33988.0</v>
      </c>
      <c r="I4979" s="1">
        <v>7920000.0</v>
      </c>
      <c r="J4979" s="1" t="s">
        <v>12283</v>
      </c>
    </row>
    <row r="4980">
      <c r="A4980" s="1" t="s">
        <v>15660</v>
      </c>
      <c r="B4980" s="1" t="s">
        <v>15661</v>
      </c>
      <c r="C4980" s="1" t="s">
        <v>15662</v>
      </c>
      <c r="D4980" s="1" t="s">
        <v>15033</v>
      </c>
      <c r="E4980" s="1" t="s">
        <v>15034</v>
      </c>
      <c r="F4980" s="1">
        <v>388802.0</v>
      </c>
      <c r="G4980" s="1">
        <v>17939.0</v>
      </c>
      <c r="H4980" s="1">
        <v>481.0</v>
      </c>
      <c r="I4980" s="1">
        <v>7920000.0</v>
      </c>
      <c r="J4980" s="1" t="s">
        <v>12283</v>
      </c>
    </row>
    <row r="4981">
      <c r="A4981" s="1" t="s">
        <v>15663</v>
      </c>
      <c r="B4981" s="1" t="s">
        <v>15664</v>
      </c>
      <c r="C4981" s="1" t="s">
        <v>15665</v>
      </c>
      <c r="D4981" s="1" t="s">
        <v>15033</v>
      </c>
      <c r="E4981" s="1" t="s">
        <v>15034</v>
      </c>
      <c r="F4981" s="1">
        <v>1327455.0</v>
      </c>
      <c r="G4981" s="1">
        <v>64115.0</v>
      </c>
      <c r="H4981" s="1">
        <v>1363.0</v>
      </c>
      <c r="I4981" s="1">
        <v>7920000.0</v>
      </c>
      <c r="J4981" s="1" t="s">
        <v>12283</v>
      </c>
    </row>
    <row r="4982">
      <c r="A4982" s="1" t="s">
        <v>15666</v>
      </c>
      <c r="B4982" s="1" t="s">
        <v>15667</v>
      </c>
      <c r="C4982" s="1" t="s">
        <v>15668</v>
      </c>
      <c r="D4982" s="1" t="s">
        <v>15033</v>
      </c>
      <c r="E4982" s="1" t="s">
        <v>15034</v>
      </c>
      <c r="F4982" s="1">
        <v>142167.0</v>
      </c>
      <c r="G4982" s="1">
        <v>6748.0</v>
      </c>
      <c r="H4982" s="1">
        <v>128.0</v>
      </c>
      <c r="I4982" s="1">
        <v>7920000.0</v>
      </c>
      <c r="J4982" s="1" t="s">
        <v>12283</v>
      </c>
    </row>
    <row r="4983">
      <c r="A4983" s="1" t="s">
        <v>15671</v>
      </c>
      <c r="B4983" s="1" t="s">
        <v>15673</v>
      </c>
      <c r="C4983" s="1" t="s">
        <v>15674</v>
      </c>
      <c r="D4983" s="1" t="s">
        <v>15033</v>
      </c>
      <c r="E4983" s="1" t="s">
        <v>15034</v>
      </c>
      <c r="F4983" s="1">
        <v>379964.0</v>
      </c>
      <c r="G4983" s="1">
        <v>20168.0</v>
      </c>
      <c r="H4983" s="1">
        <v>960.0</v>
      </c>
      <c r="I4983" s="1">
        <v>7920000.0</v>
      </c>
      <c r="J4983" s="1" t="s">
        <v>12283</v>
      </c>
    </row>
    <row r="4984">
      <c r="A4984" s="1" t="s">
        <v>15675</v>
      </c>
      <c r="B4984" s="1" t="s">
        <v>15676</v>
      </c>
      <c r="C4984" s="1" t="s">
        <v>15677</v>
      </c>
      <c r="D4984" s="1" t="s">
        <v>15033</v>
      </c>
      <c r="E4984" s="1" t="s">
        <v>15034</v>
      </c>
      <c r="F4984" s="1">
        <v>237268.0</v>
      </c>
      <c r="G4984" s="1">
        <v>11234.0</v>
      </c>
      <c r="H4984" s="1">
        <v>268.0</v>
      </c>
      <c r="I4984" s="1">
        <v>7920000.0</v>
      </c>
      <c r="J4984" s="1" t="s">
        <v>12283</v>
      </c>
    </row>
    <row r="4985">
      <c r="A4985" s="1" t="s">
        <v>15678</v>
      </c>
      <c r="B4985" s="1" t="s">
        <v>15679</v>
      </c>
      <c r="C4985" s="1" t="s">
        <v>15680</v>
      </c>
      <c r="D4985" s="1" t="s">
        <v>15033</v>
      </c>
      <c r="E4985" s="1" t="s">
        <v>15034</v>
      </c>
      <c r="F4985" s="1">
        <v>47813.0</v>
      </c>
      <c r="G4985" s="1">
        <v>2188.0</v>
      </c>
      <c r="H4985" s="1">
        <v>13.0</v>
      </c>
      <c r="I4985" s="1">
        <v>7920000.0</v>
      </c>
      <c r="J4985" s="1" t="s">
        <v>12283</v>
      </c>
    </row>
    <row r="4986">
      <c r="A4986" s="1" t="s">
        <v>15681</v>
      </c>
      <c r="B4986" s="1" t="s">
        <v>15682</v>
      </c>
      <c r="C4986" s="1" t="s">
        <v>15683</v>
      </c>
      <c r="D4986" s="1" t="s">
        <v>15033</v>
      </c>
      <c r="E4986" s="1" t="s">
        <v>15034</v>
      </c>
      <c r="F4986" s="1">
        <v>72809.0</v>
      </c>
      <c r="G4986" s="1">
        <v>2658.0</v>
      </c>
      <c r="H4986" s="1">
        <v>41.0</v>
      </c>
      <c r="I4986" s="1">
        <v>7920000.0</v>
      </c>
      <c r="J4986" s="1" t="s">
        <v>12283</v>
      </c>
    </row>
    <row r="4987">
      <c r="A4987" s="1" t="s">
        <v>15684</v>
      </c>
      <c r="B4987" s="1" t="s">
        <v>15685</v>
      </c>
      <c r="C4987" s="1" t="s">
        <v>15686</v>
      </c>
      <c r="D4987" s="1" t="s">
        <v>15033</v>
      </c>
      <c r="E4987" s="1" t="s">
        <v>15034</v>
      </c>
      <c r="F4987" s="1">
        <v>48688.0</v>
      </c>
      <c r="G4987" s="1">
        <v>2071.0</v>
      </c>
      <c r="H4987" s="1">
        <v>53.0</v>
      </c>
      <c r="I4987" s="1">
        <v>7920000.0</v>
      </c>
      <c r="J4987" s="1" t="s">
        <v>12283</v>
      </c>
    </row>
    <row r="4988">
      <c r="A4988" s="1" t="s">
        <v>15688</v>
      </c>
      <c r="B4988" s="1" t="s">
        <v>15690</v>
      </c>
      <c r="C4988" s="1" t="s">
        <v>15692</v>
      </c>
      <c r="D4988" s="1" t="s">
        <v>15033</v>
      </c>
      <c r="E4988" s="1" t="s">
        <v>15034</v>
      </c>
      <c r="F4988" s="1">
        <v>136402.0</v>
      </c>
      <c r="G4988" s="1">
        <v>5484.0</v>
      </c>
      <c r="H4988" s="1">
        <v>62.0</v>
      </c>
      <c r="I4988" s="1">
        <v>7920000.0</v>
      </c>
      <c r="J4988" s="1" t="s">
        <v>12283</v>
      </c>
    </row>
    <row r="4989">
      <c r="A4989" s="1" t="s">
        <v>15693</v>
      </c>
      <c r="B4989" s="1" t="s">
        <v>15694</v>
      </c>
      <c r="C4989" s="1" t="s">
        <v>15695</v>
      </c>
      <c r="D4989" s="1" t="s">
        <v>15033</v>
      </c>
      <c r="E4989" s="1" t="s">
        <v>15034</v>
      </c>
      <c r="F4989" s="1">
        <v>73820.0</v>
      </c>
      <c r="G4989" s="1">
        <v>2771.0</v>
      </c>
      <c r="H4989" s="1">
        <v>62.0</v>
      </c>
      <c r="I4989" s="1">
        <v>7920000.0</v>
      </c>
      <c r="J4989" s="1" t="s">
        <v>12283</v>
      </c>
    </row>
    <row r="4990">
      <c r="A4990" s="1" t="s">
        <v>15696</v>
      </c>
      <c r="B4990" s="1" t="s">
        <v>15697</v>
      </c>
      <c r="C4990" s="1" t="s">
        <v>15698</v>
      </c>
      <c r="D4990" s="1" t="s">
        <v>15033</v>
      </c>
      <c r="E4990" s="1" t="s">
        <v>15034</v>
      </c>
      <c r="F4990" s="1">
        <v>3940893.0</v>
      </c>
      <c r="G4990" s="1">
        <v>108559.0</v>
      </c>
      <c r="H4990" s="1">
        <v>9701.0</v>
      </c>
      <c r="I4990" s="1">
        <v>7920000.0</v>
      </c>
      <c r="J4990" s="1" t="s">
        <v>12283</v>
      </c>
    </row>
    <row r="4991">
      <c r="A4991" s="1" t="s">
        <v>15699</v>
      </c>
      <c r="B4991" s="1" t="s">
        <v>15700</v>
      </c>
      <c r="C4991" s="1" t="s">
        <v>15701</v>
      </c>
      <c r="D4991" s="1" t="s">
        <v>15033</v>
      </c>
      <c r="E4991" s="1" t="s">
        <v>15034</v>
      </c>
      <c r="F4991" s="1">
        <v>1142518.0</v>
      </c>
      <c r="G4991" s="1">
        <v>58145.0</v>
      </c>
      <c r="H4991" s="1">
        <v>1489.0</v>
      </c>
      <c r="I4991" s="1">
        <v>7920000.0</v>
      </c>
      <c r="J4991" s="1" t="s">
        <v>12283</v>
      </c>
    </row>
    <row r="4992">
      <c r="A4992" s="1" t="s">
        <v>15702</v>
      </c>
      <c r="B4992" s="1" t="s">
        <v>15703</v>
      </c>
      <c r="C4992" s="1" t="s">
        <v>15704</v>
      </c>
      <c r="D4992" s="1" t="s">
        <v>15033</v>
      </c>
      <c r="E4992" s="1" t="s">
        <v>15034</v>
      </c>
      <c r="F4992" s="1">
        <v>342010.0</v>
      </c>
      <c r="G4992" s="1">
        <v>19855.0</v>
      </c>
      <c r="H4992" s="1">
        <v>386.0</v>
      </c>
      <c r="I4992" s="1">
        <v>7920000.0</v>
      </c>
      <c r="J4992" s="1" t="s">
        <v>12283</v>
      </c>
    </row>
    <row r="4993">
      <c r="A4993" s="1" t="s">
        <v>15705</v>
      </c>
      <c r="B4993" s="1" t="s">
        <v>15667</v>
      </c>
      <c r="C4993" s="1" t="s">
        <v>15707</v>
      </c>
      <c r="D4993" s="1" t="s">
        <v>15033</v>
      </c>
      <c r="E4993" s="1" t="s">
        <v>15034</v>
      </c>
      <c r="F4993" s="1">
        <v>103972.0</v>
      </c>
      <c r="G4993" s="1">
        <v>5306.0</v>
      </c>
      <c r="H4993" s="1">
        <v>73.0</v>
      </c>
      <c r="I4993" s="1">
        <v>7920000.0</v>
      </c>
      <c r="J4993" s="1" t="s">
        <v>12283</v>
      </c>
    </row>
    <row r="4994">
      <c r="A4994" s="1" t="s">
        <v>15710</v>
      </c>
      <c r="B4994" s="1" t="s">
        <v>15711</v>
      </c>
      <c r="C4994" s="1" t="s">
        <v>15712</v>
      </c>
      <c r="D4994" s="1" t="s">
        <v>15033</v>
      </c>
      <c r="E4994" s="1" t="s">
        <v>15034</v>
      </c>
      <c r="F4994" s="1">
        <v>127921.0</v>
      </c>
      <c r="G4994" s="1">
        <v>5190.0</v>
      </c>
      <c r="H4994" s="1">
        <v>145.0</v>
      </c>
      <c r="I4994" s="1">
        <v>7920000.0</v>
      </c>
      <c r="J4994" s="1" t="s">
        <v>12283</v>
      </c>
    </row>
    <row r="4995">
      <c r="A4995" s="1" t="s">
        <v>15713</v>
      </c>
      <c r="B4995" s="1" t="s">
        <v>15714</v>
      </c>
      <c r="C4995" s="1" t="s">
        <v>15715</v>
      </c>
      <c r="D4995" s="1" t="s">
        <v>15033</v>
      </c>
      <c r="E4995" s="1" t="s">
        <v>15034</v>
      </c>
      <c r="F4995" s="1">
        <v>64429.0</v>
      </c>
      <c r="G4995" s="1">
        <v>2168.0</v>
      </c>
      <c r="H4995" s="1">
        <v>22.0</v>
      </c>
      <c r="I4995" s="1">
        <v>7920000.0</v>
      </c>
      <c r="J4995" s="1" t="s">
        <v>12283</v>
      </c>
    </row>
    <row r="4996">
      <c r="A4996" s="1" t="s">
        <v>15716</v>
      </c>
      <c r="B4996" s="1" t="s">
        <v>15717</v>
      </c>
      <c r="C4996" s="1" t="s">
        <v>15718</v>
      </c>
      <c r="D4996" s="1" t="s">
        <v>15033</v>
      </c>
      <c r="E4996" s="1" t="s">
        <v>15034</v>
      </c>
      <c r="F4996" s="1">
        <v>2611672.0</v>
      </c>
      <c r="G4996" s="1">
        <v>96868.0</v>
      </c>
      <c r="H4996" s="1">
        <v>1644.0</v>
      </c>
      <c r="I4996" s="1">
        <v>7920000.0</v>
      </c>
      <c r="J4996" s="1" t="s">
        <v>12283</v>
      </c>
    </row>
    <row r="4997">
      <c r="A4997" s="1" t="s">
        <v>15719</v>
      </c>
      <c r="B4997" s="1" t="s">
        <v>15720</v>
      </c>
      <c r="C4997" s="1" t="s">
        <v>15721</v>
      </c>
      <c r="D4997" s="1" t="s">
        <v>15033</v>
      </c>
      <c r="E4997" s="1" t="s">
        <v>15034</v>
      </c>
      <c r="F4997" s="1">
        <v>2363183.0</v>
      </c>
      <c r="G4997" s="1">
        <v>66191.0</v>
      </c>
      <c r="H4997" s="1">
        <v>3970.0</v>
      </c>
      <c r="I4997" s="1">
        <v>7920000.0</v>
      </c>
      <c r="J4997" s="1" t="s">
        <v>12283</v>
      </c>
    </row>
    <row r="4998">
      <c r="A4998" s="1" t="s">
        <v>15722</v>
      </c>
      <c r="B4998" s="1" t="s">
        <v>15723</v>
      </c>
      <c r="C4998" s="1" t="s">
        <v>15724</v>
      </c>
      <c r="D4998" s="1" t="s">
        <v>15033</v>
      </c>
      <c r="E4998" s="1" t="s">
        <v>15034</v>
      </c>
      <c r="F4998" s="1">
        <v>76844.0</v>
      </c>
      <c r="G4998" s="1">
        <v>0.0</v>
      </c>
      <c r="H4998" s="1">
        <v>76.0</v>
      </c>
      <c r="I4998" s="1">
        <v>7920000.0</v>
      </c>
      <c r="J4998" s="1" t="s">
        <v>12283</v>
      </c>
    </row>
    <row r="4999">
      <c r="A4999" s="1" t="s">
        <v>15725</v>
      </c>
      <c r="B4999" s="1" t="s">
        <v>15727</v>
      </c>
      <c r="C4999" s="1" t="s">
        <v>15729</v>
      </c>
      <c r="D4999" s="1" t="s">
        <v>15033</v>
      </c>
      <c r="E4999" s="1" t="s">
        <v>15034</v>
      </c>
      <c r="F4999" s="1">
        <v>1611563.0</v>
      </c>
      <c r="G4999" s="1">
        <v>42305.0</v>
      </c>
      <c r="H4999" s="1">
        <v>3655.0</v>
      </c>
      <c r="I4999" s="1">
        <v>7920000.0</v>
      </c>
      <c r="J4999" s="1" t="s">
        <v>12283</v>
      </c>
    </row>
    <row r="5000">
      <c r="A5000" s="1" t="s">
        <v>15731</v>
      </c>
      <c r="B5000" s="1" t="s">
        <v>15732</v>
      </c>
      <c r="C5000" s="1" t="s">
        <v>15733</v>
      </c>
      <c r="D5000" s="1" t="s">
        <v>15033</v>
      </c>
      <c r="E5000" s="1" t="s">
        <v>15034</v>
      </c>
      <c r="F5000" s="1">
        <v>902095.0</v>
      </c>
      <c r="G5000" s="1">
        <v>33589.0</v>
      </c>
      <c r="H5000" s="1">
        <v>1344.0</v>
      </c>
      <c r="I5000" s="1">
        <v>7920000.0</v>
      </c>
      <c r="J5000" s="1" t="s">
        <v>12283</v>
      </c>
    </row>
    <row r="5001">
      <c r="A5001" s="1" t="s">
        <v>15734</v>
      </c>
      <c r="B5001" s="1" t="s">
        <v>15735</v>
      </c>
      <c r="C5001" s="1" t="s">
        <v>15736</v>
      </c>
      <c r="D5001" s="1" t="s">
        <v>15033</v>
      </c>
      <c r="E5001" s="1" t="s">
        <v>15034</v>
      </c>
      <c r="F5001" s="1">
        <v>242406.0</v>
      </c>
      <c r="G5001" s="1">
        <v>11226.0</v>
      </c>
      <c r="H5001" s="1">
        <v>224.0</v>
      </c>
      <c r="I5001" s="1">
        <v>7920000.0</v>
      </c>
      <c r="J5001" s="1" t="s">
        <v>12283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10" max="10" width="14.88"/>
    <col customWidth="1" min="11" max="15" width="18.0"/>
    <col customWidth="1" min="16" max="22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2383</v>
      </c>
      <c r="L1" s="1" t="s">
        <v>2385</v>
      </c>
      <c r="M1" s="1" t="s">
        <v>2388</v>
      </c>
      <c r="N1" s="1" t="s">
        <v>2389</v>
      </c>
      <c r="O1" s="2">
        <f>AVERAGE(N2:N2629)</f>
        <v>0.0006382017076</v>
      </c>
      <c r="P1" s="3" t="s">
        <v>2440</v>
      </c>
      <c r="Q1" s="3" t="s">
        <v>2444</v>
      </c>
      <c r="R1" s="3" t="s">
        <v>2445</v>
      </c>
      <c r="S1" s="3" t="s">
        <v>2448</v>
      </c>
      <c r="T1" s="3" t="s">
        <v>2450</v>
      </c>
      <c r="U1" s="4" t="str">
        <f t="shared" ref="U1:U2629" si="1">P1</f>
        <v>normalized views per day per sub</v>
      </c>
      <c r="V1" s="3"/>
    </row>
    <row r="2">
      <c r="A2" s="1" t="s">
        <v>2460</v>
      </c>
      <c r="B2" s="1" t="s">
        <v>2461</v>
      </c>
      <c r="C2" s="1" t="s">
        <v>2462</v>
      </c>
      <c r="D2" s="1" t="s">
        <v>2463</v>
      </c>
      <c r="E2" s="1" t="s">
        <v>2464</v>
      </c>
      <c r="F2" s="1">
        <v>549519.0</v>
      </c>
      <c r="G2" s="1">
        <v>23972.0</v>
      </c>
      <c r="H2" s="1">
        <v>507.0</v>
      </c>
      <c r="I2" s="1">
        <v>2.55E7</v>
      </c>
      <c r="J2" s="1" t="s">
        <v>2468</v>
      </c>
      <c r="K2" s="5">
        <f t="shared" ref="K2:K2629" si="2">F2/I2</f>
        <v>0.02154976471</v>
      </c>
      <c r="L2" s="6">
        <f t="shared" ref="L2:L2629" si="3">TODAY()-DATEVALUE(LEFT(C2,10))</f>
        <v>38</v>
      </c>
      <c r="M2" s="6">
        <f t="shared" ref="M2:M2629" si="4">F2/L2</f>
        <v>14461.02632</v>
      </c>
      <c r="N2" s="7">
        <f t="shared" ref="N2:N2629" si="5">M2/I2</f>
        <v>0.0005670990712</v>
      </c>
      <c r="O2" s="7">
        <f>STDEV(N2:N2629)</f>
        <v>0.001419721641</v>
      </c>
      <c r="P2" s="4">
        <f t="shared" ref="P2:P2629" si="6">(N2-$O$1)/$O$2</f>
        <v>-0.0500820966</v>
      </c>
      <c r="Q2" s="4">
        <f t="shared" ref="Q2:Q2629" si="7">LEN(B2)-LEN(SUBSTITUTE(B2," ",""))+1</f>
        <v>5</v>
      </c>
      <c r="R2" s="4">
        <f t="shared" ref="R2:R2629" si="8">LEN(B2)-LEN(SUBSTITUTE(B2,"?",""))</f>
        <v>0</v>
      </c>
      <c r="S2" s="4">
        <f t="shared" ref="S2:S2629" si="9">P2</f>
        <v>-0.0500820966</v>
      </c>
      <c r="T2" s="4">
        <f t="shared" ref="T2:T2629" si="10">len(B2)-Q2</f>
        <v>22</v>
      </c>
      <c r="U2" s="4">
        <f t="shared" si="1"/>
        <v>-0.0500820966</v>
      </c>
      <c r="V2" s="4"/>
    </row>
    <row r="3">
      <c r="A3" s="1" t="s">
        <v>2568</v>
      </c>
      <c r="B3" s="1" t="s">
        <v>2569</v>
      </c>
      <c r="C3" s="1" t="s">
        <v>2570</v>
      </c>
      <c r="D3" s="1" t="s">
        <v>2463</v>
      </c>
      <c r="E3" s="1" t="s">
        <v>2464</v>
      </c>
      <c r="F3" s="1">
        <v>3577756.0</v>
      </c>
      <c r="G3" s="1">
        <v>147458.0</v>
      </c>
      <c r="H3" s="1">
        <v>3557.0</v>
      </c>
      <c r="I3" s="1">
        <v>2.55E7</v>
      </c>
      <c r="J3" s="1" t="s">
        <v>2468</v>
      </c>
      <c r="K3" s="5">
        <f t="shared" si="2"/>
        <v>0.1403041569</v>
      </c>
      <c r="L3" s="6">
        <f t="shared" si="3"/>
        <v>42</v>
      </c>
      <c r="M3" s="6">
        <f t="shared" si="4"/>
        <v>85184.66667</v>
      </c>
      <c r="N3" s="7">
        <f t="shared" si="5"/>
        <v>0.003340575163</v>
      </c>
      <c r="O3" s="7"/>
      <c r="P3" s="4">
        <f t="shared" si="6"/>
        <v>1.903453028</v>
      </c>
      <c r="Q3" s="4">
        <f t="shared" si="7"/>
        <v>6</v>
      </c>
      <c r="R3" s="4">
        <f t="shared" si="8"/>
        <v>0</v>
      </c>
      <c r="S3" s="4">
        <f t="shared" si="9"/>
        <v>1.903453028</v>
      </c>
      <c r="T3" s="4">
        <f t="shared" si="10"/>
        <v>29</v>
      </c>
      <c r="U3" s="4">
        <f t="shared" si="1"/>
        <v>1.903453028</v>
      </c>
      <c r="V3" s="4"/>
    </row>
    <row r="4">
      <c r="A4" s="1" t="s">
        <v>2595</v>
      </c>
      <c r="B4" s="1" t="s">
        <v>2596</v>
      </c>
      <c r="C4" s="1" t="s">
        <v>2598</v>
      </c>
      <c r="D4" s="1" t="s">
        <v>2463</v>
      </c>
      <c r="E4" s="1" t="s">
        <v>2464</v>
      </c>
      <c r="F4" s="1">
        <v>838151.0</v>
      </c>
      <c r="G4" s="1">
        <v>47919.0</v>
      </c>
      <c r="H4" s="1">
        <v>1406.0</v>
      </c>
      <c r="I4" s="1">
        <v>2.55E7</v>
      </c>
      <c r="J4" s="1" t="s">
        <v>2468</v>
      </c>
      <c r="K4" s="5">
        <f t="shared" si="2"/>
        <v>0.03286866667</v>
      </c>
      <c r="L4" s="6">
        <f t="shared" si="3"/>
        <v>59</v>
      </c>
      <c r="M4" s="6">
        <f t="shared" si="4"/>
        <v>14205.94915</v>
      </c>
      <c r="N4" s="7">
        <f t="shared" si="5"/>
        <v>0.0005570960452</v>
      </c>
      <c r="O4" s="7"/>
      <c r="P4" s="4">
        <f t="shared" si="6"/>
        <v>-0.05712786227</v>
      </c>
      <c r="Q4" s="4">
        <f t="shared" si="7"/>
        <v>5</v>
      </c>
      <c r="R4" s="4">
        <f t="shared" si="8"/>
        <v>0</v>
      </c>
      <c r="S4" s="4">
        <f t="shared" si="9"/>
        <v>-0.05712786227</v>
      </c>
      <c r="T4" s="4">
        <f t="shared" si="10"/>
        <v>15</v>
      </c>
      <c r="U4" s="4">
        <f t="shared" si="1"/>
        <v>-0.05712786227</v>
      </c>
      <c r="V4" s="4"/>
    </row>
    <row r="5">
      <c r="A5" s="1" t="s">
        <v>2628</v>
      </c>
      <c r="B5" s="1" t="s">
        <v>2629</v>
      </c>
      <c r="C5" s="1" t="s">
        <v>2630</v>
      </c>
      <c r="D5" s="1" t="s">
        <v>2463</v>
      </c>
      <c r="E5" s="1" t="s">
        <v>2464</v>
      </c>
      <c r="F5" s="1">
        <v>1669402.0</v>
      </c>
      <c r="G5" s="1">
        <v>68718.0</v>
      </c>
      <c r="H5" s="1">
        <v>1173.0</v>
      </c>
      <c r="I5" s="1">
        <v>2.55E7</v>
      </c>
      <c r="J5" s="1" t="s">
        <v>2468</v>
      </c>
      <c r="K5" s="5">
        <f t="shared" si="2"/>
        <v>0.0654667451</v>
      </c>
      <c r="L5" s="6">
        <f t="shared" si="3"/>
        <v>64</v>
      </c>
      <c r="M5" s="6">
        <f t="shared" si="4"/>
        <v>26084.40625</v>
      </c>
      <c r="N5" s="7">
        <f t="shared" si="5"/>
        <v>0.001022917892</v>
      </c>
      <c r="O5" s="7"/>
      <c r="P5" s="4">
        <f t="shared" si="6"/>
        <v>0.2709800101</v>
      </c>
      <c r="Q5" s="4">
        <f t="shared" si="7"/>
        <v>4</v>
      </c>
      <c r="R5" s="4">
        <f t="shared" si="8"/>
        <v>1</v>
      </c>
      <c r="S5" s="4">
        <f t="shared" si="9"/>
        <v>0.2709800101</v>
      </c>
      <c r="T5" s="4">
        <f t="shared" si="10"/>
        <v>12</v>
      </c>
      <c r="U5" s="4">
        <f t="shared" si="1"/>
        <v>0.2709800101</v>
      </c>
      <c r="V5" s="4"/>
    </row>
    <row r="6">
      <c r="A6" s="1" t="s">
        <v>2652</v>
      </c>
      <c r="B6" s="1" t="s">
        <v>2653</v>
      </c>
      <c r="C6" s="1" t="s">
        <v>2654</v>
      </c>
      <c r="D6" s="1" t="s">
        <v>2463</v>
      </c>
      <c r="E6" s="1" t="s">
        <v>2464</v>
      </c>
      <c r="F6" s="1">
        <v>2649733.0</v>
      </c>
      <c r="G6" s="1">
        <v>101172.0</v>
      </c>
      <c r="H6" s="1">
        <v>2268.0</v>
      </c>
      <c r="I6" s="1">
        <v>2.55E7</v>
      </c>
      <c r="J6" s="1" t="s">
        <v>2468</v>
      </c>
      <c r="K6" s="5">
        <f t="shared" si="2"/>
        <v>0.103911098</v>
      </c>
      <c r="L6" s="6">
        <f t="shared" si="3"/>
        <v>66</v>
      </c>
      <c r="M6" s="6">
        <f t="shared" si="4"/>
        <v>40147.4697</v>
      </c>
      <c r="N6" s="7">
        <f t="shared" si="5"/>
        <v>0.001574410576</v>
      </c>
      <c r="O6" s="7"/>
      <c r="P6" s="4">
        <f t="shared" si="6"/>
        <v>0.659431287</v>
      </c>
      <c r="Q6" s="4">
        <f t="shared" si="7"/>
        <v>5</v>
      </c>
      <c r="R6" s="4">
        <f t="shared" si="8"/>
        <v>0</v>
      </c>
      <c r="S6" s="4">
        <f t="shared" si="9"/>
        <v>0.659431287</v>
      </c>
      <c r="T6" s="4">
        <f t="shared" si="10"/>
        <v>26</v>
      </c>
      <c r="U6" s="4">
        <f t="shared" si="1"/>
        <v>0.659431287</v>
      </c>
      <c r="V6" s="4"/>
    </row>
    <row r="7">
      <c r="A7" s="1" t="s">
        <v>2672</v>
      </c>
      <c r="B7" s="1" t="s">
        <v>2674</v>
      </c>
      <c r="C7" s="1" t="s">
        <v>2675</v>
      </c>
      <c r="D7" s="1" t="s">
        <v>2463</v>
      </c>
      <c r="E7" s="1" t="s">
        <v>2464</v>
      </c>
      <c r="F7" s="1">
        <v>2543069.0</v>
      </c>
      <c r="G7" s="1">
        <v>121528.0</v>
      </c>
      <c r="H7" s="1">
        <v>5114.0</v>
      </c>
      <c r="I7" s="1">
        <v>2.55E7</v>
      </c>
      <c r="J7" s="1" t="s">
        <v>2468</v>
      </c>
      <c r="K7" s="5">
        <f t="shared" si="2"/>
        <v>0.09972819608</v>
      </c>
      <c r="L7" s="6">
        <f t="shared" si="3"/>
        <v>73</v>
      </c>
      <c r="M7" s="6">
        <f t="shared" si="4"/>
        <v>34836.56164</v>
      </c>
      <c r="N7" s="7">
        <f t="shared" si="5"/>
        <v>0.001366139672</v>
      </c>
      <c r="O7" s="7"/>
      <c r="P7" s="4">
        <f t="shared" si="6"/>
        <v>0.5127328793</v>
      </c>
      <c r="Q7" s="4">
        <f t="shared" si="7"/>
        <v>5</v>
      </c>
      <c r="R7" s="4">
        <f t="shared" si="8"/>
        <v>0</v>
      </c>
      <c r="S7" s="4">
        <f t="shared" si="9"/>
        <v>0.5127328793</v>
      </c>
      <c r="T7" s="4">
        <f t="shared" si="10"/>
        <v>24</v>
      </c>
      <c r="U7" s="4">
        <f t="shared" si="1"/>
        <v>0.5127328793</v>
      </c>
      <c r="V7" s="4"/>
    </row>
    <row r="8">
      <c r="A8" s="1" t="s">
        <v>2694</v>
      </c>
      <c r="B8" s="1" t="s">
        <v>2696</v>
      </c>
      <c r="C8" s="1" t="s">
        <v>2698</v>
      </c>
      <c r="D8" s="1" t="s">
        <v>2463</v>
      </c>
      <c r="E8" s="1" t="s">
        <v>2464</v>
      </c>
      <c r="F8" s="1">
        <v>2666434.0</v>
      </c>
      <c r="G8" s="1">
        <v>108526.0</v>
      </c>
      <c r="H8" s="1">
        <v>4221.0</v>
      </c>
      <c r="I8" s="1">
        <v>2.55E7</v>
      </c>
      <c r="J8" s="1" t="s">
        <v>2468</v>
      </c>
      <c r="K8" s="5">
        <f t="shared" si="2"/>
        <v>0.1045660392</v>
      </c>
      <c r="L8" s="6">
        <f t="shared" si="3"/>
        <v>79</v>
      </c>
      <c r="M8" s="6">
        <f t="shared" si="4"/>
        <v>33752.32911</v>
      </c>
      <c r="N8" s="7">
        <f t="shared" si="5"/>
        <v>0.00132362075</v>
      </c>
      <c r="O8" s="7"/>
      <c r="P8" s="4">
        <f t="shared" si="6"/>
        <v>0.4827841052</v>
      </c>
      <c r="Q8" s="4">
        <f t="shared" si="7"/>
        <v>7</v>
      </c>
      <c r="R8" s="4">
        <f t="shared" si="8"/>
        <v>1</v>
      </c>
      <c r="S8" s="4">
        <f t="shared" si="9"/>
        <v>0.4827841052</v>
      </c>
      <c r="T8" s="4">
        <f t="shared" si="10"/>
        <v>35</v>
      </c>
      <c r="U8" s="4">
        <f t="shared" si="1"/>
        <v>0.4827841052</v>
      </c>
      <c r="V8" s="4"/>
    </row>
    <row r="9">
      <c r="A9" s="1" t="s">
        <v>2721</v>
      </c>
      <c r="B9" s="1" t="s">
        <v>2722</v>
      </c>
      <c r="C9" s="1" t="s">
        <v>2723</v>
      </c>
      <c r="D9" s="1" t="s">
        <v>2463</v>
      </c>
      <c r="E9" s="1" t="s">
        <v>2464</v>
      </c>
      <c r="F9" s="1">
        <v>1537275.0</v>
      </c>
      <c r="G9" s="1">
        <v>89066.0</v>
      </c>
      <c r="H9" s="1">
        <v>3352.0</v>
      </c>
      <c r="I9" s="1">
        <v>2.55E7</v>
      </c>
      <c r="J9" s="1" t="s">
        <v>2468</v>
      </c>
      <c r="K9" s="5">
        <f t="shared" si="2"/>
        <v>0.06028529412</v>
      </c>
      <c r="L9" s="6">
        <f t="shared" si="3"/>
        <v>80</v>
      </c>
      <c r="M9" s="6">
        <f t="shared" si="4"/>
        <v>19215.9375</v>
      </c>
      <c r="N9" s="7">
        <f t="shared" si="5"/>
        <v>0.0007535661765</v>
      </c>
      <c r="O9" s="7"/>
      <c r="P9" s="4">
        <f t="shared" si="6"/>
        <v>0.08125851265</v>
      </c>
      <c r="Q9" s="4">
        <f t="shared" si="7"/>
        <v>4</v>
      </c>
      <c r="R9" s="4">
        <f t="shared" si="8"/>
        <v>0</v>
      </c>
      <c r="S9" s="4">
        <f t="shared" si="9"/>
        <v>0.08125851265</v>
      </c>
      <c r="T9" s="4">
        <f t="shared" si="10"/>
        <v>11</v>
      </c>
      <c r="U9" s="4">
        <f t="shared" si="1"/>
        <v>0.08125851265</v>
      </c>
      <c r="V9" s="4"/>
    </row>
    <row r="10">
      <c r="A10" s="1" t="s">
        <v>2742</v>
      </c>
      <c r="B10" s="1" t="s">
        <v>2745</v>
      </c>
      <c r="C10" s="1" t="s">
        <v>2747</v>
      </c>
      <c r="D10" s="1" t="s">
        <v>2463</v>
      </c>
      <c r="E10" s="1" t="s">
        <v>2464</v>
      </c>
      <c r="F10" s="1">
        <v>1096333.0</v>
      </c>
      <c r="G10" s="1">
        <v>49689.0</v>
      </c>
      <c r="H10" s="1">
        <v>719.0</v>
      </c>
      <c r="I10" s="1">
        <v>2.55E7</v>
      </c>
      <c r="J10" s="1" t="s">
        <v>2468</v>
      </c>
      <c r="K10" s="5">
        <f t="shared" si="2"/>
        <v>0.04299345098</v>
      </c>
      <c r="L10" s="6">
        <f t="shared" si="3"/>
        <v>85</v>
      </c>
      <c r="M10" s="6">
        <f t="shared" si="4"/>
        <v>12898.03529</v>
      </c>
      <c r="N10" s="7">
        <f t="shared" si="5"/>
        <v>0.0005058053057</v>
      </c>
      <c r="O10" s="7"/>
      <c r="P10" s="4">
        <f t="shared" si="6"/>
        <v>-0.09325518334</v>
      </c>
      <c r="Q10" s="4">
        <f t="shared" si="7"/>
        <v>5</v>
      </c>
      <c r="R10" s="4">
        <f t="shared" si="8"/>
        <v>0</v>
      </c>
      <c r="S10" s="4">
        <f t="shared" si="9"/>
        <v>-0.09325518334</v>
      </c>
      <c r="T10" s="4">
        <f t="shared" si="10"/>
        <v>17</v>
      </c>
      <c r="U10" s="4">
        <f t="shared" si="1"/>
        <v>-0.09325518334</v>
      </c>
      <c r="V10" s="4"/>
    </row>
    <row r="11">
      <c r="A11" s="1" t="s">
        <v>2765</v>
      </c>
      <c r="B11" s="1" t="s">
        <v>2767</v>
      </c>
      <c r="C11" s="1" t="s">
        <v>2768</v>
      </c>
      <c r="D11" s="1" t="s">
        <v>2463</v>
      </c>
      <c r="E11" s="1" t="s">
        <v>2464</v>
      </c>
      <c r="F11" s="1">
        <v>1400771.0</v>
      </c>
      <c r="G11" s="1">
        <v>66112.0</v>
      </c>
      <c r="H11" s="1">
        <v>808.0</v>
      </c>
      <c r="I11" s="1">
        <v>2.55E7</v>
      </c>
      <c r="J11" s="1" t="s">
        <v>2468</v>
      </c>
      <c r="K11" s="5">
        <f t="shared" si="2"/>
        <v>0.05493219608</v>
      </c>
      <c r="L11" s="6">
        <f t="shared" si="3"/>
        <v>91</v>
      </c>
      <c r="M11" s="6">
        <f t="shared" si="4"/>
        <v>15393.08791</v>
      </c>
      <c r="N11" s="7">
        <f t="shared" si="5"/>
        <v>0.0006036505064</v>
      </c>
      <c r="O11" s="7"/>
      <c r="P11" s="4">
        <f t="shared" si="6"/>
        <v>-0.02433660248</v>
      </c>
      <c r="Q11" s="4">
        <f t="shared" si="7"/>
        <v>5</v>
      </c>
      <c r="R11" s="4">
        <f t="shared" si="8"/>
        <v>0</v>
      </c>
      <c r="S11" s="4">
        <f t="shared" si="9"/>
        <v>-0.02433660248</v>
      </c>
      <c r="T11" s="4">
        <f t="shared" si="10"/>
        <v>21</v>
      </c>
      <c r="U11" s="4">
        <f t="shared" si="1"/>
        <v>-0.02433660248</v>
      </c>
      <c r="V11" s="4"/>
    </row>
    <row r="12">
      <c r="A12" s="1" t="s">
        <v>2787</v>
      </c>
      <c r="B12" s="1" t="s">
        <v>2789</v>
      </c>
      <c r="C12" s="1" t="s">
        <v>2791</v>
      </c>
      <c r="D12" s="1" t="s">
        <v>2463</v>
      </c>
      <c r="E12" s="1" t="s">
        <v>2464</v>
      </c>
      <c r="F12" s="1">
        <v>1302921.0</v>
      </c>
      <c r="G12" s="1">
        <v>61370.0</v>
      </c>
      <c r="H12" s="1">
        <v>1205.0</v>
      </c>
      <c r="I12" s="1">
        <v>2.55E7</v>
      </c>
      <c r="J12" s="1" t="s">
        <v>2468</v>
      </c>
      <c r="K12" s="5">
        <f t="shared" si="2"/>
        <v>0.05109494118</v>
      </c>
      <c r="L12" s="6">
        <f t="shared" si="3"/>
        <v>94</v>
      </c>
      <c r="M12" s="6">
        <f t="shared" si="4"/>
        <v>13860.8617</v>
      </c>
      <c r="N12" s="7">
        <f t="shared" si="5"/>
        <v>0.000543563204</v>
      </c>
      <c r="O12" s="7"/>
      <c r="P12" s="4">
        <f t="shared" si="6"/>
        <v>-0.06665990067</v>
      </c>
      <c r="Q12" s="4">
        <f t="shared" si="7"/>
        <v>6</v>
      </c>
      <c r="R12" s="4">
        <f t="shared" si="8"/>
        <v>0</v>
      </c>
      <c r="S12" s="4">
        <f t="shared" si="9"/>
        <v>-0.06665990067</v>
      </c>
      <c r="T12" s="4">
        <f t="shared" si="10"/>
        <v>25</v>
      </c>
      <c r="U12" s="4">
        <f t="shared" si="1"/>
        <v>-0.06665990067</v>
      </c>
      <c r="V12" s="4"/>
    </row>
    <row r="13">
      <c r="A13" s="1" t="s">
        <v>2811</v>
      </c>
      <c r="B13" s="1" t="s">
        <v>2813</v>
      </c>
      <c r="C13" s="1" t="s">
        <v>2815</v>
      </c>
      <c r="D13" s="1" t="s">
        <v>2463</v>
      </c>
      <c r="E13" s="1" t="s">
        <v>2464</v>
      </c>
      <c r="F13" s="1">
        <v>6016326.0</v>
      </c>
      <c r="G13" s="1">
        <v>191242.0</v>
      </c>
      <c r="H13" s="1">
        <v>13027.0</v>
      </c>
      <c r="I13" s="1">
        <v>2.55E7</v>
      </c>
      <c r="J13" s="1" t="s">
        <v>2468</v>
      </c>
      <c r="K13" s="5">
        <f t="shared" si="2"/>
        <v>0.2359343529</v>
      </c>
      <c r="L13" s="6">
        <f t="shared" si="3"/>
        <v>100</v>
      </c>
      <c r="M13" s="6">
        <f t="shared" si="4"/>
        <v>60163.26</v>
      </c>
      <c r="N13" s="7">
        <f t="shared" si="5"/>
        <v>0.002359343529</v>
      </c>
      <c r="O13" s="7"/>
      <c r="P13" s="4">
        <f t="shared" si="6"/>
        <v>1.212309352</v>
      </c>
      <c r="Q13" s="4">
        <f t="shared" si="7"/>
        <v>8</v>
      </c>
      <c r="R13" s="4">
        <f t="shared" si="8"/>
        <v>0</v>
      </c>
      <c r="S13" s="4">
        <f t="shared" si="9"/>
        <v>1.212309352</v>
      </c>
      <c r="T13" s="4">
        <f t="shared" si="10"/>
        <v>37</v>
      </c>
      <c r="U13" s="4">
        <f t="shared" si="1"/>
        <v>1.212309352</v>
      </c>
      <c r="V13" s="4"/>
    </row>
    <row r="14">
      <c r="A14" s="1" t="s">
        <v>2838</v>
      </c>
      <c r="B14" s="1" t="s">
        <v>2839</v>
      </c>
      <c r="C14" s="1" t="s">
        <v>2840</v>
      </c>
      <c r="D14" s="1" t="s">
        <v>2463</v>
      </c>
      <c r="E14" s="1" t="s">
        <v>2464</v>
      </c>
      <c r="F14" s="1">
        <v>5397949.0</v>
      </c>
      <c r="G14" s="1">
        <v>149109.0</v>
      </c>
      <c r="H14" s="1">
        <v>8723.0</v>
      </c>
      <c r="I14" s="1">
        <v>2.55E7</v>
      </c>
      <c r="J14" s="1" t="s">
        <v>2468</v>
      </c>
      <c r="K14" s="5">
        <f t="shared" si="2"/>
        <v>0.2116842745</v>
      </c>
      <c r="L14" s="6">
        <f t="shared" si="3"/>
        <v>107</v>
      </c>
      <c r="M14" s="6">
        <f t="shared" si="4"/>
        <v>50448.1215</v>
      </c>
      <c r="N14" s="7">
        <f t="shared" si="5"/>
        <v>0.001978357706</v>
      </c>
      <c r="O14" s="7"/>
      <c r="P14" s="4">
        <f t="shared" si="6"/>
        <v>0.9439568713</v>
      </c>
      <c r="Q14" s="4">
        <f t="shared" si="7"/>
        <v>7</v>
      </c>
      <c r="R14" s="4">
        <f t="shared" si="8"/>
        <v>0</v>
      </c>
      <c r="S14" s="4">
        <f t="shared" si="9"/>
        <v>0.9439568713</v>
      </c>
      <c r="T14" s="4">
        <f t="shared" si="10"/>
        <v>48</v>
      </c>
      <c r="U14" s="4">
        <f t="shared" si="1"/>
        <v>0.9439568713</v>
      </c>
      <c r="V14" s="4"/>
    </row>
    <row r="15">
      <c r="A15" s="1" t="s">
        <v>2859</v>
      </c>
      <c r="B15" s="1" t="s">
        <v>2860</v>
      </c>
      <c r="C15" s="1" t="s">
        <v>2863</v>
      </c>
      <c r="D15" s="1" t="s">
        <v>2463</v>
      </c>
      <c r="E15" s="1" t="s">
        <v>2464</v>
      </c>
      <c r="F15" s="1">
        <v>1117023.0</v>
      </c>
      <c r="G15" s="1">
        <v>48708.0</v>
      </c>
      <c r="H15" s="1">
        <v>998.0</v>
      </c>
      <c r="I15" s="1">
        <v>2.55E7</v>
      </c>
      <c r="J15" s="1" t="s">
        <v>2468</v>
      </c>
      <c r="K15" s="5">
        <f t="shared" si="2"/>
        <v>0.04380482353</v>
      </c>
      <c r="L15" s="6">
        <f t="shared" si="3"/>
        <v>108</v>
      </c>
      <c r="M15" s="6">
        <f t="shared" si="4"/>
        <v>10342.80556</v>
      </c>
      <c r="N15" s="7">
        <f t="shared" si="5"/>
        <v>0.0004056002179</v>
      </c>
      <c r="O15" s="7"/>
      <c r="P15" s="4">
        <f t="shared" si="6"/>
        <v>-0.1638359824</v>
      </c>
      <c r="Q15" s="4">
        <f t="shared" si="7"/>
        <v>5</v>
      </c>
      <c r="R15" s="4">
        <f t="shared" si="8"/>
        <v>1</v>
      </c>
      <c r="S15" s="4">
        <f t="shared" si="9"/>
        <v>-0.1638359824</v>
      </c>
      <c r="T15" s="4">
        <f t="shared" si="10"/>
        <v>23</v>
      </c>
      <c r="U15" s="4">
        <f t="shared" si="1"/>
        <v>-0.1638359824</v>
      </c>
      <c r="V15" s="4"/>
    </row>
    <row r="16">
      <c r="A16" s="1" t="s">
        <v>2883</v>
      </c>
      <c r="B16" s="1" t="s">
        <v>2885</v>
      </c>
      <c r="C16" s="1" t="s">
        <v>2887</v>
      </c>
      <c r="D16" s="1" t="s">
        <v>2463</v>
      </c>
      <c r="E16" s="1" t="s">
        <v>2464</v>
      </c>
      <c r="F16" s="1">
        <v>2737786.0</v>
      </c>
      <c r="G16" s="1">
        <v>112435.0</v>
      </c>
      <c r="H16" s="1">
        <v>1691.0</v>
      </c>
      <c r="I16" s="1">
        <v>2.55E7</v>
      </c>
      <c r="J16" s="1" t="s">
        <v>2468</v>
      </c>
      <c r="K16" s="5">
        <f t="shared" si="2"/>
        <v>0.1073641569</v>
      </c>
      <c r="L16" s="6">
        <f t="shared" si="3"/>
        <v>112</v>
      </c>
      <c r="M16" s="6">
        <f t="shared" si="4"/>
        <v>24444.51786</v>
      </c>
      <c r="N16" s="7">
        <f t="shared" si="5"/>
        <v>0.0009586085434</v>
      </c>
      <c r="O16" s="7"/>
      <c r="P16" s="4">
        <f t="shared" si="6"/>
        <v>0.2256828569</v>
      </c>
      <c r="Q16" s="4">
        <f t="shared" si="7"/>
        <v>4</v>
      </c>
      <c r="R16" s="4">
        <f t="shared" si="8"/>
        <v>1</v>
      </c>
      <c r="S16" s="4">
        <f t="shared" si="9"/>
        <v>0.2256828569</v>
      </c>
      <c r="T16" s="4">
        <f t="shared" si="10"/>
        <v>23</v>
      </c>
      <c r="U16" s="4">
        <f t="shared" si="1"/>
        <v>0.2256828569</v>
      </c>
      <c r="V16" s="4"/>
    </row>
    <row r="17">
      <c r="A17" s="1" t="s">
        <v>2907</v>
      </c>
      <c r="B17" s="1" t="s">
        <v>2908</v>
      </c>
      <c r="C17" s="1" t="s">
        <v>2909</v>
      </c>
      <c r="D17" s="1" t="s">
        <v>2463</v>
      </c>
      <c r="E17" s="1" t="s">
        <v>2464</v>
      </c>
      <c r="F17" s="1">
        <v>828462.0</v>
      </c>
      <c r="G17" s="1">
        <v>40257.0</v>
      </c>
      <c r="H17" s="1">
        <v>472.0</v>
      </c>
      <c r="I17" s="1">
        <v>2.55E7</v>
      </c>
      <c r="J17" s="1" t="s">
        <v>2468</v>
      </c>
      <c r="K17" s="5">
        <f t="shared" si="2"/>
        <v>0.03248870588</v>
      </c>
      <c r="L17" s="6">
        <f t="shared" si="3"/>
        <v>115</v>
      </c>
      <c r="M17" s="6">
        <f t="shared" si="4"/>
        <v>7204.017391</v>
      </c>
      <c r="N17" s="7">
        <f t="shared" si="5"/>
        <v>0.0002825104859</v>
      </c>
      <c r="O17" s="7"/>
      <c r="P17" s="4">
        <f t="shared" si="6"/>
        <v>-0.2505358877</v>
      </c>
      <c r="Q17" s="4">
        <f t="shared" si="7"/>
        <v>6</v>
      </c>
      <c r="R17" s="4">
        <f t="shared" si="8"/>
        <v>0</v>
      </c>
      <c r="S17" s="4">
        <f t="shared" si="9"/>
        <v>-0.2505358877</v>
      </c>
      <c r="T17" s="4">
        <f t="shared" si="10"/>
        <v>26</v>
      </c>
      <c r="U17" s="4">
        <f t="shared" si="1"/>
        <v>-0.2505358877</v>
      </c>
      <c r="V17" s="4"/>
    </row>
    <row r="18">
      <c r="A18" s="1" t="s">
        <v>2934</v>
      </c>
      <c r="B18" s="1" t="s">
        <v>2935</v>
      </c>
      <c r="C18" s="1" t="s">
        <v>2936</v>
      </c>
      <c r="D18" s="1" t="s">
        <v>2463</v>
      </c>
      <c r="E18" s="1" t="s">
        <v>2464</v>
      </c>
      <c r="F18" s="1">
        <v>889071.0</v>
      </c>
      <c r="G18" s="1">
        <v>43000.0</v>
      </c>
      <c r="H18" s="1">
        <v>697.0</v>
      </c>
      <c r="I18" s="1">
        <v>2.55E7</v>
      </c>
      <c r="J18" s="1" t="s">
        <v>2468</v>
      </c>
      <c r="K18" s="5">
        <f t="shared" si="2"/>
        <v>0.03486552941</v>
      </c>
      <c r="L18" s="6">
        <f t="shared" si="3"/>
        <v>118</v>
      </c>
      <c r="M18" s="6">
        <f t="shared" si="4"/>
        <v>7534.5</v>
      </c>
      <c r="N18" s="7">
        <f t="shared" si="5"/>
        <v>0.0002954705882</v>
      </c>
      <c r="O18" s="7"/>
      <c r="P18" s="4">
        <f t="shared" si="6"/>
        <v>-0.2414072657</v>
      </c>
      <c r="Q18" s="4">
        <f t="shared" si="7"/>
        <v>4</v>
      </c>
      <c r="R18" s="4">
        <f t="shared" si="8"/>
        <v>0</v>
      </c>
      <c r="S18" s="4">
        <f t="shared" si="9"/>
        <v>-0.2414072657</v>
      </c>
      <c r="T18" s="4">
        <f t="shared" si="10"/>
        <v>24</v>
      </c>
      <c r="U18" s="4">
        <f t="shared" si="1"/>
        <v>-0.2414072657</v>
      </c>
      <c r="V18" s="4"/>
    </row>
    <row r="19">
      <c r="A19" s="1" t="s">
        <v>2958</v>
      </c>
      <c r="B19" s="1" t="s">
        <v>2959</v>
      </c>
      <c r="C19" s="1" t="s">
        <v>2960</v>
      </c>
      <c r="D19" s="1" t="s">
        <v>2463</v>
      </c>
      <c r="E19" s="1" t="s">
        <v>2464</v>
      </c>
      <c r="F19" s="1">
        <v>4751083.0</v>
      </c>
      <c r="G19" s="1">
        <v>218741.0</v>
      </c>
      <c r="H19" s="1">
        <v>32814.0</v>
      </c>
      <c r="I19" s="1">
        <v>2.55E7</v>
      </c>
      <c r="J19" s="1" t="s">
        <v>2468</v>
      </c>
      <c r="K19" s="5">
        <f t="shared" si="2"/>
        <v>0.1863169804</v>
      </c>
      <c r="L19" s="6">
        <f t="shared" si="3"/>
        <v>121</v>
      </c>
      <c r="M19" s="6">
        <f t="shared" si="4"/>
        <v>39265.14876</v>
      </c>
      <c r="N19" s="7">
        <f t="shared" si="5"/>
        <v>0.001539809755</v>
      </c>
      <c r="O19" s="7"/>
      <c r="P19" s="4">
        <f t="shared" si="6"/>
        <v>0.6350597341</v>
      </c>
      <c r="Q19" s="4">
        <f t="shared" si="7"/>
        <v>3</v>
      </c>
      <c r="R19" s="4">
        <f t="shared" si="8"/>
        <v>0</v>
      </c>
      <c r="S19" s="4">
        <f t="shared" si="9"/>
        <v>0.6350597341</v>
      </c>
      <c r="T19" s="4">
        <f t="shared" si="10"/>
        <v>12</v>
      </c>
      <c r="U19" s="4">
        <f t="shared" si="1"/>
        <v>0.6350597341</v>
      </c>
      <c r="V19" s="4"/>
    </row>
    <row r="20">
      <c r="A20" s="1" t="s">
        <v>2982</v>
      </c>
      <c r="B20" s="1" t="s">
        <v>2983</v>
      </c>
      <c r="C20" s="1" t="s">
        <v>2984</v>
      </c>
      <c r="D20" s="1" t="s">
        <v>2463</v>
      </c>
      <c r="E20" s="1" t="s">
        <v>2464</v>
      </c>
      <c r="F20" s="1">
        <v>699903.0</v>
      </c>
      <c r="G20" s="1">
        <v>34413.0</v>
      </c>
      <c r="H20" s="1">
        <v>578.0</v>
      </c>
      <c r="I20" s="1">
        <v>2.55E7</v>
      </c>
      <c r="J20" s="1" t="s">
        <v>2468</v>
      </c>
      <c r="K20" s="5">
        <f t="shared" si="2"/>
        <v>0.02744717647</v>
      </c>
      <c r="L20" s="6">
        <f t="shared" si="3"/>
        <v>126</v>
      </c>
      <c r="M20" s="6">
        <f t="shared" si="4"/>
        <v>5554.785714</v>
      </c>
      <c r="N20" s="7">
        <f t="shared" si="5"/>
        <v>0.0002178347339</v>
      </c>
      <c r="O20" s="7"/>
      <c r="P20" s="4">
        <f t="shared" si="6"/>
        <v>-0.2960911221</v>
      </c>
      <c r="Q20" s="4">
        <f t="shared" si="7"/>
        <v>4</v>
      </c>
      <c r="R20" s="4">
        <f t="shared" si="8"/>
        <v>0</v>
      </c>
      <c r="S20" s="4">
        <f t="shared" si="9"/>
        <v>-0.2960911221</v>
      </c>
      <c r="T20" s="4">
        <f t="shared" si="10"/>
        <v>18</v>
      </c>
      <c r="U20" s="4">
        <f t="shared" si="1"/>
        <v>-0.2960911221</v>
      </c>
      <c r="V20" s="4"/>
    </row>
    <row r="21">
      <c r="A21" s="1" t="s">
        <v>3006</v>
      </c>
      <c r="B21" s="1" t="s">
        <v>3007</v>
      </c>
      <c r="C21" s="1" t="s">
        <v>3008</v>
      </c>
      <c r="D21" s="1" t="s">
        <v>2463</v>
      </c>
      <c r="E21" s="1" t="s">
        <v>2464</v>
      </c>
      <c r="F21" s="1">
        <v>1213168.0</v>
      </c>
      <c r="G21" s="1">
        <v>58816.0</v>
      </c>
      <c r="H21" s="1">
        <v>1198.0</v>
      </c>
      <c r="I21" s="1">
        <v>2.55E7</v>
      </c>
      <c r="J21" s="1" t="s">
        <v>2468</v>
      </c>
      <c r="K21" s="5">
        <f t="shared" si="2"/>
        <v>0.04757521569</v>
      </c>
      <c r="L21" s="6">
        <f t="shared" si="3"/>
        <v>129</v>
      </c>
      <c r="M21" s="6">
        <f t="shared" si="4"/>
        <v>9404.403101</v>
      </c>
      <c r="N21" s="7">
        <f t="shared" si="5"/>
        <v>0.0003688001216</v>
      </c>
      <c r="O21" s="7"/>
      <c r="P21" s="4">
        <f t="shared" si="6"/>
        <v>-0.1897566243</v>
      </c>
      <c r="Q21" s="4">
        <f t="shared" si="7"/>
        <v>6</v>
      </c>
      <c r="R21" s="4">
        <f t="shared" si="8"/>
        <v>0</v>
      </c>
      <c r="S21" s="4">
        <f t="shared" si="9"/>
        <v>-0.1897566243</v>
      </c>
      <c r="T21" s="4">
        <f t="shared" si="10"/>
        <v>22</v>
      </c>
      <c r="U21" s="4">
        <f t="shared" si="1"/>
        <v>-0.1897566243</v>
      </c>
      <c r="V21" s="4"/>
    </row>
    <row r="22">
      <c r="A22" s="1" t="s">
        <v>3012</v>
      </c>
      <c r="B22" s="1" t="s">
        <v>3013</v>
      </c>
      <c r="C22" s="1" t="s">
        <v>3014</v>
      </c>
      <c r="D22" s="1" t="s">
        <v>2463</v>
      </c>
      <c r="E22" s="1" t="s">
        <v>2464</v>
      </c>
      <c r="F22" s="1">
        <v>815603.0</v>
      </c>
      <c r="G22" s="1">
        <v>28795.0</v>
      </c>
      <c r="H22" s="1">
        <v>974.0</v>
      </c>
      <c r="I22" s="1">
        <v>2.55E7</v>
      </c>
      <c r="J22" s="1" t="s">
        <v>2468</v>
      </c>
      <c r="K22" s="5">
        <f t="shared" si="2"/>
        <v>0.03198443137</v>
      </c>
      <c r="L22" s="6">
        <f t="shared" si="3"/>
        <v>133</v>
      </c>
      <c r="M22" s="6">
        <f t="shared" si="4"/>
        <v>6132.353383</v>
      </c>
      <c r="N22" s="7">
        <f t="shared" si="5"/>
        <v>0.0002404844464</v>
      </c>
      <c r="O22" s="7"/>
      <c r="P22" s="4">
        <f t="shared" si="6"/>
        <v>-0.280137493</v>
      </c>
      <c r="Q22" s="4">
        <f t="shared" si="7"/>
        <v>3</v>
      </c>
      <c r="R22" s="4">
        <f t="shared" si="8"/>
        <v>0</v>
      </c>
      <c r="S22" s="4">
        <f t="shared" si="9"/>
        <v>-0.280137493</v>
      </c>
      <c r="T22" s="4">
        <f t="shared" si="10"/>
        <v>19</v>
      </c>
      <c r="U22" s="4">
        <f t="shared" si="1"/>
        <v>-0.280137493</v>
      </c>
      <c r="V22" s="4"/>
    </row>
    <row r="23">
      <c r="A23" s="1" t="s">
        <v>3030</v>
      </c>
      <c r="B23" s="1" t="s">
        <v>3031</v>
      </c>
      <c r="C23" s="1" t="s">
        <v>3032</v>
      </c>
      <c r="D23" s="1" t="s">
        <v>2463</v>
      </c>
      <c r="E23" s="1" t="s">
        <v>2464</v>
      </c>
      <c r="F23" s="1">
        <v>2657220.0</v>
      </c>
      <c r="G23" s="1">
        <v>110602.0</v>
      </c>
      <c r="H23" s="1">
        <v>3821.0</v>
      </c>
      <c r="I23" s="1">
        <v>2.55E7</v>
      </c>
      <c r="J23" s="1" t="s">
        <v>2468</v>
      </c>
      <c r="K23" s="5">
        <f t="shared" si="2"/>
        <v>0.1042047059</v>
      </c>
      <c r="L23" s="6">
        <f t="shared" si="3"/>
        <v>135</v>
      </c>
      <c r="M23" s="6">
        <f t="shared" si="4"/>
        <v>19683.11111</v>
      </c>
      <c r="N23" s="7">
        <f t="shared" si="5"/>
        <v>0.0007718867102</v>
      </c>
      <c r="O23" s="7"/>
      <c r="P23" s="4">
        <f t="shared" si="6"/>
        <v>0.0941628266</v>
      </c>
      <c r="Q23" s="4">
        <f t="shared" si="7"/>
        <v>7</v>
      </c>
      <c r="R23" s="4">
        <f t="shared" si="8"/>
        <v>0</v>
      </c>
      <c r="S23" s="4">
        <f t="shared" si="9"/>
        <v>0.0941628266</v>
      </c>
      <c r="T23" s="4">
        <f t="shared" si="10"/>
        <v>29</v>
      </c>
      <c r="U23" s="4">
        <f t="shared" si="1"/>
        <v>0.0941628266</v>
      </c>
      <c r="V23" s="4"/>
    </row>
    <row r="24">
      <c r="A24" s="1" t="s">
        <v>3050</v>
      </c>
      <c r="B24" s="1" t="s">
        <v>3052</v>
      </c>
      <c r="C24" s="1" t="s">
        <v>3053</v>
      </c>
      <c r="D24" s="1" t="s">
        <v>2463</v>
      </c>
      <c r="E24" s="1" t="s">
        <v>2464</v>
      </c>
      <c r="F24" s="1">
        <v>2843511.0</v>
      </c>
      <c r="G24" s="1">
        <v>173002.0</v>
      </c>
      <c r="H24" s="1">
        <v>3983.0</v>
      </c>
      <c r="I24" s="1">
        <v>2.55E7</v>
      </c>
      <c r="J24" s="1" t="s">
        <v>2468</v>
      </c>
      <c r="K24" s="5">
        <f t="shared" si="2"/>
        <v>0.1115102353</v>
      </c>
      <c r="L24" s="6">
        <f t="shared" si="3"/>
        <v>140</v>
      </c>
      <c r="M24" s="6">
        <f t="shared" si="4"/>
        <v>20310.79286</v>
      </c>
      <c r="N24" s="7">
        <f t="shared" si="5"/>
        <v>0.0007965016807</v>
      </c>
      <c r="O24" s="7"/>
      <c r="P24" s="4">
        <f t="shared" si="6"/>
        <v>0.1115007115</v>
      </c>
      <c r="Q24" s="4">
        <f t="shared" si="7"/>
        <v>5</v>
      </c>
      <c r="R24" s="4">
        <f t="shared" si="8"/>
        <v>0</v>
      </c>
      <c r="S24" s="4">
        <f t="shared" si="9"/>
        <v>0.1115007115</v>
      </c>
      <c r="T24" s="4">
        <f t="shared" si="10"/>
        <v>22</v>
      </c>
      <c r="U24" s="4">
        <f t="shared" si="1"/>
        <v>0.1115007115</v>
      </c>
      <c r="V24" s="4"/>
    </row>
    <row r="25">
      <c r="A25" s="1" t="s">
        <v>3070</v>
      </c>
      <c r="B25" s="1" t="s">
        <v>3072</v>
      </c>
      <c r="C25" s="1" t="s">
        <v>3073</v>
      </c>
      <c r="D25" s="1" t="s">
        <v>2463</v>
      </c>
      <c r="E25" s="1" t="s">
        <v>2464</v>
      </c>
      <c r="F25" s="1">
        <v>1212149.0</v>
      </c>
      <c r="G25" s="1">
        <v>56195.0</v>
      </c>
      <c r="H25" s="1">
        <v>990.0</v>
      </c>
      <c r="I25" s="1">
        <v>2.55E7</v>
      </c>
      <c r="J25" s="1" t="s">
        <v>2468</v>
      </c>
      <c r="K25" s="5">
        <f t="shared" si="2"/>
        <v>0.0475352549</v>
      </c>
      <c r="L25" s="6">
        <f t="shared" si="3"/>
        <v>143</v>
      </c>
      <c r="M25" s="6">
        <f t="shared" si="4"/>
        <v>8476.566434</v>
      </c>
      <c r="N25" s="7">
        <f t="shared" si="5"/>
        <v>0.0003324143699</v>
      </c>
      <c r="O25" s="7"/>
      <c r="P25" s="4">
        <f t="shared" si="6"/>
        <v>-0.215385417</v>
      </c>
      <c r="Q25" s="4">
        <f t="shared" si="7"/>
        <v>3</v>
      </c>
      <c r="R25" s="4">
        <f t="shared" si="8"/>
        <v>0</v>
      </c>
      <c r="S25" s="4">
        <f t="shared" si="9"/>
        <v>-0.215385417</v>
      </c>
      <c r="T25" s="4">
        <f t="shared" si="10"/>
        <v>15</v>
      </c>
      <c r="U25" s="4">
        <f t="shared" si="1"/>
        <v>-0.215385417</v>
      </c>
      <c r="V25" s="4"/>
    </row>
    <row r="26">
      <c r="A26" s="1" t="s">
        <v>3081</v>
      </c>
      <c r="B26" s="1" t="s">
        <v>3083</v>
      </c>
      <c r="C26" s="1" t="s">
        <v>3085</v>
      </c>
      <c r="D26" s="1" t="s">
        <v>2463</v>
      </c>
      <c r="E26" s="1" t="s">
        <v>2464</v>
      </c>
      <c r="F26" s="1">
        <v>1135267.0</v>
      </c>
      <c r="G26" s="1">
        <v>52829.0</v>
      </c>
      <c r="H26" s="1">
        <v>976.0</v>
      </c>
      <c r="I26" s="1">
        <v>2.55E7</v>
      </c>
      <c r="J26" s="1" t="s">
        <v>2468</v>
      </c>
      <c r="K26" s="5">
        <f t="shared" si="2"/>
        <v>0.04452027451</v>
      </c>
      <c r="L26" s="6">
        <f t="shared" si="3"/>
        <v>147</v>
      </c>
      <c r="M26" s="6">
        <f t="shared" si="4"/>
        <v>7722.904762</v>
      </c>
      <c r="N26" s="7">
        <f t="shared" si="5"/>
        <v>0.0003028590103</v>
      </c>
      <c r="O26" s="7"/>
      <c r="P26" s="4">
        <f t="shared" si="6"/>
        <v>-0.2362031314</v>
      </c>
      <c r="Q26" s="4">
        <f t="shared" si="7"/>
        <v>4</v>
      </c>
      <c r="R26" s="4">
        <f t="shared" si="8"/>
        <v>0</v>
      </c>
      <c r="S26" s="4">
        <f t="shared" si="9"/>
        <v>-0.2362031314</v>
      </c>
      <c r="T26" s="4">
        <f t="shared" si="10"/>
        <v>26</v>
      </c>
      <c r="U26" s="4">
        <f t="shared" si="1"/>
        <v>-0.2362031314</v>
      </c>
      <c r="V26" s="4"/>
    </row>
    <row r="27">
      <c r="A27" s="1" t="s">
        <v>3102</v>
      </c>
      <c r="B27" s="1" t="s">
        <v>3103</v>
      </c>
      <c r="C27" s="1" t="s">
        <v>3104</v>
      </c>
      <c r="D27" s="1" t="s">
        <v>2463</v>
      </c>
      <c r="E27" s="1" t="s">
        <v>2464</v>
      </c>
      <c r="F27" s="1">
        <v>3388492.0</v>
      </c>
      <c r="G27" s="1">
        <v>116892.0</v>
      </c>
      <c r="H27" s="1">
        <v>5124.0</v>
      </c>
      <c r="I27" s="1">
        <v>2.55E7</v>
      </c>
      <c r="J27" s="1" t="s">
        <v>2468</v>
      </c>
      <c r="K27" s="5">
        <f t="shared" si="2"/>
        <v>0.1328820392</v>
      </c>
      <c r="L27" s="6">
        <f t="shared" si="3"/>
        <v>157</v>
      </c>
      <c r="M27" s="6">
        <f t="shared" si="4"/>
        <v>21582.75159</v>
      </c>
      <c r="N27" s="7">
        <f t="shared" si="5"/>
        <v>0.0008463824154</v>
      </c>
      <c r="O27" s="7"/>
      <c r="P27" s="4">
        <f t="shared" si="6"/>
        <v>0.1466348768</v>
      </c>
      <c r="Q27" s="4">
        <f t="shared" si="7"/>
        <v>8</v>
      </c>
      <c r="R27" s="4">
        <f t="shared" si="8"/>
        <v>0</v>
      </c>
      <c r="S27" s="4">
        <f t="shared" si="9"/>
        <v>0.1466348768</v>
      </c>
      <c r="T27" s="4">
        <f t="shared" si="10"/>
        <v>41</v>
      </c>
      <c r="U27" s="4">
        <f t="shared" si="1"/>
        <v>0.1466348768</v>
      </c>
      <c r="V27" s="4"/>
    </row>
    <row r="28">
      <c r="A28" s="1" t="s">
        <v>3120</v>
      </c>
      <c r="B28" s="1" t="s">
        <v>3121</v>
      </c>
      <c r="C28" s="1" t="s">
        <v>3122</v>
      </c>
      <c r="D28" s="1" t="s">
        <v>2463</v>
      </c>
      <c r="E28" s="1" t="s">
        <v>2464</v>
      </c>
      <c r="F28" s="1">
        <v>1331873.0</v>
      </c>
      <c r="G28" s="1">
        <v>54458.0</v>
      </c>
      <c r="H28" s="1">
        <v>971.0</v>
      </c>
      <c r="I28" s="1">
        <v>2.55E7</v>
      </c>
      <c r="J28" s="1" t="s">
        <v>2468</v>
      </c>
      <c r="K28" s="5">
        <f t="shared" si="2"/>
        <v>0.05223031373</v>
      </c>
      <c r="L28" s="6">
        <f t="shared" si="3"/>
        <v>164</v>
      </c>
      <c r="M28" s="6">
        <f t="shared" si="4"/>
        <v>8121.176829</v>
      </c>
      <c r="N28" s="7">
        <f t="shared" si="5"/>
        <v>0.0003184775227</v>
      </c>
      <c r="O28" s="7"/>
      <c r="P28" s="4">
        <f t="shared" si="6"/>
        <v>-0.2252020225</v>
      </c>
      <c r="Q28" s="4">
        <f t="shared" si="7"/>
        <v>4</v>
      </c>
      <c r="R28" s="4">
        <f t="shared" si="8"/>
        <v>0</v>
      </c>
      <c r="S28" s="4">
        <f t="shared" si="9"/>
        <v>-0.2252020225</v>
      </c>
      <c r="T28" s="4">
        <f t="shared" si="10"/>
        <v>23</v>
      </c>
      <c r="U28" s="4">
        <f t="shared" si="1"/>
        <v>-0.2252020225</v>
      </c>
      <c r="V28" s="4"/>
    </row>
    <row r="29">
      <c r="A29" s="1" t="s">
        <v>3126</v>
      </c>
      <c r="B29" s="1" t="s">
        <v>3127</v>
      </c>
      <c r="C29" s="1" t="s">
        <v>3128</v>
      </c>
      <c r="D29" s="1" t="s">
        <v>2463</v>
      </c>
      <c r="E29" s="1" t="s">
        <v>2464</v>
      </c>
      <c r="F29" s="1">
        <v>698090.0</v>
      </c>
      <c r="G29" s="1">
        <v>33862.0</v>
      </c>
      <c r="H29" s="1">
        <v>520.0</v>
      </c>
      <c r="I29" s="1">
        <v>2.55E7</v>
      </c>
      <c r="J29" s="1" t="s">
        <v>2468</v>
      </c>
      <c r="K29" s="5">
        <f t="shared" si="2"/>
        <v>0.02737607843</v>
      </c>
      <c r="L29" s="6">
        <f t="shared" si="3"/>
        <v>171</v>
      </c>
      <c r="M29" s="6">
        <f t="shared" si="4"/>
        <v>4082.397661</v>
      </c>
      <c r="N29" s="7">
        <f t="shared" si="5"/>
        <v>0.0001600940259</v>
      </c>
      <c r="O29" s="7"/>
      <c r="P29" s="4">
        <f t="shared" si="6"/>
        <v>-0.336761565</v>
      </c>
      <c r="Q29" s="4">
        <f t="shared" si="7"/>
        <v>5</v>
      </c>
      <c r="R29" s="4">
        <f t="shared" si="8"/>
        <v>0</v>
      </c>
      <c r="S29" s="4">
        <f t="shared" si="9"/>
        <v>-0.336761565</v>
      </c>
      <c r="T29" s="4">
        <f t="shared" si="10"/>
        <v>27</v>
      </c>
      <c r="U29" s="4">
        <f t="shared" si="1"/>
        <v>-0.336761565</v>
      </c>
      <c r="V29" s="4"/>
    </row>
    <row r="30">
      <c r="A30" s="1" t="s">
        <v>3129</v>
      </c>
      <c r="B30" s="1" t="s">
        <v>3130</v>
      </c>
      <c r="C30" s="1" t="s">
        <v>3131</v>
      </c>
      <c r="D30" s="1" t="s">
        <v>2463</v>
      </c>
      <c r="E30" s="1" t="s">
        <v>2464</v>
      </c>
      <c r="F30" s="1">
        <v>7861895.0</v>
      </c>
      <c r="G30" s="1">
        <v>268278.0</v>
      </c>
      <c r="H30" s="1">
        <v>10110.0</v>
      </c>
      <c r="I30" s="1">
        <v>2.55E7</v>
      </c>
      <c r="J30" s="1" t="s">
        <v>2468</v>
      </c>
      <c r="K30" s="5">
        <f t="shared" si="2"/>
        <v>0.3083096078</v>
      </c>
      <c r="L30" s="6">
        <f t="shared" si="3"/>
        <v>177</v>
      </c>
      <c r="M30" s="6">
        <f t="shared" si="4"/>
        <v>44417.48588</v>
      </c>
      <c r="N30" s="7">
        <f t="shared" si="5"/>
        <v>0.001741862191</v>
      </c>
      <c r="O30" s="7"/>
      <c r="P30" s="4">
        <f t="shared" si="6"/>
        <v>0.7773780803</v>
      </c>
      <c r="Q30" s="4">
        <f t="shared" si="7"/>
        <v>8</v>
      </c>
      <c r="R30" s="4">
        <f t="shared" si="8"/>
        <v>0</v>
      </c>
      <c r="S30" s="4">
        <f t="shared" si="9"/>
        <v>0.7773780803</v>
      </c>
      <c r="T30" s="4">
        <f t="shared" si="10"/>
        <v>34</v>
      </c>
      <c r="U30" s="4">
        <f t="shared" si="1"/>
        <v>0.7773780803</v>
      </c>
      <c r="V30" s="4"/>
    </row>
    <row r="31">
      <c r="A31" s="1" t="s">
        <v>3132</v>
      </c>
      <c r="B31" s="1" t="s">
        <v>3133</v>
      </c>
      <c r="C31" s="1" t="s">
        <v>3134</v>
      </c>
      <c r="D31" s="1" t="s">
        <v>2463</v>
      </c>
      <c r="E31" s="1" t="s">
        <v>2464</v>
      </c>
      <c r="F31" s="1">
        <v>1135051.0</v>
      </c>
      <c r="G31" s="1">
        <v>55572.0</v>
      </c>
      <c r="H31" s="1">
        <v>850.0</v>
      </c>
      <c r="I31" s="1">
        <v>2.55E7</v>
      </c>
      <c r="J31" s="1" t="s">
        <v>2468</v>
      </c>
      <c r="K31" s="5">
        <f t="shared" si="2"/>
        <v>0.04451180392</v>
      </c>
      <c r="L31" s="6">
        <f t="shared" si="3"/>
        <v>178</v>
      </c>
      <c r="M31" s="6">
        <f t="shared" si="4"/>
        <v>6376.691011</v>
      </c>
      <c r="N31" s="7">
        <f t="shared" si="5"/>
        <v>0.0002500663142</v>
      </c>
      <c r="O31" s="7"/>
      <c r="P31" s="4">
        <f t="shared" si="6"/>
        <v>-0.2733883757</v>
      </c>
      <c r="Q31" s="4">
        <f t="shared" si="7"/>
        <v>5</v>
      </c>
      <c r="R31" s="4">
        <f t="shared" si="8"/>
        <v>0</v>
      </c>
      <c r="S31" s="4">
        <f t="shared" si="9"/>
        <v>-0.2733883757</v>
      </c>
      <c r="T31" s="4">
        <f t="shared" si="10"/>
        <v>23</v>
      </c>
      <c r="U31" s="4">
        <f t="shared" si="1"/>
        <v>-0.2733883757</v>
      </c>
      <c r="V31" s="4"/>
    </row>
    <row r="32">
      <c r="A32" s="1" t="s">
        <v>3135</v>
      </c>
      <c r="B32" s="1" t="s">
        <v>3136</v>
      </c>
      <c r="C32" s="1" t="s">
        <v>3137</v>
      </c>
      <c r="D32" s="1" t="s">
        <v>2463</v>
      </c>
      <c r="E32" s="1" t="s">
        <v>2464</v>
      </c>
      <c r="F32" s="1">
        <v>2988549.0</v>
      </c>
      <c r="G32" s="1">
        <v>66991.0</v>
      </c>
      <c r="H32" s="1">
        <v>1016.0</v>
      </c>
      <c r="I32" s="1">
        <v>2.55E7</v>
      </c>
      <c r="J32" s="1" t="s">
        <v>2468</v>
      </c>
      <c r="K32" s="5">
        <f t="shared" si="2"/>
        <v>0.117198</v>
      </c>
      <c r="L32" s="6">
        <f t="shared" si="3"/>
        <v>180</v>
      </c>
      <c r="M32" s="6">
        <f t="shared" si="4"/>
        <v>16603.05</v>
      </c>
      <c r="N32" s="7">
        <f t="shared" si="5"/>
        <v>0.0006511</v>
      </c>
      <c r="O32" s="7"/>
      <c r="P32" s="4">
        <f t="shared" si="6"/>
        <v>0.009085085462</v>
      </c>
      <c r="Q32" s="4">
        <f t="shared" si="7"/>
        <v>5</v>
      </c>
      <c r="R32" s="4">
        <f t="shared" si="8"/>
        <v>0</v>
      </c>
      <c r="S32" s="4">
        <f t="shared" si="9"/>
        <v>0.009085085462</v>
      </c>
      <c r="T32" s="4">
        <f t="shared" si="10"/>
        <v>25</v>
      </c>
      <c r="U32" s="4">
        <f t="shared" si="1"/>
        <v>0.009085085462</v>
      </c>
      <c r="V32" s="4"/>
    </row>
    <row r="33">
      <c r="A33" s="1" t="s">
        <v>3138</v>
      </c>
      <c r="B33" s="1" t="s">
        <v>3139</v>
      </c>
      <c r="C33" s="1" t="s">
        <v>3140</v>
      </c>
      <c r="D33" s="1" t="s">
        <v>2463</v>
      </c>
      <c r="E33" s="1" t="s">
        <v>2464</v>
      </c>
      <c r="F33" s="1">
        <v>2105396.0</v>
      </c>
      <c r="G33" s="1">
        <v>90865.0</v>
      </c>
      <c r="H33" s="1">
        <v>1731.0</v>
      </c>
      <c r="I33" s="1">
        <v>2.55E7</v>
      </c>
      <c r="J33" s="1" t="s">
        <v>2468</v>
      </c>
      <c r="K33" s="5">
        <f t="shared" si="2"/>
        <v>0.08256454902</v>
      </c>
      <c r="L33" s="6">
        <f t="shared" si="3"/>
        <v>182</v>
      </c>
      <c r="M33" s="6">
        <f t="shared" si="4"/>
        <v>11568.10989</v>
      </c>
      <c r="N33" s="7">
        <f t="shared" si="5"/>
        <v>0.0004536513682</v>
      </c>
      <c r="O33" s="7"/>
      <c r="P33" s="4">
        <f t="shared" si="6"/>
        <v>-0.1299905094</v>
      </c>
      <c r="Q33" s="4">
        <f t="shared" si="7"/>
        <v>5</v>
      </c>
      <c r="R33" s="4">
        <f t="shared" si="8"/>
        <v>1</v>
      </c>
      <c r="S33" s="4">
        <f t="shared" si="9"/>
        <v>-0.1299905094</v>
      </c>
      <c r="T33" s="4">
        <f t="shared" si="10"/>
        <v>24</v>
      </c>
      <c r="U33" s="4">
        <f t="shared" si="1"/>
        <v>-0.1299905094</v>
      </c>
      <c r="V33" s="4"/>
    </row>
    <row r="34">
      <c r="A34" s="1" t="s">
        <v>3141</v>
      </c>
      <c r="B34" s="1" t="s">
        <v>3142</v>
      </c>
      <c r="C34" s="1" t="s">
        <v>3143</v>
      </c>
      <c r="D34" s="1" t="s">
        <v>2463</v>
      </c>
      <c r="E34" s="1" t="s">
        <v>2464</v>
      </c>
      <c r="F34" s="1">
        <v>1025146.0</v>
      </c>
      <c r="G34" s="1">
        <v>45041.0</v>
      </c>
      <c r="H34" s="1">
        <v>741.0</v>
      </c>
      <c r="I34" s="1">
        <v>2.55E7</v>
      </c>
      <c r="J34" s="1" t="s">
        <v>2468</v>
      </c>
      <c r="K34" s="5">
        <f t="shared" si="2"/>
        <v>0.04020180392</v>
      </c>
      <c r="L34" s="6">
        <f t="shared" si="3"/>
        <v>189</v>
      </c>
      <c r="M34" s="6">
        <f t="shared" si="4"/>
        <v>5424.05291</v>
      </c>
      <c r="N34" s="7">
        <f t="shared" si="5"/>
        <v>0.0002127079573</v>
      </c>
      <c r="O34" s="7"/>
      <c r="P34" s="4">
        <f t="shared" si="6"/>
        <v>-0.299702236</v>
      </c>
      <c r="Q34" s="4">
        <f t="shared" si="7"/>
        <v>4</v>
      </c>
      <c r="R34" s="4">
        <f t="shared" si="8"/>
        <v>0</v>
      </c>
      <c r="S34" s="4">
        <f t="shared" si="9"/>
        <v>-0.299702236</v>
      </c>
      <c r="T34" s="4">
        <f t="shared" si="10"/>
        <v>19</v>
      </c>
      <c r="U34" s="4">
        <f t="shared" si="1"/>
        <v>-0.299702236</v>
      </c>
      <c r="V34" s="4"/>
    </row>
    <row r="35">
      <c r="A35" s="1" t="s">
        <v>3144</v>
      </c>
      <c r="B35" s="1" t="s">
        <v>3145</v>
      </c>
      <c r="C35" s="1" t="s">
        <v>3146</v>
      </c>
      <c r="D35" s="1" t="s">
        <v>2463</v>
      </c>
      <c r="E35" s="1" t="s">
        <v>2464</v>
      </c>
      <c r="F35" s="1">
        <v>3910222.0</v>
      </c>
      <c r="G35" s="1">
        <v>243639.0</v>
      </c>
      <c r="H35" s="1">
        <v>3897.0</v>
      </c>
      <c r="I35" s="1">
        <v>2.55E7</v>
      </c>
      <c r="J35" s="1" t="s">
        <v>2468</v>
      </c>
      <c r="K35" s="5">
        <f t="shared" si="2"/>
        <v>0.1533420392</v>
      </c>
      <c r="L35" s="6">
        <f t="shared" si="3"/>
        <v>196</v>
      </c>
      <c r="M35" s="6">
        <f t="shared" si="4"/>
        <v>19950.11224</v>
      </c>
      <c r="N35" s="7">
        <f t="shared" si="5"/>
        <v>0.0007823573429</v>
      </c>
      <c r="O35" s="7"/>
      <c r="P35" s="4">
        <f t="shared" si="6"/>
        <v>0.1015379573</v>
      </c>
      <c r="Q35" s="4">
        <f t="shared" si="7"/>
        <v>6</v>
      </c>
      <c r="R35" s="4">
        <f t="shared" si="8"/>
        <v>1</v>
      </c>
      <c r="S35" s="4">
        <f t="shared" si="9"/>
        <v>0.1015379573</v>
      </c>
      <c r="T35" s="4">
        <f t="shared" si="10"/>
        <v>24</v>
      </c>
      <c r="U35" s="4">
        <f t="shared" si="1"/>
        <v>0.1015379573</v>
      </c>
      <c r="V35" s="4"/>
    </row>
    <row r="36">
      <c r="A36" s="1" t="s">
        <v>3147</v>
      </c>
      <c r="B36" s="1" t="s">
        <v>3148</v>
      </c>
      <c r="C36" s="1" t="s">
        <v>3149</v>
      </c>
      <c r="D36" s="1" t="s">
        <v>2463</v>
      </c>
      <c r="E36" s="1" t="s">
        <v>2464</v>
      </c>
      <c r="F36" s="1">
        <v>2026378.0</v>
      </c>
      <c r="G36" s="1">
        <v>95329.0</v>
      </c>
      <c r="H36" s="1">
        <v>2264.0</v>
      </c>
      <c r="I36" s="1">
        <v>2.55E7</v>
      </c>
      <c r="J36" s="1" t="s">
        <v>2468</v>
      </c>
      <c r="K36" s="5">
        <f t="shared" si="2"/>
        <v>0.07946580392</v>
      </c>
      <c r="L36" s="6">
        <f t="shared" si="3"/>
        <v>199</v>
      </c>
      <c r="M36" s="6">
        <f t="shared" si="4"/>
        <v>10182.80402</v>
      </c>
      <c r="N36" s="7">
        <f t="shared" si="5"/>
        <v>0.0003993256478</v>
      </c>
      <c r="O36" s="7"/>
      <c r="P36" s="4">
        <f t="shared" si="6"/>
        <v>-0.16825556</v>
      </c>
      <c r="Q36" s="4">
        <f t="shared" si="7"/>
        <v>4</v>
      </c>
      <c r="R36" s="4">
        <f t="shared" si="8"/>
        <v>1</v>
      </c>
      <c r="S36" s="4">
        <f t="shared" si="9"/>
        <v>-0.16825556</v>
      </c>
      <c r="T36" s="4">
        <f t="shared" si="10"/>
        <v>14</v>
      </c>
      <c r="U36" s="4">
        <f t="shared" si="1"/>
        <v>-0.16825556</v>
      </c>
      <c r="V36" s="4"/>
    </row>
    <row r="37">
      <c r="A37" s="1" t="s">
        <v>3150</v>
      </c>
      <c r="B37" s="1" t="s">
        <v>3151</v>
      </c>
      <c r="C37" s="1" t="s">
        <v>3152</v>
      </c>
      <c r="D37" s="1" t="s">
        <v>2463</v>
      </c>
      <c r="E37" s="1" t="s">
        <v>2464</v>
      </c>
      <c r="F37" s="1">
        <v>1565487.0</v>
      </c>
      <c r="G37" s="1">
        <v>80428.0</v>
      </c>
      <c r="H37" s="1">
        <v>961.0</v>
      </c>
      <c r="I37" s="1">
        <v>2.55E7</v>
      </c>
      <c r="J37" s="1" t="s">
        <v>2468</v>
      </c>
      <c r="K37" s="5">
        <f t="shared" si="2"/>
        <v>0.06139164706</v>
      </c>
      <c r="L37" s="6">
        <f t="shared" si="3"/>
        <v>201</v>
      </c>
      <c r="M37" s="6">
        <f t="shared" si="4"/>
        <v>7788.492537</v>
      </c>
      <c r="N37" s="7">
        <f t="shared" si="5"/>
        <v>0.0003054310799</v>
      </c>
      <c r="O37" s="7"/>
      <c r="P37" s="4">
        <f t="shared" si="6"/>
        <v>-0.2343914596</v>
      </c>
      <c r="Q37" s="4">
        <f t="shared" si="7"/>
        <v>6</v>
      </c>
      <c r="R37" s="4">
        <f t="shared" si="8"/>
        <v>0</v>
      </c>
      <c r="S37" s="4">
        <f t="shared" si="9"/>
        <v>-0.2343914596</v>
      </c>
      <c r="T37" s="4">
        <f t="shared" si="10"/>
        <v>22</v>
      </c>
      <c r="U37" s="4">
        <f t="shared" si="1"/>
        <v>-0.2343914596</v>
      </c>
      <c r="V37" s="4"/>
    </row>
    <row r="38">
      <c r="A38" s="1" t="s">
        <v>3153</v>
      </c>
      <c r="B38" s="1" t="s">
        <v>3154</v>
      </c>
      <c r="C38" s="1" t="s">
        <v>3155</v>
      </c>
      <c r="D38" s="1" t="s">
        <v>2463</v>
      </c>
      <c r="E38" s="1" t="s">
        <v>2464</v>
      </c>
      <c r="F38" s="1">
        <v>3098197.0</v>
      </c>
      <c r="G38" s="1">
        <v>138089.0</v>
      </c>
      <c r="H38" s="1">
        <v>3050.0</v>
      </c>
      <c r="I38" s="1">
        <v>2.55E7</v>
      </c>
      <c r="J38" s="1" t="s">
        <v>2468</v>
      </c>
      <c r="K38" s="5">
        <f t="shared" si="2"/>
        <v>0.1214979216</v>
      </c>
      <c r="L38" s="6">
        <f t="shared" si="3"/>
        <v>204</v>
      </c>
      <c r="M38" s="6">
        <f t="shared" si="4"/>
        <v>15187.2402</v>
      </c>
      <c r="N38" s="7">
        <f t="shared" si="5"/>
        <v>0.0005955780469</v>
      </c>
      <c r="O38" s="7"/>
      <c r="P38" s="4">
        <f t="shared" si="6"/>
        <v>-0.03002254768</v>
      </c>
      <c r="Q38" s="4">
        <f t="shared" si="7"/>
        <v>5</v>
      </c>
      <c r="R38" s="4">
        <f t="shared" si="8"/>
        <v>0</v>
      </c>
      <c r="S38" s="4">
        <f t="shared" si="9"/>
        <v>-0.03002254768</v>
      </c>
      <c r="T38" s="4">
        <f t="shared" si="10"/>
        <v>19</v>
      </c>
      <c r="U38" s="4">
        <f t="shared" si="1"/>
        <v>-0.03002254768</v>
      </c>
      <c r="V38" s="4"/>
    </row>
    <row r="39">
      <c r="A39" s="1" t="s">
        <v>3156</v>
      </c>
      <c r="B39" s="1" t="s">
        <v>3157</v>
      </c>
      <c r="C39" s="1" t="s">
        <v>3158</v>
      </c>
      <c r="D39" s="1" t="s">
        <v>2463</v>
      </c>
      <c r="E39" s="1" t="s">
        <v>2464</v>
      </c>
      <c r="F39" s="1">
        <v>1146848.0</v>
      </c>
      <c r="G39" s="1">
        <v>51771.0</v>
      </c>
      <c r="H39" s="1">
        <v>705.0</v>
      </c>
      <c r="I39" s="1">
        <v>2.55E7</v>
      </c>
      <c r="J39" s="1" t="s">
        <v>2468</v>
      </c>
      <c r="K39" s="5">
        <f t="shared" si="2"/>
        <v>0.04497443137</v>
      </c>
      <c r="L39" s="6">
        <f t="shared" si="3"/>
        <v>206</v>
      </c>
      <c r="M39" s="6">
        <f t="shared" si="4"/>
        <v>5567.223301</v>
      </c>
      <c r="N39" s="7">
        <f t="shared" si="5"/>
        <v>0.0002183224824</v>
      </c>
      <c r="O39" s="7"/>
      <c r="P39" s="4">
        <f t="shared" si="6"/>
        <v>-0.2957475699</v>
      </c>
      <c r="Q39" s="4">
        <f t="shared" si="7"/>
        <v>6</v>
      </c>
      <c r="R39" s="4">
        <f t="shared" si="8"/>
        <v>0</v>
      </c>
      <c r="S39" s="4">
        <f t="shared" si="9"/>
        <v>-0.2957475699</v>
      </c>
      <c r="T39" s="4">
        <f t="shared" si="10"/>
        <v>24</v>
      </c>
      <c r="U39" s="4">
        <f t="shared" si="1"/>
        <v>-0.2957475699</v>
      </c>
      <c r="V39" s="4"/>
    </row>
    <row r="40">
      <c r="A40" s="1" t="s">
        <v>3159</v>
      </c>
      <c r="B40" s="1" t="s">
        <v>3160</v>
      </c>
      <c r="C40" s="1" t="s">
        <v>3161</v>
      </c>
      <c r="D40" s="1" t="s">
        <v>2463</v>
      </c>
      <c r="E40" s="1" t="s">
        <v>2464</v>
      </c>
      <c r="F40" s="1">
        <v>1062037.0</v>
      </c>
      <c r="G40" s="1">
        <v>48794.0</v>
      </c>
      <c r="H40" s="1">
        <v>719.0</v>
      </c>
      <c r="I40" s="1">
        <v>2.55E7</v>
      </c>
      <c r="J40" s="1" t="s">
        <v>2468</v>
      </c>
      <c r="K40" s="5">
        <f t="shared" si="2"/>
        <v>0.0416485098</v>
      </c>
      <c r="L40" s="6">
        <f t="shared" si="3"/>
        <v>217</v>
      </c>
      <c r="M40" s="6">
        <f t="shared" si="4"/>
        <v>4894.179724</v>
      </c>
      <c r="N40" s="7">
        <f t="shared" si="5"/>
        <v>0.0001919286166</v>
      </c>
      <c r="O40" s="7"/>
      <c r="P40" s="4">
        <f t="shared" si="6"/>
        <v>-0.3143384436</v>
      </c>
      <c r="Q40" s="4">
        <f t="shared" si="7"/>
        <v>5</v>
      </c>
      <c r="R40" s="4">
        <f t="shared" si="8"/>
        <v>0</v>
      </c>
      <c r="S40" s="4">
        <f t="shared" si="9"/>
        <v>-0.3143384436</v>
      </c>
      <c r="T40" s="4">
        <f t="shared" si="10"/>
        <v>25</v>
      </c>
      <c r="U40" s="4">
        <f t="shared" si="1"/>
        <v>-0.3143384436</v>
      </c>
      <c r="V40" s="4"/>
    </row>
    <row r="41">
      <c r="A41" s="1" t="s">
        <v>3162</v>
      </c>
      <c r="B41" s="1" t="s">
        <v>3163</v>
      </c>
      <c r="C41" s="1" t="s">
        <v>3164</v>
      </c>
      <c r="D41" s="1" t="s">
        <v>2463</v>
      </c>
      <c r="E41" s="1" t="s">
        <v>2464</v>
      </c>
      <c r="F41" s="1">
        <v>2485204.0</v>
      </c>
      <c r="G41" s="1">
        <v>100562.0</v>
      </c>
      <c r="H41" s="1">
        <v>2015.0</v>
      </c>
      <c r="I41" s="1">
        <v>2.55E7</v>
      </c>
      <c r="J41" s="1" t="s">
        <v>2468</v>
      </c>
      <c r="K41" s="5">
        <f t="shared" si="2"/>
        <v>0.09745898039</v>
      </c>
      <c r="L41" s="6">
        <f t="shared" si="3"/>
        <v>224</v>
      </c>
      <c r="M41" s="6">
        <f t="shared" si="4"/>
        <v>11094.66071</v>
      </c>
      <c r="N41" s="7">
        <f t="shared" si="5"/>
        <v>0.0004350847339</v>
      </c>
      <c r="O41" s="7"/>
      <c r="P41" s="4">
        <f t="shared" si="6"/>
        <v>-0.1430681676</v>
      </c>
      <c r="Q41" s="4">
        <f t="shared" si="7"/>
        <v>4</v>
      </c>
      <c r="R41" s="4">
        <f t="shared" si="8"/>
        <v>0</v>
      </c>
      <c r="S41" s="4">
        <f t="shared" si="9"/>
        <v>-0.1430681676</v>
      </c>
      <c r="T41" s="4">
        <f t="shared" si="10"/>
        <v>23</v>
      </c>
      <c r="U41" s="4">
        <f t="shared" si="1"/>
        <v>-0.1430681676</v>
      </c>
      <c r="V41" s="4"/>
    </row>
    <row r="42">
      <c r="A42" s="1" t="s">
        <v>3165</v>
      </c>
      <c r="B42" s="1" t="s">
        <v>3166</v>
      </c>
      <c r="C42" s="1" t="s">
        <v>3167</v>
      </c>
      <c r="D42" s="1" t="s">
        <v>2463</v>
      </c>
      <c r="E42" s="1" t="s">
        <v>2464</v>
      </c>
      <c r="F42" s="1">
        <v>2192144.0</v>
      </c>
      <c r="G42" s="1">
        <v>87366.0</v>
      </c>
      <c r="H42" s="1">
        <v>2557.0</v>
      </c>
      <c r="I42" s="1">
        <v>2.55E7</v>
      </c>
      <c r="J42" s="1" t="s">
        <v>2468</v>
      </c>
      <c r="K42" s="5">
        <f t="shared" si="2"/>
        <v>0.08596643137</v>
      </c>
      <c r="L42" s="6">
        <f t="shared" si="3"/>
        <v>230</v>
      </c>
      <c r="M42" s="6">
        <f t="shared" si="4"/>
        <v>9531.06087</v>
      </c>
      <c r="N42" s="7">
        <f t="shared" si="5"/>
        <v>0.0003737670929</v>
      </c>
      <c r="O42" s="7"/>
      <c r="P42" s="4">
        <f t="shared" si="6"/>
        <v>-0.1862580713</v>
      </c>
      <c r="Q42" s="4">
        <f t="shared" si="7"/>
        <v>5</v>
      </c>
      <c r="R42" s="4">
        <f t="shared" si="8"/>
        <v>0</v>
      </c>
      <c r="S42" s="4">
        <f t="shared" si="9"/>
        <v>-0.1862580713</v>
      </c>
      <c r="T42" s="4">
        <f t="shared" si="10"/>
        <v>17</v>
      </c>
      <c r="U42" s="4">
        <f t="shared" si="1"/>
        <v>-0.1862580713</v>
      </c>
      <c r="V42" s="4"/>
    </row>
    <row r="43">
      <c r="A43" s="1" t="s">
        <v>3168</v>
      </c>
      <c r="B43" s="1" t="s">
        <v>3169</v>
      </c>
      <c r="C43" s="1" t="s">
        <v>3170</v>
      </c>
      <c r="D43" s="1" t="s">
        <v>2463</v>
      </c>
      <c r="E43" s="1" t="s">
        <v>2464</v>
      </c>
      <c r="F43" s="1">
        <v>2993598.0</v>
      </c>
      <c r="G43" s="1">
        <v>118809.0</v>
      </c>
      <c r="H43" s="1">
        <v>1828.0</v>
      </c>
      <c r="I43" s="1">
        <v>2.55E7</v>
      </c>
      <c r="J43" s="1" t="s">
        <v>2468</v>
      </c>
      <c r="K43" s="5">
        <f t="shared" si="2"/>
        <v>0.117396</v>
      </c>
      <c r="L43" s="6">
        <f t="shared" si="3"/>
        <v>231</v>
      </c>
      <c r="M43" s="6">
        <f t="shared" si="4"/>
        <v>12959.2987</v>
      </c>
      <c r="N43" s="7">
        <f t="shared" si="5"/>
        <v>0.0005082077922</v>
      </c>
      <c r="O43" s="7"/>
      <c r="P43" s="4">
        <f t="shared" si="6"/>
        <v>-0.09156295968</v>
      </c>
      <c r="Q43" s="4">
        <f t="shared" si="7"/>
        <v>4</v>
      </c>
      <c r="R43" s="4">
        <f t="shared" si="8"/>
        <v>0</v>
      </c>
      <c r="S43" s="4">
        <f t="shared" si="9"/>
        <v>-0.09156295968</v>
      </c>
      <c r="T43" s="4">
        <f t="shared" si="10"/>
        <v>22</v>
      </c>
      <c r="U43" s="4">
        <f t="shared" si="1"/>
        <v>-0.09156295968</v>
      </c>
      <c r="V43" s="4"/>
    </row>
    <row r="44">
      <c r="A44" s="1" t="s">
        <v>3171</v>
      </c>
      <c r="B44" s="1" t="s">
        <v>3172</v>
      </c>
      <c r="C44" s="1" t="s">
        <v>3173</v>
      </c>
      <c r="D44" s="1" t="s">
        <v>2463</v>
      </c>
      <c r="E44" s="1" t="s">
        <v>2464</v>
      </c>
      <c r="F44" s="1">
        <v>3421462.0</v>
      </c>
      <c r="G44" s="1">
        <v>171717.0</v>
      </c>
      <c r="H44" s="1">
        <v>4033.0</v>
      </c>
      <c r="I44" s="1">
        <v>2.55E7</v>
      </c>
      <c r="J44" s="1" t="s">
        <v>2468</v>
      </c>
      <c r="K44" s="5">
        <f t="shared" si="2"/>
        <v>0.1341749804</v>
      </c>
      <c r="L44" s="6">
        <f t="shared" si="3"/>
        <v>234</v>
      </c>
      <c r="M44" s="6">
        <f t="shared" si="4"/>
        <v>14621.63248</v>
      </c>
      <c r="N44" s="7">
        <f t="shared" si="5"/>
        <v>0.0005733973521</v>
      </c>
      <c r="O44" s="7"/>
      <c r="P44" s="4">
        <f t="shared" si="6"/>
        <v>-0.04564581788</v>
      </c>
      <c r="Q44" s="4">
        <f t="shared" si="7"/>
        <v>4</v>
      </c>
      <c r="R44" s="4">
        <f t="shared" si="8"/>
        <v>0</v>
      </c>
      <c r="S44" s="4">
        <f t="shared" si="9"/>
        <v>-0.04564581788</v>
      </c>
      <c r="T44" s="4">
        <f t="shared" si="10"/>
        <v>16</v>
      </c>
      <c r="U44" s="4">
        <f t="shared" si="1"/>
        <v>-0.04564581788</v>
      </c>
      <c r="V44" s="4"/>
    </row>
    <row r="45">
      <c r="A45" s="1" t="s">
        <v>3174</v>
      </c>
      <c r="B45" s="1" t="s">
        <v>3175</v>
      </c>
      <c r="C45" s="1" t="s">
        <v>3176</v>
      </c>
      <c r="D45" s="1" t="s">
        <v>2463</v>
      </c>
      <c r="E45" s="1" t="s">
        <v>2464</v>
      </c>
      <c r="F45" s="1">
        <v>1416829.0</v>
      </c>
      <c r="G45" s="1">
        <v>73644.0</v>
      </c>
      <c r="H45" s="1">
        <v>994.0</v>
      </c>
      <c r="I45" s="1">
        <v>2.55E7</v>
      </c>
      <c r="J45" s="1" t="s">
        <v>2468</v>
      </c>
      <c r="K45" s="5">
        <f t="shared" si="2"/>
        <v>0.05556192157</v>
      </c>
      <c r="L45" s="6">
        <f t="shared" si="3"/>
        <v>238</v>
      </c>
      <c r="M45" s="6">
        <f t="shared" si="4"/>
        <v>5953.063025</v>
      </c>
      <c r="N45" s="7">
        <f t="shared" si="5"/>
        <v>0.000233453452</v>
      </c>
      <c r="O45" s="7"/>
      <c r="P45" s="4">
        <f t="shared" si="6"/>
        <v>-0.2850898683</v>
      </c>
      <c r="Q45" s="4">
        <f t="shared" si="7"/>
        <v>3</v>
      </c>
      <c r="R45" s="4">
        <f t="shared" si="8"/>
        <v>0</v>
      </c>
      <c r="S45" s="4">
        <f t="shared" si="9"/>
        <v>-0.2850898683</v>
      </c>
      <c r="T45" s="4">
        <f t="shared" si="10"/>
        <v>23</v>
      </c>
      <c r="U45" s="4">
        <f t="shared" si="1"/>
        <v>-0.2850898683</v>
      </c>
      <c r="V45" s="4"/>
    </row>
    <row r="46">
      <c r="A46" s="1" t="s">
        <v>3177</v>
      </c>
      <c r="B46" s="1" t="s">
        <v>3178</v>
      </c>
      <c r="C46" s="1" t="s">
        <v>3179</v>
      </c>
      <c r="D46" s="1" t="s">
        <v>2463</v>
      </c>
      <c r="E46" s="1" t="s">
        <v>2464</v>
      </c>
      <c r="F46" s="1">
        <v>4421652.0</v>
      </c>
      <c r="G46" s="1">
        <v>170720.0</v>
      </c>
      <c r="H46" s="1">
        <v>4834.0</v>
      </c>
      <c r="I46" s="1">
        <v>2.55E7</v>
      </c>
      <c r="J46" s="1" t="s">
        <v>2468</v>
      </c>
      <c r="K46" s="5">
        <f t="shared" si="2"/>
        <v>0.1733981176</v>
      </c>
      <c r="L46" s="6">
        <f t="shared" si="3"/>
        <v>239</v>
      </c>
      <c r="M46" s="6">
        <f t="shared" si="4"/>
        <v>18500.63598</v>
      </c>
      <c r="N46" s="7">
        <f t="shared" si="5"/>
        <v>0.0007255151366</v>
      </c>
      <c r="O46" s="7"/>
      <c r="P46" s="4">
        <f t="shared" si="6"/>
        <v>0.06150038608</v>
      </c>
      <c r="Q46" s="4">
        <f t="shared" si="7"/>
        <v>7</v>
      </c>
      <c r="R46" s="4">
        <f t="shared" si="8"/>
        <v>1</v>
      </c>
      <c r="S46" s="4">
        <f t="shared" si="9"/>
        <v>0.06150038608</v>
      </c>
      <c r="T46" s="4">
        <f t="shared" si="10"/>
        <v>29</v>
      </c>
      <c r="U46" s="4">
        <f t="shared" si="1"/>
        <v>0.06150038608</v>
      </c>
      <c r="V46" s="4"/>
    </row>
    <row r="47">
      <c r="A47" s="1" t="s">
        <v>3180</v>
      </c>
      <c r="B47" s="1" t="s">
        <v>3181</v>
      </c>
      <c r="C47" s="1" t="s">
        <v>3182</v>
      </c>
      <c r="D47" s="1" t="s">
        <v>2463</v>
      </c>
      <c r="E47" s="1" t="s">
        <v>2464</v>
      </c>
      <c r="F47" s="1">
        <v>316942.0</v>
      </c>
      <c r="G47" s="1">
        <v>9628.0</v>
      </c>
      <c r="H47" s="1">
        <v>481.0</v>
      </c>
      <c r="I47" s="1">
        <v>2.55E7</v>
      </c>
      <c r="J47" s="1" t="s">
        <v>2468</v>
      </c>
      <c r="K47" s="5">
        <f t="shared" si="2"/>
        <v>0.01242909804</v>
      </c>
      <c r="L47" s="6">
        <f t="shared" si="3"/>
        <v>247</v>
      </c>
      <c r="M47" s="6">
        <f t="shared" si="4"/>
        <v>1283.165992</v>
      </c>
      <c r="N47" s="7">
        <f t="shared" si="5"/>
        <v>0.00005032023498</v>
      </c>
      <c r="O47" s="7"/>
      <c r="P47" s="4">
        <f t="shared" si="6"/>
        <v>-0.4140822086</v>
      </c>
      <c r="Q47" s="4">
        <f t="shared" si="7"/>
        <v>5</v>
      </c>
      <c r="R47" s="4">
        <f t="shared" si="8"/>
        <v>0</v>
      </c>
      <c r="S47" s="4">
        <f t="shared" si="9"/>
        <v>-0.4140822086</v>
      </c>
      <c r="T47" s="4">
        <f t="shared" si="10"/>
        <v>16</v>
      </c>
      <c r="U47" s="4">
        <f t="shared" si="1"/>
        <v>-0.4140822086</v>
      </c>
      <c r="V47" s="4"/>
    </row>
    <row r="48">
      <c r="A48" s="1" t="s">
        <v>3183</v>
      </c>
      <c r="B48" s="1" t="s">
        <v>3184</v>
      </c>
      <c r="C48" s="1" t="s">
        <v>3185</v>
      </c>
      <c r="D48" s="1" t="s">
        <v>2463</v>
      </c>
      <c r="E48" s="1" t="s">
        <v>2464</v>
      </c>
      <c r="F48" s="1">
        <v>4985975.0</v>
      </c>
      <c r="G48" s="1">
        <v>210120.0</v>
      </c>
      <c r="H48" s="1">
        <v>2409.0</v>
      </c>
      <c r="I48" s="1">
        <v>2.55E7</v>
      </c>
      <c r="J48" s="1" t="s">
        <v>2468</v>
      </c>
      <c r="K48" s="5">
        <f t="shared" si="2"/>
        <v>0.1955284314</v>
      </c>
      <c r="L48" s="6">
        <f t="shared" si="3"/>
        <v>259</v>
      </c>
      <c r="M48" s="6">
        <f t="shared" si="4"/>
        <v>19250.86873</v>
      </c>
      <c r="N48" s="7">
        <f t="shared" si="5"/>
        <v>0.0007549360285</v>
      </c>
      <c r="O48" s="7"/>
      <c r="P48" s="4">
        <f t="shared" si="6"/>
        <v>0.0822233863</v>
      </c>
      <c r="Q48" s="4">
        <f t="shared" si="7"/>
        <v>4</v>
      </c>
      <c r="R48" s="4">
        <f t="shared" si="8"/>
        <v>0</v>
      </c>
      <c r="S48" s="4">
        <f t="shared" si="9"/>
        <v>0.0822233863</v>
      </c>
      <c r="T48" s="4">
        <f t="shared" si="10"/>
        <v>23</v>
      </c>
      <c r="U48" s="4">
        <f t="shared" si="1"/>
        <v>0.0822233863</v>
      </c>
      <c r="V48" s="4"/>
    </row>
    <row r="49">
      <c r="A49" s="1" t="s">
        <v>3186</v>
      </c>
      <c r="B49" s="1" t="s">
        <v>3187</v>
      </c>
      <c r="C49" s="1" t="s">
        <v>3188</v>
      </c>
      <c r="D49" s="1" t="s">
        <v>2463</v>
      </c>
      <c r="E49" s="1" t="s">
        <v>2464</v>
      </c>
      <c r="F49" s="1">
        <v>4132237.0</v>
      </c>
      <c r="G49" s="1">
        <v>117768.0</v>
      </c>
      <c r="H49" s="1">
        <v>5945.0</v>
      </c>
      <c r="I49" s="1">
        <v>2.55E7</v>
      </c>
      <c r="J49" s="1" t="s">
        <v>2468</v>
      </c>
      <c r="K49" s="5">
        <f t="shared" si="2"/>
        <v>0.1620485098</v>
      </c>
      <c r="L49" s="6">
        <f t="shared" si="3"/>
        <v>265</v>
      </c>
      <c r="M49" s="6">
        <f t="shared" si="4"/>
        <v>15593.34717</v>
      </c>
      <c r="N49" s="7">
        <f t="shared" si="5"/>
        <v>0.0006115038106</v>
      </c>
      <c r="O49" s="7"/>
      <c r="P49" s="4">
        <f t="shared" si="6"/>
        <v>-0.01880502221</v>
      </c>
      <c r="Q49" s="4">
        <f t="shared" si="7"/>
        <v>4</v>
      </c>
      <c r="R49" s="4">
        <f t="shared" si="8"/>
        <v>0</v>
      </c>
      <c r="S49" s="4">
        <f t="shared" si="9"/>
        <v>-0.01880502221</v>
      </c>
      <c r="T49" s="4">
        <f t="shared" si="10"/>
        <v>20</v>
      </c>
      <c r="U49" s="4">
        <f t="shared" si="1"/>
        <v>-0.01880502221</v>
      </c>
      <c r="V49" s="4"/>
    </row>
    <row r="50">
      <c r="A50" s="1" t="s">
        <v>3189</v>
      </c>
      <c r="B50" s="1" t="s">
        <v>3190</v>
      </c>
      <c r="C50" s="1" t="s">
        <v>3191</v>
      </c>
      <c r="D50" s="1" t="s">
        <v>2463</v>
      </c>
      <c r="E50" s="1" t="s">
        <v>2464</v>
      </c>
      <c r="F50" s="1">
        <v>2360411.0</v>
      </c>
      <c r="G50" s="1">
        <v>136276.0</v>
      </c>
      <c r="H50" s="1">
        <v>2602.0</v>
      </c>
      <c r="I50" s="1">
        <v>2.55E7</v>
      </c>
      <c r="J50" s="1" t="s">
        <v>2468</v>
      </c>
      <c r="K50" s="5">
        <f t="shared" si="2"/>
        <v>0.09256513725</v>
      </c>
      <c r="L50" s="6">
        <f t="shared" si="3"/>
        <v>266</v>
      </c>
      <c r="M50" s="6">
        <f t="shared" si="4"/>
        <v>8873.725564</v>
      </c>
      <c r="N50" s="7">
        <f t="shared" si="5"/>
        <v>0.0003479892378</v>
      </c>
      <c r="O50" s="7"/>
      <c r="P50" s="4">
        <f t="shared" si="6"/>
        <v>-0.2044150497</v>
      </c>
      <c r="Q50" s="4">
        <f t="shared" si="7"/>
        <v>6</v>
      </c>
      <c r="R50" s="4">
        <f t="shared" si="8"/>
        <v>0</v>
      </c>
      <c r="S50" s="4">
        <f t="shared" si="9"/>
        <v>-0.2044150497</v>
      </c>
      <c r="T50" s="4">
        <f t="shared" si="10"/>
        <v>21</v>
      </c>
      <c r="U50" s="4">
        <f t="shared" si="1"/>
        <v>-0.2044150497</v>
      </c>
      <c r="V50" s="4"/>
    </row>
    <row r="51">
      <c r="A51" s="1" t="s">
        <v>3192</v>
      </c>
      <c r="B51" s="1" t="s">
        <v>3193</v>
      </c>
      <c r="C51" s="1" t="s">
        <v>3194</v>
      </c>
      <c r="D51" s="1" t="s">
        <v>2463</v>
      </c>
      <c r="E51" s="1" t="s">
        <v>2464</v>
      </c>
      <c r="F51" s="1">
        <v>3565123.0</v>
      </c>
      <c r="G51" s="1">
        <v>116744.0</v>
      </c>
      <c r="H51" s="1">
        <v>6085.0</v>
      </c>
      <c r="I51" s="1">
        <v>2.55E7</v>
      </c>
      <c r="J51" s="1" t="s">
        <v>2468</v>
      </c>
      <c r="K51" s="5">
        <f t="shared" si="2"/>
        <v>0.1398087451</v>
      </c>
      <c r="L51" s="6">
        <f t="shared" si="3"/>
        <v>272</v>
      </c>
      <c r="M51" s="6">
        <f t="shared" si="4"/>
        <v>13107.06985</v>
      </c>
      <c r="N51" s="7">
        <f t="shared" si="5"/>
        <v>0.0005140027393</v>
      </c>
      <c r="O51" s="7"/>
      <c r="P51" s="4">
        <f t="shared" si="6"/>
        <v>-0.08748121087</v>
      </c>
      <c r="Q51" s="4">
        <f t="shared" si="7"/>
        <v>7</v>
      </c>
      <c r="R51" s="4">
        <f t="shared" si="8"/>
        <v>0</v>
      </c>
      <c r="S51" s="4">
        <f t="shared" si="9"/>
        <v>-0.08748121087</v>
      </c>
      <c r="T51" s="4">
        <f t="shared" si="10"/>
        <v>25</v>
      </c>
      <c r="U51" s="4">
        <f t="shared" si="1"/>
        <v>-0.08748121087</v>
      </c>
      <c r="V51" s="4"/>
    </row>
    <row r="52">
      <c r="A52" s="1" t="s">
        <v>3195</v>
      </c>
      <c r="B52" s="1" t="s">
        <v>3196</v>
      </c>
      <c r="C52" s="1" t="s">
        <v>3197</v>
      </c>
      <c r="D52" s="1" t="s">
        <v>2463</v>
      </c>
      <c r="E52" s="1" t="s">
        <v>2464</v>
      </c>
      <c r="F52" s="1">
        <v>3031192.0</v>
      </c>
      <c r="G52" s="1">
        <v>211721.0</v>
      </c>
      <c r="H52" s="1">
        <v>2827.0</v>
      </c>
      <c r="I52" s="1">
        <v>2.55E7</v>
      </c>
      <c r="J52" s="1" t="s">
        <v>2468</v>
      </c>
      <c r="K52" s="5">
        <f t="shared" si="2"/>
        <v>0.1188702745</v>
      </c>
      <c r="L52" s="6">
        <f t="shared" si="3"/>
        <v>273</v>
      </c>
      <c r="M52" s="6">
        <f t="shared" si="4"/>
        <v>11103.2674</v>
      </c>
      <c r="N52" s="7">
        <f t="shared" si="5"/>
        <v>0.000435422251</v>
      </c>
      <c r="O52" s="7"/>
      <c r="P52" s="4">
        <f t="shared" si="6"/>
        <v>-0.1428304329</v>
      </c>
      <c r="Q52" s="4">
        <f t="shared" si="7"/>
        <v>4</v>
      </c>
      <c r="R52" s="4">
        <f t="shared" si="8"/>
        <v>1</v>
      </c>
      <c r="S52" s="4">
        <f t="shared" si="9"/>
        <v>-0.1428304329</v>
      </c>
      <c r="T52" s="4">
        <f t="shared" si="10"/>
        <v>23</v>
      </c>
      <c r="U52" s="4">
        <f t="shared" si="1"/>
        <v>-0.1428304329</v>
      </c>
      <c r="V52" s="4"/>
    </row>
    <row r="53">
      <c r="A53" s="1" t="s">
        <v>3198</v>
      </c>
      <c r="B53" s="1" t="s">
        <v>3199</v>
      </c>
      <c r="C53" s="1" t="s">
        <v>3200</v>
      </c>
      <c r="D53" s="1" t="s">
        <v>2463</v>
      </c>
      <c r="E53" s="1" t="s">
        <v>2464</v>
      </c>
      <c r="F53" s="1">
        <v>5250781.0</v>
      </c>
      <c r="G53" s="1">
        <v>223426.0</v>
      </c>
      <c r="H53" s="1">
        <v>13950.0</v>
      </c>
      <c r="I53" s="1">
        <v>2.55E7</v>
      </c>
      <c r="J53" s="1" t="s">
        <v>2468</v>
      </c>
      <c r="K53" s="5">
        <f t="shared" si="2"/>
        <v>0.2059129804</v>
      </c>
      <c r="L53" s="6">
        <f t="shared" si="3"/>
        <v>275</v>
      </c>
      <c r="M53" s="6">
        <f t="shared" si="4"/>
        <v>19093.74909</v>
      </c>
      <c r="N53" s="7">
        <f t="shared" si="5"/>
        <v>0.0007487744742</v>
      </c>
      <c r="O53" s="7"/>
      <c r="P53" s="4">
        <f t="shared" si="6"/>
        <v>0.07788341279</v>
      </c>
      <c r="Q53" s="4">
        <f t="shared" si="7"/>
        <v>7</v>
      </c>
      <c r="R53" s="4">
        <f t="shared" si="8"/>
        <v>0</v>
      </c>
      <c r="S53" s="4">
        <f t="shared" si="9"/>
        <v>0.07788341279</v>
      </c>
      <c r="T53" s="4">
        <f t="shared" si="10"/>
        <v>46</v>
      </c>
      <c r="U53" s="4">
        <f t="shared" si="1"/>
        <v>0.07788341279</v>
      </c>
      <c r="V53" s="4"/>
    </row>
    <row r="54">
      <c r="A54" s="1" t="s">
        <v>3201</v>
      </c>
      <c r="B54" s="1" t="s">
        <v>3202</v>
      </c>
      <c r="C54" s="1" t="s">
        <v>3203</v>
      </c>
      <c r="D54" s="1" t="s">
        <v>2463</v>
      </c>
      <c r="E54" s="1" t="s">
        <v>2464</v>
      </c>
      <c r="F54" s="1">
        <v>2588799.0</v>
      </c>
      <c r="G54" s="1">
        <v>104541.0</v>
      </c>
      <c r="H54" s="1">
        <v>1627.0</v>
      </c>
      <c r="I54" s="1">
        <v>2.55E7</v>
      </c>
      <c r="J54" s="1" t="s">
        <v>2468</v>
      </c>
      <c r="K54" s="5">
        <f t="shared" si="2"/>
        <v>0.1015215294</v>
      </c>
      <c r="L54" s="6">
        <f t="shared" si="3"/>
        <v>280</v>
      </c>
      <c r="M54" s="6">
        <f t="shared" si="4"/>
        <v>9245.710714</v>
      </c>
      <c r="N54" s="7">
        <f t="shared" si="5"/>
        <v>0.0003625768908</v>
      </c>
      <c r="O54" s="7"/>
      <c r="P54" s="4">
        <f t="shared" si="6"/>
        <v>-0.1941400405</v>
      </c>
      <c r="Q54" s="4">
        <f t="shared" si="7"/>
        <v>5</v>
      </c>
      <c r="R54" s="4">
        <f t="shared" si="8"/>
        <v>1</v>
      </c>
      <c r="S54" s="4">
        <f t="shared" si="9"/>
        <v>-0.1941400405</v>
      </c>
      <c r="T54" s="4">
        <f t="shared" si="10"/>
        <v>20</v>
      </c>
      <c r="U54" s="4">
        <f t="shared" si="1"/>
        <v>-0.1941400405</v>
      </c>
      <c r="V54" s="4"/>
    </row>
    <row r="55">
      <c r="A55" s="1" t="s">
        <v>3204</v>
      </c>
      <c r="B55" s="1" t="s">
        <v>3205</v>
      </c>
      <c r="C55" s="1" t="s">
        <v>3206</v>
      </c>
      <c r="D55" s="1" t="s">
        <v>2463</v>
      </c>
      <c r="E55" s="1" t="s">
        <v>2464</v>
      </c>
      <c r="F55" s="1">
        <v>6492472.0</v>
      </c>
      <c r="G55" s="1">
        <v>253032.0</v>
      </c>
      <c r="H55" s="1">
        <v>7260.0</v>
      </c>
      <c r="I55" s="1">
        <v>2.55E7</v>
      </c>
      <c r="J55" s="1" t="s">
        <v>2468</v>
      </c>
      <c r="K55" s="5">
        <f t="shared" si="2"/>
        <v>0.2546067451</v>
      </c>
      <c r="L55" s="6">
        <f t="shared" si="3"/>
        <v>282</v>
      </c>
      <c r="M55" s="6">
        <f t="shared" si="4"/>
        <v>23022.95035</v>
      </c>
      <c r="N55" s="7">
        <f t="shared" si="5"/>
        <v>0.0009028607982</v>
      </c>
      <c r="O55" s="7"/>
      <c r="P55" s="4">
        <f t="shared" si="6"/>
        <v>0.186416184</v>
      </c>
      <c r="Q55" s="4">
        <f t="shared" si="7"/>
        <v>4</v>
      </c>
      <c r="R55" s="4">
        <f t="shared" si="8"/>
        <v>0</v>
      </c>
      <c r="S55" s="4">
        <f t="shared" si="9"/>
        <v>0.186416184</v>
      </c>
      <c r="T55" s="4">
        <f t="shared" si="10"/>
        <v>14</v>
      </c>
      <c r="U55" s="4">
        <f t="shared" si="1"/>
        <v>0.186416184</v>
      </c>
      <c r="V55" s="4"/>
    </row>
    <row r="56">
      <c r="A56" s="1" t="s">
        <v>3207</v>
      </c>
      <c r="B56" s="1" t="s">
        <v>3208</v>
      </c>
      <c r="C56" s="1" t="s">
        <v>3209</v>
      </c>
      <c r="D56" s="1" t="s">
        <v>2463</v>
      </c>
      <c r="E56" s="1" t="s">
        <v>2464</v>
      </c>
      <c r="F56" s="1">
        <v>1207113.0</v>
      </c>
      <c r="G56" s="1">
        <v>43937.0</v>
      </c>
      <c r="H56" s="1">
        <v>616.0</v>
      </c>
      <c r="I56" s="1">
        <v>2.55E7</v>
      </c>
      <c r="J56" s="1" t="s">
        <v>2468</v>
      </c>
      <c r="K56" s="5">
        <f t="shared" si="2"/>
        <v>0.04733776471</v>
      </c>
      <c r="L56" s="6">
        <f t="shared" si="3"/>
        <v>287</v>
      </c>
      <c r="M56" s="6">
        <f t="shared" si="4"/>
        <v>4205.968641</v>
      </c>
      <c r="N56" s="7">
        <f t="shared" si="5"/>
        <v>0.0001649399467</v>
      </c>
      <c r="O56" s="7"/>
      <c r="P56" s="4">
        <f t="shared" si="6"/>
        <v>-0.3333482756</v>
      </c>
      <c r="Q56" s="4">
        <f t="shared" si="7"/>
        <v>6</v>
      </c>
      <c r="R56" s="4">
        <f t="shared" si="8"/>
        <v>1</v>
      </c>
      <c r="S56" s="4">
        <f t="shared" si="9"/>
        <v>-0.3333482756</v>
      </c>
      <c r="T56" s="4">
        <f t="shared" si="10"/>
        <v>18</v>
      </c>
      <c r="U56" s="4">
        <f t="shared" si="1"/>
        <v>-0.3333482756</v>
      </c>
      <c r="V56" s="4"/>
    </row>
    <row r="57">
      <c r="A57" s="1" t="s">
        <v>3210</v>
      </c>
      <c r="B57" s="1" t="s">
        <v>3211</v>
      </c>
      <c r="C57" s="1" t="s">
        <v>3212</v>
      </c>
      <c r="D57" s="1" t="s">
        <v>2463</v>
      </c>
      <c r="E57" s="1" t="s">
        <v>2464</v>
      </c>
      <c r="F57" s="1">
        <v>4443308.0</v>
      </c>
      <c r="G57" s="1">
        <v>182460.0</v>
      </c>
      <c r="H57" s="1">
        <v>6884.0</v>
      </c>
      <c r="I57" s="1">
        <v>2.55E7</v>
      </c>
      <c r="J57" s="1" t="s">
        <v>2468</v>
      </c>
      <c r="K57" s="5">
        <f t="shared" si="2"/>
        <v>0.1742473725</v>
      </c>
      <c r="L57" s="6">
        <f t="shared" si="3"/>
        <v>289</v>
      </c>
      <c r="M57" s="6">
        <f t="shared" si="4"/>
        <v>15374.76817</v>
      </c>
      <c r="N57" s="7">
        <f t="shared" si="5"/>
        <v>0.0006029320849</v>
      </c>
      <c r="O57" s="7"/>
      <c r="P57" s="4">
        <f t="shared" si="6"/>
        <v>-0.02484263225</v>
      </c>
      <c r="Q57" s="4">
        <f t="shared" si="7"/>
        <v>3</v>
      </c>
      <c r="R57" s="4">
        <f t="shared" si="8"/>
        <v>0</v>
      </c>
      <c r="S57" s="4">
        <f t="shared" si="9"/>
        <v>-0.02484263225</v>
      </c>
      <c r="T57" s="4">
        <f t="shared" si="10"/>
        <v>12</v>
      </c>
      <c r="U57" s="4">
        <f t="shared" si="1"/>
        <v>-0.02484263225</v>
      </c>
      <c r="V57" s="4"/>
    </row>
    <row r="58">
      <c r="A58" s="1" t="s">
        <v>3213</v>
      </c>
      <c r="B58" s="1" t="s">
        <v>3214</v>
      </c>
      <c r="C58" s="1" t="s">
        <v>3215</v>
      </c>
      <c r="D58" s="1" t="s">
        <v>2463</v>
      </c>
      <c r="E58" s="1" t="s">
        <v>2464</v>
      </c>
      <c r="F58" s="1">
        <v>1746109.0</v>
      </c>
      <c r="G58" s="1">
        <v>66388.0</v>
      </c>
      <c r="H58" s="1">
        <v>1936.0</v>
      </c>
      <c r="I58" s="1">
        <v>2.55E7</v>
      </c>
      <c r="J58" s="1" t="s">
        <v>2468</v>
      </c>
      <c r="K58" s="5">
        <f t="shared" si="2"/>
        <v>0.06847486275</v>
      </c>
      <c r="L58" s="6">
        <f t="shared" si="3"/>
        <v>294</v>
      </c>
      <c r="M58" s="6">
        <f t="shared" si="4"/>
        <v>5939.146259</v>
      </c>
      <c r="N58" s="7">
        <f t="shared" si="5"/>
        <v>0.0002329076964</v>
      </c>
      <c r="O58" s="7"/>
      <c r="P58" s="4">
        <f t="shared" si="6"/>
        <v>-0.2854742785</v>
      </c>
      <c r="Q58" s="4">
        <f t="shared" si="7"/>
        <v>4</v>
      </c>
      <c r="R58" s="4">
        <f t="shared" si="8"/>
        <v>0</v>
      </c>
      <c r="S58" s="4">
        <f t="shared" si="9"/>
        <v>-0.2854742785</v>
      </c>
      <c r="T58" s="4">
        <f t="shared" si="10"/>
        <v>21</v>
      </c>
      <c r="U58" s="4">
        <f t="shared" si="1"/>
        <v>-0.2854742785</v>
      </c>
      <c r="V58" s="4"/>
    </row>
    <row r="59">
      <c r="A59" s="1" t="s">
        <v>3216</v>
      </c>
      <c r="B59" s="1" t="s">
        <v>3217</v>
      </c>
      <c r="C59" s="1" t="s">
        <v>3218</v>
      </c>
      <c r="D59" s="1" t="s">
        <v>2463</v>
      </c>
      <c r="E59" s="1" t="s">
        <v>2464</v>
      </c>
      <c r="F59" s="1">
        <v>4966129.0</v>
      </c>
      <c r="G59" s="1">
        <v>253238.0</v>
      </c>
      <c r="H59" s="1">
        <v>8117.0</v>
      </c>
      <c r="I59" s="1">
        <v>2.55E7</v>
      </c>
      <c r="J59" s="1" t="s">
        <v>2468</v>
      </c>
      <c r="K59" s="5">
        <f t="shared" si="2"/>
        <v>0.1947501569</v>
      </c>
      <c r="L59" s="6">
        <f t="shared" si="3"/>
        <v>296</v>
      </c>
      <c r="M59" s="6">
        <f t="shared" si="4"/>
        <v>16777.46284</v>
      </c>
      <c r="N59" s="7">
        <f t="shared" si="5"/>
        <v>0.0006579397191</v>
      </c>
      <c r="O59" s="7"/>
      <c r="P59" s="4">
        <f t="shared" si="6"/>
        <v>0.01390273347</v>
      </c>
      <c r="Q59" s="4">
        <f t="shared" si="7"/>
        <v>9</v>
      </c>
      <c r="R59" s="4">
        <f t="shared" si="8"/>
        <v>0</v>
      </c>
      <c r="S59" s="4">
        <f t="shared" si="9"/>
        <v>0.01390273347</v>
      </c>
      <c r="T59" s="4">
        <f t="shared" si="10"/>
        <v>41</v>
      </c>
      <c r="U59" s="4">
        <f t="shared" si="1"/>
        <v>0.01390273347</v>
      </c>
      <c r="V59" s="4"/>
    </row>
    <row r="60">
      <c r="A60" s="1" t="s">
        <v>3219</v>
      </c>
      <c r="B60" s="1" t="s">
        <v>3220</v>
      </c>
      <c r="C60" s="1" t="s">
        <v>3221</v>
      </c>
      <c r="D60" s="1" t="s">
        <v>2463</v>
      </c>
      <c r="E60" s="1" t="s">
        <v>2464</v>
      </c>
      <c r="F60" s="1">
        <v>2118607.0</v>
      </c>
      <c r="G60" s="1">
        <v>138696.0</v>
      </c>
      <c r="H60" s="1">
        <v>3579.0</v>
      </c>
      <c r="I60" s="1">
        <v>2.55E7</v>
      </c>
      <c r="J60" s="1" t="s">
        <v>2468</v>
      </c>
      <c r="K60" s="5">
        <f t="shared" si="2"/>
        <v>0.08308262745</v>
      </c>
      <c r="L60" s="6">
        <f t="shared" si="3"/>
        <v>301</v>
      </c>
      <c r="M60" s="6">
        <f t="shared" si="4"/>
        <v>7038.561462</v>
      </c>
      <c r="N60" s="7">
        <f t="shared" si="5"/>
        <v>0.0002760220181</v>
      </c>
      <c r="O60" s="7"/>
      <c r="P60" s="4">
        <f t="shared" si="6"/>
        <v>-0.2551061272</v>
      </c>
      <c r="Q60" s="4">
        <f t="shared" si="7"/>
        <v>3</v>
      </c>
      <c r="R60" s="4">
        <f t="shared" si="8"/>
        <v>0</v>
      </c>
      <c r="S60" s="4">
        <f t="shared" si="9"/>
        <v>-0.2551061272</v>
      </c>
      <c r="T60" s="4">
        <f t="shared" si="10"/>
        <v>13</v>
      </c>
      <c r="U60" s="4">
        <f t="shared" si="1"/>
        <v>-0.2551061272</v>
      </c>
      <c r="V60" s="4"/>
    </row>
    <row r="61">
      <c r="A61" s="1" t="s">
        <v>3222</v>
      </c>
      <c r="B61" s="1" t="s">
        <v>3223</v>
      </c>
      <c r="C61" s="1" t="s">
        <v>3224</v>
      </c>
      <c r="D61" s="1" t="s">
        <v>2463</v>
      </c>
      <c r="E61" s="1" t="s">
        <v>2464</v>
      </c>
      <c r="F61" s="1">
        <v>4352025.0</v>
      </c>
      <c r="G61" s="1">
        <v>195047.0</v>
      </c>
      <c r="H61" s="1">
        <v>30084.0</v>
      </c>
      <c r="I61" s="1">
        <v>2.55E7</v>
      </c>
      <c r="J61" s="1" t="s">
        <v>2468</v>
      </c>
      <c r="K61" s="5">
        <f t="shared" si="2"/>
        <v>0.1706676471</v>
      </c>
      <c r="L61" s="6">
        <f t="shared" si="3"/>
        <v>303</v>
      </c>
      <c r="M61" s="6">
        <f t="shared" si="4"/>
        <v>14363.11881</v>
      </c>
      <c r="N61" s="7">
        <f t="shared" si="5"/>
        <v>0.0005632595613</v>
      </c>
      <c r="O61" s="7"/>
      <c r="P61" s="4">
        <f t="shared" si="6"/>
        <v>-0.05278650699</v>
      </c>
      <c r="Q61" s="4">
        <f t="shared" si="7"/>
        <v>5</v>
      </c>
      <c r="R61" s="4">
        <f t="shared" si="8"/>
        <v>0</v>
      </c>
      <c r="S61" s="4">
        <f t="shared" si="9"/>
        <v>-0.05278650699</v>
      </c>
      <c r="T61" s="4">
        <f t="shared" si="10"/>
        <v>17</v>
      </c>
      <c r="U61" s="4">
        <f t="shared" si="1"/>
        <v>-0.05278650699</v>
      </c>
      <c r="V61" s="4"/>
    </row>
    <row r="62">
      <c r="A62" s="1" t="s">
        <v>3225</v>
      </c>
      <c r="B62" s="1" t="s">
        <v>3226</v>
      </c>
      <c r="C62" s="1" t="s">
        <v>3227</v>
      </c>
      <c r="D62" s="1" t="s">
        <v>2463</v>
      </c>
      <c r="E62" s="1" t="s">
        <v>2464</v>
      </c>
      <c r="F62" s="1">
        <v>948437.0</v>
      </c>
      <c r="G62" s="1">
        <v>49795.0</v>
      </c>
      <c r="H62" s="1">
        <v>1042.0</v>
      </c>
      <c r="I62" s="1">
        <v>2.55E7</v>
      </c>
      <c r="J62" s="1" t="s">
        <v>2468</v>
      </c>
      <c r="K62" s="5">
        <f t="shared" si="2"/>
        <v>0.03719360784</v>
      </c>
      <c r="L62" s="6">
        <f t="shared" si="3"/>
        <v>308</v>
      </c>
      <c r="M62" s="6">
        <f t="shared" si="4"/>
        <v>3079.340909</v>
      </c>
      <c r="N62" s="7">
        <f t="shared" si="5"/>
        <v>0.000120758467</v>
      </c>
      <c r="O62" s="7"/>
      <c r="P62" s="4">
        <f t="shared" si="6"/>
        <v>-0.3644680941</v>
      </c>
      <c r="Q62" s="4">
        <f t="shared" si="7"/>
        <v>5</v>
      </c>
      <c r="R62" s="4">
        <f t="shared" si="8"/>
        <v>0</v>
      </c>
      <c r="S62" s="4">
        <f t="shared" si="9"/>
        <v>-0.3644680941</v>
      </c>
      <c r="T62" s="4">
        <f t="shared" si="10"/>
        <v>31</v>
      </c>
      <c r="U62" s="4">
        <f t="shared" si="1"/>
        <v>-0.3644680941</v>
      </c>
      <c r="V62" s="4"/>
    </row>
    <row r="63">
      <c r="A63" s="1" t="s">
        <v>3228</v>
      </c>
      <c r="B63" s="1" t="s">
        <v>3229</v>
      </c>
      <c r="C63" s="1" t="s">
        <v>3230</v>
      </c>
      <c r="D63" s="1" t="s">
        <v>2463</v>
      </c>
      <c r="E63" s="1" t="s">
        <v>2464</v>
      </c>
      <c r="F63" s="1">
        <v>1485120.0</v>
      </c>
      <c r="G63" s="1">
        <v>66514.0</v>
      </c>
      <c r="H63" s="1">
        <v>634.0</v>
      </c>
      <c r="I63" s="1">
        <v>2.55E7</v>
      </c>
      <c r="J63" s="1" t="s">
        <v>2468</v>
      </c>
      <c r="K63" s="5">
        <f t="shared" si="2"/>
        <v>0.05824</v>
      </c>
      <c r="L63" s="6">
        <f t="shared" si="3"/>
        <v>315</v>
      </c>
      <c r="M63" s="6">
        <f t="shared" si="4"/>
        <v>4714.666667</v>
      </c>
      <c r="N63" s="7">
        <f t="shared" si="5"/>
        <v>0.0001848888889</v>
      </c>
      <c r="O63" s="7"/>
      <c r="P63" s="4">
        <f t="shared" si="6"/>
        <v>-0.3192969704</v>
      </c>
      <c r="Q63" s="4">
        <f t="shared" si="7"/>
        <v>6</v>
      </c>
      <c r="R63" s="4">
        <f t="shared" si="8"/>
        <v>1</v>
      </c>
      <c r="S63" s="4">
        <f t="shared" si="9"/>
        <v>-0.3192969704</v>
      </c>
      <c r="T63" s="4">
        <f t="shared" si="10"/>
        <v>26</v>
      </c>
      <c r="U63" s="4">
        <f t="shared" si="1"/>
        <v>-0.3192969704</v>
      </c>
      <c r="V63" s="4"/>
    </row>
    <row r="64">
      <c r="A64" s="1" t="s">
        <v>3231</v>
      </c>
      <c r="B64" s="1" t="s">
        <v>3232</v>
      </c>
      <c r="C64" s="1" t="s">
        <v>3233</v>
      </c>
      <c r="D64" s="1" t="s">
        <v>2463</v>
      </c>
      <c r="E64" s="1" t="s">
        <v>2464</v>
      </c>
      <c r="F64" s="1">
        <v>1632958.0</v>
      </c>
      <c r="G64" s="1">
        <v>70341.0</v>
      </c>
      <c r="H64" s="1">
        <v>1216.0</v>
      </c>
      <c r="I64" s="1">
        <v>2.55E7</v>
      </c>
      <c r="J64" s="1" t="s">
        <v>2468</v>
      </c>
      <c r="K64" s="5">
        <f t="shared" si="2"/>
        <v>0.06403756863</v>
      </c>
      <c r="L64" s="6">
        <f t="shared" si="3"/>
        <v>322</v>
      </c>
      <c r="M64" s="6">
        <f t="shared" si="4"/>
        <v>5071.298137</v>
      </c>
      <c r="N64" s="7">
        <f t="shared" si="5"/>
        <v>0.0001988744367</v>
      </c>
      <c r="O64" s="7"/>
      <c r="P64" s="4">
        <f t="shared" si="6"/>
        <v>-0.309446062</v>
      </c>
      <c r="Q64" s="4">
        <f t="shared" si="7"/>
        <v>5</v>
      </c>
      <c r="R64" s="4">
        <f t="shared" si="8"/>
        <v>0</v>
      </c>
      <c r="S64" s="4">
        <f t="shared" si="9"/>
        <v>-0.309446062</v>
      </c>
      <c r="T64" s="4">
        <f t="shared" si="10"/>
        <v>17</v>
      </c>
      <c r="U64" s="4">
        <f t="shared" si="1"/>
        <v>-0.309446062</v>
      </c>
      <c r="V64" s="4"/>
    </row>
    <row r="65">
      <c r="A65" s="1" t="s">
        <v>3234</v>
      </c>
      <c r="B65" s="1" t="s">
        <v>3235</v>
      </c>
      <c r="C65" s="1" t="s">
        <v>3236</v>
      </c>
      <c r="D65" s="1" t="s">
        <v>2463</v>
      </c>
      <c r="E65" s="1" t="s">
        <v>2464</v>
      </c>
      <c r="F65" s="1">
        <v>2325355.0</v>
      </c>
      <c r="G65" s="1">
        <v>91368.0</v>
      </c>
      <c r="H65" s="1">
        <v>1033.0</v>
      </c>
      <c r="I65" s="1">
        <v>2.55E7</v>
      </c>
      <c r="J65" s="1" t="s">
        <v>2468</v>
      </c>
      <c r="K65" s="5">
        <f t="shared" si="2"/>
        <v>0.09119039216</v>
      </c>
      <c r="L65" s="6">
        <f t="shared" si="3"/>
        <v>329</v>
      </c>
      <c r="M65" s="6">
        <f t="shared" si="4"/>
        <v>7067.948328</v>
      </c>
      <c r="N65" s="7">
        <f t="shared" si="5"/>
        <v>0.0002771744442</v>
      </c>
      <c r="O65" s="7"/>
      <c r="P65" s="4">
        <f t="shared" si="6"/>
        <v>-0.2542944004</v>
      </c>
      <c r="Q65" s="4">
        <f t="shared" si="7"/>
        <v>7</v>
      </c>
      <c r="R65" s="4">
        <f t="shared" si="8"/>
        <v>1</v>
      </c>
      <c r="S65" s="4">
        <f t="shared" si="9"/>
        <v>-0.2542944004</v>
      </c>
      <c r="T65" s="4">
        <f t="shared" si="10"/>
        <v>33</v>
      </c>
      <c r="U65" s="4">
        <f t="shared" si="1"/>
        <v>-0.2542944004</v>
      </c>
      <c r="V65" s="4"/>
    </row>
    <row r="66">
      <c r="A66" s="1" t="s">
        <v>3237</v>
      </c>
      <c r="B66" s="1" t="s">
        <v>3238</v>
      </c>
      <c r="C66" s="1" t="s">
        <v>3239</v>
      </c>
      <c r="D66" s="1" t="s">
        <v>2463</v>
      </c>
      <c r="E66" s="1" t="s">
        <v>2464</v>
      </c>
      <c r="F66" s="1">
        <v>1.066313E7</v>
      </c>
      <c r="G66" s="1">
        <v>797989.0</v>
      </c>
      <c r="H66" s="1">
        <v>38835.0</v>
      </c>
      <c r="I66" s="1">
        <v>2.55E7</v>
      </c>
      <c r="J66" s="1" t="s">
        <v>2468</v>
      </c>
      <c r="K66" s="5">
        <f t="shared" si="2"/>
        <v>0.4181619608</v>
      </c>
      <c r="L66" s="6">
        <f t="shared" si="3"/>
        <v>331</v>
      </c>
      <c r="M66" s="6">
        <f t="shared" si="4"/>
        <v>32214.89426</v>
      </c>
      <c r="N66" s="7">
        <f t="shared" si="5"/>
        <v>0.001263329187</v>
      </c>
      <c r="O66" s="7"/>
      <c r="P66" s="4">
        <f t="shared" si="6"/>
        <v>0.4403169334</v>
      </c>
      <c r="Q66" s="4">
        <f t="shared" si="7"/>
        <v>6</v>
      </c>
      <c r="R66" s="4">
        <f t="shared" si="8"/>
        <v>0</v>
      </c>
      <c r="S66" s="4">
        <f t="shared" si="9"/>
        <v>0.4403169334</v>
      </c>
      <c r="T66" s="4">
        <f t="shared" si="10"/>
        <v>28</v>
      </c>
      <c r="U66" s="4">
        <f t="shared" si="1"/>
        <v>0.4403169334</v>
      </c>
      <c r="V66" s="4"/>
    </row>
    <row r="67">
      <c r="A67" s="1" t="s">
        <v>3240</v>
      </c>
      <c r="B67" s="1" t="s">
        <v>3241</v>
      </c>
      <c r="C67" s="1" t="s">
        <v>3242</v>
      </c>
      <c r="D67" s="1" t="s">
        <v>2463</v>
      </c>
      <c r="E67" s="1" t="s">
        <v>2464</v>
      </c>
      <c r="F67" s="1">
        <v>1227560.0</v>
      </c>
      <c r="G67" s="1">
        <v>55518.0</v>
      </c>
      <c r="H67" s="1">
        <v>799.0</v>
      </c>
      <c r="I67" s="1">
        <v>2.55E7</v>
      </c>
      <c r="J67" s="1" t="s">
        <v>2468</v>
      </c>
      <c r="K67" s="5">
        <f t="shared" si="2"/>
        <v>0.04813960784</v>
      </c>
      <c r="L67" s="6">
        <f t="shared" si="3"/>
        <v>336</v>
      </c>
      <c r="M67" s="6">
        <f t="shared" si="4"/>
        <v>3653.452381</v>
      </c>
      <c r="N67" s="7">
        <f t="shared" si="5"/>
        <v>0.0001432726424</v>
      </c>
      <c r="O67" s="7"/>
      <c r="P67" s="4">
        <f t="shared" si="6"/>
        <v>-0.3486099324</v>
      </c>
      <c r="Q67" s="4">
        <f t="shared" si="7"/>
        <v>5</v>
      </c>
      <c r="R67" s="4">
        <f t="shared" si="8"/>
        <v>0</v>
      </c>
      <c r="S67" s="4">
        <f t="shared" si="9"/>
        <v>-0.3486099324</v>
      </c>
      <c r="T67" s="4">
        <f t="shared" si="10"/>
        <v>15</v>
      </c>
      <c r="U67" s="4">
        <f t="shared" si="1"/>
        <v>-0.3486099324</v>
      </c>
      <c r="V67" s="4"/>
    </row>
    <row r="68">
      <c r="A68" s="1" t="s">
        <v>3243</v>
      </c>
      <c r="B68" s="1" t="s">
        <v>3244</v>
      </c>
      <c r="C68" s="1" t="s">
        <v>3245</v>
      </c>
      <c r="D68" s="1" t="s">
        <v>2463</v>
      </c>
      <c r="E68" s="1" t="s">
        <v>2464</v>
      </c>
      <c r="F68" s="1">
        <v>4208980.0</v>
      </c>
      <c r="G68" s="1">
        <v>150714.0</v>
      </c>
      <c r="H68" s="1">
        <v>8951.0</v>
      </c>
      <c r="I68" s="1">
        <v>2.55E7</v>
      </c>
      <c r="J68" s="1" t="s">
        <v>2468</v>
      </c>
      <c r="K68" s="5">
        <f t="shared" si="2"/>
        <v>0.1650580392</v>
      </c>
      <c r="L68" s="6">
        <f t="shared" si="3"/>
        <v>338</v>
      </c>
      <c r="M68" s="6">
        <f t="shared" si="4"/>
        <v>12452.60355</v>
      </c>
      <c r="N68" s="7">
        <f t="shared" si="5"/>
        <v>0.0004883373941</v>
      </c>
      <c r="O68" s="7"/>
      <c r="P68" s="4">
        <f t="shared" si="6"/>
        <v>-0.1055589414</v>
      </c>
      <c r="Q68" s="4">
        <f t="shared" si="7"/>
        <v>11</v>
      </c>
      <c r="R68" s="4">
        <f t="shared" si="8"/>
        <v>0</v>
      </c>
      <c r="S68" s="4">
        <f t="shared" si="9"/>
        <v>-0.1055589414</v>
      </c>
      <c r="T68" s="4">
        <f t="shared" si="10"/>
        <v>43</v>
      </c>
      <c r="U68" s="4">
        <f t="shared" si="1"/>
        <v>-0.1055589414</v>
      </c>
      <c r="V68" s="4"/>
    </row>
    <row r="69">
      <c r="A69" s="1" t="s">
        <v>3246</v>
      </c>
      <c r="B69" s="1" t="s">
        <v>3247</v>
      </c>
      <c r="C69" s="1" t="s">
        <v>3248</v>
      </c>
      <c r="D69" s="1" t="s">
        <v>2463</v>
      </c>
      <c r="E69" s="1" t="s">
        <v>2464</v>
      </c>
      <c r="F69" s="1">
        <v>2493553.0</v>
      </c>
      <c r="G69" s="1">
        <v>100501.0</v>
      </c>
      <c r="H69" s="1">
        <v>1403.0</v>
      </c>
      <c r="I69" s="1">
        <v>2.55E7</v>
      </c>
      <c r="J69" s="1" t="s">
        <v>2468</v>
      </c>
      <c r="K69" s="5">
        <f t="shared" si="2"/>
        <v>0.09778639216</v>
      </c>
      <c r="L69" s="6">
        <f t="shared" si="3"/>
        <v>343</v>
      </c>
      <c r="M69" s="6">
        <f t="shared" si="4"/>
        <v>7269.833819</v>
      </c>
      <c r="N69" s="7">
        <f t="shared" si="5"/>
        <v>0.0002850915223</v>
      </c>
      <c r="O69" s="7"/>
      <c r="P69" s="4">
        <f t="shared" si="6"/>
        <v>-0.2487179001</v>
      </c>
      <c r="Q69" s="4">
        <f t="shared" si="7"/>
        <v>7</v>
      </c>
      <c r="R69" s="4">
        <f t="shared" si="8"/>
        <v>0</v>
      </c>
      <c r="S69" s="4">
        <f t="shared" si="9"/>
        <v>-0.2487179001</v>
      </c>
      <c r="T69" s="4">
        <f t="shared" si="10"/>
        <v>29</v>
      </c>
      <c r="U69" s="4">
        <f t="shared" si="1"/>
        <v>-0.2487179001</v>
      </c>
      <c r="V69" s="4"/>
    </row>
    <row r="70">
      <c r="A70" s="1" t="s">
        <v>3249</v>
      </c>
      <c r="B70" s="1" t="s">
        <v>3250</v>
      </c>
      <c r="C70" s="1" t="s">
        <v>3251</v>
      </c>
      <c r="D70" s="1" t="s">
        <v>2463</v>
      </c>
      <c r="E70" s="1" t="s">
        <v>2464</v>
      </c>
      <c r="F70" s="1">
        <v>3320350.0</v>
      </c>
      <c r="G70" s="1">
        <v>143650.0</v>
      </c>
      <c r="H70" s="1">
        <v>11156.0</v>
      </c>
      <c r="I70" s="1">
        <v>2.55E7</v>
      </c>
      <c r="J70" s="1" t="s">
        <v>2468</v>
      </c>
      <c r="K70" s="5">
        <f t="shared" si="2"/>
        <v>0.1302098039</v>
      </c>
      <c r="L70" s="6">
        <f t="shared" si="3"/>
        <v>345</v>
      </c>
      <c r="M70" s="6">
        <f t="shared" si="4"/>
        <v>9624.202899</v>
      </c>
      <c r="N70" s="7">
        <f t="shared" si="5"/>
        <v>0.0003774197215</v>
      </c>
      <c r="O70" s="7"/>
      <c r="P70" s="4">
        <f t="shared" si="6"/>
        <v>-0.1836852933</v>
      </c>
      <c r="Q70" s="4">
        <f t="shared" si="7"/>
        <v>3</v>
      </c>
      <c r="R70" s="4">
        <f t="shared" si="8"/>
        <v>0</v>
      </c>
      <c r="S70" s="4">
        <f t="shared" si="9"/>
        <v>-0.1836852933</v>
      </c>
      <c r="T70" s="4">
        <f t="shared" si="10"/>
        <v>16</v>
      </c>
      <c r="U70" s="4">
        <f t="shared" si="1"/>
        <v>-0.1836852933</v>
      </c>
      <c r="V70" s="4"/>
    </row>
    <row r="71">
      <c r="A71" s="1" t="s">
        <v>3252</v>
      </c>
      <c r="B71" s="1" t="s">
        <v>3253</v>
      </c>
      <c r="C71" s="1" t="s">
        <v>3254</v>
      </c>
      <c r="D71" s="1" t="s">
        <v>2463</v>
      </c>
      <c r="E71" s="1" t="s">
        <v>2464</v>
      </c>
      <c r="F71" s="1">
        <v>617622.0</v>
      </c>
      <c r="G71" s="1">
        <v>29314.0</v>
      </c>
      <c r="H71" s="1">
        <v>1074.0</v>
      </c>
      <c r="I71" s="1">
        <v>2.55E7</v>
      </c>
      <c r="J71" s="1" t="s">
        <v>2468</v>
      </c>
      <c r="K71" s="5">
        <f t="shared" si="2"/>
        <v>0.02422047059</v>
      </c>
      <c r="L71" s="6">
        <f t="shared" si="3"/>
        <v>350</v>
      </c>
      <c r="M71" s="6">
        <f t="shared" si="4"/>
        <v>1764.634286</v>
      </c>
      <c r="N71" s="7">
        <f t="shared" si="5"/>
        <v>0.00006920134454</v>
      </c>
      <c r="O71" s="7"/>
      <c r="P71" s="4">
        <f t="shared" si="6"/>
        <v>-0.4007830455</v>
      </c>
      <c r="Q71" s="4">
        <f t="shared" si="7"/>
        <v>5</v>
      </c>
      <c r="R71" s="4">
        <f t="shared" si="8"/>
        <v>1</v>
      </c>
      <c r="S71" s="4">
        <f t="shared" si="9"/>
        <v>-0.4007830455</v>
      </c>
      <c r="T71" s="4">
        <f t="shared" si="10"/>
        <v>20</v>
      </c>
      <c r="U71" s="4">
        <f t="shared" si="1"/>
        <v>-0.4007830455</v>
      </c>
      <c r="V71" s="4"/>
    </row>
    <row r="72">
      <c r="A72" s="1" t="s">
        <v>3255</v>
      </c>
      <c r="B72" s="1" t="s">
        <v>3256</v>
      </c>
      <c r="C72" s="1" t="s">
        <v>3257</v>
      </c>
      <c r="D72" s="1" t="s">
        <v>2463</v>
      </c>
      <c r="E72" s="1" t="s">
        <v>2464</v>
      </c>
      <c r="F72" s="1">
        <v>8600523.0</v>
      </c>
      <c r="G72" s="1">
        <v>181942.0</v>
      </c>
      <c r="H72" s="1">
        <v>8763.0</v>
      </c>
      <c r="I72" s="1">
        <v>2.55E7</v>
      </c>
      <c r="J72" s="1" t="s">
        <v>2468</v>
      </c>
      <c r="K72" s="5">
        <f t="shared" si="2"/>
        <v>0.3372754118</v>
      </c>
      <c r="L72" s="6">
        <f t="shared" si="3"/>
        <v>352</v>
      </c>
      <c r="M72" s="6">
        <f t="shared" si="4"/>
        <v>24433.30398</v>
      </c>
      <c r="N72" s="7">
        <f t="shared" si="5"/>
        <v>0.0009581687834</v>
      </c>
      <c r="O72" s="7"/>
      <c r="P72" s="4">
        <f t="shared" si="6"/>
        <v>0.225373106</v>
      </c>
      <c r="Q72" s="4">
        <f t="shared" si="7"/>
        <v>6</v>
      </c>
      <c r="R72" s="4">
        <f t="shared" si="8"/>
        <v>1</v>
      </c>
      <c r="S72" s="4">
        <f t="shared" si="9"/>
        <v>0.225373106</v>
      </c>
      <c r="T72" s="4">
        <f t="shared" si="10"/>
        <v>38</v>
      </c>
      <c r="U72" s="4">
        <f t="shared" si="1"/>
        <v>0.225373106</v>
      </c>
      <c r="V72" s="4"/>
    </row>
    <row r="73">
      <c r="A73" s="1" t="s">
        <v>3258</v>
      </c>
      <c r="B73" s="1" t="s">
        <v>3259</v>
      </c>
      <c r="C73" s="1" t="s">
        <v>3260</v>
      </c>
      <c r="D73" s="1" t="s">
        <v>2463</v>
      </c>
      <c r="E73" s="1" t="s">
        <v>2464</v>
      </c>
      <c r="F73" s="1">
        <v>731306.0</v>
      </c>
      <c r="G73" s="1">
        <v>44054.0</v>
      </c>
      <c r="H73" s="1">
        <v>1330.0</v>
      </c>
      <c r="I73" s="1">
        <v>2.55E7</v>
      </c>
      <c r="J73" s="1" t="s">
        <v>2468</v>
      </c>
      <c r="K73" s="5">
        <f t="shared" si="2"/>
        <v>0.02867866667</v>
      </c>
      <c r="L73" s="6">
        <f t="shared" si="3"/>
        <v>358</v>
      </c>
      <c r="M73" s="6">
        <f t="shared" si="4"/>
        <v>2042.75419</v>
      </c>
      <c r="N73" s="7">
        <f t="shared" si="5"/>
        <v>0.00008010800745</v>
      </c>
      <c r="O73" s="7"/>
      <c r="P73" s="4">
        <f t="shared" si="6"/>
        <v>-0.3931007911</v>
      </c>
      <c r="Q73" s="4">
        <f t="shared" si="7"/>
        <v>6</v>
      </c>
      <c r="R73" s="4">
        <f t="shared" si="8"/>
        <v>0</v>
      </c>
      <c r="S73" s="4">
        <f t="shared" si="9"/>
        <v>-0.3931007911</v>
      </c>
      <c r="T73" s="4">
        <f t="shared" si="10"/>
        <v>22</v>
      </c>
      <c r="U73" s="4">
        <f t="shared" si="1"/>
        <v>-0.3931007911</v>
      </c>
      <c r="V73" s="4"/>
    </row>
    <row r="74">
      <c r="A74" s="1" t="s">
        <v>3261</v>
      </c>
      <c r="B74" s="1" t="s">
        <v>3262</v>
      </c>
      <c r="C74" s="1" t="s">
        <v>3263</v>
      </c>
      <c r="D74" s="1" t="s">
        <v>2463</v>
      </c>
      <c r="E74" s="1" t="s">
        <v>2464</v>
      </c>
      <c r="F74" s="1">
        <v>695768.0</v>
      </c>
      <c r="G74" s="1">
        <v>33601.0</v>
      </c>
      <c r="H74" s="1">
        <v>1765.0</v>
      </c>
      <c r="I74" s="1">
        <v>2.55E7</v>
      </c>
      <c r="J74" s="1" t="s">
        <v>2468</v>
      </c>
      <c r="K74" s="5">
        <f t="shared" si="2"/>
        <v>0.02728501961</v>
      </c>
      <c r="L74" s="6">
        <f t="shared" si="3"/>
        <v>358</v>
      </c>
      <c r="M74" s="6">
        <f t="shared" si="4"/>
        <v>1943.486034</v>
      </c>
      <c r="N74" s="7">
        <f t="shared" si="5"/>
        <v>0.00007621513857</v>
      </c>
      <c r="O74" s="7"/>
      <c r="P74" s="4">
        <f t="shared" si="6"/>
        <v>-0.3958427855</v>
      </c>
      <c r="Q74" s="4">
        <f t="shared" si="7"/>
        <v>8</v>
      </c>
      <c r="R74" s="4">
        <f t="shared" si="8"/>
        <v>0</v>
      </c>
      <c r="S74" s="4">
        <f t="shared" si="9"/>
        <v>-0.3958427855</v>
      </c>
      <c r="T74" s="4">
        <f t="shared" si="10"/>
        <v>27</v>
      </c>
      <c r="U74" s="4">
        <f t="shared" si="1"/>
        <v>-0.3958427855</v>
      </c>
      <c r="V74" s="4"/>
    </row>
    <row r="75">
      <c r="A75" s="1" t="s">
        <v>3264</v>
      </c>
      <c r="B75" s="1" t="s">
        <v>3265</v>
      </c>
      <c r="C75" s="1" t="s">
        <v>3266</v>
      </c>
      <c r="D75" s="1" t="s">
        <v>2463</v>
      </c>
      <c r="E75" s="1" t="s">
        <v>2464</v>
      </c>
      <c r="F75" s="1">
        <v>2354749.0</v>
      </c>
      <c r="G75" s="1">
        <v>85850.0</v>
      </c>
      <c r="H75" s="1">
        <v>1029.0</v>
      </c>
      <c r="I75" s="1">
        <v>2.55E7</v>
      </c>
      <c r="J75" s="1" t="s">
        <v>2468</v>
      </c>
      <c r="K75" s="5">
        <f t="shared" si="2"/>
        <v>0.09234309804</v>
      </c>
      <c r="L75" s="6">
        <f t="shared" si="3"/>
        <v>364</v>
      </c>
      <c r="M75" s="6">
        <f t="shared" si="4"/>
        <v>6469.090659</v>
      </c>
      <c r="N75" s="7">
        <f t="shared" si="5"/>
        <v>0.0002536898298</v>
      </c>
      <c r="O75" s="7"/>
      <c r="P75" s="4">
        <f t="shared" si="6"/>
        <v>-0.2708361039</v>
      </c>
      <c r="Q75" s="4">
        <f t="shared" si="7"/>
        <v>8</v>
      </c>
      <c r="R75" s="4">
        <f t="shared" si="8"/>
        <v>1</v>
      </c>
      <c r="S75" s="4">
        <f t="shared" si="9"/>
        <v>-0.2708361039</v>
      </c>
      <c r="T75" s="4">
        <f t="shared" si="10"/>
        <v>33</v>
      </c>
      <c r="U75" s="4">
        <f t="shared" si="1"/>
        <v>-0.2708361039</v>
      </c>
      <c r="V75" s="4"/>
    </row>
    <row r="76">
      <c r="A76" s="1" t="s">
        <v>3267</v>
      </c>
      <c r="B76" s="1" t="s">
        <v>3268</v>
      </c>
      <c r="C76" s="1" t="s">
        <v>3269</v>
      </c>
      <c r="D76" s="1" t="s">
        <v>2463</v>
      </c>
      <c r="E76" s="1" t="s">
        <v>2464</v>
      </c>
      <c r="F76" s="1">
        <v>5063636.0</v>
      </c>
      <c r="G76" s="1">
        <v>195284.0</v>
      </c>
      <c r="H76" s="1">
        <v>10885.0</v>
      </c>
      <c r="I76" s="1">
        <v>2.55E7</v>
      </c>
      <c r="J76" s="1" t="s">
        <v>2468</v>
      </c>
      <c r="K76" s="5">
        <f t="shared" si="2"/>
        <v>0.1985739608</v>
      </c>
      <c r="L76" s="6">
        <f t="shared" si="3"/>
        <v>366</v>
      </c>
      <c r="M76" s="6">
        <f t="shared" si="4"/>
        <v>13835.07104</v>
      </c>
      <c r="N76" s="7">
        <f t="shared" si="5"/>
        <v>0.0005425518054</v>
      </c>
      <c r="O76" s="7"/>
      <c r="P76" s="4">
        <f t="shared" si="6"/>
        <v>-0.06737229284</v>
      </c>
      <c r="Q76" s="4">
        <f t="shared" si="7"/>
        <v>4</v>
      </c>
      <c r="R76" s="4">
        <f t="shared" si="8"/>
        <v>0</v>
      </c>
      <c r="S76" s="4">
        <f t="shared" si="9"/>
        <v>-0.06737229284</v>
      </c>
      <c r="T76" s="4">
        <f t="shared" si="10"/>
        <v>20</v>
      </c>
      <c r="U76" s="4">
        <f t="shared" si="1"/>
        <v>-0.06737229284</v>
      </c>
      <c r="V76" s="4"/>
    </row>
    <row r="77">
      <c r="A77" s="1" t="s">
        <v>3270</v>
      </c>
      <c r="B77" s="1" t="s">
        <v>3271</v>
      </c>
      <c r="C77" s="1" t="s">
        <v>3272</v>
      </c>
      <c r="D77" s="1" t="s">
        <v>2463</v>
      </c>
      <c r="E77" s="1" t="s">
        <v>2464</v>
      </c>
      <c r="F77" s="1">
        <v>674809.0</v>
      </c>
      <c r="G77" s="1">
        <v>25828.0</v>
      </c>
      <c r="H77" s="1">
        <v>1325.0</v>
      </c>
      <c r="I77" s="1">
        <v>2.55E7</v>
      </c>
      <c r="J77" s="1" t="s">
        <v>2468</v>
      </c>
      <c r="K77" s="5">
        <f t="shared" si="2"/>
        <v>0.02646309804</v>
      </c>
      <c r="L77" s="6">
        <f t="shared" si="3"/>
        <v>371</v>
      </c>
      <c r="M77" s="6">
        <f t="shared" si="4"/>
        <v>1818.892183</v>
      </c>
      <c r="N77" s="7">
        <f t="shared" si="5"/>
        <v>0.00007132910523</v>
      </c>
      <c r="O77" s="7"/>
      <c r="P77" s="4">
        <f t="shared" si="6"/>
        <v>-0.3992843287</v>
      </c>
      <c r="Q77" s="4">
        <f t="shared" si="7"/>
        <v>5</v>
      </c>
      <c r="R77" s="4">
        <f t="shared" si="8"/>
        <v>1</v>
      </c>
      <c r="S77" s="4">
        <f t="shared" si="9"/>
        <v>-0.3992843287</v>
      </c>
      <c r="T77" s="4">
        <f t="shared" si="10"/>
        <v>22</v>
      </c>
      <c r="U77" s="4">
        <f t="shared" si="1"/>
        <v>-0.3992843287</v>
      </c>
      <c r="V77" s="4"/>
    </row>
    <row r="78">
      <c r="A78" s="1" t="s">
        <v>3273</v>
      </c>
      <c r="B78" s="1" t="s">
        <v>3274</v>
      </c>
      <c r="C78" s="1" t="s">
        <v>3275</v>
      </c>
      <c r="D78" s="1" t="s">
        <v>2463</v>
      </c>
      <c r="E78" s="1" t="s">
        <v>2464</v>
      </c>
      <c r="F78" s="1">
        <v>1133032.0</v>
      </c>
      <c r="G78" s="1">
        <v>57951.0</v>
      </c>
      <c r="H78" s="1">
        <v>1467.0</v>
      </c>
      <c r="I78" s="1">
        <v>2.55E7</v>
      </c>
      <c r="J78" s="1" t="s">
        <v>2468</v>
      </c>
      <c r="K78" s="5">
        <f t="shared" si="2"/>
        <v>0.04443262745</v>
      </c>
      <c r="L78" s="6">
        <f t="shared" si="3"/>
        <v>378</v>
      </c>
      <c r="M78" s="6">
        <f t="shared" si="4"/>
        <v>2997.439153</v>
      </c>
      <c r="N78" s="7">
        <f t="shared" si="5"/>
        <v>0.0001175466335</v>
      </c>
      <c r="O78" s="7"/>
      <c r="P78" s="4">
        <f t="shared" si="6"/>
        <v>-0.3667303922</v>
      </c>
      <c r="Q78" s="4">
        <f t="shared" si="7"/>
        <v>5</v>
      </c>
      <c r="R78" s="4">
        <f t="shared" si="8"/>
        <v>0</v>
      </c>
      <c r="S78" s="4">
        <f t="shared" si="9"/>
        <v>-0.3667303922</v>
      </c>
      <c r="T78" s="4">
        <f t="shared" si="10"/>
        <v>25</v>
      </c>
      <c r="U78" s="4">
        <f t="shared" si="1"/>
        <v>-0.3667303922</v>
      </c>
      <c r="V78" s="4"/>
    </row>
    <row r="79">
      <c r="A79" s="1" t="s">
        <v>3276</v>
      </c>
      <c r="B79" s="1" t="s">
        <v>3277</v>
      </c>
      <c r="C79" s="1" t="s">
        <v>3278</v>
      </c>
      <c r="D79" s="1" t="s">
        <v>2463</v>
      </c>
      <c r="E79" s="1" t="s">
        <v>2464</v>
      </c>
      <c r="F79" s="1">
        <v>4591864.0</v>
      </c>
      <c r="G79" s="1">
        <v>187491.0</v>
      </c>
      <c r="H79" s="1">
        <v>11773.0</v>
      </c>
      <c r="I79" s="1">
        <v>2.55E7</v>
      </c>
      <c r="J79" s="1" t="s">
        <v>2468</v>
      </c>
      <c r="K79" s="5">
        <f t="shared" si="2"/>
        <v>0.180073098</v>
      </c>
      <c r="L79" s="6">
        <f t="shared" si="3"/>
        <v>380</v>
      </c>
      <c r="M79" s="6">
        <f t="shared" si="4"/>
        <v>12083.85263</v>
      </c>
      <c r="N79" s="7">
        <f t="shared" si="5"/>
        <v>0.0004738765738</v>
      </c>
      <c r="O79" s="7"/>
      <c r="P79" s="4">
        <f t="shared" si="6"/>
        <v>-0.1157446143</v>
      </c>
      <c r="Q79" s="4">
        <f t="shared" si="7"/>
        <v>5</v>
      </c>
      <c r="R79" s="4">
        <f t="shared" si="8"/>
        <v>0</v>
      </c>
      <c r="S79" s="4">
        <f t="shared" si="9"/>
        <v>-0.1157446143</v>
      </c>
      <c r="T79" s="4">
        <f t="shared" si="10"/>
        <v>21</v>
      </c>
      <c r="U79" s="4">
        <f t="shared" si="1"/>
        <v>-0.1157446143</v>
      </c>
      <c r="V79" s="4"/>
    </row>
    <row r="80">
      <c r="A80" s="1" t="s">
        <v>3279</v>
      </c>
      <c r="B80" s="1" t="s">
        <v>3280</v>
      </c>
      <c r="C80" s="1" t="s">
        <v>3281</v>
      </c>
      <c r="D80" s="1" t="s">
        <v>2463</v>
      </c>
      <c r="E80" s="1" t="s">
        <v>2464</v>
      </c>
      <c r="F80" s="1">
        <v>6301654.0</v>
      </c>
      <c r="G80" s="1">
        <v>282516.0</v>
      </c>
      <c r="H80" s="1">
        <v>19003.0</v>
      </c>
      <c r="I80" s="1">
        <v>2.55E7</v>
      </c>
      <c r="J80" s="1" t="s">
        <v>2468</v>
      </c>
      <c r="K80" s="5">
        <f t="shared" si="2"/>
        <v>0.2471236863</v>
      </c>
      <c r="L80" s="6">
        <f t="shared" si="3"/>
        <v>387</v>
      </c>
      <c r="M80" s="6">
        <f t="shared" si="4"/>
        <v>16283.34367</v>
      </c>
      <c r="N80" s="7">
        <f t="shared" si="5"/>
        <v>0.0006385624968</v>
      </c>
      <c r="O80" s="7"/>
      <c r="P80" s="4">
        <f t="shared" si="6"/>
        <v>0.0002541267679</v>
      </c>
      <c r="Q80" s="4">
        <f t="shared" si="7"/>
        <v>3</v>
      </c>
      <c r="R80" s="4">
        <f t="shared" si="8"/>
        <v>0</v>
      </c>
      <c r="S80" s="4">
        <f t="shared" si="9"/>
        <v>0.0002541267679</v>
      </c>
      <c r="T80" s="4">
        <f t="shared" si="10"/>
        <v>15</v>
      </c>
      <c r="U80" s="4">
        <f t="shared" si="1"/>
        <v>0.0002541267679</v>
      </c>
      <c r="V80" s="4"/>
    </row>
    <row r="81">
      <c r="A81" s="1" t="s">
        <v>3282</v>
      </c>
      <c r="B81" s="1" t="s">
        <v>3283</v>
      </c>
      <c r="C81" s="1" t="s">
        <v>3284</v>
      </c>
      <c r="D81" s="1" t="s">
        <v>2463</v>
      </c>
      <c r="E81" s="1" t="s">
        <v>2464</v>
      </c>
      <c r="F81" s="1">
        <v>5332232.0</v>
      </c>
      <c r="G81" s="1">
        <v>317822.0</v>
      </c>
      <c r="H81" s="1">
        <v>9689.0</v>
      </c>
      <c r="I81" s="1">
        <v>2.55E7</v>
      </c>
      <c r="J81" s="1" t="s">
        <v>2468</v>
      </c>
      <c r="K81" s="5">
        <f t="shared" si="2"/>
        <v>0.2091071373</v>
      </c>
      <c r="L81" s="6">
        <f t="shared" si="3"/>
        <v>392</v>
      </c>
      <c r="M81" s="6">
        <f t="shared" si="4"/>
        <v>13602.63265</v>
      </c>
      <c r="N81" s="7">
        <f t="shared" si="5"/>
        <v>0.0005334365746</v>
      </c>
      <c r="O81" s="7"/>
      <c r="P81" s="4">
        <f t="shared" si="6"/>
        <v>-0.07379272804</v>
      </c>
      <c r="Q81" s="4">
        <f t="shared" si="7"/>
        <v>6</v>
      </c>
      <c r="R81" s="4">
        <f t="shared" si="8"/>
        <v>0</v>
      </c>
      <c r="S81" s="4">
        <f t="shared" si="9"/>
        <v>-0.07379272804</v>
      </c>
      <c r="T81" s="4">
        <f t="shared" si="10"/>
        <v>25</v>
      </c>
      <c r="U81" s="4">
        <f t="shared" si="1"/>
        <v>-0.07379272804</v>
      </c>
      <c r="V81" s="4"/>
    </row>
    <row r="82">
      <c r="A82" s="1" t="s">
        <v>3285</v>
      </c>
      <c r="B82" s="1" t="s">
        <v>3286</v>
      </c>
      <c r="C82" s="1" t="s">
        <v>3287</v>
      </c>
      <c r="D82" s="1" t="s">
        <v>2463</v>
      </c>
      <c r="E82" s="1" t="s">
        <v>2464</v>
      </c>
      <c r="F82" s="1">
        <v>3539551.0</v>
      </c>
      <c r="G82" s="1">
        <v>152483.0</v>
      </c>
      <c r="H82" s="1">
        <v>4436.0</v>
      </c>
      <c r="I82" s="1">
        <v>2.55E7</v>
      </c>
      <c r="J82" s="1" t="s">
        <v>2468</v>
      </c>
      <c r="K82" s="5">
        <f t="shared" si="2"/>
        <v>0.1388059216</v>
      </c>
      <c r="L82" s="6">
        <f t="shared" si="3"/>
        <v>399</v>
      </c>
      <c r="M82" s="6">
        <f t="shared" si="4"/>
        <v>8871.055138</v>
      </c>
      <c r="N82" s="7">
        <f t="shared" si="5"/>
        <v>0.0003478845152</v>
      </c>
      <c r="O82" s="7"/>
      <c r="P82" s="4">
        <f t="shared" si="6"/>
        <v>-0.2044888125</v>
      </c>
      <c r="Q82" s="4">
        <f t="shared" si="7"/>
        <v>4</v>
      </c>
      <c r="R82" s="4">
        <f t="shared" si="8"/>
        <v>1</v>
      </c>
      <c r="S82" s="4">
        <f t="shared" si="9"/>
        <v>-0.2044888125</v>
      </c>
      <c r="T82" s="4">
        <f t="shared" si="10"/>
        <v>14</v>
      </c>
      <c r="U82" s="4">
        <f t="shared" si="1"/>
        <v>-0.2044888125</v>
      </c>
      <c r="V82" s="4"/>
    </row>
    <row r="83">
      <c r="A83" s="1" t="s">
        <v>3288</v>
      </c>
      <c r="B83" s="1" t="s">
        <v>3289</v>
      </c>
      <c r="C83" s="1" t="s">
        <v>3290</v>
      </c>
      <c r="D83" s="1" t="s">
        <v>2463</v>
      </c>
      <c r="E83" s="1" t="s">
        <v>2464</v>
      </c>
      <c r="F83" s="1">
        <v>4774599.0</v>
      </c>
      <c r="G83" s="1">
        <v>160998.0</v>
      </c>
      <c r="H83" s="1">
        <v>9947.0</v>
      </c>
      <c r="I83" s="1">
        <v>2.55E7</v>
      </c>
      <c r="J83" s="1" t="s">
        <v>2468</v>
      </c>
      <c r="K83" s="5">
        <f t="shared" si="2"/>
        <v>0.1872391765</v>
      </c>
      <c r="L83" s="6">
        <f t="shared" si="3"/>
        <v>401</v>
      </c>
      <c r="M83" s="6">
        <f t="shared" si="4"/>
        <v>11906.73067</v>
      </c>
      <c r="N83" s="7">
        <f t="shared" si="5"/>
        <v>0.0004669306146</v>
      </c>
      <c r="O83" s="7"/>
      <c r="P83" s="4">
        <f t="shared" si="6"/>
        <v>-0.1206370939</v>
      </c>
      <c r="Q83" s="4">
        <f t="shared" si="7"/>
        <v>10</v>
      </c>
      <c r="R83" s="4">
        <f t="shared" si="8"/>
        <v>0</v>
      </c>
      <c r="S83" s="4">
        <f t="shared" si="9"/>
        <v>-0.1206370939</v>
      </c>
      <c r="T83" s="4">
        <f t="shared" si="10"/>
        <v>41</v>
      </c>
      <c r="U83" s="4">
        <f t="shared" si="1"/>
        <v>-0.1206370939</v>
      </c>
      <c r="V83" s="4"/>
    </row>
    <row r="84">
      <c r="A84" s="1" t="s">
        <v>3291</v>
      </c>
      <c r="B84" s="1" t="s">
        <v>3292</v>
      </c>
      <c r="C84" s="1" t="s">
        <v>3293</v>
      </c>
      <c r="D84" s="1" t="s">
        <v>2463</v>
      </c>
      <c r="E84" s="1" t="s">
        <v>2464</v>
      </c>
      <c r="F84" s="1">
        <v>2923529.0</v>
      </c>
      <c r="G84" s="1">
        <v>170711.0</v>
      </c>
      <c r="H84" s="1">
        <v>2253.0</v>
      </c>
      <c r="I84" s="1">
        <v>2.55E7</v>
      </c>
      <c r="J84" s="1" t="s">
        <v>2468</v>
      </c>
      <c r="K84" s="5">
        <f t="shared" si="2"/>
        <v>0.1146481961</v>
      </c>
      <c r="L84" s="6">
        <f t="shared" si="3"/>
        <v>406</v>
      </c>
      <c r="M84" s="6">
        <f t="shared" si="4"/>
        <v>7200.810345</v>
      </c>
      <c r="N84" s="7">
        <f t="shared" si="5"/>
        <v>0.0002823847194</v>
      </c>
      <c r="O84" s="7"/>
      <c r="P84" s="4">
        <f t="shared" si="6"/>
        <v>-0.2506244731</v>
      </c>
      <c r="Q84" s="4">
        <f t="shared" si="7"/>
        <v>8</v>
      </c>
      <c r="R84" s="4">
        <f t="shared" si="8"/>
        <v>0</v>
      </c>
      <c r="S84" s="4">
        <f t="shared" si="9"/>
        <v>-0.2506244731</v>
      </c>
      <c r="T84" s="4">
        <f t="shared" si="10"/>
        <v>30</v>
      </c>
      <c r="U84" s="4">
        <f t="shared" si="1"/>
        <v>-0.2506244731</v>
      </c>
      <c r="V84" s="4"/>
    </row>
    <row r="85">
      <c r="A85" s="1" t="s">
        <v>3294</v>
      </c>
      <c r="B85" s="1" t="s">
        <v>3295</v>
      </c>
      <c r="C85" s="1" t="s">
        <v>3296</v>
      </c>
      <c r="D85" s="1" t="s">
        <v>2463</v>
      </c>
      <c r="E85" s="1" t="s">
        <v>2464</v>
      </c>
      <c r="F85" s="1">
        <v>6311698.0</v>
      </c>
      <c r="G85" s="1">
        <v>213195.0</v>
      </c>
      <c r="H85" s="1">
        <v>2612.0</v>
      </c>
      <c r="I85" s="1">
        <v>2.55E7</v>
      </c>
      <c r="J85" s="1" t="s">
        <v>2468</v>
      </c>
      <c r="K85" s="5">
        <f t="shared" si="2"/>
        <v>0.2475175686</v>
      </c>
      <c r="L85" s="6">
        <f t="shared" si="3"/>
        <v>413</v>
      </c>
      <c r="M85" s="6">
        <f t="shared" si="4"/>
        <v>15282.56174</v>
      </c>
      <c r="N85" s="7">
        <f t="shared" si="5"/>
        <v>0.0005993161468</v>
      </c>
      <c r="O85" s="7"/>
      <c r="P85" s="4">
        <f t="shared" si="6"/>
        <v>-0.02738956683</v>
      </c>
      <c r="Q85" s="4">
        <f t="shared" si="7"/>
        <v>13</v>
      </c>
      <c r="R85" s="4">
        <f t="shared" si="8"/>
        <v>1</v>
      </c>
      <c r="S85" s="4">
        <f t="shared" si="9"/>
        <v>-0.02738956683</v>
      </c>
      <c r="T85" s="4">
        <f t="shared" si="10"/>
        <v>57</v>
      </c>
      <c r="U85" s="4">
        <f t="shared" si="1"/>
        <v>-0.02738956683</v>
      </c>
      <c r="V85" s="4"/>
    </row>
    <row r="86">
      <c r="A86" s="1" t="s">
        <v>3297</v>
      </c>
      <c r="B86" s="1" t="s">
        <v>3298</v>
      </c>
      <c r="C86" s="1" t="s">
        <v>3299</v>
      </c>
      <c r="D86" s="1" t="s">
        <v>2463</v>
      </c>
      <c r="E86" s="1" t="s">
        <v>2464</v>
      </c>
      <c r="F86" s="1">
        <v>1207765.0</v>
      </c>
      <c r="G86" s="1">
        <v>45911.0</v>
      </c>
      <c r="H86" s="1">
        <v>548.0</v>
      </c>
      <c r="I86" s="1">
        <v>2.55E7</v>
      </c>
      <c r="J86" s="1" t="s">
        <v>2468</v>
      </c>
      <c r="K86" s="5">
        <f t="shared" si="2"/>
        <v>0.04736333333</v>
      </c>
      <c r="L86" s="6">
        <f t="shared" si="3"/>
        <v>420</v>
      </c>
      <c r="M86" s="6">
        <f t="shared" si="4"/>
        <v>2875.630952</v>
      </c>
      <c r="N86" s="7">
        <f t="shared" si="5"/>
        <v>0.0001127698413</v>
      </c>
      <c r="O86" s="7"/>
      <c r="P86" s="4">
        <f t="shared" si="6"/>
        <v>-0.3700949899</v>
      </c>
      <c r="Q86" s="4">
        <f t="shared" si="7"/>
        <v>8</v>
      </c>
      <c r="R86" s="4">
        <f t="shared" si="8"/>
        <v>0</v>
      </c>
      <c r="S86" s="4">
        <f t="shared" si="9"/>
        <v>-0.3700949899</v>
      </c>
      <c r="T86" s="4">
        <f t="shared" si="10"/>
        <v>42</v>
      </c>
      <c r="U86" s="4">
        <f t="shared" si="1"/>
        <v>-0.3700949899</v>
      </c>
      <c r="V86" s="4"/>
    </row>
    <row r="87">
      <c r="A87" s="1" t="s">
        <v>3300</v>
      </c>
      <c r="B87" s="1" t="s">
        <v>3301</v>
      </c>
      <c r="C87" s="1" t="s">
        <v>3302</v>
      </c>
      <c r="D87" s="1" t="s">
        <v>2463</v>
      </c>
      <c r="E87" s="1" t="s">
        <v>2464</v>
      </c>
      <c r="F87" s="1">
        <v>1021677.0</v>
      </c>
      <c r="G87" s="1">
        <v>37450.0</v>
      </c>
      <c r="H87" s="1">
        <v>637.0</v>
      </c>
      <c r="I87" s="1">
        <v>2.55E7</v>
      </c>
      <c r="J87" s="1" t="s">
        <v>2468</v>
      </c>
      <c r="K87" s="5">
        <f t="shared" si="2"/>
        <v>0.04006576471</v>
      </c>
      <c r="L87" s="6">
        <f t="shared" si="3"/>
        <v>420</v>
      </c>
      <c r="M87" s="6">
        <f t="shared" si="4"/>
        <v>2432.564286</v>
      </c>
      <c r="N87" s="7">
        <f t="shared" si="5"/>
        <v>0.00009539467787</v>
      </c>
      <c r="O87" s="7"/>
      <c r="P87" s="4">
        <f t="shared" si="6"/>
        <v>-0.3823334195</v>
      </c>
      <c r="Q87" s="4">
        <f t="shared" si="7"/>
        <v>9</v>
      </c>
      <c r="R87" s="4">
        <f t="shared" si="8"/>
        <v>0</v>
      </c>
      <c r="S87" s="4">
        <f t="shared" si="9"/>
        <v>-0.3823334195</v>
      </c>
      <c r="T87" s="4">
        <f t="shared" si="10"/>
        <v>40</v>
      </c>
      <c r="U87" s="4">
        <f t="shared" si="1"/>
        <v>-0.3823334195</v>
      </c>
      <c r="V87" s="4"/>
    </row>
    <row r="88">
      <c r="A88" s="1" t="s">
        <v>3303</v>
      </c>
      <c r="B88" s="1" t="s">
        <v>3304</v>
      </c>
      <c r="C88" s="1" t="s">
        <v>3305</v>
      </c>
      <c r="D88" s="1" t="s">
        <v>2463</v>
      </c>
      <c r="E88" s="1" t="s">
        <v>2464</v>
      </c>
      <c r="F88" s="1">
        <v>3389798.0</v>
      </c>
      <c r="G88" s="1">
        <v>115492.0</v>
      </c>
      <c r="H88" s="1">
        <v>5602.0</v>
      </c>
      <c r="I88" s="1">
        <v>2.55E7</v>
      </c>
      <c r="J88" s="1" t="s">
        <v>2468</v>
      </c>
      <c r="K88" s="5">
        <f t="shared" si="2"/>
        <v>0.1329332549</v>
      </c>
      <c r="L88" s="6">
        <f t="shared" si="3"/>
        <v>429</v>
      </c>
      <c r="M88" s="6">
        <f t="shared" si="4"/>
        <v>7901.62704</v>
      </c>
      <c r="N88" s="7">
        <f t="shared" si="5"/>
        <v>0.000309867727</v>
      </c>
      <c r="O88" s="7"/>
      <c r="P88" s="4">
        <f t="shared" si="6"/>
        <v>-0.2312664476</v>
      </c>
      <c r="Q88" s="4">
        <f t="shared" si="7"/>
        <v>7</v>
      </c>
      <c r="R88" s="4">
        <f t="shared" si="8"/>
        <v>0</v>
      </c>
      <c r="S88" s="4">
        <f t="shared" si="9"/>
        <v>-0.2312664476</v>
      </c>
      <c r="T88" s="4">
        <f t="shared" si="10"/>
        <v>35</v>
      </c>
      <c r="U88" s="4">
        <f t="shared" si="1"/>
        <v>-0.2312664476</v>
      </c>
      <c r="V88" s="4"/>
    </row>
    <row r="89">
      <c r="A89" s="1" t="s">
        <v>3306</v>
      </c>
      <c r="B89" s="1" t="s">
        <v>3307</v>
      </c>
      <c r="C89" s="1" t="s">
        <v>3308</v>
      </c>
      <c r="D89" s="1" t="s">
        <v>2463</v>
      </c>
      <c r="E89" s="1" t="s">
        <v>2464</v>
      </c>
      <c r="F89" s="1">
        <v>2406110.0</v>
      </c>
      <c r="G89" s="1">
        <v>125030.0</v>
      </c>
      <c r="H89" s="1">
        <v>2915.0</v>
      </c>
      <c r="I89" s="1">
        <v>2.55E7</v>
      </c>
      <c r="J89" s="1" t="s">
        <v>2468</v>
      </c>
      <c r="K89" s="5">
        <f t="shared" si="2"/>
        <v>0.0943572549</v>
      </c>
      <c r="L89" s="6">
        <f t="shared" si="3"/>
        <v>434</v>
      </c>
      <c r="M89" s="6">
        <f t="shared" si="4"/>
        <v>5544.032258</v>
      </c>
      <c r="N89" s="7">
        <f t="shared" si="5"/>
        <v>0.0002174130297</v>
      </c>
      <c r="O89" s="7"/>
      <c r="P89" s="4">
        <f t="shared" si="6"/>
        <v>-0.2963881551</v>
      </c>
      <c r="Q89" s="4">
        <f t="shared" si="7"/>
        <v>5</v>
      </c>
      <c r="R89" s="4">
        <f t="shared" si="8"/>
        <v>0</v>
      </c>
      <c r="S89" s="4">
        <f t="shared" si="9"/>
        <v>-0.2963881551</v>
      </c>
      <c r="T89" s="4">
        <f t="shared" si="10"/>
        <v>21</v>
      </c>
      <c r="U89" s="4">
        <f t="shared" si="1"/>
        <v>-0.2963881551</v>
      </c>
      <c r="V89" s="4"/>
    </row>
    <row r="90">
      <c r="A90" s="1" t="s">
        <v>3309</v>
      </c>
      <c r="B90" s="1" t="s">
        <v>3310</v>
      </c>
      <c r="C90" s="1" t="s">
        <v>3311</v>
      </c>
      <c r="D90" s="1" t="s">
        <v>2463</v>
      </c>
      <c r="E90" s="1" t="s">
        <v>2464</v>
      </c>
      <c r="F90" s="1">
        <v>1527173.0</v>
      </c>
      <c r="G90" s="1">
        <v>56731.0</v>
      </c>
      <c r="H90" s="1">
        <v>907.0</v>
      </c>
      <c r="I90" s="1">
        <v>2.55E7</v>
      </c>
      <c r="J90" s="1" t="s">
        <v>2468</v>
      </c>
      <c r="K90" s="5">
        <f t="shared" si="2"/>
        <v>0.05988913725</v>
      </c>
      <c r="L90" s="6">
        <f t="shared" si="3"/>
        <v>441</v>
      </c>
      <c r="M90" s="6">
        <f t="shared" si="4"/>
        <v>3462.977324</v>
      </c>
      <c r="N90" s="7">
        <f t="shared" si="5"/>
        <v>0.0001358030323</v>
      </c>
      <c r="O90" s="7"/>
      <c r="P90" s="4">
        <f t="shared" si="6"/>
        <v>-0.3538712525</v>
      </c>
      <c r="Q90" s="4">
        <f t="shared" si="7"/>
        <v>7</v>
      </c>
      <c r="R90" s="4">
        <f t="shared" si="8"/>
        <v>1</v>
      </c>
      <c r="S90" s="4">
        <f t="shared" si="9"/>
        <v>-0.3538712525</v>
      </c>
      <c r="T90" s="4">
        <f t="shared" si="10"/>
        <v>25</v>
      </c>
      <c r="U90" s="4">
        <f t="shared" si="1"/>
        <v>-0.3538712525</v>
      </c>
      <c r="V90" s="4"/>
    </row>
    <row r="91">
      <c r="A91" s="1" t="s">
        <v>3312</v>
      </c>
      <c r="B91" s="1" t="s">
        <v>3313</v>
      </c>
      <c r="C91" s="1" t="s">
        <v>3314</v>
      </c>
      <c r="D91" s="1" t="s">
        <v>2463</v>
      </c>
      <c r="E91" s="1" t="s">
        <v>2464</v>
      </c>
      <c r="F91" s="1">
        <v>580193.0</v>
      </c>
      <c r="G91" s="1">
        <v>28900.0</v>
      </c>
      <c r="H91" s="1">
        <v>937.0</v>
      </c>
      <c r="I91" s="1">
        <v>2.55E7</v>
      </c>
      <c r="J91" s="1" t="s">
        <v>2468</v>
      </c>
      <c r="K91" s="5">
        <f t="shared" si="2"/>
        <v>0.02275266667</v>
      </c>
      <c r="L91" s="6">
        <f t="shared" si="3"/>
        <v>451</v>
      </c>
      <c r="M91" s="6">
        <f t="shared" si="4"/>
        <v>1286.45898</v>
      </c>
      <c r="N91" s="7">
        <f t="shared" si="5"/>
        <v>0.00005044937177</v>
      </c>
      <c r="O91" s="7"/>
      <c r="P91" s="4">
        <f t="shared" si="6"/>
        <v>-0.4139912493</v>
      </c>
      <c r="Q91" s="4">
        <f t="shared" si="7"/>
        <v>10</v>
      </c>
      <c r="R91" s="4">
        <f t="shared" si="8"/>
        <v>0</v>
      </c>
      <c r="S91" s="4">
        <f t="shared" si="9"/>
        <v>-0.4139912493</v>
      </c>
      <c r="T91" s="4">
        <f t="shared" si="10"/>
        <v>33</v>
      </c>
      <c r="U91" s="4">
        <f t="shared" si="1"/>
        <v>-0.4139912493</v>
      </c>
      <c r="V91" s="4"/>
    </row>
    <row r="92">
      <c r="A92" s="1" t="s">
        <v>3315</v>
      </c>
      <c r="B92" s="1" t="s">
        <v>3316</v>
      </c>
      <c r="C92" s="1" t="s">
        <v>3317</v>
      </c>
      <c r="D92" s="1" t="s">
        <v>2463</v>
      </c>
      <c r="E92" s="1" t="s">
        <v>2464</v>
      </c>
      <c r="F92" s="1">
        <v>6393578.0</v>
      </c>
      <c r="G92" s="1">
        <v>169394.0</v>
      </c>
      <c r="H92" s="1">
        <v>9120.0</v>
      </c>
      <c r="I92" s="1">
        <v>2.55E7</v>
      </c>
      <c r="J92" s="1" t="s">
        <v>2468</v>
      </c>
      <c r="K92" s="5">
        <f t="shared" si="2"/>
        <v>0.250728549</v>
      </c>
      <c r="L92" s="6">
        <f t="shared" si="3"/>
        <v>457</v>
      </c>
      <c r="M92" s="6">
        <f t="shared" si="4"/>
        <v>13990.32385</v>
      </c>
      <c r="N92" s="7">
        <f t="shared" si="5"/>
        <v>0.000548640151</v>
      </c>
      <c r="O92" s="7"/>
      <c r="P92" s="4">
        <f t="shared" si="6"/>
        <v>-0.06308388487</v>
      </c>
      <c r="Q92" s="4">
        <f t="shared" si="7"/>
        <v>8</v>
      </c>
      <c r="R92" s="4">
        <f t="shared" si="8"/>
        <v>0</v>
      </c>
      <c r="S92" s="4">
        <f t="shared" si="9"/>
        <v>-0.06308388487</v>
      </c>
      <c r="T92" s="4">
        <f t="shared" si="10"/>
        <v>49</v>
      </c>
      <c r="U92" s="4">
        <f t="shared" si="1"/>
        <v>-0.06308388487</v>
      </c>
      <c r="V92" s="4"/>
    </row>
    <row r="93">
      <c r="A93" s="1" t="s">
        <v>3318</v>
      </c>
      <c r="B93" s="1" t="s">
        <v>3319</v>
      </c>
      <c r="C93" s="1" t="s">
        <v>3320</v>
      </c>
      <c r="D93" s="1" t="s">
        <v>2463</v>
      </c>
      <c r="E93" s="1" t="s">
        <v>2464</v>
      </c>
      <c r="F93" s="1">
        <v>2854942.0</v>
      </c>
      <c r="G93" s="1">
        <v>107728.0</v>
      </c>
      <c r="H93" s="1">
        <v>1612.0</v>
      </c>
      <c r="I93" s="1">
        <v>2.55E7</v>
      </c>
      <c r="J93" s="1" t="s">
        <v>2468</v>
      </c>
      <c r="K93" s="5">
        <f t="shared" si="2"/>
        <v>0.1119585098</v>
      </c>
      <c r="L93" s="6">
        <f t="shared" si="3"/>
        <v>462</v>
      </c>
      <c r="M93" s="6">
        <f t="shared" si="4"/>
        <v>6179.528139</v>
      </c>
      <c r="N93" s="7">
        <f t="shared" si="5"/>
        <v>0.0002423344368</v>
      </c>
      <c r="O93" s="7"/>
      <c r="P93" s="4">
        <f t="shared" si="6"/>
        <v>-0.2788344274</v>
      </c>
      <c r="Q93" s="4">
        <f t="shared" si="7"/>
        <v>7</v>
      </c>
      <c r="R93" s="4">
        <f t="shared" si="8"/>
        <v>2</v>
      </c>
      <c r="S93" s="4">
        <f t="shared" si="9"/>
        <v>-0.2788344274</v>
      </c>
      <c r="T93" s="4">
        <f t="shared" si="10"/>
        <v>31</v>
      </c>
      <c r="U93" s="4">
        <f t="shared" si="1"/>
        <v>-0.2788344274</v>
      </c>
      <c r="V93" s="4"/>
    </row>
    <row r="94">
      <c r="A94" s="1" t="s">
        <v>3321</v>
      </c>
      <c r="B94" s="1" t="s">
        <v>3322</v>
      </c>
      <c r="C94" s="1" t="s">
        <v>3323</v>
      </c>
      <c r="D94" s="1" t="s">
        <v>2463</v>
      </c>
      <c r="E94" s="1" t="s">
        <v>2464</v>
      </c>
      <c r="F94" s="1">
        <v>9637152.0</v>
      </c>
      <c r="G94" s="1">
        <v>367571.0</v>
      </c>
      <c r="H94" s="1">
        <v>22579.0</v>
      </c>
      <c r="I94" s="1">
        <v>2.55E7</v>
      </c>
      <c r="J94" s="1" t="s">
        <v>2468</v>
      </c>
      <c r="K94" s="5">
        <f t="shared" si="2"/>
        <v>0.3779275294</v>
      </c>
      <c r="L94" s="6">
        <f t="shared" si="3"/>
        <v>471</v>
      </c>
      <c r="M94" s="6">
        <f t="shared" si="4"/>
        <v>20461.04459</v>
      </c>
      <c r="N94" s="7">
        <f t="shared" si="5"/>
        <v>0.0008023939053</v>
      </c>
      <c r="O94" s="7"/>
      <c r="P94" s="4">
        <f t="shared" si="6"/>
        <v>0.1156509791</v>
      </c>
      <c r="Q94" s="4">
        <f t="shared" si="7"/>
        <v>6</v>
      </c>
      <c r="R94" s="4">
        <f t="shared" si="8"/>
        <v>1</v>
      </c>
      <c r="S94" s="4">
        <f t="shared" si="9"/>
        <v>0.1156509791</v>
      </c>
      <c r="T94" s="4">
        <f t="shared" si="10"/>
        <v>25</v>
      </c>
      <c r="U94" s="4">
        <f t="shared" si="1"/>
        <v>0.1156509791</v>
      </c>
      <c r="V94" s="4"/>
    </row>
    <row r="95">
      <c r="A95" s="1" t="s">
        <v>3324</v>
      </c>
      <c r="B95" s="1" t="s">
        <v>3325</v>
      </c>
      <c r="C95" s="1" t="s">
        <v>3326</v>
      </c>
      <c r="D95" s="1" t="s">
        <v>2463</v>
      </c>
      <c r="E95" s="1" t="s">
        <v>2464</v>
      </c>
      <c r="F95" s="1">
        <v>1245541.0</v>
      </c>
      <c r="G95" s="1">
        <v>66761.0</v>
      </c>
      <c r="H95" s="1">
        <v>1109.0</v>
      </c>
      <c r="I95" s="1">
        <v>2.55E7</v>
      </c>
      <c r="J95" s="1" t="s">
        <v>2468</v>
      </c>
      <c r="K95" s="5">
        <f t="shared" si="2"/>
        <v>0.0488447451</v>
      </c>
      <c r="L95" s="6">
        <f t="shared" si="3"/>
        <v>476</v>
      </c>
      <c r="M95" s="6">
        <f t="shared" si="4"/>
        <v>2616.682773</v>
      </c>
      <c r="N95" s="7">
        <f t="shared" si="5"/>
        <v>0.0001026150107</v>
      </c>
      <c r="O95" s="7"/>
      <c r="P95" s="4">
        <f t="shared" si="6"/>
        <v>-0.3772476811</v>
      </c>
      <c r="Q95" s="4">
        <f t="shared" si="7"/>
        <v>6</v>
      </c>
      <c r="R95" s="4">
        <f t="shared" si="8"/>
        <v>0</v>
      </c>
      <c r="S95" s="4">
        <f t="shared" si="9"/>
        <v>-0.3772476811</v>
      </c>
      <c r="T95" s="4">
        <f t="shared" si="10"/>
        <v>31</v>
      </c>
      <c r="U95" s="4">
        <f t="shared" si="1"/>
        <v>-0.3772476811</v>
      </c>
      <c r="V95" s="4"/>
    </row>
    <row r="96">
      <c r="A96" s="1" t="s">
        <v>3826</v>
      </c>
      <c r="B96" s="1" t="s">
        <v>3827</v>
      </c>
      <c r="C96" s="1" t="s">
        <v>3828</v>
      </c>
      <c r="D96" s="1" t="s">
        <v>3632</v>
      </c>
      <c r="E96" s="1" t="s">
        <v>3633</v>
      </c>
      <c r="F96" s="1">
        <v>1869.0</v>
      </c>
      <c r="G96" s="1">
        <v>37.0</v>
      </c>
      <c r="H96" s="1">
        <v>1.0</v>
      </c>
      <c r="I96" s="1">
        <v>9430000.0</v>
      </c>
      <c r="J96" s="1" t="s">
        <v>2468</v>
      </c>
      <c r="K96" s="5">
        <f t="shared" si="2"/>
        <v>0.0001981972428</v>
      </c>
      <c r="L96" s="6">
        <f t="shared" si="3"/>
        <v>38</v>
      </c>
      <c r="M96" s="6">
        <f t="shared" si="4"/>
        <v>49.18421053</v>
      </c>
      <c r="N96" s="7">
        <f t="shared" si="5"/>
        <v>0.000005215716917</v>
      </c>
      <c r="O96" s="7"/>
      <c r="P96" s="4">
        <f t="shared" si="6"/>
        <v>-0.4458521815</v>
      </c>
      <c r="Q96" s="4">
        <f t="shared" si="7"/>
        <v>10</v>
      </c>
      <c r="R96" s="4">
        <f t="shared" si="8"/>
        <v>0</v>
      </c>
      <c r="S96" s="4">
        <f t="shared" si="9"/>
        <v>-0.4458521815</v>
      </c>
      <c r="T96" s="4">
        <f t="shared" si="10"/>
        <v>48</v>
      </c>
      <c r="U96" s="4">
        <f t="shared" si="1"/>
        <v>-0.4458521815</v>
      </c>
      <c r="V96" s="4"/>
    </row>
    <row r="97">
      <c r="A97" s="1" t="s">
        <v>3829</v>
      </c>
      <c r="B97" s="1" t="s">
        <v>3830</v>
      </c>
      <c r="C97" s="1" t="s">
        <v>3831</v>
      </c>
      <c r="D97" s="1" t="s">
        <v>3632</v>
      </c>
      <c r="E97" s="1" t="s">
        <v>3633</v>
      </c>
      <c r="F97" s="1">
        <v>1261.0</v>
      </c>
      <c r="G97" s="1">
        <v>26.0</v>
      </c>
      <c r="H97" s="1">
        <v>3.0</v>
      </c>
      <c r="I97" s="1">
        <v>9430000.0</v>
      </c>
      <c r="J97" s="1" t="s">
        <v>2468</v>
      </c>
      <c r="K97" s="5">
        <f t="shared" si="2"/>
        <v>0.0001337221633</v>
      </c>
      <c r="L97" s="6">
        <f t="shared" si="3"/>
        <v>38</v>
      </c>
      <c r="M97" s="6">
        <f t="shared" si="4"/>
        <v>33.18421053</v>
      </c>
      <c r="N97" s="7">
        <f t="shared" si="5"/>
        <v>0.000003519004298</v>
      </c>
      <c r="O97" s="7"/>
      <c r="P97" s="4">
        <f t="shared" si="6"/>
        <v>-0.4470472838</v>
      </c>
      <c r="Q97" s="4">
        <f t="shared" si="7"/>
        <v>10</v>
      </c>
      <c r="R97" s="4">
        <f t="shared" si="8"/>
        <v>0</v>
      </c>
      <c r="S97" s="4">
        <f t="shared" si="9"/>
        <v>-0.4470472838</v>
      </c>
      <c r="T97" s="4">
        <f t="shared" si="10"/>
        <v>48</v>
      </c>
      <c r="U97" s="4">
        <f t="shared" si="1"/>
        <v>-0.4470472838</v>
      </c>
      <c r="V97" s="4"/>
    </row>
    <row r="98">
      <c r="A98" s="1" t="s">
        <v>3832</v>
      </c>
      <c r="B98" s="1" t="s">
        <v>3833</v>
      </c>
      <c r="C98" s="1" t="s">
        <v>3834</v>
      </c>
      <c r="D98" s="1" t="s">
        <v>3632</v>
      </c>
      <c r="E98" s="1" t="s">
        <v>3633</v>
      </c>
      <c r="F98" s="1">
        <v>875.0</v>
      </c>
      <c r="G98" s="1">
        <v>12.0</v>
      </c>
      <c r="H98" s="1">
        <v>1.0</v>
      </c>
      <c r="I98" s="1">
        <v>9430000.0</v>
      </c>
      <c r="J98" s="1" t="s">
        <v>2468</v>
      </c>
      <c r="K98" s="5">
        <f t="shared" si="2"/>
        <v>0.00009278897137</v>
      </c>
      <c r="L98" s="6">
        <f t="shared" si="3"/>
        <v>38</v>
      </c>
      <c r="M98" s="6">
        <f t="shared" si="4"/>
        <v>23.02631579</v>
      </c>
      <c r="N98" s="7">
        <f t="shared" si="5"/>
        <v>0.000002441815036</v>
      </c>
      <c r="O98" s="7"/>
      <c r="P98" s="4">
        <f t="shared" si="6"/>
        <v>-0.4478060165</v>
      </c>
      <c r="Q98" s="4">
        <f t="shared" si="7"/>
        <v>11</v>
      </c>
      <c r="R98" s="4">
        <f t="shared" si="8"/>
        <v>0</v>
      </c>
      <c r="S98" s="4">
        <f t="shared" si="9"/>
        <v>-0.4478060165</v>
      </c>
      <c r="T98" s="4">
        <f t="shared" si="10"/>
        <v>66</v>
      </c>
      <c r="U98" s="4">
        <f t="shared" si="1"/>
        <v>-0.4478060165</v>
      </c>
      <c r="V98" s="4"/>
    </row>
    <row r="99">
      <c r="A99" s="1" t="s">
        <v>3835</v>
      </c>
      <c r="B99" s="1" t="s">
        <v>3836</v>
      </c>
      <c r="C99" s="1" t="s">
        <v>3837</v>
      </c>
      <c r="D99" s="1" t="s">
        <v>3632</v>
      </c>
      <c r="E99" s="1" t="s">
        <v>3633</v>
      </c>
      <c r="F99" s="1">
        <v>786.0</v>
      </c>
      <c r="G99" s="1">
        <v>17.0</v>
      </c>
      <c r="H99" s="1">
        <v>2.0</v>
      </c>
      <c r="I99" s="1">
        <v>9430000.0</v>
      </c>
      <c r="J99" s="1" t="s">
        <v>2468</v>
      </c>
      <c r="K99" s="5">
        <f t="shared" si="2"/>
        <v>0.00008335100742</v>
      </c>
      <c r="L99" s="6">
        <f t="shared" si="3"/>
        <v>38</v>
      </c>
      <c r="M99" s="6">
        <f t="shared" si="4"/>
        <v>20.68421053</v>
      </c>
      <c r="N99" s="7">
        <f t="shared" si="5"/>
        <v>0.000002193447564</v>
      </c>
      <c r="O99" s="7"/>
      <c r="P99" s="4">
        <f t="shared" si="6"/>
        <v>-0.4479809575</v>
      </c>
      <c r="Q99" s="4">
        <f t="shared" si="7"/>
        <v>11</v>
      </c>
      <c r="R99" s="4">
        <f t="shared" si="8"/>
        <v>0</v>
      </c>
      <c r="S99" s="4">
        <f t="shared" si="9"/>
        <v>-0.4479809575</v>
      </c>
      <c r="T99" s="4">
        <f t="shared" si="10"/>
        <v>64</v>
      </c>
      <c r="U99" s="4">
        <f t="shared" si="1"/>
        <v>-0.4479809575</v>
      </c>
      <c r="V99" s="4"/>
    </row>
    <row r="100">
      <c r="A100" s="1" t="s">
        <v>3838</v>
      </c>
      <c r="B100" s="1" t="s">
        <v>3839</v>
      </c>
      <c r="C100" s="1" t="s">
        <v>3840</v>
      </c>
      <c r="D100" s="1" t="s">
        <v>3632</v>
      </c>
      <c r="E100" s="1" t="s">
        <v>3633</v>
      </c>
      <c r="F100" s="1">
        <v>870.0</v>
      </c>
      <c r="G100" s="1">
        <v>26.0</v>
      </c>
      <c r="H100" s="1">
        <v>5.0</v>
      </c>
      <c r="I100" s="1">
        <v>9430000.0</v>
      </c>
      <c r="J100" s="1" t="s">
        <v>2468</v>
      </c>
      <c r="K100" s="5">
        <f t="shared" si="2"/>
        <v>0.00009225874867</v>
      </c>
      <c r="L100" s="6">
        <f t="shared" si="3"/>
        <v>38</v>
      </c>
      <c r="M100" s="6">
        <f t="shared" si="4"/>
        <v>22.89473684</v>
      </c>
      <c r="N100" s="7">
        <f t="shared" si="5"/>
        <v>0.000002427861807</v>
      </c>
      <c r="O100" s="7"/>
      <c r="P100" s="4">
        <f t="shared" si="6"/>
        <v>-0.4478158447</v>
      </c>
      <c r="Q100" s="4">
        <f t="shared" si="7"/>
        <v>8</v>
      </c>
      <c r="R100" s="4">
        <f t="shared" si="8"/>
        <v>0</v>
      </c>
      <c r="S100" s="4">
        <f t="shared" si="9"/>
        <v>-0.4478158447</v>
      </c>
      <c r="T100" s="4">
        <f t="shared" si="10"/>
        <v>44</v>
      </c>
      <c r="U100" s="4">
        <f t="shared" si="1"/>
        <v>-0.4478158447</v>
      </c>
      <c r="V100" s="4"/>
    </row>
    <row r="101">
      <c r="A101" s="1" t="s">
        <v>3841</v>
      </c>
      <c r="B101" s="1" t="s">
        <v>3842</v>
      </c>
      <c r="C101" s="1" t="s">
        <v>3843</v>
      </c>
      <c r="D101" s="1" t="s">
        <v>3632</v>
      </c>
      <c r="E101" s="1" t="s">
        <v>3633</v>
      </c>
      <c r="F101" s="1">
        <v>1189.0</v>
      </c>
      <c r="G101" s="1">
        <v>22.0</v>
      </c>
      <c r="H101" s="1">
        <v>3.0</v>
      </c>
      <c r="I101" s="1">
        <v>9430000.0</v>
      </c>
      <c r="J101" s="1" t="s">
        <v>2468</v>
      </c>
      <c r="K101" s="5">
        <f t="shared" si="2"/>
        <v>0.0001260869565</v>
      </c>
      <c r="L101" s="6">
        <f t="shared" si="3"/>
        <v>38</v>
      </c>
      <c r="M101" s="6">
        <f t="shared" si="4"/>
        <v>31.28947368</v>
      </c>
      <c r="N101" s="7">
        <f t="shared" si="5"/>
        <v>0.000003318077803</v>
      </c>
      <c r="O101" s="7"/>
      <c r="P101" s="4">
        <f t="shared" si="6"/>
        <v>-0.4471888091</v>
      </c>
      <c r="Q101" s="4">
        <f t="shared" si="7"/>
        <v>9</v>
      </c>
      <c r="R101" s="4">
        <f t="shared" si="8"/>
        <v>0</v>
      </c>
      <c r="S101" s="4">
        <f t="shared" si="9"/>
        <v>-0.4471888091</v>
      </c>
      <c r="T101" s="4">
        <f t="shared" si="10"/>
        <v>48</v>
      </c>
      <c r="U101" s="4">
        <f t="shared" si="1"/>
        <v>-0.4471888091</v>
      </c>
      <c r="V101" s="4"/>
    </row>
    <row r="102">
      <c r="A102" s="1" t="s">
        <v>3844</v>
      </c>
      <c r="B102" s="1" t="s">
        <v>3845</v>
      </c>
      <c r="C102" s="1" t="s">
        <v>3846</v>
      </c>
      <c r="D102" s="1" t="s">
        <v>3632</v>
      </c>
      <c r="E102" s="1" t="s">
        <v>3633</v>
      </c>
      <c r="F102" s="1">
        <v>1457.0</v>
      </c>
      <c r="G102" s="1">
        <v>47.0</v>
      </c>
      <c r="H102" s="1">
        <v>3.0</v>
      </c>
      <c r="I102" s="1">
        <v>9430000.0</v>
      </c>
      <c r="J102" s="1" t="s">
        <v>2468</v>
      </c>
      <c r="K102" s="5">
        <f t="shared" si="2"/>
        <v>0.0001545068929</v>
      </c>
      <c r="L102" s="6">
        <f t="shared" si="3"/>
        <v>38</v>
      </c>
      <c r="M102" s="6">
        <f t="shared" si="4"/>
        <v>38.34210526</v>
      </c>
      <c r="N102" s="7">
        <f t="shared" si="5"/>
        <v>0.000004065970866</v>
      </c>
      <c r="O102" s="7"/>
      <c r="P102" s="4">
        <f t="shared" si="6"/>
        <v>-0.4466620205</v>
      </c>
      <c r="Q102" s="4">
        <f t="shared" si="7"/>
        <v>8</v>
      </c>
      <c r="R102" s="4">
        <f t="shared" si="8"/>
        <v>0</v>
      </c>
      <c r="S102" s="4">
        <f t="shared" si="9"/>
        <v>-0.4466620205</v>
      </c>
      <c r="T102" s="4">
        <f t="shared" si="10"/>
        <v>44</v>
      </c>
      <c r="U102" s="4">
        <f t="shared" si="1"/>
        <v>-0.4466620205</v>
      </c>
      <c r="V102" s="4"/>
    </row>
    <row r="103">
      <c r="A103" s="1" t="s">
        <v>3847</v>
      </c>
      <c r="B103" s="1" t="s">
        <v>3848</v>
      </c>
      <c r="C103" s="1" t="s">
        <v>3849</v>
      </c>
      <c r="D103" s="1" t="s">
        <v>3632</v>
      </c>
      <c r="E103" s="1" t="s">
        <v>3633</v>
      </c>
      <c r="F103" s="1">
        <v>1468.0</v>
      </c>
      <c r="G103" s="1">
        <v>36.0</v>
      </c>
      <c r="H103" s="1">
        <v>4.0</v>
      </c>
      <c r="I103" s="1">
        <v>9430000.0</v>
      </c>
      <c r="J103" s="1" t="s">
        <v>2468</v>
      </c>
      <c r="K103" s="5">
        <f t="shared" si="2"/>
        <v>0.0001556733828</v>
      </c>
      <c r="L103" s="6">
        <f t="shared" si="3"/>
        <v>38</v>
      </c>
      <c r="M103" s="6">
        <f t="shared" si="4"/>
        <v>38.63157895</v>
      </c>
      <c r="N103" s="7">
        <f t="shared" si="5"/>
        <v>0.000004096667969</v>
      </c>
      <c r="O103" s="7"/>
      <c r="P103" s="4">
        <f t="shared" si="6"/>
        <v>-0.4466403986</v>
      </c>
      <c r="Q103" s="4">
        <f t="shared" si="7"/>
        <v>10</v>
      </c>
      <c r="R103" s="4">
        <f t="shared" si="8"/>
        <v>0</v>
      </c>
      <c r="S103" s="4">
        <f t="shared" si="9"/>
        <v>-0.4466403986</v>
      </c>
      <c r="T103" s="4">
        <f t="shared" si="10"/>
        <v>43</v>
      </c>
      <c r="U103" s="4">
        <f t="shared" si="1"/>
        <v>-0.4466403986</v>
      </c>
      <c r="V103" s="4"/>
    </row>
    <row r="104">
      <c r="A104" s="1" t="s">
        <v>3850</v>
      </c>
      <c r="B104" s="1" t="s">
        <v>3851</v>
      </c>
      <c r="C104" s="1" t="s">
        <v>3852</v>
      </c>
      <c r="D104" s="1" t="s">
        <v>3632</v>
      </c>
      <c r="E104" s="1" t="s">
        <v>3633</v>
      </c>
      <c r="F104" s="1">
        <v>2053.0</v>
      </c>
      <c r="G104" s="1">
        <v>57.0</v>
      </c>
      <c r="H104" s="1">
        <v>6.0</v>
      </c>
      <c r="I104" s="1">
        <v>9430000.0</v>
      </c>
      <c r="J104" s="1" t="s">
        <v>2468</v>
      </c>
      <c r="K104" s="5">
        <f t="shared" si="2"/>
        <v>0.000217709438</v>
      </c>
      <c r="L104" s="6">
        <f t="shared" si="3"/>
        <v>38</v>
      </c>
      <c r="M104" s="6">
        <f t="shared" si="4"/>
        <v>54.02631579</v>
      </c>
      <c r="N104" s="7">
        <f t="shared" si="5"/>
        <v>0.000005729195736</v>
      </c>
      <c r="O104" s="7"/>
      <c r="P104" s="4">
        <f t="shared" si="6"/>
        <v>-0.4454905058</v>
      </c>
      <c r="Q104" s="4">
        <f t="shared" si="7"/>
        <v>10</v>
      </c>
      <c r="R104" s="4">
        <f t="shared" si="8"/>
        <v>0</v>
      </c>
      <c r="S104" s="4">
        <f t="shared" si="9"/>
        <v>-0.4454905058</v>
      </c>
      <c r="T104" s="4">
        <f t="shared" si="10"/>
        <v>43</v>
      </c>
      <c r="U104" s="4">
        <f t="shared" si="1"/>
        <v>-0.4454905058</v>
      </c>
      <c r="V104" s="4"/>
    </row>
    <row r="105">
      <c r="A105" s="1" t="s">
        <v>3853</v>
      </c>
      <c r="B105" s="1" t="s">
        <v>3854</v>
      </c>
      <c r="C105" s="1" t="s">
        <v>3855</v>
      </c>
      <c r="D105" s="1" t="s">
        <v>3632</v>
      </c>
      <c r="E105" s="1" t="s">
        <v>3633</v>
      </c>
      <c r="F105" s="1">
        <v>3634.0</v>
      </c>
      <c r="G105" s="1">
        <v>97.0</v>
      </c>
      <c r="H105" s="1">
        <v>4.0</v>
      </c>
      <c r="I105" s="1">
        <v>9430000.0</v>
      </c>
      <c r="J105" s="1" t="s">
        <v>2468</v>
      </c>
      <c r="K105" s="5">
        <f t="shared" si="2"/>
        <v>0.0003853658537</v>
      </c>
      <c r="L105" s="6">
        <f t="shared" si="3"/>
        <v>39</v>
      </c>
      <c r="M105" s="6">
        <f t="shared" si="4"/>
        <v>93.17948718</v>
      </c>
      <c r="N105" s="7">
        <f t="shared" si="5"/>
        <v>0.000009881175735</v>
      </c>
      <c r="O105" s="7"/>
      <c r="P105" s="4">
        <f t="shared" si="6"/>
        <v>-0.4425660029</v>
      </c>
      <c r="Q105" s="4">
        <f t="shared" si="7"/>
        <v>10</v>
      </c>
      <c r="R105" s="4">
        <f t="shared" si="8"/>
        <v>0</v>
      </c>
      <c r="S105" s="4">
        <f t="shared" si="9"/>
        <v>-0.4425660029</v>
      </c>
      <c r="T105" s="4">
        <f t="shared" si="10"/>
        <v>45</v>
      </c>
      <c r="U105" s="4">
        <f t="shared" si="1"/>
        <v>-0.4425660029</v>
      </c>
      <c r="V105" s="4"/>
    </row>
    <row r="106">
      <c r="A106" s="1" t="s">
        <v>3856</v>
      </c>
      <c r="B106" s="1" t="s">
        <v>3857</v>
      </c>
      <c r="C106" s="1" t="s">
        <v>3858</v>
      </c>
      <c r="D106" s="1" t="s">
        <v>3632</v>
      </c>
      <c r="E106" s="1" t="s">
        <v>3633</v>
      </c>
      <c r="F106" s="1">
        <v>2940.0</v>
      </c>
      <c r="G106" s="1">
        <v>61.0</v>
      </c>
      <c r="H106" s="1">
        <v>3.0</v>
      </c>
      <c r="I106" s="1">
        <v>9430000.0</v>
      </c>
      <c r="J106" s="1" t="s">
        <v>2468</v>
      </c>
      <c r="K106" s="5">
        <f t="shared" si="2"/>
        <v>0.0003117709438</v>
      </c>
      <c r="L106" s="6">
        <f t="shared" si="3"/>
        <v>41</v>
      </c>
      <c r="M106" s="6">
        <f t="shared" si="4"/>
        <v>71.70731707</v>
      </c>
      <c r="N106" s="7">
        <f t="shared" si="5"/>
        <v>0.000007604169361</v>
      </c>
      <c r="O106" s="7"/>
      <c r="P106" s="4">
        <f t="shared" si="6"/>
        <v>-0.4441698429</v>
      </c>
      <c r="Q106" s="4">
        <f t="shared" si="7"/>
        <v>13</v>
      </c>
      <c r="R106" s="4">
        <f t="shared" si="8"/>
        <v>0</v>
      </c>
      <c r="S106" s="4">
        <f t="shared" si="9"/>
        <v>-0.4441698429</v>
      </c>
      <c r="T106" s="4">
        <f t="shared" si="10"/>
        <v>64</v>
      </c>
      <c r="U106" s="4">
        <f t="shared" si="1"/>
        <v>-0.4441698429</v>
      </c>
      <c r="V106" s="4"/>
    </row>
    <row r="107">
      <c r="A107" s="1" t="s">
        <v>3859</v>
      </c>
      <c r="B107" s="1" t="s">
        <v>3860</v>
      </c>
      <c r="C107" s="1" t="s">
        <v>3861</v>
      </c>
      <c r="D107" s="1" t="s">
        <v>3632</v>
      </c>
      <c r="E107" s="1" t="s">
        <v>3633</v>
      </c>
      <c r="F107" s="1">
        <v>2006.0</v>
      </c>
      <c r="G107" s="1">
        <v>34.0</v>
      </c>
      <c r="H107" s="1">
        <v>4.0</v>
      </c>
      <c r="I107" s="1">
        <v>9430000.0</v>
      </c>
      <c r="J107" s="1" t="s">
        <v>2468</v>
      </c>
      <c r="K107" s="5">
        <f t="shared" si="2"/>
        <v>0.0002127253446</v>
      </c>
      <c r="L107" s="6">
        <f t="shared" si="3"/>
        <v>42</v>
      </c>
      <c r="M107" s="6">
        <f t="shared" si="4"/>
        <v>47.76190476</v>
      </c>
      <c r="N107" s="7">
        <f t="shared" si="5"/>
        <v>0.000005064889158</v>
      </c>
      <c r="O107" s="7"/>
      <c r="P107" s="4">
        <f t="shared" si="6"/>
        <v>-0.445958419</v>
      </c>
      <c r="Q107" s="4">
        <f t="shared" si="7"/>
        <v>7</v>
      </c>
      <c r="R107" s="4">
        <f t="shared" si="8"/>
        <v>0</v>
      </c>
      <c r="S107" s="4">
        <f t="shared" si="9"/>
        <v>-0.445958419</v>
      </c>
      <c r="T107" s="4">
        <f t="shared" si="10"/>
        <v>32</v>
      </c>
      <c r="U107" s="4">
        <f t="shared" si="1"/>
        <v>-0.445958419</v>
      </c>
      <c r="V107" s="4"/>
    </row>
    <row r="108">
      <c r="A108" s="1" t="s">
        <v>3862</v>
      </c>
      <c r="B108" s="1" t="s">
        <v>3863</v>
      </c>
      <c r="C108" s="1" t="s">
        <v>3864</v>
      </c>
      <c r="D108" s="1" t="s">
        <v>3632</v>
      </c>
      <c r="E108" s="1" t="s">
        <v>3633</v>
      </c>
      <c r="F108" s="1">
        <v>2409.0</v>
      </c>
      <c r="G108" s="1">
        <v>43.0</v>
      </c>
      <c r="H108" s="1">
        <v>3.0</v>
      </c>
      <c r="I108" s="1">
        <v>9430000.0</v>
      </c>
      <c r="J108" s="1" t="s">
        <v>2468</v>
      </c>
      <c r="K108" s="5">
        <f t="shared" si="2"/>
        <v>0.0002554612937</v>
      </c>
      <c r="L108" s="6">
        <f t="shared" si="3"/>
        <v>43</v>
      </c>
      <c r="M108" s="6">
        <f t="shared" si="4"/>
        <v>56.02325581</v>
      </c>
      <c r="N108" s="7">
        <f t="shared" si="5"/>
        <v>0.00000594096032</v>
      </c>
      <c r="O108" s="7"/>
      <c r="P108" s="4">
        <f t="shared" si="6"/>
        <v>-0.4453413466</v>
      </c>
      <c r="Q108" s="4">
        <f t="shared" si="7"/>
        <v>13</v>
      </c>
      <c r="R108" s="4">
        <f t="shared" si="8"/>
        <v>0</v>
      </c>
      <c r="S108" s="4">
        <f t="shared" si="9"/>
        <v>-0.4453413466</v>
      </c>
      <c r="T108" s="4">
        <f t="shared" si="10"/>
        <v>64</v>
      </c>
      <c r="U108" s="4">
        <f t="shared" si="1"/>
        <v>-0.4453413466</v>
      </c>
      <c r="V108" s="4"/>
    </row>
    <row r="109">
      <c r="A109" s="1" t="s">
        <v>3865</v>
      </c>
      <c r="B109" s="1" t="s">
        <v>3866</v>
      </c>
      <c r="C109" s="1" t="s">
        <v>3867</v>
      </c>
      <c r="D109" s="1" t="s">
        <v>3632</v>
      </c>
      <c r="E109" s="1" t="s">
        <v>3633</v>
      </c>
      <c r="F109" s="1">
        <v>2065.0</v>
      </c>
      <c r="G109" s="1">
        <v>13.0</v>
      </c>
      <c r="H109" s="1">
        <v>3.0</v>
      </c>
      <c r="I109" s="1">
        <v>9430000.0</v>
      </c>
      <c r="J109" s="1" t="s">
        <v>2468</v>
      </c>
      <c r="K109" s="5">
        <f t="shared" si="2"/>
        <v>0.0002189819724</v>
      </c>
      <c r="L109" s="6">
        <f t="shared" si="3"/>
        <v>44</v>
      </c>
      <c r="M109" s="6">
        <f t="shared" si="4"/>
        <v>46.93181818</v>
      </c>
      <c r="N109" s="7">
        <f t="shared" si="5"/>
        <v>0.00000497686301</v>
      </c>
      <c r="O109" s="7"/>
      <c r="P109" s="4">
        <f t="shared" si="6"/>
        <v>-0.4460204214</v>
      </c>
      <c r="Q109" s="4">
        <f t="shared" si="7"/>
        <v>13</v>
      </c>
      <c r="R109" s="4">
        <f t="shared" si="8"/>
        <v>0</v>
      </c>
      <c r="S109" s="4">
        <f t="shared" si="9"/>
        <v>-0.4460204214</v>
      </c>
      <c r="T109" s="4">
        <f t="shared" si="10"/>
        <v>61</v>
      </c>
      <c r="U109" s="4">
        <f t="shared" si="1"/>
        <v>-0.4460204214</v>
      </c>
      <c r="V109" s="4"/>
    </row>
    <row r="110">
      <c r="A110" s="1" t="s">
        <v>3868</v>
      </c>
      <c r="B110" s="1" t="s">
        <v>3869</v>
      </c>
      <c r="C110" s="1" t="s">
        <v>3870</v>
      </c>
      <c r="D110" s="1" t="s">
        <v>3632</v>
      </c>
      <c r="E110" s="1" t="s">
        <v>3633</v>
      </c>
      <c r="F110" s="1">
        <v>1195.0</v>
      </c>
      <c r="G110" s="1">
        <v>14.0</v>
      </c>
      <c r="H110" s="1">
        <v>0.0</v>
      </c>
      <c r="I110" s="1">
        <v>9430000.0</v>
      </c>
      <c r="J110" s="1" t="s">
        <v>2468</v>
      </c>
      <c r="K110" s="5">
        <f t="shared" si="2"/>
        <v>0.0001267232238</v>
      </c>
      <c r="L110" s="6">
        <f t="shared" si="3"/>
        <v>44</v>
      </c>
      <c r="M110" s="6">
        <f t="shared" si="4"/>
        <v>27.15909091</v>
      </c>
      <c r="N110" s="7">
        <f t="shared" si="5"/>
        <v>0.000002880073267</v>
      </c>
      <c r="O110" s="7"/>
      <c r="P110" s="4">
        <f t="shared" si="6"/>
        <v>-0.4474973234</v>
      </c>
      <c r="Q110" s="4">
        <f t="shared" si="7"/>
        <v>13</v>
      </c>
      <c r="R110" s="4">
        <f t="shared" si="8"/>
        <v>0</v>
      </c>
      <c r="S110" s="4">
        <f t="shared" si="9"/>
        <v>-0.4474973234</v>
      </c>
      <c r="T110" s="4">
        <f t="shared" si="10"/>
        <v>54</v>
      </c>
      <c r="U110" s="4">
        <f t="shared" si="1"/>
        <v>-0.4474973234</v>
      </c>
      <c r="V110" s="4"/>
    </row>
    <row r="111">
      <c r="A111" s="1" t="s">
        <v>3871</v>
      </c>
      <c r="B111" s="1" t="s">
        <v>3872</v>
      </c>
      <c r="C111" s="1" t="s">
        <v>3873</v>
      </c>
      <c r="D111" s="1" t="s">
        <v>3632</v>
      </c>
      <c r="E111" s="1" t="s">
        <v>3633</v>
      </c>
      <c r="F111" s="1">
        <v>1064.0</v>
      </c>
      <c r="G111" s="1">
        <v>10.0</v>
      </c>
      <c r="H111" s="1">
        <v>0.0</v>
      </c>
      <c r="I111" s="1">
        <v>9430000.0</v>
      </c>
      <c r="J111" s="1" t="s">
        <v>2468</v>
      </c>
      <c r="K111" s="5">
        <f t="shared" si="2"/>
        <v>0.0001128313892</v>
      </c>
      <c r="L111" s="6">
        <f t="shared" si="3"/>
        <v>44</v>
      </c>
      <c r="M111" s="6">
        <f t="shared" si="4"/>
        <v>24.18181818</v>
      </c>
      <c r="N111" s="7">
        <f t="shared" si="5"/>
        <v>0.000002564349754</v>
      </c>
      <c r="O111" s="7"/>
      <c r="P111" s="4">
        <f t="shared" si="6"/>
        <v>-0.4477197075</v>
      </c>
      <c r="Q111" s="4">
        <f t="shared" si="7"/>
        <v>15</v>
      </c>
      <c r="R111" s="4">
        <f t="shared" si="8"/>
        <v>0</v>
      </c>
      <c r="S111" s="4">
        <f t="shared" si="9"/>
        <v>-0.4477197075</v>
      </c>
      <c r="T111" s="4">
        <f t="shared" si="10"/>
        <v>69</v>
      </c>
      <c r="U111" s="4">
        <f t="shared" si="1"/>
        <v>-0.4477197075</v>
      </c>
      <c r="V111" s="4"/>
    </row>
    <row r="112">
      <c r="A112" s="1" t="s">
        <v>3874</v>
      </c>
      <c r="B112" s="1" t="s">
        <v>3875</v>
      </c>
      <c r="C112" s="1" t="s">
        <v>3876</v>
      </c>
      <c r="D112" s="1" t="s">
        <v>3632</v>
      </c>
      <c r="E112" s="1" t="s">
        <v>3633</v>
      </c>
      <c r="F112" s="1">
        <v>899.0</v>
      </c>
      <c r="G112" s="1">
        <v>7.0</v>
      </c>
      <c r="H112" s="1">
        <v>0.0</v>
      </c>
      <c r="I112" s="1">
        <v>9430000.0</v>
      </c>
      <c r="J112" s="1" t="s">
        <v>2468</v>
      </c>
      <c r="K112" s="5">
        <f t="shared" si="2"/>
        <v>0.0000953340403</v>
      </c>
      <c r="L112" s="6">
        <f t="shared" si="3"/>
        <v>44</v>
      </c>
      <c r="M112" s="6">
        <f t="shared" si="4"/>
        <v>20.43181818</v>
      </c>
      <c r="N112" s="7">
        <f t="shared" si="5"/>
        <v>0.000002166682734</v>
      </c>
      <c r="O112" s="7"/>
      <c r="P112" s="4">
        <f t="shared" si="6"/>
        <v>-0.4479998096</v>
      </c>
      <c r="Q112" s="4">
        <f t="shared" si="7"/>
        <v>15</v>
      </c>
      <c r="R112" s="4">
        <f t="shared" si="8"/>
        <v>0</v>
      </c>
      <c r="S112" s="4">
        <f t="shared" si="9"/>
        <v>-0.4479998096</v>
      </c>
      <c r="T112" s="4">
        <f t="shared" si="10"/>
        <v>73</v>
      </c>
      <c r="U112" s="4">
        <f t="shared" si="1"/>
        <v>-0.4479998096</v>
      </c>
      <c r="V112" s="4"/>
    </row>
    <row r="113">
      <c r="A113" s="1" t="s">
        <v>3877</v>
      </c>
      <c r="B113" s="1" t="s">
        <v>3878</v>
      </c>
      <c r="C113" s="1" t="s">
        <v>3879</v>
      </c>
      <c r="D113" s="1" t="s">
        <v>3632</v>
      </c>
      <c r="E113" s="1" t="s">
        <v>3633</v>
      </c>
      <c r="F113" s="1">
        <v>750.0</v>
      </c>
      <c r="G113" s="1">
        <v>5.0</v>
      </c>
      <c r="H113" s="1">
        <v>0.0</v>
      </c>
      <c r="I113" s="1">
        <v>9430000.0</v>
      </c>
      <c r="J113" s="1" t="s">
        <v>2468</v>
      </c>
      <c r="K113" s="5">
        <f t="shared" si="2"/>
        <v>0.00007953340403</v>
      </c>
      <c r="L113" s="6">
        <f t="shared" si="3"/>
        <v>44</v>
      </c>
      <c r="M113" s="6">
        <f t="shared" si="4"/>
        <v>17.04545455</v>
      </c>
      <c r="N113" s="7">
        <f t="shared" si="5"/>
        <v>0.000001807577364</v>
      </c>
      <c r="O113" s="7"/>
      <c r="P113" s="4">
        <f t="shared" si="6"/>
        <v>-0.4482527503</v>
      </c>
      <c r="Q113" s="4">
        <f t="shared" si="7"/>
        <v>16</v>
      </c>
      <c r="R113" s="4">
        <f t="shared" si="8"/>
        <v>0</v>
      </c>
      <c r="S113" s="4">
        <f t="shared" si="9"/>
        <v>-0.4482527503</v>
      </c>
      <c r="T113" s="4">
        <f t="shared" si="10"/>
        <v>75</v>
      </c>
      <c r="U113" s="4">
        <f t="shared" si="1"/>
        <v>-0.4482527503</v>
      </c>
      <c r="V113" s="4"/>
    </row>
    <row r="114">
      <c r="A114" s="1" t="s">
        <v>3880</v>
      </c>
      <c r="B114" s="1" t="s">
        <v>3881</v>
      </c>
      <c r="C114" s="1" t="s">
        <v>3882</v>
      </c>
      <c r="D114" s="1" t="s">
        <v>3632</v>
      </c>
      <c r="E114" s="1" t="s">
        <v>3633</v>
      </c>
      <c r="F114" s="1">
        <v>703.0</v>
      </c>
      <c r="G114" s="1">
        <v>3.0</v>
      </c>
      <c r="H114" s="1">
        <v>0.0</v>
      </c>
      <c r="I114" s="1">
        <v>9430000.0</v>
      </c>
      <c r="J114" s="1" t="s">
        <v>2468</v>
      </c>
      <c r="K114" s="5">
        <f t="shared" si="2"/>
        <v>0.00007454931071</v>
      </c>
      <c r="L114" s="6">
        <f t="shared" si="3"/>
        <v>44</v>
      </c>
      <c r="M114" s="6">
        <f t="shared" si="4"/>
        <v>15.97727273</v>
      </c>
      <c r="N114" s="7">
        <f t="shared" si="5"/>
        <v>0.000001694302516</v>
      </c>
      <c r="O114" s="7"/>
      <c r="P114" s="4">
        <f t="shared" si="6"/>
        <v>-0.448332537</v>
      </c>
      <c r="Q114" s="4">
        <f t="shared" si="7"/>
        <v>14</v>
      </c>
      <c r="R114" s="4">
        <f t="shared" si="8"/>
        <v>0</v>
      </c>
      <c r="S114" s="4">
        <f t="shared" si="9"/>
        <v>-0.448332537</v>
      </c>
      <c r="T114" s="4">
        <f t="shared" si="10"/>
        <v>77</v>
      </c>
      <c r="U114" s="4">
        <f t="shared" si="1"/>
        <v>-0.448332537</v>
      </c>
      <c r="V114" s="4"/>
    </row>
    <row r="115">
      <c r="A115" s="1" t="s">
        <v>3883</v>
      </c>
      <c r="B115" s="1" t="s">
        <v>3884</v>
      </c>
      <c r="C115" s="1" t="s">
        <v>3885</v>
      </c>
      <c r="D115" s="1" t="s">
        <v>3632</v>
      </c>
      <c r="E115" s="1" t="s">
        <v>3633</v>
      </c>
      <c r="F115" s="1">
        <v>737.0</v>
      </c>
      <c r="G115" s="1">
        <v>6.0</v>
      </c>
      <c r="H115" s="1">
        <v>0.0</v>
      </c>
      <c r="I115" s="1">
        <v>9430000.0</v>
      </c>
      <c r="J115" s="1" t="s">
        <v>2468</v>
      </c>
      <c r="K115" s="5">
        <f t="shared" si="2"/>
        <v>0.00007815482503</v>
      </c>
      <c r="L115" s="6">
        <f t="shared" si="3"/>
        <v>44</v>
      </c>
      <c r="M115" s="6">
        <f t="shared" si="4"/>
        <v>16.75</v>
      </c>
      <c r="N115" s="7">
        <f t="shared" si="5"/>
        <v>0.000001776246023</v>
      </c>
      <c r="O115" s="7"/>
      <c r="P115" s="4">
        <f t="shared" si="6"/>
        <v>-0.448274819</v>
      </c>
      <c r="Q115" s="4">
        <f t="shared" si="7"/>
        <v>15</v>
      </c>
      <c r="R115" s="4">
        <f t="shared" si="8"/>
        <v>0</v>
      </c>
      <c r="S115" s="4">
        <f t="shared" si="9"/>
        <v>-0.448274819</v>
      </c>
      <c r="T115" s="4">
        <f t="shared" si="10"/>
        <v>67</v>
      </c>
      <c r="U115" s="4">
        <f t="shared" si="1"/>
        <v>-0.448274819</v>
      </c>
      <c r="V115" s="4"/>
    </row>
    <row r="116">
      <c r="A116" s="1" t="s">
        <v>3886</v>
      </c>
      <c r="B116" s="1" t="s">
        <v>3887</v>
      </c>
      <c r="C116" s="1" t="s">
        <v>3888</v>
      </c>
      <c r="D116" s="1" t="s">
        <v>3632</v>
      </c>
      <c r="E116" s="1" t="s">
        <v>3633</v>
      </c>
      <c r="F116" s="1">
        <v>635.0</v>
      </c>
      <c r="G116" s="1">
        <v>7.0</v>
      </c>
      <c r="H116" s="1">
        <v>0.0</v>
      </c>
      <c r="I116" s="1">
        <v>9430000.0</v>
      </c>
      <c r="J116" s="1" t="s">
        <v>2468</v>
      </c>
      <c r="K116" s="5">
        <f t="shared" si="2"/>
        <v>0.00006733828208</v>
      </c>
      <c r="L116" s="6">
        <f t="shared" si="3"/>
        <v>44</v>
      </c>
      <c r="M116" s="6">
        <f t="shared" si="4"/>
        <v>14.43181818</v>
      </c>
      <c r="N116" s="7">
        <f t="shared" si="5"/>
        <v>0.000001530415502</v>
      </c>
      <c r="O116" s="7"/>
      <c r="P116" s="4">
        <f t="shared" si="6"/>
        <v>-0.448447973</v>
      </c>
      <c r="Q116" s="4">
        <f t="shared" si="7"/>
        <v>14</v>
      </c>
      <c r="R116" s="4">
        <f t="shared" si="8"/>
        <v>0</v>
      </c>
      <c r="S116" s="4">
        <f t="shared" si="9"/>
        <v>-0.448447973</v>
      </c>
      <c r="T116" s="4">
        <f t="shared" si="10"/>
        <v>66</v>
      </c>
      <c r="U116" s="4">
        <f t="shared" si="1"/>
        <v>-0.448447973</v>
      </c>
      <c r="V116" s="4"/>
    </row>
    <row r="117">
      <c r="A117" s="1" t="s">
        <v>3889</v>
      </c>
      <c r="B117" s="1" t="s">
        <v>3890</v>
      </c>
      <c r="C117" s="1" t="s">
        <v>3891</v>
      </c>
      <c r="D117" s="1" t="s">
        <v>3632</v>
      </c>
      <c r="E117" s="1" t="s">
        <v>3633</v>
      </c>
      <c r="F117" s="1">
        <v>789.0</v>
      </c>
      <c r="G117" s="1">
        <v>3.0</v>
      </c>
      <c r="H117" s="1">
        <v>0.0</v>
      </c>
      <c r="I117" s="1">
        <v>9430000.0</v>
      </c>
      <c r="J117" s="1" t="s">
        <v>2468</v>
      </c>
      <c r="K117" s="5">
        <f t="shared" si="2"/>
        <v>0.00008366914104</v>
      </c>
      <c r="L117" s="6">
        <f t="shared" si="3"/>
        <v>44</v>
      </c>
      <c r="M117" s="6">
        <f t="shared" si="4"/>
        <v>17.93181818</v>
      </c>
      <c r="N117" s="7">
        <f t="shared" si="5"/>
        <v>0.000001901571387</v>
      </c>
      <c r="O117" s="7"/>
      <c r="P117" s="4">
        <f t="shared" si="6"/>
        <v>-0.4481865444</v>
      </c>
      <c r="Q117" s="4">
        <f t="shared" si="7"/>
        <v>16</v>
      </c>
      <c r="R117" s="4">
        <f t="shared" si="8"/>
        <v>0</v>
      </c>
      <c r="S117" s="4">
        <f t="shared" si="9"/>
        <v>-0.4481865444</v>
      </c>
      <c r="T117" s="4">
        <f t="shared" si="10"/>
        <v>78</v>
      </c>
      <c r="U117" s="4">
        <f t="shared" si="1"/>
        <v>-0.4481865444</v>
      </c>
      <c r="V117" s="4"/>
    </row>
    <row r="118">
      <c r="A118" s="1" t="s">
        <v>3892</v>
      </c>
      <c r="B118" s="1" t="s">
        <v>3893</v>
      </c>
      <c r="C118" s="1" t="s">
        <v>3894</v>
      </c>
      <c r="D118" s="1" t="s">
        <v>3632</v>
      </c>
      <c r="E118" s="1" t="s">
        <v>3633</v>
      </c>
      <c r="F118" s="1">
        <v>472.0</v>
      </c>
      <c r="G118" s="1">
        <v>3.0</v>
      </c>
      <c r="H118" s="1">
        <v>0.0</v>
      </c>
      <c r="I118" s="1">
        <v>9430000.0</v>
      </c>
      <c r="J118" s="1" t="s">
        <v>2468</v>
      </c>
      <c r="K118" s="5">
        <f t="shared" si="2"/>
        <v>0.00005005302227</v>
      </c>
      <c r="L118" s="6">
        <f t="shared" si="3"/>
        <v>44</v>
      </c>
      <c r="M118" s="6">
        <f t="shared" si="4"/>
        <v>10.72727273</v>
      </c>
      <c r="N118" s="7">
        <f t="shared" si="5"/>
        <v>0.000001137568688</v>
      </c>
      <c r="O118" s="7"/>
      <c r="P118" s="4">
        <f t="shared" si="6"/>
        <v>-0.4487246799</v>
      </c>
      <c r="Q118" s="4">
        <f t="shared" si="7"/>
        <v>10</v>
      </c>
      <c r="R118" s="4">
        <f t="shared" si="8"/>
        <v>0</v>
      </c>
      <c r="S118" s="4">
        <f t="shared" si="9"/>
        <v>-0.4487246799</v>
      </c>
      <c r="T118" s="4">
        <f t="shared" si="10"/>
        <v>61</v>
      </c>
      <c r="U118" s="4">
        <f t="shared" si="1"/>
        <v>-0.4487246799</v>
      </c>
      <c r="V118" s="4"/>
    </row>
    <row r="119">
      <c r="A119" s="1" t="s">
        <v>3895</v>
      </c>
      <c r="B119" s="1" t="s">
        <v>3896</v>
      </c>
      <c r="C119" s="1" t="s">
        <v>3897</v>
      </c>
      <c r="D119" s="1" t="s">
        <v>3632</v>
      </c>
      <c r="E119" s="1" t="s">
        <v>3633</v>
      </c>
      <c r="F119" s="1">
        <v>703.0</v>
      </c>
      <c r="G119" s="1">
        <v>2.0</v>
      </c>
      <c r="H119" s="1">
        <v>0.0</v>
      </c>
      <c r="I119" s="1">
        <v>9430000.0</v>
      </c>
      <c r="J119" s="1" t="s">
        <v>2468</v>
      </c>
      <c r="K119" s="5">
        <f t="shared" si="2"/>
        <v>0.00007454931071</v>
      </c>
      <c r="L119" s="6">
        <f t="shared" si="3"/>
        <v>44</v>
      </c>
      <c r="M119" s="6">
        <f t="shared" si="4"/>
        <v>15.97727273</v>
      </c>
      <c r="N119" s="7">
        <f t="shared" si="5"/>
        <v>0.000001694302516</v>
      </c>
      <c r="O119" s="7"/>
      <c r="P119" s="4">
        <f t="shared" si="6"/>
        <v>-0.448332537</v>
      </c>
      <c r="Q119" s="4">
        <f t="shared" si="7"/>
        <v>15</v>
      </c>
      <c r="R119" s="4">
        <f t="shared" si="8"/>
        <v>0</v>
      </c>
      <c r="S119" s="4">
        <f t="shared" si="9"/>
        <v>-0.448332537</v>
      </c>
      <c r="T119" s="4">
        <f t="shared" si="10"/>
        <v>74</v>
      </c>
      <c r="U119" s="4">
        <f t="shared" si="1"/>
        <v>-0.448332537</v>
      </c>
      <c r="V119" s="4"/>
    </row>
    <row r="120">
      <c r="A120" s="1" t="s">
        <v>3898</v>
      </c>
      <c r="B120" s="1" t="s">
        <v>3899</v>
      </c>
      <c r="C120" s="1" t="s">
        <v>3900</v>
      </c>
      <c r="D120" s="1" t="s">
        <v>3632</v>
      </c>
      <c r="E120" s="1" t="s">
        <v>3633</v>
      </c>
      <c r="F120" s="1">
        <v>308.0</v>
      </c>
      <c r="G120" s="1">
        <v>0.0</v>
      </c>
      <c r="H120" s="1">
        <v>0.0</v>
      </c>
      <c r="I120" s="1">
        <v>9430000.0</v>
      </c>
      <c r="J120" s="1" t="s">
        <v>2468</v>
      </c>
      <c r="K120" s="5">
        <f t="shared" si="2"/>
        <v>0.00003266171792</v>
      </c>
      <c r="L120" s="6">
        <f t="shared" si="3"/>
        <v>44</v>
      </c>
      <c r="M120" s="6">
        <f t="shared" si="4"/>
        <v>7</v>
      </c>
      <c r="N120" s="7">
        <f t="shared" si="5"/>
        <v>0.0000007423117709</v>
      </c>
      <c r="O120" s="7"/>
      <c r="P120" s="4">
        <f t="shared" si="6"/>
        <v>-0.4490030845</v>
      </c>
      <c r="Q120" s="4">
        <f t="shared" si="7"/>
        <v>11</v>
      </c>
      <c r="R120" s="4">
        <f t="shared" si="8"/>
        <v>0</v>
      </c>
      <c r="S120" s="4">
        <f t="shared" si="9"/>
        <v>-0.4490030845</v>
      </c>
      <c r="T120" s="4">
        <f t="shared" si="10"/>
        <v>72</v>
      </c>
      <c r="U120" s="4">
        <f t="shared" si="1"/>
        <v>-0.4490030845</v>
      </c>
      <c r="V120" s="4"/>
    </row>
    <row r="121">
      <c r="A121" s="1" t="s">
        <v>3901</v>
      </c>
      <c r="B121" s="1" t="s">
        <v>3902</v>
      </c>
      <c r="C121" s="1" t="s">
        <v>3903</v>
      </c>
      <c r="D121" s="1" t="s">
        <v>3632</v>
      </c>
      <c r="E121" s="1" t="s">
        <v>3633</v>
      </c>
      <c r="F121" s="1">
        <v>557.0</v>
      </c>
      <c r="G121" s="1">
        <v>2.0</v>
      </c>
      <c r="H121" s="1">
        <v>0.0</v>
      </c>
      <c r="I121" s="1">
        <v>9430000.0</v>
      </c>
      <c r="J121" s="1" t="s">
        <v>2468</v>
      </c>
      <c r="K121" s="5">
        <f t="shared" si="2"/>
        <v>0.00005906680806</v>
      </c>
      <c r="L121" s="6">
        <f t="shared" si="3"/>
        <v>44</v>
      </c>
      <c r="M121" s="6">
        <f t="shared" si="4"/>
        <v>12.65909091</v>
      </c>
      <c r="N121" s="7">
        <f t="shared" si="5"/>
        <v>0.000001342427456</v>
      </c>
      <c r="O121" s="7"/>
      <c r="P121" s="4">
        <f t="shared" si="6"/>
        <v>-0.4485803849</v>
      </c>
      <c r="Q121" s="4">
        <f t="shared" si="7"/>
        <v>14</v>
      </c>
      <c r="R121" s="4">
        <f t="shared" si="8"/>
        <v>0</v>
      </c>
      <c r="S121" s="4">
        <f t="shared" si="9"/>
        <v>-0.4485803849</v>
      </c>
      <c r="T121" s="4">
        <f t="shared" si="10"/>
        <v>72</v>
      </c>
      <c r="U121" s="4">
        <f t="shared" si="1"/>
        <v>-0.4485803849</v>
      </c>
      <c r="V121" s="4"/>
    </row>
    <row r="122">
      <c r="A122" s="1" t="s">
        <v>3904</v>
      </c>
      <c r="B122" s="1" t="s">
        <v>3905</v>
      </c>
      <c r="C122" s="1" t="s">
        <v>3906</v>
      </c>
      <c r="D122" s="1" t="s">
        <v>3632</v>
      </c>
      <c r="E122" s="1" t="s">
        <v>3633</v>
      </c>
      <c r="F122" s="1">
        <v>658.0</v>
      </c>
      <c r="G122" s="1">
        <v>1.0</v>
      </c>
      <c r="H122" s="1">
        <v>0.0</v>
      </c>
      <c r="I122" s="1">
        <v>9430000.0</v>
      </c>
      <c r="J122" s="1" t="s">
        <v>2468</v>
      </c>
      <c r="K122" s="5">
        <f t="shared" si="2"/>
        <v>0.00006977730647</v>
      </c>
      <c r="L122" s="6">
        <f t="shared" si="3"/>
        <v>44</v>
      </c>
      <c r="M122" s="6">
        <f t="shared" si="4"/>
        <v>14.95454545</v>
      </c>
      <c r="N122" s="7">
        <f t="shared" si="5"/>
        <v>0.000001585847874</v>
      </c>
      <c r="O122" s="7"/>
      <c r="P122" s="4">
        <f t="shared" si="6"/>
        <v>-0.4484089285</v>
      </c>
      <c r="Q122" s="4">
        <f t="shared" si="7"/>
        <v>9</v>
      </c>
      <c r="R122" s="4">
        <f t="shared" si="8"/>
        <v>0</v>
      </c>
      <c r="S122" s="4">
        <f t="shared" si="9"/>
        <v>-0.4484089285</v>
      </c>
      <c r="T122" s="4">
        <f t="shared" si="10"/>
        <v>55</v>
      </c>
      <c r="U122" s="4">
        <f t="shared" si="1"/>
        <v>-0.4484089285</v>
      </c>
      <c r="V122" s="4"/>
    </row>
    <row r="123">
      <c r="A123" s="1" t="s">
        <v>3907</v>
      </c>
      <c r="B123" s="1" t="s">
        <v>3908</v>
      </c>
      <c r="C123" s="1" t="s">
        <v>3909</v>
      </c>
      <c r="D123" s="1" t="s">
        <v>3632</v>
      </c>
      <c r="E123" s="1" t="s">
        <v>3633</v>
      </c>
      <c r="F123" s="1">
        <v>335.0</v>
      </c>
      <c r="G123" s="1">
        <v>2.0</v>
      </c>
      <c r="H123" s="1">
        <v>0.0</v>
      </c>
      <c r="I123" s="1">
        <v>9430000.0</v>
      </c>
      <c r="J123" s="1" t="s">
        <v>2468</v>
      </c>
      <c r="K123" s="5">
        <f t="shared" si="2"/>
        <v>0.00003552492047</v>
      </c>
      <c r="L123" s="6">
        <f t="shared" si="3"/>
        <v>44</v>
      </c>
      <c r="M123" s="6">
        <f t="shared" si="4"/>
        <v>7.613636364</v>
      </c>
      <c r="N123" s="7">
        <f t="shared" si="5"/>
        <v>0.0000008073845561</v>
      </c>
      <c r="O123" s="7"/>
      <c r="P123" s="4">
        <f t="shared" si="6"/>
        <v>-0.4489572496</v>
      </c>
      <c r="Q123" s="4">
        <f t="shared" si="7"/>
        <v>9</v>
      </c>
      <c r="R123" s="4">
        <f t="shared" si="8"/>
        <v>0</v>
      </c>
      <c r="S123" s="4">
        <f t="shared" si="9"/>
        <v>-0.4489572496</v>
      </c>
      <c r="T123" s="4">
        <f t="shared" si="10"/>
        <v>69</v>
      </c>
      <c r="U123" s="4">
        <f t="shared" si="1"/>
        <v>-0.4489572496</v>
      </c>
      <c r="V123" s="4"/>
    </row>
    <row r="124">
      <c r="A124" s="1" t="s">
        <v>3910</v>
      </c>
      <c r="B124" s="1" t="s">
        <v>3911</v>
      </c>
      <c r="C124" s="1" t="s">
        <v>3912</v>
      </c>
      <c r="D124" s="1" t="s">
        <v>3632</v>
      </c>
      <c r="E124" s="1" t="s">
        <v>3633</v>
      </c>
      <c r="F124" s="1">
        <v>314.0</v>
      </c>
      <c r="G124" s="1">
        <v>1.0</v>
      </c>
      <c r="H124" s="1">
        <v>1.0</v>
      </c>
      <c r="I124" s="1">
        <v>9430000.0</v>
      </c>
      <c r="J124" s="1" t="s">
        <v>2468</v>
      </c>
      <c r="K124" s="5">
        <f t="shared" si="2"/>
        <v>0.00003329798515</v>
      </c>
      <c r="L124" s="6">
        <f t="shared" si="3"/>
        <v>44</v>
      </c>
      <c r="M124" s="6">
        <f t="shared" si="4"/>
        <v>7.136363636</v>
      </c>
      <c r="N124" s="7">
        <f t="shared" si="5"/>
        <v>0.0000007567723899</v>
      </c>
      <c r="O124" s="7"/>
      <c r="P124" s="4">
        <f t="shared" si="6"/>
        <v>-0.4489928989</v>
      </c>
      <c r="Q124" s="4">
        <f t="shared" si="7"/>
        <v>9</v>
      </c>
      <c r="R124" s="4">
        <f t="shared" si="8"/>
        <v>0</v>
      </c>
      <c r="S124" s="4">
        <f t="shared" si="9"/>
        <v>-0.4489928989</v>
      </c>
      <c r="T124" s="4">
        <f t="shared" si="10"/>
        <v>57</v>
      </c>
      <c r="U124" s="4">
        <f t="shared" si="1"/>
        <v>-0.4489928989</v>
      </c>
      <c r="V124" s="4"/>
    </row>
    <row r="125">
      <c r="A125" s="1" t="s">
        <v>3913</v>
      </c>
      <c r="B125" s="1" t="s">
        <v>3914</v>
      </c>
      <c r="C125" s="1" t="s">
        <v>3915</v>
      </c>
      <c r="D125" s="1" t="s">
        <v>3632</v>
      </c>
      <c r="E125" s="1" t="s">
        <v>3633</v>
      </c>
      <c r="F125" s="1">
        <v>694.0</v>
      </c>
      <c r="G125" s="1">
        <v>1.0</v>
      </c>
      <c r="H125" s="1">
        <v>0.0</v>
      </c>
      <c r="I125" s="1">
        <v>9430000.0</v>
      </c>
      <c r="J125" s="1" t="s">
        <v>2468</v>
      </c>
      <c r="K125" s="5">
        <f t="shared" si="2"/>
        <v>0.00007359490986</v>
      </c>
      <c r="L125" s="6">
        <f t="shared" si="3"/>
        <v>44</v>
      </c>
      <c r="M125" s="6">
        <f t="shared" si="4"/>
        <v>15.77272727</v>
      </c>
      <c r="N125" s="7">
        <f t="shared" si="5"/>
        <v>0.000001672611588</v>
      </c>
      <c r="O125" s="7"/>
      <c r="P125" s="4">
        <f t="shared" si="6"/>
        <v>-0.4483478153</v>
      </c>
      <c r="Q125" s="4">
        <f t="shared" si="7"/>
        <v>13</v>
      </c>
      <c r="R125" s="4">
        <f t="shared" si="8"/>
        <v>0</v>
      </c>
      <c r="S125" s="4">
        <f t="shared" si="9"/>
        <v>-0.4483478153</v>
      </c>
      <c r="T125" s="4">
        <f t="shared" si="10"/>
        <v>72</v>
      </c>
      <c r="U125" s="4">
        <f t="shared" si="1"/>
        <v>-0.4483478153</v>
      </c>
      <c r="V125" s="4"/>
    </row>
    <row r="126">
      <c r="A126" s="1" t="s">
        <v>3916</v>
      </c>
      <c r="B126" s="1" t="s">
        <v>3917</v>
      </c>
      <c r="C126" s="1" t="s">
        <v>3918</v>
      </c>
      <c r="D126" s="1" t="s">
        <v>3632</v>
      </c>
      <c r="E126" s="1" t="s">
        <v>3633</v>
      </c>
      <c r="F126" s="1">
        <v>497.0</v>
      </c>
      <c r="G126" s="1">
        <v>4.0</v>
      </c>
      <c r="H126" s="1">
        <v>0.0</v>
      </c>
      <c r="I126" s="1">
        <v>9430000.0</v>
      </c>
      <c r="J126" s="1" t="s">
        <v>2468</v>
      </c>
      <c r="K126" s="5">
        <f t="shared" si="2"/>
        <v>0.00005270413574</v>
      </c>
      <c r="L126" s="6">
        <f t="shared" si="3"/>
        <v>44</v>
      </c>
      <c r="M126" s="6">
        <f t="shared" si="4"/>
        <v>11.29545455</v>
      </c>
      <c r="N126" s="7">
        <f t="shared" si="5"/>
        <v>0.000001197821267</v>
      </c>
      <c r="O126" s="7"/>
      <c r="P126" s="4">
        <f t="shared" si="6"/>
        <v>-0.4486822402</v>
      </c>
      <c r="Q126" s="4">
        <f t="shared" si="7"/>
        <v>13</v>
      </c>
      <c r="R126" s="4">
        <f t="shared" si="8"/>
        <v>0</v>
      </c>
      <c r="S126" s="4">
        <f t="shared" si="9"/>
        <v>-0.4486822402</v>
      </c>
      <c r="T126" s="4">
        <f t="shared" si="10"/>
        <v>64</v>
      </c>
      <c r="U126" s="4">
        <f t="shared" si="1"/>
        <v>-0.4486822402</v>
      </c>
      <c r="V126" s="4"/>
    </row>
    <row r="127">
      <c r="A127" s="1" t="s">
        <v>3919</v>
      </c>
      <c r="B127" s="1" t="s">
        <v>3920</v>
      </c>
      <c r="C127" s="1" t="s">
        <v>3921</v>
      </c>
      <c r="D127" s="1" t="s">
        <v>3632</v>
      </c>
      <c r="E127" s="1" t="s">
        <v>3633</v>
      </c>
      <c r="F127" s="1">
        <v>320.0</v>
      </c>
      <c r="G127" s="1">
        <v>2.0</v>
      </c>
      <c r="H127" s="1">
        <v>1.0</v>
      </c>
      <c r="I127" s="1">
        <v>9430000.0</v>
      </c>
      <c r="J127" s="1" t="s">
        <v>2468</v>
      </c>
      <c r="K127" s="5">
        <f t="shared" si="2"/>
        <v>0.00003393425239</v>
      </c>
      <c r="L127" s="6">
        <f t="shared" si="3"/>
        <v>44</v>
      </c>
      <c r="M127" s="6">
        <f t="shared" si="4"/>
        <v>7.272727273</v>
      </c>
      <c r="N127" s="7">
        <f t="shared" si="5"/>
        <v>0.0000007712330088</v>
      </c>
      <c r="O127" s="7"/>
      <c r="P127" s="4">
        <f t="shared" si="6"/>
        <v>-0.4489827134</v>
      </c>
      <c r="Q127" s="4">
        <f t="shared" si="7"/>
        <v>15</v>
      </c>
      <c r="R127" s="4">
        <f t="shared" si="8"/>
        <v>0</v>
      </c>
      <c r="S127" s="4">
        <f t="shared" si="9"/>
        <v>-0.4489827134</v>
      </c>
      <c r="T127" s="4">
        <f t="shared" si="10"/>
        <v>76</v>
      </c>
      <c r="U127" s="4">
        <f t="shared" si="1"/>
        <v>-0.4489827134</v>
      </c>
      <c r="V127" s="4"/>
    </row>
    <row r="128">
      <c r="A128" s="1" t="s">
        <v>3922</v>
      </c>
      <c r="B128" s="1" t="s">
        <v>3923</v>
      </c>
      <c r="C128" s="1" t="s">
        <v>3924</v>
      </c>
      <c r="D128" s="1" t="s">
        <v>3632</v>
      </c>
      <c r="E128" s="1" t="s">
        <v>3633</v>
      </c>
      <c r="F128" s="1">
        <v>272.0</v>
      </c>
      <c r="G128" s="1">
        <v>2.0</v>
      </c>
      <c r="H128" s="1">
        <v>0.0</v>
      </c>
      <c r="I128" s="1">
        <v>9430000.0</v>
      </c>
      <c r="J128" s="1" t="s">
        <v>2468</v>
      </c>
      <c r="K128" s="5">
        <f t="shared" si="2"/>
        <v>0.00002884411453</v>
      </c>
      <c r="L128" s="6">
        <f t="shared" si="3"/>
        <v>44</v>
      </c>
      <c r="M128" s="6">
        <f t="shared" si="4"/>
        <v>6.181818182</v>
      </c>
      <c r="N128" s="7">
        <f t="shared" si="5"/>
        <v>0.0000006555480575</v>
      </c>
      <c r="O128" s="7"/>
      <c r="P128" s="4">
        <f t="shared" si="6"/>
        <v>-0.4490641976</v>
      </c>
      <c r="Q128" s="4">
        <f t="shared" si="7"/>
        <v>14</v>
      </c>
      <c r="R128" s="4">
        <f t="shared" si="8"/>
        <v>0</v>
      </c>
      <c r="S128" s="4">
        <f t="shared" si="9"/>
        <v>-0.4490641976</v>
      </c>
      <c r="T128" s="4">
        <f t="shared" si="10"/>
        <v>72</v>
      </c>
      <c r="U128" s="4">
        <f t="shared" si="1"/>
        <v>-0.4490641976</v>
      </c>
      <c r="V128" s="4"/>
    </row>
    <row r="129">
      <c r="A129" s="1" t="s">
        <v>3925</v>
      </c>
      <c r="B129" s="1" t="s">
        <v>3926</v>
      </c>
      <c r="C129" s="1" t="s">
        <v>3927</v>
      </c>
      <c r="D129" s="1" t="s">
        <v>3632</v>
      </c>
      <c r="E129" s="1" t="s">
        <v>3633</v>
      </c>
      <c r="F129" s="1">
        <v>323.0</v>
      </c>
      <c r="G129" s="1">
        <v>1.0</v>
      </c>
      <c r="H129" s="1">
        <v>0.0</v>
      </c>
      <c r="I129" s="1">
        <v>9430000.0</v>
      </c>
      <c r="J129" s="1" t="s">
        <v>2468</v>
      </c>
      <c r="K129" s="5">
        <f t="shared" si="2"/>
        <v>0.000034252386</v>
      </c>
      <c r="L129" s="6">
        <f t="shared" si="3"/>
        <v>44</v>
      </c>
      <c r="M129" s="6">
        <f t="shared" si="4"/>
        <v>7.340909091</v>
      </c>
      <c r="N129" s="7">
        <f t="shared" si="5"/>
        <v>0.0000007784633182</v>
      </c>
      <c r="O129" s="7"/>
      <c r="P129" s="4">
        <f t="shared" si="6"/>
        <v>-0.4489776206</v>
      </c>
      <c r="Q129" s="4">
        <f t="shared" si="7"/>
        <v>19</v>
      </c>
      <c r="R129" s="4">
        <f t="shared" si="8"/>
        <v>0</v>
      </c>
      <c r="S129" s="4">
        <f t="shared" si="9"/>
        <v>-0.4489776206</v>
      </c>
      <c r="T129" s="4">
        <f t="shared" si="10"/>
        <v>80</v>
      </c>
      <c r="U129" s="4">
        <f t="shared" si="1"/>
        <v>-0.4489776206</v>
      </c>
      <c r="V129" s="4"/>
    </row>
    <row r="130">
      <c r="A130" s="1" t="s">
        <v>4253</v>
      </c>
      <c r="B130" s="1" t="s">
        <v>4254</v>
      </c>
      <c r="C130" s="1" t="s">
        <v>4255</v>
      </c>
      <c r="D130" s="1" t="s">
        <v>4233</v>
      </c>
      <c r="E130" s="1" t="s">
        <v>4234</v>
      </c>
      <c r="F130" s="1">
        <v>30983.0</v>
      </c>
      <c r="G130" s="1">
        <v>1712.0</v>
      </c>
      <c r="H130" s="1">
        <v>45.0</v>
      </c>
      <c r="I130" s="1">
        <v>1.72E7</v>
      </c>
      <c r="J130" s="1" t="s">
        <v>2468</v>
      </c>
      <c r="K130" s="5">
        <f t="shared" si="2"/>
        <v>0.001801337209</v>
      </c>
      <c r="L130" s="6">
        <f t="shared" si="3"/>
        <v>42</v>
      </c>
      <c r="M130" s="6">
        <f t="shared" si="4"/>
        <v>737.6904762</v>
      </c>
      <c r="N130" s="7">
        <f t="shared" si="5"/>
        <v>0.00004288898117</v>
      </c>
      <c r="O130" s="7"/>
      <c r="P130" s="4">
        <f t="shared" si="6"/>
        <v>-0.419316512</v>
      </c>
      <c r="Q130" s="4">
        <f t="shared" si="7"/>
        <v>6</v>
      </c>
      <c r="R130" s="4">
        <f t="shared" si="8"/>
        <v>0</v>
      </c>
      <c r="S130" s="4">
        <f t="shared" si="9"/>
        <v>-0.419316512</v>
      </c>
      <c r="T130" s="4">
        <f t="shared" si="10"/>
        <v>39</v>
      </c>
      <c r="U130" s="4">
        <f t="shared" si="1"/>
        <v>-0.419316512</v>
      </c>
      <c r="V130" s="4"/>
    </row>
    <row r="131">
      <c r="A131" s="1" t="s">
        <v>4256</v>
      </c>
      <c r="B131" s="1" t="s">
        <v>4257</v>
      </c>
      <c r="C131" s="1" t="s">
        <v>4258</v>
      </c>
      <c r="D131" s="1" t="s">
        <v>4233</v>
      </c>
      <c r="E131" s="1" t="s">
        <v>4234</v>
      </c>
      <c r="F131" s="1">
        <v>34422.0</v>
      </c>
      <c r="G131" s="1">
        <v>1912.0</v>
      </c>
      <c r="H131" s="1">
        <v>50.0</v>
      </c>
      <c r="I131" s="1">
        <v>1.72E7</v>
      </c>
      <c r="J131" s="1" t="s">
        <v>2468</v>
      </c>
      <c r="K131" s="5">
        <f t="shared" si="2"/>
        <v>0.00200127907</v>
      </c>
      <c r="L131" s="6">
        <f t="shared" si="3"/>
        <v>49</v>
      </c>
      <c r="M131" s="6">
        <f t="shared" si="4"/>
        <v>702.4897959</v>
      </c>
      <c r="N131" s="7">
        <f t="shared" si="5"/>
        <v>0.00004084243</v>
      </c>
      <c r="O131" s="7"/>
      <c r="P131" s="4">
        <f t="shared" si="6"/>
        <v>-0.4207580278</v>
      </c>
      <c r="Q131" s="4">
        <f t="shared" si="7"/>
        <v>10</v>
      </c>
      <c r="R131" s="4">
        <f t="shared" si="8"/>
        <v>0</v>
      </c>
      <c r="S131" s="4">
        <f t="shared" si="9"/>
        <v>-0.4207580278</v>
      </c>
      <c r="T131" s="4">
        <f t="shared" si="10"/>
        <v>46</v>
      </c>
      <c r="U131" s="4">
        <f t="shared" si="1"/>
        <v>-0.4207580278</v>
      </c>
      <c r="V131" s="4"/>
    </row>
    <row r="132">
      <c r="A132" s="1" t="s">
        <v>4259</v>
      </c>
      <c r="B132" s="1" t="s">
        <v>4260</v>
      </c>
      <c r="C132" s="1" t="s">
        <v>4261</v>
      </c>
      <c r="D132" s="1" t="s">
        <v>4233</v>
      </c>
      <c r="E132" s="1" t="s">
        <v>4234</v>
      </c>
      <c r="F132" s="1">
        <v>28528.0</v>
      </c>
      <c r="G132" s="1">
        <v>1675.0</v>
      </c>
      <c r="H132" s="1">
        <v>34.0</v>
      </c>
      <c r="I132" s="1">
        <v>1.72E7</v>
      </c>
      <c r="J132" s="1" t="s">
        <v>2468</v>
      </c>
      <c r="K132" s="5">
        <f t="shared" si="2"/>
        <v>0.001658604651</v>
      </c>
      <c r="L132" s="6">
        <f t="shared" si="3"/>
        <v>56</v>
      </c>
      <c r="M132" s="6">
        <f t="shared" si="4"/>
        <v>509.4285714</v>
      </c>
      <c r="N132" s="7">
        <f t="shared" si="5"/>
        <v>0.0000296179402</v>
      </c>
      <c r="O132" s="7"/>
      <c r="P132" s="4">
        <f t="shared" si="6"/>
        <v>-0.4286641479</v>
      </c>
      <c r="Q132" s="4">
        <f t="shared" si="7"/>
        <v>8</v>
      </c>
      <c r="R132" s="4">
        <f t="shared" si="8"/>
        <v>1</v>
      </c>
      <c r="S132" s="4">
        <f t="shared" si="9"/>
        <v>-0.4286641479</v>
      </c>
      <c r="T132" s="4">
        <f t="shared" si="10"/>
        <v>40</v>
      </c>
      <c r="U132" s="4">
        <f t="shared" si="1"/>
        <v>-0.4286641479</v>
      </c>
      <c r="V132" s="4"/>
    </row>
    <row r="133">
      <c r="A133" s="1" t="s">
        <v>4262</v>
      </c>
      <c r="B133" s="1" t="s">
        <v>4263</v>
      </c>
      <c r="C133" s="1" t="s">
        <v>4264</v>
      </c>
      <c r="D133" s="1" t="s">
        <v>4233</v>
      </c>
      <c r="E133" s="1" t="s">
        <v>4234</v>
      </c>
      <c r="F133" s="1">
        <v>44462.0</v>
      </c>
      <c r="G133" s="1">
        <v>2329.0</v>
      </c>
      <c r="H133" s="1">
        <v>50.0</v>
      </c>
      <c r="I133" s="1">
        <v>1.72E7</v>
      </c>
      <c r="J133" s="1" t="s">
        <v>2468</v>
      </c>
      <c r="K133" s="5">
        <f t="shared" si="2"/>
        <v>0.002585</v>
      </c>
      <c r="L133" s="6">
        <f t="shared" si="3"/>
        <v>70</v>
      </c>
      <c r="M133" s="6">
        <f t="shared" si="4"/>
        <v>635.1714286</v>
      </c>
      <c r="N133" s="7">
        <f t="shared" si="5"/>
        <v>0.00003692857143</v>
      </c>
      <c r="O133" s="7"/>
      <c r="P133" s="4">
        <f t="shared" si="6"/>
        <v>-0.4235148066</v>
      </c>
      <c r="Q133" s="4">
        <f t="shared" si="7"/>
        <v>8</v>
      </c>
      <c r="R133" s="4">
        <f t="shared" si="8"/>
        <v>0</v>
      </c>
      <c r="S133" s="4">
        <f t="shared" si="9"/>
        <v>-0.4235148066</v>
      </c>
      <c r="T133" s="4">
        <f t="shared" si="10"/>
        <v>41</v>
      </c>
      <c r="U133" s="4">
        <f t="shared" si="1"/>
        <v>-0.4235148066</v>
      </c>
      <c r="V133" s="4"/>
    </row>
    <row r="134">
      <c r="A134" s="1" t="s">
        <v>4265</v>
      </c>
      <c r="B134" s="1" t="s">
        <v>4266</v>
      </c>
      <c r="C134" s="1" t="s">
        <v>4267</v>
      </c>
      <c r="D134" s="1" t="s">
        <v>4233</v>
      </c>
      <c r="E134" s="1" t="s">
        <v>4234</v>
      </c>
      <c r="F134" s="1">
        <v>28667.0</v>
      </c>
      <c r="G134" s="1">
        <v>1718.0</v>
      </c>
      <c r="H134" s="1">
        <v>37.0</v>
      </c>
      <c r="I134" s="1">
        <v>1.72E7</v>
      </c>
      <c r="J134" s="1" t="s">
        <v>2468</v>
      </c>
      <c r="K134" s="5">
        <f t="shared" si="2"/>
        <v>0.001666686047</v>
      </c>
      <c r="L134" s="6">
        <f t="shared" si="3"/>
        <v>77</v>
      </c>
      <c r="M134" s="6">
        <f t="shared" si="4"/>
        <v>372.2987013</v>
      </c>
      <c r="N134" s="7">
        <f t="shared" si="5"/>
        <v>0.00002164527333</v>
      </c>
      <c r="O134" s="7"/>
      <c r="P134" s="4">
        <f t="shared" si="6"/>
        <v>-0.4342798028</v>
      </c>
      <c r="Q134" s="4">
        <f t="shared" si="7"/>
        <v>9</v>
      </c>
      <c r="R134" s="4">
        <f t="shared" si="8"/>
        <v>0</v>
      </c>
      <c r="S134" s="4">
        <f t="shared" si="9"/>
        <v>-0.4342798028</v>
      </c>
      <c r="T134" s="4">
        <f t="shared" si="10"/>
        <v>41</v>
      </c>
      <c r="U134" s="4">
        <f t="shared" si="1"/>
        <v>-0.4342798028</v>
      </c>
      <c r="V134" s="4"/>
    </row>
    <row r="135">
      <c r="A135" s="1" t="s">
        <v>4268</v>
      </c>
      <c r="B135" s="1" t="s">
        <v>4269</v>
      </c>
      <c r="C135" s="1" t="s">
        <v>4270</v>
      </c>
      <c r="D135" s="1" t="s">
        <v>4233</v>
      </c>
      <c r="E135" s="1" t="s">
        <v>4234</v>
      </c>
      <c r="F135" s="1">
        <v>37306.0</v>
      </c>
      <c r="G135" s="1">
        <v>2102.0</v>
      </c>
      <c r="H135" s="1">
        <v>44.0</v>
      </c>
      <c r="I135" s="1">
        <v>1.72E7</v>
      </c>
      <c r="J135" s="1" t="s">
        <v>2468</v>
      </c>
      <c r="K135" s="5">
        <f t="shared" si="2"/>
        <v>0.002168953488</v>
      </c>
      <c r="L135" s="6">
        <f t="shared" si="3"/>
        <v>84</v>
      </c>
      <c r="M135" s="6">
        <f t="shared" si="4"/>
        <v>444.1190476</v>
      </c>
      <c r="N135" s="7">
        <f t="shared" si="5"/>
        <v>0.00002582087486</v>
      </c>
      <c r="O135" s="7"/>
      <c r="P135" s="4">
        <f t="shared" si="6"/>
        <v>-0.4313386618</v>
      </c>
      <c r="Q135" s="4">
        <f t="shared" si="7"/>
        <v>9</v>
      </c>
      <c r="R135" s="4">
        <f t="shared" si="8"/>
        <v>1</v>
      </c>
      <c r="S135" s="4">
        <f t="shared" si="9"/>
        <v>-0.4313386618</v>
      </c>
      <c r="T135" s="4">
        <f t="shared" si="10"/>
        <v>44</v>
      </c>
      <c r="U135" s="4">
        <f t="shared" si="1"/>
        <v>-0.4313386618</v>
      </c>
      <c r="V135" s="4"/>
    </row>
    <row r="136">
      <c r="A136" s="1" t="s">
        <v>4271</v>
      </c>
      <c r="B136" s="1" t="s">
        <v>4272</v>
      </c>
      <c r="C136" s="1" t="s">
        <v>4273</v>
      </c>
      <c r="D136" s="1" t="s">
        <v>4233</v>
      </c>
      <c r="E136" s="1" t="s">
        <v>4234</v>
      </c>
      <c r="F136" s="1">
        <v>34239.0</v>
      </c>
      <c r="G136" s="1">
        <v>2194.0</v>
      </c>
      <c r="H136" s="1">
        <v>54.0</v>
      </c>
      <c r="I136" s="1">
        <v>1.72E7</v>
      </c>
      <c r="J136" s="1" t="s">
        <v>2468</v>
      </c>
      <c r="K136" s="5">
        <f t="shared" si="2"/>
        <v>0.001990639535</v>
      </c>
      <c r="L136" s="6">
        <f t="shared" si="3"/>
        <v>91</v>
      </c>
      <c r="M136" s="6">
        <f t="shared" si="4"/>
        <v>376.2527473</v>
      </c>
      <c r="N136" s="7">
        <f t="shared" si="5"/>
        <v>0.00002187515972</v>
      </c>
      <c r="O136" s="7"/>
      <c r="P136" s="4">
        <f t="shared" si="6"/>
        <v>-0.4341178793</v>
      </c>
      <c r="Q136" s="4">
        <f t="shared" si="7"/>
        <v>8</v>
      </c>
      <c r="R136" s="4">
        <f t="shared" si="8"/>
        <v>1</v>
      </c>
      <c r="S136" s="4">
        <f t="shared" si="9"/>
        <v>-0.4341178793</v>
      </c>
      <c r="T136" s="4">
        <f t="shared" si="10"/>
        <v>34</v>
      </c>
      <c r="U136" s="4">
        <f t="shared" si="1"/>
        <v>-0.4341178793</v>
      </c>
      <c r="V136" s="4"/>
    </row>
    <row r="137">
      <c r="A137" s="1" t="s">
        <v>4274</v>
      </c>
      <c r="B137" s="1" t="s">
        <v>4275</v>
      </c>
      <c r="C137" s="1" t="s">
        <v>4276</v>
      </c>
      <c r="D137" s="1" t="s">
        <v>4233</v>
      </c>
      <c r="E137" s="1" t="s">
        <v>4234</v>
      </c>
      <c r="F137" s="1">
        <v>26604.0</v>
      </c>
      <c r="G137" s="1">
        <v>746.0</v>
      </c>
      <c r="H137" s="1">
        <v>10.0</v>
      </c>
      <c r="I137" s="1">
        <v>1.72E7</v>
      </c>
      <c r="J137" s="1" t="s">
        <v>2468</v>
      </c>
      <c r="K137" s="5">
        <f t="shared" si="2"/>
        <v>0.001546744186</v>
      </c>
      <c r="L137" s="6">
        <f t="shared" si="3"/>
        <v>97</v>
      </c>
      <c r="M137" s="6">
        <f t="shared" si="4"/>
        <v>274.2680412</v>
      </c>
      <c r="N137" s="7">
        <f t="shared" si="5"/>
        <v>0.00001594581635</v>
      </c>
      <c r="O137" s="7"/>
      <c r="P137" s="4">
        <f t="shared" si="6"/>
        <v>-0.4382942919</v>
      </c>
      <c r="Q137" s="4">
        <f t="shared" si="7"/>
        <v>5</v>
      </c>
      <c r="R137" s="4">
        <f t="shared" si="8"/>
        <v>0</v>
      </c>
      <c r="S137" s="4">
        <f t="shared" si="9"/>
        <v>-0.4382942919</v>
      </c>
      <c r="T137" s="4">
        <f t="shared" si="10"/>
        <v>20</v>
      </c>
      <c r="U137" s="4">
        <f t="shared" si="1"/>
        <v>-0.4382942919</v>
      </c>
      <c r="V137" s="4"/>
    </row>
    <row r="138">
      <c r="A138" s="1" t="s">
        <v>4277</v>
      </c>
      <c r="B138" s="1" t="s">
        <v>4278</v>
      </c>
      <c r="C138" s="1" t="s">
        <v>4279</v>
      </c>
      <c r="D138" s="1" t="s">
        <v>4233</v>
      </c>
      <c r="E138" s="1" t="s">
        <v>4234</v>
      </c>
      <c r="F138" s="1">
        <v>24108.0</v>
      </c>
      <c r="G138" s="1">
        <v>1023.0</v>
      </c>
      <c r="H138" s="1">
        <v>24.0</v>
      </c>
      <c r="I138" s="1">
        <v>1.72E7</v>
      </c>
      <c r="J138" s="1" t="s">
        <v>2468</v>
      </c>
      <c r="K138" s="5">
        <f t="shared" si="2"/>
        <v>0.001401627907</v>
      </c>
      <c r="L138" s="6">
        <f t="shared" si="3"/>
        <v>99</v>
      </c>
      <c r="M138" s="6">
        <f t="shared" si="4"/>
        <v>243.5151515</v>
      </c>
      <c r="N138" s="7">
        <f t="shared" si="5"/>
        <v>0.00001415785765</v>
      </c>
      <c r="O138" s="7"/>
      <c r="P138" s="4">
        <f t="shared" si="6"/>
        <v>-0.4395536646</v>
      </c>
      <c r="Q138" s="4">
        <f t="shared" si="7"/>
        <v>4</v>
      </c>
      <c r="R138" s="4">
        <f t="shared" si="8"/>
        <v>0</v>
      </c>
      <c r="S138" s="4">
        <f t="shared" si="9"/>
        <v>-0.4395536646</v>
      </c>
      <c r="T138" s="4">
        <f t="shared" si="10"/>
        <v>12</v>
      </c>
      <c r="U138" s="4">
        <f t="shared" si="1"/>
        <v>-0.4395536646</v>
      </c>
      <c r="V138" s="4"/>
    </row>
    <row r="139">
      <c r="A139" s="1" t="s">
        <v>4280</v>
      </c>
      <c r="B139" s="1" t="s">
        <v>4281</v>
      </c>
      <c r="C139" s="1" t="s">
        <v>4282</v>
      </c>
      <c r="D139" s="1" t="s">
        <v>4233</v>
      </c>
      <c r="E139" s="1" t="s">
        <v>4234</v>
      </c>
      <c r="F139" s="1">
        <v>31234.0</v>
      </c>
      <c r="G139" s="1">
        <v>625.0</v>
      </c>
      <c r="H139" s="1">
        <v>19.0</v>
      </c>
      <c r="I139" s="1">
        <v>1.72E7</v>
      </c>
      <c r="J139" s="1" t="s">
        <v>2468</v>
      </c>
      <c r="K139" s="5">
        <f t="shared" si="2"/>
        <v>0.001815930233</v>
      </c>
      <c r="L139" s="6">
        <f t="shared" si="3"/>
        <v>101</v>
      </c>
      <c r="M139" s="6">
        <f t="shared" si="4"/>
        <v>309.2475248</v>
      </c>
      <c r="N139" s="7">
        <f t="shared" si="5"/>
        <v>0.00001797950725</v>
      </c>
      <c r="O139" s="7"/>
      <c r="P139" s="4">
        <f t="shared" si="6"/>
        <v>-0.4368618344</v>
      </c>
      <c r="Q139" s="4">
        <f t="shared" si="7"/>
        <v>4</v>
      </c>
      <c r="R139" s="4">
        <f t="shared" si="8"/>
        <v>0</v>
      </c>
      <c r="S139" s="4">
        <f t="shared" si="9"/>
        <v>-0.4368618344</v>
      </c>
      <c r="T139" s="4">
        <f t="shared" si="10"/>
        <v>25</v>
      </c>
      <c r="U139" s="4">
        <f t="shared" si="1"/>
        <v>-0.4368618344</v>
      </c>
      <c r="V139" s="4"/>
    </row>
    <row r="140">
      <c r="A140" s="1" t="s">
        <v>4283</v>
      </c>
      <c r="B140" s="1" t="s">
        <v>4284</v>
      </c>
      <c r="C140" s="1" t="s">
        <v>4285</v>
      </c>
      <c r="D140" s="1" t="s">
        <v>4233</v>
      </c>
      <c r="E140" s="1" t="s">
        <v>4234</v>
      </c>
      <c r="F140" s="1">
        <v>39382.0</v>
      </c>
      <c r="G140" s="1">
        <v>2329.0</v>
      </c>
      <c r="H140" s="1">
        <v>59.0</v>
      </c>
      <c r="I140" s="1">
        <v>1.72E7</v>
      </c>
      <c r="J140" s="1" t="s">
        <v>2468</v>
      </c>
      <c r="K140" s="5">
        <f t="shared" si="2"/>
        <v>0.002289651163</v>
      </c>
      <c r="L140" s="6">
        <f t="shared" si="3"/>
        <v>105</v>
      </c>
      <c r="M140" s="6">
        <f t="shared" si="4"/>
        <v>375.0666667</v>
      </c>
      <c r="N140" s="7">
        <f t="shared" si="5"/>
        <v>0.00002180620155</v>
      </c>
      <c r="O140" s="7"/>
      <c r="P140" s="4">
        <f t="shared" si="6"/>
        <v>-0.4341664509</v>
      </c>
      <c r="Q140" s="4">
        <f t="shared" si="7"/>
        <v>7</v>
      </c>
      <c r="R140" s="4">
        <f t="shared" si="8"/>
        <v>0</v>
      </c>
      <c r="S140" s="4">
        <f t="shared" si="9"/>
        <v>-0.4341664509</v>
      </c>
      <c r="T140" s="4">
        <f t="shared" si="10"/>
        <v>34</v>
      </c>
      <c r="U140" s="4">
        <f t="shared" si="1"/>
        <v>-0.4341664509</v>
      </c>
      <c r="V140" s="4"/>
    </row>
    <row r="141">
      <c r="A141" s="1" t="s">
        <v>4286</v>
      </c>
      <c r="B141" s="1" t="s">
        <v>4287</v>
      </c>
      <c r="C141" s="1" t="s">
        <v>4288</v>
      </c>
      <c r="D141" s="1" t="s">
        <v>4233</v>
      </c>
      <c r="E141" s="1" t="s">
        <v>4234</v>
      </c>
      <c r="F141" s="1">
        <v>22051.0</v>
      </c>
      <c r="G141" s="1">
        <v>672.0</v>
      </c>
      <c r="H141" s="1">
        <v>11.0</v>
      </c>
      <c r="I141" s="1">
        <v>1.72E7</v>
      </c>
      <c r="J141" s="1" t="s">
        <v>2468</v>
      </c>
      <c r="K141" s="5">
        <f t="shared" si="2"/>
        <v>0.001282034884</v>
      </c>
      <c r="L141" s="6">
        <f t="shared" si="3"/>
        <v>106</v>
      </c>
      <c r="M141" s="6">
        <f t="shared" si="4"/>
        <v>208.0283019</v>
      </c>
      <c r="N141" s="7">
        <f t="shared" si="5"/>
        <v>0.00001209466871</v>
      </c>
      <c r="O141" s="7"/>
      <c r="P141" s="4">
        <f t="shared" si="6"/>
        <v>-0.4410068994</v>
      </c>
      <c r="Q141" s="4">
        <f t="shared" si="7"/>
        <v>5</v>
      </c>
      <c r="R141" s="4">
        <f t="shared" si="8"/>
        <v>0</v>
      </c>
      <c r="S141" s="4">
        <f t="shared" si="9"/>
        <v>-0.4410068994</v>
      </c>
      <c r="T141" s="4">
        <f t="shared" si="10"/>
        <v>27</v>
      </c>
      <c r="U141" s="4">
        <f t="shared" si="1"/>
        <v>-0.4410068994</v>
      </c>
      <c r="V141" s="4"/>
    </row>
    <row r="142">
      <c r="A142" s="1" t="s">
        <v>4289</v>
      </c>
      <c r="B142" s="1" t="s">
        <v>4290</v>
      </c>
      <c r="C142" s="1" t="s">
        <v>4291</v>
      </c>
      <c r="D142" s="1" t="s">
        <v>4233</v>
      </c>
      <c r="E142" s="1" t="s">
        <v>4234</v>
      </c>
      <c r="F142" s="1">
        <v>14361.0</v>
      </c>
      <c r="G142" s="1">
        <v>239.0</v>
      </c>
      <c r="H142" s="1">
        <v>9.0</v>
      </c>
      <c r="I142" s="1">
        <v>1.72E7</v>
      </c>
      <c r="J142" s="1" t="s">
        <v>2468</v>
      </c>
      <c r="K142" s="5">
        <f t="shared" si="2"/>
        <v>0.0008349418605</v>
      </c>
      <c r="L142" s="6">
        <f t="shared" si="3"/>
        <v>107</v>
      </c>
      <c r="M142" s="6">
        <f t="shared" si="4"/>
        <v>134.2149533</v>
      </c>
      <c r="N142" s="7">
        <f t="shared" si="5"/>
        <v>0.000007803194958</v>
      </c>
      <c r="O142" s="7"/>
      <c r="P142" s="4">
        <f t="shared" si="6"/>
        <v>-0.4440296566</v>
      </c>
      <c r="Q142" s="4">
        <f t="shared" si="7"/>
        <v>12</v>
      </c>
      <c r="R142" s="4">
        <f t="shared" si="8"/>
        <v>0</v>
      </c>
      <c r="S142" s="4">
        <f t="shared" si="9"/>
        <v>-0.4440296566</v>
      </c>
      <c r="T142" s="4">
        <f t="shared" si="10"/>
        <v>50</v>
      </c>
      <c r="U142" s="4">
        <f t="shared" si="1"/>
        <v>-0.4440296566</v>
      </c>
      <c r="V142" s="4"/>
    </row>
    <row r="143">
      <c r="A143" s="1" t="s">
        <v>4292</v>
      </c>
      <c r="B143" s="1" t="s">
        <v>4293</v>
      </c>
      <c r="C143" s="1" t="s">
        <v>4294</v>
      </c>
      <c r="D143" s="1" t="s">
        <v>4233</v>
      </c>
      <c r="E143" s="1" t="s">
        <v>4234</v>
      </c>
      <c r="F143" s="1">
        <v>35047.0</v>
      </c>
      <c r="G143" s="1">
        <v>2131.0</v>
      </c>
      <c r="H143" s="1">
        <v>30.0</v>
      </c>
      <c r="I143" s="1">
        <v>1.72E7</v>
      </c>
      <c r="J143" s="1" t="s">
        <v>2468</v>
      </c>
      <c r="K143" s="5">
        <f t="shared" si="2"/>
        <v>0.002037616279</v>
      </c>
      <c r="L143" s="6">
        <f t="shared" si="3"/>
        <v>112</v>
      </c>
      <c r="M143" s="6">
        <f t="shared" si="4"/>
        <v>312.9196429</v>
      </c>
      <c r="N143" s="7">
        <f t="shared" si="5"/>
        <v>0.00001819300249</v>
      </c>
      <c r="O143" s="7"/>
      <c r="P143" s="4">
        <f t="shared" si="6"/>
        <v>-0.4367114561</v>
      </c>
      <c r="Q143" s="4">
        <f t="shared" si="7"/>
        <v>8</v>
      </c>
      <c r="R143" s="4">
        <f t="shared" si="8"/>
        <v>1</v>
      </c>
      <c r="S143" s="4">
        <f t="shared" si="9"/>
        <v>-0.4367114561</v>
      </c>
      <c r="T143" s="4">
        <f t="shared" si="10"/>
        <v>38</v>
      </c>
      <c r="U143" s="4">
        <f t="shared" si="1"/>
        <v>-0.4367114561</v>
      </c>
      <c r="V143" s="4"/>
    </row>
    <row r="144">
      <c r="A144" s="1" t="s">
        <v>4295</v>
      </c>
      <c r="B144" s="1" t="s">
        <v>4296</v>
      </c>
      <c r="C144" s="1" t="s">
        <v>4297</v>
      </c>
      <c r="D144" s="1" t="s">
        <v>4233</v>
      </c>
      <c r="E144" s="1" t="s">
        <v>4234</v>
      </c>
      <c r="F144" s="1">
        <v>40009.0</v>
      </c>
      <c r="G144" s="1">
        <v>2137.0</v>
      </c>
      <c r="H144" s="1">
        <v>40.0</v>
      </c>
      <c r="I144" s="1">
        <v>1.72E7</v>
      </c>
      <c r="J144" s="1" t="s">
        <v>2468</v>
      </c>
      <c r="K144" s="5">
        <f t="shared" si="2"/>
        <v>0.002326104651</v>
      </c>
      <c r="L144" s="6">
        <f t="shared" si="3"/>
        <v>119</v>
      </c>
      <c r="M144" s="6">
        <f t="shared" si="4"/>
        <v>336.210084</v>
      </c>
      <c r="N144" s="7">
        <f t="shared" si="5"/>
        <v>0.00001954709791</v>
      </c>
      <c r="O144" s="7"/>
      <c r="P144" s="4">
        <f t="shared" si="6"/>
        <v>-0.4357576809</v>
      </c>
      <c r="Q144" s="4">
        <f t="shared" si="7"/>
        <v>11</v>
      </c>
      <c r="R144" s="4">
        <f t="shared" si="8"/>
        <v>1</v>
      </c>
      <c r="S144" s="4">
        <f t="shared" si="9"/>
        <v>-0.4357576809</v>
      </c>
      <c r="T144" s="4">
        <f t="shared" si="10"/>
        <v>48</v>
      </c>
      <c r="U144" s="4">
        <f t="shared" si="1"/>
        <v>-0.4357576809</v>
      </c>
      <c r="V144" s="4"/>
    </row>
    <row r="145">
      <c r="A145" s="1" t="s">
        <v>4298</v>
      </c>
      <c r="B145" s="1" t="s">
        <v>4299</v>
      </c>
      <c r="C145" s="1" t="s">
        <v>4300</v>
      </c>
      <c r="D145" s="1" t="s">
        <v>4233</v>
      </c>
      <c r="E145" s="1" t="s">
        <v>4234</v>
      </c>
      <c r="F145" s="1">
        <v>55426.0</v>
      </c>
      <c r="G145" s="1">
        <v>2840.0</v>
      </c>
      <c r="H145" s="1">
        <v>73.0</v>
      </c>
      <c r="I145" s="1">
        <v>1.72E7</v>
      </c>
      <c r="J145" s="1" t="s">
        <v>2468</v>
      </c>
      <c r="K145" s="5">
        <f t="shared" si="2"/>
        <v>0.00322244186</v>
      </c>
      <c r="L145" s="6">
        <f t="shared" si="3"/>
        <v>133</v>
      </c>
      <c r="M145" s="6">
        <f t="shared" si="4"/>
        <v>416.7368421</v>
      </c>
      <c r="N145" s="7">
        <f t="shared" si="5"/>
        <v>0.00002422888617</v>
      </c>
      <c r="O145" s="7"/>
      <c r="P145" s="4">
        <f t="shared" si="6"/>
        <v>-0.4324600004</v>
      </c>
      <c r="Q145" s="4">
        <f t="shared" si="7"/>
        <v>9</v>
      </c>
      <c r="R145" s="4">
        <f t="shared" si="8"/>
        <v>0</v>
      </c>
      <c r="S145" s="4">
        <f t="shared" si="9"/>
        <v>-0.4324600004</v>
      </c>
      <c r="T145" s="4">
        <f t="shared" si="10"/>
        <v>50</v>
      </c>
      <c r="U145" s="4">
        <f t="shared" si="1"/>
        <v>-0.4324600004</v>
      </c>
      <c r="V145" s="4"/>
    </row>
    <row r="146">
      <c r="A146" s="1" t="s">
        <v>4301</v>
      </c>
      <c r="B146" s="1" t="s">
        <v>4302</v>
      </c>
      <c r="C146" s="1" t="s">
        <v>4303</v>
      </c>
      <c r="D146" s="1" t="s">
        <v>4233</v>
      </c>
      <c r="E146" s="1" t="s">
        <v>4234</v>
      </c>
      <c r="F146" s="1">
        <v>60857.0</v>
      </c>
      <c r="G146" s="1">
        <v>3086.0</v>
      </c>
      <c r="H146" s="1">
        <v>57.0</v>
      </c>
      <c r="I146" s="1">
        <v>1.72E7</v>
      </c>
      <c r="J146" s="1" t="s">
        <v>2468</v>
      </c>
      <c r="K146" s="5">
        <f t="shared" si="2"/>
        <v>0.003538197674</v>
      </c>
      <c r="L146" s="6">
        <f t="shared" si="3"/>
        <v>140</v>
      </c>
      <c r="M146" s="6">
        <f t="shared" si="4"/>
        <v>434.6928571</v>
      </c>
      <c r="N146" s="7">
        <f t="shared" si="5"/>
        <v>0.00002527284053</v>
      </c>
      <c r="O146" s="7"/>
      <c r="P146" s="4">
        <f t="shared" si="6"/>
        <v>-0.4317246772</v>
      </c>
      <c r="Q146" s="4">
        <f t="shared" si="7"/>
        <v>8</v>
      </c>
      <c r="R146" s="4">
        <f t="shared" si="8"/>
        <v>1</v>
      </c>
      <c r="S146" s="4">
        <f t="shared" si="9"/>
        <v>-0.4317246772</v>
      </c>
      <c r="T146" s="4">
        <f t="shared" si="10"/>
        <v>36</v>
      </c>
      <c r="U146" s="4">
        <f t="shared" si="1"/>
        <v>-0.4317246772</v>
      </c>
      <c r="V146" s="4"/>
    </row>
    <row r="147">
      <c r="A147" s="1" t="s">
        <v>4304</v>
      </c>
      <c r="B147" s="1" t="s">
        <v>4305</v>
      </c>
      <c r="C147" s="1" t="s">
        <v>4306</v>
      </c>
      <c r="D147" s="1" t="s">
        <v>4233</v>
      </c>
      <c r="E147" s="1" t="s">
        <v>4234</v>
      </c>
      <c r="F147" s="1">
        <v>80627.0</v>
      </c>
      <c r="G147" s="1">
        <v>4982.0</v>
      </c>
      <c r="H147" s="1">
        <v>220.0</v>
      </c>
      <c r="I147" s="1">
        <v>1.72E7</v>
      </c>
      <c r="J147" s="1" t="s">
        <v>2468</v>
      </c>
      <c r="K147" s="5">
        <f t="shared" si="2"/>
        <v>0.004687616279</v>
      </c>
      <c r="L147" s="6">
        <f t="shared" si="3"/>
        <v>147</v>
      </c>
      <c r="M147" s="6">
        <f t="shared" si="4"/>
        <v>548.4829932</v>
      </c>
      <c r="N147" s="7">
        <f t="shared" si="5"/>
        <v>0.00003188854612</v>
      </c>
      <c r="O147" s="7"/>
      <c r="P147" s="4">
        <f t="shared" si="6"/>
        <v>-0.4270648161</v>
      </c>
      <c r="Q147" s="4">
        <f t="shared" si="7"/>
        <v>7</v>
      </c>
      <c r="R147" s="4">
        <f t="shared" si="8"/>
        <v>0</v>
      </c>
      <c r="S147" s="4">
        <f t="shared" si="9"/>
        <v>-0.4270648161</v>
      </c>
      <c r="T147" s="4">
        <f t="shared" si="10"/>
        <v>34</v>
      </c>
      <c r="U147" s="4">
        <f t="shared" si="1"/>
        <v>-0.4270648161</v>
      </c>
      <c r="V147" s="4"/>
    </row>
    <row r="148">
      <c r="A148" s="1" t="s">
        <v>4307</v>
      </c>
      <c r="B148" s="1" t="s">
        <v>4308</v>
      </c>
      <c r="C148" s="1" t="s">
        <v>4309</v>
      </c>
      <c r="D148" s="1" t="s">
        <v>4233</v>
      </c>
      <c r="E148" s="1" t="s">
        <v>4234</v>
      </c>
      <c r="F148" s="1">
        <v>46030.0</v>
      </c>
      <c r="G148" s="1">
        <v>2867.0</v>
      </c>
      <c r="H148" s="1">
        <v>162.0</v>
      </c>
      <c r="I148" s="1">
        <v>1.72E7</v>
      </c>
      <c r="J148" s="1" t="s">
        <v>2468</v>
      </c>
      <c r="K148" s="5">
        <f t="shared" si="2"/>
        <v>0.002676162791</v>
      </c>
      <c r="L148" s="6">
        <f t="shared" si="3"/>
        <v>154</v>
      </c>
      <c r="M148" s="6">
        <f t="shared" si="4"/>
        <v>298.8961039</v>
      </c>
      <c r="N148" s="7">
        <f t="shared" si="5"/>
        <v>0.00001737768046</v>
      </c>
      <c r="O148" s="7"/>
      <c r="P148" s="4">
        <f t="shared" si="6"/>
        <v>-0.4372857392</v>
      </c>
      <c r="Q148" s="4">
        <f t="shared" si="7"/>
        <v>4</v>
      </c>
      <c r="R148" s="4">
        <f t="shared" si="8"/>
        <v>0</v>
      </c>
      <c r="S148" s="4">
        <f t="shared" si="9"/>
        <v>-0.4372857392</v>
      </c>
      <c r="T148" s="4">
        <f t="shared" si="10"/>
        <v>24</v>
      </c>
      <c r="U148" s="4">
        <f t="shared" si="1"/>
        <v>-0.4372857392</v>
      </c>
      <c r="V148" s="4"/>
    </row>
    <row r="149">
      <c r="A149" s="1" t="s">
        <v>4310</v>
      </c>
      <c r="B149" s="1" t="s">
        <v>4311</v>
      </c>
      <c r="C149" s="1" t="s">
        <v>4312</v>
      </c>
      <c r="D149" s="1" t="s">
        <v>4233</v>
      </c>
      <c r="E149" s="1" t="s">
        <v>4234</v>
      </c>
      <c r="F149" s="1">
        <v>173401.0</v>
      </c>
      <c r="G149" s="1">
        <v>8775.0</v>
      </c>
      <c r="H149" s="1">
        <v>146.0</v>
      </c>
      <c r="I149" s="1">
        <v>1.72E7</v>
      </c>
      <c r="J149" s="1" t="s">
        <v>2468</v>
      </c>
      <c r="K149" s="5">
        <f t="shared" si="2"/>
        <v>0.01008145349</v>
      </c>
      <c r="L149" s="6">
        <f t="shared" si="3"/>
        <v>170</v>
      </c>
      <c r="M149" s="6">
        <f t="shared" si="4"/>
        <v>1020.005882</v>
      </c>
      <c r="N149" s="7">
        <f t="shared" si="5"/>
        <v>0.00005930266758</v>
      </c>
      <c r="O149" s="7"/>
      <c r="P149" s="4">
        <f t="shared" si="6"/>
        <v>-0.4077553116</v>
      </c>
      <c r="Q149" s="4">
        <f t="shared" si="7"/>
        <v>13</v>
      </c>
      <c r="R149" s="4">
        <f t="shared" si="8"/>
        <v>1</v>
      </c>
      <c r="S149" s="4">
        <f t="shared" si="9"/>
        <v>-0.4077553116</v>
      </c>
      <c r="T149" s="4">
        <f t="shared" si="10"/>
        <v>74</v>
      </c>
      <c r="U149" s="4">
        <f t="shared" si="1"/>
        <v>-0.4077553116</v>
      </c>
      <c r="V149" s="4"/>
    </row>
    <row r="150">
      <c r="A150" s="1" t="s">
        <v>4313</v>
      </c>
      <c r="B150" s="1" t="s">
        <v>4314</v>
      </c>
      <c r="C150" s="1" t="s">
        <v>4315</v>
      </c>
      <c r="D150" s="1" t="s">
        <v>4233</v>
      </c>
      <c r="E150" s="1" t="s">
        <v>4234</v>
      </c>
      <c r="F150" s="1">
        <v>188160.0</v>
      </c>
      <c r="G150" s="1">
        <v>10112.0</v>
      </c>
      <c r="H150" s="1">
        <v>173.0</v>
      </c>
      <c r="I150" s="1">
        <v>1.72E7</v>
      </c>
      <c r="J150" s="1" t="s">
        <v>2468</v>
      </c>
      <c r="K150" s="5">
        <f t="shared" si="2"/>
        <v>0.01093953488</v>
      </c>
      <c r="L150" s="6">
        <f t="shared" si="3"/>
        <v>177</v>
      </c>
      <c r="M150" s="6">
        <f t="shared" si="4"/>
        <v>1063.050847</v>
      </c>
      <c r="N150" s="7">
        <f t="shared" si="5"/>
        <v>0.00006180528183</v>
      </c>
      <c r="O150" s="7"/>
      <c r="P150" s="4">
        <f t="shared" si="6"/>
        <v>-0.4059925616</v>
      </c>
      <c r="Q150" s="4">
        <f t="shared" si="7"/>
        <v>10</v>
      </c>
      <c r="R150" s="4">
        <f t="shared" si="8"/>
        <v>0</v>
      </c>
      <c r="S150" s="4">
        <f t="shared" si="9"/>
        <v>-0.4059925616</v>
      </c>
      <c r="T150" s="4">
        <f t="shared" si="10"/>
        <v>61</v>
      </c>
      <c r="U150" s="4">
        <f t="shared" si="1"/>
        <v>-0.4059925616</v>
      </c>
      <c r="V150" s="4"/>
    </row>
    <row r="151">
      <c r="A151" s="1" t="s">
        <v>4316</v>
      </c>
      <c r="B151" s="1" t="s">
        <v>4317</v>
      </c>
      <c r="C151" s="1" t="s">
        <v>4318</v>
      </c>
      <c r="D151" s="1" t="s">
        <v>4233</v>
      </c>
      <c r="E151" s="1" t="s">
        <v>4234</v>
      </c>
      <c r="F151" s="1">
        <v>82340.0</v>
      </c>
      <c r="G151" s="1">
        <v>3936.0</v>
      </c>
      <c r="H151" s="1">
        <v>67.0</v>
      </c>
      <c r="I151" s="1">
        <v>1.72E7</v>
      </c>
      <c r="J151" s="1" t="s">
        <v>2468</v>
      </c>
      <c r="K151" s="5">
        <f t="shared" si="2"/>
        <v>0.004787209302</v>
      </c>
      <c r="L151" s="6">
        <f t="shared" si="3"/>
        <v>184</v>
      </c>
      <c r="M151" s="6">
        <f t="shared" si="4"/>
        <v>447.5</v>
      </c>
      <c r="N151" s="7">
        <f t="shared" si="5"/>
        <v>0.00002601744186</v>
      </c>
      <c r="O151" s="7"/>
      <c r="P151" s="4">
        <f t="shared" si="6"/>
        <v>-0.4312002072</v>
      </c>
      <c r="Q151" s="4">
        <f t="shared" si="7"/>
        <v>9</v>
      </c>
      <c r="R151" s="4">
        <f t="shared" si="8"/>
        <v>0</v>
      </c>
      <c r="S151" s="4">
        <f t="shared" si="9"/>
        <v>-0.4312002072</v>
      </c>
      <c r="T151" s="4">
        <f t="shared" si="10"/>
        <v>58</v>
      </c>
      <c r="U151" s="4">
        <f t="shared" si="1"/>
        <v>-0.4312002072</v>
      </c>
      <c r="V151" s="4"/>
    </row>
    <row r="152">
      <c r="A152" s="1" t="s">
        <v>4319</v>
      </c>
      <c r="B152" s="1" t="s">
        <v>4320</v>
      </c>
      <c r="C152" s="1" t="s">
        <v>4321</v>
      </c>
      <c r="D152" s="1" t="s">
        <v>4233</v>
      </c>
      <c r="E152" s="1" t="s">
        <v>4234</v>
      </c>
      <c r="F152" s="1">
        <v>20042.0</v>
      </c>
      <c r="G152" s="1">
        <v>1138.0</v>
      </c>
      <c r="H152" s="1">
        <v>44.0</v>
      </c>
      <c r="I152" s="1">
        <v>1.72E7</v>
      </c>
      <c r="J152" s="1" t="s">
        <v>2468</v>
      </c>
      <c r="K152" s="5">
        <f t="shared" si="2"/>
        <v>0.001165232558</v>
      </c>
      <c r="L152" s="6">
        <f t="shared" si="3"/>
        <v>189</v>
      </c>
      <c r="M152" s="6">
        <f t="shared" si="4"/>
        <v>106.042328</v>
      </c>
      <c r="N152" s="7">
        <f t="shared" si="5"/>
        <v>0.00000616525163</v>
      </c>
      <c r="O152" s="7"/>
      <c r="P152" s="4">
        <f t="shared" si="6"/>
        <v>-0.445183364</v>
      </c>
      <c r="Q152" s="4">
        <f t="shared" si="7"/>
        <v>12</v>
      </c>
      <c r="R152" s="4">
        <f t="shared" si="8"/>
        <v>0</v>
      </c>
      <c r="S152" s="4">
        <f t="shared" si="9"/>
        <v>-0.445183364</v>
      </c>
      <c r="T152" s="4">
        <f t="shared" si="10"/>
        <v>75</v>
      </c>
      <c r="U152" s="4">
        <f t="shared" si="1"/>
        <v>-0.445183364</v>
      </c>
      <c r="V152" s="4"/>
    </row>
    <row r="153">
      <c r="A153" s="1" t="s">
        <v>4322</v>
      </c>
      <c r="B153" s="1" t="s">
        <v>4323</v>
      </c>
      <c r="C153" s="1" t="s">
        <v>4324</v>
      </c>
      <c r="D153" s="1" t="s">
        <v>4233</v>
      </c>
      <c r="E153" s="1" t="s">
        <v>4234</v>
      </c>
      <c r="F153" s="1">
        <v>19191.0</v>
      </c>
      <c r="G153" s="1">
        <v>943.0</v>
      </c>
      <c r="H153" s="1">
        <v>27.0</v>
      </c>
      <c r="I153" s="1">
        <v>1.72E7</v>
      </c>
      <c r="J153" s="1" t="s">
        <v>2468</v>
      </c>
      <c r="K153" s="5">
        <f t="shared" si="2"/>
        <v>0.001115755814</v>
      </c>
      <c r="L153" s="6">
        <f t="shared" si="3"/>
        <v>196</v>
      </c>
      <c r="M153" s="6">
        <f t="shared" si="4"/>
        <v>97.91326531</v>
      </c>
      <c r="N153" s="7">
        <f t="shared" si="5"/>
        <v>0.000005692631704</v>
      </c>
      <c r="O153" s="7"/>
      <c r="P153" s="4">
        <f t="shared" si="6"/>
        <v>-0.4455162601</v>
      </c>
      <c r="Q153" s="4">
        <f t="shared" si="7"/>
        <v>9</v>
      </c>
      <c r="R153" s="4">
        <f t="shared" si="8"/>
        <v>0</v>
      </c>
      <c r="S153" s="4">
        <f t="shared" si="9"/>
        <v>-0.4455162601</v>
      </c>
      <c r="T153" s="4">
        <f t="shared" si="10"/>
        <v>52</v>
      </c>
      <c r="U153" s="4">
        <f t="shared" si="1"/>
        <v>-0.4455162601</v>
      </c>
      <c r="V153" s="4"/>
    </row>
    <row r="154">
      <c r="A154" s="1" t="s">
        <v>4325</v>
      </c>
      <c r="B154" s="1" t="s">
        <v>4326</v>
      </c>
      <c r="C154" s="1" t="s">
        <v>4327</v>
      </c>
      <c r="D154" s="1" t="s">
        <v>4233</v>
      </c>
      <c r="E154" s="1" t="s">
        <v>4234</v>
      </c>
      <c r="F154" s="1">
        <v>100739.0</v>
      </c>
      <c r="G154" s="1">
        <v>4284.0</v>
      </c>
      <c r="H154" s="1">
        <v>76.0</v>
      </c>
      <c r="I154" s="1">
        <v>1.72E7</v>
      </c>
      <c r="J154" s="1" t="s">
        <v>2468</v>
      </c>
      <c r="K154" s="5">
        <f t="shared" si="2"/>
        <v>0.005856918605</v>
      </c>
      <c r="L154" s="6">
        <f t="shared" si="3"/>
        <v>198</v>
      </c>
      <c r="M154" s="6">
        <f t="shared" si="4"/>
        <v>508.7828283</v>
      </c>
      <c r="N154" s="7">
        <f t="shared" si="5"/>
        <v>0.00002958039699</v>
      </c>
      <c r="O154" s="7"/>
      <c r="P154" s="4">
        <f t="shared" si="6"/>
        <v>-0.4286905919</v>
      </c>
      <c r="Q154" s="4">
        <f t="shared" si="7"/>
        <v>12</v>
      </c>
      <c r="R154" s="4">
        <f t="shared" si="8"/>
        <v>0</v>
      </c>
      <c r="S154" s="4">
        <f t="shared" si="9"/>
        <v>-0.4286905919</v>
      </c>
      <c r="T154" s="4">
        <f t="shared" si="10"/>
        <v>60</v>
      </c>
      <c r="U154" s="4">
        <f t="shared" si="1"/>
        <v>-0.4286905919</v>
      </c>
      <c r="V154" s="4"/>
    </row>
    <row r="155">
      <c r="A155" s="1" t="s">
        <v>4328</v>
      </c>
      <c r="B155" s="1" t="s">
        <v>4329</v>
      </c>
      <c r="C155" s="1" t="s">
        <v>4330</v>
      </c>
      <c r="D155" s="1" t="s">
        <v>4233</v>
      </c>
      <c r="E155" s="1" t="s">
        <v>4234</v>
      </c>
      <c r="F155" s="1">
        <v>97239.0</v>
      </c>
      <c r="G155" s="1">
        <v>4614.0</v>
      </c>
      <c r="H155" s="1">
        <v>75.0</v>
      </c>
      <c r="I155" s="1">
        <v>1.72E7</v>
      </c>
      <c r="J155" s="1" t="s">
        <v>2468</v>
      </c>
      <c r="K155" s="5">
        <f t="shared" si="2"/>
        <v>0.005653430233</v>
      </c>
      <c r="L155" s="6">
        <f t="shared" si="3"/>
        <v>205</v>
      </c>
      <c r="M155" s="6">
        <f t="shared" si="4"/>
        <v>474.3365854</v>
      </c>
      <c r="N155" s="7">
        <f t="shared" si="5"/>
        <v>0.00002757770845</v>
      </c>
      <c r="O155" s="7"/>
      <c r="P155" s="4">
        <f t="shared" si="6"/>
        <v>-0.4301012125</v>
      </c>
      <c r="Q155" s="4">
        <f t="shared" si="7"/>
        <v>16</v>
      </c>
      <c r="R155" s="4">
        <f t="shared" si="8"/>
        <v>1</v>
      </c>
      <c r="S155" s="4">
        <f t="shared" si="9"/>
        <v>-0.4301012125</v>
      </c>
      <c r="T155" s="4">
        <f t="shared" si="10"/>
        <v>83</v>
      </c>
      <c r="U155" s="4">
        <f t="shared" si="1"/>
        <v>-0.4301012125</v>
      </c>
      <c r="V155" s="4"/>
    </row>
    <row r="156">
      <c r="A156" s="1" t="s">
        <v>4331</v>
      </c>
      <c r="B156" s="1" t="s">
        <v>4332</v>
      </c>
      <c r="C156" s="1" t="s">
        <v>4333</v>
      </c>
      <c r="D156" s="1" t="s">
        <v>4233</v>
      </c>
      <c r="E156" s="1" t="s">
        <v>4234</v>
      </c>
      <c r="F156" s="1">
        <v>21679.0</v>
      </c>
      <c r="G156" s="1">
        <v>1024.0</v>
      </c>
      <c r="H156" s="1">
        <v>16.0</v>
      </c>
      <c r="I156" s="1">
        <v>1.72E7</v>
      </c>
      <c r="J156" s="1" t="s">
        <v>2468</v>
      </c>
      <c r="K156" s="5">
        <f t="shared" si="2"/>
        <v>0.001260406977</v>
      </c>
      <c r="L156" s="6">
        <f t="shared" si="3"/>
        <v>210</v>
      </c>
      <c r="M156" s="6">
        <f t="shared" si="4"/>
        <v>103.2333333</v>
      </c>
      <c r="N156" s="7">
        <f t="shared" si="5"/>
        <v>0.000006001937984</v>
      </c>
      <c r="O156" s="7"/>
      <c r="P156" s="4">
        <f t="shared" si="6"/>
        <v>-0.4452983961</v>
      </c>
      <c r="Q156" s="4">
        <f t="shared" si="7"/>
        <v>11</v>
      </c>
      <c r="R156" s="4">
        <f t="shared" si="8"/>
        <v>1</v>
      </c>
      <c r="S156" s="4">
        <f t="shared" si="9"/>
        <v>-0.4452983961</v>
      </c>
      <c r="T156" s="4">
        <f t="shared" si="10"/>
        <v>74</v>
      </c>
      <c r="U156" s="4">
        <f t="shared" si="1"/>
        <v>-0.4452983961</v>
      </c>
      <c r="V156" s="4"/>
    </row>
    <row r="157">
      <c r="A157" s="1" t="s">
        <v>4334</v>
      </c>
      <c r="B157" s="1" t="s">
        <v>4335</v>
      </c>
      <c r="C157" s="1" t="s">
        <v>4336</v>
      </c>
      <c r="D157" s="1" t="s">
        <v>4233</v>
      </c>
      <c r="E157" s="1" t="s">
        <v>4234</v>
      </c>
      <c r="F157" s="1">
        <v>26400.0</v>
      </c>
      <c r="G157" s="1">
        <v>1302.0</v>
      </c>
      <c r="H157" s="1">
        <v>28.0</v>
      </c>
      <c r="I157" s="1">
        <v>1.72E7</v>
      </c>
      <c r="J157" s="1" t="s">
        <v>2468</v>
      </c>
      <c r="K157" s="5">
        <f t="shared" si="2"/>
        <v>0.001534883721</v>
      </c>
      <c r="L157" s="6">
        <f t="shared" si="3"/>
        <v>217</v>
      </c>
      <c r="M157" s="6">
        <f t="shared" si="4"/>
        <v>121.6589862</v>
      </c>
      <c r="N157" s="7">
        <f t="shared" si="5"/>
        <v>0.000007073196871</v>
      </c>
      <c r="O157" s="7"/>
      <c r="P157" s="4">
        <f t="shared" si="6"/>
        <v>-0.4445438405</v>
      </c>
      <c r="Q157" s="4">
        <f t="shared" si="7"/>
        <v>9</v>
      </c>
      <c r="R157" s="4">
        <f t="shared" si="8"/>
        <v>0</v>
      </c>
      <c r="S157" s="4">
        <f t="shared" si="9"/>
        <v>-0.4445438405</v>
      </c>
      <c r="T157" s="4">
        <f t="shared" si="10"/>
        <v>58</v>
      </c>
      <c r="U157" s="4">
        <f t="shared" si="1"/>
        <v>-0.4445438405</v>
      </c>
      <c r="V157" s="4"/>
    </row>
    <row r="158">
      <c r="A158" s="1" t="s">
        <v>4337</v>
      </c>
      <c r="B158" s="1" t="s">
        <v>4338</v>
      </c>
      <c r="C158" s="1" t="s">
        <v>4339</v>
      </c>
      <c r="D158" s="1" t="s">
        <v>4233</v>
      </c>
      <c r="E158" s="1" t="s">
        <v>4234</v>
      </c>
      <c r="F158" s="1">
        <v>261018.0</v>
      </c>
      <c r="G158" s="1">
        <v>11926.0</v>
      </c>
      <c r="H158" s="1">
        <v>157.0</v>
      </c>
      <c r="I158" s="1">
        <v>1.72E7</v>
      </c>
      <c r="J158" s="1" t="s">
        <v>2468</v>
      </c>
      <c r="K158" s="5">
        <f t="shared" si="2"/>
        <v>0.01517546512</v>
      </c>
      <c r="L158" s="6">
        <f t="shared" si="3"/>
        <v>219</v>
      </c>
      <c r="M158" s="6">
        <f t="shared" si="4"/>
        <v>1191.863014</v>
      </c>
      <c r="N158" s="7">
        <f t="shared" si="5"/>
        <v>0.00006929436126</v>
      </c>
      <c r="O158" s="7"/>
      <c r="P158" s="4">
        <f t="shared" si="6"/>
        <v>-0.400717528</v>
      </c>
      <c r="Q158" s="4">
        <f t="shared" si="7"/>
        <v>9</v>
      </c>
      <c r="R158" s="4">
        <f t="shared" si="8"/>
        <v>0</v>
      </c>
      <c r="S158" s="4">
        <f t="shared" si="9"/>
        <v>-0.400717528</v>
      </c>
      <c r="T158" s="4">
        <f t="shared" si="10"/>
        <v>59</v>
      </c>
      <c r="U158" s="4">
        <f t="shared" si="1"/>
        <v>-0.400717528</v>
      </c>
      <c r="V158" s="4"/>
    </row>
    <row r="159">
      <c r="A159" s="1" t="s">
        <v>4340</v>
      </c>
      <c r="B159" s="1" t="s">
        <v>4341</v>
      </c>
      <c r="C159" s="1" t="s">
        <v>4342</v>
      </c>
      <c r="D159" s="1" t="s">
        <v>4233</v>
      </c>
      <c r="E159" s="1" t="s">
        <v>4234</v>
      </c>
      <c r="F159" s="1">
        <v>972499.0</v>
      </c>
      <c r="G159" s="1">
        <v>37202.0</v>
      </c>
      <c r="H159" s="1">
        <v>345.0</v>
      </c>
      <c r="I159" s="1">
        <v>1.72E7</v>
      </c>
      <c r="J159" s="1" t="s">
        <v>2468</v>
      </c>
      <c r="K159" s="5">
        <f t="shared" si="2"/>
        <v>0.05654063953</v>
      </c>
      <c r="L159" s="6">
        <f t="shared" si="3"/>
        <v>226</v>
      </c>
      <c r="M159" s="6">
        <f t="shared" si="4"/>
        <v>4303.09292</v>
      </c>
      <c r="N159" s="7">
        <f t="shared" si="5"/>
        <v>0.000250179821</v>
      </c>
      <c r="O159" s="7"/>
      <c r="P159" s="4">
        <f t="shared" si="6"/>
        <v>-0.2733084257</v>
      </c>
      <c r="Q159" s="4">
        <f t="shared" si="7"/>
        <v>9</v>
      </c>
      <c r="R159" s="4">
        <f t="shared" si="8"/>
        <v>0</v>
      </c>
      <c r="S159" s="4">
        <f t="shared" si="9"/>
        <v>-0.2733084257</v>
      </c>
      <c r="T159" s="4">
        <f t="shared" si="10"/>
        <v>58</v>
      </c>
      <c r="U159" s="4">
        <f t="shared" si="1"/>
        <v>-0.2733084257</v>
      </c>
      <c r="V159" s="4"/>
    </row>
    <row r="160">
      <c r="A160" s="1" t="s">
        <v>4343</v>
      </c>
      <c r="B160" s="1" t="s">
        <v>4344</v>
      </c>
      <c r="C160" s="1" t="s">
        <v>4345</v>
      </c>
      <c r="D160" s="1" t="s">
        <v>4233</v>
      </c>
      <c r="E160" s="1" t="s">
        <v>4234</v>
      </c>
      <c r="F160" s="1">
        <v>24050.0</v>
      </c>
      <c r="G160" s="1">
        <v>1181.0</v>
      </c>
      <c r="H160" s="1">
        <v>23.0</v>
      </c>
      <c r="I160" s="1">
        <v>1.72E7</v>
      </c>
      <c r="J160" s="1" t="s">
        <v>2468</v>
      </c>
      <c r="K160" s="5">
        <f t="shared" si="2"/>
        <v>0.001398255814</v>
      </c>
      <c r="L160" s="6">
        <f t="shared" si="3"/>
        <v>231</v>
      </c>
      <c r="M160" s="6">
        <f t="shared" si="4"/>
        <v>104.1125541</v>
      </c>
      <c r="N160" s="7">
        <f t="shared" si="5"/>
        <v>0.000006053055472</v>
      </c>
      <c r="O160" s="7"/>
      <c r="P160" s="4">
        <f t="shared" si="6"/>
        <v>-0.4452623908</v>
      </c>
      <c r="Q160" s="4">
        <f t="shared" si="7"/>
        <v>10</v>
      </c>
      <c r="R160" s="4">
        <f t="shared" si="8"/>
        <v>0</v>
      </c>
      <c r="S160" s="4">
        <f t="shared" si="9"/>
        <v>-0.4452623908</v>
      </c>
      <c r="T160" s="4">
        <f t="shared" si="10"/>
        <v>58</v>
      </c>
      <c r="U160" s="4">
        <f t="shared" si="1"/>
        <v>-0.4452623908</v>
      </c>
      <c r="V160" s="4"/>
    </row>
    <row r="161">
      <c r="A161" s="1" t="s">
        <v>4346</v>
      </c>
      <c r="B161" s="1" t="s">
        <v>4347</v>
      </c>
      <c r="C161" s="1" t="s">
        <v>4348</v>
      </c>
      <c r="D161" s="1" t="s">
        <v>4233</v>
      </c>
      <c r="E161" s="1" t="s">
        <v>4234</v>
      </c>
      <c r="F161" s="1">
        <v>116872.0</v>
      </c>
      <c r="G161" s="1">
        <v>7936.0</v>
      </c>
      <c r="H161" s="1">
        <v>196.0</v>
      </c>
      <c r="I161" s="1">
        <v>1.72E7</v>
      </c>
      <c r="J161" s="1" t="s">
        <v>2468</v>
      </c>
      <c r="K161" s="5">
        <f t="shared" si="2"/>
        <v>0.006794883721</v>
      </c>
      <c r="L161" s="6">
        <f t="shared" si="3"/>
        <v>233</v>
      </c>
      <c r="M161" s="6">
        <f t="shared" si="4"/>
        <v>501.5965665</v>
      </c>
      <c r="N161" s="7">
        <f t="shared" si="5"/>
        <v>0.00002916259108</v>
      </c>
      <c r="O161" s="7"/>
      <c r="P161" s="4">
        <f t="shared" si="6"/>
        <v>-0.4289848791</v>
      </c>
      <c r="Q161" s="4">
        <f t="shared" si="7"/>
        <v>5</v>
      </c>
      <c r="R161" s="4">
        <f t="shared" si="8"/>
        <v>0</v>
      </c>
      <c r="S161" s="4">
        <f t="shared" si="9"/>
        <v>-0.4289848791</v>
      </c>
      <c r="T161" s="4">
        <f t="shared" si="10"/>
        <v>35</v>
      </c>
      <c r="U161" s="4">
        <f t="shared" si="1"/>
        <v>-0.4289848791</v>
      </c>
      <c r="V161" s="4"/>
    </row>
    <row r="162">
      <c r="A162" s="1" t="s">
        <v>4349</v>
      </c>
      <c r="B162" s="1" t="s">
        <v>4350</v>
      </c>
      <c r="C162" s="1" t="s">
        <v>4351</v>
      </c>
      <c r="D162" s="1" t="s">
        <v>4233</v>
      </c>
      <c r="E162" s="1" t="s">
        <v>4234</v>
      </c>
      <c r="F162" s="1">
        <v>22802.0</v>
      </c>
      <c r="G162" s="1">
        <v>1177.0</v>
      </c>
      <c r="H162" s="1">
        <v>41.0</v>
      </c>
      <c r="I162" s="1">
        <v>1.72E7</v>
      </c>
      <c r="J162" s="1" t="s">
        <v>2468</v>
      </c>
      <c r="K162" s="5">
        <f t="shared" si="2"/>
        <v>0.001325697674</v>
      </c>
      <c r="L162" s="6">
        <f t="shared" si="3"/>
        <v>238</v>
      </c>
      <c r="M162" s="6">
        <f t="shared" si="4"/>
        <v>95.80672269</v>
      </c>
      <c r="N162" s="7">
        <f t="shared" si="5"/>
        <v>0.000005570158296</v>
      </c>
      <c r="O162" s="7"/>
      <c r="P162" s="4">
        <f t="shared" si="6"/>
        <v>-0.4456025259</v>
      </c>
      <c r="Q162" s="4">
        <f t="shared" si="7"/>
        <v>11</v>
      </c>
      <c r="R162" s="4">
        <f t="shared" si="8"/>
        <v>0</v>
      </c>
      <c r="S162" s="4">
        <f t="shared" si="9"/>
        <v>-0.4456025259</v>
      </c>
      <c r="T162" s="4">
        <f t="shared" si="10"/>
        <v>59</v>
      </c>
      <c r="U162" s="4">
        <f t="shared" si="1"/>
        <v>-0.4456025259</v>
      </c>
      <c r="V162" s="4"/>
    </row>
    <row r="163">
      <c r="A163" s="1" t="s">
        <v>4352</v>
      </c>
      <c r="B163" s="1" t="s">
        <v>4353</v>
      </c>
      <c r="C163" s="1" t="s">
        <v>4354</v>
      </c>
      <c r="D163" s="1" t="s">
        <v>4233</v>
      </c>
      <c r="E163" s="1" t="s">
        <v>4234</v>
      </c>
      <c r="F163" s="1">
        <v>31013.0</v>
      </c>
      <c r="G163" s="1">
        <v>1564.0</v>
      </c>
      <c r="H163" s="1">
        <v>30.0</v>
      </c>
      <c r="I163" s="1">
        <v>1.72E7</v>
      </c>
      <c r="J163" s="1" t="s">
        <v>2468</v>
      </c>
      <c r="K163" s="5">
        <f t="shared" si="2"/>
        <v>0.001803081395</v>
      </c>
      <c r="L163" s="6">
        <f t="shared" si="3"/>
        <v>259</v>
      </c>
      <c r="M163" s="6">
        <f t="shared" si="4"/>
        <v>119.7413127</v>
      </c>
      <c r="N163" s="7">
        <f t="shared" si="5"/>
        <v>0.000006961704229</v>
      </c>
      <c r="O163" s="7"/>
      <c r="P163" s="4">
        <f t="shared" si="6"/>
        <v>-0.4446223719</v>
      </c>
      <c r="Q163" s="4">
        <f t="shared" si="7"/>
        <v>9</v>
      </c>
      <c r="R163" s="4">
        <f t="shared" si="8"/>
        <v>0</v>
      </c>
      <c r="S163" s="4">
        <f t="shared" si="9"/>
        <v>-0.4446223719</v>
      </c>
      <c r="T163" s="4">
        <f t="shared" si="10"/>
        <v>52</v>
      </c>
      <c r="U163" s="4">
        <f t="shared" si="1"/>
        <v>-0.4446223719</v>
      </c>
      <c r="V163" s="4"/>
    </row>
    <row r="164">
      <c r="A164" s="1" t="s">
        <v>4355</v>
      </c>
      <c r="B164" s="1" t="s">
        <v>4356</v>
      </c>
      <c r="C164" s="1" t="s">
        <v>4357</v>
      </c>
      <c r="D164" s="1" t="s">
        <v>4233</v>
      </c>
      <c r="E164" s="1" t="s">
        <v>4234</v>
      </c>
      <c r="F164" s="1">
        <v>25091.0</v>
      </c>
      <c r="G164" s="1">
        <v>1076.0</v>
      </c>
      <c r="H164" s="1">
        <v>61.0</v>
      </c>
      <c r="I164" s="1">
        <v>1.72E7</v>
      </c>
      <c r="J164" s="1" t="s">
        <v>2468</v>
      </c>
      <c r="K164" s="5">
        <f t="shared" si="2"/>
        <v>0.00145877907</v>
      </c>
      <c r="L164" s="6">
        <f t="shared" si="3"/>
        <v>260</v>
      </c>
      <c r="M164" s="6">
        <f t="shared" si="4"/>
        <v>96.50384615</v>
      </c>
      <c r="N164" s="7">
        <f t="shared" si="5"/>
        <v>0.00000561068873</v>
      </c>
      <c r="O164" s="7"/>
      <c r="P164" s="4">
        <f t="shared" si="6"/>
        <v>-0.4455739778</v>
      </c>
      <c r="Q164" s="4">
        <f t="shared" si="7"/>
        <v>11</v>
      </c>
      <c r="R164" s="4">
        <f t="shared" si="8"/>
        <v>1</v>
      </c>
      <c r="S164" s="4">
        <f t="shared" si="9"/>
        <v>-0.4455739778</v>
      </c>
      <c r="T164" s="4">
        <f t="shared" si="10"/>
        <v>46</v>
      </c>
      <c r="U164" s="4">
        <f t="shared" si="1"/>
        <v>-0.4455739778</v>
      </c>
      <c r="V164" s="4"/>
    </row>
    <row r="165">
      <c r="A165" s="1" t="s">
        <v>4358</v>
      </c>
      <c r="B165" s="1" t="s">
        <v>4359</v>
      </c>
      <c r="C165" s="1" t="s">
        <v>4360</v>
      </c>
      <c r="D165" s="1" t="s">
        <v>4233</v>
      </c>
      <c r="E165" s="1" t="s">
        <v>4234</v>
      </c>
      <c r="F165" s="1">
        <v>26533.0</v>
      </c>
      <c r="G165" s="1">
        <v>1633.0</v>
      </c>
      <c r="H165" s="1">
        <v>35.0</v>
      </c>
      <c r="I165" s="1">
        <v>1.72E7</v>
      </c>
      <c r="J165" s="1" t="s">
        <v>2468</v>
      </c>
      <c r="K165" s="5">
        <f t="shared" si="2"/>
        <v>0.001542616279</v>
      </c>
      <c r="L165" s="6">
        <f t="shared" si="3"/>
        <v>266</v>
      </c>
      <c r="M165" s="6">
        <f t="shared" si="4"/>
        <v>99.7481203</v>
      </c>
      <c r="N165" s="7">
        <f t="shared" si="5"/>
        <v>0.00000579930932</v>
      </c>
      <c r="O165" s="7"/>
      <c r="P165" s="4">
        <f t="shared" si="6"/>
        <v>-0.4454411203</v>
      </c>
      <c r="Q165" s="4">
        <f t="shared" si="7"/>
        <v>11</v>
      </c>
      <c r="R165" s="4">
        <f t="shared" si="8"/>
        <v>0</v>
      </c>
      <c r="S165" s="4">
        <f t="shared" si="9"/>
        <v>-0.4454411203</v>
      </c>
      <c r="T165" s="4">
        <f t="shared" si="10"/>
        <v>67</v>
      </c>
      <c r="U165" s="4">
        <f t="shared" si="1"/>
        <v>-0.4454411203</v>
      </c>
      <c r="V165" s="4"/>
    </row>
    <row r="166">
      <c r="A166" s="1" t="s">
        <v>4361</v>
      </c>
      <c r="B166" s="1" t="s">
        <v>4362</v>
      </c>
      <c r="C166" s="1" t="s">
        <v>4363</v>
      </c>
      <c r="D166" s="1" t="s">
        <v>4233</v>
      </c>
      <c r="E166" s="1" t="s">
        <v>4234</v>
      </c>
      <c r="F166" s="1">
        <v>31778.0</v>
      </c>
      <c r="G166" s="1">
        <v>1306.0</v>
      </c>
      <c r="H166" s="1">
        <v>55.0</v>
      </c>
      <c r="I166" s="1">
        <v>1.72E7</v>
      </c>
      <c r="J166" s="1" t="s">
        <v>2468</v>
      </c>
      <c r="K166" s="5">
        <f t="shared" si="2"/>
        <v>0.00184755814</v>
      </c>
      <c r="L166" s="6">
        <f t="shared" si="3"/>
        <v>267</v>
      </c>
      <c r="M166" s="6">
        <f t="shared" si="4"/>
        <v>119.0187266</v>
      </c>
      <c r="N166" s="7">
        <f t="shared" si="5"/>
        <v>0.000006919693406</v>
      </c>
      <c r="O166" s="7"/>
      <c r="P166" s="4">
        <f t="shared" si="6"/>
        <v>-0.4446519628</v>
      </c>
      <c r="Q166" s="4">
        <f t="shared" si="7"/>
        <v>10</v>
      </c>
      <c r="R166" s="4">
        <f t="shared" si="8"/>
        <v>0</v>
      </c>
      <c r="S166" s="4">
        <f t="shared" si="9"/>
        <v>-0.4446519628</v>
      </c>
      <c r="T166" s="4">
        <f t="shared" si="10"/>
        <v>52</v>
      </c>
      <c r="U166" s="4">
        <f t="shared" si="1"/>
        <v>-0.4446519628</v>
      </c>
      <c r="V166" s="4"/>
    </row>
    <row r="167">
      <c r="A167" s="1" t="s">
        <v>4364</v>
      </c>
      <c r="B167" s="1" t="s">
        <v>4365</v>
      </c>
      <c r="C167" s="1" t="s">
        <v>4366</v>
      </c>
      <c r="D167" s="1" t="s">
        <v>4233</v>
      </c>
      <c r="E167" s="1" t="s">
        <v>4234</v>
      </c>
      <c r="F167" s="1">
        <v>28412.0</v>
      </c>
      <c r="G167" s="1">
        <v>1709.0</v>
      </c>
      <c r="H167" s="1">
        <v>38.0</v>
      </c>
      <c r="I167" s="1">
        <v>1.72E7</v>
      </c>
      <c r="J167" s="1" t="s">
        <v>2468</v>
      </c>
      <c r="K167" s="5">
        <f t="shared" si="2"/>
        <v>0.001651860465</v>
      </c>
      <c r="L167" s="6">
        <f t="shared" si="3"/>
        <v>273</v>
      </c>
      <c r="M167" s="6">
        <f t="shared" si="4"/>
        <v>104.0732601</v>
      </c>
      <c r="N167" s="7">
        <f t="shared" si="5"/>
        <v>0.000006050770934</v>
      </c>
      <c r="O167" s="7"/>
      <c r="P167" s="4">
        <f t="shared" si="6"/>
        <v>-0.445264</v>
      </c>
      <c r="Q167" s="4">
        <f t="shared" si="7"/>
        <v>10</v>
      </c>
      <c r="R167" s="4">
        <f t="shared" si="8"/>
        <v>0</v>
      </c>
      <c r="S167" s="4">
        <f t="shared" si="9"/>
        <v>-0.445264</v>
      </c>
      <c r="T167" s="4">
        <f t="shared" si="10"/>
        <v>58</v>
      </c>
      <c r="U167" s="4">
        <f t="shared" si="1"/>
        <v>-0.445264</v>
      </c>
      <c r="V167" s="4"/>
    </row>
    <row r="168">
      <c r="A168" s="1" t="s">
        <v>4367</v>
      </c>
      <c r="B168" s="1" t="s">
        <v>4368</v>
      </c>
      <c r="C168" s="1" t="s">
        <v>4369</v>
      </c>
      <c r="D168" s="1" t="s">
        <v>4233</v>
      </c>
      <c r="E168" s="1" t="s">
        <v>4234</v>
      </c>
      <c r="F168" s="1">
        <v>33105.0</v>
      </c>
      <c r="G168" s="1">
        <v>1334.0</v>
      </c>
      <c r="H168" s="1">
        <v>79.0</v>
      </c>
      <c r="I168" s="1">
        <v>1.72E7</v>
      </c>
      <c r="J168" s="1" t="s">
        <v>2468</v>
      </c>
      <c r="K168" s="5">
        <f t="shared" si="2"/>
        <v>0.001924709302</v>
      </c>
      <c r="L168" s="6">
        <f t="shared" si="3"/>
        <v>274</v>
      </c>
      <c r="M168" s="6">
        <f t="shared" si="4"/>
        <v>120.8211679</v>
      </c>
      <c r="N168" s="7">
        <f t="shared" si="5"/>
        <v>0.000007024486505</v>
      </c>
      <c r="O168" s="7"/>
      <c r="P168" s="4">
        <f t="shared" si="6"/>
        <v>-0.4445781503</v>
      </c>
      <c r="Q168" s="4">
        <f t="shared" si="7"/>
        <v>13</v>
      </c>
      <c r="R168" s="4">
        <f t="shared" si="8"/>
        <v>1</v>
      </c>
      <c r="S168" s="4">
        <f t="shared" si="9"/>
        <v>-0.4445781503</v>
      </c>
      <c r="T168" s="4">
        <f t="shared" si="10"/>
        <v>55</v>
      </c>
      <c r="U168" s="4">
        <f t="shared" si="1"/>
        <v>-0.4445781503</v>
      </c>
      <c r="V168" s="4"/>
    </row>
    <row r="169">
      <c r="A169" s="1" t="s">
        <v>4370</v>
      </c>
      <c r="B169" s="1" t="s">
        <v>4371</v>
      </c>
      <c r="C169" s="1" t="s">
        <v>4372</v>
      </c>
      <c r="D169" s="1" t="s">
        <v>4233</v>
      </c>
      <c r="E169" s="1" t="s">
        <v>4234</v>
      </c>
      <c r="F169" s="1">
        <v>62143.0</v>
      </c>
      <c r="G169" s="1">
        <v>5389.0</v>
      </c>
      <c r="H169" s="1">
        <v>202.0</v>
      </c>
      <c r="I169" s="1">
        <v>1.72E7</v>
      </c>
      <c r="J169" s="1" t="s">
        <v>2468</v>
      </c>
      <c r="K169" s="5">
        <f t="shared" si="2"/>
        <v>0.003612965116</v>
      </c>
      <c r="L169" s="6">
        <f t="shared" si="3"/>
        <v>275</v>
      </c>
      <c r="M169" s="6">
        <f t="shared" si="4"/>
        <v>225.9745455</v>
      </c>
      <c r="N169" s="7">
        <f t="shared" si="5"/>
        <v>0.00001313805497</v>
      </c>
      <c r="O169" s="7"/>
      <c r="P169" s="4">
        <f t="shared" si="6"/>
        <v>-0.4402719763</v>
      </c>
      <c r="Q169" s="4">
        <f t="shared" si="7"/>
        <v>17</v>
      </c>
      <c r="R169" s="4">
        <f t="shared" si="8"/>
        <v>1</v>
      </c>
      <c r="S169" s="4">
        <f t="shared" si="9"/>
        <v>-0.4402719763</v>
      </c>
      <c r="T169" s="4">
        <f t="shared" si="10"/>
        <v>79</v>
      </c>
      <c r="U169" s="4">
        <f t="shared" si="1"/>
        <v>-0.4402719763</v>
      </c>
      <c r="V169" s="4"/>
    </row>
    <row r="170">
      <c r="A170" s="1" t="s">
        <v>4373</v>
      </c>
      <c r="B170" s="1" t="s">
        <v>4374</v>
      </c>
      <c r="C170" s="1" t="s">
        <v>4375</v>
      </c>
      <c r="D170" s="1" t="s">
        <v>4233</v>
      </c>
      <c r="E170" s="1" t="s">
        <v>4234</v>
      </c>
      <c r="F170" s="1">
        <v>39706.0</v>
      </c>
      <c r="G170" s="1">
        <v>1524.0</v>
      </c>
      <c r="H170" s="1">
        <v>95.0</v>
      </c>
      <c r="I170" s="1">
        <v>1.72E7</v>
      </c>
      <c r="J170" s="1" t="s">
        <v>2468</v>
      </c>
      <c r="K170" s="5">
        <f t="shared" si="2"/>
        <v>0.002308488372</v>
      </c>
      <c r="L170" s="6">
        <f t="shared" si="3"/>
        <v>281</v>
      </c>
      <c r="M170" s="6">
        <f t="shared" si="4"/>
        <v>141.3024911</v>
      </c>
      <c r="N170" s="7">
        <f t="shared" si="5"/>
        <v>0.000008215261111</v>
      </c>
      <c r="O170" s="7"/>
      <c r="P170" s="4">
        <f t="shared" si="6"/>
        <v>-0.4437394123</v>
      </c>
      <c r="Q170" s="4">
        <f t="shared" si="7"/>
        <v>11</v>
      </c>
      <c r="R170" s="4">
        <f t="shared" si="8"/>
        <v>1</v>
      </c>
      <c r="S170" s="4">
        <f t="shared" si="9"/>
        <v>-0.4437394123</v>
      </c>
      <c r="T170" s="4">
        <f t="shared" si="10"/>
        <v>48</v>
      </c>
      <c r="U170" s="4">
        <f t="shared" si="1"/>
        <v>-0.4437394123</v>
      </c>
      <c r="V170" s="4"/>
    </row>
    <row r="171">
      <c r="A171" s="1" t="s">
        <v>4376</v>
      </c>
      <c r="B171" s="1" t="s">
        <v>4377</v>
      </c>
      <c r="C171" s="1" t="s">
        <v>4378</v>
      </c>
      <c r="D171" s="1" t="s">
        <v>4233</v>
      </c>
      <c r="E171" s="1" t="s">
        <v>4234</v>
      </c>
      <c r="F171" s="1">
        <v>89409.0</v>
      </c>
      <c r="G171" s="1">
        <v>5909.0</v>
      </c>
      <c r="H171" s="1">
        <v>83.0</v>
      </c>
      <c r="I171" s="1">
        <v>1.72E7</v>
      </c>
      <c r="J171" s="1" t="s">
        <v>2468</v>
      </c>
      <c r="K171" s="5">
        <f t="shared" si="2"/>
        <v>0.005198197674</v>
      </c>
      <c r="L171" s="6">
        <f t="shared" si="3"/>
        <v>282</v>
      </c>
      <c r="M171" s="6">
        <f t="shared" si="4"/>
        <v>317.0531915</v>
      </c>
      <c r="N171" s="7">
        <f t="shared" si="5"/>
        <v>0.00001843332509</v>
      </c>
      <c r="O171" s="7"/>
      <c r="P171" s="4">
        <f t="shared" si="6"/>
        <v>-0.4365421817</v>
      </c>
      <c r="Q171" s="4">
        <f t="shared" si="7"/>
        <v>13</v>
      </c>
      <c r="R171" s="4">
        <f t="shared" si="8"/>
        <v>0</v>
      </c>
      <c r="S171" s="4">
        <f t="shared" si="9"/>
        <v>-0.4365421817</v>
      </c>
      <c r="T171" s="4">
        <f t="shared" si="10"/>
        <v>84</v>
      </c>
      <c r="U171" s="4">
        <f t="shared" si="1"/>
        <v>-0.4365421817</v>
      </c>
      <c r="V171" s="4"/>
    </row>
    <row r="172">
      <c r="A172" s="1" t="s">
        <v>4379</v>
      </c>
      <c r="B172" s="1" t="s">
        <v>4380</v>
      </c>
      <c r="C172" s="1" t="s">
        <v>4381</v>
      </c>
      <c r="D172" s="1" t="s">
        <v>4233</v>
      </c>
      <c r="E172" s="1" t="s">
        <v>4234</v>
      </c>
      <c r="F172" s="1">
        <v>31815.0</v>
      </c>
      <c r="G172" s="1">
        <v>1874.0</v>
      </c>
      <c r="H172" s="1">
        <v>39.0</v>
      </c>
      <c r="I172" s="1">
        <v>1.72E7</v>
      </c>
      <c r="J172" s="1" t="s">
        <v>2468</v>
      </c>
      <c r="K172" s="5">
        <f t="shared" si="2"/>
        <v>0.001849709302</v>
      </c>
      <c r="L172" s="6">
        <f t="shared" si="3"/>
        <v>287</v>
      </c>
      <c r="M172" s="6">
        <f t="shared" si="4"/>
        <v>110.8536585</v>
      </c>
      <c r="N172" s="7">
        <f t="shared" si="5"/>
        <v>0.000006444980147</v>
      </c>
      <c r="O172" s="7"/>
      <c r="P172" s="4">
        <f t="shared" si="6"/>
        <v>-0.4449863334</v>
      </c>
      <c r="Q172" s="4">
        <f t="shared" si="7"/>
        <v>9</v>
      </c>
      <c r="R172" s="4">
        <f t="shared" si="8"/>
        <v>0</v>
      </c>
      <c r="S172" s="4">
        <f t="shared" si="9"/>
        <v>-0.4449863334</v>
      </c>
      <c r="T172" s="4">
        <f t="shared" si="10"/>
        <v>56</v>
      </c>
      <c r="U172" s="4">
        <f t="shared" si="1"/>
        <v>-0.4449863334</v>
      </c>
      <c r="V172" s="4"/>
    </row>
    <row r="173">
      <c r="A173" s="1" t="s">
        <v>4382</v>
      </c>
      <c r="B173" s="1" t="s">
        <v>4383</v>
      </c>
      <c r="C173" s="1" t="s">
        <v>4384</v>
      </c>
      <c r="D173" s="1" t="s">
        <v>4233</v>
      </c>
      <c r="E173" s="1" t="s">
        <v>4234</v>
      </c>
      <c r="F173" s="1">
        <v>54151.0</v>
      </c>
      <c r="G173" s="1">
        <v>2176.0</v>
      </c>
      <c r="H173" s="1">
        <v>100.0</v>
      </c>
      <c r="I173" s="1">
        <v>1.72E7</v>
      </c>
      <c r="J173" s="1" t="s">
        <v>2468</v>
      </c>
      <c r="K173" s="5">
        <f t="shared" si="2"/>
        <v>0.003148313953</v>
      </c>
      <c r="L173" s="6">
        <f t="shared" si="3"/>
        <v>288</v>
      </c>
      <c r="M173" s="6">
        <f t="shared" si="4"/>
        <v>188.0243056</v>
      </c>
      <c r="N173" s="7">
        <f t="shared" si="5"/>
        <v>0.00001093164567</v>
      </c>
      <c r="O173" s="7"/>
      <c r="P173" s="4">
        <f t="shared" si="6"/>
        <v>-0.4418260903</v>
      </c>
      <c r="Q173" s="4">
        <f t="shared" si="7"/>
        <v>11</v>
      </c>
      <c r="R173" s="4">
        <f t="shared" si="8"/>
        <v>0</v>
      </c>
      <c r="S173" s="4">
        <f t="shared" si="9"/>
        <v>-0.4418260903</v>
      </c>
      <c r="T173" s="4">
        <f t="shared" si="10"/>
        <v>47</v>
      </c>
      <c r="U173" s="4">
        <f t="shared" si="1"/>
        <v>-0.4418260903</v>
      </c>
      <c r="V173" s="4"/>
    </row>
    <row r="174">
      <c r="A174" s="1" t="s">
        <v>4385</v>
      </c>
      <c r="B174" s="1" t="s">
        <v>4386</v>
      </c>
      <c r="C174" s="1" t="s">
        <v>4387</v>
      </c>
      <c r="D174" s="1" t="s">
        <v>4233</v>
      </c>
      <c r="E174" s="1" t="s">
        <v>4234</v>
      </c>
      <c r="F174" s="1">
        <v>34510.0</v>
      </c>
      <c r="G174" s="1">
        <v>1189.0</v>
      </c>
      <c r="H174" s="1">
        <v>88.0</v>
      </c>
      <c r="I174" s="1">
        <v>1.72E7</v>
      </c>
      <c r="J174" s="1" t="s">
        <v>2468</v>
      </c>
      <c r="K174" s="5">
        <f t="shared" si="2"/>
        <v>0.002006395349</v>
      </c>
      <c r="L174" s="6">
        <f t="shared" si="3"/>
        <v>289</v>
      </c>
      <c r="M174" s="6">
        <f t="shared" si="4"/>
        <v>119.4117647</v>
      </c>
      <c r="N174" s="7">
        <f t="shared" si="5"/>
        <v>0.00000694254446</v>
      </c>
      <c r="O174" s="7"/>
      <c r="P174" s="4">
        <f t="shared" si="6"/>
        <v>-0.4446358673</v>
      </c>
      <c r="Q174" s="4">
        <f t="shared" si="7"/>
        <v>10</v>
      </c>
      <c r="R174" s="4">
        <f t="shared" si="8"/>
        <v>1</v>
      </c>
      <c r="S174" s="4">
        <f t="shared" si="9"/>
        <v>-0.4446358673</v>
      </c>
      <c r="T174" s="4">
        <f t="shared" si="10"/>
        <v>48</v>
      </c>
      <c r="U174" s="4">
        <f t="shared" si="1"/>
        <v>-0.4446358673</v>
      </c>
      <c r="V174" s="4"/>
    </row>
    <row r="175">
      <c r="A175" s="1" t="s">
        <v>4388</v>
      </c>
      <c r="B175" s="1" t="s">
        <v>4389</v>
      </c>
      <c r="C175" s="1" t="s">
        <v>4390</v>
      </c>
      <c r="D175" s="1" t="s">
        <v>4233</v>
      </c>
      <c r="E175" s="1" t="s">
        <v>4234</v>
      </c>
      <c r="F175" s="1">
        <v>18519.0</v>
      </c>
      <c r="G175" s="1">
        <v>656.0</v>
      </c>
      <c r="H175" s="1">
        <v>10.0</v>
      </c>
      <c r="I175" s="1">
        <v>1.72E7</v>
      </c>
      <c r="J175" s="1" t="s">
        <v>2468</v>
      </c>
      <c r="K175" s="5">
        <f t="shared" si="2"/>
        <v>0.001076686047</v>
      </c>
      <c r="L175" s="6">
        <f t="shared" si="3"/>
        <v>290</v>
      </c>
      <c r="M175" s="6">
        <f t="shared" si="4"/>
        <v>63.85862069</v>
      </c>
      <c r="N175" s="7">
        <f t="shared" si="5"/>
        <v>0.000003712710505</v>
      </c>
      <c r="O175" s="7"/>
      <c r="P175" s="4">
        <f t="shared" si="6"/>
        <v>-0.4469108442</v>
      </c>
      <c r="Q175" s="4">
        <f t="shared" si="7"/>
        <v>4</v>
      </c>
      <c r="R175" s="4">
        <f t="shared" si="8"/>
        <v>0</v>
      </c>
      <c r="S175" s="4">
        <f t="shared" si="9"/>
        <v>-0.4469108442</v>
      </c>
      <c r="T175" s="4">
        <f t="shared" si="10"/>
        <v>25</v>
      </c>
      <c r="U175" s="4">
        <f t="shared" si="1"/>
        <v>-0.4469108442</v>
      </c>
      <c r="V175" s="4"/>
    </row>
    <row r="176">
      <c r="A176" s="1" t="s">
        <v>4391</v>
      </c>
      <c r="B176" s="1" t="s">
        <v>4392</v>
      </c>
      <c r="C176" s="1" t="s">
        <v>4393</v>
      </c>
      <c r="D176" s="1" t="s">
        <v>4233</v>
      </c>
      <c r="E176" s="1" t="s">
        <v>4234</v>
      </c>
      <c r="F176" s="1">
        <v>28212.0</v>
      </c>
      <c r="G176" s="1">
        <v>1762.0</v>
      </c>
      <c r="H176" s="1">
        <v>37.0</v>
      </c>
      <c r="I176" s="1">
        <v>1.72E7</v>
      </c>
      <c r="J176" s="1" t="s">
        <v>2468</v>
      </c>
      <c r="K176" s="5">
        <f t="shared" si="2"/>
        <v>0.001640232558</v>
      </c>
      <c r="L176" s="6">
        <f t="shared" si="3"/>
        <v>294</v>
      </c>
      <c r="M176" s="6">
        <f t="shared" si="4"/>
        <v>95.95918367</v>
      </c>
      <c r="N176" s="7">
        <f t="shared" si="5"/>
        <v>0.000005579022307</v>
      </c>
      <c r="O176" s="7"/>
      <c r="P176" s="4">
        <f t="shared" si="6"/>
        <v>-0.4455962824</v>
      </c>
      <c r="Q176" s="4">
        <f t="shared" si="7"/>
        <v>11</v>
      </c>
      <c r="R176" s="4">
        <f t="shared" si="8"/>
        <v>0</v>
      </c>
      <c r="S176" s="4">
        <f t="shared" si="9"/>
        <v>-0.4455962824</v>
      </c>
      <c r="T176" s="4">
        <f t="shared" si="10"/>
        <v>67</v>
      </c>
      <c r="U176" s="4">
        <f t="shared" si="1"/>
        <v>-0.4455962824</v>
      </c>
      <c r="V176" s="4"/>
    </row>
    <row r="177">
      <c r="A177" s="1" t="s">
        <v>4394</v>
      </c>
      <c r="B177" s="1" t="s">
        <v>4395</v>
      </c>
      <c r="C177" s="1" t="s">
        <v>4396</v>
      </c>
      <c r="D177" s="1" t="s">
        <v>4233</v>
      </c>
      <c r="E177" s="1" t="s">
        <v>4234</v>
      </c>
      <c r="F177" s="1">
        <v>59643.0</v>
      </c>
      <c r="G177" s="1">
        <v>4548.0</v>
      </c>
      <c r="H177" s="1">
        <v>83.0</v>
      </c>
      <c r="I177" s="1">
        <v>1.72E7</v>
      </c>
      <c r="J177" s="1" t="s">
        <v>2468</v>
      </c>
      <c r="K177" s="5">
        <f t="shared" si="2"/>
        <v>0.003467616279</v>
      </c>
      <c r="L177" s="6">
        <f t="shared" si="3"/>
        <v>296</v>
      </c>
      <c r="M177" s="6">
        <f t="shared" si="4"/>
        <v>201.4966216</v>
      </c>
      <c r="N177" s="7">
        <f t="shared" si="5"/>
        <v>0.00001171491986</v>
      </c>
      <c r="O177" s="7"/>
      <c r="P177" s="4">
        <f t="shared" si="6"/>
        <v>-0.4412743806</v>
      </c>
      <c r="Q177" s="4">
        <f t="shared" si="7"/>
        <v>13</v>
      </c>
      <c r="R177" s="4">
        <f t="shared" si="8"/>
        <v>0</v>
      </c>
      <c r="S177" s="4">
        <f t="shared" si="9"/>
        <v>-0.4412743806</v>
      </c>
      <c r="T177" s="4">
        <f t="shared" si="10"/>
        <v>66</v>
      </c>
      <c r="U177" s="4">
        <f t="shared" si="1"/>
        <v>-0.4412743806</v>
      </c>
      <c r="V177" s="4"/>
    </row>
    <row r="178">
      <c r="A178" s="1" t="s">
        <v>4397</v>
      </c>
      <c r="B178" s="1" t="s">
        <v>4398</v>
      </c>
      <c r="C178" s="1" t="s">
        <v>4399</v>
      </c>
      <c r="D178" s="1" t="s">
        <v>4233</v>
      </c>
      <c r="E178" s="1" t="s">
        <v>4234</v>
      </c>
      <c r="F178" s="1">
        <v>54576.0</v>
      </c>
      <c r="G178" s="1">
        <v>3301.0</v>
      </c>
      <c r="H178" s="1">
        <v>54.0</v>
      </c>
      <c r="I178" s="1">
        <v>1.72E7</v>
      </c>
      <c r="J178" s="1" t="s">
        <v>2468</v>
      </c>
      <c r="K178" s="5">
        <f t="shared" si="2"/>
        <v>0.003173023256</v>
      </c>
      <c r="L178" s="6">
        <f t="shared" si="3"/>
        <v>301</v>
      </c>
      <c r="M178" s="6">
        <f t="shared" si="4"/>
        <v>181.3156146</v>
      </c>
      <c r="N178" s="7">
        <f t="shared" si="5"/>
        <v>0.0000105416055</v>
      </c>
      <c r="O178" s="7"/>
      <c r="P178" s="4">
        <f t="shared" si="6"/>
        <v>-0.4421008203</v>
      </c>
      <c r="Q178" s="4">
        <f t="shared" si="7"/>
        <v>13</v>
      </c>
      <c r="R178" s="4">
        <f t="shared" si="8"/>
        <v>0</v>
      </c>
      <c r="S178" s="4">
        <f t="shared" si="9"/>
        <v>-0.4421008203</v>
      </c>
      <c r="T178" s="4">
        <f t="shared" si="10"/>
        <v>71</v>
      </c>
      <c r="U178" s="4">
        <f t="shared" si="1"/>
        <v>-0.4421008203</v>
      </c>
      <c r="V178" s="4"/>
    </row>
    <row r="179">
      <c r="A179" s="1" t="s">
        <v>4400</v>
      </c>
      <c r="B179" s="1" t="s">
        <v>4401</v>
      </c>
      <c r="C179" s="1" t="s">
        <v>4402</v>
      </c>
      <c r="D179" s="1" t="s">
        <v>4233</v>
      </c>
      <c r="E179" s="1" t="s">
        <v>4234</v>
      </c>
      <c r="F179" s="1">
        <v>50911.0</v>
      </c>
      <c r="G179" s="1">
        <v>4159.0</v>
      </c>
      <c r="H179" s="1">
        <v>126.0</v>
      </c>
      <c r="I179" s="1">
        <v>1.72E7</v>
      </c>
      <c r="J179" s="1" t="s">
        <v>2468</v>
      </c>
      <c r="K179" s="5">
        <f t="shared" si="2"/>
        <v>0.00295994186</v>
      </c>
      <c r="L179" s="6">
        <f t="shared" si="3"/>
        <v>303</v>
      </c>
      <c r="M179" s="6">
        <f t="shared" si="4"/>
        <v>168.0231023</v>
      </c>
      <c r="N179" s="7">
        <f t="shared" si="5"/>
        <v>0.000009768785018</v>
      </c>
      <c r="O179" s="7"/>
      <c r="P179" s="4">
        <f t="shared" si="6"/>
        <v>-0.4426451668</v>
      </c>
      <c r="Q179" s="4">
        <f t="shared" si="7"/>
        <v>15</v>
      </c>
      <c r="R179" s="4">
        <f t="shared" si="8"/>
        <v>0</v>
      </c>
      <c r="S179" s="4">
        <f t="shared" si="9"/>
        <v>-0.4426451668</v>
      </c>
      <c r="T179" s="4">
        <f t="shared" si="10"/>
        <v>75</v>
      </c>
      <c r="U179" s="4">
        <f t="shared" si="1"/>
        <v>-0.4426451668</v>
      </c>
      <c r="V179" s="4"/>
    </row>
    <row r="180">
      <c r="A180" s="1" t="s">
        <v>4403</v>
      </c>
      <c r="B180" s="1" t="s">
        <v>4404</v>
      </c>
      <c r="C180" s="1" t="s">
        <v>4405</v>
      </c>
      <c r="D180" s="1" t="s">
        <v>4233</v>
      </c>
      <c r="E180" s="1" t="s">
        <v>4234</v>
      </c>
      <c r="F180" s="1">
        <v>82868.0</v>
      </c>
      <c r="G180" s="1">
        <v>6247.0</v>
      </c>
      <c r="H180" s="1">
        <v>137.0</v>
      </c>
      <c r="I180" s="1">
        <v>1.72E7</v>
      </c>
      <c r="J180" s="1" t="s">
        <v>2468</v>
      </c>
      <c r="K180" s="5">
        <f t="shared" si="2"/>
        <v>0.004817906977</v>
      </c>
      <c r="L180" s="6">
        <f t="shared" si="3"/>
        <v>308</v>
      </c>
      <c r="M180" s="6">
        <f t="shared" si="4"/>
        <v>269.0519481</v>
      </c>
      <c r="N180" s="7">
        <f t="shared" si="5"/>
        <v>0.00001564255512</v>
      </c>
      <c r="O180" s="7"/>
      <c r="P180" s="4">
        <f t="shared" si="6"/>
        <v>-0.438507898</v>
      </c>
      <c r="Q180" s="4">
        <f t="shared" si="7"/>
        <v>11</v>
      </c>
      <c r="R180" s="4">
        <f t="shared" si="8"/>
        <v>0</v>
      </c>
      <c r="S180" s="4">
        <f t="shared" si="9"/>
        <v>-0.438507898</v>
      </c>
      <c r="T180" s="4">
        <f t="shared" si="10"/>
        <v>73</v>
      </c>
      <c r="U180" s="4">
        <f t="shared" si="1"/>
        <v>-0.438507898</v>
      </c>
      <c r="V180" s="4"/>
    </row>
    <row r="181">
      <c r="A181" s="1" t="s">
        <v>4406</v>
      </c>
      <c r="B181" s="1" t="s">
        <v>4407</v>
      </c>
      <c r="C181" s="1" t="s">
        <v>4408</v>
      </c>
      <c r="D181" s="1" t="s">
        <v>4233</v>
      </c>
      <c r="E181" s="1" t="s">
        <v>4234</v>
      </c>
      <c r="F181" s="1">
        <v>50272.0</v>
      </c>
      <c r="G181" s="1">
        <v>3098.0</v>
      </c>
      <c r="H181" s="1">
        <v>126.0</v>
      </c>
      <c r="I181" s="1">
        <v>1.72E7</v>
      </c>
      <c r="J181" s="1" t="s">
        <v>2468</v>
      </c>
      <c r="K181" s="5">
        <f t="shared" si="2"/>
        <v>0.002922790698</v>
      </c>
      <c r="L181" s="6">
        <f t="shared" si="3"/>
        <v>315</v>
      </c>
      <c r="M181" s="6">
        <f t="shared" si="4"/>
        <v>159.5936508</v>
      </c>
      <c r="N181" s="7">
        <f t="shared" si="5"/>
        <v>0.000009278700628</v>
      </c>
      <c r="O181" s="7"/>
      <c r="P181" s="4">
        <f t="shared" si="6"/>
        <v>-0.4429903643</v>
      </c>
      <c r="Q181" s="4">
        <f t="shared" si="7"/>
        <v>6</v>
      </c>
      <c r="R181" s="4">
        <f t="shared" si="8"/>
        <v>0</v>
      </c>
      <c r="S181" s="4">
        <f t="shared" si="9"/>
        <v>-0.4429903643</v>
      </c>
      <c r="T181" s="4">
        <f t="shared" si="10"/>
        <v>40</v>
      </c>
      <c r="U181" s="4">
        <f t="shared" si="1"/>
        <v>-0.4429903643</v>
      </c>
      <c r="V181" s="4"/>
    </row>
    <row r="182">
      <c r="A182" s="1" t="s">
        <v>4409</v>
      </c>
      <c r="B182" s="1" t="s">
        <v>4410</v>
      </c>
      <c r="C182" s="1" t="s">
        <v>4411</v>
      </c>
      <c r="D182" s="1" t="s">
        <v>4233</v>
      </c>
      <c r="E182" s="1" t="s">
        <v>4234</v>
      </c>
      <c r="F182" s="1">
        <v>66119.0</v>
      </c>
      <c r="G182" s="1">
        <v>3616.0</v>
      </c>
      <c r="H182" s="1">
        <v>47.0</v>
      </c>
      <c r="I182" s="1">
        <v>1.72E7</v>
      </c>
      <c r="J182" s="1" t="s">
        <v>2468</v>
      </c>
      <c r="K182" s="5">
        <f t="shared" si="2"/>
        <v>0.003844127907</v>
      </c>
      <c r="L182" s="6">
        <f t="shared" si="3"/>
        <v>317</v>
      </c>
      <c r="M182" s="6">
        <f t="shared" si="4"/>
        <v>208.5772871</v>
      </c>
      <c r="N182" s="7">
        <f t="shared" si="5"/>
        <v>0.00001212658646</v>
      </c>
      <c r="O182" s="7"/>
      <c r="P182" s="4">
        <f t="shared" si="6"/>
        <v>-0.4409844177</v>
      </c>
      <c r="Q182" s="4">
        <f t="shared" si="7"/>
        <v>12</v>
      </c>
      <c r="R182" s="4">
        <f t="shared" si="8"/>
        <v>0</v>
      </c>
      <c r="S182" s="4">
        <f t="shared" si="9"/>
        <v>-0.4409844177</v>
      </c>
      <c r="T182" s="4">
        <f t="shared" si="10"/>
        <v>70</v>
      </c>
      <c r="U182" s="4">
        <f t="shared" si="1"/>
        <v>-0.4409844177</v>
      </c>
      <c r="V182" s="4"/>
    </row>
    <row r="183">
      <c r="A183" s="1" t="s">
        <v>4412</v>
      </c>
      <c r="B183" s="1" t="s">
        <v>4413</v>
      </c>
      <c r="C183" s="1" t="s">
        <v>4414</v>
      </c>
      <c r="D183" s="1" t="s">
        <v>4233</v>
      </c>
      <c r="E183" s="1" t="s">
        <v>4234</v>
      </c>
      <c r="F183" s="1">
        <v>119501.0</v>
      </c>
      <c r="G183" s="1">
        <v>10840.0</v>
      </c>
      <c r="H183" s="1">
        <v>276.0</v>
      </c>
      <c r="I183" s="1">
        <v>1.72E7</v>
      </c>
      <c r="J183" s="1" t="s">
        <v>2468</v>
      </c>
      <c r="K183" s="5">
        <f t="shared" si="2"/>
        <v>0.006947732558</v>
      </c>
      <c r="L183" s="6">
        <f t="shared" si="3"/>
        <v>324</v>
      </c>
      <c r="M183" s="6">
        <f t="shared" si="4"/>
        <v>368.8302469</v>
      </c>
      <c r="N183" s="7">
        <f t="shared" si="5"/>
        <v>0.00002144361901</v>
      </c>
      <c r="O183" s="7"/>
      <c r="P183" s="4">
        <f t="shared" si="6"/>
        <v>-0.4344218408</v>
      </c>
      <c r="Q183" s="4">
        <f t="shared" si="7"/>
        <v>16</v>
      </c>
      <c r="R183" s="4">
        <f t="shared" si="8"/>
        <v>0</v>
      </c>
      <c r="S183" s="4">
        <f t="shared" si="9"/>
        <v>-0.4344218408</v>
      </c>
      <c r="T183" s="4">
        <f t="shared" si="10"/>
        <v>80</v>
      </c>
      <c r="U183" s="4">
        <f t="shared" si="1"/>
        <v>-0.4344218408</v>
      </c>
      <c r="V183" s="4"/>
    </row>
    <row r="184">
      <c r="A184" s="1" t="s">
        <v>4415</v>
      </c>
      <c r="B184" s="1" t="s">
        <v>4416</v>
      </c>
      <c r="C184" s="1" t="s">
        <v>4417</v>
      </c>
      <c r="D184" s="1" t="s">
        <v>4233</v>
      </c>
      <c r="E184" s="1" t="s">
        <v>4234</v>
      </c>
      <c r="F184" s="1">
        <v>57675.0</v>
      </c>
      <c r="G184" s="1">
        <v>3242.0</v>
      </c>
      <c r="H184" s="1">
        <v>42.0</v>
      </c>
      <c r="I184" s="1">
        <v>1.72E7</v>
      </c>
      <c r="J184" s="1" t="s">
        <v>2468</v>
      </c>
      <c r="K184" s="5">
        <f t="shared" si="2"/>
        <v>0.003353197674</v>
      </c>
      <c r="L184" s="6">
        <f t="shared" si="3"/>
        <v>331</v>
      </c>
      <c r="M184" s="6">
        <f t="shared" si="4"/>
        <v>174.244713</v>
      </c>
      <c r="N184" s="7">
        <f t="shared" si="5"/>
        <v>0.00001013050657</v>
      </c>
      <c r="O184" s="7"/>
      <c r="P184" s="4">
        <f t="shared" si="6"/>
        <v>-0.4423903834</v>
      </c>
      <c r="Q184" s="4">
        <f t="shared" si="7"/>
        <v>15</v>
      </c>
      <c r="R184" s="4">
        <f t="shared" si="8"/>
        <v>0</v>
      </c>
      <c r="S184" s="4">
        <f t="shared" si="9"/>
        <v>-0.4423903834</v>
      </c>
      <c r="T184" s="4">
        <f t="shared" si="10"/>
        <v>77</v>
      </c>
      <c r="U184" s="4">
        <f t="shared" si="1"/>
        <v>-0.4423903834</v>
      </c>
      <c r="V184" s="4"/>
    </row>
    <row r="185">
      <c r="A185" s="1" t="s">
        <v>4418</v>
      </c>
      <c r="B185" s="1" t="s">
        <v>4419</v>
      </c>
      <c r="C185" s="1" t="s">
        <v>4420</v>
      </c>
      <c r="D185" s="1" t="s">
        <v>4233</v>
      </c>
      <c r="E185" s="1" t="s">
        <v>4234</v>
      </c>
      <c r="F185" s="1">
        <v>41410.0</v>
      </c>
      <c r="G185" s="1">
        <v>2674.0</v>
      </c>
      <c r="H185" s="1">
        <v>54.0</v>
      </c>
      <c r="I185" s="1">
        <v>1.72E7</v>
      </c>
      <c r="J185" s="1" t="s">
        <v>2468</v>
      </c>
      <c r="K185" s="5">
        <f t="shared" si="2"/>
        <v>0.00240755814</v>
      </c>
      <c r="L185" s="6">
        <f t="shared" si="3"/>
        <v>338</v>
      </c>
      <c r="M185" s="6">
        <f t="shared" si="4"/>
        <v>122.5147929</v>
      </c>
      <c r="N185" s="7">
        <f t="shared" si="5"/>
        <v>0.000007122953076</v>
      </c>
      <c r="O185" s="7"/>
      <c r="P185" s="4">
        <f t="shared" si="6"/>
        <v>-0.4445087941</v>
      </c>
      <c r="Q185" s="4">
        <f t="shared" si="7"/>
        <v>14</v>
      </c>
      <c r="R185" s="4">
        <f t="shared" si="8"/>
        <v>0</v>
      </c>
      <c r="S185" s="4">
        <f t="shared" si="9"/>
        <v>-0.4445087941</v>
      </c>
      <c r="T185" s="4">
        <f t="shared" si="10"/>
        <v>67</v>
      </c>
      <c r="U185" s="4">
        <f t="shared" si="1"/>
        <v>-0.4445087941</v>
      </c>
      <c r="V185" s="4"/>
    </row>
    <row r="186">
      <c r="A186" s="1" t="s">
        <v>4421</v>
      </c>
      <c r="B186" s="1" t="s">
        <v>4422</v>
      </c>
      <c r="C186" s="1" t="s">
        <v>4423</v>
      </c>
      <c r="D186" s="1" t="s">
        <v>4233</v>
      </c>
      <c r="E186" s="1" t="s">
        <v>4234</v>
      </c>
      <c r="F186" s="1">
        <v>46420.0</v>
      </c>
      <c r="G186" s="1">
        <v>2882.0</v>
      </c>
      <c r="H186" s="1">
        <v>27.0</v>
      </c>
      <c r="I186" s="1">
        <v>1.72E7</v>
      </c>
      <c r="J186" s="1" t="s">
        <v>2468</v>
      </c>
      <c r="K186" s="5">
        <f t="shared" si="2"/>
        <v>0.002698837209</v>
      </c>
      <c r="L186" s="6">
        <f t="shared" si="3"/>
        <v>345</v>
      </c>
      <c r="M186" s="6">
        <f t="shared" si="4"/>
        <v>134.5507246</v>
      </c>
      <c r="N186" s="7">
        <f t="shared" si="5"/>
        <v>0.000007822716549</v>
      </c>
      <c r="O186" s="7"/>
      <c r="P186" s="4">
        <f t="shared" si="6"/>
        <v>-0.4440159063</v>
      </c>
      <c r="Q186" s="4">
        <f t="shared" si="7"/>
        <v>13</v>
      </c>
      <c r="R186" s="4">
        <f t="shared" si="8"/>
        <v>0</v>
      </c>
      <c r="S186" s="4">
        <f t="shared" si="9"/>
        <v>-0.4440159063</v>
      </c>
      <c r="T186" s="4">
        <f t="shared" si="10"/>
        <v>68</v>
      </c>
      <c r="U186" s="4">
        <f t="shared" si="1"/>
        <v>-0.4440159063</v>
      </c>
      <c r="V186" s="4"/>
    </row>
    <row r="187">
      <c r="A187" s="1" t="s">
        <v>4424</v>
      </c>
      <c r="B187" s="1" t="s">
        <v>4425</v>
      </c>
      <c r="C187" s="1" t="s">
        <v>4426</v>
      </c>
      <c r="D187" s="1" t="s">
        <v>4233</v>
      </c>
      <c r="E187" s="1" t="s">
        <v>4234</v>
      </c>
      <c r="F187" s="1">
        <v>611154.0</v>
      </c>
      <c r="G187" s="1">
        <v>24903.0</v>
      </c>
      <c r="H187" s="1">
        <v>284.0</v>
      </c>
      <c r="I187" s="1">
        <v>1.72E7</v>
      </c>
      <c r="J187" s="1" t="s">
        <v>2468</v>
      </c>
      <c r="K187" s="5">
        <f t="shared" si="2"/>
        <v>0.0355322093</v>
      </c>
      <c r="L187" s="6">
        <f t="shared" si="3"/>
        <v>352</v>
      </c>
      <c r="M187" s="6">
        <f t="shared" si="4"/>
        <v>1736.232955</v>
      </c>
      <c r="N187" s="7">
        <f t="shared" si="5"/>
        <v>0.0001009437764</v>
      </c>
      <c r="O187" s="7"/>
      <c r="P187" s="4">
        <f t="shared" si="6"/>
        <v>-0.3784248374</v>
      </c>
      <c r="Q187" s="4">
        <f t="shared" si="7"/>
        <v>8</v>
      </c>
      <c r="R187" s="4">
        <f t="shared" si="8"/>
        <v>0</v>
      </c>
      <c r="S187" s="4">
        <f t="shared" si="9"/>
        <v>-0.3784248374</v>
      </c>
      <c r="T187" s="4">
        <f t="shared" si="10"/>
        <v>42</v>
      </c>
      <c r="U187" s="4">
        <f t="shared" si="1"/>
        <v>-0.3784248374</v>
      </c>
      <c r="V187" s="4"/>
    </row>
    <row r="188">
      <c r="A188" s="1" t="s">
        <v>4427</v>
      </c>
      <c r="B188" s="1" t="s">
        <v>4428</v>
      </c>
      <c r="C188" s="1" t="s">
        <v>4429</v>
      </c>
      <c r="D188" s="1" t="s">
        <v>4233</v>
      </c>
      <c r="E188" s="1" t="s">
        <v>4234</v>
      </c>
      <c r="F188" s="1">
        <v>72020.0</v>
      </c>
      <c r="G188" s="1">
        <v>3683.0</v>
      </c>
      <c r="H188" s="1">
        <v>26.0</v>
      </c>
      <c r="I188" s="1">
        <v>1.72E7</v>
      </c>
      <c r="J188" s="1" t="s">
        <v>2468</v>
      </c>
      <c r="K188" s="5">
        <f t="shared" si="2"/>
        <v>0.004187209302</v>
      </c>
      <c r="L188" s="6">
        <f t="shared" si="3"/>
        <v>359</v>
      </c>
      <c r="M188" s="6">
        <f t="shared" si="4"/>
        <v>200.6128134</v>
      </c>
      <c r="N188" s="7">
        <f t="shared" si="5"/>
        <v>0.00001166353566</v>
      </c>
      <c r="O188" s="7"/>
      <c r="P188" s="4">
        <f t="shared" si="6"/>
        <v>-0.4413105738</v>
      </c>
      <c r="Q188" s="4">
        <f t="shared" si="7"/>
        <v>13</v>
      </c>
      <c r="R188" s="4">
        <f t="shared" si="8"/>
        <v>0</v>
      </c>
      <c r="S188" s="4">
        <f t="shared" si="9"/>
        <v>-0.4413105738</v>
      </c>
      <c r="T188" s="4">
        <f t="shared" si="10"/>
        <v>66</v>
      </c>
      <c r="U188" s="4">
        <f t="shared" si="1"/>
        <v>-0.4413105738</v>
      </c>
      <c r="V188" s="4"/>
    </row>
    <row r="189">
      <c r="A189" s="1" t="s">
        <v>4430</v>
      </c>
      <c r="B189" s="1" t="s">
        <v>4431</v>
      </c>
      <c r="C189" s="1" t="s">
        <v>4432</v>
      </c>
      <c r="D189" s="1" t="s">
        <v>4233</v>
      </c>
      <c r="E189" s="1" t="s">
        <v>4234</v>
      </c>
      <c r="F189" s="1">
        <v>51676.0</v>
      </c>
      <c r="G189" s="1">
        <v>2967.0</v>
      </c>
      <c r="H189" s="1">
        <v>58.0</v>
      </c>
      <c r="I189" s="1">
        <v>1.72E7</v>
      </c>
      <c r="J189" s="1" t="s">
        <v>2468</v>
      </c>
      <c r="K189" s="5">
        <f t="shared" si="2"/>
        <v>0.003004418605</v>
      </c>
      <c r="L189" s="6">
        <f t="shared" si="3"/>
        <v>366</v>
      </c>
      <c r="M189" s="6">
        <f t="shared" si="4"/>
        <v>141.1912568</v>
      </c>
      <c r="N189" s="7">
        <f t="shared" si="5"/>
        <v>0.000008208794002</v>
      </c>
      <c r="O189" s="7"/>
      <c r="P189" s="4">
        <f t="shared" si="6"/>
        <v>-0.4437439674</v>
      </c>
      <c r="Q189" s="4">
        <f t="shared" si="7"/>
        <v>12</v>
      </c>
      <c r="R189" s="4">
        <f t="shared" si="8"/>
        <v>0</v>
      </c>
      <c r="S189" s="4">
        <f t="shared" si="9"/>
        <v>-0.4437439674</v>
      </c>
      <c r="T189" s="4">
        <f t="shared" si="10"/>
        <v>64</v>
      </c>
      <c r="U189" s="4">
        <f t="shared" si="1"/>
        <v>-0.4437439674</v>
      </c>
      <c r="V189" s="4"/>
    </row>
    <row r="190">
      <c r="A190" s="1" t="s">
        <v>4433</v>
      </c>
      <c r="B190" s="1" t="s">
        <v>4434</v>
      </c>
      <c r="C190" s="1" t="s">
        <v>4435</v>
      </c>
      <c r="D190" s="1" t="s">
        <v>4233</v>
      </c>
      <c r="E190" s="1" t="s">
        <v>4234</v>
      </c>
      <c r="F190" s="1">
        <v>60880.0</v>
      </c>
      <c r="G190" s="1">
        <v>3156.0</v>
      </c>
      <c r="H190" s="1">
        <v>39.0</v>
      </c>
      <c r="I190" s="1">
        <v>1.72E7</v>
      </c>
      <c r="J190" s="1" t="s">
        <v>2468</v>
      </c>
      <c r="K190" s="5">
        <f t="shared" si="2"/>
        <v>0.003539534884</v>
      </c>
      <c r="L190" s="6">
        <f t="shared" si="3"/>
        <v>373</v>
      </c>
      <c r="M190" s="6">
        <f t="shared" si="4"/>
        <v>163.2171582</v>
      </c>
      <c r="N190" s="7">
        <f t="shared" si="5"/>
        <v>0.000009489369661</v>
      </c>
      <c r="O190" s="7"/>
      <c r="P190" s="4">
        <f t="shared" si="6"/>
        <v>-0.4428419768</v>
      </c>
      <c r="Q190" s="4">
        <f t="shared" si="7"/>
        <v>13</v>
      </c>
      <c r="R190" s="4">
        <f t="shared" si="8"/>
        <v>0</v>
      </c>
      <c r="S190" s="4">
        <f t="shared" si="9"/>
        <v>-0.4428419768</v>
      </c>
      <c r="T190" s="4">
        <f t="shared" si="10"/>
        <v>73</v>
      </c>
      <c r="U190" s="4">
        <f t="shared" si="1"/>
        <v>-0.4428419768</v>
      </c>
      <c r="V190" s="4"/>
    </row>
    <row r="191">
      <c r="A191" s="1" t="s">
        <v>4436</v>
      </c>
      <c r="B191" s="1" t="s">
        <v>4437</v>
      </c>
      <c r="C191" s="1" t="s">
        <v>4438</v>
      </c>
      <c r="D191" s="1" t="s">
        <v>4233</v>
      </c>
      <c r="E191" s="1" t="s">
        <v>4234</v>
      </c>
      <c r="F191" s="1">
        <v>118227.0</v>
      </c>
      <c r="G191" s="1">
        <v>4350.0</v>
      </c>
      <c r="H191" s="1">
        <v>106.0</v>
      </c>
      <c r="I191" s="1">
        <v>1.72E7</v>
      </c>
      <c r="J191" s="1" t="s">
        <v>2468</v>
      </c>
      <c r="K191" s="5">
        <f t="shared" si="2"/>
        <v>0.006873662791</v>
      </c>
      <c r="L191" s="6">
        <f t="shared" si="3"/>
        <v>387</v>
      </c>
      <c r="M191" s="6">
        <f t="shared" si="4"/>
        <v>305.496124</v>
      </c>
      <c r="N191" s="7">
        <f t="shared" si="5"/>
        <v>0.00001776140256</v>
      </c>
      <c r="O191" s="7"/>
      <c r="P191" s="4">
        <f t="shared" si="6"/>
        <v>-0.4370154593</v>
      </c>
      <c r="Q191" s="4">
        <f t="shared" si="7"/>
        <v>15</v>
      </c>
      <c r="R191" s="4">
        <f t="shared" si="8"/>
        <v>0</v>
      </c>
      <c r="S191" s="4">
        <f t="shared" si="9"/>
        <v>-0.4370154593</v>
      </c>
      <c r="T191" s="4">
        <f t="shared" si="10"/>
        <v>80</v>
      </c>
      <c r="U191" s="4">
        <f t="shared" si="1"/>
        <v>-0.4370154593</v>
      </c>
      <c r="V191" s="4"/>
    </row>
    <row r="192">
      <c r="A192" s="1" t="s">
        <v>4439</v>
      </c>
      <c r="B192" s="1" t="s">
        <v>4440</v>
      </c>
      <c r="C192" s="1" t="s">
        <v>4441</v>
      </c>
      <c r="D192" s="1" t="s">
        <v>4233</v>
      </c>
      <c r="E192" s="1" t="s">
        <v>4234</v>
      </c>
      <c r="F192" s="1">
        <v>84642.0</v>
      </c>
      <c r="G192" s="1">
        <v>3887.0</v>
      </c>
      <c r="H192" s="1">
        <v>70.0</v>
      </c>
      <c r="I192" s="1">
        <v>1.72E7</v>
      </c>
      <c r="J192" s="1" t="s">
        <v>2468</v>
      </c>
      <c r="K192" s="5">
        <f t="shared" si="2"/>
        <v>0.004921046512</v>
      </c>
      <c r="L192" s="6">
        <f t="shared" si="3"/>
        <v>394</v>
      </c>
      <c r="M192" s="6">
        <f t="shared" si="4"/>
        <v>214.8274112</v>
      </c>
      <c r="N192" s="7">
        <f t="shared" si="5"/>
        <v>0.00001248996577</v>
      </c>
      <c r="O192" s="7"/>
      <c r="P192" s="4">
        <f t="shared" si="6"/>
        <v>-0.4407284666</v>
      </c>
      <c r="Q192" s="4">
        <f t="shared" si="7"/>
        <v>16</v>
      </c>
      <c r="R192" s="4">
        <f t="shared" si="8"/>
        <v>0</v>
      </c>
      <c r="S192" s="4">
        <f t="shared" si="9"/>
        <v>-0.4407284666</v>
      </c>
      <c r="T192" s="4">
        <f t="shared" si="10"/>
        <v>70</v>
      </c>
      <c r="U192" s="4">
        <f t="shared" si="1"/>
        <v>-0.4407284666</v>
      </c>
      <c r="V192" s="4"/>
    </row>
    <row r="193">
      <c r="A193" s="1" t="s">
        <v>4442</v>
      </c>
      <c r="B193" s="1" t="s">
        <v>4443</v>
      </c>
      <c r="C193" s="1" t="s">
        <v>4444</v>
      </c>
      <c r="D193" s="1" t="s">
        <v>4233</v>
      </c>
      <c r="E193" s="1" t="s">
        <v>4234</v>
      </c>
      <c r="F193" s="1">
        <v>206848.0</v>
      </c>
      <c r="G193" s="1">
        <v>10423.0</v>
      </c>
      <c r="H193" s="1">
        <v>82.0</v>
      </c>
      <c r="I193" s="1">
        <v>1.72E7</v>
      </c>
      <c r="J193" s="1" t="s">
        <v>2468</v>
      </c>
      <c r="K193" s="5">
        <f t="shared" si="2"/>
        <v>0.01202604651</v>
      </c>
      <c r="L193" s="6">
        <f t="shared" si="3"/>
        <v>401</v>
      </c>
      <c r="M193" s="6">
        <f t="shared" si="4"/>
        <v>515.8304239</v>
      </c>
      <c r="N193" s="7">
        <f t="shared" si="5"/>
        <v>0.00002999014093</v>
      </c>
      <c r="O193" s="7"/>
      <c r="P193" s="4">
        <f t="shared" si="6"/>
        <v>-0.4284019833</v>
      </c>
      <c r="Q193" s="4">
        <f t="shared" si="7"/>
        <v>14</v>
      </c>
      <c r="R193" s="4">
        <f t="shared" si="8"/>
        <v>0</v>
      </c>
      <c r="S193" s="4">
        <f t="shared" si="9"/>
        <v>-0.4284019833</v>
      </c>
      <c r="T193" s="4">
        <f t="shared" si="10"/>
        <v>75</v>
      </c>
      <c r="U193" s="4">
        <f t="shared" si="1"/>
        <v>-0.4284019833</v>
      </c>
      <c r="V193" s="4"/>
    </row>
    <row r="194">
      <c r="A194" s="1" t="s">
        <v>4445</v>
      </c>
      <c r="B194" s="1" t="s">
        <v>4446</v>
      </c>
      <c r="C194" s="1" t="s">
        <v>4447</v>
      </c>
      <c r="D194" s="1" t="s">
        <v>4233</v>
      </c>
      <c r="E194" s="1" t="s">
        <v>4234</v>
      </c>
      <c r="F194" s="1">
        <v>72892.0</v>
      </c>
      <c r="G194" s="1">
        <v>3989.0</v>
      </c>
      <c r="H194" s="1">
        <v>78.0</v>
      </c>
      <c r="I194" s="1">
        <v>1.72E7</v>
      </c>
      <c r="J194" s="1" t="s">
        <v>2468</v>
      </c>
      <c r="K194" s="5">
        <f t="shared" si="2"/>
        <v>0.004237906977</v>
      </c>
      <c r="L194" s="6">
        <f t="shared" si="3"/>
        <v>415</v>
      </c>
      <c r="M194" s="6">
        <f t="shared" si="4"/>
        <v>175.6433735</v>
      </c>
      <c r="N194" s="7">
        <f t="shared" si="5"/>
        <v>0.00001021182404</v>
      </c>
      <c r="O194" s="7"/>
      <c r="P194" s="4">
        <f t="shared" si="6"/>
        <v>-0.4423331063</v>
      </c>
      <c r="Q194" s="4">
        <f t="shared" si="7"/>
        <v>18</v>
      </c>
      <c r="R194" s="4">
        <f t="shared" si="8"/>
        <v>1</v>
      </c>
      <c r="S194" s="4">
        <f t="shared" si="9"/>
        <v>-0.4423331063</v>
      </c>
      <c r="T194" s="4">
        <f t="shared" si="10"/>
        <v>74</v>
      </c>
      <c r="U194" s="4">
        <f t="shared" si="1"/>
        <v>-0.4423331063</v>
      </c>
      <c r="V194" s="4"/>
    </row>
    <row r="195">
      <c r="A195" s="1" t="s">
        <v>4448</v>
      </c>
      <c r="B195" s="1" t="s">
        <v>4449</v>
      </c>
      <c r="C195" s="1" t="s">
        <v>4450</v>
      </c>
      <c r="D195" s="1" t="s">
        <v>4233</v>
      </c>
      <c r="E195" s="1" t="s">
        <v>4234</v>
      </c>
      <c r="F195" s="1">
        <v>110233.0</v>
      </c>
      <c r="G195" s="1">
        <v>6827.0</v>
      </c>
      <c r="H195" s="1">
        <v>75.0</v>
      </c>
      <c r="I195" s="1">
        <v>1.72E7</v>
      </c>
      <c r="J195" s="1" t="s">
        <v>2468</v>
      </c>
      <c r="K195" s="5">
        <f t="shared" si="2"/>
        <v>0.006408895349</v>
      </c>
      <c r="L195" s="6">
        <f t="shared" si="3"/>
        <v>422</v>
      </c>
      <c r="M195" s="6">
        <f t="shared" si="4"/>
        <v>261.2156398</v>
      </c>
      <c r="N195" s="7">
        <f t="shared" si="5"/>
        <v>0.0000151869558</v>
      </c>
      <c r="O195" s="7"/>
      <c r="P195" s="4">
        <f t="shared" si="6"/>
        <v>-0.4388288055</v>
      </c>
      <c r="Q195" s="4">
        <f t="shared" si="7"/>
        <v>13</v>
      </c>
      <c r="R195" s="4">
        <f t="shared" si="8"/>
        <v>0</v>
      </c>
      <c r="S195" s="4">
        <f t="shared" si="9"/>
        <v>-0.4388288055</v>
      </c>
      <c r="T195" s="4">
        <f t="shared" si="10"/>
        <v>70</v>
      </c>
      <c r="U195" s="4">
        <f t="shared" si="1"/>
        <v>-0.4388288055</v>
      </c>
      <c r="V195" s="4"/>
    </row>
    <row r="196">
      <c r="A196" s="1" t="s">
        <v>4451</v>
      </c>
      <c r="B196" s="1" t="s">
        <v>4452</v>
      </c>
      <c r="C196" s="1" t="s">
        <v>4453</v>
      </c>
      <c r="D196" s="1" t="s">
        <v>4233</v>
      </c>
      <c r="E196" s="1" t="s">
        <v>4234</v>
      </c>
      <c r="F196" s="1">
        <v>73737.0</v>
      </c>
      <c r="G196" s="1">
        <v>4821.0</v>
      </c>
      <c r="H196" s="1">
        <v>72.0</v>
      </c>
      <c r="I196" s="1">
        <v>1.72E7</v>
      </c>
      <c r="J196" s="1" t="s">
        <v>2468</v>
      </c>
      <c r="K196" s="5">
        <f t="shared" si="2"/>
        <v>0.004287034884</v>
      </c>
      <c r="L196" s="6">
        <f t="shared" si="3"/>
        <v>429</v>
      </c>
      <c r="M196" s="6">
        <f t="shared" si="4"/>
        <v>171.8811189</v>
      </c>
      <c r="N196" s="7">
        <f t="shared" si="5"/>
        <v>0.000009993088307</v>
      </c>
      <c r="O196" s="7"/>
      <c r="P196" s="4">
        <f t="shared" si="6"/>
        <v>-0.4424871758</v>
      </c>
      <c r="Q196" s="4">
        <f t="shared" si="7"/>
        <v>16</v>
      </c>
      <c r="R196" s="4">
        <f t="shared" si="8"/>
        <v>0</v>
      </c>
      <c r="S196" s="4">
        <f t="shared" si="9"/>
        <v>-0.4424871758</v>
      </c>
      <c r="T196" s="4">
        <f t="shared" si="10"/>
        <v>81</v>
      </c>
      <c r="U196" s="4">
        <f t="shared" si="1"/>
        <v>-0.4424871758</v>
      </c>
      <c r="V196" s="4"/>
    </row>
    <row r="197">
      <c r="A197" s="1" t="s">
        <v>4454</v>
      </c>
      <c r="B197" s="1" t="s">
        <v>4455</v>
      </c>
      <c r="C197" s="1" t="s">
        <v>4456</v>
      </c>
      <c r="D197" s="1" t="s">
        <v>4233</v>
      </c>
      <c r="E197" s="1" t="s">
        <v>4234</v>
      </c>
      <c r="F197" s="1">
        <v>170629.0</v>
      </c>
      <c r="G197" s="1">
        <v>4930.0</v>
      </c>
      <c r="H197" s="1">
        <v>86.0</v>
      </c>
      <c r="I197" s="1">
        <v>1.72E7</v>
      </c>
      <c r="J197" s="1" t="s">
        <v>2468</v>
      </c>
      <c r="K197" s="5">
        <f t="shared" si="2"/>
        <v>0.009920290698</v>
      </c>
      <c r="L197" s="6">
        <f t="shared" si="3"/>
        <v>434</v>
      </c>
      <c r="M197" s="6">
        <f t="shared" si="4"/>
        <v>393.1543779</v>
      </c>
      <c r="N197" s="7">
        <f t="shared" si="5"/>
        <v>0.00002285781267</v>
      </c>
      <c r="O197" s="7"/>
      <c r="P197" s="4">
        <f t="shared" si="6"/>
        <v>-0.4334257345</v>
      </c>
      <c r="Q197" s="4">
        <f t="shared" si="7"/>
        <v>6</v>
      </c>
      <c r="R197" s="4">
        <f t="shared" si="8"/>
        <v>1</v>
      </c>
      <c r="S197" s="4">
        <f t="shared" si="9"/>
        <v>-0.4334257345</v>
      </c>
      <c r="T197" s="4">
        <f t="shared" si="10"/>
        <v>19</v>
      </c>
      <c r="U197" s="4">
        <f t="shared" si="1"/>
        <v>-0.4334257345</v>
      </c>
      <c r="V197" s="4"/>
    </row>
    <row r="198">
      <c r="A198" s="1" t="s">
        <v>4457</v>
      </c>
      <c r="B198" s="1" t="s">
        <v>4458</v>
      </c>
      <c r="C198" s="1" t="s">
        <v>4459</v>
      </c>
      <c r="D198" s="1" t="s">
        <v>4233</v>
      </c>
      <c r="E198" s="1" t="s">
        <v>4234</v>
      </c>
      <c r="F198" s="1">
        <v>295192.0</v>
      </c>
      <c r="G198" s="1">
        <v>6487.0</v>
      </c>
      <c r="H198" s="1">
        <v>39.0</v>
      </c>
      <c r="I198" s="1">
        <v>1.72E7</v>
      </c>
      <c r="J198" s="1" t="s">
        <v>2468</v>
      </c>
      <c r="K198" s="5">
        <f t="shared" si="2"/>
        <v>0.01716232558</v>
      </c>
      <c r="L198" s="6">
        <f t="shared" si="3"/>
        <v>441</v>
      </c>
      <c r="M198" s="6">
        <f t="shared" si="4"/>
        <v>669.3696145</v>
      </c>
      <c r="N198" s="7">
        <f t="shared" si="5"/>
        <v>0.00003891683805</v>
      </c>
      <c r="O198" s="7"/>
      <c r="P198" s="4">
        <f t="shared" si="6"/>
        <v>-0.4221143443</v>
      </c>
      <c r="Q198" s="4">
        <f t="shared" si="7"/>
        <v>5</v>
      </c>
      <c r="R198" s="4">
        <f t="shared" si="8"/>
        <v>0</v>
      </c>
      <c r="S198" s="4">
        <f t="shared" si="9"/>
        <v>-0.4221143443</v>
      </c>
      <c r="T198" s="4">
        <f t="shared" si="10"/>
        <v>29</v>
      </c>
      <c r="U198" s="4">
        <f t="shared" si="1"/>
        <v>-0.4221143443</v>
      </c>
      <c r="V198" s="4"/>
    </row>
    <row r="199">
      <c r="A199" s="1" t="s">
        <v>4460</v>
      </c>
      <c r="B199" s="1" t="s">
        <v>4461</v>
      </c>
      <c r="C199" s="1" t="s">
        <v>4462</v>
      </c>
      <c r="D199" s="1" t="s">
        <v>4233</v>
      </c>
      <c r="E199" s="1" t="s">
        <v>4234</v>
      </c>
      <c r="F199" s="1">
        <v>105145.0</v>
      </c>
      <c r="G199" s="1">
        <v>6983.0</v>
      </c>
      <c r="H199" s="1">
        <v>80.0</v>
      </c>
      <c r="I199" s="1">
        <v>1.72E7</v>
      </c>
      <c r="J199" s="1" t="s">
        <v>2468</v>
      </c>
      <c r="K199" s="5">
        <f t="shared" si="2"/>
        <v>0.006113081395</v>
      </c>
      <c r="L199" s="6">
        <f t="shared" si="3"/>
        <v>443</v>
      </c>
      <c r="M199" s="6">
        <f t="shared" si="4"/>
        <v>237.3476298</v>
      </c>
      <c r="N199" s="7">
        <f t="shared" si="5"/>
        <v>0.0000137992808</v>
      </c>
      <c r="O199" s="7"/>
      <c r="P199" s="4">
        <f t="shared" si="6"/>
        <v>-0.439806233</v>
      </c>
      <c r="Q199" s="4">
        <f t="shared" si="7"/>
        <v>15</v>
      </c>
      <c r="R199" s="4">
        <f t="shared" si="8"/>
        <v>1</v>
      </c>
      <c r="S199" s="4">
        <f t="shared" si="9"/>
        <v>-0.439806233</v>
      </c>
      <c r="T199" s="4">
        <f t="shared" si="10"/>
        <v>70</v>
      </c>
      <c r="U199" s="4">
        <f t="shared" si="1"/>
        <v>-0.439806233</v>
      </c>
      <c r="V199" s="4"/>
    </row>
    <row r="200">
      <c r="A200" s="1" t="s">
        <v>4463</v>
      </c>
      <c r="B200" s="1" t="s">
        <v>4464</v>
      </c>
      <c r="C200" s="1" t="s">
        <v>4465</v>
      </c>
      <c r="D200" s="1" t="s">
        <v>4233</v>
      </c>
      <c r="E200" s="1" t="s">
        <v>4234</v>
      </c>
      <c r="F200" s="1">
        <v>189259.0</v>
      </c>
      <c r="G200" s="1">
        <v>5254.0</v>
      </c>
      <c r="H200" s="1">
        <v>44.0</v>
      </c>
      <c r="I200" s="1">
        <v>1.72E7</v>
      </c>
      <c r="J200" s="1" t="s">
        <v>2468</v>
      </c>
      <c r="K200" s="5">
        <f t="shared" si="2"/>
        <v>0.01100343023</v>
      </c>
      <c r="L200" s="6">
        <f t="shared" si="3"/>
        <v>448</v>
      </c>
      <c r="M200" s="6">
        <f t="shared" si="4"/>
        <v>422.453125</v>
      </c>
      <c r="N200" s="7">
        <f t="shared" si="5"/>
        <v>0.0000245612282</v>
      </c>
      <c r="O200" s="7"/>
      <c r="P200" s="4">
        <f t="shared" si="6"/>
        <v>-0.4322259109</v>
      </c>
      <c r="Q200" s="4">
        <f t="shared" si="7"/>
        <v>8</v>
      </c>
      <c r="R200" s="4">
        <f t="shared" si="8"/>
        <v>0</v>
      </c>
      <c r="S200" s="4">
        <f t="shared" si="9"/>
        <v>-0.4322259109</v>
      </c>
      <c r="T200" s="4">
        <f t="shared" si="10"/>
        <v>30</v>
      </c>
      <c r="U200" s="4">
        <f t="shared" si="1"/>
        <v>-0.4322259109</v>
      </c>
      <c r="V200" s="4"/>
    </row>
    <row r="201">
      <c r="A201" s="1" t="s">
        <v>4466</v>
      </c>
      <c r="B201" s="1" t="s">
        <v>4467</v>
      </c>
      <c r="C201" s="1" t="s">
        <v>4468</v>
      </c>
      <c r="D201" s="1" t="s">
        <v>4233</v>
      </c>
      <c r="E201" s="1" t="s">
        <v>4234</v>
      </c>
      <c r="F201" s="1">
        <v>106450.0</v>
      </c>
      <c r="G201" s="1">
        <v>5777.0</v>
      </c>
      <c r="H201" s="1">
        <v>58.0</v>
      </c>
      <c r="I201" s="1">
        <v>1.72E7</v>
      </c>
      <c r="J201" s="1" t="s">
        <v>2468</v>
      </c>
      <c r="K201" s="5">
        <f t="shared" si="2"/>
        <v>0.006188953488</v>
      </c>
      <c r="L201" s="6">
        <f t="shared" si="3"/>
        <v>450</v>
      </c>
      <c r="M201" s="6">
        <f t="shared" si="4"/>
        <v>236.5555556</v>
      </c>
      <c r="N201" s="7">
        <f t="shared" si="5"/>
        <v>0.00001375322997</v>
      </c>
      <c r="O201" s="7"/>
      <c r="P201" s="4">
        <f t="shared" si="6"/>
        <v>-0.4398386695</v>
      </c>
      <c r="Q201" s="4">
        <f t="shared" si="7"/>
        <v>14</v>
      </c>
      <c r="R201" s="4">
        <f t="shared" si="8"/>
        <v>0</v>
      </c>
      <c r="S201" s="4">
        <f t="shared" si="9"/>
        <v>-0.4398386695</v>
      </c>
      <c r="T201" s="4">
        <f t="shared" si="10"/>
        <v>68</v>
      </c>
      <c r="U201" s="4">
        <f t="shared" si="1"/>
        <v>-0.4398386695</v>
      </c>
      <c r="V201" s="4"/>
    </row>
    <row r="202">
      <c r="A202" s="1" t="s">
        <v>4469</v>
      </c>
      <c r="B202" s="1" t="s">
        <v>4470</v>
      </c>
      <c r="C202" s="1" t="s">
        <v>4471</v>
      </c>
      <c r="D202" s="1" t="s">
        <v>4233</v>
      </c>
      <c r="E202" s="1" t="s">
        <v>4234</v>
      </c>
      <c r="F202" s="1">
        <v>336572.0</v>
      </c>
      <c r="G202" s="1">
        <v>5294.0</v>
      </c>
      <c r="H202" s="1">
        <v>0.0</v>
      </c>
      <c r="I202" s="1">
        <v>1.72E7</v>
      </c>
      <c r="J202" s="1" t="s">
        <v>2468</v>
      </c>
      <c r="K202" s="5">
        <f t="shared" si="2"/>
        <v>0.01956813953</v>
      </c>
      <c r="L202" s="6">
        <f t="shared" si="3"/>
        <v>455</v>
      </c>
      <c r="M202" s="6">
        <f t="shared" si="4"/>
        <v>739.7186813</v>
      </c>
      <c r="N202" s="7">
        <f t="shared" si="5"/>
        <v>0.00004300690008</v>
      </c>
      <c r="O202" s="7"/>
      <c r="P202" s="4">
        <f t="shared" si="6"/>
        <v>-0.4192334542</v>
      </c>
      <c r="Q202" s="4">
        <f t="shared" si="7"/>
        <v>8</v>
      </c>
      <c r="R202" s="4">
        <f t="shared" si="8"/>
        <v>0</v>
      </c>
      <c r="S202" s="4">
        <f t="shared" si="9"/>
        <v>-0.4192334542</v>
      </c>
      <c r="T202" s="4">
        <f t="shared" si="10"/>
        <v>34</v>
      </c>
      <c r="U202" s="4">
        <f t="shared" si="1"/>
        <v>-0.4192334542</v>
      </c>
      <c r="V202" s="4"/>
    </row>
    <row r="203">
      <c r="A203" s="1" t="s">
        <v>4472</v>
      </c>
      <c r="B203" s="1" t="s">
        <v>4473</v>
      </c>
      <c r="C203" s="1" t="s">
        <v>4474</v>
      </c>
      <c r="D203" s="1" t="s">
        <v>4233</v>
      </c>
      <c r="E203" s="1" t="s">
        <v>4234</v>
      </c>
      <c r="F203" s="1">
        <v>130198.0</v>
      </c>
      <c r="G203" s="1">
        <v>7474.0</v>
      </c>
      <c r="H203" s="1">
        <v>111.0</v>
      </c>
      <c r="I203" s="1">
        <v>1.72E7</v>
      </c>
      <c r="J203" s="1" t="s">
        <v>2468</v>
      </c>
      <c r="K203" s="5">
        <f t="shared" si="2"/>
        <v>0.007569651163</v>
      </c>
      <c r="L203" s="6">
        <f t="shared" si="3"/>
        <v>457</v>
      </c>
      <c r="M203" s="6">
        <f t="shared" si="4"/>
        <v>284.8971554</v>
      </c>
      <c r="N203" s="7">
        <f t="shared" si="5"/>
        <v>0.0000165637881</v>
      </c>
      <c r="O203" s="7"/>
      <c r="P203" s="4">
        <f t="shared" si="6"/>
        <v>-0.4378590152</v>
      </c>
      <c r="Q203" s="4">
        <f t="shared" si="7"/>
        <v>13</v>
      </c>
      <c r="R203" s="4">
        <f t="shared" si="8"/>
        <v>1</v>
      </c>
      <c r="S203" s="4">
        <f t="shared" si="9"/>
        <v>-0.4378590152</v>
      </c>
      <c r="T203" s="4">
        <f t="shared" si="10"/>
        <v>68</v>
      </c>
      <c r="U203" s="4">
        <f t="shared" si="1"/>
        <v>-0.4378590152</v>
      </c>
      <c r="V203" s="4"/>
    </row>
    <row r="204">
      <c r="A204" s="1" t="s">
        <v>4475</v>
      </c>
      <c r="B204" s="1" t="s">
        <v>4476</v>
      </c>
      <c r="C204" s="1" t="s">
        <v>4477</v>
      </c>
      <c r="D204" s="1" t="s">
        <v>4233</v>
      </c>
      <c r="E204" s="1" t="s">
        <v>4234</v>
      </c>
      <c r="F204" s="1">
        <v>226285.0</v>
      </c>
      <c r="G204" s="1">
        <v>12934.0</v>
      </c>
      <c r="H204" s="1">
        <v>151.0</v>
      </c>
      <c r="I204" s="1">
        <v>1.72E7</v>
      </c>
      <c r="J204" s="1" t="s">
        <v>2468</v>
      </c>
      <c r="K204" s="5">
        <f t="shared" si="2"/>
        <v>0.01315610465</v>
      </c>
      <c r="L204" s="6">
        <f t="shared" si="3"/>
        <v>464</v>
      </c>
      <c r="M204" s="6">
        <f t="shared" si="4"/>
        <v>487.6831897</v>
      </c>
      <c r="N204" s="7">
        <f t="shared" si="5"/>
        <v>0.00002835367382</v>
      </c>
      <c r="O204" s="7"/>
      <c r="P204" s="4">
        <f t="shared" si="6"/>
        <v>-0.4295546509</v>
      </c>
      <c r="Q204" s="4">
        <f t="shared" si="7"/>
        <v>14</v>
      </c>
      <c r="R204" s="4">
        <f t="shared" si="8"/>
        <v>0</v>
      </c>
      <c r="S204" s="4">
        <f t="shared" si="9"/>
        <v>-0.4295546509</v>
      </c>
      <c r="T204" s="4">
        <f t="shared" si="10"/>
        <v>77</v>
      </c>
      <c r="U204" s="4">
        <f t="shared" si="1"/>
        <v>-0.4295546509</v>
      </c>
      <c r="V204" s="4"/>
    </row>
    <row r="205">
      <c r="A205" s="1" t="s">
        <v>4478</v>
      </c>
      <c r="B205" s="1" t="s">
        <v>4479</v>
      </c>
      <c r="C205" s="1" t="s">
        <v>4480</v>
      </c>
      <c r="D205" s="1" t="s">
        <v>4233</v>
      </c>
      <c r="E205" s="1" t="s">
        <v>4234</v>
      </c>
      <c r="F205" s="1">
        <v>96461.0</v>
      </c>
      <c r="G205" s="1">
        <v>3972.0</v>
      </c>
      <c r="H205" s="1">
        <v>56.0</v>
      </c>
      <c r="I205" s="1">
        <v>1.72E7</v>
      </c>
      <c r="J205" s="1" t="s">
        <v>2468</v>
      </c>
      <c r="K205" s="5">
        <f t="shared" si="2"/>
        <v>0.005608197674</v>
      </c>
      <c r="L205" s="6">
        <f t="shared" si="3"/>
        <v>469</v>
      </c>
      <c r="M205" s="6">
        <f t="shared" si="4"/>
        <v>205.673774</v>
      </c>
      <c r="N205" s="7">
        <f t="shared" si="5"/>
        <v>0.00001195777756</v>
      </c>
      <c r="O205" s="7"/>
      <c r="P205" s="4">
        <f t="shared" si="6"/>
        <v>-0.4411033205</v>
      </c>
      <c r="Q205" s="4">
        <f t="shared" si="7"/>
        <v>6</v>
      </c>
      <c r="R205" s="4">
        <f t="shared" si="8"/>
        <v>1</v>
      </c>
      <c r="S205" s="4">
        <f t="shared" si="9"/>
        <v>-0.4411033205</v>
      </c>
      <c r="T205" s="4">
        <f t="shared" si="10"/>
        <v>22</v>
      </c>
      <c r="U205" s="4">
        <f t="shared" si="1"/>
        <v>-0.4411033205</v>
      </c>
      <c r="V205" s="4"/>
    </row>
    <row r="206">
      <c r="A206" s="1" t="s">
        <v>4481</v>
      </c>
      <c r="B206" s="1" t="s">
        <v>4482</v>
      </c>
      <c r="C206" s="1" t="s">
        <v>4483</v>
      </c>
      <c r="D206" s="1" t="s">
        <v>4233</v>
      </c>
      <c r="E206" s="1" t="s">
        <v>4234</v>
      </c>
      <c r="F206" s="1">
        <v>96934.0</v>
      </c>
      <c r="G206" s="1">
        <v>3924.0</v>
      </c>
      <c r="H206" s="1">
        <v>0.0</v>
      </c>
      <c r="I206" s="1">
        <v>1.72E7</v>
      </c>
      <c r="J206" s="1" t="s">
        <v>2468</v>
      </c>
      <c r="K206" s="5">
        <f t="shared" si="2"/>
        <v>0.005635697674</v>
      </c>
      <c r="L206" s="6">
        <f t="shared" si="3"/>
        <v>476</v>
      </c>
      <c r="M206" s="6">
        <f t="shared" si="4"/>
        <v>203.6428571</v>
      </c>
      <c r="N206" s="7">
        <f t="shared" si="5"/>
        <v>0.000011839701</v>
      </c>
      <c r="O206" s="7"/>
      <c r="P206" s="4">
        <f t="shared" si="6"/>
        <v>-0.4411864894</v>
      </c>
      <c r="Q206" s="4">
        <f t="shared" si="7"/>
        <v>5</v>
      </c>
      <c r="R206" s="4">
        <f t="shared" si="8"/>
        <v>0</v>
      </c>
      <c r="S206" s="4">
        <f t="shared" si="9"/>
        <v>-0.4411864894</v>
      </c>
      <c r="T206" s="4">
        <f t="shared" si="10"/>
        <v>29</v>
      </c>
      <c r="U206" s="4">
        <f t="shared" si="1"/>
        <v>-0.4411864894</v>
      </c>
      <c r="V206" s="4"/>
    </row>
    <row r="207">
      <c r="A207" s="1" t="s">
        <v>4484</v>
      </c>
      <c r="B207" s="1" t="s">
        <v>4485</v>
      </c>
      <c r="C207" s="1" t="s">
        <v>4486</v>
      </c>
      <c r="D207" s="1" t="s">
        <v>4233</v>
      </c>
      <c r="E207" s="1" t="s">
        <v>4234</v>
      </c>
      <c r="F207" s="1">
        <v>154455.0</v>
      </c>
      <c r="G207" s="1">
        <v>8919.0</v>
      </c>
      <c r="H207" s="1">
        <v>61.0</v>
      </c>
      <c r="I207" s="1">
        <v>1.72E7</v>
      </c>
      <c r="J207" s="1" t="s">
        <v>2468</v>
      </c>
      <c r="K207" s="5">
        <f t="shared" si="2"/>
        <v>0.00897994186</v>
      </c>
      <c r="L207" s="6">
        <f t="shared" si="3"/>
        <v>478</v>
      </c>
      <c r="M207" s="6">
        <f t="shared" si="4"/>
        <v>323.1276151</v>
      </c>
      <c r="N207" s="7">
        <f t="shared" si="5"/>
        <v>0.00001878648925</v>
      </c>
      <c r="O207" s="7"/>
      <c r="P207" s="4">
        <f t="shared" si="6"/>
        <v>-0.4362934258</v>
      </c>
      <c r="Q207" s="4">
        <f t="shared" si="7"/>
        <v>11</v>
      </c>
      <c r="R207" s="4">
        <f t="shared" si="8"/>
        <v>0</v>
      </c>
      <c r="S207" s="4">
        <f t="shared" si="9"/>
        <v>-0.4362934258</v>
      </c>
      <c r="T207" s="4">
        <f t="shared" si="10"/>
        <v>63</v>
      </c>
      <c r="U207" s="4">
        <f t="shared" si="1"/>
        <v>-0.4362934258</v>
      </c>
      <c r="V207" s="4"/>
    </row>
    <row r="208">
      <c r="A208" s="1" t="s">
        <v>4487</v>
      </c>
      <c r="B208" s="1" t="s">
        <v>4488</v>
      </c>
      <c r="C208" s="1" t="s">
        <v>4489</v>
      </c>
      <c r="D208" s="1" t="s">
        <v>4233</v>
      </c>
      <c r="E208" s="1" t="s">
        <v>4234</v>
      </c>
      <c r="F208" s="1">
        <v>150265.0</v>
      </c>
      <c r="G208" s="1">
        <v>3563.0</v>
      </c>
      <c r="H208" s="1">
        <v>50.0</v>
      </c>
      <c r="I208" s="1">
        <v>1.72E7</v>
      </c>
      <c r="J208" s="1" t="s">
        <v>2468</v>
      </c>
      <c r="K208" s="5">
        <f t="shared" si="2"/>
        <v>0.008736337209</v>
      </c>
      <c r="L208" s="6">
        <f t="shared" si="3"/>
        <v>483</v>
      </c>
      <c r="M208" s="6">
        <f t="shared" si="4"/>
        <v>311.1076605</v>
      </c>
      <c r="N208" s="7">
        <f t="shared" si="5"/>
        <v>0.00001808765468</v>
      </c>
      <c r="O208" s="7"/>
      <c r="P208" s="4">
        <f t="shared" si="6"/>
        <v>-0.4367856593</v>
      </c>
      <c r="Q208" s="4">
        <f t="shared" si="7"/>
        <v>6</v>
      </c>
      <c r="R208" s="4">
        <f t="shared" si="8"/>
        <v>0</v>
      </c>
      <c r="S208" s="4">
        <f t="shared" si="9"/>
        <v>-0.4367856593</v>
      </c>
      <c r="T208" s="4">
        <f t="shared" si="10"/>
        <v>27</v>
      </c>
      <c r="U208" s="4">
        <f t="shared" si="1"/>
        <v>-0.4367856593</v>
      </c>
      <c r="V208" s="4"/>
    </row>
    <row r="209">
      <c r="A209" s="1" t="s">
        <v>4490</v>
      </c>
      <c r="B209" s="1" t="s">
        <v>4491</v>
      </c>
      <c r="C209" s="1" t="s">
        <v>4492</v>
      </c>
      <c r="D209" s="1" t="s">
        <v>4233</v>
      </c>
      <c r="E209" s="1" t="s">
        <v>4234</v>
      </c>
      <c r="F209" s="1">
        <v>445560.0</v>
      </c>
      <c r="G209" s="1">
        <v>22682.0</v>
      </c>
      <c r="H209" s="1">
        <v>314.0</v>
      </c>
      <c r="I209" s="1">
        <v>1.72E7</v>
      </c>
      <c r="J209" s="1" t="s">
        <v>2468</v>
      </c>
      <c r="K209" s="5">
        <f t="shared" si="2"/>
        <v>0.02590465116</v>
      </c>
      <c r="L209" s="6">
        <f t="shared" si="3"/>
        <v>485</v>
      </c>
      <c r="M209" s="6">
        <f t="shared" si="4"/>
        <v>918.6804124</v>
      </c>
      <c r="N209" s="7">
        <f t="shared" si="5"/>
        <v>0.00005341165188</v>
      </c>
      <c r="O209" s="7"/>
      <c r="P209" s="4">
        <f t="shared" si="6"/>
        <v>-0.4119047276</v>
      </c>
      <c r="Q209" s="4">
        <f t="shared" si="7"/>
        <v>13</v>
      </c>
      <c r="R209" s="4">
        <f t="shared" si="8"/>
        <v>0</v>
      </c>
      <c r="S209" s="4">
        <f t="shared" si="9"/>
        <v>-0.4119047276</v>
      </c>
      <c r="T209" s="4">
        <f t="shared" si="10"/>
        <v>72</v>
      </c>
      <c r="U209" s="4">
        <f t="shared" si="1"/>
        <v>-0.4119047276</v>
      </c>
      <c r="V209" s="4"/>
    </row>
    <row r="210">
      <c r="A210" s="1" t="s">
        <v>4493</v>
      </c>
      <c r="B210" s="1" t="s">
        <v>4494</v>
      </c>
      <c r="C210" s="1" t="s">
        <v>4495</v>
      </c>
      <c r="D210" s="1" t="s">
        <v>4233</v>
      </c>
      <c r="E210" s="1" t="s">
        <v>4234</v>
      </c>
      <c r="F210" s="1">
        <v>138808.0</v>
      </c>
      <c r="G210" s="1">
        <v>4649.0</v>
      </c>
      <c r="H210" s="1">
        <v>70.0</v>
      </c>
      <c r="I210" s="1">
        <v>1.72E7</v>
      </c>
      <c r="J210" s="1" t="s">
        <v>2468</v>
      </c>
      <c r="K210" s="5">
        <f t="shared" si="2"/>
        <v>0.008070232558</v>
      </c>
      <c r="L210" s="6">
        <f t="shared" si="3"/>
        <v>490</v>
      </c>
      <c r="M210" s="6">
        <f t="shared" si="4"/>
        <v>283.2816327</v>
      </c>
      <c r="N210" s="7">
        <f t="shared" si="5"/>
        <v>0.00001646986236</v>
      </c>
      <c r="O210" s="7"/>
      <c r="P210" s="4">
        <f t="shared" si="6"/>
        <v>-0.437925173</v>
      </c>
      <c r="Q210" s="4">
        <f t="shared" si="7"/>
        <v>6</v>
      </c>
      <c r="R210" s="4">
        <f t="shared" si="8"/>
        <v>0</v>
      </c>
      <c r="S210" s="4">
        <f t="shared" si="9"/>
        <v>-0.437925173</v>
      </c>
      <c r="T210" s="4">
        <f t="shared" si="10"/>
        <v>28</v>
      </c>
      <c r="U210" s="4">
        <f t="shared" si="1"/>
        <v>-0.437925173</v>
      </c>
      <c r="V210" s="4"/>
    </row>
    <row r="211">
      <c r="A211" s="1" t="s">
        <v>4496</v>
      </c>
      <c r="B211" s="1" t="s">
        <v>4497</v>
      </c>
      <c r="C211" s="1" t="s">
        <v>4498</v>
      </c>
      <c r="D211" s="1" t="s">
        <v>4233</v>
      </c>
      <c r="E211" s="1" t="s">
        <v>4234</v>
      </c>
      <c r="F211" s="1">
        <v>136566.0</v>
      </c>
      <c r="G211" s="1">
        <v>9965.0</v>
      </c>
      <c r="H211" s="1">
        <v>386.0</v>
      </c>
      <c r="I211" s="1">
        <v>1.72E7</v>
      </c>
      <c r="J211" s="1" t="s">
        <v>2468</v>
      </c>
      <c r="K211" s="5">
        <f t="shared" si="2"/>
        <v>0.007939883721</v>
      </c>
      <c r="L211" s="6">
        <f t="shared" si="3"/>
        <v>492</v>
      </c>
      <c r="M211" s="6">
        <f t="shared" si="4"/>
        <v>277.5731707</v>
      </c>
      <c r="N211" s="7">
        <f t="shared" si="5"/>
        <v>0.00001613797504</v>
      </c>
      <c r="O211" s="7"/>
      <c r="P211" s="4">
        <f t="shared" si="6"/>
        <v>-0.4381589423</v>
      </c>
      <c r="Q211" s="4">
        <f t="shared" si="7"/>
        <v>6</v>
      </c>
      <c r="R211" s="4">
        <f t="shared" si="8"/>
        <v>0</v>
      </c>
      <c r="S211" s="4">
        <f t="shared" si="9"/>
        <v>-0.4381589423</v>
      </c>
      <c r="T211" s="4">
        <f t="shared" si="10"/>
        <v>38</v>
      </c>
      <c r="U211" s="4">
        <f t="shared" si="1"/>
        <v>-0.4381589423</v>
      </c>
      <c r="V211" s="4"/>
    </row>
    <row r="212">
      <c r="A212" s="1" t="s">
        <v>4499</v>
      </c>
      <c r="B212" s="1" t="s">
        <v>4500</v>
      </c>
      <c r="C212" s="1" t="s">
        <v>4501</v>
      </c>
      <c r="D212" s="1" t="s">
        <v>4233</v>
      </c>
      <c r="E212" s="1" t="s">
        <v>4234</v>
      </c>
      <c r="F212" s="1">
        <v>188955.0</v>
      </c>
      <c r="G212" s="1">
        <v>4632.0</v>
      </c>
      <c r="H212" s="1">
        <v>59.0</v>
      </c>
      <c r="I212" s="1">
        <v>1.72E7</v>
      </c>
      <c r="J212" s="1" t="s">
        <v>2468</v>
      </c>
      <c r="K212" s="5">
        <f t="shared" si="2"/>
        <v>0.01098575581</v>
      </c>
      <c r="L212" s="6">
        <f t="shared" si="3"/>
        <v>497</v>
      </c>
      <c r="M212" s="6">
        <f t="shared" si="4"/>
        <v>380.1911469</v>
      </c>
      <c r="N212" s="7">
        <f t="shared" si="5"/>
        <v>0.00002210413645</v>
      </c>
      <c r="O212" s="7"/>
      <c r="P212" s="4">
        <f t="shared" si="6"/>
        <v>-0.4339565964</v>
      </c>
      <c r="Q212" s="4">
        <f t="shared" si="7"/>
        <v>7</v>
      </c>
      <c r="R212" s="4">
        <f t="shared" si="8"/>
        <v>0</v>
      </c>
      <c r="S212" s="4">
        <f t="shared" si="9"/>
        <v>-0.4339565964</v>
      </c>
      <c r="T212" s="4">
        <f t="shared" si="10"/>
        <v>27</v>
      </c>
      <c r="U212" s="4">
        <f t="shared" si="1"/>
        <v>-0.4339565964</v>
      </c>
      <c r="V212" s="4"/>
    </row>
    <row r="213">
      <c r="A213" s="1" t="s">
        <v>4502</v>
      </c>
      <c r="B213" s="1" t="s">
        <v>4503</v>
      </c>
      <c r="C213" s="1" t="s">
        <v>4504</v>
      </c>
      <c r="D213" s="1" t="s">
        <v>4233</v>
      </c>
      <c r="E213" s="1" t="s">
        <v>4234</v>
      </c>
      <c r="F213" s="1">
        <v>189654.0</v>
      </c>
      <c r="G213" s="1">
        <v>6156.0</v>
      </c>
      <c r="H213" s="1">
        <v>55.0</v>
      </c>
      <c r="I213" s="1">
        <v>1.72E7</v>
      </c>
      <c r="J213" s="1" t="s">
        <v>2468</v>
      </c>
      <c r="K213" s="5">
        <f t="shared" si="2"/>
        <v>0.01102639535</v>
      </c>
      <c r="L213" s="6">
        <f t="shared" si="3"/>
        <v>504</v>
      </c>
      <c r="M213" s="6">
        <f t="shared" si="4"/>
        <v>376.297619</v>
      </c>
      <c r="N213" s="7">
        <f t="shared" si="5"/>
        <v>0.00002187776855</v>
      </c>
      <c r="O213" s="7"/>
      <c r="P213" s="4">
        <f t="shared" si="6"/>
        <v>-0.4341160417</v>
      </c>
      <c r="Q213" s="4">
        <f t="shared" si="7"/>
        <v>6</v>
      </c>
      <c r="R213" s="4">
        <f t="shared" si="8"/>
        <v>1</v>
      </c>
      <c r="S213" s="4">
        <f t="shared" si="9"/>
        <v>-0.4341160417</v>
      </c>
      <c r="T213" s="4">
        <f t="shared" si="10"/>
        <v>23</v>
      </c>
      <c r="U213" s="4">
        <f t="shared" si="1"/>
        <v>-0.4341160417</v>
      </c>
      <c r="V213" s="4"/>
    </row>
    <row r="214">
      <c r="A214" s="1" t="s">
        <v>4505</v>
      </c>
      <c r="B214" s="1" t="s">
        <v>4506</v>
      </c>
      <c r="C214" s="1" t="s">
        <v>4507</v>
      </c>
      <c r="D214" s="1" t="s">
        <v>4233</v>
      </c>
      <c r="E214" s="1" t="s">
        <v>4234</v>
      </c>
      <c r="F214" s="1">
        <v>221396.0</v>
      </c>
      <c r="G214" s="1">
        <v>5313.0</v>
      </c>
      <c r="H214" s="1">
        <v>50.0</v>
      </c>
      <c r="I214" s="1">
        <v>1.72E7</v>
      </c>
      <c r="J214" s="1" t="s">
        <v>2468</v>
      </c>
      <c r="K214" s="5">
        <f t="shared" si="2"/>
        <v>0.01287186047</v>
      </c>
      <c r="L214" s="6">
        <f t="shared" si="3"/>
        <v>511</v>
      </c>
      <c r="M214" s="6">
        <f t="shared" si="4"/>
        <v>433.260274</v>
      </c>
      <c r="N214" s="7">
        <f t="shared" si="5"/>
        <v>0.00002518955081</v>
      </c>
      <c r="O214" s="7"/>
      <c r="P214" s="4">
        <f t="shared" si="6"/>
        <v>-0.4317833434</v>
      </c>
      <c r="Q214" s="4">
        <f t="shared" si="7"/>
        <v>6</v>
      </c>
      <c r="R214" s="4">
        <f t="shared" si="8"/>
        <v>0</v>
      </c>
      <c r="S214" s="4">
        <f t="shared" si="9"/>
        <v>-0.4317833434</v>
      </c>
      <c r="T214" s="4">
        <f t="shared" si="10"/>
        <v>33</v>
      </c>
      <c r="U214" s="4">
        <f t="shared" si="1"/>
        <v>-0.4317833434</v>
      </c>
      <c r="V214" s="4"/>
    </row>
    <row r="215">
      <c r="A215" s="1" t="s">
        <v>4508</v>
      </c>
      <c r="B215" s="1" t="s">
        <v>4509</v>
      </c>
      <c r="C215" s="1" t="s">
        <v>4510</v>
      </c>
      <c r="D215" s="1" t="s">
        <v>4233</v>
      </c>
      <c r="E215" s="1" t="s">
        <v>4234</v>
      </c>
      <c r="F215" s="1">
        <v>119901.0</v>
      </c>
      <c r="G215" s="1">
        <v>7081.0</v>
      </c>
      <c r="H215" s="1">
        <v>0.0</v>
      </c>
      <c r="I215" s="1">
        <v>1.72E7</v>
      </c>
      <c r="J215" s="1" t="s">
        <v>2468</v>
      </c>
      <c r="K215" s="5">
        <f t="shared" si="2"/>
        <v>0.006970988372</v>
      </c>
      <c r="L215" s="6">
        <f t="shared" si="3"/>
        <v>518</v>
      </c>
      <c r="M215" s="6">
        <f t="shared" si="4"/>
        <v>231.469112</v>
      </c>
      <c r="N215" s="7">
        <f t="shared" si="5"/>
        <v>0.00001345750651</v>
      </c>
      <c r="O215" s="7"/>
      <c r="P215" s="4">
        <f t="shared" si="6"/>
        <v>-0.4400469663</v>
      </c>
      <c r="Q215" s="4">
        <f t="shared" si="7"/>
        <v>7</v>
      </c>
      <c r="R215" s="4">
        <f t="shared" si="8"/>
        <v>1</v>
      </c>
      <c r="S215" s="4">
        <f t="shared" si="9"/>
        <v>-0.4400469663</v>
      </c>
      <c r="T215" s="4">
        <f t="shared" si="10"/>
        <v>28</v>
      </c>
      <c r="U215" s="4">
        <f t="shared" si="1"/>
        <v>-0.4400469663</v>
      </c>
      <c r="V215" s="4"/>
    </row>
    <row r="216">
      <c r="A216" s="1" t="s">
        <v>4511</v>
      </c>
      <c r="B216" s="1" t="s">
        <v>4512</v>
      </c>
      <c r="C216" s="1" t="s">
        <v>4513</v>
      </c>
      <c r="D216" s="1" t="s">
        <v>4233</v>
      </c>
      <c r="E216" s="1" t="s">
        <v>4234</v>
      </c>
      <c r="F216" s="1">
        <v>368522.0</v>
      </c>
      <c r="G216" s="1">
        <v>8575.0</v>
      </c>
      <c r="H216" s="1">
        <v>44.0</v>
      </c>
      <c r="I216" s="1">
        <v>1.72E7</v>
      </c>
      <c r="J216" s="1" t="s">
        <v>2468</v>
      </c>
      <c r="K216" s="5">
        <f t="shared" si="2"/>
        <v>0.02142569767</v>
      </c>
      <c r="L216" s="6">
        <f t="shared" si="3"/>
        <v>525</v>
      </c>
      <c r="M216" s="6">
        <f t="shared" si="4"/>
        <v>701.9466667</v>
      </c>
      <c r="N216" s="7">
        <f t="shared" si="5"/>
        <v>0.00004081085271</v>
      </c>
      <c r="O216" s="7"/>
      <c r="P216" s="4">
        <f t="shared" si="6"/>
        <v>-0.4207802697</v>
      </c>
      <c r="Q216" s="4">
        <f t="shared" si="7"/>
        <v>6</v>
      </c>
      <c r="R216" s="4">
        <f t="shared" si="8"/>
        <v>0</v>
      </c>
      <c r="S216" s="4">
        <f t="shared" si="9"/>
        <v>-0.4207802697</v>
      </c>
      <c r="T216" s="4">
        <f t="shared" si="10"/>
        <v>24</v>
      </c>
      <c r="U216" s="4">
        <f t="shared" si="1"/>
        <v>-0.4207802697</v>
      </c>
      <c r="V216" s="4"/>
    </row>
    <row r="217">
      <c r="A217" s="1" t="s">
        <v>4514</v>
      </c>
      <c r="B217" s="1" t="s">
        <v>4515</v>
      </c>
      <c r="C217" s="1" t="s">
        <v>4516</v>
      </c>
      <c r="D217" s="1" t="s">
        <v>4233</v>
      </c>
      <c r="E217" s="1" t="s">
        <v>4234</v>
      </c>
      <c r="F217" s="1">
        <v>442747.0</v>
      </c>
      <c r="G217" s="1">
        <v>10327.0</v>
      </c>
      <c r="H217" s="1">
        <v>138.0</v>
      </c>
      <c r="I217" s="1">
        <v>1.72E7</v>
      </c>
      <c r="J217" s="1" t="s">
        <v>2468</v>
      </c>
      <c r="K217" s="5">
        <f t="shared" si="2"/>
        <v>0.02574110465</v>
      </c>
      <c r="L217" s="6">
        <f t="shared" si="3"/>
        <v>532</v>
      </c>
      <c r="M217" s="6">
        <f t="shared" si="4"/>
        <v>832.231203</v>
      </c>
      <c r="N217" s="7">
        <f t="shared" si="5"/>
        <v>0.00004838553506</v>
      </c>
      <c r="O217" s="7"/>
      <c r="P217" s="4">
        <f t="shared" si="6"/>
        <v>-0.4154449404</v>
      </c>
      <c r="Q217" s="4">
        <f t="shared" si="7"/>
        <v>8</v>
      </c>
      <c r="R217" s="4">
        <f t="shared" si="8"/>
        <v>0</v>
      </c>
      <c r="S217" s="4">
        <f t="shared" si="9"/>
        <v>-0.4154449404</v>
      </c>
      <c r="T217" s="4">
        <f t="shared" si="10"/>
        <v>31</v>
      </c>
      <c r="U217" s="4">
        <f t="shared" si="1"/>
        <v>-0.4154449404</v>
      </c>
      <c r="V217" s="4"/>
    </row>
    <row r="218">
      <c r="A218" s="1" t="s">
        <v>4517</v>
      </c>
      <c r="B218" s="1" t="s">
        <v>4518</v>
      </c>
      <c r="C218" s="1" t="s">
        <v>4519</v>
      </c>
      <c r="D218" s="1" t="s">
        <v>4233</v>
      </c>
      <c r="E218" s="1" t="s">
        <v>4234</v>
      </c>
      <c r="F218" s="1">
        <v>1141048.0</v>
      </c>
      <c r="G218" s="1">
        <v>12082.0</v>
      </c>
      <c r="H218" s="1">
        <v>219.0</v>
      </c>
      <c r="I218" s="1">
        <v>1.72E7</v>
      </c>
      <c r="J218" s="1" t="s">
        <v>2468</v>
      </c>
      <c r="K218" s="5">
        <f t="shared" si="2"/>
        <v>0.06634</v>
      </c>
      <c r="L218" s="6">
        <f t="shared" si="3"/>
        <v>539</v>
      </c>
      <c r="M218" s="6">
        <f t="shared" si="4"/>
        <v>2116.972171</v>
      </c>
      <c r="N218" s="7">
        <f t="shared" si="5"/>
        <v>0.0001230797774</v>
      </c>
      <c r="O218" s="7"/>
      <c r="P218" s="4">
        <f t="shared" si="6"/>
        <v>-0.362833048</v>
      </c>
      <c r="Q218" s="4">
        <f t="shared" si="7"/>
        <v>6</v>
      </c>
      <c r="R218" s="4">
        <f t="shared" si="8"/>
        <v>1</v>
      </c>
      <c r="S218" s="4">
        <f t="shared" si="9"/>
        <v>-0.362833048</v>
      </c>
      <c r="T218" s="4">
        <f t="shared" si="10"/>
        <v>17</v>
      </c>
      <c r="U218" s="4">
        <f t="shared" si="1"/>
        <v>-0.362833048</v>
      </c>
      <c r="V218" s="4"/>
    </row>
    <row r="219">
      <c r="A219" s="1" t="s">
        <v>4520</v>
      </c>
      <c r="B219" s="1" t="s">
        <v>4521</v>
      </c>
      <c r="C219" s="1" t="s">
        <v>4522</v>
      </c>
      <c r="D219" s="1" t="s">
        <v>4233</v>
      </c>
      <c r="E219" s="1" t="s">
        <v>4234</v>
      </c>
      <c r="F219" s="1">
        <v>268520.0</v>
      </c>
      <c r="G219" s="1">
        <v>7183.0</v>
      </c>
      <c r="H219" s="1">
        <v>219.0</v>
      </c>
      <c r="I219" s="1">
        <v>1.72E7</v>
      </c>
      <c r="J219" s="1" t="s">
        <v>2468</v>
      </c>
      <c r="K219" s="5">
        <f t="shared" si="2"/>
        <v>0.01561162791</v>
      </c>
      <c r="L219" s="6">
        <f t="shared" si="3"/>
        <v>546</v>
      </c>
      <c r="M219" s="6">
        <f t="shared" si="4"/>
        <v>491.7948718</v>
      </c>
      <c r="N219" s="7">
        <f t="shared" si="5"/>
        <v>0.0000285927251</v>
      </c>
      <c r="O219" s="7"/>
      <c r="P219" s="4">
        <f t="shared" si="6"/>
        <v>-0.4293862719</v>
      </c>
      <c r="Q219" s="4">
        <f t="shared" si="7"/>
        <v>5</v>
      </c>
      <c r="R219" s="4">
        <f t="shared" si="8"/>
        <v>0</v>
      </c>
      <c r="S219" s="4">
        <f t="shared" si="9"/>
        <v>-0.4293862719</v>
      </c>
      <c r="T219" s="4">
        <f t="shared" si="10"/>
        <v>22</v>
      </c>
      <c r="U219" s="4">
        <f t="shared" si="1"/>
        <v>-0.4293862719</v>
      </c>
      <c r="V219" s="4"/>
    </row>
    <row r="220">
      <c r="A220" s="1" t="s">
        <v>4523</v>
      </c>
      <c r="B220" s="1" t="s">
        <v>4524</v>
      </c>
      <c r="C220" s="1" t="s">
        <v>4525</v>
      </c>
      <c r="D220" s="1" t="s">
        <v>4233</v>
      </c>
      <c r="E220" s="1" t="s">
        <v>4234</v>
      </c>
      <c r="F220" s="1">
        <v>133219.0</v>
      </c>
      <c r="G220" s="1">
        <v>7212.0</v>
      </c>
      <c r="H220" s="1">
        <v>319.0</v>
      </c>
      <c r="I220" s="1">
        <v>1.72E7</v>
      </c>
      <c r="J220" s="1" t="s">
        <v>2468</v>
      </c>
      <c r="K220" s="5">
        <f t="shared" si="2"/>
        <v>0.007745290698</v>
      </c>
      <c r="L220" s="6">
        <f t="shared" si="3"/>
        <v>548</v>
      </c>
      <c r="M220" s="6">
        <f t="shared" si="4"/>
        <v>243.100365</v>
      </c>
      <c r="N220" s="7">
        <f t="shared" si="5"/>
        <v>0.00001413374215</v>
      </c>
      <c r="O220" s="7"/>
      <c r="P220" s="4">
        <f t="shared" si="6"/>
        <v>-0.4395706507</v>
      </c>
      <c r="Q220" s="4">
        <f t="shared" si="7"/>
        <v>8</v>
      </c>
      <c r="R220" s="4">
        <f t="shared" si="8"/>
        <v>0</v>
      </c>
      <c r="S220" s="4">
        <f t="shared" si="9"/>
        <v>-0.4395706507</v>
      </c>
      <c r="T220" s="4">
        <f t="shared" si="10"/>
        <v>45</v>
      </c>
      <c r="U220" s="4">
        <f t="shared" si="1"/>
        <v>-0.4395706507</v>
      </c>
      <c r="V220" s="4"/>
    </row>
    <row r="221">
      <c r="A221" s="1" t="s">
        <v>4526</v>
      </c>
      <c r="B221" s="1" t="s">
        <v>4527</v>
      </c>
      <c r="C221" s="1" t="s">
        <v>4528</v>
      </c>
      <c r="D221" s="1" t="s">
        <v>4233</v>
      </c>
      <c r="E221" s="1" t="s">
        <v>4234</v>
      </c>
      <c r="F221" s="1">
        <v>125465.0</v>
      </c>
      <c r="G221" s="1">
        <v>5965.0</v>
      </c>
      <c r="H221" s="1">
        <v>74.0</v>
      </c>
      <c r="I221" s="1">
        <v>1.72E7</v>
      </c>
      <c r="J221" s="1" t="s">
        <v>2468</v>
      </c>
      <c r="K221" s="5">
        <f t="shared" si="2"/>
        <v>0.007294476744</v>
      </c>
      <c r="L221" s="6">
        <f t="shared" si="3"/>
        <v>555</v>
      </c>
      <c r="M221" s="6">
        <f t="shared" si="4"/>
        <v>226.0630631</v>
      </c>
      <c r="N221" s="7">
        <f t="shared" si="5"/>
        <v>0.00001314320134</v>
      </c>
      <c r="O221" s="7"/>
      <c r="P221" s="4">
        <f t="shared" si="6"/>
        <v>-0.4402683514</v>
      </c>
      <c r="Q221" s="4">
        <f t="shared" si="7"/>
        <v>9</v>
      </c>
      <c r="R221" s="4">
        <f t="shared" si="8"/>
        <v>1</v>
      </c>
      <c r="S221" s="4">
        <f t="shared" si="9"/>
        <v>-0.4402683514</v>
      </c>
      <c r="T221" s="4">
        <f t="shared" si="10"/>
        <v>52</v>
      </c>
      <c r="U221" s="4">
        <f t="shared" si="1"/>
        <v>-0.4402683514</v>
      </c>
      <c r="V221" s="4"/>
    </row>
    <row r="222">
      <c r="A222" s="1" t="s">
        <v>4529</v>
      </c>
      <c r="B222" s="1" t="s">
        <v>4530</v>
      </c>
      <c r="C222" s="1" t="s">
        <v>4531</v>
      </c>
      <c r="D222" s="1" t="s">
        <v>4233</v>
      </c>
      <c r="E222" s="1" t="s">
        <v>4234</v>
      </c>
      <c r="F222" s="1">
        <v>146825.0</v>
      </c>
      <c r="G222" s="1">
        <v>6730.0</v>
      </c>
      <c r="H222" s="1">
        <v>89.0</v>
      </c>
      <c r="I222" s="1">
        <v>1.72E7</v>
      </c>
      <c r="J222" s="1" t="s">
        <v>2468</v>
      </c>
      <c r="K222" s="5">
        <f t="shared" si="2"/>
        <v>0.008536337209</v>
      </c>
      <c r="L222" s="6">
        <f t="shared" si="3"/>
        <v>562</v>
      </c>
      <c r="M222" s="6">
        <f t="shared" si="4"/>
        <v>261.2544484</v>
      </c>
      <c r="N222" s="7">
        <f t="shared" si="5"/>
        <v>0.00001518921212</v>
      </c>
      <c r="O222" s="7"/>
      <c r="P222" s="4">
        <f t="shared" si="6"/>
        <v>-0.4388272162</v>
      </c>
      <c r="Q222" s="4">
        <f t="shared" si="7"/>
        <v>11</v>
      </c>
      <c r="R222" s="4">
        <f t="shared" si="8"/>
        <v>0</v>
      </c>
      <c r="S222" s="4">
        <f t="shared" si="9"/>
        <v>-0.4388272162</v>
      </c>
      <c r="T222" s="4">
        <f t="shared" si="10"/>
        <v>48</v>
      </c>
      <c r="U222" s="4">
        <f t="shared" si="1"/>
        <v>-0.4388272162</v>
      </c>
      <c r="V222" s="4"/>
    </row>
    <row r="223">
      <c r="A223" s="1" t="s">
        <v>4852</v>
      </c>
      <c r="B223" s="1" t="s">
        <v>4853</v>
      </c>
      <c r="C223" s="1" t="s">
        <v>4854</v>
      </c>
      <c r="D223" s="1" t="s">
        <v>4835</v>
      </c>
      <c r="E223" s="1" t="s">
        <v>4836</v>
      </c>
      <c r="F223" s="1">
        <v>5575554.0</v>
      </c>
      <c r="G223" s="1">
        <v>145745.0</v>
      </c>
      <c r="H223" s="1">
        <v>10500.0</v>
      </c>
      <c r="I223" s="1">
        <v>2.12E7</v>
      </c>
      <c r="J223" s="1" t="s">
        <v>2468</v>
      </c>
      <c r="K223" s="5">
        <f t="shared" si="2"/>
        <v>0.2629978302</v>
      </c>
      <c r="L223" s="6">
        <f t="shared" si="3"/>
        <v>40</v>
      </c>
      <c r="M223" s="6">
        <f t="shared" si="4"/>
        <v>139388.85</v>
      </c>
      <c r="N223" s="7">
        <f t="shared" si="5"/>
        <v>0.006574945755</v>
      </c>
      <c r="O223" s="7"/>
      <c r="P223" s="4">
        <f t="shared" si="6"/>
        <v>4.181625381</v>
      </c>
      <c r="Q223" s="4">
        <f t="shared" si="7"/>
        <v>11</v>
      </c>
      <c r="R223" s="4">
        <f t="shared" si="8"/>
        <v>1</v>
      </c>
      <c r="S223" s="4">
        <f t="shared" si="9"/>
        <v>4.181625381</v>
      </c>
      <c r="T223" s="4">
        <f t="shared" si="10"/>
        <v>50</v>
      </c>
      <c r="U223" s="4">
        <f t="shared" si="1"/>
        <v>4.181625381</v>
      </c>
      <c r="V223" s="4"/>
    </row>
    <row r="224">
      <c r="A224" s="1" t="s">
        <v>4855</v>
      </c>
      <c r="B224" s="1" t="s">
        <v>4856</v>
      </c>
      <c r="C224" s="1" t="s">
        <v>4857</v>
      </c>
      <c r="D224" s="1" t="s">
        <v>4835</v>
      </c>
      <c r="E224" s="1" t="s">
        <v>4836</v>
      </c>
      <c r="F224" s="1">
        <v>1360860.0</v>
      </c>
      <c r="G224" s="1">
        <v>49571.0</v>
      </c>
      <c r="H224" s="1">
        <v>2146.0</v>
      </c>
      <c r="I224" s="1">
        <v>2.12E7</v>
      </c>
      <c r="J224" s="1" t="s">
        <v>2468</v>
      </c>
      <c r="K224" s="5">
        <f t="shared" si="2"/>
        <v>0.06419150943</v>
      </c>
      <c r="L224" s="6">
        <f t="shared" si="3"/>
        <v>44</v>
      </c>
      <c r="M224" s="6">
        <f t="shared" si="4"/>
        <v>30928.63636</v>
      </c>
      <c r="N224" s="7">
        <f t="shared" si="5"/>
        <v>0.001458897942</v>
      </c>
      <c r="O224" s="7"/>
      <c r="P224" s="4">
        <f t="shared" si="6"/>
        <v>0.5780684118</v>
      </c>
      <c r="Q224" s="4">
        <f t="shared" si="7"/>
        <v>7</v>
      </c>
      <c r="R224" s="4">
        <f t="shared" si="8"/>
        <v>0</v>
      </c>
      <c r="S224" s="4">
        <f t="shared" si="9"/>
        <v>0.5780684118</v>
      </c>
      <c r="T224" s="4">
        <f t="shared" si="10"/>
        <v>45</v>
      </c>
      <c r="U224" s="4">
        <f t="shared" si="1"/>
        <v>0.5780684118</v>
      </c>
      <c r="V224" s="4"/>
    </row>
    <row r="225">
      <c r="A225" s="1" t="s">
        <v>4858</v>
      </c>
      <c r="B225" s="1" t="s">
        <v>4859</v>
      </c>
      <c r="C225" s="1" t="s">
        <v>4860</v>
      </c>
      <c r="D225" s="1" t="s">
        <v>4835</v>
      </c>
      <c r="E225" s="1" t="s">
        <v>4836</v>
      </c>
      <c r="F225" s="1">
        <v>4851339.0</v>
      </c>
      <c r="G225" s="1">
        <v>163715.0</v>
      </c>
      <c r="H225" s="1">
        <v>969.0</v>
      </c>
      <c r="I225" s="1">
        <v>2.12E7</v>
      </c>
      <c r="J225" s="1" t="s">
        <v>2468</v>
      </c>
      <c r="K225" s="5">
        <f t="shared" si="2"/>
        <v>0.2288367453</v>
      </c>
      <c r="L225" s="6">
        <f t="shared" si="3"/>
        <v>48</v>
      </c>
      <c r="M225" s="6">
        <f t="shared" si="4"/>
        <v>101069.5625</v>
      </c>
      <c r="N225" s="7">
        <f t="shared" si="5"/>
        <v>0.004767432193</v>
      </c>
      <c r="O225" s="7"/>
      <c r="P225" s="4">
        <f t="shared" si="6"/>
        <v>2.908478935</v>
      </c>
      <c r="Q225" s="4">
        <f t="shared" si="7"/>
        <v>7</v>
      </c>
      <c r="R225" s="4">
        <f t="shared" si="8"/>
        <v>0</v>
      </c>
      <c r="S225" s="4">
        <f t="shared" si="9"/>
        <v>2.908478935</v>
      </c>
      <c r="T225" s="4">
        <f t="shared" si="10"/>
        <v>27</v>
      </c>
      <c r="U225" s="4">
        <f t="shared" si="1"/>
        <v>2.908478935</v>
      </c>
      <c r="V225" s="4"/>
    </row>
    <row r="226">
      <c r="A226" s="1" t="s">
        <v>4861</v>
      </c>
      <c r="B226" s="1" t="s">
        <v>4862</v>
      </c>
      <c r="C226" s="1" t="s">
        <v>4863</v>
      </c>
      <c r="D226" s="1" t="s">
        <v>4835</v>
      </c>
      <c r="E226" s="1" t="s">
        <v>4836</v>
      </c>
      <c r="F226" s="1">
        <v>5147553.0</v>
      </c>
      <c r="G226" s="1">
        <v>139780.0</v>
      </c>
      <c r="H226" s="1">
        <v>7060.0</v>
      </c>
      <c r="I226" s="1">
        <v>2.12E7</v>
      </c>
      <c r="J226" s="1" t="s">
        <v>2468</v>
      </c>
      <c r="K226" s="5">
        <f t="shared" si="2"/>
        <v>0.2428091038</v>
      </c>
      <c r="L226" s="6">
        <f t="shared" si="3"/>
        <v>51</v>
      </c>
      <c r="M226" s="6">
        <f t="shared" si="4"/>
        <v>100932.4118</v>
      </c>
      <c r="N226" s="7">
        <f t="shared" si="5"/>
        <v>0.004760962819</v>
      </c>
      <c r="O226" s="7"/>
      <c r="P226" s="4">
        <f t="shared" si="6"/>
        <v>2.903922144</v>
      </c>
      <c r="Q226" s="4">
        <f t="shared" si="7"/>
        <v>6</v>
      </c>
      <c r="R226" s="4">
        <f t="shared" si="8"/>
        <v>0</v>
      </c>
      <c r="S226" s="4">
        <f t="shared" si="9"/>
        <v>2.903922144</v>
      </c>
      <c r="T226" s="4">
        <f t="shared" si="10"/>
        <v>38</v>
      </c>
      <c r="U226" s="4">
        <f t="shared" si="1"/>
        <v>2.903922144</v>
      </c>
      <c r="V226" s="4"/>
    </row>
    <row r="227">
      <c r="A227" s="1" t="s">
        <v>4864</v>
      </c>
      <c r="B227" s="1" t="s">
        <v>4865</v>
      </c>
      <c r="C227" s="1" t="s">
        <v>4866</v>
      </c>
      <c r="D227" s="1" t="s">
        <v>4835</v>
      </c>
      <c r="E227" s="1" t="s">
        <v>4836</v>
      </c>
      <c r="F227" s="1">
        <v>1.0303439E7</v>
      </c>
      <c r="G227" s="1">
        <v>207940.0</v>
      </c>
      <c r="H227" s="1">
        <v>7579.0</v>
      </c>
      <c r="I227" s="1">
        <v>2.12E7</v>
      </c>
      <c r="J227" s="1" t="s">
        <v>2468</v>
      </c>
      <c r="K227" s="5">
        <f t="shared" si="2"/>
        <v>0.4860112736</v>
      </c>
      <c r="L227" s="6">
        <f t="shared" si="3"/>
        <v>52</v>
      </c>
      <c r="M227" s="6">
        <f t="shared" si="4"/>
        <v>198143.0577</v>
      </c>
      <c r="N227" s="7">
        <f t="shared" si="5"/>
        <v>0.009346370646</v>
      </c>
      <c r="O227" s="7"/>
      <c r="P227" s="4">
        <f t="shared" si="6"/>
        <v>6.133715714</v>
      </c>
      <c r="Q227" s="4">
        <f t="shared" si="7"/>
        <v>7</v>
      </c>
      <c r="R227" s="4">
        <f t="shared" si="8"/>
        <v>0</v>
      </c>
      <c r="S227" s="4">
        <f t="shared" si="9"/>
        <v>6.133715714</v>
      </c>
      <c r="T227" s="4">
        <f t="shared" si="10"/>
        <v>42</v>
      </c>
      <c r="U227" s="4">
        <f t="shared" si="1"/>
        <v>6.133715714</v>
      </c>
      <c r="V227" s="4"/>
    </row>
    <row r="228">
      <c r="A228" s="1" t="s">
        <v>4867</v>
      </c>
      <c r="B228" s="1" t="s">
        <v>4868</v>
      </c>
      <c r="C228" s="1" t="s">
        <v>4869</v>
      </c>
      <c r="D228" s="1" t="s">
        <v>4835</v>
      </c>
      <c r="E228" s="1" t="s">
        <v>4836</v>
      </c>
      <c r="F228" s="1">
        <v>3837535.0</v>
      </c>
      <c r="G228" s="1">
        <v>131674.0</v>
      </c>
      <c r="H228" s="1">
        <v>2481.0</v>
      </c>
      <c r="I228" s="1">
        <v>2.12E7</v>
      </c>
      <c r="J228" s="1" t="s">
        <v>2468</v>
      </c>
      <c r="K228" s="5">
        <f t="shared" si="2"/>
        <v>0.1810158019</v>
      </c>
      <c r="L228" s="6">
        <f t="shared" si="3"/>
        <v>56</v>
      </c>
      <c r="M228" s="6">
        <f t="shared" si="4"/>
        <v>68527.41071</v>
      </c>
      <c r="N228" s="7">
        <f t="shared" si="5"/>
        <v>0.003232425034</v>
      </c>
      <c r="O228" s="7"/>
      <c r="P228" s="4">
        <f t="shared" si="6"/>
        <v>1.827276032</v>
      </c>
      <c r="Q228" s="4">
        <f t="shared" si="7"/>
        <v>7</v>
      </c>
      <c r="R228" s="4">
        <f t="shared" si="8"/>
        <v>1</v>
      </c>
      <c r="S228" s="4">
        <f t="shared" si="9"/>
        <v>1.827276032</v>
      </c>
      <c r="T228" s="4">
        <f t="shared" si="10"/>
        <v>33</v>
      </c>
      <c r="U228" s="4">
        <f t="shared" si="1"/>
        <v>1.827276032</v>
      </c>
      <c r="V228" s="4"/>
    </row>
    <row r="229">
      <c r="A229" s="1" t="s">
        <v>4870</v>
      </c>
      <c r="B229" s="1" t="s">
        <v>4871</v>
      </c>
      <c r="C229" s="1" t="s">
        <v>4872</v>
      </c>
      <c r="D229" s="1" t="s">
        <v>4835</v>
      </c>
      <c r="E229" s="1" t="s">
        <v>4836</v>
      </c>
      <c r="F229" s="1">
        <v>2108583.0</v>
      </c>
      <c r="G229" s="1">
        <v>15353.0</v>
      </c>
      <c r="H229" s="1">
        <v>453.0</v>
      </c>
      <c r="I229" s="1">
        <v>2.12E7</v>
      </c>
      <c r="J229" s="1" t="s">
        <v>2468</v>
      </c>
      <c r="K229" s="5">
        <f t="shared" si="2"/>
        <v>0.09946146226</v>
      </c>
      <c r="L229" s="6">
        <f t="shared" si="3"/>
        <v>58</v>
      </c>
      <c r="M229" s="6">
        <f t="shared" si="4"/>
        <v>36354.87931</v>
      </c>
      <c r="N229" s="7">
        <f t="shared" si="5"/>
        <v>0.001714852798</v>
      </c>
      <c r="O229" s="7"/>
      <c r="P229" s="4">
        <f t="shared" si="6"/>
        <v>0.7583536513</v>
      </c>
      <c r="Q229" s="4">
        <f t="shared" si="7"/>
        <v>9</v>
      </c>
      <c r="R229" s="4">
        <f t="shared" si="8"/>
        <v>1</v>
      </c>
      <c r="S229" s="4">
        <f t="shared" si="9"/>
        <v>0.7583536513</v>
      </c>
      <c r="T229" s="4">
        <f t="shared" si="10"/>
        <v>42</v>
      </c>
      <c r="U229" s="4">
        <f t="shared" si="1"/>
        <v>0.7583536513</v>
      </c>
      <c r="V229" s="4"/>
    </row>
    <row r="230">
      <c r="A230" s="1" t="s">
        <v>4873</v>
      </c>
      <c r="B230" s="1" t="s">
        <v>4874</v>
      </c>
      <c r="C230" s="1" t="s">
        <v>4875</v>
      </c>
      <c r="D230" s="1" t="s">
        <v>4835</v>
      </c>
      <c r="E230" s="1" t="s">
        <v>4836</v>
      </c>
      <c r="F230" s="1">
        <v>3783329.0</v>
      </c>
      <c r="G230" s="1">
        <v>79884.0</v>
      </c>
      <c r="H230" s="1">
        <v>1709.0</v>
      </c>
      <c r="I230" s="1">
        <v>2.12E7</v>
      </c>
      <c r="J230" s="1" t="s">
        <v>2468</v>
      </c>
      <c r="K230" s="5">
        <f t="shared" si="2"/>
        <v>0.1784589151</v>
      </c>
      <c r="L230" s="6">
        <f t="shared" si="3"/>
        <v>65</v>
      </c>
      <c r="M230" s="6">
        <f t="shared" si="4"/>
        <v>58205.06154</v>
      </c>
      <c r="N230" s="7">
        <f t="shared" si="5"/>
        <v>0.002745521771</v>
      </c>
      <c r="O230" s="7"/>
      <c r="P230" s="4">
        <f t="shared" si="6"/>
        <v>1.484319181</v>
      </c>
      <c r="Q230" s="4">
        <f t="shared" si="7"/>
        <v>14</v>
      </c>
      <c r="R230" s="4">
        <f t="shared" si="8"/>
        <v>1</v>
      </c>
      <c r="S230" s="4">
        <f t="shared" si="9"/>
        <v>1.484319181</v>
      </c>
      <c r="T230" s="4">
        <f t="shared" si="10"/>
        <v>43</v>
      </c>
      <c r="U230" s="4">
        <f t="shared" si="1"/>
        <v>1.484319181</v>
      </c>
      <c r="V230" s="4"/>
    </row>
    <row r="231">
      <c r="A231" s="1" t="s">
        <v>4876</v>
      </c>
      <c r="B231" s="1" t="s">
        <v>4877</v>
      </c>
      <c r="C231" s="1" t="s">
        <v>4878</v>
      </c>
      <c r="D231" s="1" t="s">
        <v>4835</v>
      </c>
      <c r="E231" s="1" t="s">
        <v>4836</v>
      </c>
      <c r="F231" s="1">
        <v>975199.0</v>
      </c>
      <c r="G231" s="1">
        <v>28205.0</v>
      </c>
      <c r="H231" s="1">
        <v>415.0</v>
      </c>
      <c r="I231" s="1">
        <v>2.12E7</v>
      </c>
      <c r="J231" s="1" t="s">
        <v>2468</v>
      </c>
      <c r="K231" s="5">
        <f t="shared" si="2"/>
        <v>0.04599995283</v>
      </c>
      <c r="L231" s="6">
        <f t="shared" si="3"/>
        <v>69</v>
      </c>
      <c r="M231" s="6">
        <f t="shared" si="4"/>
        <v>14133.31884</v>
      </c>
      <c r="N231" s="7">
        <f t="shared" si="5"/>
        <v>0.000666665983</v>
      </c>
      <c r="O231" s="7"/>
      <c r="P231" s="4">
        <f t="shared" si="6"/>
        <v>0.02004919462</v>
      </c>
      <c r="Q231" s="4">
        <f t="shared" si="7"/>
        <v>6</v>
      </c>
      <c r="R231" s="4">
        <f t="shared" si="8"/>
        <v>1</v>
      </c>
      <c r="S231" s="4">
        <f t="shared" si="9"/>
        <v>0.02004919462</v>
      </c>
      <c r="T231" s="4">
        <f t="shared" si="10"/>
        <v>26</v>
      </c>
      <c r="U231" s="4">
        <f t="shared" si="1"/>
        <v>0.02004919462</v>
      </c>
      <c r="V231" s="4"/>
    </row>
    <row r="232">
      <c r="A232" s="1" t="s">
        <v>4879</v>
      </c>
      <c r="B232" s="1" t="s">
        <v>4880</v>
      </c>
      <c r="C232" s="1" t="s">
        <v>4881</v>
      </c>
      <c r="D232" s="1" t="s">
        <v>4835</v>
      </c>
      <c r="E232" s="1" t="s">
        <v>4836</v>
      </c>
      <c r="F232" s="1">
        <v>2491139.0</v>
      </c>
      <c r="G232" s="1">
        <v>76712.0</v>
      </c>
      <c r="H232" s="1">
        <v>4239.0</v>
      </c>
      <c r="I232" s="1">
        <v>2.12E7</v>
      </c>
      <c r="J232" s="1" t="s">
        <v>2468</v>
      </c>
      <c r="K232" s="5">
        <f t="shared" si="2"/>
        <v>0.1175065566</v>
      </c>
      <c r="L232" s="6">
        <f t="shared" si="3"/>
        <v>73</v>
      </c>
      <c r="M232" s="6">
        <f t="shared" si="4"/>
        <v>34125.19178</v>
      </c>
      <c r="N232" s="7">
        <f t="shared" si="5"/>
        <v>0.001609678858</v>
      </c>
      <c r="O232" s="7"/>
      <c r="P232" s="4">
        <f t="shared" si="6"/>
        <v>0.6842729744</v>
      </c>
      <c r="Q232" s="4">
        <f t="shared" si="7"/>
        <v>11</v>
      </c>
      <c r="R232" s="4">
        <f t="shared" si="8"/>
        <v>0</v>
      </c>
      <c r="S232" s="4">
        <f t="shared" si="9"/>
        <v>0.6842729744</v>
      </c>
      <c r="T232" s="4">
        <f t="shared" si="10"/>
        <v>45</v>
      </c>
      <c r="U232" s="4">
        <f t="shared" si="1"/>
        <v>0.6842729744</v>
      </c>
      <c r="V232" s="4"/>
    </row>
    <row r="233">
      <c r="A233" s="1" t="s">
        <v>4882</v>
      </c>
      <c r="B233" s="1" t="s">
        <v>4883</v>
      </c>
      <c r="C233" s="1" t="s">
        <v>4884</v>
      </c>
      <c r="D233" s="1" t="s">
        <v>4835</v>
      </c>
      <c r="E233" s="1" t="s">
        <v>4836</v>
      </c>
      <c r="F233" s="1">
        <v>8482795.0</v>
      </c>
      <c r="G233" s="1">
        <v>364980.0</v>
      </c>
      <c r="H233" s="1">
        <v>3440.0</v>
      </c>
      <c r="I233" s="1">
        <v>2.12E7</v>
      </c>
      <c r="J233" s="1" t="s">
        <v>2468</v>
      </c>
      <c r="K233" s="5">
        <f t="shared" si="2"/>
        <v>0.4001318396</v>
      </c>
      <c r="L233" s="6">
        <f t="shared" si="3"/>
        <v>77</v>
      </c>
      <c r="M233" s="6">
        <f t="shared" si="4"/>
        <v>110166.1688</v>
      </c>
      <c r="N233" s="7">
        <f t="shared" si="5"/>
        <v>0.005196517398</v>
      </c>
      <c r="O233" s="7"/>
      <c r="P233" s="4">
        <f t="shared" si="6"/>
        <v>3.21071086</v>
      </c>
      <c r="Q233" s="4">
        <f t="shared" si="7"/>
        <v>12</v>
      </c>
      <c r="R233" s="4">
        <f t="shared" si="8"/>
        <v>0</v>
      </c>
      <c r="S233" s="4">
        <f t="shared" si="9"/>
        <v>3.21071086</v>
      </c>
      <c r="T233" s="4">
        <f t="shared" si="10"/>
        <v>61</v>
      </c>
      <c r="U233" s="4">
        <f t="shared" si="1"/>
        <v>3.21071086</v>
      </c>
      <c r="V233" s="4"/>
    </row>
    <row r="234">
      <c r="A234" s="1" t="s">
        <v>4885</v>
      </c>
      <c r="B234" s="1" t="s">
        <v>4886</v>
      </c>
      <c r="C234" s="1" t="s">
        <v>4887</v>
      </c>
      <c r="D234" s="1" t="s">
        <v>4835</v>
      </c>
      <c r="E234" s="1" t="s">
        <v>4836</v>
      </c>
      <c r="F234" s="1">
        <v>5976258.0</v>
      </c>
      <c r="G234" s="1">
        <v>108526.0</v>
      </c>
      <c r="H234" s="1">
        <v>5504.0</v>
      </c>
      <c r="I234" s="1">
        <v>2.12E7</v>
      </c>
      <c r="J234" s="1" t="s">
        <v>2468</v>
      </c>
      <c r="K234" s="5">
        <f t="shared" si="2"/>
        <v>0.2818989623</v>
      </c>
      <c r="L234" s="6">
        <f t="shared" si="3"/>
        <v>81</v>
      </c>
      <c r="M234" s="6">
        <f t="shared" si="4"/>
        <v>73780.96296</v>
      </c>
      <c r="N234" s="7">
        <f t="shared" si="5"/>
        <v>0.003480234102</v>
      </c>
      <c r="O234" s="7"/>
      <c r="P234" s="4">
        <f t="shared" si="6"/>
        <v>2.001823676</v>
      </c>
      <c r="Q234" s="4">
        <f t="shared" si="7"/>
        <v>13</v>
      </c>
      <c r="R234" s="4">
        <f t="shared" si="8"/>
        <v>0</v>
      </c>
      <c r="S234" s="4">
        <f t="shared" si="9"/>
        <v>2.001823676</v>
      </c>
      <c r="T234" s="4">
        <f t="shared" si="10"/>
        <v>49</v>
      </c>
      <c r="U234" s="4">
        <f t="shared" si="1"/>
        <v>2.001823676</v>
      </c>
      <c r="V234" s="4"/>
    </row>
    <row r="235">
      <c r="A235" s="1" t="s">
        <v>4888</v>
      </c>
      <c r="B235" s="1" t="s">
        <v>4889</v>
      </c>
      <c r="C235" s="1" t="s">
        <v>4890</v>
      </c>
      <c r="D235" s="1" t="s">
        <v>4835</v>
      </c>
      <c r="E235" s="1" t="s">
        <v>4836</v>
      </c>
      <c r="F235" s="1">
        <v>4452711.0</v>
      </c>
      <c r="G235" s="1">
        <v>141997.0</v>
      </c>
      <c r="H235" s="1">
        <v>992.0</v>
      </c>
      <c r="I235" s="1">
        <v>2.12E7</v>
      </c>
      <c r="J235" s="1" t="s">
        <v>2468</v>
      </c>
      <c r="K235" s="5">
        <f t="shared" si="2"/>
        <v>0.2100335377</v>
      </c>
      <c r="L235" s="6">
        <f t="shared" si="3"/>
        <v>83</v>
      </c>
      <c r="M235" s="6">
        <f t="shared" si="4"/>
        <v>53647.12048</v>
      </c>
      <c r="N235" s="7">
        <f t="shared" si="5"/>
        <v>0.002530524551</v>
      </c>
      <c r="O235" s="7"/>
      <c r="P235" s="4">
        <f t="shared" si="6"/>
        <v>1.332883003</v>
      </c>
      <c r="Q235" s="4">
        <f t="shared" si="7"/>
        <v>6</v>
      </c>
      <c r="R235" s="4">
        <f t="shared" si="8"/>
        <v>0</v>
      </c>
      <c r="S235" s="4">
        <f t="shared" si="9"/>
        <v>1.332883003</v>
      </c>
      <c r="T235" s="4">
        <f t="shared" si="10"/>
        <v>32</v>
      </c>
      <c r="U235" s="4">
        <f t="shared" si="1"/>
        <v>1.332883003</v>
      </c>
      <c r="V235" s="4"/>
    </row>
    <row r="236">
      <c r="A236" s="1" t="s">
        <v>4891</v>
      </c>
      <c r="B236" s="1" t="s">
        <v>4892</v>
      </c>
      <c r="C236" s="1" t="s">
        <v>4893</v>
      </c>
      <c r="D236" s="1" t="s">
        <v>4835</v>
      </c>
      <c r="E236" s="1" t="s">
        <v>4836</v>
      </c>
      <c r="F236" s="1">
        <v>3171006.0</v>
      </c>
      <c r="G236" s="1">
        <v>107461.0</v>
      </c>
      <c r="H236" s="1">
        <v>1544.0</v>
      </c>
      <c r="I236" s="1">
        <v>2.12E7</v>
      </c>
      <c r="J236" s="1" t="s">
        <v>2468</v>
      </c>
      <c r="K236" s="5">
        <f t="shared" si="2"/>
        <v>0.1495757547</v>
      </c>
      <c r="L236" s="6">
        <f t="shared" si="3"/>
        <v>87</v>
      </c>
      <c r="M236" s="6">
        <f t="shared" si="4"/>
        <v>36448.34483</v>
      </c>
      <c r="N236" s="7">
        <f t="shared" si="5"/>
        <v>0.001719261548</v>
      </c>
      <c r="O236" s="7"/>
      <c r="P236" s="4">
        <f t="shared" si="6"/>
        <v>0.7614590141</v>
      </c>
      <c r="Q236" s="4">
        <f t="shared" si="7"/>
        <v>8</v>
      </c>
      <c r="R236" s="4">
        <f t="shared" si="8"/>
        <v>0</v>
      </c>
      <c r="S236" s="4">
        <f t="shared" si="9"/>
        <v>0.7614590141</v>
      </c>
      <c r="T236" s="4">
        <f t="shared" si="10"/>
        <v>39</v>
      </c>
      <c r="U236" s="4">
        <f t="shared" si="1"/>
        <v>0.7614590141</v>
      </c>
      <c r="V236" s="4"/>
    </row>
    <row r="237">
      <c r="A237" s="1" t="s">
        <v>4894</v>
      </c>
      <c r="B237" s="1" t="s">
        <v>4895</v>
      </c>
      <c r="C237" s="1" t="s">
        <v>4896</v>
      </c>
      <c r="D237" s="1" t="s">
        <v>4835</v>
      </c>
      <c r="E237" s="1" t="s">
        <v>4836</v>
      </c>
      <c r="F237" s="1">
        <v>1310831.0</v>
      </c>
      <c r="G237" s="1">
        <v>5062.0</v>
      </c>
      <c r="H237" s="1">
        <v>212.0</v>
      </c>
      <c r="I237" s="1">
        <v>2.12E7</v>
      </c>
      <c r="J237" s="1" t="s">
        <v>2468</v>
      </c>
      <c r="K237" s="5">
        <f t="shared" si="2"/>
        <v>0.06183165094</v>
      </c>
      <c r="L237" s="6">
        <f t="shared" si="3"/>
        <v>90</v>
      </c>
      <c r="M237" s="6">
        <f t="shared" si="4"/>
        <v>14564.78889</v>
      </c>
      <c r="N237" s="7">
        <f t="shared" si="5"/>
        <v>0.0006870183438</v>
      </c>
      <c r="O237" s="7"/>
      <c r="P237" s="4">
        <f t="shared" si="6"/>
        <v>0.0343846532</v>
      </c>
      <c r="Q237" s="4">
        <f t="shared" si="7"/>
        <v>14</v>
      </c>
      <c r="R237" s="4">
        <f t="shared" si="8"/>
        <v>1</v>
      </c>
      <c r="S237" s="4">
        <f t="shared" si="9"/>
        <v>0.0343846532</v>
      </c>
      <c r="T237" s="4">
        <f t="shared" si="10"/>
        <v>58</v>
      </c>
      <c r="U237" s="4">
        <f t="shared" si="1"/>
        <v>0.0343846532</v>
      </c>
      <c r="V237" s="4"/>
    </row>
    <row r="238">
      <c r="A238" s="1" t="s">
        <v>4897</v>
      </c>
      <c r="B238" s="1" t="s">
        <v>4898</v>
      </c>
      <c r="C238" s="1" t="s">
        <v>4899</v>
      </c>
      <c r="D238" s="1" t="s">
        <v>4835</v>
      </c>
      <c r="E238" s="1" t="s">
        <v>4836</v>
      </c>
      <c r="F238" s="1">
        <v>1.0277656E7</v>
      </c>
      <c r="G238" s="1">
        <v>280350.0</v>
      </c>
      <c r="H238" s="1">
        <v>19144.0</v>
      </c>
      <c r="I238" s="1">
        <v>2.12E7</v>
      </c>
      <c r="J238" s="1" t="s">
        <v>2468</v>
      </c>
      <c r="K238" s="5">
        <f t="shared" si="2"/>
        <v>0.4847950943</v>
      </c>
      <c r="L238" s="6">
        <f t="shared" si="3"/>
        <v>90</v>
      </c>
      <c r="M238" s="6">
        <f t="shared" si="4"/>
        <v>114196.1778</v>
      </c>
      <c r="N238" s="7">
        <f t="shared" si="5"/>
        <v>0.005386612159</v>
      </c>
      <c r="O238" s="7"/>
      <c r="P238" s="4">
        <f t="shared" si="6"/>
        <v>3.344606658</v>
      </c>
      <c r="Q238" s="4">
        <f t="shared" si="7"/>
        <v>10</v>
      </c>
      <c r="R238" s="4">
        <f t="shared" si="8"/>
        <v>0</v>
      </c>
      <c r="S238" s="4">
        <f t="shared" si="9"/>
        <v>3.344606658</v>
      </c>
      <c r="T238" s="4">
        <f t="shared" si="10"/>
        <v>48</v>
      </c>
      <c r="U238" s="4">
        <f t="shared" si="1"/>
        <v>3.344606658</v>
      </c>
      <c r="V238" s="4"/>
    </row>
    <row r="239">
      <c r="A239" s="1" t="s">
        <v>4900</v>
      </c>
      <c r="B239" s="1" t="s">
        <v>4901</v>
      </c>
      <c r="C239" s="1" t="s">
        <v>4902</v>
      </c>
      <c r="D239" s="1" t="s">
        <v>4835</v>
      </c>
      <c r="E239" s="1" t="s">
        <v>4836</v>
      </c>
      <c r="F239" s="1">
        <v>8048517.0</v>
      </c>
      <c r="G239" s="1">
        <v>164921.0</v>
      </c>
      <c r="H239" s="1">
        <v>5240.0</v>
      </c>
      <c r="I239" s="1">
        <v>2.12E7</v>
      </c>
      <c r="J239" s="1" t="s">
        <v>2468</v>
      </c>
      <c r="K239" s="5">
        <f t="shared" si="2"/>
        <v>0.3796470283</v>
      </c>
      <c r="L239" s="6">
        <f t="shared" si="3"/>
        <v>96</v>
      </c>
      <c r="M239" s="6">
        <f t="shared" si="4"/>
        <v>83838.71875</v>
      </c>
      <c r="N239" s="7">
        <f t="shared" si="5"/>
        <v>0.003954656545</v>
      </c>
      <c r="O239" s="7"/>
      <c r="P239" s="4">
        <f t="shared" si="6"/>
        <v>2.335989494</v>
      </c>
      <c r="Q239" s="4">
        <f t="shared" si="7"/>
        <v>8</v>
      </c>
      <c r="R239" s="4">
        <f t="shared" si="8"/>
        <v>0</v>
      </c>
      <c r="S239" s="4">
        <f t="shared" si="9"/>
        <v>2.335989494</v>
      </c>
      <c r="T239" s="4">
        <f t="shared" si="10"/>
        <v>40</v>
      </c>
      <c r="U239" s="4">
        <f t="shared" si="1"/>
        <v>2.335989494</v>
      </c>
      <c r="V239" s="4"/>
    </row>
    <row r="240">
      <c r="A240" s="1" t="s">
        <v>4903</v>
      </c>
      <c r="B240" s="1" t="s">
        <v>4904</v>
      </c>
      <c r="C240" s="1" t="s">
        <v>4905</v>
      </c>
      <c r="D240" s="1" t="s">
        <v>4835</v>
      </c>
      <c r="E240" s="1" t="s">
        <v>4836</v>
      </c>
      <c r="F240" s="1">
        <v>669617.0</v>
      </c>
      <c r="G240" s="1">
        <v>16366.0</v>
      </c>
      <c r="H240" s="1">
        <v>1037.0</v>
      </c>
      <c r="I240" s="1">
        <v>2.12E7</v>
      </c>
      <c r="J240" s="1" t="s">
        <v>2468</v>
      </c>
      <c r="K240" s="5">
        <f t="shared" si="2"/>
        <v>0.03158570755</v>
      </c>
      <c r="L240" s="6">
        <f t="shared" si="3"/>
        <v>98</v>
      </c>
      <c r="M240" s="6">
        <f t="shared" si="4"/>
        <v>6832.826531</v>
      </c>
      <c r="N240" s="7">
        <f t="shared" si="5"/>
        <v>0.0003223031382</v>
      </c>
      <c r="O240" s="7"/>
      <c r="P240" s="4">
        <f t="shared" si="6"/>
        <v>-0.2225073988</v>
      </c>
      <c r="Q240" s="4">
        <f t="shared" si="7"/>
        <v>8</v>
      </c>
      <c r="R240" s="4">
        <f t="shared" si="8"/>
        <v>0</v>
      </c>
      <c r="S240" s="4">
        <f t="shared" si="9"/>
        <v>-0.2225073988</v>
      </c>
      <c r="T240" s="4">
        <f t="shared" si="10"/>
        <v>29</v>
      </c>
      <c r="U240" s="4">
        <f t="shared" si="1"/>
        <v>-0.2225073988</v>
      </c>
      <c r="V240" s="4"/>
    </row>
    <row r="241">
      <c r="A241" s="1" t="s">
        <v>4906</v>
      </c>
      <c r="B241" s="1" t="s">
        <v>4907</v>
      </c>
      <c r="C241" s="1" t="s">
        <v>4908</v>
      </c>
      <c r="D241" s="1" t="s">
        <v>4835</v>
      </c>
      <c r="E241" s="1" t="s">
        <v>4836</v>
      </c>
      <c r="F241" s="1">
        <v>1357715.0</v>
      </c>
      <c r="G241" s="1">
        <v>45227.0</v>
      </c>
      <c r="H241" s="1">
        <v>1044.0</v>
      </c>
      <c r="I241" s="1">
        <v>2.12E7</v>
      </c>
      <c r="J241" s="1" t="s">
        <v>2468</v>
      </c>
      <c r="K241" s="5">
        <f t="shared" si="2"/>
        <v>0.06404316038</v>
      </c>
      <c r="L241" s="6">
        <f t="shared" si="3"/>
        <v>103</v>
      </c>
      <c r="M241" s="6">
        <f t="shared" si="4"/>
        <v>13181.69903</v>
      </c>
      <c r="N241" s="7">
        <f t="shared" si="5"/>
        <v>0.0006217782561</v>
      </c>
      <c r="O241" s="7"/>
      <c r="P241" s="4">
        <f t="shared" si="6"/>
        <v>-0.01156807856</v>
      </c>
      <c r="Q241" s="4">
        <f t="shared" si="7"/>
        <v>6</v>
      </c>
      <c r="R241" s="4">
        <f t="shared" si="8"/>
        <v>1</v>
      </c>
      <c r="S241" s="4">
        <f t="shared" si="9"/>
        <v>-0.01156807856</v>
      </c>
      <c r="T241" s="4">
        <f t="shared" si="10"/>
        <v>23</v>
      </c>
      <c r="U241" s="4">
        <f t="shared" si="1"/>
        <v>-0.01156807856</v>
      </c>
      <c r="V241" s="4"/>
    </row>
    <row r="242">
      <c r="A242" s="1" t="s">
        <v>4909</v>
      </c>
      <c r="B242" s="1" t="s">
        <v>4910</v>
      </c>
      <c r="C242" s="1" t="s">
        <v>4911</v>
      </c>
      <c r="D242" s="1" t="s">
        <v>4835</v>
      </c>
      <c r="E242" s="1" t="s">
        <v>4836</v>
      </c>
      <c r="F242" s="1">
        <v>382824.0</v>
      </c>
      <c r="G242" s="1">
        <v>9364.0</v>
      </c>
      <c r="H242" s="1">
        <v>1467.0</v>
      </c>
      <c r="I242" s="1">
        <v>2.12E7</v>
      </c>
      <c r="J242" s="1" t="s">
        <v>2468</v>
      </c>
      <c r="K242" s="5">
        <f t="shared" si="2"/>
        <v>0.01805773585</v>
      </c>
      <c r="L242" s="6">
        <f t="shared" si="3"/>
        <v>106</v>
      </c>
      <c r="M242" s="6">
        <f t="shared" si="4"/>
        <v>3611.54717</v>
      </c>
      <c r="N242" s="7">
        <f t="shared" si="5"/>
        <v>0.0001703559986</v>
      </c>
      <c r="O242" s="7"/>
      <c r="P242" s="4">
        <f t="shared" si="6"/>
        <v>-0.3295334068</v>
      </c>
      <c r="Q242" s="4">
        <f t="shared" si="7"/>
        <v>10</v>
      </c>
      <c r="R242" s="4">
        <f t="shared" si="8"/>
        <v>1</v>
      </c>
      <c r="S242" s="4">
        <f t="shared" si="9"/>
        <v>-0.3295334068</v>
      </c>
      <c r="T242" s="4">
        <f t="shared" si="10"/>
        <v>40</v>
      </c>
      <c r="U242" s="4">
        <f t="shared" si="1"/>
        <v>-0.3295334068</v>
      </c>
      <c r="V242" s="4"/>
    </row>
    <row r="243">
      <c r="A243" s="1" t="s">
        <v>4912</v>
      </c>
      <c r="B243" s="1" t="s">
        <v>4913</v>
      </c>
      <c r="C243" s="1" t="s">
        <v>4914</v>
      </c>
      <c r="D243" s="1" t="s">
        <v>4835</v>
      </c>
      <c r="E243" s="1" t="s">
        <v>4836</v>
      </c>
      <c r="F243" s="1">
        <v>4366435.0</v>
      </c>
      <c r="G243" s="1">
        <v>133033.0</v>
      </c>
      <c r="H243" s="1">
        <v>1976.0</v>
      </c>
      <c r="I243" s="1">
        <v>2.12E7</v>
      </c>
      <c r="J243" s="1" t="s">
        <v>2468</v>
      </c>
      <c r="K243" s="5">
        <f t="shared" si="2"/>
        <v>0.2059639151</v>
      </c>
      <c r="L243" s="6">
        <f t="shared" si="3"/>
        <v>111</v>
      </c>
      <c r="M243" s="6">
        <f t="shared" si="4"/>
        <v>39337.25225</v>
      </c>
      <c r="N243" s="7">
        <f t="shared" si="5"/>
        <v>0.001855530767</v>
      </c>
      <c r="O243" s="7"/>
      <c r="P243" s="4">
        <f t="shared" si="6"/>
        <v>0.8574420676</v>
      </c>
      <c r="Q243" s="4">
        <f t="shared" si="7"/>
        <v>7</v>
      </c>
      <c r="R243" s="4">
        <f t="shared" si="8"/>
        <v>0</v>
      </c>
      <c r="S243" s="4">
        <f t="shared" si="9"/>
        <v>0.8574420676</v>
      </c>
      <c r="T243" s="4">
        <f t="shared" si="10"/>
        <v>37</v>
      </c>
      <c r="U243" s="4">
        <f t="shared" si="1"/>
        <v>0.8574420676</v>
      </c>
      <c r="V243" s="4"/>
    </row>
    <row r="244">
      <c r="A244" s="1" t="s">
        <v>4915</v>
      </c>
      <c r="B244" s="1" t="s">
        <v>4916</v>
      </c>
      <c r="C244" s="1" t="s">
        <v>4917</v>
      </c>
      <c r="D244" s="1" t="s">
        <v>4835</v>
      </c>
      <c r="E244" s="1" t="s">
        <v>4836</v>
      </c>
      <c r="F244" s="1">
        <v>1076852.0</v>
      </c>
      <c r="G244" s="1">
        <v>25170.0</v>
      </c>
      <c r="H244" s="1">
        <v>316.0</v>
      </c>
      <c r="I244" s="1">
        <v>2.12E7</v>
      </c>
      <c r="J244" s="1" t="s">
        <v>2468</v>
      </c>
      <c r="K244" s="5">
        <f t="shared" si="2"/>
        <v>0.05079490566</v>
      </c>
      <c r="L244" s="6">
        <f t="shared" si="3"/>
        <v>116</v>
      </c>
      <c r="M244" s="6">
        <f t="shared" si="4"/>
        <v>9283.206897</v>
      </c>
      <c r="N244" s="7">
        <f t="shared" si="5"/>
        <v>0.0004378871178</v>
      </c>
      <c r="O244" s="7"/>
      <c r="P244" s="4">
        <f t="shared" si="6"/>
        <v>-0.1410942709</v>
      </c>
      <c r="Q244" s="4">
        <f t="shared" si="7"/>
        <v>6</v>
      </c>
      <c r="R244" s="4">
        <f t="shared" si="8"/>
        <v>0</v>
      </c>
      <c r="S244" s="4">
        <f t="shared" si="9"/>
        <v>-0.1410942709</v>
      </c>
      <c r="T244" s="4">
        <f t="shared" si="10"/>
        <v>34</v>
      </c>
      <c r="U244" s="4">
        <f t="shared" si="1"/>
        <v>-0.1410942709</v>
      </c>
      <c r="V244" s="4"/>
    </row>
    <row r="245">
      <c r="A245" s="1" t="s">
        <v>4918</v>
      </c>
      <c r="B245" s="1" t="s">
        <v>4919</v>
      </c>
      <c r="C245" s="1" t="s">
        <v>4920</v>
      </c>
      <c r="D245" s="1" t="s">
        <v>4835</v>
      </c>
      <c r="E245" s="1" t="s">
        <v>4836</v>
      </c>
      <c r="F245" s="1">
        <v>2861403.0</v>
      </c>
      <c r="G245" s="1">
        <v>80332.0</v>
      </c>
      <c r="H245" s="1">
        <v>5902.0</v>
      </c>
      <c r="I245" s="1">
        <v>2.12E7</v>
      </c>
      <c r="J245" s="1" t="s">
        <v>2468</v>
      </c>
      <c r="K245" s="5">
        <f t="shared" si="2"/>
        <v>0.1349718396</v>
      </c>
      <c r="L245" s="6">
        <f t="shared" si="3"/>
        <v>123</v>
      </c>
      <c r="M245" s="6">
        <f t="shared" si="4"/>
        <v>23263.43902</v>
      </c>
      <c r="N245" s="7">
        <f t="shared" si="5"/>
        <v>0.001097332029</v>
      </c>
      <c r="O245" s="7"/>
      <c r="P245" s="4">
        <f t="shared" si="6"/>
        <v>0.3233946069</v>
      </c>
      <c r="Q245" s="4">
        <f t="shared" si="7"/>
        <v>7</v>
      </c>
      <c r="R245" s="4">
        <f t="shared" si="8"/>
        <v>0</v>
      </c>
      <c r="S245" s="4">
        <f t="shared" si="9"/>
        <v>0.3233946069</v>
      </c>
      <c r="T245" s="4">
        <f t="shared" si="10"/>
        <v>30</v>
      </c>
      <c r="U245" s="4">
        <f t="shared" si="1"/>
        <v>0.3233946069</v>
      </c>
      <c r="V245" s="4"/>
    </row>
    <row r="246">
      <c r="A246" s="1" t="s">
        <v>4921</v>
      </c>
      <c r="B246" s="1" t="s">
        <v>4922</v>
      </c>
      <c r="C246" s="1" t="s">
        <v>4923</v>
      </c>
      <c r="D246" s="1" t="s">
        <v>4835</v>
      </c>
      <c r="E246" s="1" t="s">
        <v>4836</v>
      </c>
      <c r="F246" s="1">
        <v>1.0071852E7</v>
      </c>
      <c r="G246" s="1">
        <v>245405.0</v>
      </c>
      <c r="H246" s="1">
        <v>13961.0</v>
      </c>
      <c r="I246" s="1">
        <v>2.12E7</v>
      </c>
      <c r="J246" s="1" t="s">
        <v>2468</v>
      </c>
      <c r="K246" s="5">
        <f t="shared" si="2"/>
        <v>0.4750873585</v>
      </c>
      <c r="L246" s="6">
        <f t="shared" si="3"/>
        <v>127</v>
      </c>
      <c r="M246" s="6">
        <f t="shared" si="4"/>
        <v>79305.92126</v>
      </c>
      <c r="N246" s="7">
        <f t="shared" si="5"/>
        <v>0.003740845342</v>
      </c>
      <c r="O246" s="7"/>
      <c r="P246" s="4">
        <f t="shared" si="6"/>
        <v>2.185388703</v>
      </c>
      <c r="Q246" s="4">
        <f t="shared" si="7"/>
        <v>7</v>
      </c>
      <c r="R246" s="4">
        <f t="shared" si="8"/>
        <v>0</v>
      </c>
      <c r="S246" s="4">
        <f t="shared" si="9"/>
        <v>2.185388703</v>
      </c>
      <c r="T246" s="4">
        <f t="shared" si="10"/>
        <v>36</v>
      </c>
      <c r="U246" s="4">
        <f t="shared" si="1"/>
        <v>2.185388703</v>
      </c>
      <c r="V246" s="4"/>
    </row>
    <row r="247">
      <c r="A247" s="1" t="s">
        <v>4924</v>
      </c>
      <c r="B247" s="1" t="s">
        <v>4925</v>
      </c>
      <c r="C247" s="1" t="s">
        <v>4926</v>
      </c>
      <c r="D247" s="1" t="s">
        <v>4835</v>
      </c>
      <c r="E247" s="1" t="s">
        <v>4836</v>
      </c>
      <c r="F247" s="1">
        <v>1168168.0</v>
      </c>
      <c r="G247" s="1">
        <v>22245.0</v>
      </c>
      <c r="H247" s="1">
        <v>556.0</v>
      </c>
      <c r="I247" s="1">
        <v>2.12E7</v>
      </c>
      <c r="J247" s="1" t="s">
        <v>2468</v>
      </c>
      <c r="K247" s="5">
        <f t="shared" si="2"/>
        <v>0.05510226415</v>
      </c>
      <c r="L247" s="6">
        <f t="shared" si="3"/>
        <v>129</v>
      </c>
      <c r="M247" s="6">
        <f t="shared" si="4"/>
        <v>9055.565891</v>
      </c>
      <c r="N247" s="7">
        <f t="shared" si="5"/>
        <v>0.0004271493345</v>
      </c>
      <c r="O247" s="7"/>
      <c r="P247" s="4">
        <f t="shared" si="6"/>
        <v>-0.1486575727</v>
      </c>
      <c r="Q247" s="4">
        <f t="shared" si="7"/>
        <v>3</v>
      </c>
      <c r="R247" s="4">
        <f t="shared" si="8"/>
        <v>0</v>
      </c>
      <c r="S247" s="4">
        <f t="shared" si="9"/>
        <v>-0.1486575727</v>
      </c>
      <c r="T247" s="4">
        <f t="shared" si="10"/>
        <v>15</v>
      </c>
      <c r="U247" s="4">
        <f t="shared" si="1"/>
        <v>-0.1486575727</v>
      </c>
      <c r="V247" s="4"/>
    </row>
    <row r="248">
      <c r="A248" s="1" t="s">
        <v>4927</v>
      </c>
      <c r="B248" s="1" t="s">
        <v>4928</v>
      </c>
      <c r="C248" s="1" t="s">
        <v>4929</v>
      </c>
      <c r="D248" s="1" t="s">
        <v>4835</v>
      </c>
      <c r="E248" s="1" t="s">
        <v>4836</v>
      </c>
      <c r="F248" s="1">
        <v>5962888.0</v>
      </c>
      <c r="G248" s="1">
        <v>180081.0</v>
      </c>
      <c r="H248" s="1">
        <v>2056.0</v>
      </c>
      <c r="I248" s="1">
        <v>2.12E7</v>
      </c>
      <c r="J248" s="1" t="s">
        <v>2468</v>
      </c>
      <c r="K248" s="5">
        <f t="shared" si="2"/>
        <v>0.2812683019</v>
      </c>
      <c r="L248" s="6">
        <f t="shared" si="3"/>
        <v>132</v>
      </c>
      <c r="M248" s="6">
        <f t="shared" si="4"/>
        <v>45173.39394</v>
      </c>
      <c r="N248" s="7">
        <f t="shared" si="5"/>
        <v>0.002130820469</v>
      </c>
      <c r="O248" s="7"/>
      <c r="P248" s="4">
        <f t="shared" si="6"/>
        <v>1.051346066</v>
      </c>
      <c r="Q248" s="4">
        <f t="shared" si="7"/>
        <v>7</v>
      </c>
      <c r="R248" s="4">
        <f t="shared" si="8"/>
        <v>1</v>
      </c>
      <c r="S248" s="4">
        <f t="shared" si="9"/>
        <v>1.051346066</v>
      </c>
      <c r="T248" s="4">
        <f t="shared" si="10"/>
        <v>36</v>
      </c>
      <c r="U248" s="4">
        <f t="shared" si="1"/>
        <v>1.051346066</v>
      </c>
      <c r="V248" s="4"/>
    </row>
    <row r="249">
      <c r="A249" s="1" t="s">
        <v>4930</v>
      </c>
      <c r="B249" s="1" t="s">
        <v>4931</v>
      </c>
      <c r="C249" s="1" t="s">
        <v>4932</v>
      </c>
      <c r="D249" s="1" t="s">
        <v>4835</v>
      </c>
      <c r="E249" s="1" t="s">
        <v>4836</v>
      </c>
      <c r="F249" s="1">
        <v>8859502.0</v>
      </c>
      <c r="G249" s="1">
        <v>366136.0</v>
      </c>
      <c r="H249" s="1">
        <v>7955.0</v>
      </c>
      <c r="I249" s="1">
        <v>2.12E7</v>
      </c>
      <c r="J249" s="1" t="s">
        <v>2468</v>
      </c>
      <c r="K249" s="5">
        <f t="shared" si="2"/>
        <v>0.4179010377</v>
      </c>
      <c r="L249" s="6">
        <f t="shared" si="3"/>
        <v>137</v>
      </c>
      <c r="M249" s="6">
        <f t="shared" si="4"/>
        <v>64667.89781</v>
      </c>
      <c r="N249" s="7">
        <f t="shared" si="5"/>
        <v>0.003050372538</v>
      </c>
      <c r="O249" s="7"/>
      <c r="P249" s="4">
        <f t="shared" si="6"/>
        <v>1.699044912</v>
      </c>
      <c r="Q249" s="4">
        <f t="shared" si="7"/>
        <v>6</v>
      </c>
      <c r="R249" s="4">
        <f t="shared" si="8"/>
        <v>0</v>
      </c>
      <c r="S249" s="4">
        <f t="shared" si="9"/>
        <v>1.699044912</v>
      </c>
      <c r="T249" s="4">
        <f t="shared" si="10"/>
        <v>29</v>
      </c>
      <c r="U249" s="4">
        <f t="shared" si="1"/>
        <v>1.699044912</v>
      </c>
      <c r="V249" s="4"/>
    </row>
    <row r="250">
      <c r="A250" s="1" t="s">
        <v>4933</v>
      </c>
      <c r="B250" s="1" t="s">
        <v>4934</v>
      </c>
      <c r="C250" s="1" t="s">
        <v>4935</v>
      </c>
      <c r="D250" s="1" t="s">
        <v>4835</v>
      </c>
      <c r="E250" s="1" t="s">
        <v>4836</v>
      </c>
      <c r="F250" s="1">
        <v>8257419.0</v>
      </c>
      <c r="G250" s="1">
        <v>235054.0</v>
      </c>
      <c r="H250" s="1">
        <v>18300.0</v>
      </c>
      <c r="I250" s="1">
        <v>2.12E7</v>
      </c>
      <c r="J250" s="1" t="s">
        <v>2468</v>
      </c>
      <c r="K250" s="5">
        <f t="shared" si="2"/>
        <v>0.3895008962</v>
      </c>
      <c r="L250" s="6">
        <f t="shared" si="3"/>
        <v>141</v>
      </c>
      <c r="M250" s="6">
        <f t="shared" si="4"/>
        <v>58563.25532</v>
      </c>
      <c r="N250" s="7">
        <f t="shared" si="5"/>
        <v>0.002762417704</v>
      </c>
      <c r="O250" s="7"/>
      <c r="P250" s="4">
        <f t="shared" si="6"/>
        <v>1.496220058</v>
      </c>
      <c r="Q250" s="4">
        <f t="shared" si="7"/>
        <v>11</v>
      </c>
      <c r="R250" s="4">
        <f t="shared" si="8"/>
        <v>1</v>
      </c>
      <c r="S250" s="4">
        <f t="shared" si="9"/>
        <v>1.496220058</v>
      </c>
      <c r="T250" s="4">
        <f t="shared" si="10"/>
        <v>41</v>
      </c>
      <c r="U250" s="4">
        <f t="shared" si="1"/>
        <v>1.496220058</v>
      </c>
      <c r="V250" s="4"/>
    </row>
    <row r="251">
      <c r="A251" s="1" t="s">
        <v>4936</v>
      </c>
      <c r="B251" s="1" t="s">
        <v>4937</v>
      </c>
      <c r="C251" s="1" t="s">
        <v>4938</v>
      </c>
      <c r="D251" s="1" t="s">
        <v>4835</v>
      </c>
      <c r="E251" s="1" t="s">
        <v>4836</v>
      </c>
      <c r="F251" s="1">
        <v>1.087914E7</v>
      </c>
      <c r="G251" s="1">
        <v>257612.0</v>
      </c>
      <c r="H251" s="1">
        <v>5002.0</v>
      </c>
      <c r="I251" s="1">
        <v>2.12E7</v>
      </c>
      <c r="J251" s="1" t="s">
        <v>2468</v>
      </c>
      <c r="K251" s="5">
        <f t="shared" si="2"/>
        <v>0.5131669811</v>
      </c>
      <c r="L251" s="6">
        <f t="shared" si="3"/>
        <v>147</v>
      </c>
      <c r="M251" s="6">
        <f t="shared" si="4"/>
        <v>74007.7551</v>
      </c>
      <c r="N251" s="7">
        <f t="shared" si="5"/>
        <v>0.003490931844</v>
      </c>
      <c r="O251" s="7"/>
      <c r="P251" s="4">
        <f t="shared" si="6"/>
        <v>2.009358775</v>
      </c>
      <c r="Q251" s="4">
        <f t="shared" si="7"/>
        <v>7</v>
      </c>
      <c r="R251" s="4">
        <f t="shared" si="8"/>
        <v>1</v>
      </c>
      <c r="S251" s="4">
        <f t="shared" si="9"/>
        <v>2.009358775</v>
      </c>
      <c r="T251" s="4">
        <f t="shared" si="10"/>
        <v>34</v>
      </c>
      <c r="U251" s="4">
        <f t="shared" si="1"/>
        <v>2.009358775</v>
      </c>
      <c r="V251" s="4"/>
    </row>
    <row r="252">
      <c r="A252" s="1" t="s">
        <v>4939</v>
      </c>
      <c r="B252" s="1" t="s">
        <v>4940</v>
      </c>
      <c r="C252" s="1" t="s">
        <v>4941</v>
      </c>
      <c r="D252" s="1" t="s">
        <v>4835</v>
      </c>
      <c r="E252" s="1" t="s">
        <v>4836</v>
      </c>
      <c r="F252" s="1">
        <v>1.0926437E7</v>
      </c>
      <c r="G252" s="1">
        <v>193943.0</v>
      </c>
      <c r="H252" s="1">
        <v>13445.0</v>
      </c>
      <c r="I252" s="1">
        <v>2.12E7</v>
      </c>
      <c r="J252" s="1" t="s">
        <v>2468</v>
      </c>
      <c r="K252" s="5">
        <f t="shared" si="2"/>
        <v>0.5153979717</v>
      </c>
      <c r="L252" s="6">
        <f t="shared" si="3"/>
        <v>151</v>
      </c>
      <c r="M252" s="6">
        <f t="shared" si="4"/>
        <v>72360.50993</v>
      </c>
      <c r="N252" s="7">
        <f t="shared" si="5"/>
        <v>0.003413231601</v>
      </c>
      <c r="O252" s="7"/>
      <c r="P252" s="4">
        <f t="shared" si="6"/>
        <v>1.954629565</v>
      </c>
      <c r="Q252" s="4">
        <f t="shared" si="7"/>
        <v>9</v>
      </c>
      <c r="R252" s="4">
        <f t="shared" si="8"/>
        <v>1</v>
      </c>
      <c r="S252" s="4">
        <f t="shared" si="9"/>
        <v>1.954629565</v>
      </c>
      <c r="T252" s="4">
        <f t="shared" si="10"/>
        <v>42</v>
      </c>
      <c r="U252" s="4">
        <f t="shared" si="1"/>
        <v>1.954629565</v>
      </c>
      <c r="V252" s="4"/>
    </row>
    <row r="253">
      <c r="A253" s="1" t="s">
        <v>4942</v>
      </c>
      <c r="B253" s="1" t="s">
        <v>4943</v>
      </c>
      <c r="C253" s="1" t="s">
        <v>4944</v>
      </c>
      <c r="D253" s="1" t="s">
        <v>4835</v>
      </c>
      <c r="E253" s="1" t="s">
        <v>4836</v>
      </c>
      <c r="F253" s="1">
        <v>3642733.0</v>
      </c>
      <c r="G253" s="1">
        <v>90782.0</v>
      </c>
      <c r="H253" s="1">
        <v>1319.0</v>
      </c>
      <c r="I253" s="1">
        <v>2.12E7</v>
      </c>
      <c r="J253" s="1" t="s">
        <v>2468</v>
      </c>
      <c r="K253" s="5">
        <f t="shared" si="2"/>
        <v>0.1718270283</v>
      </c>
      <c r="L253" s="6">
        <f t="shared" si="3"/>
        <v>154</v>
      </c>
      <c r="M253" s="6">
        <f t="shared" si="4"/>
        <v>23654.11039</v>
      </c>
      <c r="N253" s="7">
        <f t="shared" si="5"/>
        <v>0.001115759924</v>
      </c>
      <c r="O253" s="7"/>
      <c r="P253" s="4">
        <f t="shared" si="6"/>
        <v>0.3363745418</v>
      </c>
      <c r="Q253" s="4">
        <f t="shared" si="7"/>
        <v>6</v>
      </c>
      <c r="R253" s="4">
        <f t="shared" si="8"/>
        <v>0</v>
      </c>
      <c r="S253" s="4">
        <f t="shared" si="9"/>
        <v>0.3363745418</v>
      </c>
      <c r="T253" s="4">
        <f t="shared" si="10"/>
        <v>34</v>
      </c>
      <c r="U253" s="4">
        <f t="shared" si="1"/>
        <v>0.3363745418</v>
      </c>
      <c r="V253" s="4"/>
    </row>
    <row r="254">
      <c r="A254" s="1" t="s">
        <v>4945</v>
      </c>
      <c r="B254" s="1" t="s">
        <v>4946</v>
      </c>
      <c r="C254" s="1" t="s">
        <v>4947</v>
      </c>
      <c r="D254" s="1" t="s">
        <v>4835</v>
      </c>
      <c r="E254" s="1" t="s">
        <v>4836</v>
      </c>
      <c r="F254" s="1">
        <v>5901571.0</v>
      </c>
      <c r="G254" s="1">
        <v>179340.0</v>
      </c>
      <c r="H254" s="1">
        <v>8999.0</v>
      </c>
      <c r="I254" s="1">
        <v>2.12E7</v>
      </c>
      <c r="J254" s="1" t="s">
        <v>2468</v>
      </c>
      <c r="K254" s="5">
        <f t="shared" si="2"/>
        <v>0.2783759906</v>
      </c>
      <c r="L254" s="6">
        <f t="shared" si="3"/>
        <v>161</v>
      </c>
      <c r="M254" s="6">
        <f t="shared" si="4"/>
        <v>36655.7205</v>
      </c>
      <c r="N254" s="7">
        <f t="shared" si="5"/>
        <v>0.00172904342</v>
      </c>
      <c r="O254" s="7"/>
      <c r="P254" s="4">
        <f t="shared" si="6"/>
        <v>0.7683490064</v>
      </c>
      <c r="Q254" s="4">
        <f t="shared" si="7"/>
        <v>8</v>
      </c>
      <c r="R254" s="4">
        <f t="shared" si="8"/>
        <v>0</v>
      </c>
      <c r="S254" s="4">
        <f t="shared" si="9"/>
        <v>0.7683490064</v>
      </c>
      <c r="T254" s="4">
        <f t="shared" si="10"/>
        <v>36</v>
      </c>
      <c r="U254" s="4">
        <f t="shared" si="1"/>
        <v>0.7683490064</v>
      </c>
      <c r="V254" s="4"/>
    </row>
    <row r="255">
      <c r="A255" s="1" t="s">
        <v>4948</v>
      </c>
      <c r="B255" s="1" t="s">
        <v>4949</v>
      </c>
      <c r="C255" s="1" t="s">
        <v>4950</v>
      </c>
      <c r="D255" s="1" t="s">
        <v>4835</v>
      </c>
      <c r="E255" s="1" t="s">
        <v>4836</v>
      </c>
      <c r="F255" s="1">
        <v>5830791.0</v>
      </c>
      <c r="G255" s="1">
        <v>165630.0</v>
      </c>
      <c r="H255" s="1">
        <v>2084.0</v>
      </c>
      <c r="I255" s="1">
        <v>2.12E7</v>
      </c>
      <c r="J255" s="1" t="s">
        <v>2468</v>
      </c>
      <c r="K255" s="5">
        <f t="shared" si="2"/>
        <v>0.2750373113</v>
      </c>
      <c r="L255" s="6">
        <f t="shared" si="3"/>
        <v>163</v>
      </c>
      <c r="M255" s="6">
        <f t="shared" si="4"/>
        <v>35771.72393</v>
      </c>
      <c r="N255" s="7">
        <f t="shared" si="5"/>
        <v>0.001687345468</v>
      </c>
      <c r="O255" s="7"/>
      <c r="P255" s="4">
        <f t="shared" si="6"/>
        <v>0.7389784945</v>
      </c>
      <c r="Q255" s="4">
        <f t="shared" si="7"/>
        <v>6</v>
      </c>
      <c r="R255" s="4">
        <f t="shared" si="8"/>
        <v>0</v>
      </c>
      <c r="S255" s="4">
        <f t="shared" si="9"/>
        <v>0.7389784945</v>
      </c>
      <c r="T255" s="4">
        <f t="shared" si="10"/>
        <v>30</v>
      </c>
      <c r="U255" s="4">
        <f t="shared" si="1"/>
        <v>0.7389784945</v>
      </c>
      <c r="V255" s="4"/>
    </row>
    <row r="256">
      <c r="A256" s="1" t="s">
        <v>4951</v>
      </c>
      <c r="B256" s="1" t="s">
        <v>4952</v>
      </c>
      <c r="C256" s="1" t="s">
        <v>4953</v>
      </c>
      <c r="D256" s="1" t="s">
        <v>4835</v>
      </c>
      <c r="E256" s="1" t="s">
        <v>4836</v>
      </c>
      <c r="F256" s="1">
        <v>9293268.0</v>
      </c>
      <c r="G256" s="1">
        <v>242418.0</v>
      </c>
      <c r="H256" s="1">
        <v>8749.0</v>
      </c>
      <c r="I256" s="1">
        <v>2.12E7</v>
      </c>
      <c r="J256" s="1" t="s">
        <v>2468</v>
      </c>
      <c r="K256" s="5">
        <f t="shared" si="2"/>
        <v>0.4383616981</v>
      </c>
      <c r="L256" s="6">
        <f t="shared" si="3"/>
        <v>168</v>
      </c>
      <c r="M256" s="6">
        <f t="shared" si="4"/>
        <v>55317.07143</v>
      </c>
      <c r="N256" s="7">
        <f t="shared" si="5"/>
        <v>0.002609295822</v>
      </c>
      <c r="O256" s="7"/>
      <c r="P256" s="4">
        <f t="shared" si="6"/>
        <v>1.388366605</v>
      </c>
      <c r="Q256" s="4">
        <f t="shared" si="7"/>
        <v>10</v>
      </c>
      <c r="R256" s="4">
        <f t="shared" si="8"/>
        <v>0</v>
      </c>
      <c r="S256" s="4">
        <f t="shared" si="9"/>
        <v>1.388366605</v>
      </c>
      <c r="T256" s="4">
        <f t="shared" si="10"/>
        <v>36</v>
      </c>
      <c r="U256" s="4">
        <f t="shared" si="1"/>
        <v>1.388366605</v>
      </c>
      <c r="V256" s="4"/>
    </row>
    <row r="257">
      <c r="A257" s="1" t="s">
        <v>4954</v>
      </c>
      <c r="B257" s="1" t="s">
        <v>4955</v>
      </c>
      <c r="C257" s="1" t="s">
        <v>4956</v>
      </c>
      <c r="D257" s="1" t="s">
        <v>4835</v>
      </c>
      <c r="E257" s="1" t="s">
        <v>4836</v>
      </c>
      <c r="F257" s="1">
        <v>4006511.0</v>
      </c>
      <c r="G257" s="1">
        <v>128312.0</v>
      </c>
      <c r="H257" s="1">
        <v>1760.0</v>
      </c>
      <c r="I257" s="1">
        <v>2.12E7</v>
      </c>
      <c r="J257" s="1" t="s">
        <v>2468</v>
      </c>
      <c r="K257" s="5">
        <f t="shared" si="2"/>
        <v>0.1889863679</v>
      </c>
      <c r="L257" s="6">
        <f t="shared" si="3"/>
        <v>175</v>
      </c>
      <c r="M257" s="6">
        <f t="shared" si="4"/>
        <v>22894.34857</v>
      </c>
      <c r="N257" s="7">
        <f t="shared" si="5"/>
        <v>0.001079922102</v>
      </c>
      <c r="O257" s="7"/>
      <c r="P257" s="4">
        <f t="shared" si="6"/>
        <v>0.311131691</v>
      </c>
      <c r="Q257" s="4">
        <f t="shared" si="7"/>
        <v>3</v>
      </c>
      <c r="R257" s="4">
        <f t="shared" si="8"/>
        <v>0</v>
      </c>
      <c r="S257" s="4">
        <f t="shared" si="9"/>
        <v>0.311131691</v>
      </c>
      <c r="T257" s="4">
        <f t="shared" si="10"/>
        <v>16</v>
      </c>
      <c r="U257" s="4">
        <f t="shared" si="1"/>
        <v>0.311131691</v>
      </c>
      <c r="V257" s="4"/>
    </row>
    <row r="258">
      <c r="A258" s="1" t="s">
        <v>4957</v>
      </c>
      <c r="B258" s="1" t="s">
        <v>4958</v>
      </c>
      <c r="C258" s="1" t="s">
        <v>4959</v>
      </c>
      <c r="D258" s="1" t="s">
        <v>4835</v>
      </c>
      <c r="E258" s="1" t="s">
        <v>4836</v>
      </c>
      <c r="F258" s="1">
        <v>8615744.0</v>
      </c>
      <c r="G258" s="1">
        <v>231168.0</v>
      </c>
      <c r="H258" s="1">
        <v>81380.0</v>
      </c>
      <c r="I258" s="1">
        <v>2.12E7</v>
      </c>
      <c r="J258" s="1" t="s">
        <v>2468</v>
      </c>
      <c r="K258" s="5">
        <f t="shared" si="2"/>
        <v>0.4064030189</v>
      </c>
      <c r="L258" s="6">
        <f t="shared" si="3"/>
        <v>178</v>
      </c>
      <c r="M258" s="6">
        <f t="shared" si="4"/>
        <v>48403.05618</v>
      </c>
      <c r="N258" s="7">
        <f t="shared" si="5"/>
        <v>0.002283163027</v>
      </c>
      <c r="O258" s="7"/>
      <c r="P258" s="4">
        <f t="shared" si="6"/>
        <v>1.158650592</v>
      </c>
      <c r="Q258" s="4">
        <f t="shared" si="7"/>
        <v>6</v>
      </c>
      <c r="R258" s="4">
        <f t="shared" si="8"/>
        <v>0</v>
      </c>
      <c r="S258" s="4">
        <f t="shared" si="9"/>
        <v>1.158650592</v>
      </c>
      <c r="T258" s="4">
        <f t="shared" si="10"/>
        <v>32</v>
      </c>
      <c r="U258" s="4">
        <f t="shared" si="1"/>
        <v>1.158650592</v>
      </c>
      <c r="V258" s="4"/>
    </row>
    <row r="259">
      <c r="A259" s="1" t="s">
        <v>4960</v>
      </c>
      <c r="B259" s="1" t="s">
        <v>4961</v>
      </c>
      <c r="C259" s="1" t="s">
        <v>4962</v>
      </c>
      <c r="D259" s="1" t="s">
        <v>4835</v>
      </c>
      <c r="E259" s="1" t="s">
        <v>4836</v>
      </c>
      <c r="F259" s="1">
        <v>6877572.0</v>
      </c>
      <c r="G259" s="1">
        <v>242607.0</v>
      </c>
      <c r="H259" s="1">
        <v>2377.0</v>
      </c>
      <c r="I259" s="1">
        <v>2.12E7</v>
      </c>
      <c r="J259" s="1" t="s">
        <v>2468</v>
      </c>
      <c r="K259" s="5">
        <f t="shared" si="2"/>
        <v>0.3244137736</v>
      </c>
      <c r="L259" s="6">
        <f t="shared" si="3"/>
        <v>185</v>
      </c>
      <c r="M259" s="6">
        <f t="shared" si="4"/>
        <v>37176.06486</v>
      </c>
      <c r="N259" s="7">
        <f t="shared" si="5"/>
        <v>0.001753587965</v>
      </c>
      <c r="O259" s="7"/>
      <c r="P259" s="4">
        <f t="shared" si="6"/>
        <v>0.7856372867</v>
      </c>
      <c r="Q259" s="4">
        <f t="shared" si="7"/>
        <v>4</v>
      </c>
      <c r="R259" s="4">
        <f t="shared" si="8"/>
        <v>0</v>
      </c>
      <c r="S259" s="4">
        <f t="shared" si="9"/>
        <v>0.7856372867</v>
      </c>
      <c r="T259" s="4">
        <f t="shared" si="10"/>
        <v>14</v>
      </c>
      <c r="U259" s="4">
        <f t="shared" si="1"/>
        <v>0.7856372867</v>
      </c>
      <c r="V259" s="4"/>
    </row>
    <row r="260">
      <c r="A260" s="1" t="s">
        <v>4963</v>
      </c>
      <c r="B260" s="1" t="s">
        <v>4964</v>
      </c>
      <c r="C260" s="1" t="s">
        <v>4965</v>
      </c>
      <c r="D260" s="1" t="s">
        <v>4835</v>
      </c>
      <c r="E260" s="1" t="s">
        <v>4836</v>
      </c>
      <c r="F260" s="1">
        <v>1.530796E7</v>
      </c>
      <c r="G260" s="1">
        <v>395359.0</v>
      </c>
      <c r="H260" s="1">
        <v>26039.0</v>
      </c>
      <c r="I260" s="1">
        <v>2.12E7</v>
      </c>
      <c r="J260" s="1" t="s">
        <v>2468</v>
      </c>
      <c r="K260" s="5">
        <f t="shared" si="2"/>
        <v>0.7220735849</v>
      </c>
      <c r="L260" s="6">
        <f t="shared" si="3"/>
        <v>190</v>
      </c>
      <c r="M260" s="6">
        <f t="shared" si="4"/>
        <v>80568.21053</v>
      </c>
      <c r="N260" s="7">
        <f t="shared" si="5"/>
        <v>0.003800387289</v>
      </c>
      <c r="O260" s="7"/>
      <c r="P260" s="4">
        <f t="shared" si="6"/>
        <v>2.227327872</v>
      </c>
      <c r="Q260" s="4">
        <f t="shared" si="7"/>
        <v>11</v>
      </c>
      <c r="R260" s="4">
        <f t="shared" si="8"/>
        <v>0</v>
      </c>
      <c r="S260" s="4">
        <f t="shared" si="9"/>
        <v>2.227327872</v>
      </c>
      <c r="T260" s="4">
        <f t="shared" si="10"/>
        <v>46</v>
      </c>
      <c r="U260" s="4">
        <f t="shared" si="1"/>
        <v>2.227327872</v>
      </c>
      <c r="V260" s="4"/>
    </row>
    <row r="261">
      <c r="A261" s="1" t="s">
        <v>4966</v>
      </c>
      <c r="B261" s="1" t="s">
        <v>4967</v>
      </c>
      <c r="C261" s="1" t="s">
        <v>4968</v>
      </c>
      <c r="D261" s="1" t="s">
        <v>4835</v>
      </c>
      <c r="E261" s="1" t="s">
        <v>4836</v>
      </c>
      <c r="F261" s="1">
        <v>3480608.0</v>
      </c>
      <c r="G261" s="1">
        <v>85827.0</v>
      </c>
      <c r="H261" s="1">
        <v>960.0</v>
      </c>
      <c r="I261" s="1">
        <v>2.12E7</v>
      </c>
      <c r="J261" s="1" t="s">
        <v>2468</v>
      </c>
      <c r="K261" s="5">
        <f t="shared" si="2"/>
        <v>0.1641796226</v>
      </c>
      <c r="L261" s="6">
        <f t="shared" si="3"/>
        <v>193</v>
      </c>
      <c r="M261" s="6">
        <f t="shared" si="4"/>
        <v>18034.23834</v>
      </c>
      <c r="N261" s="7">
        <f t="shared" si="5"/>
        <v>0.0008506716199</v>
      </c>
      <c r="O261" s="7"/>
      <c r="P261" s="4">
        <f t="shared" si="6"/>
        <v>0.1496560355</v>
      </c>
      <c r="Q261" s="4">
        <f t="shared" si="7"/>
        <v>6</v>
      </c>
      <c r="R261" s="4">
        <f t="shared" si="8"/>
        <v>0</v>
      </c>
      <c r="S261" s="4">
        <f t="shared" si="9"/>
        <v>0.1496560355</v>
      </c>
      <c r="T261" s="4">
        <f t="shared" si="10"/>
        <v>26</v>
      </c>
      <c r="U261" s="4">
        <f t="shared" si="1"/>
        <v>0.1496560355</v>
      </c>
      <c r="V261" s="4"/>
    </row>
    <row r="262">
      <c r="A262" s="1" t="s">
        <v>4969</v>
      </c>
      <c r="B262" s="1" t="s">
        <v>4970</v>
      </c>
      <c r="C262" s="1" t="s">
        <v>4971</v>
      </c>
      <c r="D262" s="1" t="s">
        <v>4835</v>
      </c>
      <c r="E262" s="1" t="s">
        <v>4836</v>
      </c>
      <c r="F262" s="1">
        <v>1.0303984E7</v>
      </c>
      <c r="G262" s="1">
        <v>315760.0</v>
      </c>
      <c r="H262" s="1">
        <v>21403.0</v>
      </c>
      <c r="I262" s="1">
        <v>2.12E7</v>
      </c>
      <c r="J262" s="1" t="s">
        <v>2468</v>
      </c>
      <c r="K262" s="5">
        <f t="shared" si="2"/>
        <v>0.4860369811</v>
      </c>
      <c r="L262" s="6">
        <f t="shared" si="3"/>
        <v>198</v>
      </c>
      <c r="M262" s="6">
        <f t="shared" si="4"/>
        <v>52040.32323</v>
      </c>
      <c r="N262" s="7">
        <f t="shared" si="5"/>
        <v>0.002454732228</v>
      </c>
      <c r="O262" s="7"/>
      <c r="P262" s="4">
        <f t="shared" si="6"/>
        <v>1.279497662</v>
      </c>
      <c r="Q262" s="4">
        <f t="shared" si="7"/>
        <v>8</v>
      </c>
      <c r="R262" s="4">
        <f t="shared" si="8"/>
        <v>0</v>
      </c>
      <c r="S262" s="4">
        <f t="shared" si="9"/>
        <v>1.279497662</v>
      </c>
      <c r="T262" s="4">
        <f t="shared" si="10"/>
        <v>37</v>
      </c>
      <c r="U262" s="4">
        <f t="shared" si="1"/>
        <v>1.279497662</v>
      </c>
      <c r="V262" s="4"/>
    </row>
    <row r="263">
      <c r="A263" s="1" t="s">
        <v>4972</v>
      </c>
      <c r="B263" s="1" t="s">
        <v>4973</v>
      </c>
      <c r="C263" s="1" t="s">
        <v>4974</v>
      </c>
      <c r="D263" s="1" t="s">
        <v>4835</v>
      </c>
      <c r="E263" s="1" t="s">
        <v>4836</v>
      </c>
      <c r="F263" s="1">
        <v>7077059.0</v>
      </c>
      <c r="G263" s="1">
        <v>231695.0</v>
      </c>
      <c r="H263" s="1">
        <v>1767.0</v>
      </c>
      <c r="I263" s="1">
        <v>2.12E7</v>
      </c>
      <c r="J263" s="1" t="s">
        <v>2468</v>
      </c>
      <c r="K263" s="5">
        <f t="shared" si="2"/>
        <v>0.3338235377</v>
      </c>
      <c r="L263" s="6">
        <f t="shared" si="3"/>
        <v>203</v>
      </c>
      <c r="M263" s="6">
        <f t="shared" si="4"/>
        <v>34862.35961</v>
      </c>
      <c r="N263" s="7">
        <f t="shared" si="5"/>
        <v>0.001644450925</v>
      </c>
      <c r="O263" s="7"/>
      <c r="P263" s="4">
        <f t="shared" si="6"/>
        <v>0.7087651469</v>
      </c>
      <c r="Q263" s="4">
        <f t="shared" si="7"/>
        <v>5</v>
      </c>
      <c r="R263" s="4">
        <f t="shared" si="8"/>
        <v>0</v>
      </c>
      <c r="S263" s="4">
        <f t="shared" si="9"/>
        <v>0.7087651469</v>
      </c>
      <c r="T263" s="4">
        <f t="shared" si="10"/>
        <v>21</v>
      </c>
      <c r="U263" s="4">
        <f t="shared" si="1"/>
        <v>0.7087651469</v>
      </c>
      <c r="V263" s="4"/>
    </row>
    <row r="264">
      <c r="A264" s="1" t="s">
        <v>4975</v>
      </c>
      <c r="B264" s="1" t="s">
        <v>4976</v>
      </c>
      <c r="C264" s="1" t="s">
        <v>4977</v>
      </c>
      <c r="D264" s="1" t="s">
        <v>4835</v>
      </c>
      <c r="E264" s="1" t="s">
        <v>4836</v>
      </c>
      <c r="F264" s="1">
        <v>4040968.0</v>
      </c>
      <c r="G264" s="1">
        <v>111582.0</v>
      </c>
      <c r="H264" s="1">
        <v>3198.0</v>
      </c>
      <c r="I264" s="1">
        <v>2.12E7</v>
      </c>
      <c r="J264" s="1" t="s">
        <v>2468</v>
      </c>
      <c r="K264" s="5">
        <f t="shared" si="2"/>
        <v>0.1906116981</v>
      </c>
      <c r="L264" s="6">
        <f t="shared" si="3"/>
        <v>208</v>
      </c>
      <c r="M264" s="6">
        <f t="shared" si="4"/>
        <v>19427.73077</v>
      </c>
      <c r="N264" s="7">
        <f t="shared" si="5"/>
        <v>0.0009164023948</v>
      </c>
      <c r="O264" s="7"/>
      <c r="P264" s="4">
        <f t="shared" si="6"/>
        <v>0.1959543894</v>
      </c>
      <c r="Q264" s="4">
        <f t="shared" si="7"/>
        <v>3</v>
      </c>
      <c r="R264" s="4">
        <f t="shared" si="8"/>
        <v>0</v>
      </c>
      <c r="S264" s="4">
        <f t="shared" si="9"/>
        <v>0.1959543894</v>
      </c>
      <c r="T264" s="4">
        <f t="shared" si="10"/>
        <v>22</v>
      </c>
      <c r="U264" s="4">
        <f t="shared" si="1"/>
        <v>0.1959543894</v>
      </c>
      <c r="V264" s="4"/>
    </row>
    <row r="265">
      <c r="A265" s="1" t="s">
        <v>4978</v>
      </c>
      <c r="B265" s="1" t="s">
        <v>4979</v>
      </c>
      <c r="C265" s="1" t="s">
        <v>4980</v>
      </c>
      <c r="D265" s="1" t="s">
        <v>4835</v>
      </c>
      <c r="E265" s="1" t="s">
        <v>4836</v>
      </c>
      <c r="F265" s="1">
        <v>9283364.0</v>
      </c>
      <c r="G265" s="1">
        <v>256443.0</v>
      </c>
      <c r="H265" s="1">
        <v>15493.0</v>
      </c>
      <c r="I265" s="1">
        <v>2.12E7</v>
      </c>
      <c r="J265" s="1" t="s">
        <v>2468</v>
      </c>
      <c r="K265" s="5">
        <f t="shared" si="2"/>
        <v>0.4378945283</v>
      </c>
      <c r="L265" s="6">
        <f t="shared" si="3"/>
        <v>212</v>
      </c>
      <c r="M265" s="6">
        <f t="shared" si="4"/>
        <v>43789.45283</v>
      </c>
      <c r="N265" s="7">
        <f t="shared" si="5"/>
        <v>0.002065540228</v>
      </c>
      <c r="O265" s="7"/>
      <c r="P265" s="4">
        <f t="shared" si="6"/>
        <v>1.005365051</v>
      </c>
      <c r="Q265" s="4">
        <f t="shared" si="7"/>
        <v>7</v>
      </c>
      <c r="R265" s="4">
        <f t="shared" si="8"/>
        <v>0</v>
      </c>
      <c r="S265" s="4">
        <f t="shared" si="9"/>
        <v>1.005365051</v>
      </c>
      <c r="T265" s="4">
        <f t="shared" si="10"/>
        <v>32</v>
      </c>
      <c r="U265" s="4">
        <f t="shared" si="1"/>
        <v>1.005365051</v>
      </c>
      <c r="V265" s="4"/>
    </row>
    <row r="266">
      <c r="A266" s="1" t="s">
        <v>4981</v>
      </c>
      <c r="B266" s="1" t="s">
        <v>4982</v>
      </c>
      <c r="C266" s="1" t="s">
        <v>4983</v>
      </c>
      <c r="D266" s="1" t="s">
        <v>4835</v>
      </c>
      <c r="E266" s="1" t="s">
        <v>4836</v>
      </c>
      <c r="F266" s="1">
        <v>9760660.0</v>
      </c>
      <c r="G266" s="1">
        <v>193008.0</v>
      </c>
      <c r="H266" s="1">
        <v>10777.0</v>
      </c>
      <c r="I266" s="1">
        <v>2.12E7</v>
      </c>
      <c r="J266" s="1" t="s">
        <v>2468</v>
      </c>
      <c r="K266" s="5">
        <f t="shared" si="2"/>
        <v>0.4604084906</v>
      </c>
      <c r="L266" s="6">
        <f t="shared" si="3"/>
        <v>217</v>
      </c>
      <c r="M266" s="6">
        <f t="shared" si="4"/>
        <v>44980</v>
      </c>
      <c r="N266" s="7">
        <f t="shared" si="5"/>
        <v>0.002121698113</v>
      </c>
      <c r="O266" s="7"/>
      <c r="P266" s="4">
        <f t="shared" si="6"/>
        <v>1.044920612</v>
      </c>
      <c r="Q266" s="4">
        <f t="shared" si="7"/>
        <v>7</v>
      </c>
      <c r="R266" s="4">
        <f t="shared" si="8"/>
        <v>1</v>
      </c>
      <c r="S266" s="4">
        <f t="shared" si="9"/>
        <v>1.044920612</v>
      </c>
      <c r="T266" s="4">
        <f t="shared" si="10"/>
        <v>25</v>
      </c>
      <c r="U266" s="4">
        <f t="shared" si="1"/>
        <v>1.044920612</v>
      </c>
      <c r="V266" s="4"/>
    </row>
    <row r="267">
      <c r="A267" s="1" t="s">
        <v>4984</v>
      </c>
      <c r="B267" s="1" t="s">
        <v>4985</v>
      </c>
      <c r="C267" s="1" t="s">
        <v>4986</v>
      </c>
      <c r="D267" s="1" t="s">
        <v>4835</v>
      </c>
      <c r="E267" s="1" t="s">
        <v>4836</v>
      </c>
      <c r="F267" s="1">
        <v>4379654.0</v>
      </c>
      <c r="G267" s="1">
        <v>130670.0</v>
      </c>
      <c r="H267" s="1">
        <v>1978.0</v>
      </c>
      <c r="I267" s="1">
        <v>2.12E7</v>
      </c>
      <c r="J267" s="1" t="s">
        <v>2468</v>
      </c>
      <c r="K267" s="5">
        <f t="shared" si="2"/>
        <v>0.2065874528</v>
      </c>
      <c r="L267" s="6">
        <f t="shared" si="3"/>
        <v>224</v>
      </c>
      <c r="M267" s="6">
        <f t="shared" si="4"/>
        <v>19552.02679</v>
      </c>
      <c r="N267" s="7">
        <f t="shared" si="5"/>
        <v>0.0009222654144</v>
      </c>
      <c r="O267" s="7"/>
      <c r="P267" s="4">
        <f t="shared" si="6"/>
        <v>0.200084086</v>
      </c>
      <c r="Q267" s="4">
        <f t="shared" si="7"/>
        <v>6</v>
      </c>
      <c r="R267" s="4">
        <f t="shared" si="8"/>
        <v>0</v>
      </c>
      <c r="S267" s="4">
        <f t="shared" si="9"/>
        <v>0.200084086</v>
      </c>
      <c r="T267" s="4">
        <f t="shared" si="10"/>
        <v>34</v>
      </c>
      <c r="U267" s="4">
        <f t="shared" si="1"/>
        <v>0.200084086</v>
      </c>
      <c r="V267" s="4"/>
    </row>
    <row r="268">
      <c r="A268" s="1" t="s">
        <v>4987</v>
      </c>
      <c r="B268" s="1" t="s">
        <v>4988</v>
      </c>
      <c r="C268" s="1" t="s">
        <v>4989</v>
      </c>
      <c r="D268" s="1" t="s">
        <v>4835</v>
      </c>
      <c r="E268" s="1" t="s">
        <v>4836</v>
      </c>
      <c r="F268" s="1">
        <v>1.1010945E7</v>
      </c>
      <c r="G268" s="1">
        <v>197552.0</v>
      </c>
      <c r="H268" s="1">
        <v>6434.0</v>
      </c>
      <c r="I268" s="1">
        <v>2.12E7</v>
      </c>
      <c r="J268" s="1" t="s">
        <v>2468</v>
      </c>
      <c r="K268" s="5">
        <f t="shared" si="2"/>
        <v>0.5193841981</v>
      </c>
      <c r="L268" s="6">
        <f t="shared" si="3"/>
        <v>227</v>
      </c>
      <c r="M268" s="6">
        <f t="shared" si="4"/>
        <v>48506.36564</v>
      </c>
      <c r="N268" s="7">
        <f t="shared" si="5"/>
        <v>0.002288036115</v>
      </c>
      <c r="O268" s="7"/>
      <c r="P268" s="4">
        <f t="shared" si="6"/>
        <v>1.162083017</v>
      </c>
      <c r="Q268" s="4">
        <f t="shared" si="7"/>
        <v>7</v>
      </c>
      <c r="R268" s="4">
        <f t="shared" si="8"/>
        <v>1</v>
      </c>
      <c r="S268" s="4">
        <f t="shared" si="9"/>
        <v>1.162083017</v>
      </c>
      <c r="T268" s="4">
        <f t="shared" si="10"/>
        <v>31</v>
      </c>
      <c r="U268" s="4">
        <f t="shared" si="1"/>
        <v>1.162083017</v>
      </c>
      <c r="V268" s="4"/>
    </row>
    <row r="269">
      <c r="A269" s="1" t="s">
        <v>4990</v>
      </c>
      <c r="B269" s="1" t="s">
        <v>4991</v>
      </c>
      <c r="C269" s="1" t="s">
        <v>4992</v>
      </c>
      <c r="D269" s="1" t="s">
        <v>4835</v>
      </c>
      <c r="E269" s="1" t="s">
        <v>4836</v>
      </c>
      <c r="F269" s="1">
        <v>4.4148146E7</v>
      </c>
      <c r="G269" s="1">
        <v>586814.0</v>
      </c>
      <c r="H269" s="1">
        <v>6840.0</v>
      </c>
      <c r="I269" s="1">
        <v>2.12E7</v>
      </c>
      <c r="J269" s="1" t="s">
        <v>2468</v>
      </c>
      <c r="K269" s="5">
        <f t="shared" si="2"/>
        <v>2.082459717</v>
      </c>
      <c r="L269" s="6">
        <f t="shared" si="3"/>
        <v>231</v>
      </c>
      <c r="M269" s="6">
        <f t="shared" si="4"/>
        <v>191117.5152</v>
      </c>
      <c r="N269" s="7">
        <f t="shared" si="5"/>
        <v>0.00901497713</v>
      </c>
      <c r="O269" s="7"/>
      <c r="P269" s="4">
        <f t="shared" si="6"/>
        <v>5.900294242</v>
      </c>
      <c r="Q269" s="4">
        <f t="shared" si="7"/>
        <v>8</v>
      </c>
      <c r="R269" s="4">
        <f t="shared" si="8"/>
        <v>1</v>
      </c>
      <c r="S269" s="4">
        <f t="shared" si="9"/>
        <v>5.900294242</v>
      </c>
      <c r="T269" s="4">
        <f t="shared" si="10"/>
        <v>31</v>
      </c>
      <c r="U269" s="4">
        <f t="shared" si="1"/>
        <v>5.900294242</v>
      </c>
      <c r="V269" s="4"/>
    </row>
    <row r="270">
      <c r="A270" s="1" t="s">
        <v>4993</v>
      </c>
      <c r="B270" s="1" t="s">
        <v>4994</v>
      </c>
      <c r="C270" s="1" t="s">
        <v>4995</v>
      </c>
      <c r="D270" s="1" t="s">
        <v>4835</v>
      </c>
      <c r="E270" s="1" t="s">
        <v>4836</v>
      </c>
      <c r="F270" s="1">
        <v>3749260.0</v>
      </c>
      <c r="G270" s="1">
        <v>110778.0</v>
      </c>
      <c r="H270" s="1">
        <v>1272.0</v>
      </c>
      <c r="I270" s="1">
        <v>2.12E7</v>
      </c>
      <c r="J270" s="1" t="s">
        <v>2468</v>
      </c>
      <c r="K270" s="5">
        <f t="shared" si="2"/>
        <v>0.1768518868</v>
      </c>
      <c r="L270" s="6">
        <f t="shared" si="3"/>
        <v>237</v>
      </c>
      <c r="M270" s="6">
        <f t="shared" si="4"/>
        <v>15819.66245</v>
      </c>
      <c r="N270" s="7">
        <f t="shared" si="5"/>
        <v>0.0007462104928</v>
      </c>
      <c r="O270" s="7"/>
      <c r="P270" s="4">
        <f t="shared" si="6"/>
        <v>0.07607743809</v>
      </c>
      <c r="Q270" s="4">
        <f t="shared" si="7"/>
        <v>9</v>
      </c>
      <c r="R270" s="4">
        <f t="shared" si="8"/>
        <v>0</v>
      </c>
      <c r="S270" s="4">
        <f t="shared" si="9"/>
        <v>0.07607743809</v>
      </c>
      <c r="T270" s="4">
        <f t="shared" si="10"/>
        <v>36</v>
      </c>
      <c r="U270" s="4">
        <f t="shared" si="1"/>
        <v>0.07607743809</v>
      </c>
      <c r="V270" s="4"/>
    </row>
    <row r="271">
      <c r="A271" s="1" t="s">
        <v>4996</v>
      </c>
      <c r="B271" s="1" t="s">
        <v>4997</v>
      </c>
      <c r="C271" s="1" t="s">
        <v>4998</v>
      </c>
      <c r="D271" s="1" t="s">
        <v>4835</v>
      </c>
      <c r="E271" s="1" t="s">
        <v>4836</v>
      </c>
      <c r="F271" s="1">
        <v>3.6632178E7</v>
      </c>
      <c r="G271" s="1">
        <v>709061.0</v>
      </c>
      <c r="H271" s="1">
        <v>28900.0</v>
      </c>
      <c r="I271" s="1">
        <v>2.12E7</v>
      </c>
      <c r="J271" s="1" t="s">
        <v>2468</v>
      </c>
      <c r="K271" s="5">
        <f t="shared" si="2"/>
        <v>1.727932925</v>
      </c>
      <c r="L271" s="6">
        <f t="shared" si="3"/>
        <v>246</v>
      </c>
      <c r="M271" s="6">
        <f t="shared" si="4"/>
        <v>148911.2927</v>
      </c>
      <c r="N271" s="7">
        <f t="shared" si="5"/>
        <v>0.007024117579</v>
      </c>
      <c r="O271" s="7"/>
      <c r="P271" s="4">
        <f t="shared" si="6"/>
        <v>4.498005587</v>
      </c>
      <c r="Q271" s="4">
        <f t="shared" si="7"/>
        <v>5</v>
      </c>
      <c r="R271" s="4">
        <f t="shared" si="8"/>
        <v>0</v>
      </c>
      <c r="S271" s="4">
        <f t="shared" si="9"/>
        <v>4.498005587</v>
      </c>
      <c r="T271" s="4">
        <f t="shared" si="10"/>
        <v>29</v>
      </c>
      <c r="U271" s="4">
        <f t="shared" si="1"/>
        <v>4.498005587</v>
      </c>
      <c r="V271" s="4"/>
    </row>
    <row r="272">
      <c r="A272" s="1" t="s">
        <v>4999</v>
      </c>
      <c r="B272" s="1" t="s">
        <v>5000</v>
      </c>
      <c r="C272" s="1" t="s">
        <v>5001</v>
      </c>
      <c r="D272" s="1" t="s">
        <v>4835</v>
      </c>
      <c r="E272" s="1" t="s">
        <v>4836</v>
      </c>
      <c r="F272" s="1">
        <v>5024938.0</v>
      </c>
      <c r="G272" s="1">
        <v>433396.0</v>
      </c>
      <c r="H272" s="1">
        <v>32135.0</v>
      </c>
      <c r="I272" s="1">
        <v>2.12E7</v>
      </c>
      <c r="J272" s="1" t="s">
        <v>2468</v>
      </c>
      <c r="K272" s="5">
        <f t="shared" si="2"/>
        <v>0.2370253774</v>
      </c>
      <c r="L272" s="6">
        <f t="shared" si="3"/>
        <v>253</v>
      </c>
      <c r="M272" s="6">
        <f t="shared" si="4"/>
        <v>19861.41502</v>
      </c>
      <c r="N272" s="7">
        <f t="shared" si="5"/>
        <v>0.000936859199</v>
      </c>
      <c r="O272" s="7"/>
      <c r="P272" s="4">
        <f t="shared" si="6"/>
        <v>0.2103634141</v>
      </c>
      <c r="Q272" s="4">
        <f t="shared" si="7"/>
        <v>4</v>
      </c>
      <c r="R272" s="4">
        <f t="shared" si="8"/>
        <v>0</v>
      </c>
      <c r="S272" s="4">
        <f t="shared" si="9"/>
        <v>0.2103634141</v>
      </c>
      <c r="T272" s="4">
        <f t="shared" si="10"/>
        <v>20</v>
      </c>
      <c r="U272" s="4">
        <f t="shared" si="1"/>
        <v>0.2103634141</v>
      </c>
      <c r="V272" s="4"/>
    </row>
    <row r="273">
      <c r="A273" s="1" t="s">
        <v>5002</v>
      </c>
      <c r="B273" s="1" t="s">
        <v>5003</v>
      </c>
      <c r="C273" s="1" t="s">
        <v>5004</v>
      </c>
      <c r="D273" s="1" t="s">
        <v>4835</v>
      </c>
      <c r="E273" s="1" t="s">
        <v>4836</v>
      </c>
      <c r="F273" s="1">
        <v>1.5763128E7</v>
      </c>
      <c r="G273" s="1">
        <v>291913.0</v>
      </c>
      <c r="H273" s="1">
        <v>27440.0</v>
      </c>
      <c r="I273" s="1">
        <v>2.12E7</v>
      </c>
      <c r="J273" s="1" t="s">
        <v>2468</v>
      </c>
      <c r="K273" s="5">
        <f t="shared" si="2"/>
        <v>0.7435437736</v>
      </c>
      <c r="L273" s="6">
        <f t="shared" si="3"/>
        <v>258</v>
      </c>
      <c r="M273" s="6">
        <f t="shared" si="4"/>
        <v>61097.39535</v>
      </c>
      <c r="N273" s="7">
        <f t="shared" si="5"/>
        <v>0.002881952611</v>
      </c>
      <c r="O273" s="7"/>
      <c r="P273" s="4">
        <f t="shared" si="6"/>
        <v>1.580416075</v>
      </c>
      <c r="Q273" s="4">
        <f t="shared" si="7"/>
        <v>6</v>
      </c>
      <c r="R273" s="4">
        <f t="shared" si="8"/>
        <v>0</v>
      </c>
      <c r="S273" s="4">
        <f t="shared" si="9"/>
        <v>1.580416075</v>
      </c>
      <c r="T273" s="4">
        <f t="shared" si="10"/>
        <v>30</v>
      </c>
      <c r="U273" s="4">
        <f t="shared" si="1"/>
        <v>1.580416075</v>
      </c>
      <c r="V273" s="4"/>
    </row>
    <row r="274">
      <c r="A274" s="1" t="s">
        <v>5005</v>
      </c>
      <c r="B274" s="1" t="s">
        <v>5006</v>
      </c>
      <c r="C274" s="1" t="s">
        <v>5007</v>
      </c>
      <c r="D274" s="1" t="s">
        <v>4835</v>
      </c>
      <c r="E274" s="1" t="s">
        <v>4836</v>
      </c>
      <c r="F274" s="1">
        <v>1370493.0</v>
      </c>
      <c r="G274" s="1">
        <v>46669.0</v>
      </c>
      <c r="H274" s="1">
        <v>831.0</v>
      </c>
      <c r="I274" s="1">
        <v>2.12E7</v>
      </c>
      <c r="J274" s="1" t="s">
        <v>2468</v>
      </c>
      <c r="K274" s="5">
        <f t="shared" si="2"/>
        <v>0.06464589623</v>
      </c>
      <c r="L274" s="6">
        <f t="shared" si="3"/>
        <v>266</v>
      </c>
      <c r="M274" s="6">
        <f t="shared" si="4"/>
        <v>5152.229323</v>
      </c>
      <c r="N274" s="7">
        <f t="shared" si="5"/>
        <v>0.0002430296851</v>
      </c>
      <c r="O274" s="7"/>
      <c r="P274" s="4">
        <f t="shared" si="6"/>
        <v>-0.2783447199</v>
      </c>
      <c r="Q274" s="4">
        <f t="shared" si="7"/>
        <v>11</v>
      </c>
      <c r="R274" s="4">
        <f t="shared" si="8"/>
        <v>1</v>
      </c>
      <c r="S274" s="4">
        <f t="shared" si="9"/>
        <v>-0.2783447199</v>
      </c>
      <c r="T274" s="4">
        <f t="shared" si="10"/>
        <v>49</v>
      </c>
      <c r="U274" s="4">
        <f t="shared" si="1"/>
        <v>-0.2783447199</v>
      </c>
      <c r="V274" s="4"/>
    </row>
    <row r="275">
      <c r="A275" s="1" t="s">
        <v>5008</v>
      </c>
      <c r="B275" s="1" t="s">
        <v>5009</v>
      </c>
      <c r="C275" s="1" t="s">
        <v>5010</v>
      </c>
      <c r="D275" s="1" t="s">
        <v>4835</v>
      </c>
      <c r="E275" s="1" t="s">
        <v>4836</v>
      </c>
      <c r="F275" s="1">
        <v>9469876.0</v>
      </c>
      <c r="G275" s="1">
        <v>241459.0</v>
      </c>
      <c r="H275" s="1">
        <v>11920.0</v>
      </c>
      <c r="I275" s="1">
        <v>2.12E7</v>
      </c>
      <c r="J275" s="1" t="s">
        <v>2468</v>
      </c>
      <c r="K275" s="5">
        <f t="shared" si="2"/>
        <v>0.4466922642</v>
      </c>
      <c r="L275" s="6">
        <f t="shared" si="3"/>
        <v>272</v>
      </c>
      <c r="M275" s="6">
        <f t="shared" si="4"/>
        <v>34815.72059</v>
      </c>
      <c r="N275" s="7">
        <f t="shared" si="5"/>
        <v>0.001642250971</v>
      </c>
      <c r="O275" s="7"/>
      <c r="P275" s="4">
        <f t="shared" si="6"/>
        <v>0.70721558</v>
      </c>
      <c r="Q275" s="4">
        <f t="shared" si="7"/>
        <v>4</v>
      </c>
      <c r="R275" s="4">
        <f t="shared" si="8"/>
        <v>1</v>
      </c>
      <c r="S275" s="4">
        <f t="shared" si="9"/>
        <v>0.70721558</v>
      </c>
      <c r="T275" s="4">
        <f t="shared" si="10"/>
        <v>20</v>
      </c>
      <c r="U275" s="4">
        <f t="shared" si="1"/>
        <v>0.70721558</v>
      </c>
      <c r="V275" s="4"/>
    </row>
    <row r="276">
      <c r="A276" s="1" t="s">
        <v>5011</v>
      </c>
      <c r="B276" s="1" t="s">
        <v>5012</v>
      </c>
      <c r="C276" s="1" t="s">
        <v>5013</v>
      </c>
      <c r="D276" s="1" t="s">
        <v>4835</v>
      </c>
      <c r="E276" s="1" t="s">
        <v>4836</v>
      </c>
      <c r="F276" s="1">
        <v>1500392.0</v>
      </c>
      <c r="G276" s="1">
        <v>52475.0</v>
      </c>
      <c r="H276" s="1">
        <v>937.0</v>
      </c>
      <c r="I276" s="1">
        <v>2.12E7</v>
      </c>
      <c r="J276" s="1" t="s">
        <v>2468</v>
      </c>
      <c r="K276" s="5">
        <f t="shared" si="2"/>
        <v>0.07077320755</v>
      </c>
      <c r="L276" s="6">
        <f t="shared" si="3"/>
        <v>280</v>
      </c>
      <c r="M276" s="6">
        <f t="shared" si="4"/>
        <v>5358.542857</v>
      </c>
      <c r="N276" s="7">
        <f t="shared" si="5"/>
        <v>0.0002527614555</v>
      </c>
      <c r="O276" s="7"/>
      <c r="P276" s="4">
        <f t="shared" si="6"/>
        <v>-0.2714900167</v>
      </c>
      <c r="Q276" s="4">
        <f t="shared" si="7"/>
        <v>7</v>
      </c>
      <c r="R276" s="4">
        <f t="shared" si="8"/>
        <v>0</v>
      </c>
      <c r="S276" s="4">
        <f t="shared" si="9"/>
        <v>-0.2714900167</v>
      </c>
      <c r="T276" s="4">
        <f t="shared" si="10"/>
        <v>28</v>
      </c>
      <c r="U276" s="4">
        <f t="shared" si="1"/>
        <v>-0.2714900167</v>
      </c>
      <c r="V276" s="4"/>
    </row>
    <row r="277">
      <c r="A277" s="1" t="s">
        <v>5014</v>
      </c>
      <c r="B277" s="1" t="s">
        <v>5015</v>
      </c>
      <c r="C277" s="1" t="s">
        <v>5016</v>
      </c>
      <c r="D277" s="1" t="s">
        <v>4835</v>
      </c>
      <c r="E277" s="1" t="s">
        <v>4836</v>
      </c>
      <c r="F277" s="1">
        <v>9988003.0</v>
      </c>
      <c r="G277" s="1">
        <v>236978.0</v>
      </c>
      <c r="H277" s="1">
        <v>10219.0</v>
      </c>
      <c r="I277" s="1">
        <v>2.12E7</v>
      </c>
      <c r="J277" s="1" t="s">
        <v>2468</v>
      </c>
      <c r="K277" s="5">
        <f t="shared" si="2"/>
        <v>0.471132217</v>
      </c>
      <c r="L277" s="6">
        <f t="shared" si="3"/>
        <v>281</v>
      </c>
      <c r="M277" s="6">
        <f t="shared" si="4"/>
        <v>35544.49466</v>
      </c>
      <c r="N277" s="7">
        <f t="shared" si="5"/>
        <v>0.001676627107</v>
      </c>
      <c r="O277" s="7"/>
      <c r="P277" s="4">
        <f t="shared" si="6"/>
        <v>0.7314288726</v>
      </c>
      <c r="Q277" s="4">
        <f t="shared" si="7"/>
        <v>9</v>
      </c>
      <c r="R277" s="4">
        <f t="shared" si="8"/>
        <v>0</v>
      </c>
      <c r="S277" s="4">
        <f t="shared" si="9"/>
        <v>0.7314288726</v>
      </c>
      <c r="T277" s="4">
        <f t="shared" si="10"/>
        <v>42</v>
      </c>
      <c r="U277" s="4">
        <f t="shared" si="1"/>
        <v>0.7314288726</v>
      </c>
      <c r="V277" s="4"/>
    </row>
    <row r="278">
      <c r="A278" s="1" t="s">
        <v>5017</v>
      </c>
      <c r="B278" s="1" t="s">
        <v>5018</v>
      </c>
      <c r="C278" s="1" t="s">
        <v>5019</v>
      </c>
      <c r="D278" s="1" t="s">
        <v>4835</v>
      </c>
      <c r="E278" s="1" t="s">
        <v>4836</v>
      </c>
      <c r="F278" s="1">
        <v>4489828.0</v>
      </c>
      <c r="G278" s="1">
        <v>91632.0</v>
      </c>
      <c r="H278" s="1">
        <v>626.0</v>
      </c>
      <c r="I278" s="1">
        <v>2.12E7</v>
      </c>
      <c r="J278" s="1" t="s">
        <v>2468</v>
      </c>
      <c r="K278" s="5">
        <f t="shared" si="2"/>
        <v>0.2117843396</v>
      </c>
      <c r="L278" s="6">
        <f t="shared" si="3"/>
        <v>286</v>
      </c>
      <c r="M278" s="6">
        <f t="shared" si="4"/>
        <v>15698.6993</v>
      </c>
      <c r="N278" s="7">
        <f t="shared" si="5"/>
        <v>0.000740504684</v>
      </c>
      <c r="O278" s="7"/>
      <c r="P278" s="4">
        <f t="shared" si="6"/>
        <v>0.07205847505</v>
      </c>
      <c r="Q278" s="4">
        <f t="shared" si="7"/>
        <v>5</v>
      </c>
      <c r="R278" s="4">
        <f t="shared" si="8"/>
        <v>1</v>
      </c>
      <c r="S278" s="4">
        <f t="shared" si="9"/>
        <v>0.07205847505</v>
      </c>
      <c r="T278" s="4">
        <f t="shared" si="10"/>
        <v>20</v>
      </c>
      <c r="U278" s="4">
        <f t="shared" si="1"/>
        <v>0.07205847505</v>
      </c>
      <c r="V278" s="4"/>
    </row>
    <row r="279">
      <c r="A279" s="1" t="s">
        <v>5020</v>
      </c>
      <c r="B279" s="1" t="s">
        <v>5021</v>
      </c>
      <c r="C279" s="1" t="s">
        <v>5022</v>
      </c>
      <c r="D279" s="1" t="s">
        <v>4835</v>
      </c>
      <c r="E279" s="1" t="s">
        <v>4836</v>
      </c>
      <c r="F279" s="1">
        <v>1.4545988E7</v>
      </c>
      <c r="G279" s="1">
        <v>272506.0</v>
      </c>
      <c r="H279" s="1">
        <v>11596.0</v>
      </c>
      <c r="I279" s="1">
        <v>2.12E7</v>
      </c>
      <c r="J279" s="1" t="s">
        <v>2468</v>
      </c>
      <c r="K279" s="5">
        <f t="shared" si="2"/>
        <v>0.6861315094</v>
      </c>
      <c r="L279" s="6">
        <f t="shared" si="3"/>
        <v>290</v>
      </c>
      <c r="M279" s="6">
        <f t="shared" si="4"/>
        <v>50158.57931</v>
      </c>
      <c r="N279" s="7">
        <f t="shared" si="5"/>
        <v>0.002365970722</v>
      </c>
      <c r="O279" s="7"/>
      <c r="P279" s="4">
        <f t="shared" si="6"/>
        <v>1.216977304</v>
      </c>
      <c r="Q279" s="4">
        <f t="shared" si="7"/>
        <v>6</v>
      </c>
      <c r="R279" s="4">
        <f t="shared" si="8"/>
        <v>0</v>
      </c>
      <c r="S279" s="4">
        <f t="shared" si="9"/>
        <v>1.216977304</v>
      </c>
      <c r="T279" s="4">
        <f t="shared" si="10"/>
        <v>35</v>
      </c>
      <c r="U279" s="4">
        <f t="shared" si="1"/>
        <v>1.216977304</v>
      </c>
      <c r="V279" s="4"/>
    </row>
    <row r="280">
      <c r="A280" s="1" t="s">
        <v>5023</v>
      </c>
      <c r="B280" s="1" t="s">
        <v>5024</v>
      </c>
      <c r="C280" s="1" t="s">
        <v>5025</v>
      </c>
      <c r="D280" s="1" t="s">
        <v>4835</v>
      </c>
      <c r="E280" s="1" t="s">
        <v>4836</v>
      </c>
      <c r="F280" s="1">
        <v>6131524.0</v>
      </c>
      <c r="G280" s="1">
        <v>184973.0</v>
      </c>
      <c r="H280" s="1">
        <v>11820.0</v>
      </c>
      <c r="I280" s="1">
        <v>2.12E7</v>
      </c>
      <c r="J280" s="1" t="s">
        <v>2468</v>
      </c>
      <c r="K280" s="5">
        <f t="shared" si="2"/>
        <v>0.2892228302</v>
      </c>
      <c r="L280" s="6">
        <f t="shared" si="3"/>
        <v>295</v>
      </c>
      <c r="M280" s="6">
        <f t="shared" si="4"/>
        <v>20784.82712</v>
      </c>
      <c r="N280" s="7">
        <f t="shared" si="5"/>
        <v>0.0009804163735</v>
      </c>
      <c r="O280" s="7"/>
      <c r="P280" s="4">
        <f t="shared" si="6"/>
        <v>0.2410434948</v>
      </c>
      <c r="Q280" s="4">
        <f t="shared" si="7"/>
        <v>8</v>
      </c>
      <c r="R280" s="4">
        <f t="shared" si="8"/>
        <v>0</v>
      </c>
      <c r="S280" s="4">
        <f t="shared" si="9"/>
        <v>0.2410434948</v>
      </c>
      <c r="T280" s="4">
        <f t="shared" si="10"/>
        <v>38</v>
      </c>
      <c r="U280" s="4">
        <f t="shared" si="1"/>
        <v>0.2410434948</v>
      </c>
      <c r="V280" s="4"/>
    </row>
    <row r="281">
      <c r="A281" s="1" t="s">
        <v>5026</v>
      </c>
      <c r="B281" s="1" t="s">
        <v>5027</v>
      </c>
      <c r="C281" s="1" t="s">
        <v>5028</v>
      </c>
      <c r="D281" s="1" t="s">
        <v>4835</v>
      </c>
      <c r="E281" s="1" t="s">
        <v>4836</v>
      </c>
      <c r="F281" s="1">
        <v>6730658.0</v>
      </c>
      <c r="G281" s="1">
        <v>298550.0</v>
      </c>
      <c r="H281" s="1">
        <v>4022.0</v>
      </c>
      <c r="I281" s="1">
        <v>2.12E7</v>
      </c>
      <c r="J281" s="1" t="s">
        <v>2468</v>
      </c>
      <c r="K281" s="5">
        <f t="shared" si="2"/>
        <v>0.3174838679</v>
      </c>
      <c r="L281" s="6">
        <f t="shared" si="3"/>
        <v>297</v>
      </c>
      <c r="M281" s="6">
        <f t="shared" si="4"/>
        <v>22662.14815</v>
      </c>
      <c r="N281" s="7">
        <f t="shared" si="5"/>
        <v>0.001068969252</v>
      </c>
      <c r="O281" s="7"/>
      <c r="P281" s="4">
        <f t="shared" si="6"/>
        <v>0.3034169039</v>
      </c>
      <c r="Q281" s="4">
        <f t="shared" si="7"/>
        <v>5</v>
      </c>
      <c r="R281" s="4">
        <f t="shared" si="8"/>
        <v>0</v>
      </c>
      <c r="S281" s="4">
        <f t="shared" si="9"/>
        <v>0.3034169039</v>
      </c>
      <c r="T281" s="4">
        <f t="shared" si="10"/>
        <v>28</v>
      </c>
      <c r="U281" s="4">
        <f t="shared" si="1"/>
        <v>0.3034169039</v>
      </c>
      <c r="V281" s="4"/>
    </row>
    <row r="282">
      <c r="A282" s="1" t="s">
        <v>5029</v>
      </c>
      <c r="B282" s="1" t="s">
        <v>5030</v>
      </c>
      <c r="C282" s="1" t="s">
        <v>5031</v>
      </c>
      <c r="D282" s="1" t="s">
        <v>4835</v>
      </c>
      <c r="E282" s="1" t="s">
        <v>4836</v>
      </c>
      <c r="F282" s="1">
        <v>8658554.0</v>
      </c>
      <c r="G282" s="1">
        <v>259418.0</v>
      </c>
      <c r="H282" s="1">
        <v>20140.0</v>
      </c>
      <c r="I282" s="1">
        <v>2.12E7</v>
      </c>
      <c r="J282" s="1" t="s">
        <v>2468</v>
      </c>
      <c r="K282" s="5">
        <f t="shared" si="2"/>
        <v>0.4084223585</v>
      </c>
      <c r="L282" s="6">
        <f t="shared" si="3"/>
        <v>307</v>
      </c>
      <c r="M282" s="6">
        <f t="shared" si="4"/>
        <v>28203.75896</v>
      </c>
      <c r="N282" s="7">
        <f t="shared" si="5"/>
        <v>0.001330365989</v>
      </c>
      <c r="O282" s="7"/>
      <c r="P282" s="4">
        <f t="shared" si="6"/>
        <v>0.4875352049</v>
      </c>
      <c r="Q282" s="4">
        <f t="shared" si="7"/>
        <v>6</v>
      </c>
      <c r="R282" s="4">
        <f t="shared" si="8"/>
        <v>0</v>
      </c>
      <c r="S282" s="4">
        <f t="shared" si="9"/>
        <v>0.4875352049</v>
      </c>
      <c r="T282" s="4">
        <f t="shared" si="10"/>
        <v>32</v>
      </c>
      <c r="U282" s="4">
        <f t="shared" si="1"/>
        <v>0.4875352049</v>
      </c>
      <c r="V282" s="4"/>
    </row>
    <row r="283">
      <c r="A283" s="1" t="s">
        <v>5032</v>
      </c>
      <c r="B283" s="1" t="s">
        <v>5033</v>
      </c>
      <c r="C283" s="1" t="s">
        <v>5034</v>
      </c>
      <c r="D283" s="1" t="s">
        <v>4835</v>
      </c>
      <c r="E283" s="1" t="s">
        <v>4836</v>
      </c>
      <c r="F283" s="1">
        <v>2590012.0</v>
      </c>
      <c r="G283" s="1">
        <v>44992.0</v>
      </c>
      <c r="H283" s="1">
        <v>852.0</v>
      </c>
      <c r="I283" s="1">
        <v>2.12E7</v>
      </c>
      <c r="J283" s="1" t="s">
        <v>2468</v>
      </c>
      <c r="K283" s="5">
        <f t="shared" si="2"/>
        <v>0.1221703774</v>
      </c>
      <c r="L283" s="6">
        <f t="shared" si="3"/>
        <v>309</v>
      </c>
      <c r="M283" s="6">
        <f t="shared" si="4"/>
        <v>8381.915858</v>
      </c>
      <c r="N283" s="7">
        <f t="shared" si="5"/>
        <v>0.0003953733895</v>
      </c>
      <c r="O283" s="7"/>
      <c r="P283" s="4">
        <f t="shared" si="6"/>
        <v>-0.1710393862</v>
      </c>
      <c r="Q283" s="4">
        <f t="shared" si="7"/>
        <v>9</v>
      </c>
      <c r="R283" s="4">
        <f t="shared" si="8"/>
        <v>1</v>
      </c>
      <c r="S283" s="4">
        <f t="shared" si="9"/>
        <v>-0.1710393862</v>
      </c>
      <c r="T283" s="4">
        <f t="shared" si="10"/>
        <v>43</v>
      </c>
      <c r="U283" s="4">
        <f t="shared" si="1"/>
        <v>-0.1710393862</v>
      </c>
      <c r="V283" s="4"/>
    </row>
    <row r="284">
      <c r="A284" s="1" t="s">
        <v>5035</v>
      </c>
      <c r="B284" s="1" t="s">
        <v>5036</v>
      </c>
      <c r="C284" s="1" t="s">
        <v>5037</v>
      </c>
      <c r="D284" s="1" t="s">
        <v>4835</v>
      </c>
      <c r="E284" s="1" t="s">
        <v>4836</v>
      </c>
      <c r="F284" s="1">
        <v>4854467.0</v>
      </c>
      <c r="G284" s="1">
        <v>155213.0</v>
      </c>
      <c r="H284" s="1">
        <v>1896.0</v>
      </c>
      <c r="I284" s="1">
        <v>2.12E7</v>
      </c>
      <c r="J284" s="1" t="s">
        <v>2468</v>
      </c>
      <c r="K284" s="5">
        <f t="shared" si="2"/>
        <v>0.2289842925</v>
      </c>
      <c r="L284" s="6">
        <f t="shared" si="3"/>
        <v>312</v>
      </c>
      <c r="M284" s="6">
        <f t="shared" si="4"/>
        <v>15559.1891</v>
      </c>
      <c r="N284" s="7">
        <f t="shared" si="5"/>
        <v>0.0007339240143</v>
      </c>
      <c r="O284" s="7"/>
      <c r="P284" s="4">
        <f t="shared" si="6"/>
        <v>0.06742329197</v>
      </c>
      <c r="Q284" s="4">
        <f t="shared" si="7"/>
        <v>6</v>
      </c>
      <c r="R284" s="4">
        <f t="shared" si="8"/>
        <v>0</v>
      </c>
      <c r="S284" s="4">
        <f t="shared" si="9"/>
        <v>0.06742329197</v>
      </c>
      <c r="T284" s="4">
        <f t="shared" si="10"/>
        <v>27</v>
      </c>
      <c r="U284" s="4">
        <f t="shared" si="1"/>
        <v>0.06742329197</v>
      </c>
      <c r="V284" s="4"/>
    </row>
    <row r="285">
      <c r="A285" s="1" t="s">
        <v>5038</v>
      </c>
      <c r="B285" s="1" t="s">
        <v>5039</v>
      </c>
      <c r="C285" s="1" t="s">
        <v>5040</v>
      </c>
      <c r="D285" s="1" t="s">
        <v>4835</v>
      </c>
      <c r="E285" s="1" t="s">
        <v>4836</v>
      </c>
      <c r="F285" s="1">
        <v>9222220.0</v>
      </c>
      <c r="G285" s="1">
        <v>235839.0</v>
      </c>
      <c r="H285" s="1">
        <v>2170.0</v>
      </c>
      <c r="I285" s="1">
        <v>2.12E7</v>
      </c>
      <c r="J285" s="1" t="s">
        <v>2468</v>
      </c>
      <c r="K285" s="5">
        <f t="shared" si="2"/>
        <v>0.4350103774</v>
      </c>
      <c r="L285" s="6">
        <f t="shared" si="3"/>
        <v>321</v>
      </c>
      <c r="M285" s="6">
        <f t="shared" si="4"/>
        <v>28729.65732</v>
      </c>
      <c r="N285" s="7">
        <f t="shared" si="5"/>
        <v>0.001355172515</v>
      </c>
      <c r="O285" s="7"/>
      <c r="P285" s="4">
        <f t="shared" si="6"/>
        <v>0.5050080149</v>
      </c>
      <c r="Q285" s="4">
        <f t="shared" si="7"/>
        <v>4</v>
      </c>
      <c r="R285" s="4">
        <f t="shared" si="8"/>
        <v>0</v>
      </c>
      <c r="S285" s="4">
        <f t="shared" si="9"/>
        <v>0.5050080149</v>
      </c>
      <c r="T285" s="4">
        <f t="shared" si="10"/>
        <v>12</v>
      </c>
      <c r="U285" s="4">
        <f t="shared" si="1"/>
        <v>0.5050080149</v>
      </c>
      <c r="V285" s="4"/>
    </row>
    <row r="286">
      <c r="A286" s="1" t="s">
        <v>5041</v>
      </c>
      <c r="B286" s="1" t="s">
        <v>5042</v>
      </c>
      <c r="C286" s="1" t="s">
        <v>5043</v>
      </c>
      <c r="D286" s="1" t="s">
        <v>4835</v>
      </c>
      <c r="E286" s="1" t="s">
        <v>4836</v>
      </c>
      <c r="F286" s="1">
        <v>1.5523964E7</v>
      </c>
      <c r="G286" s="1">
        <v>410870.0</v>
      </c>
      <c r="H286" s="1">
        <v>9256.0</v>
      </c>
      <c r="I286" s="1">
        <v>2.12E7</v>
      </c>
      <c r="J286" s="1" t="s">
        <v>2468</v>
      </c>
      <c r="K286" s="5">
        <f t="shared" si="2"/>
        <v>0.7322624528</v>
      </c>
      <c r="L286" s="6">
        <f t="shared" si="3"/>
        <v>329</v>
      </c>
      <c r="M286" s="6">
        <f t="shared" si="4"/>
        <v>47185.30091</v>
      </c>
      <c r="N286" s="7">
        <f t="shared" si="5"/>
        <v>0.002225721741</v>
      </c>
      <c r="O286" s="7"/>
      <c r="P286" s="4">
        <f t="shared" si="6"/>
        <v>1.118191051</v>
      </c>
      <c r="Q286" s="4">
        <f t="shared" si="7"/>
        <v>8</v>
      </c>
      <c r="R286" s="4">
        <f t="shared" si="8"/>
        <v>0</v>
      </c>
      <c r="S286" s="4">
        <f t="shared" si="9"/>
        <v>1.118191051</v>
      </c>
      <c r="T286" s="4">
        <f t="shared" si="10"/>
        <v>39</v>
      </c>
      <c r="U286" s="4">
        <f t="shared" si="1"/>
        <v>1.118191051</v>
      </c>
      <c r="V286" s="4"/>
    </row>
    <row r="287">
      <c r="A287" s="1" t="s">
        <v>5044</v>
      </c>
      <c r="B287" s="1" t="s">
        <v>5045</v>
      </c>
      <c r="C287" s="1" t="s">
        <v>5046</v>
      </c>
      <c r="D287" s="1" t="s">
        <v>4835</v>
      </c>
      <c r="E287" s="1" t="s">
        <v>4836</v>
      </c>
      <c r="F287" s="1">
        <v>1.1046532E7</v>
      </c>
      <c r="G287" s="1">
        <v>281646.0</v>
      </c>
      <c r="H287" s="1">
        <v>13680.0</v>
      </c>
      <c r="I287" s="1">
        <v>2.12E7</v>
      </c>
      <c r="J287" s="1" t="s">
        <v>2468</v>
      </c>
      <c r="K287" s="5">
        <f t="shared" si="2"/>
        <v>0.5210628302</v>
      </c>
      <c r="L287" s="6">
        <f t="shared" si="3"/>
        <v>338</v>
      </c>
      <c r="M287" s="6">
        <f t="shared" si="4"/>
        <v>32682.04734</v>
      </c>
      <c r="N287" s="7">
        <f t="shared" si="5"/>
        <v>0.001541606006</v>
      </c>
      <c r="O287" s="7"/>
      <c r="P287" s="4">
        <f t="shared" si="6"/>
        <v>0.6363249478</v>
      </c>
      <c r="Q287" s="4">
        <f t="shared" si="7"/>
        <v>8</v>
      </c>
      <c r="R287" s="4">
        <f t="shared" si="8"/>
        <v>1</v>
      </c>
      <c r="S287" s="4">
        <f t="shared" si="9"/>
        <v>0.6363249478</v>
      </c>
      <c r="T287" s="4">
        <f t="shared" si="10"/>
        <v>31</v>
      </c>
      <c r="U287" s="4">
        <f t="shared" si="1"/>
        <v>0.6363249478</v>
      </c>
      <c r="V287" s="4"/>
    </row>
    <row r="288">
      <c r="A288" s="1" t="s">
        <v>5047</v>
      </c>
      <c r="B288" s="1" t="s">
        <v>5048</v>
      </c>
      <c r="C288" s="1" t="s">
        <v>5049</v>
      </c>
      <c r="D288" s="1" t="s">
        <v>4835</v>
      </c>
      <c r="E288" s="1" t="s">
        <v>4836</v>
      </c>
      <c r="F288" s="1">
        <v>1.0603098E7</v>
      </c>
      <c r="G288" s="1">
        <v>220096.0</v>
      </c>
      <c r="H288" s="1">
        <v>11264.0</v>
      </c>
      <c r="I288" s="1">
        <v>2.12E7</v>
      </c>
      <c r="J288" s="1" t="s">
        <v>2468</v>
      </c>
      <c r="K288" s="5">
        <f t="shared" si="2"/>
        <v>0.5001461321</v>
      </c>
      <c r="L288" s="6">
        <f t="shared" si="3"/>
        <v>347</v>
      </c>
      <c r="M288" s="6">
        <f t="shared" si="4"/>
        <v>30556.47839</v>
      </c>
      <c r="N288" s="7">
        <f t="shared" si="5"/>
        <v>0.00144134332</v>
      </c>
      <c r="O288" s="7"/>
      <c r="P288" s="4">
        <f t="shared" si="6"/>
        <v>0.5657035784</v>
      </c>
      <c r="Q288" s="4">
        <f t="shared" si="7"/>
        <v>8</v>
      </c>
      <c r="R288" s="4">
        <f t="shared" si="8"/>
        <v>0</v>
      </c>
      <c r="S288" s="4">
        <f t="shared" si="9"/>
        <v>0.5657035784</v>
      </c>
      <c r="T288" s="4">
        <f t="shared" si="10"/>
        <v>34</v>
      </c>
      <c r="U288" s="4">
        <f t="shared" si="1"/>
        <v>0.5657035784</v>
      </c>
      <c r="V288" s="4"/>
    </row>
    <row r="289">
      <c r="A289" s="1" t="s">
        <v>5050</v>
      </c>
      <c r="B289" s="1" t="s">
        <v>5051</v>
      </c>
      <c r="C289" s="1" t="s">
        <v>5052</v>
      </c>
      <c r="D289" s="1" t="s">
        <v>4835</v>
      </c>
      <c r="E289" s="1" t="s">
        <v>4836</v>
      </c>
      <c r="F289" s="1">
        <v>9704370.0</v>
      </c>
      <c r="G289" s="1">
        <v>399895.0</v>
      </c>
      <c r="H289" s="1">
        <v>2571.0</v>
      </c>
      <c r="I289" s="1">
        <v>2.12E7</v>
      </c>
      <c r="J289" s="1" t="s">
        <v>2468</v>
      </c>
      <c r="K289" s="5">
        <f t="shared" si="2"/>
        <v>0.4577533019</v>
      </c>
      <c r="L289" s="6">
        <f t="shared" si="3"/>
        <v>350</v>
      </c>
      <c r="M289" s="6">
        <f t="shared" si="4"/>
        <v>27726.77143</v>
      </c>
      <c r="N289" s="7">
        <f t="shared" si="5"/>
        <v>0.001307866577</v>
      </c>
      <c r="O289" s="7"/>
      <c r="P289" s="4">
        <f t="shared" si="6"/>
        <v>0.4716874421</v>
      </c>
      <c r="Q289" s="4">
        <f t="shared" si="7"/>
        <v>5</v>
      </c>
      <c r="R289" s="4">
        <f t="shared" si="8"/>
        <v>0</v>
      </c>
      <c r="S289" s="4">
        <f t="shared" si="9"/>
        <v>0.4716874421</v>
      </c>
      <c r="T289" s="4">
        <f t="shared" si="10"/>
        <v>16</v>
      </c>
      <c r="U289" s="4">
        <f t="shared" si="1"/>
        <v>0.4716874421</v>
      </c>
      <c r="V289" s="4"/>
    </row>
    <row r="290">
      <c r="A290" s="1" t="s">
        <v>5053</v>
      </c>
      <c r="B290" s="1" t="s">
        <v>5054</v>
      </c>
      <c r="C290" s="1" t="s">
        <v>5055</v>
      </c>
      <c r="D290" s="1" t="s">
        <v>4835</v>
      </c>
      <c r="E290" s="1" t="s">
        <v>4836</v>
      </c>
      <c r="F290" s="1">
        <v>2008518.0</v>
      </c>
      <c r="G290" s="1">
        <v>27100.0</v>
      </c>
      <c r="H290" s="1">
        <v>696.0</v>
      </c>
      <c r="I290" s="1">
        <v>2.12E7</v>
      </c>
      <c r="J290" s="1" t="s">
        <v>2468</v>
      </c>
      <c r="K290" s="5">
        <f t="shared" si="2"/>
        <v>0.09474141509</v>
      </c>
      <c r="L290" s="6">
        <f t="shared" si="3"/>
        <v>354</v>
      </c>
      <c r="M290" s="6">
        <f t="shared" si="4"/>
        <v>5673.779661</v>
      </c>
      <c r="N290" s="7">
        <f t="shared" si="5"/>
        <v>0.0002676311161</v>
      </c>
      <c r="O290" s="7"/>
      <c r="P290" s="4">
        <f t="shared" si="6"/>
        <v>-0.2610163717</v>
      </c>
      <c r="Q290" s="4">
        <f t="shared" si="7"/>
        <v>7</v>
      </c>
      <c r="R290" s="4">
        <f t="shared" si="8"/>
        <v>1</v>
      </c>
      <c r="S290" s="4">
        <f t="shared" si="9"/>
        <v>-0.2610163717</v>
      </c>
      <c r="T290" s="4">
        <f t="shared" si="10"/>
        <v>31</v>
      </c>
      <c r="U290" s="4">
        <f t="shared" si="1"/>
        <v>-0.2610163717</v>
      </c>
      <c r="V290" s="4"/>
    </row>
    <row r="291">
      <c r="A291" s="1" t="s">
        <v>5056</v>
      </c>
      <c r="B291" s="1" t="s">
        <v>5057</v>
      </c>
      <c r="C291" s="1" t="s">
        <v>5058</v>
      </c>
      <c r="D291" s="1" t="s">
        <v>4835</v>
      </c>
      <c r="E291" s="1" t="s">
        <v>4836</v>
      </c>
      <c r="F291" s="1">
        <v>1.657164E7</v>
      </c>
      <c r="G291" s="1">
        <v>364041.0</v>
      </c>
      <c r="H291" s="1">
        <v>16453.0</v>
      </c>
      <c r="I291" s="1">
        <v>2.12E7</v>
      </c>
      <c r="J291" s="1" t="s">
        <v>2468</v>
      </c>
      <c r="K291" s="5">
        <f t="shared" si="2"/>
        <v>0.7816811321</v>
      </c>
      <c r="L291" s="6">
        <f t="shared" si="3"/>
        <v>357</v>
      </c>
      <c r="M291" s="6">
        <f t="shared" si="4"/>
        <v>46419.15966</v>
      </c>
      <c r="N291" s="7">
        <f t="shared" si="5"/>
        <v>0.002189583003</v>
      </c>
      <c r="O291" s="7"/>
      <c r="P291" s="4">
        <f t="shared" si="6"/>
        <v>1.092736246</v>
      </c>
      <c r="Q291" s="4">
        <f t="shared" si="7"/>
        <v>6</v>
      </c>
      <c r="R291" s="4">
        <f t="shared" si="8"/>
        <v>1</v>
      </c>
      <c r="S291" s="4">
        <f t="shared" si="9"/>
        <v>1.092736246</v>
      </c>
      <c r="T291" s="4">
        <f t="shared" si="10"/>
        <v>28</v>
      </c>
      <c r="U291" s="4">
        <f t="shared" si="1"/>
        <v>1.092736246</v>
      </c>
      <c r="V291" s="4"/>
    </row>
    <row r="292">
      <c r="A292" s="1" t="s">
        <v>5059</v>
      </c>
      <c r="B292" s="1" t="s">
        <v>5060</v>
      </c>
      <c r="C292" s="1" t="s">
        <v>5061</v>
      </c>
      <c r="D292" s="1" t="s">
        <v>4835</v>
      </c>
      <c r="E292" s="1" t="s">
        <v>4836</v>
      </c>
      <c r="F292" s="1">
        <v>2.1818411E7</v>
      </c>
      <c r="G292" s="1">
        <v>520937.0</v>
      </c>
      <c r="H292" s="1">
        <v>40951.0</v>
      </c>
      <c r="I292" s="1">
        <v>2.12E7</v>
      </c>
      <c r="J292" s="1" t="s">
        <v>2468</v>
      </c>
      <c r="K292" s="5">
        <f t="shared" si="2"/>
        <v>1.02917033</v>
      </c>
      <c r="L292" s="6">
        <f t="shared" si="3"/>
        <v>368</v>
      </c>
      <c r="M292" s="6">
        <f t="shared" si="4"/>
        <v>59289.16033</v>
      </c>
      <c r="N292" s="7">
        <f t="shared" si="5"/>
        <v>0.002796658506</v>
      </c>
      <c r="O292" s="7"/>
      <c r="P292" s="4">
        <f t="shared" si="6"/>
        <v>1.520338027</v>
      </c>
      <c r="Q292" s="4">
        <f t="shared" si="7"/>
        <v>8</v>
      </c>
      <c r="R292" s="4">
        <f t="shared" si="8"/>
        <v>0</v>
      </c>
      <c r="S292" s="4">
        <f t="shared" si="9"/>
        <v>1.520338027</v>
      </c>
      <c r="T292" s="4">
        <f t="shared" si="10"/>
        <v>41</v>
      </c>
      <c r="U292" s="4">
        <f t="shared" si="1"/>
        <v>1.520338027</v>
      </c>
      <c r="V292" s="4"/>
    </row>
    <row r="293">
      <c r="A293" s="1" t="s">
        <v>5062</v>
      </c>
      <c r="B293" s="1" t="s">
        <v>5063</v>
      </c>
      <c r="C293" s="1" t="s">
        <v>5064</v>
      </c>
      <c r="D293" s="1" t="s">
        <v>4835</v>
      </c>
      <c r="E293" s="1" t="s">
        <v>4836</v>
      </c>
      <c r="F293" s="1">
        <v>4918210.0</v>
      </c>
      <c r="G293" s="1">
        <v>311330.0</v>
      </c>
      <c r="H293" s="1">
        <v>3718.0</v>
      </c>
      <c r="I293" s="1">
        <v>2.12E7</v>
      </c>
      <c r="J293" s="1" t="s">
        <v>2468</v>
      </c>
      <c r="K293" s="5">
        <f t="shared" si="2"/>
        <v>0.2319910377</v>
      </c>
      <c r="L293" s="6">
        <f t="shared" si="3"/>
        <v>371</v>
      </c>
      <c r="M293" s="6">
        <f t="shared" si="4"/>
        <v>13256.63073</v>
      </c>
      <c r="N293" s="7">
        <f t="shared" si="5"/>
        <v>0.0006253127702</v>
      </c>
      <c r="O293" s="7"/>
      <c r="P293" s="4">
        <f t="shared" si="6"/>
        <v>-0.009078496103</v>
      </c>
      <c r="Q293" s="4">
        <f t="shared" si="7"/>
        <v>7</v>
      </c>
      <c r="R293" s="4">
        <f t="shared" si="8"/>
        <v>0</v>
      </c>
      <c r="S293" s="4">
        <f t="shared" si="9"/>
        <v>-0.009078496103</v>
      </c>
      <c r="T293" s="4">
        <f t="shared" si="10"/>
        <v>33</v>
      </c>
      <c r="U293" s="4">
        <f t="shared" si="1"/>
        <v>-0.009078496103</v>
      </c>
      <c r="V293" s="4"/>
    </row>
    <row r="294">
      <c r="A294" s="1" t="s">
        <v>5065</v>
      </c>
      <c r="B294" s="1" t="s">
        <v>5066</v>
      </c>
      <c r="C294" s="1" t="s">
        <v>5067</v>
      </c>
      <c r="D294" s="1" t="s">
        <v>4835</v>
      </c>
      <c r="E294" s="1" t="s">
        <v>4836</v>
      </c>
      <c r="F294" s="1">
        <v>9818113.0</v>
      </c>
      <c r="G294" s="1">
        <v>211108.0</v>
      </c>
      <c r="H294" s="1">
        <v>12616.0</v>
      </c>
      <c r="I294" s="1">
        <v>2.12E7</v>
      </c>
      <c r="J294" s="1" t="s">
        <v>2468</v>
      </c>
      <c r="K294" s="5">
        <f t="shared" si="2"/>
        <v>0.4631185377</v>
      </c>
      <c r="L294" s="6">
        <f t="shared" si="3"/>
        <v>377</v>
      </c>
      <c r="M294" s="6">
        <f t="shared" si="4"/>
        <v>26042.74005</v>
      </c>
      <c r="N294" s="7">
        <f t="shared" si="5"/>
        <v>0.001228431135</v>
      </c>
      <c r="O294" s="7"/>
      <c r="P294" s="4">
        <f t="shared" si="6"/>
        <v>0.4157360218</v>
      </c>
      <c r="Q294" s="4">
        <f t="shared" si="7"/>
        <v>8</v>
      </c>
      <c r="R294" s="4">
        <f t="shared" si="8"/>
        <v>0</v>
      </c>
      <c r="S294" s="4">
        <f t="shared" si="9"/>
        <v>0.4157360218</v>
      </c>
      <c r="T294" s="4">
        <f t="shared" si="10"/>
        <v>35</v>
      </c>
      <c r="U294" s="4">
        <f t="shared" si="1"/>
        <v>0.4157360218</v>
      </c>
      <c r="V294" s="4"/>
    </row>
    <row r="295">
      <c r="A295" s="1" t="s">
        <v>5068</v>
      </c>
      <c r="B295" s="1" t="s">
        <v>5069</v>
      </c>
      <c r="C295" s="1" t="s">
        <v>5070</v>
      </c>
      <c r="D295" s="1" t="s">
        <v>4835</v>
      </c>
      <c r="E295" s="1" t="s">
        <v>4836</v>
      </c>
      <c r="F295" s="1">
        <v>6.4545358E7</v>
      </c>
      <c r="G295" s="1">
        <v>2138884.0</v>
      </c>
      <c r="H295" s="1">
        <v>22603.0</v>
      </c>
      <c r="I295" s="1">
        <v>2.12E7</v>
      </c>
      <c r="J295" s="1" t="s">
        <v>2468</v>
      </c>
      <c r="K295" s="5">
        <f t="shared" si="2"/>
        <v>3.044592358</v>
      </c>
      <c r="L295" s="6">
        <f t="shared" si="3"/>
        <v>380</v>
      </c>
      <c r="M295" s="6">
        <f t="shared" si="4"/>
        <v>169856.2053</v>
      </c>
      <c r="N295" s="7">
        <f t="shared" si="5"/>
        <v>0.008012085154</v>
      </c>
      <c r="O295" s="7"/>
      <c r="P295" s="4">
        <f t="shared" si="6"/>
        <v>5.193893813</v>
      </c>
      <c r="Q295" s="4">
        <f t="shared" si="7"/>
        <v>6</v>
      </c>
      <c r="R295" s="4">
        <f t="shared" si="8"/>
        <v>1</v>
      </c>
      <c r="S295" s="4">
        <f t="shared" si="9"/>
        <v>5.193893813</v>
      </c>
      <c r="T295" s="4">
        <f t="shared" si="10"/>
        <v>22</v>
      </c>
      <c r="U295" s="4">
        <f t="shared" si="1"/>
        <v>5.193893813</v>
      </c>
      <c r="V295" s="4"/>
    </row>
    <row r="296">
      <c r="A296" s="1" t="s">
        <v>5071</v>
      </c>
      <c r="B296" s="1" t="s">
        <v>5072</v>
      </c>
      <c r="C296" s="1" t="s">
        <v>5073</v>
      </c>
      <c r="D296" s="1" t="s">
        <v>4835</v>
      </c>
      <c r="E296" s="1" t="s">
        <v>4836</v>
      </c>
      <c r="F296" s="1">
        <v>2.2438471E7</v>
      </c>
      <c r="G296" s="1">
        <v>613496.0</v>
      </c>
      <c r="H296" s="1">
        <v>13623.0</v>
      </c>
      <c r="I296" s="1">
        <v>2.12E7</v>
      </c>
      <c r="J296" s="1" t="s">
        <v>2468</v>
      </c>
      <c r="K296" s="5">
        <f t="shared" si="2"/>
        <v>1.058418443</v>
      </c>
      <c r="L296" s="6">
        <f t="shared" si="3"/>
        <v>385</v>
      </c>
      <c r="M296" s="6">
        <f t="shared" si="4"/>
        <v>58281.74286</v>
      </c>
      <c r="N296" s="7">
        <f t="shared" si="5"/>
        <v>0.002749138814</v>
      </c>
      <c r="O296" s="7"/>
      <c r="P296" s="4">
        <f t="shared" si="6"/>
        <v>1.486866894</v>
      </c>
      <c r="Q296" s="4">
        <f t="shared" si="7"/>
        <v>6</v>
      </c>
      <c r="R296" s="4">
        <f t="shared" si="8"/>
        <v>0</v>
      </c>
      <c r="S296" s="4">
        <f t="shared" si="9"/>
        <v>1.486866894</v>
      </c>
      <c r="T296" s="4">
        <f t="shared" si="10"/>
        <v>30</v>
      </c>
      <c r="U296" s="4">
        <f t="shared" si="1"/>
        <v>1.486866894</v>
      </c>
      <c r="V296" s="4"/>
    </row>
    <row r="297">
      <c r="A297" s="1" t="s">
        <v>5074</v>
      </c>
      <c r="B297" s="1" t="s">
        <v>5075</v>
      </c>
      <c r="C297" s="1" t="s">
        <v>5076</v>
      </c>
      <c r="D297" s="1" t="s">
        <v>4835</v>
      </c>
      <c r="E297" s="1" t="s">
        <v>4836</v>
      </c>
      <c r="F297" s="1">
        <v>1.2998934E7</v>
      </c>
      <c r="G297" s="1">
        <v>225543.0</v>
      </c>
      <c r="H297" s="1">
        <v>9144.0</v>
      </c>
      <c r="I297" s="1">
        <v>2.12E7</v>
      </c>
      <c r="J297" s="1" t="s">
        <v>2468</v>
      </c>
      <c r="K297" s="5">
        <f t="shared" si="2"/>
        <v>0.6131572642</v>
      </c>
      <c r="L297" s="6">
        <f t="shared" si="3"/>
        <v>392</v>
      </c>
      <c r="M297" s="6">
        <f t="shared" si="4"/>
        <v>33160.54592</v>
      </c>
      <c r="N297" s="7">
        <f t="shared" si="5"/>
        <v>0.001564176694</v>
      </c>
      <c r="O297" s="7"/>
      <c r="P297" s="4">
        <f t="shared" si="6"/>
        <v>0.6522229148</v>
      </c>
      <c r="Q297" s="4">
        <f t="shared" si="7"/>
        <v>6</v>
      </c>
      <c r="R297" s="4">
        <f t="shared" si="8"/>
        <v>0</v>
      </c>
      <c r="S297" s="4">
        <f t="shared" si="9"/>
        <v>0.6522229148</v>
      </c>
      <c r="T297" s="4">
        <f t="shared" si="10"/>
        <v>35</v>
      </c>
      <c r="U297" s="4">
        <f t="shared" si="1"/>
        <v>0.6522229148</v>
      </c>
      <c r="V297" s="4"/>
    </row>
    <row r="298">
      <c r="A298" s="1" t="s">
        <v>5077</v>
      </c>
      <c r="B298" s="1" t="s">
        <v>5078</v>
      </c>
      <c r="C298" s="1" t="s">
        <v>5079</v>
      </c>
      <c r="D298" s="1" t="s">
        <v>4835</v>
      </c>
      <c r="E298" s="1" t="s">
        <v>4836</v>
      </c>
      <c r="F298" s="1">
        <v>8230577.0</v>
      </c>
      <c r="G298" s="1">
        <v>319440.0</v>
      </c>
      <c r="H298" s="1">
        <v>2271.0</v>
      </c>
      <c r="I298" s="1">
        <v>2.12E7</v>
      </c>
      <c r="J298" s="1" t="s">
        <v>2468</v>
      </c>
      <c r="K298" s="5">
        <f t="shared" si="2"/>
        <v>0.3882347642</v>
      </c>
      <c r="L298" s="6">
        <f t="shared" si="3"/>
        <v>397</v>
      </c>
      <c r="M298" s="6">
        <f t="shared" si="4"/>
        <v>20731.93199</v>
      </c>
      <c r="N298" s="7">
        <f t="shared" si="5"/>
        <v>0.0009779213203</v>
      </c>
      <c r="O298" s="7"/>
      <c r="P298" s="4">
        <f t="shared" si="6"/>
        <v>0.2392860706</v>
      </c>
      <c r="Q298" s="4">
        <f t="shared" si="7"/>
        <v>8</v>
      </c>
      <c r="R298" s="4">
        <f t="shared" si="8"/>
        <v>0</v>
      </c>
      <c r="S298" s="4">
        <f t="shared" si="9"/>
        <v>0.2392860706</v>
      </c>
      <c r="T298" s="4">
        <f t="shared" si="10"/>
        <v>34</v>
      </c>
      <c r="U298" s="4">
        <f t="shared" si="1"/>
        <v>0.2392860706</v>
      </c>
      <c r="V298" s="4"/>
    </row>
    <row r="299">
      <c r="A299" s="1" t="s">
        <v>5080</v>
      </c>
      <c r="B299" s="1" t="s">
        <v>5081</v>
      </c>
      <c r="C299" s="1" t="s">
        <v>5082</v>
      </c>
      <c r="D299" s="1" t="s">
        <v>4835</v>
      </c>
      <c r="E299" s="1" t="s">
        <v>4836</v>
      </c>
      <c r="F299" s="1">
        <v>1.2520697E7</v>
      </c>
      <c r="G299" s="1">
        <v>283533.0</v>
      </c>
      <c r="H299" s="1">
        <v>9479.0</v>
      </c>
      <c r="I299" s="1">
        <v>2.12E7</v>
      </c>
      <c r="J299" s="1" t="s">
        <v>2468</v>
      </c>
      <c r="K299" s="5">
        <f t="shared" si="2"/>
        <v>0.5905989151</v>
      </c>
      <c r="L299" s="6">
        <f t="shared" si="3"/>
        <v>405</v>
      </c>
      <c r="M299" s="6">
        <f t="shared" si="4"/>
        <v>30915.30123</v>
      </c>
      <c r="N299" s="7">
        <f t="shared" si="5"/>
        <v>0.001458268926</v>
      </c>
      <c r="O299" s="7"/>
      <c r="P299" s="4">
        <f t="shared" si="6"/>
        <v>0.5776253563</v>
      </c>
      <c r="Q299" s="4">
        <f t="shared" si="7"/>
        <v>7</v>
      </c>
      <c r="R299" s="4">
        <f t="shared" si="8"/>
        <v>0</v>
      </c>
      <c r="S299" s="4">
        <f t="shared" si="9"/>
        <v>0.5776253563</v>
      </c>
      <c r="T299" s="4">
        <f t="shared" si="10"/>
        <v>41</v>
      </c>
      <c r="U299" s="4">
        <f t="shared" si="1"/>
        <v>0.5776253563</v>
      </c>
      <c r="V299" s="4"/>
    </row>
    <row r="300">
      <c r="A300" s="1" t="s">
        <v>5083</v>
      </c>
      <c r="B300" s="1" t="s">
        <v>5084</v>
      </c>
      <c r="C300" s="1" t="s">
        <v>5085</v>
      </c>
      <c r="D300" s="1" t="s">
        <v>4835</v>
      </c>
      <c r="E300" s="1" t="s">
        <v>4836</v>
      </c>
      <c r="F300" s="1">
        <v>1.2414272E7</v>
      </c>
      <c r="G300" s="1">
        <v>526995.0</v>
      </c>
      <c r="H300" s="1">
        <v>6306.0</v>
      </c>
      <c r="I300" s="1">
        <v>2.12E7</v>
      </c>
      <c r="J300" s="1" t="s">
        <v>2468</v>
      </c>
      <c r="K300" s="5">
        <f t="shared" si="2"/>
        <v>0.5855788679</v>
      </c>
      <c r="L300" s="6">
        <f t="shared" si="3"/>
        <v>406</v>
      </c>
      <c r="M300" s="6">
        <f t="shared" si="4"/>
        <v>30577.02463</v>
      </c>
      <c r="N300" s="7">
        <f t="shared" si="5"/>
        <v>0.001442312483</v>
      </c>
      <c r="O300" s="7"/>
      <c r="P300" s="4">
        <f t="shared" si="6"/>
        <v>0.566386221</v>
      </c>
      <c r="Q300" s="4">
        <f t="shared" si="7"/>
        <v>10</v>
      </c>
      <c r="R300" s="4">
        <f t="shared" si="8"/>
        <v>1</v>
      </c>
      <c r="S300" s="4">
        <f t="shared" si="9"/>
        <v>0.566386221</v>
      </c>
      <c r="T300" s="4">
        <f t="shared" si="10"/>
        <v>39</v>
      </c>
      <c r="U300" s="4">
        <f t="shared" si="1"/>
        <v>0.566386221</v>
      </c>
      <c r="V300" s="4"/>
    </row>
    <row r="301">
      <c r="A301" s="1" t="s">
        <v>5086</v>
      </c>
      <c r="B301" s="1" t="s">
        <v>5087</v>
      </c>
      <c r="C301" s="1" t="s">
        <v>5088</v>
      </c>
      <c r="D301" s="1" t="s">
        <v>4835</v>
      </c>
      <c r="E301" s="1" t="s">
        <v>4836</v>
      </c>
      <c r="F301" s="1">
        <v>6593472.0</v>
      </c>
      <c r="G301" s="1">
        <v>210945.0</v>
      </c>
      <c r="H301" s="1">
        <v>7279.0</v>
      </c>
      <c r="I301" s="1">
        <v>2.12E7</v>
      </c>
      <c r="J301" s="1" t="s">
        <v>2468</v>
      </c>
      <c r="K301" s="5">
        <f t="shared" si="2"/>
        <v>0.3110128302</v>
      </c>
      <c r="L301" s="6">
        <f t="shared" si="3"/>
        <v>413</v>
      </c>
      <c r="M301" s="6">
        <f t="shared" si="4"/>
        <v>15964.82324</v>
      </c>
      <c r="N301" s="7">
        <f t="shared" si="5"/>
        <v>0.0007530577002</v>
      </c>
      <c r="O301" s="7"/>
      <c r="P301" s="4">
        <f t="shared" si="6"/>
        <v>0.08090036057</v>
      </c>
      <c r="Q301" s="4">
        <f t="shared" si="7"/>
        <v>7</v>
      </c>
      <c r="R301" s="4">
        <f t="shared" si="8"/>
        <v>1</v>
      </c>
      <c r="S301" s="4">
        <f t="shared" si="9"/>
        <v>0.08090036057</v>
      </c>
      <c r="T301" s="4">
        <f t="shared" si="10"/>
        <v>34</v>
      </c>
      <c r="U301" s="4">
        <f t="shared" si="1"/>
        <v>0.08090036057</v>
      </c>
      <c r="V301" s="4"/>
    </row>
    <row r="302">
      <c r="A302" s="1" t="s">
        <v>5089</v>
      </c>
      <c r="B302" s="1" t="s">
        <v>5090</v>
      </c>
      <c r="C302" s="1" t="s">
        <v>5091</v>
      </c>
      <c r="D302" s="1" t="s">
        <v>4835</v>
      </c>
      <c r="E302" s="1" t="s">
        <v>4836</v>
      </c>
      <c r="F302" s="1">
        <v>1.2928521E7</v>
      </c>
      <c r="G302" s="1">
        <v>268114.0</v>
      </c>
      <c r="H302" s="1">
        <v>11294.0</v>
      </c>
      <c r="I302" s="1">
        <v>2.12E7</v>
      </c>
      <c r="J302" s="1" t="s">
        <v>2468</v>
      </c>
      <c r="K302" s="5">
        <f t="shared" si="2"/>
        <v>0.6098358962</v>
      </c>
      <c r="L302" s="6">
        <f t="shared" si="3"/>
        <v>430</v>
      </c>
      <c r="M302" s="6">
        <f t="shared" si="4"/>
        <v>30066.32791</v>
      </c>
      <c r="N302" s="7">
        <f t="shared" si="5"/>
        <v>0.001418223014</v>
      </c>
      <c r="O302" s="7"/>
      <c r="P302" s="4">
        <f t="shared" si="6"/>
        <v>0.5494184807</v>
      </c>
      <c r="Q302" s="4">
        <f t="shared" si="7"/>
        <v>5</v>
      </c>
      <c r="R302" s="4">
        <f t="shared" si="8"/>
        <v>0</v>
      </c>
      <c r="S302" s="4">
        <f t="shared" si="9"/>
        <v>0.5494184807</v>
      </c>
      <c r="T302" s="4">
        <f t="shared" si="10"/>
        <v>29</v>
      </c>
      <c r="U302" s="4">
        <f t="shared" si="1"/>
        <v>0.5494184807</v>
      </c>
      <c r="V302" s="4"/>
    </row>
    <row r="303">
      <c r="A303" s="1" t="s">
        <v>5092</v>
      </c>
      <c r="B303" s="1" t="s">
        <v>5093</v>
      </c>
      <c r="C303" s="1" t="s">
        <v>5094</v>
      </c>
      <c r="D303" s="1" t="s">
        <v>4835</v>
      </c>
      <c r="E303" s="1" t="s">
        <v>4836</v>
      </c>
      <c r="F303" s="1">
        <v>8426697.0</v>
      </c>
      <c r="G303" s="1">
        <v>225329.0</v>
      </c>
      <c r="H303" s="1">
        <v>4701.0</v>
      </c>
      <c r="I303" s="1">
        <v>2.12E7</v>
      </c>
      <c r="J303" s="1" t="s">
        <v>2468</v>
      </c>
      <c r="K303" s="5">
        <f t="shared" si="2"/>
        <v>0.3974857075</v>
      </c>
      <c r="L303" s="6">
        <f t="shared" si="3"/>
        <v>436</v>
      </c>
      <c r="M303" s="6">
        <f t="shared" si="4"/>
        <v>19327.2867</v>
      </c>
      <c r="N303" s="7">
        <f t="shared" si="5"/>
        <v>0.0009116644669</v>
      </c>
      <c r="O303" s="7"/>
      <c r="P303" s="4">
        <f t="shared" si="6"/>
        <v>0.1926171662</v>
      </c>
      <c r="Q303" s="4">
        <f t="shared" si="7"/>
        <v>9</v>
      </c>
      <c r="R303" s="4">
        <f t="shared" si="8"/>
        <v>0</v>
      </c>
      <c r="S303" s="4">
        <f t="shared" si="9"/>
        <v>0.1926171662</v>
      </c>
      <c r="T303" s="4">
        <f t="shared" si="10"/>
        <v>36</v>
      </c>
      <c r="U303" s="4">
        <f t="shared" si="1"/>
        <v>0.1926171662</v>
      </c>
      <c r="V303" s="4"/>
    </row>
    <row r="304">
      <c r="A304" s="1" t="s">
        <v>5095</v>
      </c>
      <c r="B304" s="1" t="s">
        <v>5096</v>
      </c>
      <c r="C304" s="1" t="s">
        <v>5097</v>
      </c>
      <c r="D304" s="1" t="s">
        <v>4835</v>
      </c>
      <c r="E304" s="1" t="s">
        <v>4836</v>
      </c>
      <c r="F304" s="1">
        <v>9357389.0</v>
      </c>
      <c r="G304" s="1">
        <v>180516.0</v>
      </c>
      <c r="H304" s="1">
        <v>11194.0</v>
      </c>
      <c r="I304" s="1">
        <v>2.12E7</v>
      </c>
      <c r="J304" s="1" t="s">
        <v>2468</v>
      </c>
      <c r="K304" s="5">
        <f t="shared" si="2"/>
        <v>0.4413862736</v>
      </c>
      <c r="L304" s="6">
        <f t="shared" si="3"/>
        <v>440</v>
      </c>
      <c r="M304" s="6">
        <f t="shared" si="4"/>
        <v>21266.79318</v>
      </c>
      <c r="N304" s="7">
        <f t="shared" si="5"/>
        <v>0.001003150622</v>
      </c>
      <c r="O304" s="7"/>
      <c r="P304" s="4">
        <f t="shared" si="6"/>
        <v>0.2570566678</v>
      </c>
      <c r="Q304" s="4">
        <f t="shared" si="7"/>
        <v>8</v>
      </c>
      <c r="R304" s="4">
        <f t="shared" si="8"/>
        <v>0</v>
      </c>
      <c r="S304" s="4">
        <f t="shared" si="9"/>
        <v>0.2570566678</v>
      </c>
      <c r="T304" s="4">
        <f t="shared" si="10"/>
        <v>35</v>
      </c>
      <c r="U304" s="4">
        <f t="shared" si="1"/>
        <v>0.2570566678</v>
      </c>
      <c r="V304" s="4"/>
    </row>
    <row r="305">
      <c r="A305" s="1" t="s">
        <v>5098</v>
      </c>
      <c r="B305" s="1" t="s">
        <v>5099</v>
      </c>
      <c r="C305" s="1" t="s">
        <v>5100</v>
      </c>
      <c r="D305" s="1" t="s">
        <v>4835</v>
      </c>
      <c r="E305" s="1" t="s">
        <v>4836</v>
      </c>
      <c r="F305" s="1">
        <v>8860362.0</v>
      </c>
      <c r="G305" s="1">
        <v>185164.0</v>
      </c>
      <c r="H305" s="1">
        <v>9678.0</v>
      </c>
      <c r="I305" s="1">
        <v>2.12E7</v>
      </c>
      <c r="J305" s="1" t="s">
        <v>2468</v>
      </c>
      <c r="K305" s="5">
        <f t="shared" si="2"/>
        <v>0.4179416038</v>
      </c>
      <c r="L305" s="6">
        <f t="shared" si="3"/>
        <v>459</v>
      </c>
      <c r="M305" s="6">
        <f t="shared" si="4"/>
        <v>19303.62092</v>
      </c>
      <c r="N305" s="7">
        <f t="shared" si="5"/>
        <v>0.0009105481564</v>
      </c>
      <c r="O305" s="7"/>
      <c r="P305" s="4">
        <f t="shared" si="6"/>
        <v>0.191830878</v>
      </c>
      <c r="Q305" s="4">
        <f t="shared" si="7"/>
        <v>8</v>
      </c>
      <c r="R305" s="4">
        <f t="shared" si="8"/>
        <v>0</v>
      </c>
      <c r="S305" s="4">
        <f t="shared" si="9"/>
        <v>0.191830878</v>
      </c>
      <c r="T305" s="4">
        <f t="shared" si="10"/>
        <v>45</v>
      </c>
      <c r="U305" s="4">
        <f t="shared" si="1"/>
        <v>0.191830878</v>
      </c>
      <c r="V305" s="4"/>
    </row>
    <row r="306">
      <c r="A306" s="1" t="s">
        <v>5101</v>
      </c>
      <c r="B306" s="1" t="s">
        <v>5102</v>
      </c>
      <c r="C306" s="1" t="s">
        <v>5103</v>
      </c>
      <c r="D306" s="1" t="s">
        <v>4835</v>
      </c>
      <c r="E306" s="1" t="s">
        <v>4836</v>
      </c>
      <c r="F306" s="1">
        <v>1.0723231E7</v>
      </c>
      <c r="G306" s="1">
        <v>293671.0</v>
      </c>
      <c r="H306" s="1">
        <v>2670.0</v>
      </c>
      <c r="I306" s="1">
        <v>2.12E7</v>
      </c>
      <c r="J306" s="1" t="s">
        <v>2468</v>
      </c>
      <c r="K306" s="5">
        <f t="shared" si="2"/>
        <v>0.505812783</v>
      </c>
      <c r="L306" s="6">
        <f t="shared" si="3"/>
        <v>470</v>
      </c>
      <c r="M306" s="6">
        <f t="shared" si="4"/>
        <v>22815.38511</v>
      </c>
      <c r="N306" s="7">
        <f t="shared" si="5"/>
        <v>0.001076197411</v>
      </c>
      <c r="O306" s="7"/>
      <c r="P306" s="4">
        <f t="shared" si="6"/>
        <v>0.3085081544</v>
      </c>
      <c r="Q306" s="4">
        <f t="shared" si="7"/>
        <v>6</v>
      </c>
      <c r="R306" s="4">
        <f t="shared" si="8"/>
        <v>1</v>
      </c>
      <c r="S306" s="4">
        <f t="shared" si="9"/>
        <v>0.3085081544</v>
      </c>
      <c r="T306" s="4">
        <f t="shared" si="10"/>
        <v>20</v>
      </c>
      <c r="U306" s="4">
        <f t="shared" si="1"/>
        <v>0.3085081544</v>
      </c>
      <c r="V306" s="4"/>
    </row>
    <row r="307">
      <c r="A307" s="1" t="s">
        <v>5104</v>
      </c>
      <c r="B307" s="1" t="s">
        <v>5105</v>
      </c>
      <c r="C307" s="1" t="s">
        <v>5106</v>
      </c>
      <c r="D307" s="1" t="s">
        <v>4835</v>
      </c>
      <c r="E307" s="1" t="s">
        <v>4836</v>
      </c>
      <c r="F307" s="1">
        <v>3.605715E7</v>
      </c>
      <c r="G307" s="1">
        <v>765753.0</v>
      </c>
      <c r="H307" s="1">
        <v>46070.0</v>
      </c>
      <c r="I307" s="1">
        <v>2.12E7</v>
      </c>
      <c r="J307" s="1" t="s">
        <v>2468</v>
      </c>
      <c r="K307" s="5">
        <f t="shared" si="2"/>
        <v>1.700808962</v>
      </c>
      <c r="L307" s="6">
        <f t="shared" si="3"/>
        <v>477</v>
      </c>
      <c r="M307" s="6">
        <f t="shared" si="4"/>
        <v>75591.50943</v>
      </c>
      <c r="N307" s="7">
        <f t="shared" si="5"/>
        <v>0.003565637237</v>
      </c>
      <c r="O307" s="7"/>
      <c r="P307" s="4">
        <f t="shared" si="6"/>
        <v>2.061978522</v>
      </c>
      <c r="Q307" s="4">
        <f t="shared" si="7"/>
        <v>7</v>
      </c>
      <c r="R307" s="4">
        <f t="shared" si="8"/>
        <v>0</v>
      </c>
      <c r="S307" s="4">
        <f t="shared" si="9"/>
        <v>2.061978522</v>
      </c>
      <c r="T307" s="4">
        <f t="shared" si="10"/>
        <v>37</v>
      </c>
      <c r="U307" s="4">
        <f t="shared" si="1"/>
        <v>2.061978522</v>
      </c>
      <c r="V307" s="4"/>
    </row>
    <row r="308">
      <c r="A308" s="1" t="s">
        <v>5107</v>
      </c>
      <c r="B308" s="1" t="s">
        <v>5108</v>
      </c>
      <c r="C308" s="1" t="s">
        <v>5109</v>
      </c>
      <c r="D308" s="1" t="s">
        <v>4835</v>
      </c>
      <c r="E308" s="1" t="s">
        <v>4836</v>
      </c>
      <c r="F308" s="1">
        <v>2.5555358E7</v>
      </c>
      <c r="G308" s="1">
        <v>429575.0</v>
      </c>
      <c r="H308" s="1">
        <v>21588.0</v>
      </c>
      <c r="I308" s="1">
        <v>2.12E7</v>
      </c>
      <c r="J308" s="1" t="s">
        <v>2468</v>
      </c>
      <c r="K308" s="5">
        <f t="shared" si="2"/>
        <v>1.205441415</v>
      </c>
      <c r="L308" s="6">
        <f t="shared" si="3"/>
        <v>495</v>
      </c>
      <c r="M308" s="6">
        <f t="shared" si="4"/>
        <v>51626.98586</v>
      </c>
      <c r="N308" s="7">
        <f t="shared" si="5"/>
        <v>0.002435235182</v>
      </c>
      <c r="O308" s="7"/>
      <c r="P308" s="4">
        <f t="shared" si="6"/>
        <v>1.265764656</v>
      </c>
      <c r="Q308" s="4">
        <f t="shared" si="7"/>
        <v>8</v>
      </c>
      <c r="R308" s="4">
        <f t="shared" si="8"/>
        <v>0</v>
      </c>
      <c r="S308" s="4">
        <f t="shared" si="9"/>
        <v>1.265764656</v>
      </c>
      <c r="T308" s="4">
        <f t="shared" si="10"/>
        <v>42</v>
      </c>
      <c r="U308" s="4">
        <f t="shared" si="1"/>
        <v>1.265764656</v>
      </c>
      <c r="V308" s="4"/>
    </row>
    <row r="309">
      <c r="A309" s="1" t="s">
        <v>5110</v>
      </c>
      <c r="B309" s="1" t="s">
        <v>5111</v>
      </c>
      <c r="C309" s="1" t="s">
        <v>5112</v>
      </c>
      <c r="D309" s="1" t="s">
        <v>4835</v>
      </c>
      <c r="E309" s="1" t="s">
        <v>4836</v>
      </c>
      <c r="F309" s="1">
        <v>3.1589509E7</v>
      </c>
      <c r="G309" s="1">
        <v>0.0</v>
      </c>
      <c r="H309" s="1">
        <v>21311.0</v>
      </c>
      <c r="I309" s="1">
        <v>2.12E7</v>
      </c>
      <c r="J309" s="1" t="s">
        <v>2468</v>
      </c>
      <c r="K309" s="5">
        <f t="shared" si="2"/>
        <v>1.490071179</v>
      </c>
      <c r="L309" s="6">
        <f t="shared" si="3"/>
        <v>499</v>
      </c>
      <c r="M309" s="6">
        <f t="shared" si="4"/>
        <v>63305.62926</v>
      </c>
      <c r="N309" s="7">
        <f t="shared" si="5"/>
        <v>0.002986114588</v>
      </c>
      <c r="O309" s="7"/>
      <c r="P309" s="4">
        <f t="shared" si="6"/>
        <v>1.653783962</v>
      </c>
      <c r="Q309" s="4">
        <f t="shared" si="7"/>
        <v>7</v>
      </c>
      <c r="R309" s="4">
        <f t="shared" si="8"/>
        <v>0</v>
      </c>
      <c r="S309" s="4">
        <f t="shared" si="9"/>
        <v>1.653783962</v>
      </c>
      <c r="T309" s="4">
        <f t="shared" si="10"/>
        <v>27</v>
      </c>
      <c r="U309" s="4">
        <f t="shared" si="1"/>
        <v>1.653783962</v>
      </c>
      <c r="V309" s="4"/>
    </row>
    <row r="310">
      <c r="A310" s="1" t="s">
        <v>5113</v>
      </c>
      <c r="B310" s="1" t="s">
        <v>5114</v>
      </c>
      <c r="C310" s="1" t="s">
        <v>5115</v>
      </c>
      <c r="D310" s="1" t="s">
        <v>4835</v>
      </c>
      <c r="E310" s="1" t="s">
        <v>4836</v>
      </c>
      <c r="F310" s="1">
        <v>1.3595392E7</v>
      </c>
      <c r="G310" s="1">
        <v>291342.0</v>
      </c>
      <c r="H310" s="1">
        <v>15954.0</v>
      </c>
      <c r="I310" s="1">
        <v>2.12E7</v>
      </c>
      <c r="J310" s="1" t="s">
        <v>2468</v>
      </c>
      <c r="K310" s="5">
        <f t="shared" si="2"/>
        <v>0.6412920755</v>
      </c>
      <c r="L310" s="6">
        <f t="shared" si="3"/>
        <v>507</v>
      </c>
      <c r="M310" s="6">
        <f t="shared" si="4"/>
        <v>26815.36884</v>
      </c>
      <c r="N310" s="7">
        <f t="shared" si="5"/>
        <v>0.001264875889</v>
      </c>
      <c r="O310" s="7"/>
      <c r="P310" s="4">
        <f t="shared" si="6"/>
        <v>0.4414063736</v>
      </c>
      <c r="Q310" s="4">
        <f t="shared" si="7"/>
        <v>5</v>
      </c>
      <c r="R310" s="4">
        <f t="shared" si="8"/>
        <v>0</v>
      </c>
      <c r="S310" s="4">
        <f t="shared" si="9"/>
        <v>0.4414063736</v>
      </c>
      <c r="T310" s="4">
        <f t="shared" si="10"/>
        <v>31</v>
      </c>
      <c r="U310" s="4">
        <f t="shared" si="1"/>
        <v>0.4414063736</v>
      </c>
      <c r="V310" s="4"/>
    </row>
    <row r="311">
      <c r="A311" s="1" t="s">
        <v>5116</v>
      </c>
      <c r="B311" s="1" t="s">
        <v>5117</v>
      </c>
      <c r="C311" s="1" t="s">
        <v>5118</v>
      </c>
      <c r="D311" s="1" t="s">
        <v>4835</v>
      </c>
      <c r="E311" s="1" t="s">
        <v>4836</v>
      </c>
      <c r="F311" s="1">
        <v>1.0444103E7</v>
      </c>
      <c r="G311" s="1">
        <v>170836.0</v>
      </c>
      <c r="H311" s="1">
        <v>5127.0</v>
      </c>
      <c r="I311" s="1">
        <v>2.12E7</v>
      </c>
      <c r="J311" s="1" t="s">
        <v>2468</v>
      </c>
      <c r="K311" s="5">
        <f t="shared" si="2"/>
        <v>0.4926463679</v>
      </c>
      <c r="L311" s="6">
        <f t="shared" si="3"/>
        <v>513</v>
      </c>
      <c r="M311" s="6">
        <f t="shared" si="4"/>
        <v>20358.87524</v>
      </c>
      <c r="N311" s="7">
        <f t="shared" si="5"/>
        <v>0.0009603243039</v>
      </c>
      <c r="O311" s="7"/>
      <c r="P311" s="4">
        <f t="shared" si="6"/>
        <v>0.2268913758</v>
      </c>
      <c r="Q311" s="4">
        <f t="shared" si="7"/>
        <v>6</v>
      </c>
      <c r="R311" s="4">
        <f t="shared" si="8"/>
        <v>1</v>
      </c>
      <c r="S311" s="4">
        <f t="shared" si="9"/>
        <v>0.2268913758</v>
      </c>
      <c r="T311" s="4">
        <f t="shared" si="10"/>
        <v>26</v>
      </c>
      <c r="U311" s="4">
        <f t="shared" si="1"/>
        <v>0.2268913758</v>
      </c>
      <c r="V311" s="4"/>
    </row>
    <row r="312">
      <c r="A312" s="1" t="s">
        <v>5119</v>
      </c>
      <c r="B312" s="1" t="s">
        <v>5120</v>
      </c>
      <c r="C312" s="1" t="s">
        <v>5121</v>
      </c>
      <c r="D312" s="1" t="s">
        <v>4835</v>
      </c>
      <c r="E312" s="1" t="s">
        <v>4836</v>
      </c>
      <c r="F312" s="1">
        <v>1.4630328E7</v>
      </c>
      <c r="G312" s="1">
        <v>290885.0</v>
      </c>
      <c r="H312" s="1">
        <v>20180.0</v>
      </c>
      <c r="I312" s="1">
        <v>2.12E7</v>
      </c>
      <c r="J312" s="1" t="s">
        <v>2468</v>
      </c>
      <c r="K312" s="5">
        <f t="shared" si="2"/>
        <v>0.6901098113</v>
      </c>
      <c r="L312" s="6">
        <f t="shared" si="3"/>
        <v>519</v>
      </c>
      <c r="M312" s="6">
        <f t="shared" si="4"/>
        <v>28189.45665</v>
      </c>
      <c r="N312" s="7">
        <f t="shared" si="5"/>
        <v>0.001329691351</v>
      </c>
      <c r="O312" s="7"/>
      <c r="P312" s="4">
        <f t="shared" si="6"/>
        <v>0.487060015</v>
      </c>
      <c r="Q312" s="4">
        <f t="shared" si="7"/>
        <v>6</v>
      </c>
      <c r="R312" s="4">
        <f t="shared" si="8"/>
        <v>0</v>
      </c>
      <c r="S312" s="4">
        <f t="shared" si="9"/>
        <v>0.487060015</v>
      </c>
      <c r="T312" s="4">
        <f t="shared" si="10"/>
        <v>29</v>
      </c>
      <c r="U312" s="4">
        <f t="shared" si="1"/>
        <v>0.487060015</v>
      </c>
      <c r="V312" s="4"/>
    </row>
    <row r="313">
      <c r="A313" s="1" t="s">
        <v>5122</v>
      </c>
      <c r="B313" s="1" t="s">
        <v>5123</v>
      </c>
      <c r="C313" s="1" t="s">
        <v>5124</v>
      </c>
      <c r="D313" s="1" t="s">
        <v>4835</v>
      </c>
      <c r="E313" s="1" t="s">
        <v>4836</v>
      </c>
      <c r="F313" s="1">
        <v>7850964.0</v>
      </c>
      <c r="G313" s="1">
        <v>213781.0</v>
      </c>
      <c r="H313" s="1">
        <v>2950.0</v>
      </c>
      <c r="I313" s="1">
        <v>2.12E7</v>
      </c>
      <c r="J313" s="1" t="s">
        <v>2468</v>
      </c>
      <c r="K313" s="5">
        <f t="shared" si="2"/>
        <v>0.3703284906</v>
      </c>
      <c r="L313" s="6">
        <f t="shared" si="3"/>
        <v>528</v>
      </c>
      <c r="M313" s="6">
        <f t="shared" si="4"/>
        <v>14869.25</v>
      </c>
      <c r="N313" s="7">
        <f t="shared" si="5"/>
        <v>0.000701379717</v>
      </c>
      <c r="O313" s="7"/>
      <c r="P313" s="4">
        <f t="shared" si="6"/>
        <v>0.04450027921</v>
      </c>
      <c r="Q313" s="4">
        <f t="shared" si="7"/>
        <v>6</v>
      </c>
      <c r="R313" s="4">
        <f t="shared" si="8"/>
        <v>1</v>
      </c>
      <c r="S313" s="4">
        <f t="shared" si="9"/>
        <v>0.04450027921</v>
      </c>
      <c r="T313" s="4">
        <f t="shared" si="10"/>
        <v>30</v>
      </c>
      <c r="U313" s="4">
        <f t="shared" si="1"/>
        <v>0.04450027921</v>
      </c>
      <c r="V313" s="4"/>
    </row>
    <row r="314">
      <c r="A314" s="1" t="s">
        <v>5125</v>
      </c>
      <c r="B314" s="1" t="s">
        <v>5126</v>
      </c>
      <c r="C314" s="1" t="s">
        <v>5127</v>
      </c>
      <c r="D314" s="1" t="s">
        <v>4835</v>
      </c>
      <c r="E314" s="1" t="s">
        <v>4836</v>
      </c>
      <c r="F314" s="1">
        <v>1.1401267E7</v>
      </c>
      <c r="G314" s="1">
        <v>188752.0</v>
      </c>
      <c r="H314" s="1">
        <v>9294.0</v>
      </c>
      <c r="I314" s="1">
        <v>2.12E7</v>
      </c>
      <c r="J314" s="1" t="s">
        <v>2468</v>
      </c>
      <c r="K314" s="5">
        <f t="shared" si="2"/>
        <v>0.5377956132</v>
      </c>
      <c r="L314" s="6">
        <f t="shared" si="3"/>
        <v>532</v>
      </c>
      <c r="M314" s="6">
        <f t="shared" si="4"/>
        <v>21430.95301</v>
      </c>
      <c r="N314" s="7">
        <f t="shared" si="5"/>
        <v>0.00101089401</v>
      </c>
      <c r="O314" s="7"/>
      <c r="P314" s="4">
        <f t="shared" si="6"/>
        <v>0.2625108271</v>
      </c>
      <c r="Q314" s="4">
        <f t="shared" si="7"/>
        <v>10</v>
      </c>
      <c r="R314" s="4">
        <f t="shared" si="8"/>
        <v>0</v>
      </c>
      <c r="S314" s="4">
        <f t="shared" si="9"/>
        <v>0.2625108271</v>
      </c>
      <c r="T314" s="4">
        <f t="shared" si="10"/>
        <v>57</v>
      </c>
      <c r="U314" s="4">
        <f t="shared" si="1"/>
        <v>0.2625108271</v>
      </c>
      <c r="V314" s="4"/>
    </row>
    <row r="315">
      <c r="A315" s="1" t="s">
        <v>5128</v>
      </c>
      <c r="B315" s="1" t="s">
        <v>5129</v>
      </c>
      <c r="C315" s="1" t="s">
        <v>5130</v>
      </c>
      <c r="D315" s="1" t="s">
        <v>4835</v>
      </c>
      <c r="E315" s="1" t="s">
        <v>4836</v>
      </c>
      <c r="F315" s="1">
        <v>1.9535888E7</v>
      </c>
      <c r="G315" s="1">
        <v>405995.0</v>
      </c>
      <c r="H315" s="1">
        <v>22890.0</v>
      </c>
      <c r="I315" s="1">
        <v>2.12E7</v>
      </c>
      <c r="J315" s="1" t="s">
        <v>2468</v>
      </c>
      <c r="K315" s="5">
        <f t="shared" si="2"/>
        <v>0.9215041509</v>
      </c>
      <c r="L315" s="6">
        <f t="shared" si="3"/>
        <v>547</v>
      </c>
      <c r="M315" s="6">
        <f t="shared" si="4"/>
        <v>35714.60329</v>
      </c>
      <c r="N315" s="7">
        <f t="shared" si="5"/>
        <v>0.001684651099</v>
      </c>
      <c r="O315" s="7"/>
      <c r="P315" s="4">
        <f t="shared" si="6"/>
        <v>0.737080679</v>
      </c>
      <c r="Q315" s="4">
        <f t="shared" si="7"/>
        <v>6</v>
      </c>
      <c r="R315" s="4">
        <f t="shared" si="8"/>
        <v>0</v>
      </c>
      <c r="S315" s="4">
        <f t="shared" si="9"/>
        <v>0.737080679</v>
      </c>
      <c r="T315" s="4">
        <f t="shared" si="10"/>
        <v>40</v>
      </c>
      <c r="U315" s="4">
        <f t="shared" si="1"/>
        <v>0.737080679</v>
      </c>
      <c r="V315" s="4"/>
    </row>
    <row r="316">
      <c r="A316" s="1" t="s">
        <v>5451</v>
      </c>
      <c r="B316" s="1" t="s">
        <v>5452</v>
      </c>
      <c r="C316" s="1" t="s">
        <v>5453</v>
      </c>
      <c r="D316" s="1" t="s">
        <v>5437</v>
      </c>
      <c r="E316" s="1" t="s">
        <v>5438</v>
      </c>
      <c r="F316" s="1">
        <v>122305.0</v>
      </c>
      <c r="G316" s="1">
        <v>4292.0</v>
      </c>
      <c r="H316" s="1">
        <v>133.0</v>
      </c>
      <c r="I316" s="1">
        <v>2.28E7</v>
      </c>
      <c r="J316" s="1" t="s">
        <v>2468</v>
      </c>
      <c r="K316" s="5">
        <f t="shared" si="2"/>
        <v>0.005364254386</v>
      </c>
      <c r="L316" s="6">
        <f t="shared" si="3"/>
        <v>44</v>
      </c>
      <c r="M316" s="6">
        <f t="shared" si="4"/>
        <v>2779.659091</v>
      </c>
      <c r="N316" s="7">
        <f t="shared" si="5"/>
        <v>0.0001219148724</v>
      </c>
      <c r="O316" s="7"/>
      <c r="P316" s="4">
        <f t="shared" si="6"/>
        <v>-0.3636535644</v>
      </c>
      <c r="Q316" s="4">
        <f t="shared" si="7"/>
        <v>18</v>
      </c>
      <c r="R316" s="4">
        <f t="shared" si="8"/>
        <v>0</v>
      </c>
      <c r="S316" s="4">
        <f t="shared" si="9"/>
        <v>-0.3636535644</v>
      </c>
      <c r="T316" s="4">
        <f t="shared" si="10"/>
        <v>80</v>
      </c>
      <c r="U316" s="4">
        <f t="shared" si="1"/>
        <v>-0.3636535644</v>
      </c>
      <c r="V316" s="4"/>
    </row>
    <row r="317">
      <c r="A317" s="1" t="s">
        <v>5454</v>
      </c>
      <c r="B317" s="1" t="s">
        <v>5455</v>
      </c>
      <c r="C317" s="1" t="s">
        <v>5456</v>
      </c>
      <c r="D317" s="1" t="s">
        <v>5437</v>
      </c>
      <c r="E317" s="1" t="s">
        <v>5438</v>
      </c>
      <c r="F317" s="1">
        <v>462749.0</v>
      </c>
      <c r="G317" s="1">
        <v>15102.0</v>
      </c>
      <c r="H317" s="1">
        <v>672.0</v>
      </c>
      <c r="I317" s="1">
        <v>2.28E7</v>
      </c>
      <c r="J317" s="1" t="s">
        <v>2468</v>
      </c>
      <c r="K317" s="5">
        <f t="shared" si="2"/>
        <v>0.02029600877</v>
      </c>
      <c r="L317" s="6">
        <f t="shared" si="3"/>
        <v>51</v>
      </c>
      <c r="M317" s="6">
        <f t="shared" si="4"/>
        <v>9073.509804</v>
      </c>
      <c r="N317" s="7">
        <f t="shared" si="5"/>
        <v>0.0003979609563</v>
      </c>
      <c r="O317" s="7"/>
      <c r="P317" s="4">
        <f t="shared" si="6"/>
        <v>-0.1692167988</v>
      </c>
      <c r="Q317" s="4">
        <f t="shared" si="7"/>
        <v>9</v>
      </c>
      <c r="R317" s="4">
        <f t="shared" si="8"/>
        <v>1</v>
      </c>
      <c r="S317" s="4">
        <f t="shared" si="9"/>
        <v>-0.1692167988</v>
      </c>
      <c r="T317" s="4">
        <f t="shared" si="10"/>
        <v>41</v>
      </c>
      <c r="U317" s="4">
        <f t="shared" si="1"/>
        <v>-0.1692167988</v>
      </c>
      <c r="V317" s="4"/>
    </row>
    <row r="318">
      <c r="A318" s="1" t="s">
        <v>5457</v>
      </c>
      <c r="B318" s="1" t="s">
        <v>5458</v>
      </c>
      <c r="C318" s="1" t="s">
        <v>5459</v>
      </c>
      <c r="D318" s="1" t="s">
        <v>5437</v>
      </c>
      <c r="E318" s="1" t="s">
        <v>5438</v>
      </c>
      <c r="F318" s="1">
        <v>383511.0</v>
      </c>
      <c r="G318" s="1">
        <v>11157.0</v>
      </c>
      <c r="H318" s="1">
        <v>429.0</v>
      </c>
      <c r="I318" s="1">
        <v>2.28E7</v>
      </c>
      <c r="J318" s="1" t="s">
        <v>2468</v>
      </c>
      <c r="K318" s="5">
        <f t="shared" si="2"/>
        <v>0.01682065789</v>
      </c>
      <c r="L318" s="6">
        <f t="shared" si="3"/>
        <v>58</v>
      </c>
      <c r="M318" s="6">
        <f t="shared" si="4"/>
        <v>6612.258621</v>
      </c>
      <c r="N318" s="7">
        <f t="shared" si="5"/>
        <v>0.000290011343</v>
      </c>
      <c r="O318" s="7"/>
      <c r="P318" s="4">
        <f t="shared" si="6"/>
        <v>-0.2452525583</v>
      </c>
      <c r="Q318" s="4">
        <f t="shared" si="7"/>
        <v>17</v>
      </c>
      <c r="R318" s="4">
        <f t="shared" si="8"/>
        <v>1</v>
      </c>
      <c r="S318" s="4">
        <f t="shared" si="9"/>
        <v>-0.2452525583</v>
      </c>
      <c r="T318" s="4">
        <f t="shared" si="10"/>
        <v>76</v>
      </c>
      <c r="U318" s="4">
        <f t="shared" si="1"/>
        <v>-0.2452525583</v>
      </c>
      <c r="V318" s="4"/>
    </row>
    <row r="319">
      <c r="A319" s="1" t="s">
        <v>5460</v>
      </c>
      <c r="B319" s="1" t="s">
        <v>5461</v>
      </c>
      <c r="C319" s="1" t="s">
        <v>5462</v>
      </c>
      <c r="D319" s="1" t="s">
        <v>5437</v>
      </c>
      <c r="E319" s="1" t="s">
        <v>5438</v>
      </c>
      <c r="F319" s="1">
        <v>340202.0</v>
      </c>
      <c r="G319" s="1">
        <v>9243.0</v>
      </c>
      <c r="H319" s="1">
        <v>326.0</v>
      </c>
      <c r="I319" s="1">
        <v>2.28E7</v>
      </c>
      <c r="J319" s="1" t="s">
        <v>2468</v>
      </c>
      <c r="K319" s="5">
        <f t="shared" si="2"/>
        <v>0.01492114035</v>
      </c>
      <c r="L319" s="6">
        <f t="shared" si="3"/>
        <v>65</v>
      </c>
      <c r="M319" s="6">
        <f t="shared" si="4"/>
        <v>5233.876923</v>
      </c>
      <c r="N319" s="7">
        <f t="shared" si="5"/>
        <v>0.0002295560054</v>
      </c>
      <c r="O319" s="7"/>
      <c r="P319" s="4">
        <f t="shared" si="6"/>
        <v>-0.2878350871</v>
      </c>
      <c r="Q319" s="4">
        <f t="shared" si="7"/>
        <v>13</v>
      </c>
      <c r="R319" s="4">
        <f t="shared" si="8"/>
        <v>0</v>
      </c>
      <c r="S319" s="4">
        <f t="shared" si="9"/>
        <v>-0.2878350871</v>
      </c>
      <c r="T319" s="4">
        <f t="shared" si="10"/>
        <v>78</v>
      </c>
      <c r="U319" s="4">
        <f t="shared" si="1"/>
        <v>-0.2878350871</v>
      </c>
      <c r="V319" s="4"/>
    </row>
    <row r="320">
      <c r="A320" s="1" t="s">
        <v>5463</v>
      </c>
      <c r="B320" s="1" t="s">
        <v>5464</v>
      </c>
      <c r="C320" s="1" t="s">
        <v>5465</v>
      </c>
      <c r="D320" s="1" t="s">
        <v>5437</v>
      </c>
      <c r="E320" s="1" t="s">
        <v>5438</v>
      </c>
      <c r="F320" s="1">
        <v>332576.0</v>
      </c>
      <c r="G320" s="1">
        <v>11658.0</v>
      </c>
      <c r="H320" s="1">
        <v>423.0</v>
      </c>
      <c r="I320" s="1">
        <v>2.28E7</v>
      </c>
      <c r="J320" s="1" t="s">
        <v>2468</v>
      </c>
      <c r="K320" s="5">
        <f t="shared" si="2"/>
        <v>0.01458666667</v>
      </c>
      <c r="L320" s="6">
        <f t="shared" si="3"/>
        <v>70</v>
      </c>
      <c r="M320" s="6">
        <f t="shared" si="4"/>
        <v>4751.085714</v>
      </c>
      <c r="N320" s="7">
        <f t="shared" si="5"/>
        <v>0.0002083809524</v>
      </c>
      <c r="O320" s="7"/>
      <c r="P320" s="4">
        <f t="shared" si="6"/>
        <v>-0.30275002</v>
      </c>
      <c r="Q320" s="4">
        <f t="shared" si="7"/>
        <v>7</v>
      </c>
      <c r="R320" s="4">
        <f t="shared" si="8"/>
        <v>0</v>
      </c>
      <c r="S320" s="4">
        <f t="shared" si="9"/>
        <v>-0.30275002</v>
      </c>
      <c r="T320" s="4">
        <f t="shared" si="10"/>
        <v>29</v>
      </c>
      <c r="U320" s="4">
        <f t="shared" si="1"/>
        <v>-0.30275002</v>
      </c>
      <c r="V320" s="4"/>
    </row>
    <row r="321">
      <c r="A321" s="1" t="s">
        <v>5466</v>
      </c>
      <c r="B321" s="1" t="s">
        <v>5467</v>
      </c>
      <c r="C321" s="1" t="s">
        <v>5468</v>
      </c>
      <c r="D321" s="1" t="s">
        <v>5437</v>
      </c>
      <c r="E321" s="1" t="s">
        <v>5438</v>
      </c>
      <c r="F321" s="1">
        <v>173235.0</v>
      </c>
      <c r="G321" s="1">
        <v>3952.0</v>
      </c>
      <c r="H321" s="1">
        <v>113.0</v>
      </c>
      <c r="I321" s="1">
        <v>2.28E7</v>
      </c>
      <c r="J321" s="1" t="s">
        <v>2468</v>
      </c>
      <c r="K321" s="5">
        <f t="shared" si="2"/>
        <v>0.007598026316</v>
      </c>
      <c r="L321" s="6">
        <f t="shared" si="3"/>
        <v>72</v>
      </c>
      <c r="M321" s="6">
        <f t="shared" si="4"/>
        <v>2406.041667</v>
      </c>
      <c r="N321" s="7">
        <f t="shared" si="5"/>
        <v>0.0001055281433</v>
      </c>
      <c r="O321" s="7"/>
      <c r="P321" s="4">
        <f t="shared" si="6"/>
        <v>-0.3751957771</v>
      </c>
      <c r="Q321" s="4">
        <f t="shared" si="7"/>
        <v>11</v>
      </c>
      <c r="R321" s="4">
        <f t="shared" si="8"/>
        <v>0</v>
      </c>
      <c r="S321" s="4">
        <f t="shared" si="9"/>
        <v>-0.3751957771</v>
      </c>
      <c r="T321" s="4">
        <f t="shared" si="10"/>
        <v>51</v>
      </c>
      <c r="U321" s="4">
        <f t="shared" si="1"/>
        <v>-0.3751957771</v>
      </c>
      <c r="V321" s="4"/>
    </row>
    <row r="322">
      <c r="A322" s="1" t="s">
        <v>5469</v>
      </c>
      <c r="B322" s="1" t="s">
        <v>5470</v>
      </c>
      <c r="C322" s="1" t="s">
        <v>5471</v>
      </c>
      <c r="D322" s="1" t="s">
        <v>5437</v>
      </c>
      <c r="E322" s="1" t="s">
        <v>5438</v>
      </c>
      <c r="F322" s="1">
        <v>291436.0</v>
      </c>
      <c r="G322" s="1">
        <v>8862.0</v>
      </c>
      <c r="H322" s="1">
        <v>313.0</v>
      </c>
      <c r="I322" s="1">
        <v>2.28E7</v>
      </c>
      <c r="J322" s="1" t="s">
        <v>2468</v>
      </c>
      <c r="K322" s="5">
        <f t="shared" si="2"/>
        <v>0.0127822807</v>
      </c>
      <c r="L322" s="6">
        <f t="shared" si="3"/>
        <v>77</v>
      </c>
      <c r="M322" s="6">
        <f t="shared" si="4"/>
        <v>3784.883117</v>
      </c>
      <c r="N322" s="7">
        <f t="shared" si="5"/>
        <v>0.0001660036455</v>
      </c>
      <c r="O322" s="7"/>
      <c r="P322" s="4">
        <f t="shared" si="6"/>
        <v>-0.3325990451</v>
      </c>
      <c r="Q322" s="4">
        <f t="shared" si="7"/>
        <v>14</v>
      </c>
      <c r="R322" s="4">
        <f t="shared" si="8"/>
        <v>1</v>
      </c>
      <c r="S322" s="4">
        <f t="shared" si="9"/>
        <v>-0.3325990451</v>
      </c>
      <c r="T322" s="4">
        <f t="shared" si="10"/>
        <v>67</v>
      </c>
      <c r="U322" s="4">
        <f t="shared" si="1"/>
        <v>-0.3325990451</v>
      </c>
      <c r="V322" s="4"/>
    </row>
    <row r="323">
      <c r="A323" s="1" t="s">
        <v>5472</v>
      </c>
      <c r="B323" s="1" t="s">
        <v>5473</v>
      </c>
      <c r="C323" s="1" t="s">
        <v>5474</v>
      </c>
      <c r="D323" s="1" t="s">
        <v>5437</v>
      </c>
      <c r="E323" s="1" t="s">
        <v>5438</v>
      </c>
      <c r="F323" s="1">
        <v>283892.0</v>
      </c>
      <c r="G323" s="1">
        <v>8808.0</v>
      </c>
      <c r="H323" s="1">
        <v>299.0</v>
      </c>
      <c r="I323" s="1">
        <v>2.28E7</v>
      </c>
      <c r="J323" s="1" t="s">
        <v>2468</v>
      </c>
      <c r="K323" s="5">
        <f t="shared" si="2"/>
        <v>0.01245140351</v>
      </c>
      <c r="L323" s="6">
        <f t="shared" si="3"/>
        <v>79</v>
      </c>
      <c r="M323" s="6">
        <f t="shared" si="4"/>
        <v>3593.56962</v>
      </c>
      <c r="N323" s="7">
        <f t="shared" si="5"/>
        <v>0.0001576127026</v>
      </c>
      <c r="O323" s="7"/>
      <c r="P323" s="4">
        <f t="shared" si="6"/>
        <v>-0.3385093184</v>
      </c>
      <c r="Q323" s="4">
        <f t="shared" si="7"/>
        <v>12</v>
      </c>
      <c r="R323" s="4">
        <f t="shared" si="8"/>
        <v>0</v>
      </c>
      <c r="S323" s="4">
        <f t="shared" si="9"/>
        <v>-0.3385093184</v>
      </c>
      <c r="T323" s="4">
        <f t="shared" si="10"/>
        <v>51</v>
      </c>
      <c r="U323" s="4">
        <f t="shared" si="1"/>
        <v>-0.3385093184</v>
      </c>
      <c r="V323" s="4"/>
    </row>
    <row r="324">
      <c r="A324" s="1" t="s">
        <v>5475</v>
      </c>
      <c r="B324" s="1" t="s">
        <v>5476</v>
      </c>
      <c r="C324" s="1" t="s">
        <v>5477</v>
      </c>
      <c r="D324" s="1" t="s">
        <v>5437</v>
      </c>
      <c r="E324" s="1" t="s">
        <v>5438</v>
      </c>
      <c r="F324" s="1">
        <v>231069.0</v>
      </c>
      <c r="G324" s="1">
        <v>6562.0</v>
      </c>
      <c r="H324" s="1">
        <v>187.0</v>
      </c>
      <c r="I324" s="1">
        <v>2.28E7</v>
      </c>
      <c r="J324" s="1" t="s">
        <v>2468</v>
      </c>
      <c r="K324" s="5">
        <f t="shared" si="2"/>
        <v>0.01013460526</v>
      </c>
      <c r="L324" s="6">
        <f t="shared" si="3"/>
        <v>84</v>
      </c>
      <c r="M324" s="6">
        <f t="shared" si="4"/>
        <v>2750.821429</v>
      </c>
      <c r="N324" s="7">
        <f t="shared" si="5"/>
        <v>0.0001206500627</v>
      </c>
      <c r="O324" s="7"/>
      <c r="P324" s="4">
        <f t="shared" si="6"/>
        <v>-0.3645444501</v>
      </c>
      <c r="Q324" s="4">
        <f t="shared" si="7"/>
        <v>14</v>
      </c>
      <c r="R324" s="4">
        <f t="shared" si="8"/>
        <v>0</v>
      </c>
      <c r="S324" s="4">
        <f t="shared" si="9"/>
        <v>-0.3645444501</v>
      </c>
      <c r="T324" s="4">
        <f t="shared" si="10"/>
        <v>71</v>
      </c>
      <c r="U324" s="4">
        <f t="shared" si="1"/>
        <v>-0.3645444501</v>
      </c>
      <c r="V324" s="4"/>
    </row>
    <row r="325">
      <c r="A325" s="1" t="s">
        <v>5478</v>
      </c>
      <c r="B325" s="1" t="s">
        <v>5479</v>
      </c>
      <c r="C325" s="1" t="s">
        <v>5480</v>
      </c>
      <c r="D325" s="1" t="s">
        <v>5437</v>
      </c>
      <c r="E325" s="1" t="s">
        <v>5438</v>
      </c>
      <c r="F325" s="1">
        <v>157555.0</v>
      </c>
      <c r="G325" s="1">
        <v>5109.0</v>
      </c>
      <c r="H325" s="1">
        <v>170.0</v>
      </c>
      <c r="I325" s="1">
        <v>2.28E7</v>
      </c>
      <c r="J325" s="1" t="s">
        <v>2468</v>
      </c>
      <c r="K325" s="5">
        <f t="shared" si="2"/>
        <v>0.006910307018</v>
      </c>
      <c r="L325" s="6">
        <f t="shared" si="3"/>
        <v>86</v>
      </c>
      <c r="M325" s="6">
        <f t="shared" si="4"/>
        <v>1832.034884</v>
      </c>
      <c r="N325" s="7">
        <f t="shared" si="5"/>
        <v>0.00008035240718</v>
      </c>
      <c r="O325" s="7"/>
      <c r="P325" s="4">
        <f t="shared" si="6"/>
        <v>-0.3929286448</v>
      </c>
      <c r="Q325" s="4">
        <f t="shared" si="7"/>
        <v>12</v>
      </c>
      <c r="R325" s="4">
        <f t="shared" si="8"/>
        <v>1</v>
      </c>
      <c r="S325" s="4">
        <f t="shared" si="9"/>
        <v>-0.3929286448</v>
      </c>
      <c r="T325" s="4">
        <f t="shared" si="10"/>
        <v>42</v>
      </c>
      <c r="U325" s="4">
        <f t="shared" si="1"/>
        <v>-0.3929286448</v>
      </c>
      <c r="V325" s="4"/>
    </row>
    <row r="326">
      <c r="A326" s="1" t="s">
        <v>5481</v>
      </c>
      <c r="B326" s="1" t="s">
        <v>5482</v>
      </c>
      <c r="C326" s="1" t="s">
        <v>5483</v>
      </c>
      <c r="D326" s="1" t="s">
        <v>5437</v>
      </c>
      <c r="E326" s="1" t="s">
        <v>5438</v>
      </c>
      <c r="F326" s="1">
        <v>337199.0</v>
      </c>
      <c r="G326" s="1">
        <v>13135.0</v>
      </c>
      <c r="H326" s="1">
        <v>447.0</v>
      </c>
      <c r="I326" s="1">
        <v>2.28E7</v>
      </c>
      <c r="J326" s="1" t="s">
        <v>2468</v>
      </c>
      <c r="K326" s="5">
        <f t="shared" si="2"/>
        <v>0.01478942982</v>
      </c>
      <c r="L326" s="6">
        <f t="shared" si="3"/>
        <v>91</v>
      </c>
      <c r="M326" s="6">
        <f t="shared" si="4"/>
        <v>3705.483516</v>
      </c>
      <c r="N326" s="7">
        <f t="shared" si="5"/>
        <v>0.0001625212069</v>
      </c>
      <c r="O326" s="7"/>
      <c r="P326" s="4">
        <f t="shared" si="6"/>
        <v>-0.3350519475</v>
      </c>
      <c r="Q326" s="4">
        <f t="shared" si="7"/>
        <v>11</v>
      </c>
      <c r="R326" s="4">
        <f t="shared" si="8"/>
        <v>1</v>
      </c>
      <c r="S326" s="4">
        <f t="shared" si="9"/>
        <v>-0.3350519475</v>
      </c>
      <c r="T326" s="4">
        <f t="shared" si="10"/>
        <v>40</v>
      </c>
      <c r="U326" s="4">
        <f t="shared" si="1"/>
        <v>-0.3350519475</v>
      </c>
      <c r="V326" s="4"/>
    </row>
    <row r="327">
      <c r="A327" s="1" t="s">
        <v>5484</v>
      </c>
      <c r="B327" s="1" t="s">
        <v>5485</v>
      </c>
      <c r="C327" s="1" t="s">
        <v>5486</v>
      </c>
      <c r="D327" s="1" t="s">
        <v>5437</v>
      </c>
      <c r="E327" s="1" t="s">
        <v>5438</v>
      </c>
      <c r="F327" s="1">
        <v>475894.0</v>
      </c>
      <c r="G327" s="1">
        <v>12798.0</v>
      </c>
      <c r="H327" s="1">
        <v>380.0</v>
      </c>
      <c r="I327" s="1">
        <v>2.28E7</v>
      </c>
      <c r="J327" s="1" t="s">
        <v>2468</v>
      </c>
      <c r="K327" s="5">
        <f t="shared" si="2"/>
        <v>0.02087254386</v>
      </c>
      <c r="L327" s="6">
        <f t="shared" si="3"/>
        <v>93</v>
      </c>
      <c r="M327" s="6">
        <f t="shared" si="4"/>
        <v>5117.139785</v>
      </c>
      <c r="N327" s="7">
        <f t="shared" si="5"/>
        <v>0.0002244359555</v>
      </c>
      <c r="O327" s="7"/>
      <c r="P327" s="4">
        <f t="shared" si="6"/>
        <v>-0.291441463</v>
      </c>
      <c r="Q327" s="4">
        <f t="shared" si="7"/>
        <v>10</v>
      </c>
      <c r="R327" s="4">
        <f t="shared" si="8"/>
        <v>0</v>
      </c>
      <c r="S327" s="4">
        <f t="shared" si="9"/>
        <v>-0.291441463</v>
      </c>
      <c r="T327" s="4">
        <f t="shared" si="10"/>
        <v>46</v>
      </c>
      <c r="U327" s="4">
        <f t="shared" si="1"/>
        <v>-0.291441463</v>
      </c>
      <c r="V327" s="4"/>
    </row>
    <row r="328">
      <c r="A328" s="1" t="s">
        <v>5487</v>
      </c>
      <c r="B328" s="1" t="s">
        <v>5488</v>
      </c>
      <c r="C328" s="1" t="s">
        <v>5489</v>
      </c>
      <c r="D328" s="1" t="s">
        <v>5437</v>
      </c>
      <c r="E328" s="1" t="s">
        <v>5438</v>
      </c>
      <c r="F328" s="1">
        <v>74038.0</v>
      </c>
      <c r="G328" s="1">
        <v>2094.0</v>
      </c>
      <c r="H328" s="1">
        <v>59.0</v>
      </c>
      <c r="I328" s="1">
        <v>2.28E7</v>
      </c>
      <c r="J328" s="1" t="s">
        <v>2468</v>
      </c>
      <c r="K328" s="5">
        <f t="shared" si="2"/>
        <v>0.003247280702</v>
      </c>
      <c r="L328" s="6">
        <f t="shared" si="3"/>
        <v>98</v>
      </c>
      <c r="M328" s="6">
        <f t="shared" si="4"/>
        <v>755.4897959</v>
      </c>
      <c r="N328" s="7">
        <f t="shared" si="5"/>
        <v>0.00003313551736</v>
      </c>
      <c r="O328" s="7"/>
      <c r="P328" s="4">
        <f t="shared" si="6"/>
        <v>-0.4261864952</v>
      </c>
      <c r="Q328" s="4">
        <f t="shared" si="7"/>
        <v>14</v>
      </c>
      <c r="R328" s="4">
        <f t="shared" si="8"/>
        <v>0</v>
      </c>
      <c r="S328" s="4">
        <f t="shared" si="9"/>
        <v>-0.4261864952</v>
      </c>
      <c r="T328" s="4">
        <f t="shared" si="10"/>
        <v>55</v>
      </c>
      <c r="U328" s="4">
        <f t="shared" si="1"/>
        <v>-0.4261864952</v>
      </c>
      <c r="V328" s="4"/>
    </row>
    <row r="329">
      <c r="A329" s="1" t="s">
        <v>5490</v>
      </c>
      <c r="B329" s="1" t="s">
        <v>5491</v>
      </c>
      <c r="C329" s="1" t="s">
        <v>5492</v>
      </c>
      <c r="D329" s="1" t="s">
        <v>5437</v>
      </c>
      <c r="E329" s="1" t="s">
        <v>5438</v>
      </c>
      <c r="F329" s="1">
        <v>2146021.0</v>
      </c>
      <c r="G329" s="1">
        <v>11762.0</v>
      </c>
      <c r="H329" s="1">
        <v>292.0</v>
      </c>
      <c r="I329" s="1">
        <v>2.28E7</v>
      </c>
      <c r="J329" s="1" t="s">
        <v>2468</v>
      </c>
      <c r="K329" s="5">
        <f t="shared" si="2"/>
        <v>0.09412372807</v>
      </c>
      <c r="L329" s="6">
        <f t="shared" si="3"/>
        <v>100</v>
      </c>
      <c r="M329" s="6">
        <f t="shared" si="4"/>
        <v>21460.21</v>
      </c>
      <c r="N329" s="7">
        <f t="shared" si="5"/>
        <v>0.0009412372807</v>
      </c>
      <c r="O329" s="7"/>
      <c r="P329" s="4">
        <f t="shared" si="6"/>
        <v>0.2134471747</v>
      </c>
      <c r="Q329" s="4">
        <f t="shared" si="7"/>
        <v>8</v>
      </c>
      <c r="R329" s="4">
        <f t="shared" si="8"/>
        <v>1</v>
      </c>
      <c r="S329" s="4">
        <f t="shared" si="9"/>
        <v>0.2134471747</v>
      </c>
      <c r="T329" s="4">
        <f t="shared" si="10"/>
        <v>43</v>
      </c>
      <c r="U329" s="4">
        <f t="shared" si="1"/>
        <v>0.2134471747</v>
      </c>
      <c r="V329" s="4"/>
    </row>
    <row r="330">
      <c r="A330" s="1" t="s">
        <v>5493</v>
      </c>
      <c r="B330" s="1" t="s">
        <v>5494</v>
      </c>
      <c r="C330" s="1" t="s">
        <v>5495</v>
      </c>
      <c r="D330" s="1" t="s">
        <v>5437</v>
      </c>
      <c r="E330" s="1" t="s">
        <v>5438</v>
      </c>
      <c r="F330" s="1">
        <v>172182.0</v>
      </c>
      <c r="G330" s="1">
        <v>5343.0</v>
      </c>
      <c r="H330" s="1">
        <v>128.0</v>
      </c>
      <c r="I330" s="1">
        <v>2.28E7</v>
      </c>
      <c r="J330" s="1" t="s">
        <v>2468</v>
      </c>
      <c r="K330" s="5">
        <f t="shared" si="2"/>
        <v>0.007551842105</v>
      </c>
      <c r="L330" s="6">
        <f t="shared" si="3"/>
        <v>105</v>
      </c>
      <c r="M330" s="6">
        <f t="shared" si="4"/>
        <v>1639.828571</v>
      </c>
      <c r="N330" s="7">
        <f t="shared" si="5"/>
        <v>0.00007192230576</v>
      </c>
      <c r="O330" s="7"/>
      <c r="P330" s="4">
        <f t="shared" si="6"/>
        <v>-0.3988665</v>
      </c>
      <c r="Q330" s="4">
        <f t="shared" si="7"/>
        <v>9</v>
      </c>
      <c r="R330" s="4">
        <f t="shared" si="8"/>
        <v>0</v>
      </c>
      <c r="S330" s="4">
        <f t="shared" si="9"/>
        <v>-0.3988665</v>
      </c>
      <c r="T330" s="4">
        <f t="shared" si="10"/>
        <v>48</v>
      </c>
      <c r="U330" s="4">
        <f t="shared" si="1"/>
        <v>-0.3988665</v>
      </c>
      <c r="V330" s="4"/>
    </row>
    <row r="331">
      <c r="A331" s="1" t="s">
        <v>5496</v>
      </c>
      <c r="B331" s="1" t="s">
        <v>5497</v>
      </c>
      <c r="C331" s="1" t="s">
        <v>5498</v>
      </c>
      <c r="D331" s="1" t="s">
        <v>5437</v>
      </c>
      <c r="E331" s="1" t="s">
        <v>5438</v>
      </c>
      <c r="F331" s="1">
        <v>759921.0</v>
      </c>
      <c r="G331" s="1">
        <v>19670.0</v>
      </c>
      <c r="H331" s="1">
        <v>640.0</v>
      </c>
      <c r="I331" s="1">
        <v>2.28E7</v>
      </c>
      <c r="J331" s="1" t="s">
        <v>2468</v>
      </c>
      <c r="K331" s="5">
        <f t="shared" si="2"/>
        <v>0.03332986842</v>
      </c>
      <c r="L331" s="6">
        <f t="shared" si="3"/>
        <v>107</v>
      </c>
      <c r="M331" s="6">
        <f t="shared" si="4"/>
        <v>7102.065421</v>
      </c>
      <c r="N331" s="7">
        <f t="shared" si="5"/>
        <v>0.0003114940974</v>
      </c>
      <c r="O331" s="7"/>
      <c r="P331" s="4">
        <f t="shared" si="6"/>
        <v>-0.2301208919</v>
      </c>
      <c r="Q331" s="4">
        <f t="shared" si="7"/>
        <v>13</v>
      </c>
      <c r="R331" s="4">
        <f t="shared" si="8"/>
        <v>1</v>
      </c>
      <c r="S331" s="4">
        <f t="shared" si="9"/>
        <v>-0.2301208919</v>
      </c>
      <c r="T331" s="4">
        <f t="shared" si="10"/>
        <v>60</v>
      </c>
      <c r="U331" s="4">
        <f t="shared" si="1"/>
        <v>-0.2301208919</v>
      </c>
      <c r="V331" s="4"/>
    </row>
    <row r="332">
      <c r="A332" s="1" t="s">
        <v>5499</v>
      </c>
      <c r="B332" s="1" t="s">
        <v>5500</v>
      </c>
      <c r="C332" s="1" t="s">
        <v>5501</v>
      </c>
      <c r="D332" s="1" t="s">
        <v>5437</v>
      </c>
      <c r="E332" s="1" t="s">
        <v>5438</v>
      </c>
      <c r="F332" s="1">
        <v>131410.0</v>
      </c>
      <c r="G332" s="1">
        <v>5170.0</v>
      </c>
      <c r="H332" s="1">
        <v>253.0</v>
      </c>
      <c r="I332" s="1">
        <v>2.28E7</v>
      </c>
      <c r="J332" s="1" t="s">
        <v>2468</v>
      </c>
      <c r="K332" s="5">
        <f t="shared" si="2"/>
        <v>0.005763596491</v>
      </c>
      <c r="L332" s="6">
        <f t="shared" si="3"/>
        <v>112</v>
      </c>
      <c r="M332" s="6">
        <f t="shared" si="4"/>
        <v>1173.303571</v>
      </c>
      <c r="N332" s="7">
        <f t="shared" si="5"/>
        <v>0.00005146068296</v>
      </c>
      <c r="O332" s="7"/>
      <c r="P332" s="4">
        <f t="shared" si="6"/>
        <v>-0.4132789187</v>
      </c>
      <c r="Q332" s="4">
        <f t="shared" si="7"/>
        <v>11</v>
      </c>
      <c r="R332" s="4">
        <f t="shared" si="8"/>
        <v>0</v>
      </c>
      <c r="S332" s="4">
        <f t="shared" si="9"/>
        <v>-0.4132789187</v>
      </c>
      <c r="T332" s="4">
        <f t="shared" si="10"/>
        <v>48</v>
      </c>
      <c r="U332" s="4">
        <f t="shared" si="1"/>
        <v>-0.4132789187</v>
      </c>
      <c r="V332" s="4"/>
    </row>
    <row r="333">
      <c r="A333" s="1" t="s">
        <v>5502</v>
      </c>
      <c r="B333" s="1" t="s">
        <v>5503</v>
      </c>
      <c r="C333" s="1" t="s">
        <v>5504</v>
      </c>
      <c r="D333" s="1" t="s">
        <v>5437</v>
      </c>
      <c r="E333" s="1" t="s">
        <v>5438</v>
      </c>
      <c r="F333" s="1">
        <v>840846.0</v>
      </c>
      <c r="G333" s="1">
        <v>11880.0</v>
      </c>
      <c r="H333" s="1">
        <v>271.0</v>
      </c>
      <c r="I333" s="1">
        <v>2.28E7</v>
      </c>
      <c r="J333" s="1" t="s">
        <v>2468</v>
      </c>
      <c r="K333" s="5">
        <f t="shared" si="2"/>
        <v>0.03687921053</v>
      </c>
      <c r="L333" s="6">
        <f t="shared" si="3"/>
        <v>114</v>
      </c>
      <c r="M333" s="6">
        <f t="shared" si="4"/>
        <v>7375.842105</v>
      </c>
      <c r="N333" s="7">
        <f t="shared" si="5"/>
        <v>0.0003235018467</v>
      </c>
      <c r="O333" s="7"/>
      <c r="P333" s="4">
        <f t="shared" si="6"/>
        <v>-0.2216630724</v>
      </c>
      <c r="Q333" s="4">
        <f t="shared" si="7"/>
        <v>7</v>
      </c>
      <c r="R333" s="4">
        <f t="shared" si="8"/>
        <v>0</v>
      </c>
      <c r="S333" s="4">
        <f t="shared" si="9"/>
        <v>-0.2216630724</v>
      </c>
      <c r="T333" s="4">
        <f t="shared" si="10"/>
        <v>31</v>
      </c>
      <c r="U333" s="4">
        <f t="shared" si="1"/>
        <v>-0.2216630724</v>
      </c>
      <c r="V333" s="4"/>
    </row>
    <row r="334">
      <c r="A334" s="1" t="s">
        <v>5505</v>
      </c>
      <c r="B334" s="1" t="s">
        <v>5506</v>
      </c>
      <c r="C334" s="1" t="s">
        <v>5507</v>
      </c>
      <c r="D334" s="1" t="s">
        <v>5437</v>
      </c>
      <c r="E334" s="1" t="s">
        <v>5438</v>
      </c>
      <c r="F334" s="1">
        <v>146232.0</v>
      </c>
      <c r="G334" s="1">
        <v>4401.0</v>
      </c>
      <c r="H334" s="1">
        <v>198.0</v>
      </c>
      <c r="I334" s="1">
        <v>2.28E7</v>
      </c>
      <c r="J334" s="1" t="s">
        <v>2468</v>
      </c>
      <c r="K334" s="5">
        <f t="shared" si="2"/>
        <v>0.006413684211</v>
      </c>
      <c r="L334" s="6">
        <f t="shared" si="3"/>
        <v>119</v>
      </c>
      <c r="M334" s="6">
        <f t="shared" si="4"/>
        <v>1228.840336</v>
      </c>
      <c r="N334" s="7">
        <f t="shared" si="5"/>
        <v>0.00005389650597</v>
      </c>
      <c r="O334" s="7"/>
      <c r="P334" s="4">
        <f t="shared" si="6"/>
        <v>-0.4115632141</v>
      </c>
      <c r="Q334" s="4">
        <f t="shared" si="7"/>
        <v>15</v>
      </c>
      <c r="R334" s="4">
        <f t="shared" si="8"/>
        <v>0</v>
      </c>
      <c r="S334" s="4">
        <f t="shared" si="9"/>
        <v>-0.4115632141</v>
      </c>
      <c r="T334" s="4">
        <f t="shared" si="10"/>
        <v>50</v>
      </c>
      <c r="U334" s="4">
        <f t="shared" si="1"/>
        <v>-0.4115632141</v>
      </c>
      <c r="V334" s="4"/>
    </row>
    <row r="335">
      <c r="A335" s="1" t="s">
        <v>5508</v>
      </c>
      <c r="B335" s="1" t="s">
        <v>5509</v>
      </c>
      <c r="C335" s="1" t="s">
        <v>5510</v>
      </c>
      <c r="D335" s="1" t="s">
        <v>5437</v>
      </c>
      <c r="E335" s="1" t="s">
        <v>5438</v>
      </c>
      <c r="F335" s="1">
        <v>191045.0</v>
      </c>
      <c r="G335" s="1">
        <v>6160.0</v>
      </c>
      <c r="H335" s="1">
        <v>141.0</v>
      </c>
      <c r="I335" s="1">
        <v>2.28E7</v>
      </c>
      <c r="J335" s="1" t="s">
        <v>2468</v>
      </c>
      <c r="K335" s="5">
        <f t="shared" si="2"/>
        <v>0.008379166667</v>
      </c>
      <c r="L335" s="6">
        <f t="shared" si="3"/>
        <v>121</v>
      </c>
      <c r="M335" s="6">
        <f t="shared" si="4"/>
        <v>1578.884298</v>
      </c>
      <c r="N335" s="7">
        <f t="shared" si="5"/>
        <v>0.00006924931129</v>
      </c>
      <c r="O335" s="7"/>
      <c r="P335" s="4">
        <f t="shared" si="6"/>
        <v>-0.4007492595</v>
      </c>
      <c r="Q335" s="4">
        <f t="shared" si="7"/>
        <v>12</v>
      </c>
      <c r="R335" s="4">
        <f t="shared" si="8"/>
        <v>0</v>
      </c>
      <c r="S335" s="4">
        <f t="shared" si="9"/>
        <v>-0.4007492595</v>
      </c>
      <c r="T335" s="4">
        <f t="shared" si="10"/>
        <v>50</v>
      </c>
      <c r="U335" s="4">
        <f t="shared" si="1"/>
        <v>-0.4007492595</v>
      </c>
      <c r="V335" s="4"/>
    </row>
    <row r="336">
      <c r="A336" s="1" t="s">
        <v>5511</v>
      </c>
      <c r="B336" s="1" t="s">
        <v>5512</v>
      </c>
      <c r="C336" s="1" t="s">
        <v>5513</v>
      </c>
      <c r="D336" s="1" t="s">
        <v>5437</v>
      </c>
      <c r="E336" s="1" t="s">
        <v>5438</v>
      </c>
      <c r="F336" s="1">
        <v>1067812.0</v>
      </c>
      <c r="G336" s="1">
        <v>12877.0</v>
      </c>
      <c r="H336" s="1">
        <v>416.0</v>
      </c>
      <c r="I336" s="1">
        <v>2.28E7</v>
      </c>
      <c r="J336" s="1" t="s">
        <v>2468</v>
      </c>
      <c r="K336" s="5">
        <f t="shared" si="2"/>
        <v>0.04683385965</v>
      </c>
      <c r="L336" s="6">
        <f t="shared" si="3"/>
        <v>126</v>
      </c>
      <c r="M336" s="6">
        <f t="shared" si="4"/>
        <v>8474.698413</v>
      </c>
      <c r="N336" s="7">
        <f t="shared" si="5"/>
        <v>0.0003716972988</v>
      </c>
      <c r="O336" s="7"/>
      <c r="P336" s="4">
        <f t="shared" si="6"/>
        <v>-0.1877159586</v>
      </c>
      <c r="Q336" s="4">
        <f t="shared" si="7"/>
        <v>6</v>
      </c>
      <c r="R336" s="4">
        <f t="shared" si="8"/>
        <v>0</v>
      </c>
      <c r="S336" s="4">
        <f t="shared" si="9"/>
        <v>-0.1877159586</v>
      </c>
      <c r="T336" s="4">
        <f t="shared" si="10"/>
        <v>37</v>
      </c>
      <c r="U336" s="4">
        <f t="shared" si="1"/>
        <v>-0.1877159586</v>
      </c>
      <c r="V336" s="4"/>
    </row>
    <row r="337">
      <c r="A337" s="1" t="s">
        <v>5514</v>
      </c>
      <c r="B337" s="1" t="s">
        <v>5515</v>
      </c>
      <c r="C337" s="1" t="s">
        <v>5516</v>
      </c>
      <c r="D337" s="1" t="s">
        <v>5437</v>
      </c>
      <c r="E337" s="1" t="s">
        <v>5438</v>
      </c>
      <c r="F337" s="1">
        <v>154327.0</v>
      </c>
      <c r="G337" s="1">
        <v>5714.0</v>
      </c>
      <c r="H337" s="1">
        <v>297.0</v>
      </c>
      <c r="I337" s="1">
        <v>2.28E7</v>
      </c>
      <c r="J337" s="1" t="s">
        <v>2468</v>
      </c>
      <c r="K337" s="5">
        <f t="shared" si="2"/>
        <v>0.00676872807</v>
      </c>
      <c r="L337" s="6">
        <f t="shared" si="3"/>
        <v>128</v>
      </c>
      <c r="M337" s="6">
        <f t="shared" si="4"/>
        <v>1205.679688</v>
      </c>
      <c r="N337" s="7">
        <f t="shared" si="5"/>
        <v>0.00005288068805</v>
      </c>
      <c r="O337" s="7"/>
      <c r="P337" s="4">
        <f t="shared" si="6"/>
        <v>-0.4122787191</v>
      </c>
      <c r="Q337" s="4">
        <f t="shared" si="7"/>
        <v>12</v>
      </c>
      <c r="R337" s="4">
        <f t="shared" si="8"/>
        <v>1</v>
      </c>
      <c r="S337" s="4">
        <f t="shared" si="9"/>
        <v>-0.4122787191</v>
      </c>
      <c r="T337" s="4">
        <f t="shared" si="10"/>
        <v>46</v>
      </c>
      <c r="U337" s="4">
        <f t="shared" si="1"/>
        <v>-0.4122787191</v>
      </c>
      <c r="V337" s="4"/>
    </row>
    <row r="338">
      <c r="A338" s="1" t="s">
        <v>5517</v>
      </c>
      <c r="B338" s="1" t="s">
        <v>5518</v>
      </c>
      <c r="C338" s="1" t="s">
        <v>5519</v>
      </c>
      <c r="D338" s="1" t="s">
        <v>5437</v>
      </c>
      <c r="E338" s="1" t="s">
        <v>5438</v>
      </c>
      <c r="F338" s="1">
        <v>35650.0</v>
      </c>
      <c r="G338" s="1">
        <v>485.0</v>
      </c>
      <c r="H338" s="1">
        <v>10.0</v>
      </c>
      <c r="I338" s="1">
        <v>2.28E7</v>
      </c>
      <c r="J338" s="1" t="s">
        <v>2468</v>
      </c>
      <c r="K338" s="5">
        <f t="shared" si="2"/>
        <v>0.001563596491</v>
      </c>
      <c r="L338" s="6">
        <f t="shared" si="3"/>
        <v>133</v>
      </c>
      <c r="M338" s="6">
        <f t="shared" si="4"/>
        <v>268.0451128</v>
      </c>
      <c r="N338" s="7">
        <f t="shared" si="5"/>
        <v>0.0000117563646</v>
      </c>
      <c r="O338" s="7"/>
      <c r="P338" s="4">
        <f t="shared" si="6"/>
        <v>-0.4412451885</v>
      </c>
      <c r="Q338" s="4">
        <f t="shared" si="7"/>
        <v>6</v>
      </c>
      <c r="R338" s="4">
        <f t="shared" si="8"/>
        <v>1</v>
      </c>
      <c r="S338" s="4">
        <f t="shared" si="9"/>
        <v>-0.4412451885</v>
      </c>
      <c r="T338" s="4">
        <f t="shared" si="10"/>
        <v>30</v>
      </c>
      <c r="U338" s="4">
        <f t="shared" si="1"/>
        <v>-0.4412451885</v>
      </c>
      <c r="V338" s="4"/>
    </row>
    <row r="339">
      <c r="A339" s="1" t="s">
        <v>5520</v>
      </c>
      <c r="B339" s="1" t="s">
        <v>5521</v>
      </c>
      <c r="C339" s="1" t="s">
        <v>5522</v>
      </c>
      <c r="D339" s="1" t="s">
        <v>5437</v>
      </c>
      <c r="E339" s="1" t="s">
        <v>5438</v>
      </c>
      <c r="F339" s="1">
        <v>71529.0</v>
      </c>
      <c r="G339" s="1">
        <v>2261.0</v>
      </c>
      <c r="H339" s="1">
        <v>70.0</v>
      </c>
      <c r="I339" s="1">
        <v>2.28E7</v>
      </c>
      <c r="J339" s="1" t="s">
        <v>2468</v>
      </c>
      <c r="K339" s="5">
        <f t="shared" si="2"/>
        <v>0.003137236842</v>
      </c>
      <c r="L339" s="6">
        <f t="shared" si="3"/>
        <v>133</v>
      </c>
      <c r="M339" s="6">
        <f t="shared" si="4"/>
        <v>537.8120301</v>
      </c>
      <c r="N339" s="7">
        <f t="shared" si="5"/>
        <v>0.00002358824693</v>
      </c>
      <c r="O339" s="7"/>
      <c r="P339" s="4">
        <f t="shared" si="6"/>
        <v>-0.4329112433</v>
      </c>
      <c r="Q339" s="4">
        <f t="shared" si="7"/>
        <v>12</v>
      </c>
      <c r="R339" s="4">
        <f t="shared" si="8"/>
        <v>0</v>
      </c>
      <c r="S339" s="4">
        <f t="shared" si="9"/>
        <v>-0.4329112433</v>
      </c>
      <c r="T339" s="4">
        <f t="shared" si="10"/>
        <v>50</v>
      </c>
      <c r="U339" s="4">
        <f t="shared" si="1"/>
        <v>-0.4329112433</v>
      </c>
      <c r="V339" s="4"/>
    </row>
    <row r="340">
      <c r="A340" s="1" t="s">
        <v>5523</v>
      </c>
      <c r="B340" s="1" t="s">
        <v>5524</v>
      </c>
      <c r="C340" s="1" t="s">
        <v>5525</v>
      </c>
      <c r="D340" s="1" t="s">
        <v>5437</v>
      </c>
      <c r="E340" s="1" t="s">
        <v>5438</v>
      </c>
      <c r="F340" s="1">
        <v>152763.0</v>
      </c>
      <c r="G340" s="1">
        <v>5682.0</v>
      </c>
      <c r="H340" s="1">
        <v>254.0</v>
      </c>
      <c r="I340" s="1">
        <v>2.28E7</v>
      </c>
      <c r="J340" s="1" t="s">
        <v>2468</v>
      </c>
      <c r="K340" s="5">
        <f t="shared" si="2"/>
        <v>0.006700131579</v>
      </c>
      <c r="L340" s="6">
        <f t="shared" si="3"/>
        <v>135</v>
      </c>
      <c r="M340" s="6">
        <f t="shared" si="4"/>
        <v>1131.577778</v>
      </c>
      <c r="N340" s="7">
        <f t="shared" si="5"/>
        <v>0.00004963060429</v>
      </c>
      <c r="O340" s="7"/>
      <c r="P340" s="4">
        <f t="shared" si="6"/>
        <v>-0.4145679592</v>
      </c>
      <c r="Q340" s="4">
        <f t="shared" si="7"/>
        <v>10</v>
      </c>
      <c r="R340" s="4">
        <f t="shared" si="8"/>
        <v>1</v>
      </c>
      <c r="S340" s="4">
        <f t="shared" si="9"/>
        <v>-0.4145679592</v>
      </c>
      <c r="T340" s="4">
        <f t="shared" si="10"/>
        <v>43</v>
      </c>
      <c r="U340" s="4">
        <f t="shared" si="1"/>
        <v>-0.4145679592</v>
      </c>
      <c r="V340" s="4"/>
    </row>
    <row r="341">
      <c r="A341" s="1" t="s">
        <v>5526</v>
      </c>
      <c r="B341" s="1" t="s">
        <v>5527</v>
      </c>
      <c r="C341" s="1" t="s">
        <v>5528</v>
      </c>
      <c r="D341" s="1" t="s">
        <v>5437</v>
      </c>
      <c r="E341" s="1" t="s">
        <v>5438</v>
      </c>
      <c r="F341" s="1">
        <v>1340607.0</v>
      </c>
      <c r="G341" s="1">
        <v>22008.0</v>
      </c>
      <c r="H341" s="1">
        <v>672.0</v>
      </c>
      <c r="I341" s="1">
        <v>2.28E7</v>
      </c>
      <c r="J341" s="1" t="s">
        <v>2468</v>
      </c>
      <c r="K341" s="5">
        <f t="shared" si="2"/>
        <v>0.05879855263</v>
      </c>
      <c r="L341" s="6">
        <f t="shared" si="3"/>
        <v>140</v>
      </c>
      <c r="M341" s="6">
        <f t="shared" si="4"/>
        <v>9575.764286</v>
      </c>
      <c r="N341" s="7">
        <f t="shared" si="5"/>
        <v>0.0004199896617</v>
      </c>
      <c r="O341" s="7"/>
      <c r="P341" s="4">
        <f t="shared" si="6"/>
        <v>-0.1537005844</v>
      </c>
      <c r="Q341" s="4">
        <f t="shared" si="7"/>
        <v>7</v>
      </c>
      <c r="R341" s="4">
        <f t="shared" si="8"/>
        <v>0</v>
      </c>
      <c r="S341" s="4">
        <f t="shared" si="9"/>
        <v>-0.1537005844</v>
      </c>
      <c r="T341" s="4">
        <f t="shared" si="10"/>
        <v>25</v>
      </c>
      <c r="U341" s="4">
        <f t="shared" si="1"/>
        <v>-0.1537005844</v>
      </c>
      <c r="V341" s="4"/>
    </row>
    <row r="342">
      <c r="A342" s="1" t="s">
        <v>5529</v>
      </c>
      <c r="B342" s="1" t="s">
        <v>5530</v>
      </c>
      <c r="C342" s="1" t="s">
        <v>5531</v>
      </c>
      <c r="D342" s="1" t="s">
        <v>5437</v>
      </c>
      <c r="E342" s="1" t="s">
        <v>5438</v>
      </c>
      <c r="F342" s="1">
        <v>184307.0</v>
      </c>
      <c r="G342" s="1">
        <v>6288.0</v>
      </c>
      <c r="H342" s="1">
        <v>169.0</v>
      </c>
      <c r="I342" s="1">
        <v>2.28E7</v>
      </c>
      <c r="J342" s="1" t="s">
        <v>2468</v>
      </c>
      <c r="K342" s="5">
        <f t="shared" si="2"/>
        <v>0.008083640351</v>
      </c>
      <c r="L342" s="6">
        <f t="shared" si="3"/>
        <v>142</v>
      </c>
      <c r="M342" s="6">
        <f t="shared" si="4"/>
        <v>1297.93662</v>
      </c>
      <c r="N342" s="7">
        <f t="shared" si="5"/>
        <v>0.00005692704472</v>
      </c>
      <c r="O342" s="7"/>
      <c r="P342" s="4">
        <f t="shared" si="6"/>
        <v>-0.4094286134</v>
      </c>
      <c r="Q342" s="4">
        <f t="shared" si="7"/>
        <v>10</v>
      </c>
      <c r="R342" s="4">
        <f t="shared" si="8"/>
        <v>1</v>
      </c>
      <c r="S342" s="4">
        <f t="shared" si="9"/>
        <v>-0.4094286134</v>
      </c>
      <c r="T342" s="4">
        <f t="shared" si="10"/>
        <v>51</v>
      </c>
      <c r="U342" s="4">
        <f t="shared" si="1"/>
        <v>-0.4094286134</v>
      </c>
      <c r="V342" s="4"/>
    </row>
    <row r="343">
      <c r="A343" s="1" t="s">
        <v>5532</v>
      </c>
      <c r="B343" s="1" t="s">
        <v>5533</v>
      </c>
      <c r="C343" s="1" t="s">
        <v>5534</v>
      </c>
      <c r="D343" s="1" t="s">
        <v>5437</v>
      </c>
      <c r="E343" s="1" t="s">
        <v>5438</v>
      </c>
      <c r="F343" s="1">
        <v>1057817.0</v>
      </c>
      <c r="G343" s="1">
        <v>8314.0</v>
      </c>
      <c r="H343" s="1">
        <v>707.0</v>
      </c>
      <c r="I343" s="1">
        <v>2.28E7</v>
      </c>
      <c r="J343" s="1" t="s">
        <v>2468</v>
      </c>
      <c r="K343" s="5">
        <f t="shared" si="2"/>
        <v>0.04639548246</v>
      </c>
      <c r="L343" s="6">
        <f t="shared" si="3"/>
        <v>147</v>
      </c>
      <c r="M343" s="6">
        <f t="shared" si="4"/>
        <v>7196.034014</v>
      </c>
      <c r="N343" s="7">
        <f t="shared" si="5"/>
        <v>0.0003156155269</v>
      </c>
      <c r="O343" s="7"/>
      <c r="P343" s="4">
        <f t="shared" si="6"/>
        <v>-0.2272179076</v>
      </c>
      <c r="Q343" s="4">
        <f t="shared" si="7"/>
        <v>6</v>
      </c>
      <c r="R343" s="4">
        <f t="shared" si="8"/>
        <v>1</v>
      </c>
      <c r="S343" s="4">
        <f t="shared" si="9"/>
        <v>-0.2272179076</v>
      </c>
      <c r="T343" s="4">
        <f t="shared" si="10"/>
        <v>32</v>
      </c>
      <c r="U343" s="4">
        <f t="shared" si="1"/>
        <v>-0.2272179076</v>
      </c>
      <c r="V343" s="4"/>
    </row>
    <row r="344">
      <c r="A344" s="1" t="s">
        <v>5535</v>
      </c>
      <c r="B344" s="1" t="s">
        <v>5536</v>
      </c>
      <c r="C344" s="1" t="s">
        <v>5537</v>
      </c>
      <c r="D344" s="1" t="s">
        <v>5437</v>
      </c>
      <c r="E344" s="1" t="s">
        <v>5438</v>
      </c>
      <c r="F344" s="1">
        <v>436834.0</v>
      </c>
      <c r="G344" s="1">
        <v>9924.0</v>
      </c>
      <c r="H344" s="1">
        <v>363.0</v>
      </c>
      <c r="I344" s="1">
        <v>2.28E7</v>
      </c>
      <c r="J344" s="1" t="s">
        <v>2468</v>
      </c>
      <c r="K344" s="5">
        <f t="shared" si="2"/>
        <v>0.01915938596</v>
      </c>
      <c r="L344" s="6">
        <f t="shared" si="3"/>
        <v>149</v>
      </c>
      <c r="M344" s="6">
        <f t="shared" si="4"/>
        <v>2931.771812</v>
      </c>
      <c r="N344" s="7">
        <f t="shared" si="5"/>
        <v>0.000128586483</v>
      </c>
      <c r="O344" s="7"/>
      <c r="P344" s="4">
        <f t="shared" si="6"/>
        <v>-0.3589543259</v>
      </c>
      <c r="Q344" s="4">
        <f t="shared" si="7"/>
        <v>14</v>
      </c>
      <c r="R344" s="4">
        <f t="shared" si="8"/>
        <v>1</v>
      </c>
      <c r="S344" s="4">
        <f t="shared" si="9"/>
        <v>-0.3589543259</v>
      </c>
      <c r="T344" s="4">
        <f t="shared" si="10"/>
        <v>60</v>
      </c>
      <c r="U344" s="4">
        <f t="shared" si="1"/>
        <v>-0.3589543259</v>
      </c>
      <c r="V344" s="4"/>
    </row>
    <row r="345">
      <c r="A345" s="1" t="s">
        <v>5538</v>
      </c>
      <c r="B345" s="1" t="s">
        <v>5539</v>
      </c>
      <c r="C345" s="1" t="s">
        <v>5540</v>
      </c>
      <c r="D345" s="1" t="s">
        <v>5437</v>
      </c>
      <c r="E345" s="1" t="s">
        <v>5438</v>
      </c>
      <c r="F345" s="1">
        <v>301202.0</v>
      </c>
      <c r="G345" s="1">
        <v>9048.0</v>
      </c>
      <c r="H345" s="1">
        <v>229.0</v>
      </c>
      <c r="I345" s="1">
        <v>2.28E7</v>
      </c>
      <c r="J345" s="1" t="s">
        <v>2468</v>
      </c>
      <c r="K345" s="5">
        <f t="shared" si="2"/>
        <v>0.01321061404</v>
      </c>
      <c r="L345" s="6">
        <f t="shared" si="3"/>
        <v>154</v>
      </c>
      <c r="M345" s="6">
        <f t="shared" si="4"/>
        <v>1955.857143</v>
      </c>
      <c r="N345" s="7">
        <f t="shared" si="5"/>
        <v>0.00008578320802</v>
      </c>
      <c r="O345" s="7"/>
      <c r="P345" s="4">
        <f t="shared" si="6"/>
        <v>-0.3891033874</v>
      </c>
      <c r="Q345" s="4">
        <f t="shared" si="7"/>
        <v>11</v>
      </c>
      <c r="R345" s="4">
        <f t="shared" si="8"/>
        <v>0</v>
      </c>
      <c r="S345" s="4">
        <f t="shared" si="9"/>
        <v>-0.3891033874</v>
      </c>
      <c r="T345" s="4">
        <f t="shared" si="10"/>
        <v>53</v>
      </c>
      <c r="U345" s="4">
        <f t="shared" si="1"/>
        <v>-0.3891033874</v>
      </c>
      <c r="V345" s="4"/>
    </row>
    <row r="346">
      <c r="A346" s="1" t="s">
        <v>5541</v>
      </c>
      <c r="B346" s="1" t="s">
        <v>5542</v>
      </c>
      <c r="C346" s="1" t="s">
        <v>5543</v>
      </c>
      <c r="D346" s="1" t="s">
        <v>5437</v>
      </c>
      <c r="E346" s="1" t="s">
        <v>5438</v>
      </c>
      <c r="F346" s="1">
        <v>1671704.0</v>
      </c>
      <c r="G346" s="1">
        <v>40456.0</v>
      </c>
      <c r="H346" s="1">
        <v>1139.0</v>
      </c>
      <c r="I346" s="1">
        <v>2.28E7</v>
      </c>
      <c r="J346" s="1" t="s">
        <v>2468</v>
      </c>
      <c r="K346" s="5">
        <f t="shared" si="2"/>
        <v>0.07332035088</v>
      </c>
      <c r="L346" s="6">
        <f t="shared" si="3"/>
        <v>156</v>
      </c>
      <c r="M346" s="6">
        <f t="shared" si="4"/>
        <v>10716.05128</v>
      </c>
      <c r="N346" s="7">
        <f t="shared" si="5"/>
        <v>0.0004700022492</v>
      </c>
      <c r="O346" s="7"/>
      <c r="P346" s="4">
        <f t="shared" si="6"/>
        <v>-0.1184735469</v>
      </c>
      <c r="Q346" s="4">
        <f t="shared" si="7"/>
        <v>12</v>
      </c>
      <c r="R346" s="4">
        <f t="shared" si="8"/>
        <v>1</v>
      </c>
      <c r="S346" s="4">
        <f t="shared" si="9"/>
        <v>-0.1184735469</v>
      </c>
      <c r="T346" s="4">
        <f t="shared" si="10"/>
        <v>47</v>
      </c>
      <c r="U346" s="4">
        <f t="shared" si="1"/>
        <v>-0.1184735469</v>
      </c>
      <c r="V346" s="4"/>
    </row>
    <row r="347">
      <c r="A347" s="1" t="s">
        <v>5544</v>
      </c>
      <c r="B347" s="1" t="s">
        <v>5545</v>
      </c>
      <c r="C347" s="1" t="s">
        <v>5546</v>
      </c>
      <c r="D347" s="1" t="s">
        <v>5437</v>
      </c>
      <c r="E347" s="1" t="s">
        <v>5438</v>
      </c>
      <c r="F347" s="1">
        <v>87004.0</v>
      </c>
      <c r="G347" s="1">
        <v>1828.0</v>
      </c>
      <c r="H347" s="1">
        <v>74.0</v>
      </c>
      <c r="I347" s="1">
        <v>2.28E7</v>
      </c>
      <c r="J347" s="1" t="s">
        <v>2468</v>
      </c>
      <c r="K347" s="5">
        <f t="shared" si="2"/>
        <v>0.003815964912</v>
      </c>
      <c r="L347" s="6">
        <f t="shared" si="3"/>
        <v>161</v>
      </c>
      <c r="M347" s="6">
        <f t="shared" si="4"/>
        <v>540.3975155</v>
      </c>
      <c r="N347" s="7">
        <f t="shared" si="5"/>
        <v>0.00002370164542</v>
      </c>
      <c r="O347" s="7"/>
      <c r="P347" s="4">
        <f t="shared" si="6"/>
        <v>-0.4328313695</v>
      </c>
      <c r="Q347" s="4">
        <f t="shared" si="7"/>
        <v>12</v>
      </c>
      <c r="R347" s="4">
        <f t="shared" si="8"/>
        <v>1</v>
      </c>
      <c r="S347" s="4">
        <f t="shared" si="9"/>
        <v>-0.4328313695</v>
      </c>
      <c r="T347" s="4">
        <f t="shared" si="10"/>
        <v>52</v>
      </c>
      <c r="U347" s="4">
        <f t="shared" si="1"/>
        <v>-0.4328313695</v>
      </c>
      <c r="V347" s="4"/>
    </row>
    <row r="348">
      <c r="A348" s="1" t="s">
        <v>5547</v>
      </c>
      <c r="B348" s="1" t="s">
        <v>5548</v>
      </c>
      <c r="C348" s="1" t="s">
        <v>5549</v>
      </c>
      <c r="D348" s="1" t="s">
        <v>5437</v>
      </c>
      <c r="E348" s="1" t="s">
        <v>5438</v>
      </c>
      <c r="F348" s="1">
        <v>284973.0</v>
      </c>
      <c r="G348" s="1">
        <v>8416.0</v>
      </c>
      <c r="H348" s="1">
        <v>432.0</v>
      </c>
      <c r="I348" s="1">
        <v>2.28E7</v>
      </c>
      <c r="J348" s="1" t="s">
        <v>2468</v>
      </c>
      <c r="K348" s="5">
        <f t="shared" si="2"/>
        <v>0.01249881579</v>
      </c>
      <c r="L348" s="6">
        <f t="shared" si="3"/>
        <v>163</v>
      </c>
      <c r="M348" s="6">
        <f t="shared" si="4"/>
        <v>1748.300613</v>
      </c>
      <c r="N348" s="7">
        <f t="shared" si="5"/>
        <v>0.00007667985147</v>
      </c>
      <c r="O348" s="7"/>
      <c r="P348" s="4">
        <f t="shared" si="6"/>
        <v>-0.3955154588</v>
      </c>
      <c r="Q348" s="4">
        <f t="shared" si="7"/>
        <v>9</v>
      </c>
      <c r="R348" s="4">
        <f t="shared" si="8"/>
        <v>1</v>
      </c>
      <c r="S348" s="4">
        <f t="shared" si="9"/>
        <v>-0.3955154588</v>
      </c>
      <c r="T348" s="4">
        <f t="shared" si="10"/>
        <v>50</v>
      </c>
      <c r="U348" s="4">
        <f t="shared" si="1"/>
        <v>-0.3955154588</v>
      </c>
      <c r="V348" s="4"/>
    </row>
    <row r="349">
      <c r="A349" s="1" t="s">
        <v>5550</v>
      </c>
      <c r="B349" s="1" t="s">
        <v>5551</v>
      </c>
      <c r="C349" s="1" t="s">
        <v>5552</v>
      </c>
      <c r="D349" s="1" t="s">
        <v>5437</v>
      </c>
      <c r="E349" s="1" t="s">
        <v>5438</v>
      </c>
      <c r="F349" s="1">
        <v>178694.0</v>
      </c>
      <c r="G349" s="1">
        <v>7270.0</v>
      </c>
      <c r="H349" s="1">
        <v>827.0</v>
      </c>
      <c r="I349" s="1">
        <v>2.28E7</v>
      </c>
      <c r="J349" s="1" t="s">
        <v>2468</v>
      </c>
      <c r="K349" s="5">
        <f t="shared" si="2"/>
        <v>0.00783745614</v>
      </c>
      <c r="L349" s="6">
        <f t="shared" si="3"/>
        <v>168</v>
      </c>
      <c r="M349" s="6">
        <f t="shared" si="4"/>
        <v>1063.654762</v>
      </c>
      <c r="N349" s="7">
        <f t="shared" si="5"/>
        <v>0.00004665152464</v>
      </c>
      <c r="O349" s="7"/>
      <c r="P349" s="4">
        <f t="shared" si="6"/>
        <v>-0.416666314</v>
      </c>
      <c r="Q349" s="4">
        <f t="shared" si="7"/>
        <v>11</v>
      </c>
      <c r="R349" s="4">
        <f t="shared" si="8"/>
        <v>1</v>
      </c>
      <c r="S349" s="4">
        <f t="shared" si="9"/>
        <v>-0.416666314</v>
      </c>
      <c r="T349" s="4">
        <f t="shared" si="10"/>
        <v>53</v>
      </c>
      <c r="U349" s="4">
        <f t="shared" si="1"/>
        <v>-0.416666314</v>
      </c>
      <c r="V349" s="4"/>
    </row>
    <row r="350">
      <c r="A350" s="1" t="s">
        <v>5553</v>
      </c>
      <c r="B350" s="1" t="s">
        <v>5554</v>
      </c>
      <c r="C350" s="1" t="s">
        <v>5555</v>
      </c>
      <c r="D350" s="1" t="s">
        <v>5437</v>
      </c>
      <c r="E350" s="1" t="s">
        <v>5438</v>
      </c>
      <c r="F350" s="1">
        <v>259418.0</v>
      </c>
      <c r="G350" s="1">
        <v>11114.0</v>
      </c>
      <c r="H350" s="1">
        <v>383.0</v>
      </c>
      <c r="I350" s="1">
        <v>2.28E7</v>
      </c>
      <c r="J350" s="1" t="s">
        <v>2468</v>
      </c>
      <c r="K350" s="5">
        <f t="shared" si="2"/>
        <v>0.01137798246</v>
      </c>
      <c r="L350" s="6">
        <f t="shared" si="3"/>
        <v>170</v>
      </c>
      <c r="M350" s="6">
        <f t="shared" si="4"/>
        <v>1525.988235</v>
      </c>
      <c r="N350" s="7">
        <f t="shared" si="5"/>
        <v>0.00006692930857</v>
      </c>
      <c r="O350" s="7"/>
      <c r="P350" s="4">
        <f t="shared" si="6"/>
        <v>-0.4023833846</v>
      </c>
      <c r="Q350" s="4">
        <f t="shared" si="7"/>
        <v>8</v>
      </c>
      <c r="R350" s="4">
        <f t="shared" si="8"/>
        <v>0</v>
      </c>
      <c r="S350" s="4">
        <f t="shared" si="9"/>
        <v>-0.4023833846</v>
      </c>
      <c r="T350" s="4">
        <f t="shared" si="10"/>
        <v>43</v>
      </c>
      <c r="U350" s="4">
        <f t="shared" si="1"/>
        <v>-0.4023833846</v>
      </c>
      <c r="V350" s="4"/>
    </row>
    <row r="351">
      <c r="A351" s="1" t="s">
        <v>5556</v>
      </c>
      <c r="B351" s="1" t="s">
        <v>5557</v>
      </c>
      <c r="C351" s="1" t="s">
        <v>5558</v>
      </c>
      <c r="D351" s="1" t="s">
        <v>5437</v>
      </c>
      <c r="E351" s="1" t="s">
        <v>5438</v>
      </c>
      <c r="F351" s="1">
        <v>750717.0</v>
      </c>
      <c r="G351" s="1">
        <v>20946.0</v>
      </c>
      <c r="H351" s="1">
        <v>457.0</v>
      </c>
      <c r="I351" s="1">
        <v>2.28E7</v>
      </c>
      <c r="J351" s="1" t="s">
        <v>2468</v>
      </c>
      <c r="K351" s="5">
        <f t="shared" si="2"/>
        <v>0.03292618421</v>
      </c>
      <c r="L351" s="6">
        <f t="shared" si="3"/>
        <v>175</v>
      </c>
      <c r="M351" s="6">
        <f t="shared" si="4"/>
        <v>4289.811429</v>
      </c>
      <c r="N351" s="7">
        <f t="shared" si="5"/>
        <v>0.0001881496241</v>
      </c>
      <c r="O351" s="7"/>
      <c r="P351" s="4">
        <f t="shared" si="6"/>
        <v>-0.3170002278</v>
      </c>
      <c r="Q351" s="4">
        <f t="shared" si="7"/>
        <v>8</v>
      </c>
      <c r="R351" s="4">
        <f t="shared" si="8"/>
        <v>1</v>
      </c>
      <c r="S351" s="4">
        <f t="shared" si="9"/>
        <v>-0.3170002278</v>
      </c>
      <c r="T351" s="4">
        <f t="shared" si="10"/>
        <v>31</v>
      </c>
      <c r="U351" s="4">
        <f t="shared" si="1"/>
        <v>-0.3170002278</v>
      </c>
      <c r="V351" s="4"/>
    </row>
    <row r="352">
      <c r="A352" s="1" t="s">
        <v>5559</v>
      </c>
      <c r="B352" s="1" t="s">
        <v>5560</v>
      </c>
      <c r="C352" s="1" t="s">
        <v>5561</v>
      </c>
      <c r="D352" s="1" t="s">
        <v>5437</v>
      </c>
      <c r="E352" s="1" t="s">
        <v>5438</v>
      </c>
      <c r="F352" s="1">
        <v>384214.0</v>
      </c>
      <c r="G352" s="1">
        <v>12504.0</v>
      </c>
      <c r="H352" s="1">
        <v>285.0</v>
      </c>
      <c r="I352" s="1">
        <v>2.28E7</v>
      </c>
      <c r="J352" s="1" t="s">
        <v>2468</v>
      </c>
      <c r="K352" s="5">
        <f t="shared" si="2"/>
        <v>0.01685149123</v>
      </c>
      <c r="L352" s="6">
        <f t="shared" si="3"/>
        <v>177</v>
      </c>
      <c r="M352" s="6">
        <f t="shared" si="4"/>
        <v>2170.700565</v>
      </c>
      <c r="N352" s="7">
        <f t="shared" si="5"/>
        <v>0.00009520616513</v>
      </c>
      <c r="O352" s="7"/>
      <c r="P352" s="4">
        <f t="shared" si="6"/>
        <v>-0.382466201</v>
      </c>
      <c r="Q352" s="4">
        <f t="shared" si="7"/>
        <v>13</v>
      </c>
      <c r="R352" s="4">
        <f t="shared" si="8"/>
        <v>1</v>
      </c>
      <c r="S352" s="4">
        <f t="shared" si="9"/>
        <v>-0.382466201</v>
      </c>
      <c r="T352" s="4">
        <f t="shared" si="10"/>
        <v>55</v>
      </c>
      <c r="U352" s="4">
        <f t="shared" si="1"/>
        <v>-0.382466201</v>
      </c>
      <c r="V352" s="4"/>
    </row>
    <row r="353">
      <c r="A353" s="1" t="s">
        <v>5562</v>
      </c>
      <c r="B353" s="1" t="s">
        <v>5563</v>
      </c>
      <c r="C353" s="1" t="s">
        <v>5564</v>
      </c>
      <c r="D353" s="1" t="s">
        <v>5437</v>
      </c>
      <c r="E353" s="1" t="s">
        <v>5438</v>
      </c>
      <c r="F353" s="1">
        <v>175220.0</v>
      </c>
      <c r="G353" s="1">
        <v>6992.0</v>
      </c>
      <c r="H353" s="1">
        <v>200.0</v>
      </c>
      <c r="I353" s="1">
        <v>2.28E7</v>
      </c>
      <c r="J353" s="1" t="s">
        <v>2468</v>
      </c>
      <c r="K353" s="5">
        <f t="shared" si="2"/>
        <v>0.007685087719</v>
      </c>
      <c r="L353" s="6">
        <f t="shared" si="3"/>
        <v>182</v>
      </c>
      <c r="M353" s="6">
        <f t="shared" si="4"/>
        <v>962.7472527</v>
      </c>
      <c r="N353" s="7">
        <f t="shared" si="5"/>
        <v>0.0000422257567</v>
      </c>
      <c r="O353" s="7"/>
      <c r="P353" s="4">
        <f t="shared" si="6"/>
        <v>-0.419783663</v>
      </c>
      <c r="Q353" s="4">
        <f t="shared" si="7"/>
        <v>9</v>
      </c>
      <c r="R353" s="4">
        <f t="shared" si="8"/>
        <v>0</v>
      </c>
      <c r="S353" s="4">
        <f t="shared" si="9"/>
        <v>-0.419783663</v>
      </c>
      <c r="T353" s="4">
        <f t="shared" si="10"/>
        <v>54</v>
      </c>
      <c r="U353" s="4">
        <f t="shared" si="1"/>
        <v>-0.419783663</v>
      </c>
      <c r="V353" s="4"/>
    </row>
    <row r="354">
      <c r="A354" s="1" t="s">
        <v>5565</v>
      </c>
      <c r="B354" s="1" t="s">
        <v>5566</v>
      </c>
      <c r="C354" s="1" t="s">
        <v>5567</v>
      </c>
      <c r="D354" s="1" t="s">
        <v>5437</v>
      </c>
      <c r="E354" s="1" t="s">
        <v>5438</v>
      </c>
      <c r="F354" s="1">
        <v>150568.0</v>
      </c>
      <c r="G354" s="1">
        <v>5050.0</v>
      </c>
      <c r="H354" s="1">
        <v>247.0</v>
      </c>
      <c r="I354" s="1">
        <v>2.28E7</v>
      </c>
      <c r="J354" s="1" t="s">
        <v>2468</v>
      </c>
      <c r="K354" s="5">
        <f t="shared" si="2"/>
        <v>0.006603859649</v>
      </c>
      <c r="L354" s="6">
        <f t="shared" si="3"/>
        <v>184</v>
      </c>
      <c r="M354" s="6">
        <f t="shared" si="4"/>
        <v>818.3043478</v>
      </c>
      <c r="N354" s="7">
        <f t="shared" si="5"/>
        <v>0.00003589054157</v>
      </c>
      <c r="O354" s="7"/>
      <c r="P354" s="4">
        <f t="shared" si="6"/>
        <v>-0.4242459569</v>
      </c>
      <c r="Q354" s="4">
        <f t="shared" si="7"/>
        <v>11</v>
      </c>
      <c r="R354" s="4">
        <f t="shared" si="8"/>
        <v>0</v>
      </c>
      <c r="S354" s="4">
        <f t="shared" si="9"/>
        <v>-0.4242459569</v>
      </c>
      <c r="T354" s="4">
        <f t="shared" si="10"/>
        <v>55</v>
      </c>
      <c r="U354" s="4">
        <f t="shared" si="1"/>
        <v>-0.4242459569</v>
      </c>
      <c r="V354" s="4"/>
    </row>
    <row r="355">
      <c r="A355" s="1" t="s">
        <v>5568</v>
      </c>
      <c r="B355" s="1" t="s">
        <v>5569</v>
      </c>
      <c r="C355" s="1" t="s">
        <v>5570</v>
      </c>
      <c r="D355" s="1" t="s">
        <v>5437</v>
      </c>
      <c r="E355" s="1" t="s">
        <v>5438</v>
      </c>
      <c r="F355" s="1">
        <v>539743.0</v>
      </c>
      <c r="G355" s="1">
        <v>16434.0</v>
      </c>
      <c r="H355" s="1">
        <v>891.0</v>
      </c>
      <c r="I355" s="1">
        <v>2.28E7</v>
      </c>
      <c r="J355" s="1" t="s">
        <v>2468</v>
      </c>
      <c r="K355" s="5">
        <f t="shared" si="2"/>
        <v>0.0236729386</v>
      </c>
      <c r="L355" s="6">
        <f t="shared" si="3"/>
        <v>189</v>
      </c>
      <c r="M355" s="6">
        <f t="shared" si="4"/>
        <v>2855.783069</v>
      </c>
      <c r="N355" s="7">
        <f t="shared" si="5"/>
        <v>0.0001252536434</v>
      </c>
      <c r="O355" s="7"/>
      <c r="P355" s="4">
        <f t="shared" si="6"/>
        <v>-0.3613018563</v>
      </c>
      <c r="Q355" s="4">
        <f t="shared" si="7"/>
        <v>6</v>
      </c>
      <c r="R355" s="4">
        <f t="shared" si="8"/>
        <v>0</v>
      </c>
      <c r="S355" s="4">
        <f t="shared" si="9"/>
        <v>-0.3613018563</v>
      </c>
      <c r="T355" s="4">
        <f t="shared" si="10"/>
        <v>34</v>
      </c>
      <c r="U355" s="4">
        <f t="shared" si="1"/>
        <v>-0.3613018563</v>
      </c>
      <c r="V355" s="4"/>
    </row>
    <row r="356">
      <c r="A356" s="1" t="s">
        <v>5571</v>
      </c>
      <c r="B356" s="1" t="s">
        <v>5572</v>
      </c>
      <c r="C356" s="1" t="s">
        <v>5573</v>
      </c>
      <c r="D356" s="1" t="s">
        <v>5437</v>
      </c>
      <c r="E356" s="1" t="s">
        <v>5438</v>
      </c>
      <c r="F356" s="1">
        <v>318873.0</v>
      </c>
      <c r="G356" s="1">
        <v>8475.0</v>
      </c>
      <c r="H356" s="1">
        <v>297.0</v>
      </c>
      <c r="I356" s="1">
        <v>2.28E7</v>
      </c>
      <c r="J356" s="1" t="s">
        <v>2468</v>
      </c>
      <c r="K356" s="5">
        <f t="shared" si="2"/>
        <v>0.01398565789</v>
      </c>
      <c r="L356" s="6">
        <f t="shared" si="3"/>
        <v>191</v>
      </c>
      <c r="M356" s="6">
        <f t="shared" si="4"/>
        <v>1669.492147</v>
      </c>
      <c r="N356" s="7">
        <f t="shared" si="5"/>
        <v>0.00007322333976</v>
      </c>
      <c r="O356" s="7"/>
      <c r="P356" s="4">
        <f t="shared" si="6"/>
        <v>-0.3979500992</v>
      </c>
      <c r="Q356" s="4">
        <f t="shared" si="7"/>
        <v>8</v>
      </c>
      <c r="R356" s="4">
        <f t="shared" si="8"/>
        <v>1</v>
      </c>
      <c r="S356" s="4">
        <f t="shared" si="9"/>
        <v>-0.3979500992</v>
      </c>
      <c r="T356" s="4">
        <f t="shared" si="10"/>
        <v>41</v>
      </c>
      <c r="U356" s="4">
        <f t="shared" si="1"/>
        <v>-0.3979500992</v>
      </c>
      <c r="V356" s="4"/>
    </row>
    <row r="357">
      <c r="A357" s="1" t="s">
        <v>5574</v>
      </c>
      <c r="B357" s="1" t="s">
        <v>5575</v>
      </c>
      <c r="C357" s="1" t="s">
        <v>5576</v>
      </c>
      <c r="D357" s="1" t="s">
        <v>5437</v>
      </c>
      <c r="E357" s="1" t="s">
        <v>5438</v>
      </c>
      <c r="F357" s="1">
        <v>82648.0</v>
      </c>
      <c r="G357" s="1">
        <v>2696.0</v>
      </c>
      <c r="H357" s="1">
        <v>84.0</v>
      </c>
      <c r="I357" s="1">
        <v>2.28E7</v>
      </c>
      <c r="J357" s="1" t="s">
        <v>2468</v>
      </c>
      <c r="K357" s="5">
        <f t="shared" si="2"/>
        <v>0.003624912281</v>
      </c>
      <c r="L357" s="6">
        <f t="shared" si="3"/>
        <v>196</v>
      </c>
      <c r="M357" s="6">
        <f t="shared" si="4"/>
        <v>421.6734694</v>
      </c>
      <c r="N357" s="7">
        <f t="shared" si="5"/>
        <v>0.00001849445041</v>
      </c>
      <c r="O357" s="7"/>
      <c r="P357" s="4">
        <f t="shared" si="6"/>
        <v>-0.4364991273</v>
      </c>
      <c r="Q357" s="4">
        <f t="shared" si="7"/>
        <v>12</v>
      </c>
      <c r="R357" s="4">
        <f t="shared" si="8"/>
        <v>0</v>
      </c>
      <c r="S357" s="4">
        <f t="shared" si="9"/>
        <v>-0.4364991273</v>
      </c>
      <c r="T357" s="4">
        <f t="shared" si="10"/>
        <v>56</v>
      </c>
      <c r="U357" s="4">
        <f t="shared" si="1"/>
        <v>-0.4364991273</v>
      </c>
      <c r="V357" s="4"/>
    </row>
    <row r="358">
      <c r="A358" s="1" t="s">
        <v>5577</v>
      </c>
      <c r="B358" s="1" t="s">
        <v>5578</v>
      </c>
      <c r="C358" s="1" t="s">
        <v>5579</v>
      </c>
      <c r="D358" s="1" t="s">
        <v>5437</v>
      </c>
      <c r="E358" s="1" t="s">
        <v>5438</v>
      </c>
      <c r="F358" s="1">
        <v>486902.0</v>
      </c>
      <c r="G358" s="1">
        <v>13708.0</v>
      </c>
      <c r="H358" s="1">
        <v>538.0</v>
      </c>
      <c r="I358" s="1">
        <v>2.28E7</v>
      </c>
      <c r="J358" s="1" t="s">
        <v>2468</v>
      </c>
      <c r="K358" s="5">
        <f t="shared" si="2"/>
        <v>0.02135535088</v>
      </c>
      <c r="L358" s="6">
        <f t="shared" si="3"/>
        <v>198</v>
      </c>
      <c r="M358" s="6">
        <f t="shared" si="4"/>
        <v>2459.10101</v>
      </c>
      <c r="N358" s="7">
        <f t="shared" si="5"/>
        <v>0.0001078553075</v>
      </c>
      <c r="O358" s="7"/>
      <c r="P358" s="4">
        <f t="shared" si="6"/>
        <v>-0.3735566078</v>
      </c>
      <c r="Q358" s="4">
        <f t="shared" si="7"/>
        <v>8</v>
      </c>
      <c r="R358" s="4">
        <f t="shared" si="8"/>
        <v>0</v>
      </c>
      <c r="S358" s="4">
        <f t="shared" si="9"/>
        <v>-0.3735566078</v>
      </c>
      <c r="T358" s="4">
        <f t="shared" si="10"/>
        <v>42</v>
      </c>
      <c r="U358" s="4">
        <f t="shared" si="1"/>
        <v>-0.3735566078</v>
      </c>
      <c r="V358" s="4"/>
    </row>
    <row r="359">
      <c r="A359" s="1" t="s">
        <v>5580</v>
      </c>
      <c r="B359" s="1" t="s">
        <v>5581</v>
      </c>
      <c r="C359" s="1" t="s">
        <v>5582</v>
      </c>
      <c r="D359" s="1" t="s">
        <v>5437</v>
      </c>
      <c r="E359" s="1" t="s">
        <v>5438</v>
      </c>
      <c r="F359" s="1">
        <v>497410.0</v>
      </c>
      <c r="G359" s="1">
        <v>22437.0</v>
      </c>
      <c r="H359" s="1">
        <v>1191.0</v>
      </c>
      <c r="I359" s="1">
        <v>2.28E7</v>
      </c>
      <c r="J359" s="1" t="s">
        <v>2468</v>
      </c>
      <c r="K359" s="5">
        <f t="shared" si="2"/>
        <v>0.02181622807</v>
      </c>
      <c r="L359" s="6">
        <f t="shared" si="3"/>
        <v>203</v>
      </c>
      <c r="M359" s="6">
        <f t="shared" si="4"/>
        <v>2450.295567</v>
      </c>
      <c r="N359" s="7">
        <f t="shared" si="5"/>
        <v>0.0001074691038</v>
      </c>
      <c r="O359" s="7"/>
      <c r="P359" s="4">
        <f t="shared" si="6"/>
        <v>-0.3738286355</v>
      </c>
      <c r="Q359" s="4">
        <f t="shared" si="7"/>
        <v>11</v>
      </c>
      <c r="R359" s="4">
        <f t="shared" si="8"/>
        <v>0</v>
      </c>
      <c r="S359" s="4">
        <f t="shared" si="9"/>
        <v>-0.3738286355</v>
      </c>
      <c r="T359" s="4">
        <f t="shared" si="10"/>
        <v>43</v>
      </c>
      <c r="U359" s="4">
        <f t="shared" si="1"/>
        <v>-0.3738286355</v>
      </c>
      <c r="V359" s="4"/>
    </row>
    <row r="360">
      <c r="A360" s="1" t="s">
        <v>5583</v>
      </c>
      <c r="B360" s="1" t="s">
        <v>5584</v>
      </c>
      <c r="C360" s="1" t="s">
        <v>5585</v>
      </c>
      <c r="D360" s="1" t="s">
        <v>5437</v>
      </c>
      <c r="E360" s="1" t="s">
        <v>5438</v>
      </c>
      <c r="F360" s="1">
        <v>303641.0</v>
      </c>
      <c r="G360" s="1">
        <v>9244.0</v>
      </c>
      <c r="H360" s="1">
        <v>315.0</v>
      </c>
      <c r="I360" s="1">
        <v>2.28E7</v>
      </c>
      <c r="J360" s="1" t="s">
        <v>2468</v>
      </c>
      <c r="K360" s="5">
        <f t="shared" si="2"/>
        <v>0.01331758772</v>
      </c>
      <c r="L360" s="6">
        <f t="shared" si="3"/>
        <v>205</v>
      </c>
      <c r="M360" s="6">
        <f t="shared" si="4"/>
        <v>1481.17561</v>
      </c>
      <c r="N360" s="7">
        <f t="shared" si="5"/>
        <v>0.00006496384253</v>
      </c>
      <c r="O360" s="7"/>
      <c r="P360" s="4">
        <f t="shared" si="6"/>
        <v>-0.403767787</v>
      </c>
      <c r="Q360" s="4">
        <f t="shared" si="7"/>
        <v>13</v>
      </c>
      <c r="R360" s="4">
        <f t="shared" si="8"/>
        <v>0</v>
      </c>
      <c r="S360" s="4">
        <f t="shared" si="9"/>
        <v>-0.403767787</v>
      </c>
      <c r="T360" s="4">
        <f t="shared" si="10"/>
        <v>60</v>
      </c>
      <c r="U360" s="4">
        <f t="shared" si="1"/>
        <v>-0.403767787</v>
      </c>
      <c r="V360" s="4"/>
    </row>
    <row r="361">
      <c r="A361" s="1" t="s">
        <v>5586</v>
      </c>
      <c r="B361" s="1" t="s">
        <v>5587</v>
      </c>
      <c r="C361" s="1" t="s">
        <v>5588</v>
      </c>
      <c r="D361" s="1" t="s">
        <v>5437</v>
      </c>
      <c r="E361" s="1" t="s">
        <v>5438</v>
      </c>
      <c r="F361" s="1">
        <v>224731.0</v>
      </c>
      <c r="G361" s="1">
        <v>9253.0</v>
      </c>
      <c r="H361" s="1">
        <v>337.0</v>
      </c>
      <c r="I361" s="1">
        <v>2.28E7</v>
      </c>
      <c r="J361" s="1" t="s">
        <v>2468</v>
      </c>
      <c r="K361" s="5">
        <f t="shared" si="2"/>
        <v>0.009856622807</v>
      </c>
      <c r="L361" s="6">
        <f t="shared" si="3"/>
        <v>210</v>
      </c>
      <c r="M361" s="6">
        <f t="shared" si="4"/>
        <v>1070.147619</v>
      </c>
      <c r="N361" s="7">
        <f t="shared" si="5"/>
        <v>0.00004693629908</v>
      </c>
      <c r="O361" s="7"/>
      <c r="P361" s="4">
        <f t="shared" si="6"/>
        <v>-0.4164657293</v>
      </c>
      <c r="Q361" s="4">
        <f t="shared" si="7"/>
        <v>12</v>
      </c>
      <c r="R361" s="4">
        <f t="shared" si="8"/>
        <v>1</v>
      </c>
      <c r="S361" s="4">
        <f t="shared" si="9"/>
        <v>-0.4164657293</v>
      </c>
      <c r="T361" s="4">
        <f t="shared" si="10"/>
        <v>55</v>
      </c>
      <c r="U361" s="4">
        <f t="shared" si="1"/>
        <v>-0.4164657293</v>
      </c>
      <c r="V361" s="4"/>
    </row>
    <row r="362">
      <c r="A362" s="1" t="s">
        <v>5589</v>
      </c>
      <c r="B362" s="1" t="s">
        <v>5590</v>
      </c>
      <c r="C362" s="1" t="s">
        <v>5591</v>
      </c>
      <c r="D362" s="1" t="s">
        <v>5437</v>
      </c>
      <c r="E362" s="1" t="s">
        <v>5438</v>
      </c>
      <c r="F362" s="1">
        <v>29962.0</v>
      </c>
      <c r="G362" s="1">
        <v>689.0</v>
      </c>
      <c r="H362" s="1">
        <v>48.0</v>
      </c>
      <c r="I362" s="1">
        <v>2.28E7</v>
      </c>
      <c r="J362" s="1" t="s">
        <v>2468</v>
      </c>
      <c r="K362" s="5">
        <f t="shared" si="2"/>
        <v>0.001314122807</v>
      </c>
      <c r="L362" s="6">
        <f t="shared" si="3"/>
        <v>211</v>
      </c>
      <c r="M362" s="6">
        <f t="shared" si="4"/>
        <v>142</v>
      </c>
      <c r="N362" s="7">
        <f t="shared" si="5"/>
        <v>0.000006228070175</v>
      </c>
      <c r="O362" s="7"/>
      <c r="P362" s="4">
        <f t="shared" si="6"/>
        <v>-0.4451391169</v>
      </c>
      <c r="Q362" s="4">
        <f t="shared" si="7"/>
        <v>4</v>
      </c>
      <c r="R362" s="4">
        <f t="shared" si="8"/>
        <v>0</v>
      </c>
      <c r="S362" s="4">
        <f t="shared" si="9"/>
        <v>-0.4451391169</v>
      </c>
      <c r="T362" s="4">
        <f t="shared" si="10"/>
        <v>26</v>
      </c>
      <c r="U362" s="4">
        <f t="shared" si="1"/>
        <v>-0.4451391169</v>
      </c>
      <c r="V362" s="4"/>
    </row>
    <row r="363">
      <c r="A363" s="1" t="s">
        <v>5592</v>
      </c>
      <c r="B363" s="1" t="s">
        <v>5593</v>
      </c>
      <c r="C363" s="1" t="s">
        <v>5594</v>
      </c>
      <c r="D363" s="1" t="s">
        <v>5437</v>
      </c>
      <c r="E363" s="1" t="s">
        <v>5438</v>
      </c>
      <c r="F363" s="1">
        <v>222024.0</v>
      </c>
      <c r="G363" s="1">
        <v>7630.0</v>
      </c>
      <c r="H363" s="1">
        <v>286.0</v>
      </c>
      <c r="I363" s="1">
        <v>2.28E7</v>
      </c>
      <c r="J363" s="1" t="s">
        <v>2468</v>
      </c>
      <c r="K363" s="5">
        <f t="shared" si="2"/>
        <v>0.009737894737</v>
      </c>
      <c r="L363" s="6">
        <f t="shared" si="3"/>
        <v>212</v>
      </c>
      <c r="M363" s="6">
        <f t="shared" si="4"/>
        <v>1047.283019</v>
      </c>
      <c r="N363" s="7">
        <f t="shared" si="5"/>
        <v>0.00004593346574</v>
      </c>
      <c r="O363" s="7"/>
      <c r="P363" s="4">
        <f t="shared" si="6"/>
        <v>-0.4171720884</v>
      </c>
      <c r="Q363" s="4">
        <f t="shared" si="7"/>
        <v>12</v>
      </c>
      <c r="R363" s="4">
        <f t="shared" si="8"/>
        <v>1</v>
      </c>
      <c r="S363" s="4">
        <f t="shared" si="9"/>
        <v>-0.4171720884</v>
      </c>
      <c r="T363" s="4">
        <f t="shared" si="10"/>
        <v>51</v>
      </c>
      <c r="U363" s="4">
        <f t="shared" si="1"/>
        <v>-0.4171720884</v>
      </c>
      <c r="V363" s="4"/>
    </row>
    <row r="364">
      <c r="A364" s="1" t="s">
        <v>5595</v>
      </c>
      <c r="B364" s="1" t="s">
        <v>5596</v>
      </c>
      <c r="C364" s="1" t="s">
        <v>5597</v>
      </c>
      <c r="D364" s="1" t="s">
        <v>5437</v>
      </c>
      <c r="E364" s="1" t="s">
        <v>5438</v>
      </c>
      <c r="F364" s="1">
        <v>458862.0</v>
      </c>
      <c r="G364" s="1">
        <v>14340.0</v>
      </c>
      <c r="H364" s="1">
        <v>1293.0</v>
      </c>
      <c r="I364" s="1">
        <v>2.28E7</v>
      </c>
      <c r="J364" s="1" t="s">
        <v>2468</v>
      </c>
      <c r="K364" s="5">
        <f t="shared" si="2"/>
        <v>0.02012552632</v>
      </c>
      <c r="L364" s="6">
        <f t="shared" si="3"/>
        <v>217</v>
      </c>
      <c r="M364" s="6">
        <f t="shared" si="4"/>
        <v>2114.571429</v>
      </c>
      <c r="N364" s="7">
        <f t="shared" si="5"/>
        <v>0.0000927443609</v>
      </c>
      <c r="O364" s="7"/>
      <c r="P364" s="4">
        <f t="shared" si="6"/>
        <v>-0.3842002059</v>
      </c>
      <c r="Q364" s="4">
        <f t="shared" si="7"/>
        <v>12</v>
      </c>
      <c r="R364" s="4">
        <f t="shared" si="8"/>
        <v>1</v>
      </c>
      <c r="S364" s="4">
        <f t="shared" si="9"/>
        <v>-0.3842002059</v>
      </c>
      <c r="T364" s="4">
        <f t="shared" si="10"/>
        <v>54</v>
      </c>
      <c r="U364" s="4">
        <f t="shared" si="1"/>
        <v>-0.3842002059</v>
      </c>
      <c r="V364" s="4"/>
    </row>
    <row r="365">
      <c r="A365" s="1" t="s">
        <v>5598</v>
      </c>
      <c r="B365" s="1" t="s">
        <v>5599</v>
      </c>
      <c r="C365" s="1" t="s">
        <v>2187</v>
      </c>
      <c r="D365" s="1" t="s">
        <v>5437</v>
      </c>
      <c r="E365" s="1" t="s">
        <v>5438</v>
      </c>
      <c r="F365" s="1">
        <v>189127.0</v>
      </c>
      <c r="G365" s="1">
        <v>5695.0</v>
      </c>
      <c r="H365" s="1">
        <v>206.0</v>
      </c>
      <c r="I365" s="1">
        <v>2.28E7</v>
      </c>
      <c r="J365" s="1" t="s">
        <v>2468</v>
      </c>
      <c r="K365" s="5">
        <f t="shared" si="2"/>
        <v>0.00829504386</v>
      </c>
      <c r="L365" s="6">
        <f t="shared" si="3"/>
        <v>219</v>
      </c>
      <c r="M365" s="6">
        <f t="shared" si="4"/>
        <v>863.5936073</v>
      </c>
      <c r="N365" s="7">
        <f t="shared" si="5"/>
        <v>0.0000378769126</v>
      </c>
      <c r="O365" s="7"/>
      <c r="P365" s="4">
        <f t="shared" si="6"/>
        <v>-0.4228468298</v>
      </c>
      <c r="Q365" s="4">
        <f t="shared" si="7"/>
        <v>11</v>
      </c>
      <c r="R365" s="4">
        <f t="shared" si="8"/>
        <v>0</v>
      </c>
      <c r="S365" s="4">
        <f t="shared" si="9"/>
        <v>-0.4228468298</v>
      </c>
      <c r="T365" s="4">
        <f t="shared" si="10"/>
        <v>49</v>
      </c>
      <c r="U365" s="4">
        <f t="shared" si="1"/>
        <v>-0.4228468298</v>
      </c>
      <c r="V365" s="4"/>
    </row>
    <row r="366">
      <c r="A366" s="1" t="s">
        <v>5600</v>
      </c>
      <c r="B366" s="1" t="s">
        <v>5601</v>
      </c>
      <c r="C366" s="1" t="s">
        <v>5602</v>
      </c>
      <c r="D366" s="1" t="s">
        <v>5437</v>
      </c>
      <c r="E366" s="1" t="s">
        <v>5438</v>
      </c>
      <c r="F366" s="1">
        <v>92701.0</v>
      </c>
      <c r="G366" s="1">
        <v>2420.0</v>
      </c>
      <c r="H366" s="1">
        <v>104.0</v>
      </c>
      <c r="I366" s="1">
        <v>2.28E7</v>
      </c>
      <c r="J366" s="1" t="s">
        <v>2468</v>
      </c>
      <c r="K366" s="5">
        <f t="shared" si="2"/>
        <v>0.004065833333</v>
      </c>
      <c r="L366" s="6">
        <f t="shared" si="3"/>
        <v>224</v>
      </c>
      <c r="M366" s="6">
        <f t="shared" si="4"/>
        <v>413.84375</v>
      </c>
      <c r="N366" s="7">
        <f t="shared" si="5"/>
        <v>0.00001815104167</v>
      </c>
      <c r="O366" s="7"/>
      <c r="P366" s="4">
        <f t="shared" si="6"/>
        <v>-0.4367410118</v>
      </c>
      <c r="Q366" s="4">
        <f t="shared" si="7"/>
        <v>13</v>
      </c>
      <c r="R366" s="4">
        <f t="shared" si="8"/>
        <v>0</v>
      </c>
      <c r="S366" s="4">
        <f t="shared" si="9"/>
        <v>-0.4367410118</v>
      </c>
      <c r="T366" s="4">
        <f t="shared" si="10"/>
        <v>57</v>
      </c>
      <c r="U366" s="4">
        <f t="shared" si="1"/>
        <v>-0.4367410118</v>
      </c>
      <c r="V366" s="4"/>
    </row>
    <row r="367">
      <c r="A367" s="1" t="s">
        <v>5603</v>
      </c>
      <c r="B367" s="1" t="s">
        <v>5604</v>
      </c>
      <c r="C367" s="1" t="s">
        <v>5605</v>
      </c>
      <c r="D367" s="1" t="s">
        <v>5437</v>
      </c>
      <c r="E367" s="1" t="s">
        <v>5438</v>
      </c>
      <c r="F367" s="1">
        <v>969730.0</v>
      </c>
      <c r="G367" s="1">
        <v>47831.0</v>
      </c>
      <c r="H367" s="1">
        <v>3737.0</v>
      </c>
      <c r="I367" s="1">
        <v>2.28E7</v>
      </c>
      <c r="J367" s="1" t="s">
        <v>2468</v>
      </c>
      <c r="K367" s="5">
        <f t="shared" si="2"/>
        <v>0.04253201754</v>
      </c>
      <c r="L367" s="6">
        <f t="shared" si="3"/>
        <v>226</v>
      </c>
      <c r="M367" s="6">
        <f t="shared" si="4"/>
        <v>4290.840708</v>
      </c>
      <c r="N367" s="7">
        <f t="shared" si="5"/>
        <v>0.0001881947679</v>
      </c>
      <c r="O367" s="7"/>
      <c r="P367" s="4">
        <f t="shared" si="6"/>
        <v>-0.3169684301</v>
      </c>
      <c r="Q367" s="4">
        <f t="shared" si="7"/>
        <v>11</v>
      </c>
      <c r="R367" s="4">
        <f t="shared" si="8"/>
        <v>0</v>
      </c>
      <c r="S367" s="4">
        <f t="shared" si="9"/>
        <v>-0.3169684301</v>
      </c>
      <c r="T367" s="4">
        <f t="shared" si="10"/>
        <v>60</v>
      </c>
      <c r="U367" s="4">
        <f t="shared" si="1"/>
        <v>-0.3169684301</v>
      </c>
      <c r="V367" s="4"/>
    </row>
    <row r="368">
      <c r="A368" s="1" t="s">
        <v>5606</v>
      </c>
      <c r="B368" s="1" t="s">
        <v>5607</v>
      </c>
      <c r="C368" s="1" t="s">
        <v>5608</v>
      </c>
      <c r="D368" s="1" t="s">
        <v>5437</v>
      </c>
      <c r="E368" s="1" t="s">
        <v>5438</v>
      </c>
      <c r="F368" s="1">
        <v>216753.0</v>
      </c>
      <c r="G368" s="1">
        <v>10557.0</v>
      </c>
      <c r="H368" s="1">
        <v>526.0</v>
      </c>
      <c r="I368" s="1">
        <v>2.28E7</v>
      </c>
      <c r="J368" s="1" t="s">
        <v>2468</v>
      </c>
      <c r="K368" s="5">
        <f t="shared" si="2"/>
        <v>0.009506710526</v>
      </c>
      <c r="L368" s="6">
        <f t="shared" si="3"/>
        <v>231</v>
      </c>
      <c r="M368" s="6">
        <f t="shared" si="4"/>
        <v>938.3246753</v>
      </c>
      <c r="N368" s="7">
        <f t="shared" si="5"/>
        <v>0.00004115459102</v>
      </c>
      <c r="O368" s="7"/>
      <c r="P368" s="4">
        <f t="shared" si="6"/>
        <v>-0.420538153</v>
      </c>
      <c r="Q368" s="4">
        <f t="shared" si="7"/>
        <v>13</v>
      </c>
      <c r="R368" s="4">
        <f t="shared" si="8"/>
        <v>0</v>
      </c>
      <c r="S368" s="4">
        <f t="shared" si="9"/>
        <v>-0.420538153</v>
      </c>
      <c r="T368" s="4">
        <f t="shared" si="10"/>
        <v>64</v>
      </c>
      <c r="U368" s="4">
        <f t="shared" si="1"/>
        <v>-0.420538153</v>
      </c>
      <c r="V368" s="4"/>
    </row>
    <row r="369">
      <c r="A369" s="1" t="s">
        <v>5609</v>
      </c>
      <c r="B369" s="1" t="s">
        <v>5610</v>
      </c>
      <c r="C369" s="1" t="s">
        <v>5611</v>
      </c>
      <c r="D369" s="1" t="s">
        <v>5437</v>
      </c>
      <c r="E369" s="1" t="s">
        <v>5438</v>
      </c>
      <c r="F369" s="1">
        <v>170074.0</v>
      </c>
      <c r="G369" s="1">
        <v>5569.0</v>
      </c>
      <c r="H369" s="1">
        <v>236.0</v>
      </c>
      <c r="I369" s="1">
        <v>2.28E7</v>
      </c>
      <c r="J369" s="1" t="s">
        <v>2468</v>
      </c>
      <c r="K369" s="5">
        <f t="shared" si="2"/>
        <v>0.007459385965</v>
      </c>
      <c r="L369" s="6">
        <f t="shared" si="3"/>
        <v>233</v>
      </c>
      <c r="M369" s="6">
        <f t="shared" si="4"/>
        <v>729.9313305</v>
      </c>
      <c r="N369" s="7">
        <f t="shared" si="5"/>
        <v>0.00003201453204</v>
      </c>
      <c r="O369" s="7"/>
      <c r="P369" s="4">
        <f t="shared" si="6"/>
        <v>-0.4269760762</v>
      </c>
      <c r="Q369" s="4">
        <f t="shared" si="7"/>
        <v>9</v>
      </c>
      <c r="R369" s="4">
        <f t="shared" si="8"/>
        <v>1</v>
      </c>
      <c r="S369" s="4">
        <f t="shared" si="9"/>
        <v>-0.4269760762</v>
      </c>
      <c r="T369" s="4">
        <f t="shared" si="10"/>
        <v>48</v>
      </c>
      <c r="U369" s="4">
        <f t="shared" si="1"/>
        <v>-0.4269760762</v>
      </c>
      <c r="V369" s="4"/>
    </row>
    <row r="370">
      <c r="A370" s="1" t="s">
        <v>5612</v>
      </c>
      <c r="B370" s="1" t="s">
        <v>5613</v>
      </c>
      <c r="C370" s="1" t="s">
        <v>5614</v>
      </c>
      <c r="D370" s="1" t="s">
        <v>5437</v>
      </c>
      <c r="E370" s="1" t="s">
        <v>5438</v>
      </c>
      <c r="F370" s="1">
        <v>564033.0</v>
      </c>
      <c r="G370" s="1">
        <v>19893.0</v>
      </c>
      <c r="H370" s="1">
        <v>403.0</v>
      </c>
      <c r="I370" s="1">
        <v>2.28E7</v>
      </c>
      <c r="J370" s="1" t="s">
        <v>2468</v>
      </c>
      <c r="K370" s="5">
        <f t="shared" si="2"/>
        <v>0.02473828947</v>
      </c>
      <c r="L370" s="6">
        <f t="shared" si="3"/>
        <v>238</v>
      </c>
      <c r="M370" s="6">
        <f t="shared" si="4"/>
        <v>2369.886555</v>
      </c>
      <c r="N370" s="7">
        <f t="shared" si="5"/>
        <v>0.0001039423927</v>
      </c>
      <c r="O370" s="7"/>
      <c r="P370" s="4">
        <f t="shared" si="6"/>
        <v>-0.3763127218</v>
      </c>
      <c r="Q370" s="4">
        <f t="shared" si="7"/>
        <v>12</v>
      </c>
      <c r="R370" s="4">
        <f t="shared" si="8"/>
        <v>0</v>
      </c>
      <c r="S370" s="4">
        <f t="shared" si="9"/>
        <v>-0.3763127218</v>
      </c>
      <c r="T370" s="4">
        <f t="shared" si="10"/>
        <v>63</v>
      </c>
      <c r="U370" s="4">
        <f t="shared" si="1"/>
        <v>-0.3763127218</v>
      </c>
      <c r="V370" s="4"/>
    </row>
    <row r="371">
      <c r="A371" s="1" t="s">
        <v>5615</v>
      </c>
      <c r="B371" s="1" t="s">
        <v>5616</v>
      </c>
      <c r="C371" s="1" t="s">
        <v>5617</v>
      </c>
      <c r="D371" s="1" t="s">
        <v>5437</v>
      </c>
      <c r="E371" s="1" t="s">
        <v>5438</v>
      </c>
      <c r="F371" s="1">
        <v>400932.0</v>
      </c>
      <c r="G371" s="1">
        <v>14031.0</v>
      </c>
      <c r="H371" s="1">
        <v>344.0</v>
      </c>
      <c r="I371" s="1">
        <v>2.28E7</v>
      </c>
      <c r="J371" s="1" t="s">
        <v>2468</v>
      </c>
      <c r="K371" s="5">
        <f t="shared" si="2"/>
        <v>0.01758473684</v>
      </c>
      <c r="L371" s="6">
        <f t="shared" si="3"/>
        <v>240</v>
      </c>
      <c r="M371" s="6">
        <f t="shared" si="4"/>
        <v>1670.55</v>
      </c>
      <c r="N371" s="7">
        <f t="shared" si="5"/>
        <v>0.00007326973684</v>
      </c>
      <c r="O371" s="7"/>
      <c r="P371" s="4">
        <f t="shared" si="6"/>
        <v>-0.3979174188</v>
      </c>
      <c r="Q371" s="4">
        <f t="shared" si="7"/>
        <v>11</v>
      </c>
      <c r="R371" s="4">
        <f t="shared" si="8"/>
        <v>0</v>
      </c>
      <c r="S371" s="4">
        <f t="shared" si="9"/>
        <v>-0.3979174188</v>
      </c>
      <c r="T371" s="4">
        <f t="shared" si="10"/>
        <v>52</v>
      </c>
      <c r="U371" s="4">
        <f t="shared" si="1"/>
        <v>-0.3979174188</v>
      </c>
      <c r="V371" s="4"/>
    </row>
    <row r="372">
      <c r="A372" s="1" t="s">
        <v>5618</v>
      </c>
      <c r="B372" s="1" t="s">
        <v>5619</v>
      </c>
      <c r="C372" s="1" t="s">
        <v>5620</v>
      </c>
      <c r="D372" s="1" t="s">
        <v>5437</v>
      </c>
      <c r="E372" s="1" t="s">
        <v>5438</v>
      </c>
      <c r="F372" s="1">
        <v>180635.0</v>
      </c>
      <c r="G372" s="1">
        <v>5007.0</v>
      </c>
      <c r="H372" s="1">
        <v>242.0</v>
      </c>
      <c r="I372" s="1">
        <v>2.28E7</v>
      </c>
      <c r="J372" s="1" t="s">
        <v>2468</v>
      </c>
      <c r="K372" s="5">
        <f t="shared" si="2"/>
        <v>0.007922587719</v>
      </c>
      <c r="L372" s="6">
        <f t="shared" si="3"/>
        <v>254</v>
      </c>
      <c r="M372" s="6">
        <f t="shared" si="4"/>
        <v>711.1614173</v>
      </c>
      <c r="N372" s="7">
        <f t="shared" si="5"/>
        <v>0.00003119129023</v>
      </c>
      <c r="O372" s="7"/>
      <c r="P372" s="4">
        <f t="shared" si="6"/>
        <v>-0.4275559376</v>
      </c>
      <c r="Q372" s="4">
        <f t="shared" si="7"/>
        <v>10</v>
      </c>
      <c r="R372" s="4">
        <f t="shared" si="8"/>
        <v>1</v>
      </c>
      <c r="S372" s="4">
        <f t="shared" si="9"/>
        <v>-0.4275559376</v>
      </c>
      <c r="T372" s="4">
        <f t="shared" si="10"/>
        <v>47</v>
      </c>
      <c r="U372" s="4">
        <f t="shared" si="1"/>
        <v>-0.4275559376</v>
      </c>
      <c r="V372" s="4"/>
    </row>
    <row r="373">
      <c r="A373" s="1" t="s">
        <v>5621</v>
      </c>
      <c r="B373" s="1" t="s">
        <v>5622</v>
      </c>
      <c r="C373" s="1" t="s">
        <v>5623</v>
      </c>
      <c r="D373" s="1" t="s">
        <v>5437</v>
      </c>
      <c r="E373" s="1" t="s">
        <v>5438</v>
      </c>
      <c r="F373" s="1">
        <v>396883.0</v>
      </c>
      <c r="G373" s="1">
        <v>12602.0</v>
      </c>
      <c r="H373" s="1">
        <v>926.0</v>
      </c>
      <c r="I373" s="1">
        <v>2.28E7</v>
      </c>
      <c r="J373" s="1" t="s">
        <v>2468</v>
      </c>
      <c r="K373" s="5">
        <f t="shared" si="2"/>
        <v>0.01740714912</v>
      </c>
      <c r="L373" s="6">
        <f t="shared" si="3"/>
        <v>259</v>
      </c>
      <c r="M373" s="6">
        <f t="shared" si="4"/>
        <v>1532.366795</v>
      </c>
      <c r="N373" s="7">
        <f t="shared" si="5"/>
        <v>0.00006720906997</v>
      </c>
      <c r="O373" s="7"/>
      <c r="P373" s="4">
        <f t="shared" si="6"/>
        <v>-0.4021863309</v>
      </c>
      <c r="Q373" s="4">
        <f t="shared" si="7"/>
        <v>11</v>
      </c>
      <c r="R373" s="4">
        <f t="shared" si="8"/>
        <v>1</v>
      </c>
      <c r="S373" s="4">
        <f t="shared" si="9"/>
        <v>-0.4021863309</v>
      </c>
      <c r="T373" s="4">
        <f t="shared" si="10"/>
        <v>58</v>
      </c>
      <c r="U373" s="4">
        <f t="shared" si="1"/>
        <v>-0.4021863309</v>
      </c>
      <c r="V373" s="4"/>
    </row>
    <row r="374">
      <c r="A374" s="1" t="s">
        <v>5624</v>
      </c>
      <c r="B374" s="1" t="s">
        <v>5625</v>
      </c>
      <c r="C374" s="1" t="s">
        <v>5626</v>
      </c>
      <c r="D374" s="1" t="s">
        <v>5437</v>
      </c>
      <c r="E374" s="1" t="s">
        <v>5438</v>
      </c>
      <c r="F374" s="1">
        <v>288114.0</v>
      </c>
      <c r="G374" s="1">
        <v>9438.0</v>
      </c>
      <c r="H374" s="1">
        <v>376.0</v>
      </c>
      <c r="I374" s="1">
        <v>2.28E7</v>
      </c>
      <c r="J374" s="1" t="s">
        <v>2468</v>
      </c>
      <c r="K374" s="5">
        <f t="shared" si="2"/>
        <v>0.01263657895</v>
      </c>
      <c r="L374" s="6">
        <f t="shared" si="3"/>
        <v>261</v>
      </c>
      <c r="M374" s="6">
        <f t="shared" si="4"/>
        <v>1103.885057</v>
      </c>
      <c r="N374" s="7">
        <f t="shared" si="5"/>
        <v>0.00004841601129</v>
      </c>
      <c r="O374" s="7"/>
      <c r="P374" s="4">
        <f t="shared" si="6"/>
        <v>-0.4154234741</v>
      </c>
      <c r="Q374" s="4">
        <f t="shared" si="7"/>
        <v>10</v>
      </c>
      <c r="R374" s="4">
        <f t="shared" si="8"/>
        <v>1</v>
      </c>
      <c r="S374" s="4">
        <f t="shared" si="9"/>
        <v>-0.4154234741</v>
      </c>
      <c r="T374" s="4">
        <f t="shared" si="10"/>
        <v>43</v>
      </c>
      <c r="U374" s="4">
        <f t="shared" si="1"/>
        <v>-0.4154234741</v>
      </c>
      <c r="V374" s="4"/>
    </row>
    <row r="375">
      <c r="A375" s="1" t="s">
        <v>5627</v>
      </c>
      <c r="B375" s="1" t="s">
        <v>5628</v>
      </c>
      <c r="C375" s="1" t="s">
        <v>5629</v>
      </c>
      <c r="D375" s="1" t="s">
        <v>5437</v>
      </c>
      <c r="E375" s="1" t="s">
        <v>5438</v>
      </c>
      <c r="F375" s="1">
        <v>2096361.0</v>
      </c>
      <c r="G375" s="1">
        <v>56256.0</v>
      </c>
      <c r="H375" s="1">
        <v>1670.0</v>
      </c>
      <c r="I375" s="1">
        <v>2.28E7</v>
      </c>
      <c r="J375" s="1" t="s">
        <v>2468</v>
      </c>
      <c r="K375" s="5">
        <f t="shared" si="2"/>
        <v>0.09194565789</v>
      </c>
      <c r="L375" s="6">
        <f t="shared" si="3"/>
        <v>266</v>
      </c>
      <c r="M375" s="6">
        <f t="shared" si="4"/>
        <v>7881.056391</v>
      </c>
      <c r="N375" s="7">
        <f t="shared" si="5"/>
        <v>0.000345660368</v>
      </c>
      <c r="O375" s="7"/>
      <c r="P375" s="4">
        <f t="shared" si="6"/>
        <v>-0.2060554204</v>
      </c>
      <c r="Q375" s="4">
        <f t="shared" si="7"/>
        <v>12</v>
      </c>
      <c r="R375" s="4">
        <f t="shared" si="8"/>
        <v>1</v>
      </c>
      <c r="S375" s="4">
        <f t="shared" si="9"/>
        <v>-0.2060554204</v>
      </c>
      <c r="T375" s="4">
        <f t="shared" si="10"/>
        <v>49</v>
      </c>
      <c r="U375" s="4">
        <f t="shared" si="1"/>
        <v>-0.2060554204</v>
      </c>
      <c r="V375" s="4"/>
    </row>
    <row r="376">
      <c r="A376" s="1" t="s">
        <v>5630</v>
      </c>
      <c r="B376" s="1" t="s">
        <v>5631</v>
      </c>
      <c r="C376" s="1" t="s">
        <v>5632</v>
      </c>
      <c r="D376" s="1" t="s">
        <v>5437</v>
      </c>
      <c r="E376" s="1" t="s">
        <v>5438</v>
      </c>
      <c r="F376" s="1">
        <v>595250.0</v>
      </c>
      <c r="G376" s="1">
        <v>12964.0</v>
      </c>
      <c r="H376" s="1">
        <v>1010.0</v>
      </c>
      <c r="I376" s="1">
        <v>2.28E7</v>
      </c>
      <c r="J376" s="1" t="s">
        <v>2468</v>
      </c>
      <c r="K376" s="5">
        <f t="shared" si="2"/>
        <v>0.02610745614</v>
      </c>
      <c r="L376" s="6">
        <f t="shared" si="3"/>
        <v>268</v>
      </c>
      <c r="M376" s="6">
        <f t="shared" si="4"/>
        <v>2221.08209</v>
      </c>
      <c r="N376" s="7">
        <f t="shared" si="5"/>
        <v>0.00009741588112</v>
      </c>
      <c r="O376" s="7"/>
      <c r="P376" s="4">
        <f t="shared" si="6"/>
        <v>-0.3809097579</v>
      </c>
      <c r="Q376" s="4">
        <f t="shared" si="7"/>
        <v>16</v>
      </c>
      <c r="R376" s="4">
        <f t="shared" si="8"/>
        <v>0</v>
      </c>
      <c r="S376" s="4">
        <f t="shared" si="9"/>
        <v>-0.3809097579</v>
      </c>
      <c r="T376" s="4">
        <f t="shared" si="10"/>
        <v>81</v>
      </c>
      <c r="U376" s="4">
        <f t="shared" si="1"/>
        <v>-0.3809097579</v>
      </c>
      <c r="V376" s="4"/>
    </row>
    <row r="377">
      <c r="A377" s="1" t="s">
        <v>5633</v>
      </c>
      <c r="B377" s="1" t="s">
        <v>5634</v>
      </c>
      <c r="C377" s="1" t="s">
        <v>5635</v>
      </c>
      <c r="D377" s="1" t="s">
        <v>5437</v>
      </c>
      <c r="E377" s="1" t="s">
        <v>5438</v>
      </c>
      <c r="F377" s="1">
        <v>87137.0</v>
      </c>
      <c r="G377" s="1">
        <v>2146.0</v>
      </c>
      <c r="H377" s="1">
        <v>48.0</v>
      </c>
      <c r="I377" s="1">
        <v>2.28E7</v>
      </c>
      <c r="J377" s="1" t="s">
        <v>2468</v>
      </c>
      <c r="K377" s="5">
        <f t="shared" si="2"/>
        <v>0.003821798246</v>
      </c>
      <c r="L377" s="6">
        <f t="shared" si="3"/>
        <v>273</v>
      </c>
      <c r="M377" s="6">
        <f t="shared" si="4"/>
        <v>319.1831502</v>
      </c>
      <c r="N377" s="7">
        <f t="shared" si="5"/>
        <v>0.00001399926097</v>
      </c>
      <c r="O377" s="7"/>
      <c r="P377" s="4">
        <f t="shared" si="6"/>
        <v>-0.4396653743</v>
      </c>
      <c r="Q377" s="4">
        <f t="shared" si="7"/>
        <v>16</v>
      </c>
      <c r="R377" s="4">
        <f t="shared" si="8"/>
        <v>0</v>
      </c>
      <c r="S377" s="4">
        <f t="shared" si="9"/>
        <v>-0.4396653743</v>
      </c>
      <c r="T377" s="4">
        <f t="shared" si="10"/>
        <v>67</v>
      </c>
      <c r="U377" s="4">
        <f t="shared" si="1"/>
        <v>-0.4396653743</v>
      </c>
      <c r="V377" s="4"/>
    </row>
    <row r="378">
      <c r="A378" s="1" t="s">
        <v>5636</v>
      </c>
      <c r="B378" s="1" t="s">
        <v>5637</v>
      </c>
      <c r="C378" s="1" t="s">
        <v>5638</v>
      </c>
      <c r="D378" s="1" t="s">
        <v>5437</v>
      </c>
      <c r="E378" s="1" t="s">
        <v>5438</v>
      </c>
      <c r="F378" s="1">
        <v>136074.0</v>
      </c>
      <c r="G378" s="1">
        <v>5714.0</v>
      </c>
      <c r="H378" s="1">
        <v>276.0</v>
      </c>
      <c r="I378" s="1">
        <v>2.28E7</v>
      </c>
      <c r="J378" s="1" t="s">
        <v>2468</v>
      </c>
      <c r="K378" s="5">
        <f t="shared" si="2"/>
        <v>0.005968157895</v>
      </c>
      <c r="L378" s="6">
        <f t="shared" si="3"/>
        <v>275</v>
      </c>
      <c r="M378" s="6">
        <f t="shared" si="4"/>
        <v>494.8145455</v>
      </c>
      <c r="N378" s="7">
        <f t="shared" si="5"/>
        <v>0.00002170239234</v>
      </c>
      <c r="O378" s="7"/>
      <c r="P378" s="4">
        <f t="shared" si="6"/>
        <v>-0.4342395703</v>
      </c>
      <c r="Q378" s="4">
        <f t="shared" si="7"/>
        <v>11</v>
      </c>
      <c r="R378" s="4">
        <f t="shared" si="8"/>
        <v>0</v>
      </c>
      <c r="S378" s="4">
        <f t="shared" si="9"/>
        <v>-0.4342395703</v>
      </c>
      <c r="T378" s="4">
        <f t="shared" si="10"/>
        <v>40</v>
      </c>
      <c r="U378" s="4">
        <f t="shared" si="1"/>
        <v>-0.4342395703</v>
      </c>
      <c r="V378" s="4"/>
    </row>
    <row r="379">
      <c r="A379" s="1" t="s">
        <v>5639</v>
      </c>
      <c r="B379" s="1" t="s">
        <v>5640</v>
      </c>
      <c r="C379" s="1" t="s">
        <v>5641</v>
      </c>
      <c r="D379" s="1" t="s">
        <v>5437</v>
      </c>
      <c r="E379" s="1" t="s">
        <v>5438</v>
      </c>
      <c r="F379" s="1">
        <v>570044.0</v>
      </c>
      <c r="G379" s="1">
        <v>13080.0</v>
      </c>
      <c r="H379" s="1">
        <v>285.0</v>
      </c>
      <c r="I379" s="1">
        <v>2.28E7</v>
      </c>
      <c r="J379" s="1" t="s">
        <v>2468</v>
      </c>
      <c r="K379" s="5">
        <f t="shared" si="2"/>
        <v>0.02500192982</v>
      </c>
      <c r="L379" s="6">
        <f t="shared" si="3"/>
        <v>282</v>
      </c>
      <c r="M379" s="6">
        <f t="shared" si="4"/>
        <v>2021.432624</v>
      </c>
      <c r="N379" s="7">
        <f t="shared" si="5"/>
        <v>0.00008865932562</v>
      </c>
      <c r="O379" s="7"/>
      <c r="P379" s="4">
        <f t="shared" si="6"/>
        <v>-0.3870775553</v>
      </c>
      <c r="Q379" s="4">
        <f t="shared" si="7"/>
        <v>13</v>
      </c>
      <c r="R379" s="4">
        <f t="shared" si="8"/>
        <v>0</v>
      </c>
      <c r="S379" s="4">
        <f t="shared" si="9"/>
        <v>-0.3870775553</v>
      </c>
      <c r="T379" s="4">
        <f t="shared" si="10"/>
        <v>58</v>
      </c>
      <c r="U379" s="4">
        <f t="shared" si="1"/>
        <v>-0.3870775553</v>
      </c>
      <c r="V379" s="4"/>
    </row>
    <row r="380">
      <c r="A380" s="1" t="s">
        <v>5642</v>
      </c>
      <c r="B380" s="1" t="s">
        <v>5643</v>
      </c>
      <c r="C380" s="1" t="s">
        <v>5644</v>
      </c>
      <c r="D380" s="1" t="s">
        <v>5437</v>
      </c>
      <c r="E380" s="1" t="s">
        <v>5438</v>
      </c>
      <c r="F380" s="1">
        <v>1301642.0</v>
      </c>
      <c r="G380" s="1">
        <v>33207.0</v>
      </c>
      <c r="H380" s="1">
        <v>1578.0</v>
      </c>
      <c r="I380" s="1">
        <v>2.28E7</v>
      </c>
      <c r="J380" s="1" t="s">
        <v>2468</v>
      </c>
      <c r="K380" s="5">
        <f t="shared" si="2"/>
        <v>0.0570895614</v>
      </c>
      <c r="L380" s="6">
        <f t="shared" si="3"/>
        <v>287</v>
      </c>
      <c r="M380" s="6">
        <f t="shared" si="4"/>
        <v>4535.337979</v>
      </c>
      <c r="N380" s="7">
        <f t="shared" si="5"/>
        <v>0.0001989183324</v>
      </c>
      <c r="O380" s="7"/>
      <c r="P380" s="4">
        <f t="shared" si="6"/>
        <v>-0.3094151434</v>
      </c>
      <c r="Q380" s="4">
        <f t="shared" si="7"/>
        <v>16</v>
      </c>
      <c r="R380" s="4">
        <f t="shared" si="8"/>
        <v>0</v>
      </c>
      <c r="S380" s="4">
        <f t="shared" si="9"/>
        <v>-0.3094151434</v>
      </c>
      <c r="T380" s="4">
        <f t="shared" si="10"/>
        <v>62</v>
      </c>
      <c r="U380" s="4">
        <f t="shared" si="1"/>
        <v>-0.3094151434</v>
      </c>
      <c r="V380" s="4"/>
    </row>
    <row r="381">
      <c r="A381" s="1" t="s">
        <v>5645</v>
      </c>
      <c r="B381" s="1" t="s">
        <v>5646</v>
      </c>
      <c r="C381" s="1" t="s">
        <v>5647</v>
      </c>
      <c r="D381" s="1" t="s">
        <v>5437</v>
      </c>
      <c r="E381" s="1" t="s">
        <v>5438</v>
      </c>
      <c r="F381" s="1">
        <v>1856485.0</v>
      </c>
      <c r="G381" s="1">
        <v>72885.0</v>
      </c>
      <c r="H381" s="1">
        <v>3206.0</v>
      </c>
      <c r="I381" s="1">
        <v>2.28E7</v>
      </c>
      <c r="J381" s="1" t="s">
        <v>2468</v>
      </c>
      <c r="K381" s="5">
        <f t="shared" si="2"/>
        <v>0.0814247807</v>
      </c>
      <c r="L381" s="6">
        <f t="shared" si="3"/>
        <v>289</v>
      </c>
      <c r="M381" s="6">
        <f t="shared" si="4"/>
        <v>6423.823529</v>
      </c>
      <c r="N381" s="7">
        <f t="shared" si="5"/>
        <v>0.000281746646</v>
      </c>
      <c r="O381" s="7"/>
      <c r="P381" s="4">
        <f t="shared" si="6"/>
        <v>-0.2510739086</v>
      </c>
      <c r="Q381" s="4">
        <f t="shared" si="7"/>
        <v>12</v>
      </c>
      <c r="R381" s="4">
        <f t="shared" si="8"/>
        <v>0</v>
      </c>
      <c r="S381" s="4">
        <f t="shared" si="9"/>
        <v>-0.2510739086</v>
      </c>
      <c r="T381" s="4">
        <f t="shared" si="10"/>
        <v>47</v>
      </c>
      <c r="U381" s="4">
        <f t="shared" si="1"/>
        <v>-0.2510739086</v>
      </c>
      <c r="V381" s="4"/>
    </row>
    <row r="382">
      <c r="A382" s="1" t="s">
        <v>5648</v>
      </c>
      <c r="B382" s="1" t="s">
        <v>5649</v>
      </c>
      <c r="C382" s="1" t="s">
        <v>5650</v>
      </c>
      <c r="D382" s="1" t="s">
        <v>5437</v>
      </c>
      <c r="E382" s="1" t="s">
        <v>5438</v>
      </c>
      <c r="F382" s="1">
        <v>218449.0</v>
      </c>
      <c r="G382" s="1">
        <v>7682.0</v>
      </c>
      <c r="H382" s="1">
        <v>307.0</v>
      </c>
      <c r="I382" s="1">
        <v>2.28E7</v>
      </c>
      <c r="J382" s="1" t="s">
        <v>2468</v>
      </c>
      <c r="K382" s="5">
        <f t="shared" si="2"/>
        <v>0.009581096491</v>
      </c>
      <c r="L382" s="6">
        <f t="shared" si="3"/>
        <v>294</v>
      </c>
      <c r="M382" s="6">
        <f t="shared" si="4"/>
        <v>743.0238095</v>
      </c>
      <c r="N382" s="7">
        <f t="shared" si="5"/>
        <v>0.00003258876358</v>
      </c>
      <c r="O382" s="7"/>
      <c r="P382" s="4">
        <f t="shared" si="6"/>
        <v>-0.4265716085</v>
      </c>
      <c r="Q382" s="4">
        <f t="shared" si="7"/>
        <v>16</v>
      </c>
      <c r="R382" s="4">
        <f t="shared" si="8"/>
        <v>0</v>
      </c>
      <c r="S382" s="4">
        <f t="shared" si="9"/>
        <v>-0.4265716085</v>
      </c>
      <c r="T382" s="4">
        <f t="shared" si="10"/>
        <v>72</v>
      </c>
      <c r="U382" s="4">
        <f t="shared" si="1"/>
        <v>-0.4265716085</v>
      </c>
      <c r="V382" s="4"/>
    </row>
    <row r="383">
      <c r="A383" s="1" t="s">
        <v>5651</v>
      </c>
      <c r="B383" s="1" t="s">
        <v>5652</v>
      </c>
      <c r="C383" s="1" t="s">
        <v>5653</v>
      </c>
      <c r="D383" s="1" t="s">
        <v>5437</v>
      </c>
      <c r="E383" s="1" t="s">
        <v>5438</v>
      </c>
      <c r="F383" s="1">
        <v>608414.0</v>
      </c>
      <c r="G383" s="1">
        <v>13905.0</v>
      </c>
      <c r="H383" s="1">
        <v>411.0</v>
      </c>
      <c r="I383" s="1">
        <v>2.28E7</v>
      </c>
      <c r="J383" s="1" t="s">
        <v>2468</v>
      </c>
      <c r="K383" s="5">
        <f t="shared" si="2"/>
        <v>0.02668482456</v>
      </c>
      <c r="L383" s="6">
        <f t="shared" si="3"/>
        <v>296</v>
      </c>
      <c r="M383" s="6">
        <f t="shared" si="4"/>
        <v>2055.452703</v>
      </c>
      <c r="N383" s="7">
        <f t="shared" si="5"/>
        <v>0.00009015143433</v>
      </c>
      <c r="O383" s="7"/>
      <c r="P383" s="4">
        <f t="shared" si="6"/>
        <v>-0.3860265685</v>
      </c>
      <c r="Q383" s="4">
        <f t="shared" si="7"/>
        <v>12</v>
      </c>
      <c r="R383" s="4">
        <f t="shared" si="8"/>
        <v>0</v>
      </c>
      <c r="S383" s="4">
        <f t="shared" si="9"/>
        <v>-0.3860265685</v>
      </c>
      <c r="T383" s="4">
        <f t="shared" si="10"/>
        <v>49</v>
      </c>
      <c r="U383" s="4">
        <f t="shared" si="1"/>
        <v>-0.3860265685</v>
      </c>
      <c r="V383" s="4"/>
    </row>
    <row r="384">
      <c r="A384" s="1" t="s">
        <v>5654</v>
      </c>
      <c r="B384" s="1" t="s">
        <v>5655</v>
      </c>
      <c r="C384" s="1" t="s">
        <v>5656</v>
      </c>
      <c r="D384" s="1" t="s">
        <v>5437</v>
      </c>
      <c r="E384" s="1" t="s">
        <v>5438</v>
      </c>
      <c r="F384" s="1">
        <v>327347.0</v>
      </c>
      <c r="G384" s="1">
        <v>7402.0</v>
      </c>
      <c r="H384" s="1">
        <v>492.0</v>
      </c>
      <c r="I384" s="1">
        <v>2.28E7</v>
      </c>
      <c r="J384" s="1" t="s">
        <v>2468</v>
      </c>
      <c r="K384" s="5">
        <f t="shared" si="2"/>
        <v>0.01435732456</v>
      </c>
      <c r="L384" s="6">
        <f t="shared" si="3"/>
        <v>301</v>
      </c>
      <c r="M384" s="6">
        <f t="shared" si="4"/>
        <v>1087.531561</v>
      </c>
      <c r="N384" s="7">
        <f t="shared" si="5"/>
        <v>0.0000476987527</v>
      </c>
      <c r="O384" s="7"/>
      <c r="P384" s="4">
        <f t="shared" si="6"/>
        <v>-0.4159286848</v>
      </c>
      <c r="Q384" s="4">
        <f t="shared" si="7"/>
        <v>10</v>
      </c>
      <c r="R384" s="4">
        <f t="shared" si="8"/>
        <v>1</v>
      </c>
      <c r="S384" s="4">
        <f t="shared" si="9"/>
        <v>-0.4159286848</v>
      </c>
      <c r="T384" s="4">
        <f t="shared" si="10"/>
        <v>52</v>
      </c>
      <c r="U384" s="4">
        <f t="shared" si="1"/>
        <v>-0.4159286848</v>
      </c>
      <c r="V384" s="4"/>
    </row>
    <row r="385">
      <c r="A385" s="1" t="s">
        <v>5657</v>
      </c>
      <c r="B385" s="1" t="s">
        <v>5658</v>
      </c>
      <c r="C385" s="1" t="s">
        <v>5659</v>
      </c>
      <c r="D385" s="1" t="s">
        <v>5437</v>
      </c>
      <c r="E385" s="1" t="s">
        <v>5438</v>
      </c>
      <c r="F385" s="1">
        <v>1872248.0</v>
      </c>
      <c r="G385" s="1">
        <v>75058.0</v>
      </c>
      <c r="H385" s="1">
        <v>1384.0</v>
      </c>
      <c r="I385" s="1">
        <v>2.28E7</v>
      </c>
      <c r="J385" s="1" t="s">
        <v>2468</v>
      </c>
      <c r="K385" s="5">
        <f t="shared" si="2"/>
        <v>0.08211614035</v>
      </c>
      <c r="L385" s="6">
        <f t="shared" si="3"/>
        <v>303</v>
      </c>
      <c r="M385" s="6">
        <f t="shared" si="4"/>
        <v>6179.036304</v>
      </c>
      <c r="N385" s="7">
        <f t="shared" si="5"/>
        <v>0.0002710103642</v>
      </c>
      <c r="O385" s="7"/>
      <c r="P385" s="4">
        <f t="shared" si="6"/>
        <v>-0.2586361529</v>
      </c>
      <c r="Q385" s="4">
        <f t="shared" si="7"/>
        <v>14</v>
      </c>
      <c r="R385" s="4">
        <f t="shared" si="8"/>
        <v>0</v>
      </c>
      <c r="S385" s="4">
        <f t="shared" si="9"/>
        <v>-0.2586361529</v>
      </c>
      <c r="T385" s="4">
        <f t="shared" si="10"/>
        <v>61</v>
      </c>
      <c r="U385" s="4">
        <f t="shared" si="1"/>
        <v>-0.2586361529</v>
      </c>
      <c r="V385" s="4"/>
    </row>
    <row r="386">
      <c r="A386" s="1" t="s">
        <v>5660</v>
      </c>
      <c r="B386" s="1" t="s">
        <v>5661</v>
      </c>
      <c r="C386" s="1" t="s">
        <v>5662</v>
      </c>
      <c r="D386" s="1" t="s">
        <v>5437</v>
      </c>
      <c r="E386" s="1" t="s">
        <v>5438</v>
      </c>
      <c r="F386" s="1">
        <v>143538.0</v>
      </c>
      <c r="G386" s="1">
        <v>4127.0</v>
      </c>
      <c r="H386" s="1">
        <v>93.0</v>
      </c>
      <c r="I386" s="1">
        <v>2.28E7</v>
      </c>
      <c r="J386" s="1" t="s">
        <v>2468</v>
      </c>
      <c r="K386" s="5">
        <f t="shared" si="2"/>
        <v>0.006295526316</v>
      </c>
      <c r="L386" s="6">
        <f t="shared" si="3"/>
        <v>308</v>
      </c>
      <c r="M386" s="6">
        <f t="shared" si="4"/>
        <v>466.0324675</v>
      </c>
      <c r="N386" s="7">
        <f t="shared" si="5"/>
        <v>0.00002044002051</v>
      </c>
      <c r="O386" s="7"/>
      <c r="P386" s="4">
        <f t="shared" si="6"/>
        <v>-0.4351287388</v>
      </c>
      <c r="Q386" s="4">
        <f t="shared" si="7"/>
        <v>11</v>
      </c>
      <c r="R386" s="4">
        <f t="shared" si="8"/>
        <v>0</v>
      </c>
      <c r="S386" s="4">
        <f t="shared" si="9"/>
        <v>-0.4351287388</v>
      </c>
      <c r="T386" s="4">
        <f t="shared" si="10"/>
        <v>41</v>
      </c>
      <c r="U386" s="4">
        <f t="shared" si="1"/>
        <v>-0.4351287388</v>
      </c>
      <c r="V386" s="4"/>
    </row>
    <row r="387">
      <c r="A387" s="1" t="s">
        <v>5663</v>
      </c>
      <c r="B387" s="1" t="s">
        <v>5664</v>
      </c>
      <c r="C387" s="1" t="s">
        <v>5665</v>
      </c>
      <c r="D387" s="1" t="s">
        <v>5437</v>
      </c>
      <c r="E387" s="1" t="s">
        <v>5438</v>
      </c>
      <c r="F387" s="1">
        <v>395890.0</v>
      </c>
      <c r="G387" s="1">
        <v>10924.0</v>
      </c>
      <c r="H387" s="1">
        <v>212.0</v>
      </c>
      <c r="I387" s="1">
        <v>2.28E7</v>
      </c>
      <c r="J387" s="1" t="s">
        <v>2468</v>
      </c>
      <c r="K387" s="5">
        <f t="shared" si="2"/>
        <v>0.01736359649</v>
      </c>
      <c r="L387" s="6">
        <f t="shared" si="3"/>
        <v>310</v>
      </c>
      <c r="M387" s="6">
        <f t="shared" si="4"/>
        <v>1277.064516</v>
      </c>
      <c r="N387" s="7">
        <f t="shared" si="5"/>
        <v>0.00005601160158</v>
      </c>
      <c r="O387" s="7"/>
      <c r="P387" s="4">
        <f t="shared" si="6"/>
        <v>-0.4100734181</v>
      </c>
      <c r="Q387" s="4">
        <f t="shared" si="7"/>
        <v>8</v>
      </c>
      <c r="R387" s="4">
        <f t="shared" si="8"/>
        <v>0</v>
      </c>
      <c r="S387" s="4">
        <f t="shared" si="9"/>
        <v>-0.4100734181</v>
      </c>
      <c r="T387" s="4">
        <f t="shared" si="10"/>
        <v>40</v>
      </c>
      <c r="U387" s="4">
        <f t="shared" si="1"/>
        <v>-0.4100734181</v>
      </c>
      <c r="V387" s="4"/>
    </row>
    <row r="388">
      <c r="A388" s="1" t="s">
        <v>5666</v>
      </c>
      <c r="B388" s="1" t="s">
        <v>5667</v>
      </c>
      <c r="C388" s="1" t="s">
        <v>5668</v>
      </c>
      <c r="D388" s="1" t="s">
        <v>5437</v>
      </c>
      <c r="E388" s="1" t="s">
        <v>5438</v>
      </c>
      <c r="F388" s="1">
        <v>1081557.0</v>
      </c>
      <c r="G388" s="1">
        <v>37252.0</v>
      </c>
      <c r="H388" s="1">
        <v>2572.0</v>
      </c>
      <c r="I388" s="1">
        <v>2.28E7</v>
      </c>
      <c r="J388" s="1" t="s">
        <v>2468</v>
      </c>
      <c r="K388" s="5">
        <f t="shared" si="2"/>
        <v>0.04743671053</v>
      </c>
      <c r="L388" s="6">
        <f t="shared" si="3"/>
        <v>315</v>
      </c>
      <c r="M388" s="6">
        <f t="shared" si="4"/>
        <v>3433.514286</v>
      </c>
      <c r="N388" s="7">
        <f t="shared" si="5"/>
        <v>0.0001505927318</v>
      </c>
      <c r="O388" s="7"/>
      <c r="P388" s="4">
        <f t="shared" si="6"/>
        <v>-0.3434539291</v>
      </c>
      <c r="Q388" s="4">
        <f t="shared" si="7"/>
        <v>10</v>
      </c>
      <c r="R388" s="4">
        <f t="shared" si="8"/>
        <v>1</v>
      </c>
      <c r="S388" s="4">
        <f t="shared" si="9"/>
        <v>-0.3434539291</v>
      </c>
      <c r="T388" s="4">
        <f t="shared" si="10"/>
        <v>40</v>
      </c>
      <c r="U388" s="4">
        <f t="shared" si="1"/>
        <v>-0.3434539291</v>
      </c>
      <c r="V388" s="4"/>
    </row>
    <row r="389">
      <c r="A389" s="1" t="s">
        <v>5669</v>
      </c>
      <c r="B389" s="1" t="s">
        <v>5670</v>
      </c>
      <c r="C389" s="1" t="s">
        <v>5671</v>
      </c>
      <c r="D389" s="1" t="s">
        <v>5437</v>
      </c>
      <c r="E389" s="1" t="s">
        <v>5438</v>
      </c>
      <c r="F389" s="1">
        <v>316323.0</v>
      </c>
      <c r="G389" s="1">
        <v>10864.0</v>
      </c>
      <c r="H389" s="1">
        <v>628.0</v>
      </c>
      <c r="I389" s="1">
        <v>2.28E7</v>
      </c>
      <c r="J389" s="1" t="s">
        <v>2468</v>
      </c>
      <c r="K389" s="5">
        <f t="shared" si="2"/>
        <v>0.01387381579</v>
      </c>
      <c r="L389" s="6">
        <f t="shared" si="3"/>
        <v>317</v>
      </c>
      <c r="M389" s="6">
        <f t="shared" si="4"/>
        <v>997.8643533</v>
      </c>
      <c r="N389" s="7">
        <f t="shared" si="5"/>
        <v>0.00004376598041</v>
      </c>
      <c r="O389" s="7"/>
      <c r="P389" s="4">
        <f t="shared" si="6"/>
        <v>-0.4186987858</v>
      </c>
      <c r="Q389" s="4">
        <f t="shared" si="7"/>
        <v>9</v>
      </c>
      <c r="R389" s="4">
        <f t="shared" si="8"/>
        <v>0</v>
      </c>
      <c r="S389" s="4">
        <f t="shared" si="9"/>
        <v>-0.4186987858</v>
      </c>
      <c r="T389" s="4">
        <f t="shared" si="10"/>
        <v>50</v>
      </c>
      <c r="U389" s="4">
        <f t="shared" si="1"/>
        <v>-0.4186987858</v>
      </c>
      <c r="V389" s="4"/>
    </row>
    <row r="390">
      <c r="A390" s="1" t="s">
        <v>5672</v>
      </c>
      <c r="B390" s="1" t="s">
        <v>5673</v>
      </c>
      <c r="C390" s="1" t="s">
        <v>5674</v>
      </c>
      <c r="D390" s="1" t="s">
        <v>5437</v>
      </c>
      <c r="E390" s="1" t="s">
        <v>5438</v>
      </c>
      <c r="F390" s="1">
        <v>199104.0</v>
      </c>
      <c r="G390" s="1">
        <v>5418.0</v>
      </c>
      <c r="H390" s="1">
        <v>185.0</v>
      </c>
      <c r="I390" s="1">
        <v>2.28E7</v>
      </c>
      <c r="J390" s="1" t="s">
        <v>2468</v>
      </c>
      <c r="K390" s="5">
        <f t="shared" si="2"/>
        <v>0.008732631579</v>
      </c>
      <c r="L390" s="6">
        <f t="shared" si="3"/>
        <v>322</v>
      </c>
      <c r="M390" s="6">
        <f t="shared" si="4"/>
        <v>618.3354037</v>
      </c>
      <c r="N390" s="7">
        <f t="shared" si="5"/>
        <v>0.00002711997385</v>
      </c>
      <c r="O390" s="7"/>
      <c r="P390" s="4">
        <f t="shared" si="6"/>
        <v>-0.430423624</v>
      </c>
      <c r="Q390" s="4">
        <f t="shared" si="7"/>
        <v>15</v>
      </c>
      <c r="R390" s="4">
        <f t="shared" si="8"/>
        <v>1</v>
      </c>
      <c r="S390" s="4">
        <f t="shared" si="9"/>
        <v>-0.430423624</v>
      </c>
      <c r="T390" s="4">
        <f t="shared" si="10"/>
        <v>60</v>
      </c>
      <c r="U390" s="4">
        <f t="shared" si="1"/>
        <v>-0.430423624</v>
      </c>
      <c r="V390" s="4"/>
    </row>
    <row r="391">
      <c r="A391" s="1" t="s">
        <v>5675</v>
      </c>
      <c r="B391" s="1" t="s">
        <v>5676</v>
      </c>
      <c r="C391" s="1" t="s">
        <v>5677</v>
      </c>
      <c r="D391" s="1" t="s">
        <v>5437</v>
      </c>
      <c r="E391" s="1" t="s">
        <v>5438</v>
      </c>
      <c r="F391" s="1">
        <v>195228.0</v>
      </c>
      <c r="G391" s="1">
        <v>5885.0</v>
      </c>
      <c r="H391" s="1">
        <v>261.0</v>
      </c>
      <c r="I391" s="1">
        <v>2.28E7</v>
      </c>
      <c r="J391" s="1" t="s">
        <v>2468</v>
      </c>
      <c r="K391" s="5">
        <f t="shared" si="2"/>
        <v>0.008562631579</v>
      </c>
      <c r="L391" s="6">
        <f t="shared" si="3"/>
        <v>324</v>
      </c>
      <c r="M391" s="6">
        <f t="shared" si="4"/>
        <v>602.5555556</v>
      </c>
      <c r="N391" s="7">
        <f t="shared" si="5"/>
        <v>0.00002642787524</v>
      </c>
      <c r="O391" s="7"/>
      <c r="P391" s="4">
        <f t="shared" si="6"/>
        <v>-0.430911113</v>
      </c>
      <c r="Q391" s="4">
        <f t="shared" si="7"/>
        <v>7</v>
      </c>
      <c r="R391" s="4">
        <f t="shared" si="8"/>
        <v>1</v>
      </c>
      <c r="S391" s="4">
        <f t="shared" si="9"/>
        <v>-0.430911113</v>
      </c>
      <c r="T391" s="4">
        <f t="shared" si="10"/>
        <v>34</v>
      </c>
      <c r="U391" s="4">
        <f t="shared" si="1"/>
        <v>-0.430911113</v>
      </c>
      <c r="V391" s="4"/>
    </row>
    <row r="392">
      <c r="A392" s="1" t="s">
        <v>5678</v>
      </c>
      <c r="B392" s="1" t="s">
        <v>5679</v>
      </c>
      <c r="C392" s="1" t="s">
        <v>5680</v>
      </c>
      <c r="D392" s="1" t="s">
        <v>5437</v>
      </c>
      <c r="E392" s="1" t="s">
        <v>5438</v>
      </c>
      <c r="F392" s="1">
        <v>218581.0</v>
      </c>
      <c r="G392" s="1">
        <v>6932.0</v>
      </c>
      <c r="H392" s="1">
        <v>164.0</v>
      </c>
      <c r="I392" s="1">
        <v>2.28E7</v>
      </c>
      <c r="J392" s="1" t="s">
        <v>2468</v>
      </c>
      <c r="K392" s="5">
        <f t="shared" si="2"/>
        <v>0.009586885965</v>
      </c>
      <c r="L392" s="6">
        <f t="shared" si="3"/>
        <v>329</v>
      </c>
      <c r="M392" s="6">
        <f t="shared" si="4"/>
        <v>664.3799392</v>
      </c>
      <c r="N392" s="7">
        <f t="shared" si="5"/>
        <v>0.00002913947102</v>
      </c>
      <c r="O392" s="7"/>
      <c r="P392" s="4">
        <f t="shared" si="6"/>
        <v>-0.4290011641</v>
      </c>
      <c r="Q392" s="4">
        <f t="shared" si="7"/>
        <v>11</v>
      </c>
      <c r="R392" s="4">
        <f t="shared" si="8"/>
        <v>0</v>
      </c>
      <c r="S392" s="4">
        <f t="shared" si="9"/>
        <v>-0.4290011641</v>
      </c>
      <c r="T392" s="4">
        <f t="shared" si="10"/>
        <v>41</v>
      </c>
      <c r="U392" s="4">
        <f t="shared" si="1"/>
        <v>-0.4290011641</v>
      </c>
      <c r="V392" s="4"/>
    </row>
    <row r="393">
      <c r="A393" s="1" t="s">
        <v>5681</v>
      </c>
      <c r="B393" s="1" t="s">
        <v>5682</v>
      </c>
      <c r="C393" s="1" t="s">
        <v>5683</v>
      </c>
      <c r="D393" s="1" t="s">
        <v>5437</v>
      </c>
      <c r="E393" s="1" t="s">
        <v>5438</v>
      </c>
      <c r="F393" s="1">
        <v>440820.0</v>
      </c>
      <c r="G393" s="1">
        <v>10930.0</v>
      </c>
      <c r="H393" s="1">
        <v>282.0</v>
      </c>
      <c r="I393" s="1">
        <v>2.28E7</v>
      </c>
      <c r="J393" s="1" t="s">
        <v>2468</v>
      </c>
      <c r="K393" s="5">
        <f t="shared" si="2"/>
        <v>0.01933421053</v>
      </c>
      <c r="L393" s="6">
        <f t="shared" si="3"/>
        <v>331</v>
      </c>
      <c r="M393" s="6">
        <f t="shared" si="4"/>
        <v>1331.782477</v>
      </c>
      <c r="N393" s="7">
        <f t="shared" si="5"/>
        <v>0.00005841151216</v>
      </c>
      <c r="O393" s="7"/>
      <c r="P393" s="4">
        <f t="shared" si="6"/>
        <v>-0.4083830088</v>
      </c>
      <c r="Q393" s="4">
        <f t="shared" si="7"/>
        <v>8</v>
      </c>
      <c r="R393" s="4">
        <f t="shared" si="8"/>
        <v>1</v>
      </c>
      <c r="S393" s="4">
        <f t="shared" si="9"/>
        <v>-0.4083830088</v>
      </c>
      <c r="T393" s="4">
        <f t="shared" si="10"/>
        <v>39</v>
      </c>
      <c r="U393" s="4">
        <f t="shared" si="1"/>
        <v>-0.4083830088</v>
      </c>
      <c r="V393" s="4"/>
    </row>
    <row r="394">
      <c r="A394" s="1" t="s">
        <v>5684</v>
      </c>
      <c r="B394" s="1" t="s">
        <v>5685</v>
      </c>
      <c r="C394" s="1" t="s">
        <v>5686</v>
      </c>
      <c r="D394" s="1" t="s">
        <v>5437</v>
      </c>
      <c r="E394" s="1" t="s">
        <v>5438</v>
      </c>
      <c r="F394" s="1">
        <v>330506.0</v>
      </c>
      <c r="G394" s="1">
        <v>9299.0</v>
      </c>
      <c r="H394" s="1">
        <v>344.0</v>
      </c>
      <c r="I394" s="1">
        <v>2.28E7</v>
      </c>
      <c r="J394" s="1" t="s">
        <v>2468</v>
      </c>
      <c r="K394" s="5">
        <f t="shared" si="2"/>
        <v>0.01449587719</v>
      </c>
      <c r="L394" s="6">
        <f t="shared" si="3"/>
        <v>336</v>
      </c>
      <c r="M394" s="6">
        <f t="shared" si="4"/>
        <v>983.6488095</v>
      </c>
      <c r="N394" s="7">
        <f t="shared" si="5"/>
        <v>0.00004314249165</v>
      </c>
      <c r="O394" s="7"/>
      <c r="P394" s="4">
        <f t="shared" si="6"/>
        <v>-0.4191379485</v>
      </c>
      <c r="Q394" s="4">
        <f t="shared" si="7"/>
        <v>12</v>
      </c>
      <c r="R394" s="4">
        <f t="shared" si="8"/>
        <v>0</v>
      </c>
      <c r="S394" s="4">
        <f t="shared" si="9"/>
        <v>-0.4191379485</v>
      </c>
      <c r="T394" s="4">
        <f t="shared" si="10"/>
        <v>48</v>
      </c>
      <c r="U394" s="4">
        <f t="shared" si="1"/>
        <v>-0.4191379485</v>
      </c>
      <c r="V394" s="4"/>
    </row>
    <row r="395">
      <c r="A395" s="1" t="s">
        <v>5687</v>
      </c>
      <c r="B395" s="1" t="s">
        <v>5688</v>
      </c>
      <c r="C395" s="1" t="s">
        <v>5689</v>
      </c>
      <c r="D395" s="1" t="s">
        <v>5437</v>
      </c>
      <c r="E395" s="1" t="s">
        <v>5438</v>
      </c>
      <c r="F395" s="1">
        <v>514671.0</v>
      </c>
      <c r="G395" s="1">
        <v>12121.0</v>
      </c>
      <c r="H395" s="1">
        <v>370.0</v>
      </c>
      <c r="I395" s="1">
        <v>2.28E7</v>
      </c>
      <c r="J395" s="1" t="s">
        <v>2468</v>
      </c>
      <c r="K395" s="5">
        <f t="shared" si="2"/>
        <v>0.02257328947</v>
      </c>
      <c r="L395" s="6">
        <f t="shared" si="3"/>
        <v>338</v>
      </c>
      <c r="M395" s="6">
        <f t="shared" si="4"/>
        <v>1522.695266</v>
      </c>
      <c r="N395" s="7">
        <f t="shared" si="5"/>
        <v>0.0000667848801</v>
      </c>
      <c r="O395" s="7"/>
      <c r="P395" s="4">
        <f t="shared" si="6"/>
        <v>-0.4024851147</v>
      </c>
      <c r="Q395" s="4">
        <f t="shared" si="7"/>
        <v>10</v>
      </c>
      <c r="R395" s="4">
        <f t="shared" si="8"/>
        <v>0</v>
      </c>
      <c r="S395" s="4">
        <f t="shared" si="9"/>
        <v>-0.4024851147</v>
      </c>
      <c r="T395" s="4">
        <f t="shared" si="10"/>
        <v>46</v>
      </c>
      <c r="U395" s="4">
        <f t="shared" si="1"/>
        <v>-0.4024851147</v>
      </c>
      <c r="V395" s="4"/>
    </row>
    <row r="396">
      <c r="A396" s="1" t="s">
        <v>5690</v>
      </c>
      <c r="B396" s="1" t="s">
        <v>5691</v>
      </c>
      <c r="C396" s="1" t="s">
        <v>5692</v>
      </c>
      <c r="D396" s="1" t="s">
        <v>5437</v>
      </c>
      <c r="E396" s="1" t="s">
        <v>5438</v>
      </c>
      <c r="F396" s="1">
        <v>632358.0</v>
      </c>
      <c r="G396" s="1">
        <v>13731.0</v>
      </c>
      <c r="H396" s="1">
        <v>447.0</v>
      </c>
      <c r="I396" s="1">
        <v>2.28E7</v>
      </c>
      <c r="J396" s="1" t="s">
        <v>2468</v>
      </c>
      <c r="K396" s="5">
        <f t="shared" si="2"/>
        <v>0.027735</v>
      </c>
      <c r="L396" s="6">
        <f t="shared" si="3"/>
        <v>343</v>
      </c>
      <c r="M396" s="6">
        <f t="shared" si="4"/>
        <v>1843.609329</v>
      </c>
      <c r="N396" s="7">
        <f t="shared" si="5"/>
        <v>0.00008086005831</v>
      </c>
      <c r="O396" s="7"/>
      <c r="P396" s="4">
        <f t="shared" si="6"/>
        <v>-0.392571074</v>
      </c>
      <c r="Q396" s="4">
        <f t="shared" si="7"/>
        <v>12</v>
      </c>
      <c r="R396" s="4">
        <f t="shared" si="8"/>
        <v>1</v>
      </c>
      <c r="S396" s="4">
        <f t="shared" si="9"/>
        <v>-0.392571074</v>
      </c>
      <c r="T396" s="4">
        <f t="shared" si="10"/>
        <v>43</v>
      </c>
      <c r="U396" s="4">
        <f t="shared" si="1"/>
        <v>-0.392571074</v>
      </c>
      <c r="V396" s="4"/>
    </row>
    <row r="397">
      <c r="A397" s="1" t="s">
        <v>5693</v>
      </c>
      <c r="B397" s="1" t="s">
        <v>5694</v>
      </c>
      <c r="C397" s="1" t="s">
        <v>5695</v>
      </c>
      <c r="D397" s="1" t="s">
        <v>5437</v>
      </c>
      <c r="E397" s="1" t="s">
        <v>5438</v>
      </c>
      <c r="F397" s="1">
        <v>476812.0</v>
      </c>
      <c r="G397" s="1">
        <v>10846.0</v>
      </c>
      <c r="H397" s="1">
        <v>406.0</v>
      </c>
      <c r="I397" s="1">
        <v>2.28E7</v>
      </c>
      <c r="J397" s="1" t="s">
        <v>2468</v>
      </c>
      <c r="K397" s="5">
        <f t="shared" si="2"/>
        <v>0.02091280702</v>
      </c>
      <c r="L397" s="6">
        <f t="shared" si="3"/>
        <v>345</v>
      </c>
      <c r="M397" s="6">
        <f t="shared" si="4"/>
        <v>1382.063768</v>
      </c>
      <c r="N397" s="7">
        <f t="shared" si="5"/>
        <v>0.00006061683193</v>
      </c>
      <c r="O397" s="7"/>
      <c r="P397" s="4">
        <f t="shared" si="6"/>
        <v>-0.4068296623</v>
      </c>
      <c r="Q397" s="4">
        <f t="shared" si="7"/>
        <v>9</v>
      </c>
      <c r="R397" s="4">
        <f t="shared" si="8"/>
        <v>0</v>
      </c>
      <c r="S397" s="4">
        <f t="shared" si="9"/>
        <v>-0.4068296623</v>
      </c>
      <c r="T397" s="4">
        <f t="shared" si="10"/>
        <v>47</v>
      </c>
      <c r="U397" s="4">
        <f t="shared" si="1"/>
        <v>-0.4068296623</v>
      </c>
      <c r="V397" s="4"/>
    </row>
    <row r="398">
      <c r="A398" s="1" t="s">
        <v>5696</v>
      </c>
      <c r="B398" s="1" t="s">
        <v>5697</v>
      </c>
      <c r="C398" s="1" t="s">
        <v>5698</v>
      </c>
      <c r="D398" s="1" t="s">
        <v>5437</v>
      </c>
      <c r="E398" s="1" t="s">
        <v>5438</v>
      </c>
      <c r="F398" s="1">
        <v>220862.0</v>
      </c>
      <c r="G398" s="1">
        <v>5763.0</v>
      </c>
      <c r="H398" s="1">
        <v>183.0</v>
      </c>
      <c r="I398" s="1">
        <v>2.28E7</v>
      </c>
      <c r="J398" s="1" t="s">
        <v>2468</v>
      </c>
      <c r="K398" s="5">
        <f t="shared" si="2"/>
        <v>0.009686929825</v>
      </c>
      <c r="L398" s="6">
        <f t="shared" si="3"/>
        <v>350</v>
      </c>
      <c r="M398" s="6">
        <f t="shared" si="4"/>
        <v>631.0342857</v>
      </c>
      <c r="N398" s="7">
        <f t="shared" si="5"/>
        <v>0.00002767694236</v>
      </c>
      <c r="O398" s="7"/>
      <c r="P398" s="4">
        <f t="shared" si="6"/>
        <v>-0.4300313158</v>
      </c>
      <c r="Q398" s="4">
        <f t="shared" si="7"/>
        <v>11</v>
      </c>
      <c r="R398" s="4">
        <f t="shared" si="8"/>
        <v>1</v>
      </c>
      <c r="S398" s="4">
        <f t="shared" si="9"/>
        <v>-0.4300313158</v>
      </c>
      <c r="T398" s="4">
        <f t="shared" si="10"/>
        <v>53</v>
      </c>
      <c r="U398" s="4">
        <f t="shared" si="1"/>
        <v>-0.4300313158</v>
      </c>
      <c r="V398" s="4"/>
    </row>
    <row r="399">
      <c r="A399" s="1" t="s">
        <v>5699</v>
      </c>
      <c r="B399" s="1" t="s">
        <v>5700</v>
      </c>
      <c r="C399" s="1" t="s">
        <v>5701</v>
      </c>
      <c r="D399" s="1" t="s">
        <v>5437</v>
      </c>
      <c r="E399" s="1" t="s">
        <v>5438</v>
      </c>
      <c r="F399" s="1">
        <v>815402.0</v>
      </c>
      <c r="G399" s="1">
        <v>10163.0</v>
      </c>
      <c r="H399" s="1">
        <v>171.0</v>
      </c>
      <c r="I399" s="1">
        <v>2.28E7</v>
      </c>
      <c r="J399" s="1" t="s">
        <v>2468</v>
      </c>
      <c r="K399" s="5">
        <f t="shared" si="2"/>
        <v>0.03576324561</v>
      </c>
      <c r="L399" s="6">
        <f t="shared" si="3"/>
        <v>352</v>
      </c>
      <c r="M399" s="6">
        <f t="shared" si="4"/>
        <v>2316.482955</v>
      </c>
      <c r="N399" s="7">
        <f t="shared" si="5"/>
        <v>0.0001016001296</v>
      </c>
      <c r="O399" s="7"/>
      <c r="P399" s="4">
        <f t="shared" si="6"/>
        <v>-0.3779625263</v>
      </c>
      <c r="Q399" s="4">
        <f t="shared" si="7"/>
        <v>10</v>
      </c>
      <c r="R399" s="4">
        <f t="shared" si="8"/>
        <v>0</v>
      </c>
      <c r="S399" s="4">
        <f t="shared" si="9"/>
        <v>-0.3779625263</v>
      </c>
      <c r="T399" s="4">
        <f t="shared" si="10"/>
        <v>41</v>
      </c>
      <c r="U399" s="4">
        <f t="shared" si="1"/>
        <v>-0.3779625263</v>
      </c>
      <c r="V399" s="4"/>
    </row>
    <row r="400">
      <c r="A400" s="1" t="s">
        <v>5702</v>
      </c>
      <c r="B400" s="1" t="s">
        <v>5703</v>
      </c>
      <c r="C400" s="1" t="s">
        <v>5704</v>
      </c>
      <c r="D400" s="1" t="s">
        <v>5437</v>
      </c>
      <c r="E400" s="1" t="s">
        <v>5438</v>
      </c>
      <c r="F400" s="1">
        <v>1780363.0</v>
      </c>
      <c r="G400" s="1">
        <v>40029.0</v>
      </c>
      <c r="H400" s="1">
        <v>5629.0</v>
      </c>
      <c r="I400" s="1">
        <v>2.28E7</v>
      </c>
      <c r="J400" s="1" t="s">
        <v>2468</v>
      </c>
      <c r="K400" s="5">
        <f t="shared" si="2"/>
        <v>0.07808609649</v>
      </c>
      <c r="L400" s="6">
        <f t="shared" si="3"/>
        <v>357</v>
      </c>
      <c r="M400" s="6">
        <f t="shared" si="4"/>
        <v>4987.011204</v>
      </c>
      <c r="N400" s="7">
        <f t="shared" si="5"/>
        <v>0.0002187285616</v>
      </c>
      <c r="O400" s="7"/>
      <c r="P400" s="4">
        <f t="shared" si="6"/>
        <v>-0.2954615425</v>
      </c>
      <c r="Q400" s="4">
        <f t="shared" si="7"/>
        <v>18</v>
      </c>
      <c r="R400" s="4">
        <f t="shared" si="8"/>
        <v>1</v>
      </c>
      <c r="S400" s="4">
        <f t="shared" si="9"/>
        <v>-0.2954615425</v>
      </c>
      <c r="T400" s="4">
        <f t="shared" si="10"/>
        <v>73</v>
      </c>
      <c r="U400" s="4">
        <f t="shared" si="1"/>
        <v>-0.2954615425</v>
      </c>
      <c r="V400" s="4"/>
    </row>
    <row r="401">
      <c r="A401" s="1" t="s">
        <v>5705</v>
      </c>
      <c r="B401" s="1" t="s">
        <v>5706</v>
      </c>
      <c r="C401" s="1" t="s">
        <v>5707</v>
      </c>
      <c r="D401" s="1" t="s">
        <v>5437</v>
      </c>
      <c r="E401" s="1" t="s">
        <v>5438</v>
      </c>
      <c r="F401" s="1">
        <v>668457.0</v>
      </c>
      <c r="G401" s="1">
        <v>13973.0</v>
      </c>
      <c r="H401" s="1">
        <v>315.0</v>
      </c>
      <c r="I401" s="1">
        <v>2.28E7</v>
      </c>
      <c r="J401" s="1" t="s">
        <v>2468</v>
      </c>
      <c r="K401" s="5">
        <f t="shared" si="2"/>
        <v>0.02931828947</v>
      </c>
      <c r="L401" s="6">
        <f t="shared" si="3"/>
        <v>359</v>
      </c>
      <c r="M401" s="6">
        <f t="shared" si="4"/>
        <v>1861.997214</v>
      </c>
      <c r="N401" s="7">
        <f t="shared" si="5"/>
        <v>0.00008166654449</v>
      </c>
      <c r="O401" s="7"/>
      <c r="P401" s="4">
        <f t="shared" si="6"/>
        <v>-0.3920030146</v>
      </c>
      <c r="Q401" s="4">
        <f t="shared" si="7"/>
        <v>12</v>
      </c>
      <c r="R401" s="4">
        <f t="shared" si="8"/>
        <v>1</v>
      </c>
      <c r="S401" s="4">
        <f t="shared" si="9"/>
        <v>-0.3920030146</v>
      </c>
      <c r="T401" s="4">
        <f t="shared" si="10"/>
        <v>53</v>
      </c>
      <c r="U401" s="4">
        <f t="shared" si="1"/>
        <v>-0.3920030146</v>
      </c>
      <c r="V401" s="4"/>
    </row>
    <row r="402">
      <c r="A402" s="1" t="s">
        <v>5708</v>
      </c>
      <c r="B402" s="1" t="s">
        <v>5709</v>
      </c>
      <c r="C402" s="1" t="s">
        <v>5710</v>
      </c>
      <c r="D402" s="1" t="s">
        <v>5437</v>
      </c>
      <c r="E402" s="1" t="s">
        <v>5438</v>
      </c>
      <c r="F402" s="1">
        <v>192588.0</v>
      </c>
      <c r="G402" s="1">
        <v>6230.0</v>
      </c>
      <c r="H402" s="1">
        <v>270.0</v>
      </c>
      <c r="I402" s="1">
        <v>2.28E7</v>
      </c>
      <c r="J402" s="1" t="s">
        <v>2468</v>
      </c>
      <c r="K402" s="5">
        <f t="shared" si="2"/>
        <v>0.008446842105</v>
      </c>
      <c r="L402" s="6">
        <f t="shared" si="3"/>
        <v>364</v>
      </c>
      <c r="M402" s="6">
        <f t="shared" si="4"/>
        <v>529.0879121</v>
      </c>
      <c r="N402" s="7">
        <f t="shared" si="5"/>
        <v>0.00002320561018</v>
      </c>
      <c r="O402" s="7"/>
      <c r="P402" s="4">
        <f t="shared" si="6"/>
        <v>-0.4331807586</v>
      </c>
      <c r="Q402" s="4">
        <f t="shared" si="7"/>
        <v>10</v>
      </c>
      <c r="R402" s="4">
        <f t="shared" si="8"/>
        <v>0</v>
      </c>
      <c r="S402" s="4">
        <f t="shared" si="9"/>
        <v>-0.4331807586</v>
      </c>
      <c r="T402" s="4">
        <f t="shared" si="10"/>
        <v>41</v>
      </c>
      <c r="U402" s="4">
        <f t="shared" si="1"/>
        <v>-0.4331807586</v>
      </c>
      <c r="V402" s="4"/>
    </row>
    <row r="403">
      <c r="A403" s="1" t="s">
        <v>5711</v>
      </c>
      <c r="B403" s="1" t="s">
        <v>5712</v>
      </c>
      <c r="C403" s="1" t="s">
        <v>5713</v>
      </c>
      <c r="D403" s="1" t="s">
        <v>5437</v>
      </c>
      <c r="E403" s="1" t="s">
        <v>5438</v>
      </c>
      <c r="F403" s="1">
        <v>162298.0</v>
      </c>
      <c r="G403" s="1">
        <v>5231.0</v>
      </c>
      <c r="H403" s="1">
        <v>664.0</v>
      </c>
      <c r="I403" s="1">
        <v>2.28E7</v>
      </c>
      <c r="J403" s="1" t="s">
        <v>2468</v>
      </c>
      <c r="K403" s="5">
        <f t="shared" si="2"/>
        <v>0.007118333333</v>
      </c>
      <c r="L403" s="6">
        <f t="shared" si="3"/>
        <v>366</v>
      </c>
      <c r="M403" s="6">
        <f t="shared" si="4"/>
        <v>443.4371585</v>
      </c>
      <c r="N403" s="7">
        <f t="shared" si="5"/>
        <v>0.00001944899818</v>
      </c>
      <c r="O403" s="7"/>
      <c r="P403" s="4">
        <f t="shared" si="6"/>
        <v>-0.4358267787</v>
      </c>
      <c r="Q403" s="4">
        <f t="shared" si="7"/>
        <v>14</v>
      </c>
      <c r="R403" s="4">
        <f t="shared" si="8"/>
        <v>1</v>
      </c>
      <c r="S403" s="4">
        <f t="shared" si="9"/>
        <v>-0.4358267787</v>
      </c>
      <c r="T403" s="4">
        <f t="shared" si="10"/>
        <v>70</v>
      </c>
      <c r="U403" s="4">
        <f t="shared" si="1"/>
        <v>-0.4358267787</v>
      </c>
      <c r="V403" s="4"/>
    </row>
    <row r="404">
      <c r="A404" s="1" t="s">
        <v>5714</v>
      </c>
      <c r="B404" s="1" t="s">
        <v>5715</v>
      </c>
      <c r="C404" s="1" t="s">
        <v>5716</v>
      </c>
      <c r="D404" s="1" t="s">
        <v>5437</v>
      </c>
      <c r="E404" s="1" t="s">
        <v>5438</v>
      </c>
      <c r="F404" s="1">
        <v>440002.0</v>
      </c>
      <c r="G404" s="1">
        <v>10181.0</v>
      </c>
      <c r="H404" s="1">
        <v>259.0</v>
      </c>
      <c r="I404" s="1">
        <v>2.28E7</v>
      </c>
      <c r="J404" s="1" t="s">
        <v>2468</v>
      </c>
      <c r="K404" s="5">
        <f t="shared" si="2"/>
        <v>0.01929833333</v>
      </c>
      <c r="L404" s="6">
        <f t="shared" si="3"/>
        <v>371</v>
      </c>
      <c r="M404" s="6">
        <f t="shared" si="4"/>
        <v>1185.989218</v>
      </c>
      <c r="N404" s="7">
        <f t="shared" si="5"/>
        <v>0.00005201707098</v>
      </c>
      <c r="O404" s="7"/>
      <c r="P404" s="4">
        <f t="shared" si="6"/>
        <v>-0.4128870194</v>
      </c>
      <c r="Q404" s="4">
        <f t="shared" si="7"/>
        <v>13</v>
      </c>
      <c r="R404" s="4">
        <f t="shared" si="8"/>
        <v>1</v>
      </c>
      <c r="S404" s="4">
        <f t="shared" si="9"/>
        <v>-0.4128870194</v>
      </c>
      <c r="T404" s="4">
        <f t="shared" si="10"/>
        <v>61</v>
      </c>
      <c r="U404" s="4">
        <f t="shared" si="1"/>
        <v>-0.4128870194</v>
      </c>
      <c r="V404" s="4"/>
    </row>
    <row r="405">
      <c r="A405" s="1" t="s">
        <v>5717</v>
      </c>
      <c r="B405" s="1" t="s">
        <v>5718</v>
      </c>
      <c r="C405" s="1" t="s">
        <v>5719</v>
      </c>
      <c r="D405" s="1" t="s">
        <v>5437</v>
      </c>
      <c r="E405" s="1" t="s">
        <v>5438</v>
      </c>
      <c r="F405" s="1">
        <v>377672.0</v>
      </c>
      <c r="G405" s="1">
        <v>11384.0</v>
      </c>
      <c r="H405" s="1">
        <v>392.0</v>
      </c>
      <c r="I405" s="1">
        <v>2.28E7</v>
      </c>
      <c r="J405" s="1" t="s">
        <v>2468</v>
      </c>
      <c r="K405" s="5">
        <f t="shared" si="2"/>
        <v>0.0165645614</v>
      </c>
      <c r="L405" s="6">
        <f t="shared" si="3"/>
        <v>373</v>
      </c>
      <c r="M405" s="6">
        <f t="shared" si="4"/>
        <v>1012.525469</v>
      </c>
      <c r="N405" s="7">
        <f t="shared" si="5"/>
        <v>0.00004440901181</v>
      </c>
      <c r="O405" s="7"/>
      <c r="P405" s="4">
        <f t="shared" si="6"/>
        <v>-0.418245858</v>
      </c>
      <c r="Q405" s="4">
        <f t="shared" si="7"/>
        <v>10</v>
      </c>
      <c r="R405" s="4">
        <f t="shared" si="8"/>
        <v>1</v>
      </c>
      <c r="S405" s="4">
        <f t="shared" si="9"/>
        <v>-0.418245858</v>
      </c>
      <c r="T405" s="4">
        <f t="shared" si="10"/>
        <v>44</v>
      </c>
      <c r="U405" s="4">
        <f t="shared" si="1"/>
        <v>-0.418245858</v>
      </c>
      <c r="V405" s="4"/>
    </row>
    <row r="406">
      <c r="A406" s="1" t="s">
        <v>5720</v>
      </c>
      <c r="B406" s="1" t="s">
        <v>5721</v>
      </c>
      <c r="C406" s="1" t="s">
        <v>5722</v>
      </c>
      <c r="D406" s="1" t="s">
        <v>5437</v>
      </c>
      <c r="E406" s="1" t="s">
        <v>5438</v>
      </c>
      <c r="F406" s="1">
        <v>1901156.0</v>
      </c>
      <c r="G406" s="1">
        <v>30988.0</v>
      </c>
      <c r="H406" s="1">
        <v>868.0</v>
      </c>
      <c r="I406" s="1">
        <v>2.28E7</v>
      </c>
      <c r="J406" s="1" t="s">
        <v>2468</v>
      </c>
      <c r="K406" s="5">
        <f t="shared" si="2"/>
        <v>0.08338403509</v>
      </c>
      <c r="L406" s="6">
        <f t="shared" si="3"/>
        <v>378</v>
      </c>
      <c r="M406" s="6">
        <f t="shared" si="4"/>
        <v>5029.513228</v>
      </c>
      <c r="N406" s="7">
        <f t="shared" si="5"/>
        <v>0.0002205926854</v>
      </c>
      <c r="O406" s="7"/>
      <c r="P406" s="4">
        <f t="shared" si="6"/>
        <v>-0.2941485219</v>
      </c>
      <c r="Q406" s="4">
        <f t="shared" si="7"/>
        <v>10</v>
      </c>
      <c r="R406" s="4">
        <f t="shared" si="8"/>
        <v>1</v>
      </c>
      <c r="S406" s="4">
        <f t="shared" si="9"/>
        <v>-0.2941485219</v>
      </c>
      <c r="T406" s="4">
        <f t="shared" si="10"/>
        <v>36</v>
      </c>
      <c r="U406" s="4">
        <f t="shared" si="1"/>
        <v>-0.2941485219</v>
      </c>
      <c r="V406" s="4"/>
    </row>
    <row r="407">
      <c r="A407" s="1" t="s">
        <v>5723</v>
      </c>
      <c r="B407" s="1" t="s">
        <v>5724</v>
      </c>
      <c r="C407" s="1" t="s">
        <v>5725</v>
      </c>
      <c r="D407" s="1" t="s">
        <v>5437</v>
      </c>
      <c r="E407" s="1" t="s">
        <v>5438</v>
      </c>
      <c r="F407" s="1">
        <v>138688.0</v>
      </c>
      <c r="G407" s="1">
        <v>4676.0</v>
      </c>
      <c r="H407" s="1">
        <v>121.0</v>
      </c>
      <c r="I407" s="1">
        <v>2.28E7</v>
      </c>
      <c r="J407" s="1" t="s">
        <v>2468</v>
      </c>
      <c r="K407" s="5">
        <f t="shared" si="2"/>
        <v>0.006082807018</v>
      </c>
      <c r="L407" s="6">
        <f t="shared" si="3"/>
        <v>380</v>
      </c>
      <c r="M407" s="6">
        <f t="shared" si="4"/>
        <v>364.9684211</v>
      </c>
      <c r="N407" s="7">
        <f t="shared" si="5"/>
        <v>0.00001600738689</v>
      </c>
      <c r="O407" s="7"/>
      <c r="P407" s="4">
        <f t="shared" si="6"/>
        <v>-0.4382509238</v>
      </c>
      <c r="Q407" s="4">
        <f t="shared" si="7"/>
        <v>9</v>
      </c>
      <c r="R407" s="4">
        <f t="shared" si="8"/>
        <v>1</v>
      </c>
      <c r="S407" s="4">
        <f t="shared" si="9"/>
        <v>-0.4382509238</v>
      </c>
      <c r="T407" s="4">
        <f t="shared" si="10"/>
        <v>38</v>
      </c>
      <c r="U407" s="4">
        <f t="shared" si="1"/>
        <v>-0.4382509238</v>
      </c>
      <c r="V407" s="4"/>
    </row>
    <row r="408">
      <c r="A408" s="1" t="s">
        <v>5726</v>
      </c>
      <c r="B408" s="1" t="s">
        <v>5727</v>
      </c>
      <c r="C408" s="1" t="s">
        <v>5728</v>
      </c>
      <c r="D408" s="1" t="s">
        <v>5437</v>
      </c>
      <c r="E408" s="1" t="s">
        <v>5438</v>
      </c>
      <c r="F408" s="1">
        <v>1501530.0</v>
      </c>
      <c r="G408" s="1">
        <v>37831.0</v>
      </c>
      <c r="H408" s="1">
        <v>1188.0</v>
      </c>
      <c r="I408" s="1">
        <v>2.28E7</v>
      </c>
      <c r="J408" s="1" t="s">
        <v>2468</v>
      </c>
      <c r="K408" s="5">
        <f t="shared" si="2"/>
        <v>0.06585657895</v>
      </c>
      <c r="L408" s="6">
        <f t="shared" si="3"/>
        <v>385</v>
      </c>
      <c r="M408" s="6">
        <f t="shared" si="4"/>
        <v>3900.077922</v>
      </c>
      <c r="N408" s="7">
        <f t="shared" si="5"/>
        <v>0.0001710560492</v>
      </c>
      <c r="O408" s="7"/>
      <c r="P408" s="4">
        <f t="shared" si="6"/>
        <v>-0.3290403167</v>
      </c>
      <c r="Q408" s="4">
        <f t="shared" si="7"/>
        <v>7</v>
      </c>
      <c r="R408" s="4">
        <f t="shared" si="8"/>
        <v>1</v>
      </c>
      <c r="S408" s="4">
        <f t="shared" si="9"/>
        <v>-0.3290403167</v>
      </c>
      <c r="T408" s="4">
        <f t="shared" si="10"/>
        <v>32</v>
      </c>
      <c r="U408" s="4">
        <f t="shared" si="1"/>
        <v>-0.3290403167</v>
      </c>
      <c r="V408" s="4"/>
    </row>
    <row r="409">
      <c r="A409" s="1" t="s">
        <v>5729</v>
      </c>
      <c r="B409" s="1" t="s">
        <v>5730</v>
      </c>
      <c r="C409" s="1" t="s">
        <v>5731</v>
      </c>
      <c r="D409" s="1" t="s">
        <v>5437</v>
      </c>
      <c r="E409" s="1" t="s">
        <v>5438</v>
      </c>
      <c r="F409" s="1">
        <v>171859.0</v>
      </c>
      <c r="G409" s="1">
        <v>6366.0</v>
      </c>
      <c r="H409" s="1">
        <v>230.0</v>
      </c>
      <c r="I409" s="1">
        <v>2.28E7</v>
      </c>
      <c r="J409" s="1" t="s">
        <v>2468</v>
      </c>
      <c r="K409" s="5">
        <f t="shared" si="2"/>
        <v>0.007537675439</v>
      </c>
      <c r="L409" s="6">
        <f t="shared" si="3"/>
        <v>387</v>
      </c>
      <c r="M409" s="6">
        <f t="shared" si="4"/>
        <v>444.0801034</v>
      </c>
      <c r="N409" s="7">
        <f t="shared" si="5"/>
        <v>0.00001947719752</v>
      </c>
      <c r="O409" s="7"/>
      <c r="P409" s="4">
        <f t="shared" si="6"/>
        <v>-0.4358069161</v>
      </c>
      <c r="Q409" s="4">
        <f t="shared" si="7"/>
        <v>11</v>
      </c>
      <c r="R409" s="4">
        <f t="shared" si="8"/>
        <v>0</v>
      </c>
      <c r="S409" s="4">
        <f t="shared" si="9"/>
        <v>-0.4358069161</v>
      </c>
      <c r="T409" s="4">
        <f t="shared" si="10"/>
        <v>43</v>
      </c>
      <c r="U409" s="4">
        <f t="shared" si="1"/>
        <v>-0.4358069161</v>
      </c>
      <c r="V409" s="4"/>
    </row>
    <row r="410">
      <c r="A410" s="1" t="s">
        <v>5732</v>
      </c>
      <c r="B410" s="1" t="s">
        <v>5733</v>
      </c>
      <c r="C410" s="1" t="s">
        <v>5734</v>
      </c>
      <c r="D410" s="1" t="s">
        <v>5437</v>
      </c>
      <c r="E410" s="1" t="s">
        <v>5438</v>
      </c>
      <c r="F410" s="1">
        <v>1288572.0</v>
      </c>
      <c r="G410" s="1">
        <v>21883.0</v>
      </c>
      <c r="H410" s="1">
        <v>976.0</v>
      </c>
      <c r="I410" s="1">
        <v>2.28E7</v>
      </c>
      <c r="J410" s="1" t="s">
        <v>2468</v>
      </c>
      <c r="K410" s="5">
        <f t="shared" si="2"/>
        <v>0.05651631579</v>
      </c>
      <c r="L410" s="6">
        <f t="shared" si="3"/>
        <v>392</v>
      </c>
      <c r="M410" s="6">
        <f t="shared" si="4"/>
        <v>3287.173469</v>
      </c>
      <c r="N410" s="7">
        <f t="shared" si="5"/>
        <v>0.000144174275</v>
      </c>
      <c r="O410" s="7"/>
      <c r="P410" s="4">
        <f t="shared" si="6"/>
        <v>-0.3479748553</v>
      </c>
      <c r="Q410" s="4">
        <f t="shared" si="7"/>
        <v>14</v>
      </c>
      <c r="R410" s="4">
        <f t="shared" si="8"/>
        <v>1</v>
      </c>
      <c r="S410" s="4">
        <f t="shared" si="9"/>
        <v>-0.3479748553</v>
      </c>
      <c r="T410" s="4">
        <f t="shared" si="10"/>
        <v>64</v>
      </c>
      <c r="U410" s="4">
        <f t="shared" si="1"/>
        <v>-0.3479748553</v>
      </c>
      <c r="V410" s="4"/>
    </row>
    <row r="411">
      <c r="A411" s="1" t="s">
        <v>10786</v>
      </c>
      <c r="B411" s="1" t="s">
        <v>10787</v>
      </c>
      <c r="C411" s="1" t="s">
        <v>10788</v>
      </c>
      <c r="D411" s="1" t="s">
        <v>10790</v>
      </c>
      <c r="E411" s="1" t="s">
        <v>10793</v>
      </c>
      <c r="F411" s="1">
        <v>2665689.0</v>
      </c>
      <c r="G411" s="1">
        <v>105378.0</v>
      </c>
      <c r="H411" s="1">
        <v>20892.0</v>
      </c>
      <c r="I411" s="1">
        <v>1.19E7</v>
      </c>
      <c r="J411" s="1" t="s">
        <v>2468</v>
      </c>
      <c r="K411" s="5">
        <f t="shared" si="2"/>
        <v>0.224007479</v>
      </c>
      <c r="L411" s="6">
        <f t="shared" si="3"/>
        <v>39</v>
      </c>
      <c r="M411" s="6">
        <f t="shared" si="4"/>
        <v>68351</v>
      </c>
      <c r="N411" s="7">
        <f t="shared" si="5"/>
        <v>0.005743781513</v>
      </c>
      <c r="O411" s="7"/>
      <c r="P411" s="4">
        <f t="shared" si="6"/>
        <v>3.596183687</v>
      </c>
      <c r="Q411" s="4">
        <f t="shared" si="7"/>
        <v>9</v>
      </c>
      <c r="R411" s="4">
        <f t="shared" si="8"/>
        <v>0</v>
      </c>
      <c r="S411" s="4">
        <f t="shared" si="9"/>
        <v>3.596183687</v>
      </c>
      <c r="T411" s="4">
        <f t="shared" si="10"/>
        <v>42</v>
      </c>
      <c r="U411" s="4">
        <f t="shared" si="1"/>
        <v>3.596183687</v>
      </c>
      <c r="V411" s="4"/>
    </row>
    <row r="412">
      <c r="A412" s="1" t="s">
        <v>10811</v>
      </c>
      <c r="B412" s="1" t="s">
        <v>10813</v>
      </c>
      <c r="C412" s="1" t="s">
        <v>10815</v>
      </c>
      <c r="D412" s="1" t="s">
        <v>10790</v>
      </c>
      <c r="E412" s="1" t="s">
        <v>10793</v>
      </c>
      <c r="F412" s="1">
        <v>1113276.0</v>
      </c>
      <c r="G412" s="1">
        <v>37620.0</v>
      </c>
      <c r="H412" s="1">
        <v>2746.0</v>
      </c>
      <c r="I412" s="1">
        <v>1.19E7</v>
      </c>
      <c r="J412" s="1" t="s">
        <v>2468</v>
      </c>
      <c r="K412" s="5">
        <f t="shared" si="2"/>
        <v>0.09355260504</v>
      </c>
      <c r="L412" s="6">
        <f t="shared" si="3"/>
        <v>95</v>
      </c>
      <c r="M412" s="6">
        <f t="shared" si="4"/>
        <v>11718.69474</v>
      </c>
      <c r="N412" s="7">
        <f t="shared" si="5"/>
        <v>0.0009847642636</v>
      </c>
      <c r="O412" s="7"/>
      <c r="P412" s="4">
        <f t="shared" si="6"/>
        <v>0.2441059896</v>
      </c>
      <c r="Q412" s="4">
        <f t="shared" si="7"/>
        <v>14</v>
      </c>
      <c r="R412" s="4">
        <f t="shared" si="8"/>
        <v>0</v>
      </c>
      <c r="S412" s="4">
        <f t="shared" si="9"/>
        <v>0.2441059896</v>
      </c>
      <c r="T412" s="4">
        <f t="shared" si="10"/>
        <v>54</v>
      </c>
      <c r="U412" s="4">
        <f t="shared" si="1"/>
        <v>0.2441059896</v>
      </c>
      <c r="V412" s="4"/>
    </row>
    <row r="413">
      <c r="A413" s="1" t="s">
        <v>10832</v>
      </c>
      <c r="B413" s="1" t="s">
        <v>10833</v>
      </c>
      <c r="C413" s="1" t="s">
        <v>10834</v>
      </c>
      <c r="D413" s="1" t="s">
        <v>10790</v>
      </c>
      <c r="E413" s="1" t="s">
        <v>10793</v>
      </c>
      <c r="F413" s="1">
        <v>1054027.0</v>
      </c>
      <c r="G413" s="1">
        <v>54438.0</v>
      </c>
      <c r="H413" s="1">
        <v>5563.0</v>
      </c>
      <c r="I413" s="1">
        <v>1.19E7</v>
      </c>
      <c r="J413" s="1" t="s">
        <v>2468</v>
      </c>
      <c r="K413" s="5">
        <f t="shared" si="2"/>
        <v>0.08857369748</v>
      </c>
      <c r="L413" s="6">
        <f t="shared" si="3"/>
        <v>145</v>
      </c>
      <c r="M413" s="6">
        <f t="shared" si="4"/>
        <v>7269.151724</v>
      </c>
      <c r="N413" s="7">
        <f t="shared" si="5"/>
        <v>0.0006108530861</v>
      </c>
      <c r="O413" s="7"/>
      <c r="P413" s="4">
        <f t="shared" si="6"/>
        <v>-0.01926336876</v>
      </c>
      <c r="Q413" s="4">
        <f t="shared" si="7"/>
        <v>14</v>
      </c>
      <c r="R413" s="4">
        <f t="shared" si="8"/>
        <v>0</v>
      </c>
      <c r="S413" s="4">
        <f t="shared" si="9"/>
        <v>-0.01926336876</v>
      </c>
      <c r="T413" s="4">
        <f t="shared" si="10"/>
        <v>63</v>
      </c>
      <c r="U413" s="4">
        <f t="shared" si="1"/>
        <v>-0.01926336876</v>
      </c>
      <c r="V413" s="4"/>
    </row>
    <row r="414">
      <c r="A414" s="1" t="s">
        <v>10854</v>
      </c>
      <c r="B414" s="1" t="s">
        <v>10856</v>
      </c>
      <c r="C414" s="1" t="s">
        <v>10857</v>
      </c>
      <c r="D414" s="1" t="s">
        <v>10790</v>
      </c>
      <c r="E414" s="1" t="s">
        <v>10793</v>
      </c>
      <c r="F414" s="1">
        <v>872502.0</v>
      </c>
      <c r="G414" s="1">
        <v>26417.0</v>
      </c>
      <c r="H414" s="1">
        <v>2359.0</v>
      </c>
      <c r="I414" s="1">
        <v>1.19E7</v>
      </c>
      <c r="J414" s="1" t="s">
        <v>2468</v>
      </c>
      <c r="K414" s="5">
        <f t="shared" si="2"/>
        <v>0.0733194958</v>
      </c>
      <c r="L414" s="6">
        <f t="shared" si="3"/>
        <v>181</v>
      </c>
      <c r="M414" s="6">
        <f t="shared" si="4"/>
        <v>4820.453039</v>
      </c>
      <c r="N414" s="7">
        <f t="shared" si="5"/>
        <v>0.0004050800873</v>
      </c>
      <c r="O414" s="7"/>
      <c r="P414" s="4">
        <f t="shared" si="6"/>
        <v>-0.1642023433</v>
      </c>
      <c r="Q414" s="4">
        <f t="shared" si="7"/>
        <v>10</v>
      </c>
      <c r="R414" s="4">
        <f t="shared" si="8"/>
        <v>0</v>
      </c>
      <c r="S414" s="4">
        <f t="shared" si="9"/>
        <v>-0.1642023433</v>
      </c>
      <c r="T414" s="4">
        <f t="shared" si="10"/>
        <v>53</v>
      </c>
      <c r="U414" s="4">
        <f t="shared" si="1"/>
        <v>-0.1642023433</v>
      </c>
      <c r="V414" s="4"/>
    </row>
    <row r="415">
      <c r="A415" s="1" t="s">
        <v>10873</v>
      </c>
      <c r="B415" s="1" t="s">
        <v>10874</v>
      </c>
      <c r="C415" s="1" t="s">
        <v>10875</v>
      </c>
      <c r="D415" s="1" t="s">
        <v>10790</v>
      </c>
      <c r="E415" s="1" t="s">
        <v>10793</v>
      </c>
      <c r="F415" s="1">
        <v>1314839.0</v>
      </c>
      <c r="G415" s="1">
        <v>56614.0</v>
      </c>
      <c r="H415" s="1">
        <v>4699.0</v>
      </c>
      <c r="I415" s="1">
        <v>1.19E7</v>
      </c>
      <c r="J415" s="1" t="s">
        <v>2468</v>
      </c>
      <c r="K415" s="5">
        <f t="shared" si="2"/>
        <v>0.1104906723</v>
      </c>
      <c r="L415" s="6">
        <f t="shared" si="3"/>
        <v>235</v>
      </c>
      <c r="M415" s="6">
        <f t="shared" si="4"/>
        <v>5595.059574</v>
      </c>
      <c r="N415" s="7">
        <f t="shared" si="5"/>
        <v>0.0004701730735</v>
      </c>
      <c r="O415" s="7"/>
      <c r="P415" s="4">
        <f t="shared" si="6"/>
        <v>-0.1183532245</v>
      </c>
      <c r="Q415" s="4">
        <f t="shared" si="7"/>
        <v>11</v>
      </c>
      <c r="R415" s="4">
        <f t="shared" si="8"/>
        <v>1</v>
      </c>
      <c r="S415" s="4">
        <f t="shared" si="9"/>
        <v>-0.1183532245</v>
      </c>
      <c r="T415" s="4">
        <f t="shared" si="10"/>
        <v>44</v>
      </c>
      <c r="U415" s="4">
        <f t="shared" si="1"/>
        <v>-0.1183532245</v>
      </c>
      <c r="V415" s="4"/>
    </row>
    <row r="416">
      <c r="A416" s="1" t="s">
        <v>10894</v>
      </c>
      <c r="B416" s="1" t="s">
        <v>10895</v>
      </c>
      <c r="C416" s="1" t="s">
        <v>10897</v>
      </c>
      <c r="D416" s="1" t="s">
        <v>10790</v>
      </c>
      <c r="E416" s="1" t="s">
        <v>10793</v>
      </c>
      <c r="F416" s="1">
        <v>7200000.0</v>
      </c>
      <c r="G416" s="1">
        <v>149218.0</v>
      </c>
      <c r="H416" s="1">
        <v>11927.0</v>
      </c>
      <c r="I416" s="1">
        <v>1.19E7</v>
      </c>
      <c r="J416" s="1" t="s">
        <v>2468</v>
      </c>
      <c r="K416" s="5">
        <f t="shared" si="2"/>
        <v>0.6050420168</v>
      </c>
      <c r="L416" s="6">
        <f t="shared" si="3"/>
        <v>304</v>
      </c>
      <c r="M416" s="6">
        <f t="shared" si="4"/>
        <v>23684.21053</v>
      </c>
      <c r="N416" s="7">
        <f t="shared" si="5"/>
        <v>0.001990269792</v>
      </c>
      <c r="O416" s="7"/>
      <c r="P416" s="4">
        <f t="shared" si="6"/>
        <v>0.9523473093</v>
      </c>
      <c r="Q416" s="4">
        <f t="shared" si="7"/>
        <v>9</v>
      </c>
      <c r="R416" s="4">
        <f t="shared" si="8"/>
        <v>0</v>
      </c>
      <c r="S416" s="4">
        <f t="shared" si="9"/>
        <v>0.9523473093</v>
      </c>
      <c r="T416" s="4">
        <f t="shared" si="10"/>
        <v>42</v>
      </c>
      <c r="U416" s="4">
        <f t="shared" si="1"/>
        <v>0.9523473093</v>
      </c>
      <c r="V416" s="4"/>
    </row>
    <row r="417">
      <c r="A417" s="1" t="s">
        <v>10923</v>
      </c>
      <c r="B417" s="1" t="s">
        <v>10925</v>
      </c>
      <c r="C417" s="1" t="s">
        <v>10926</v>
      </c>
      <c r="D417" s="1" t="s">
        <v>10790</v>
      </c>
      <c r="E417" s="1" t="s">
        <v>10793</v>
      </c>
      <c r="F417" s="1">
        <v>1857530.0</v>
      </c>
      <c r="G417" s="1">
        <v>70616.0</v>
      </c>
      <c r="H417" s="1">
        <v>9131.0</v>
      </c>
      <c r="I417" s="1">
        <v>1.19E7</v>
      </c>
      <c r="J417" s="1" t="s">
        <v>2468</v>
      </c>
      <c r="K417" s="5">
        <f t="shared" si="2"/>
        <v>0.156094958</v>
      </c>
      <c r="L417" s="6">
        <f t="shared" si="3"/>
        <v>361</v>
      </c>
      <c r="M417" s="6">
        <f t="shared" si="4"/>
        <v>5145.512465</v>
      </c>
      <c r="N417" s="7">
        <f t="shared" si="5"/>
        <v>0.0004323960055</v>
      </c>
      <c r="O417" s="7"/>
      <c r="P417" s="4">
        <f t="shared" si="6"/>
        <v>-0.1449620096</v>
      </c>
      <c r="Q417" s="4">
        <f t="shared" si="7"/>
        <v>14</v>
      </c>
      <c r="R417" s="4">
        <f t="shared" si="8"/>
        <v>0</v>
      </c>
      <c r="S417" s="4">
        <f t="shared" si="9"/>
        <v>-0.1449620096</v>
      </c>
      <c r="T417" s="4">
        <f t="shared" si="10"/>
        <v>60</v>
      </c>
      <c r="U417" s="4">
        <f t="shared" si="1"/>
        <v>-0.1449620096</v>
      </c>
      <c r="V417" s="4"/>
    </row>
    <row r="418">
      <c r="A418" s="1" t="s">
        <v>10951</v>
      </c>
      <c r="B418" s="1" t="s">
        <v>10954</v>
      </c>
      <c r="C418" s="1" t="s">
        <v>10956</v>
      </c>
      <c r="D418" s="1" t="s">
        <v>10790</v>
      </c>
      <c r="E418" s="1" t="s">
        <v>10793</v>
      </c>
      <c r="F418" s="1">
        <v>1759743.0</v>
      </c>
      <c r="G418" s="1">
        <v>63112.0</v>
      </c>
      <c r="H418" s="1">
        <v>4156.0</v>
      </c>
      <c r="I418" s="1">
        <v>1.19E7</v>
      </c>
      <c r="J418" s="1" t="s">
        <v>2468</v>
      </c>
      <c r="K418" s="5">
        <f t="shared" si="2"/>
        <v>0.147877563</v>
      </c>
      <c r="L418" s="6">
        <f t="shared" si="3"/>
        <v>417</v>
      </c>
      <c r="M418" s="6">
        <f t="shared" si="4"/>
        <v>4220.007194</v>
      </c>
      <c r="N418" s="7">
        <f t="shared" si="5"/>
        <v>0.0003546224533</v>
      </c>
      <c r="O418" s="7"/>
      <c r="P418" s="4">
        <f t="shared" si="6"/>
        <v>-0.1997428553</v>
      </c>
      <c r="Q418" s="4">
        <f t="shared" si="7"/>
        <v>19</v>
      </c>
      <c r="R418" s="4">
        <f t="shared" si="8"/>
        <v>0</v>
      </c>
      <c r="S418" s="4">
        <f t="shared" si="9"/>
        <v>-0.1997428553</v>
      </c>
      <c r="T418" s="4">
        <f t="shared" si="10"/>
        <v>75</v>
      </c>
      <c r="U418" s="4">
        <f t="shared" si="1"/>
        <v>-0.1997428553</v>
      </c>
      <c r="V418" s="4"/>
    </row>
    <row r="419">
      <c r="A419" s="1" t="s">
        <v>10981</v>
      </c>
      <c r="B419" s="1" t="s">
        <v>10983</v>
      </c>
      <c r="C419" s="1" t="s">
        <v>10985</v>
      </c>
      <c r="D419" s="1" t="s">
        <v>10790</v>
      </c>
      <c r="E419" s="1" t="s">
        <v>10793</v>
      </c>
      <c r="F419" s="1">
        <v>4527352.0</v>
      </c>
      <c r="G419" s="1">
        <v>215378.0</v>
      </c>
      <c r="H419" s="1">
        <v>29868.0</v>
      </c>
      <c r="I419" s="1">
        <v>1.19E7</v>
      </c>
      <c r="J419" s="1" t="s">
        <v>2468</v>
      </c>
      <c r="K419" s="5">
        <f t="shared" si="2"/>
        <v>0.3804497479</v>
      </c>
      <c r="L419" s="6">
        <f t="shared" si="3"/>
        <v>452</v>
      </c>
      <c r="M419" s="6">
        <f t="shared" si="4"/>
        <v>10016.26549</v>
      </c>
      <c r="N419" s="7">
        <f t="shared" si="5"/>
        <v>0.0008417029821</v>
      </c>
      <c r="O419" s="7"/>
      <c r="P419" s="4">
        <f t="shared" si="6"/>
        <v>0.1433388551</v>
      </c>
      <c r="Q419" s="4">
        <f t="shared" si="7"/>
        <v>16</v>
      </c>
      <c r="R419" s="4">
        <f t="shared" si="8"/>
        <v>0</v>
      </c>
      <c r="S419" s="4">
        <f t="shared" si="9"/>
        <v>0.1433388551</v>
      </c>
      <c r="T419" s="4">
        <f t="shared" si="10"/>
        <v>78</v>
      </c>
      <c r="U419" s="4">
        <f t="shared" si="1"/>
        <v>0.1433388551</v>
      </c>
      <c r="V419" s="4"/>
    </row>
    <row r="420">
      <c r="A420" s="1" t="s">
        <v>11010</v>
      </c>
      <c r="B420" s="1" t="s">
        <v>11012</v>
      </c>
      <c r="C420" s="1" t="s">
        <v>11013</v>
      </c>
      <c r="D420" s="1" t="s">
        <v>10790</v>
      </c>
      <c r="E420" s="1" t="s">
        <v>10793</v>
      </c>
      <c r="F420" s="1">
        <v>3696832.0</v>
      </c>
      <c r="G420" s="1">
        <v>101701.0</v>
      </c>
      <c r="H420" s="1">
        <v>22390.0</v>
      </c>
      <c r="I420" s="1">
        <v>1.19E7</v>
      </c>
      <c r="J420" s="1" t="s">
        <v>2468</v>
      </c>
      <c r="K420" s="5">
        <f t="shared" si="2"/>
        <v>0.3106581513</v>
      </c>
      <c r="L420" s="6">
        <f t="shared" si="3"/>
        <v>521</v>
      </c>
      <c r="M420" s="6">
        <f t="shared" si="4"/>
        <v>7095.646833</v>
      </c>
      <c r="N420" s="7">
        <f t="shared" si="5"/>
        <v>0.0005962728431</v>
      </c>
      <c r="O420" s="7"/>
      <c r="P420" s="4">
        <f t="shared" si="6"/>
        <v>-0.02953315865</v>
      </c>
      <c r="Q420" s="4">
        <f t="shared" si="7"/>
        <v>11</v>
      </c>
      <c r="R420" s="4">
        <f t="shared" si="8"/>
        <v>0</v>
      </c>
      <c r="S420" s="4">
        <f t="shared" si="9"/>
        <v>-0.02953315865</v>
      </c>
      <c r="T420" s="4">
        <f t="shared" si="10"/>
        <v>51</v>
      </c>
      <c r="U420" s="4">
        <f t="shared" si="1"/>
        <v>-0.02953315865</v>
      </c>
      <c r="V420" s="4"/>
    </row>
    <row r="421">
      <c r="A421" s="1" t="s">
        <v>11038</v>
      </c>
      <c r="B421" s="1" t="s">
        <v>11039</v>
      </c>
      <c r="C421" s="1" t="s">
        <v>11041</v>
      </c>
      <c r="D421" s="1" t="s">
        <v>10790</v>
      </c>
      <c r="E421" s="1" t="s">
        <v>10793</v>
      </c>
      <c r="F421" s="1">
        <v>3804458.0</v>
      </c>
      <c r="G421" s="1">
        <v>100302.0</v>
      </c>
      <c r="H421" s="1">
        <v>6708.0</v>
      </c>
      <c r="I421" s="1">
        <v>1.19E7</v>
      </c>
      <c r="J421" s="1" t="s">
        <v>2468</v>
      </c>
      <c r="K421" s="5">
        <f t="shared" si="2"/>
        <v>0.3197023529</v>
      </c>
      <c r="L421" s="6">
        <f t="shared" si="3"/>
        <v>580</v>
      </c>
      <c r="M421" s="6">
        <f t="shared" si="4"/>
        <v>6559.410345</v>
      </c>
      <c r="N421" s="7">
        <f t="shared" si="5"/>
        <v>0.0005512109533</v>
      </c>
      <c r="O421" s="7"/>
      <c r="P421" s="4">
        <f t="shared" si="6"/>
        <v>-0.06127310574</v>
      </c>
      <c r="Q421" s="4">
        <f t="shared" si="7"/>
        <v>17</v>
      </c>
      <c r="R421" s="4">
        <f t="shared" si="8"/>
        <v>0</v>
      </c>
      <c r="S421" s="4">
        <f t="shared" si="9"/>
        <v>-0.06127310574</v>
      </c>
      <c r="T421" s="4">
        <f t="shared" si="10"/>
        <v>74</v>
      </c>
      <c r="U421" s="4">
        <f t="shared" si="1"/>
        <v>-0.06127310574</v>
      </c>
      <c r="V421" s="4"/>
    </row>
    <row r="422">
      <c r="A422" s="1" t="s">
        <v>11063</v>
      </c>
      <c r="B422" s="1" t="s">
        <v>11065</v>
      </c>
      <c r="C422" s="1" t="s">
        <v>11067</v>
      </c>
      <c r="D422" s="1" t="s">
        <v>10790</v>
      </c>
      <c r="E422" s="1" t="s">
        <v>10793</v>
      </c>
      <c r="F422" s="1">
        <v>570290.0</v>
      </c>
      <c r="G422" s="1">
        <v>21462.0</v>
      </c>
      <c r="H422" s="1">
        <v>1299.0</v>
      </c>
      <c r="I422" s="1">
        <v>1.19E7</v>
      </c>
      <c r="J422" s="1" t="s">
        <v>2468</v>
      </c>
      <c r="K422" s="5">
        <f t="shared" si="2"/>
        <v>0.04792352941</v>
      </c>
      <c r="L422" s="6">
        <f t="shared" si="3"/>
        <v>627</v>
      </c>
      <c r="M422" s="6">
        <f t="shared" si="4"/>
        <v>909.553429</v>
      </c>
      <c r="N422" s="7">
        <f t="shared" si="5"/>
        <v>0.00007643306126</v>
      </c>
      <c r="O422" s="7"/>
      <c r="P422" s="4">
        <f t="shared" si="6"/>
        <v>-0.3956892888</v>
      </c>
      <c r="Q422" s="4">
        <f t="shared" si="7"/>
        <v>9</v>
      </c>
      <c r="R422" s="4">
        <f t="shared" si="8"/>
        <v>0</v>
      </c>
      <c r="S422" s="4">
        <f t="shared" si="9"/>
        <v>-0.3956892888</v>
      </c>
      <c r="T422" s="4">
        <f t="shared" si="10"/>
        <v>42</v>
      </c>
      <c r="U422" s="4">
        <f t="shared" si="1"/>
        <v>-0.3956892888</v>
      </c>
      <c r="V422" s="4"/>
    </row>
    <row r="423">
      <c r="A423" s="1" t="s">
        <v>11086</v>
      </c>
      <c r="B423" s="1" t="s">
        <v>11087</v>
      </c>
      <c r="C423" s="1" t="s">
        <v>11088</v>
      </c>
      <c r="D423" s="1" t="s">
        <v>10790</v>
      </c>
      <c r="E423" s="1" t="s">
        <v>10793</v>
      </c>
      <c r="F423" s="1">
        <v>997803.0</v>
      </c>
      <c r="G423" s="1">
        <v>43867.0</v>
      </c>
      <c r="H423" s="1">
        <v>2496.0</v>
      </c>
      <c r="I423" s="1">
        <v>1.19E7</v>
      </c>
      <c r="J423" s="1" t="s">
        <v>2468</v>
      </c>
      <c r="K423" s="5">
        <f t="shared" si="2"/>
        <v>0.0838489916</v>
      </c>
      <c r="L423" s="6">
        <f t="shared" si="3"/>
        <v>648</v>
      </c>
      <c r="M423" s="6">
        <f t="shared" si="4"/>
        <v>1539.819444</v>
      </c>
      <c r="N423" s="7">
        <f t="shared" si="5"/>
        <v>0.000129396592</v>
      </c>
      <c r="O423" s="7"/>
      <c r="P423" s="4">
        <f t="shared" si="6"/>
        <v>-0.3583837148</v>
      </c>
      <c r="Q423" s="4">
        <f t="shared" si="7"/>
        <v>12</v>
      </c>
      <c r="R423" s="4">
        <f t="shared" si="8"/>
        <v>0</v>
      </c>
      <c r="S423" s="4">
        <f t="shared" si="9"/>
        <v>-0.3583837148</v>
      </c>
      <c r="T423" s="4">
        <f t="shared" si="10"/>
        <v>60</v>
      </c>
      <c r="U423" s="4">
        <f t="shared" si="1"/>
        <v>-0.3583837148</v>
      </c>
      <c r="V423" s="4"/>
    </row>
    <row r="424">
      <c r="A424" s="1" t="s">
        <v>11110</v>
      </c>
      <c r="B424" s="1" t="s">
        <v>11111</v>
      </c>
      <c r="C424" s="1" t="s">
        <v>11112</v>
      </c>
      <c r="D424" s="1" t="s">
        <v>10790</v>
      </c>
      <c r="E424" s="1" t="s">
        <v>10793</v>
      </c>
      <c r="F424" s="1">
        <v>566521.0</v>
      </c>
      <c r="G424" s="1">
        <v>23874.0</v>
      </c>
      <c r="H424" s="1">
        <v>1364.0</v>
      </c>
      <c r="I424" s="1">
        <v>1.19E7</v>
      </c>
      <c r="J424" s="1" t="s">
        <v>2468</v>
      </c>
      <c r="K424" s="5">
        <f t="shared" si="2"/>
        <v>0.04760680672</v>
      </c>
      <c r="L424" s="6">
        <f t="shared" si="3"/>
        <v>676</v>
      </c>
      <c r="M424" s="6">
        <f t="shared" si="4"/>
        <v>838.0488166</v>
      </c>
      <c r="N424" s="7">
        <f t="shared" si="5"/>
        <v>0.0000704242703</v>
      </c>
      <c r="O424" s="7"/>
      <c r="P424" s="4">
        <f t="shared" si="6"/>
        <v>-0.3999216614</v>
      </c>
      <c r="Q424" s="4">
        <f t="shared" si="7"/>
        <v>8</v>
      </c>
      <c r="R424" s="4">
        <f t="shared" si="8"/>
        <v>0</v>
      </c>
      <c r="S424" s="4">
        <f t="shared" si="9"/>
        <v>-0.3999216614</v>
      </c>
      <c r="T424" s="4">
        <f t="shared" si="10"/>
        <v>31</v>
      </c>
      <c r="U424" s="4">
        <f t="shared" si="1"/>
        <v>-0.3999216614</v>
      </c>
      <c r="V424" s="4"/>
    </row>
    <row r="425">
      <c r="A425" s="1" t="s">
        <v>11132</v>
      </c>
      <c r="B425" s="1" t="s">
        <v>11135</v>
      </c>
      <c r="C425" s="1" t="s">
        <v>11136</v>
      </c>
      <c r="D425" s="1" t="s">
        <v>10790</v>
      </c>
      <c r="E425" s="1" t="s">
        <v>10793</v>
      </c>
      <c r="F425" s="1">
        <v>910671.0</v>
      </c>
      <c r="G425" s="1">
        <v>41972.0</v>
      </c>
      <c r="H425" s="1">
        <v>2224.0</v>
      </c>
      <c r="I425" s="1">
        <v>1.19E7</v>
      </c>
      <c r="J425" s="1" t="s">
        <v>2468</v>
      </c>
      <c r="K425" s="5">
        <f t="shared" si="2"/>
        <v>0.07652697479</v>
      </c>
      <c r="L425" s="6">
        <f t="shared" si="3"/>
        <v>703</v>
      </c>
      <c r="M425" s="6">
        <f t="shared" si="4"/>
        <v>1295.406828</v>
      </c>
      <c r="N425" s="7">
        <f t="shared" si="5"/>
        <v>0.0001088577166</v>
      </c>
      <c r="O425" s="7"/>
      <c r="P425" s="4">
        <f t="shared" si="6"/>
        <v>-0.3728505474</v>
      </c>
      <c r="Q425" s="4">
        <f t="shared" si="7"/>
        <v>7</v>
      </c>
      <c r="R425" s="4">
        <f t="shared" si="8"/>
        <v>0</v>
      </c>
      <c r="S425" s="4">
        <f t="shared" si="9"/>
        <v>-0.3728505474</v>
      </c>
      <c r="T425" s="4">
        <f t="shared" si="10"/>
        <v>37</v>
      </c>
      <c r="U425" s="4">
        <f t="shared" si="1"/>
        <v>-0.3728505474</v>
      </c>
      <c r="V425" s="4"/>
    </row>
    <row r="426">
      <c r="A426" s="1" t="s">
        <v>11155</v>
      </c>
      <c r="B426" s="1" t="s">
        <v>11157</v>
      </c>
      <c r="C426" s="1" t="s">
        <v>11160</v>
      </c>
      <c r="D426" s="1" t="s">
        <v>10790</v>
      </c>
      <c r="E426" s="1" t="s">
        <v>10793</v>
      </c>
      <c r="F426" s="1">
        <v>1890848.0</v>
      </c>
      <c r="G426" s="1">
        <v>61024.0</v>
      </c>
      <c r="H426" s="1">
        <v>3589.0</v>
      </c>
      <c r="I426" s="1">
        <v>1.19E7</v>
      </c>
      <c r="J426" s="1" t="s">
        <v>2468</v>
      </c>
      <c r="K426" s="5">
        <f t="shared" si="2"/>
        <v>0.1588947899</v>
      </c>
      <c r="L426" s="6">
        <f t="shared" si="3"/>
        <v>732</v>
      </c>
      <c r="M426" s="6">
        <f t="shared" si="4"/>
        <v>2583.125683</v>
      </c>
      <c r="N426" s="7">
        <f t="shared" si="5"/>
        <v>0.0002170693851</v>
      </c>
      <c r="O426" s="7"/>
      <c r="P426" s="4">
        <f t="shared" si="6"/>
        <v>-0.2966302058</v>
      </c>
      <c r="Q426" s="4">
        <f t="shared" si="7"/>
        <v>14</v>
      </c>
      <c r="R426" s="4">
        <f t="shared" si="8"/>
        <v>0</v>
      </c>
      <c r="S426" s="4">
        <f t="shared" si="9"/>
        <v>-0.2966302058</v>
      </c>
      <c r="T426" s="4">
        <f t="shared" si="10"/>
        <v>63</v>
      </c>
      <c r="U426" s="4">
        <f t="shared" si="1"/>
        <v>-0.2966302058</v>
      </c>
      <c r="V426" s="4"/>
    </row>
    <row r="427">
      <c r="A427" s="1" t="s">
        <v>11173</v>
      </c>
      <c r="B427" s="1" t="s">
        <v>11175</v>
      </c>
      <c r="C427" s="1" t="s">
        <v>11177</v>
      </c>
      <c r="D427" s="1" t="s">
        <v>10790</v>
      </c>
      <c r="E427" s="1" t="s">
        <v>10793</v>
      </c>
      <c r="F427" s="1">
        <v>4044136.0</v>
      </c>
      <c r="G427" s="1">
        <v>169652.0</v>
      </c>
      <c r="H427" s="1">
        <v>21587.0</v>
      </c>
      <c r="I427" s="1">
        <v>1.19E7</v>
      </c>
      <c r="J427" s="1" t="s">
        <v>2468</v>
      </c>
      <c r="K427" s="5">
        <f t="shared" si="2"/>
        <v>0.3398433613</v>
      </c>
      <c r="L427" s="6">
        <f t="shared" si="3"/>
        <v>767</v>
      </c>
      <c r="M427" s="6">
        <f t="shared" si="4"/>
        <v>5272.667536</v>
      </c>
      <c r="N427" s="7">
        <f t="shared" si="5"/>
        <v>0.0004430813055</v>
      </c>
      <c r="O427" s="7"/>
      <c r="P427" s="4">
        <f t="shared" si="6"/>
        <v>-0.137435675</v>
      </c>
      <c r="Q427" s="4">
        <f t="shared" si="7"/>
        <v>11</v>
      </c>
      <c r="R427" s="4">
        <f t="shared" si="8"/>
        <v>0</v>
      </c>
      <c r="S427" s="4">
        <f t="shared" si="9"/>
        <v>-0.137435675</v>
      </c>
      <c r="T427" s="4">
        <f t="shared" si="10"/>
        <v>64</v>
      </c>
      <c r="U427" s="4">
        <f t="shared" si="1"/>
        <v>-0.137435675</v>
      </c>
      <c r="V427" s="4"/>
    </row>
    <row r="428">
      <c r="A428" s="1" t="s">
        <v>11197</v>
      </c>
      <c r="B428" s="1" t="s">
        <v>11198</v>
      </c>
      <c r="C428" s="1" t="s">
        <v>11200</v>
      </c>
      <c r="D428" s="1" t="s">
        <v>10790</v>
      </c>
      <c r="E428" s="1" t="s">
        <v>10793</v>
      </c>
      <c r="F428" s="1">
        <v>1921201.0</v>
      </c>
      <c r="G428" s="1">
        <v>67608.0</v>
      </c>
      <c r="H428" s="1">
        <v>5742.0</v>
      </c>
      <c r="I428" s="1">
        <v>1.19E7</v>
      </c>
      <c r="J428" s="1" t="s">
        <v>2468</v>
      </c>
      <c r="K428" s="5">
        <f t="shared" si="2"/>
        <v>0.1614454622</v>
      </c>
      <c r="L428" s="6">
        <f t="shared" si="3"/>
        <v>823</v>
      </c>
      <c r="M428" s="6">
        <f t="shared" si="4"/>
        <v>2334.387606</v>
      </c>
      <c r="N428" s="7">
        <f t="shared" si="5"/>
        <v>0.0001961670257</v>
      </c>
      <c r="O428" s="7"/>
      <c r="P428" s="4">
        <f t="shared" si="6"/>
        <v>-0.3113530632</v>
      </c>
      <c r="Q428" s="4">
        <f t="shared" si="7"/>
        <v>14</v>
      </c>
      <c r="R428" s="4">
        <f t="shared" si="8"/>
        <v>1</v>
      </c>
      <c r="S428" s="4">
        <f t="shared" si="9"/>
        <v>-0.3113530632</v>
      </c>
      <c r="T428" s="4">
        <f t="shared" si="10"/>
        <v>54</v>
      </c>
      <c r="U428" s="4">
        <f t="shared" si="1"/>
        <v>-0.3113530632</v>
      </c>
      <c r="V428" s="4"/>
    </row>
    <row r="429">
      <c r="A429" s="1" t="s">
        <v>11216</v>
      </c>
      <c r="B429" s="1" t="s">
        <v>11219</v>
      </c>
      <c r="C429" s="1" t="s">
        <v>11220</v>
      </c>
      <c r="D429" s="1" t="s">
        <v>10790</v>
      </c>
      <c r="E429" s="1" t="s">
        <v>10793</v>
      </c>
      <c r="F429" s="1">
        <v>5949548.0</v>
      </c>
      <c r="G429" s="1">
        <v>219424.0</v>
      </c>
      <c r="H429" s="1">
        <v>14360.0</v>
      </c>
      <c r="I429" s="1">
        <v>1.19E7</v>
      </c>
      <c r="J429" s="1" t="s">
        <v>2468</v>
      </c>
      <c r="K429" s="5">
        <f t="shared" si="2"/>
        <v>0.4999620168</v>
      </c>
      <c r="L429" s="6">
        <f t="shared" si="3"/>
        <v>837</v>
      </c>
      <c r="M429" s="6">
        <f t="shared" si="4"/>
        <v>7108.181601</v>
      </c>
      <c r="N429" s="7">
        <f t="shared" si="5"/>
        <v>0.000597326185</v>
      </c>
      <c r="O429" s="7"/>
      <c r="P429" s="4">
        <f t="shared" si="6"/>
        <v>-0.02879122318</v>
      </c>
      <c r="Q429" s="4">
        <f t="shared" si="7"/>
        <v>13</v>
      </c>
      <c r="R429" s="4">
        <f t="shared" si="8"/>
        <v>0</v>
      </c>
      <c r="S429" s="4">
        <f t="shared" si="9"/>
        <v>-0.02879122318</v>
      </c>
      <c r="T429" s="4">
        <f t="shared" si="10"/>
        <v>75</v>
      </c>
      <c r="U429" s="4">
        <f t="shared" si="1"/>
        <v>-0.02879122318</v>
      </c>
      <c r="V429" s="4"/>
    </row>
    <row r="430">
      <c r="A430" s="1" t="s">
        <v>11236</v>
      </c>
      <c r="B430" s="1" t="s">
        <v>11238</v>
      </c>
      <c r="C430" s="1" t="s">
        <v>11240</v>
      </c>
      <c r="D430" s="1" t="s">
        <v>10790</v>
      </c>
      <c r="E430" s="1" t="s">
        <v>10793</v>
      </c>
      <c r="F430" s="1">
        <v>1284472.0</v>
      </c>
      <c r="G430" s="1">
        <v>48020.0</v>
      </c>
      <c r="H430" s="1">
        <v>2743.0</v>
      </c>
      <c r="I430" s="1">
        <v>1.19E7</v>
      </c>
      <c r="J430" s="1" t="s">
        <v>2468</v>
      </c>
      <c r="K430" s="5">
        <f t="shared" si="2"/>
        <v>0.1079388235</v>
      </c>
      <c r="L430" s="6">
        <f t="shared" si="3"/>
        <v>858</v>
      </c>
      <c r="M430" s="6">
        <f t="shared" si="4"/>
        <v>1497.053613</v>
      </c>
      <c r="N430" s="7">
        <f t="shared" si="5"/>
        <v>0.0001258028246</v>
      </c>
      <c r="O430" s="7"/>
      <c r="P430" s="4">
        <f t="shared" si="6"/>
        <v>-0.3609150331</v>
      </c>
      <c r="Q430" s="4">
        <f t="shared" si="7"/>
        <v>13</v>
      </c>
      <c r="R430" s="4">
        <f t="shared" si="8"/>
        <v>0</v>
      </c>
      <c r="S430" s="4">
        <f t="shared" si="9"/>
        <v>-0.3609150331</v>
      </c>
      <c r="T430" s="4">
        <f t="shared" si="10"/>
        <v>54</v>
      </c>
      <c r="U430" s="4">
        <f t="shared" si="1"/>
        <v>-0.3609150331</v>
      </c>
      <c r="V430" s="4"/>
    </row>
    <row r="431">
      <c r="A431" s="1" t="s">
        <v>11258</v>
      </c>
      <c r="B431" s="1" t="s">
        <v>11261</v>
      </c>
      <c r="C431" s="1" t="s">
        <v>11262</v>
      </c>
      <c r="D431" s="1" t="s">
        <v>10790</v>
      </c>
      <c r="E431" s="1" t="s">
        <v>10793</v>
      </c>
      <c r="F431" s="1">
        <v>2654693.0</v>
      </c>
      <c r="G431" s="1">
        <v>72744.0</v>
      </c>
      <c r="H431" s="1">
        <v>4798.0</v>
      </c>
      <c r="I431" s="1">
        <v>1.19E7</v>
      </c>
      <c r="J431" s="1" t="s">
        <v>2468</v>
      </c>
      <c r="K431" s="5">
        <f t="shared" si="2"/>
        <v>0.2230834454</v>
      </c>
      <c r="L431" s="6">
        <f t="shared" si="3"/>
        <v>886</v>
      </c>
      <c r="M431" s="6">
        <f t="shared" si="4"/>
        <v>2996.267494</v>
      </c>
      <c r="N431" s="7">
        <f t="shared" si="5"/>
        <v>0.0002517871844</v>
      </c>
      <c r="O431" s="7"/>
      <c r="P431" s="4">
        <f t="shared" si="6"/>
        <v>-0.2721762577</v>
      </c>
      <c r="Q431" s="4">
        <f t="shared" si="7"/>
        <v>15</v>
      </c>
      <c r="R431" s="4">
        <f t="shared" si="8"/>
        <v>0</v>
      </c>
      <c r="S431" s="4">
        <f t="shared" si="9"/>
        <v>-0.2721762577</v>
      </c>
      <c r="T431" s="4">
        <f t="shared" si="10"/>
        <v>67</v>
      </c>
      <c r="U431" s="4">
        <f t="shared" si="1"/>
        <v>-0.2721762577</v>
      </c>
      <c r="V431" s="4"/>
    </row>
    <row r="432">
      <c r="A432" s="1" t="s">
        <v>11290</v>
      </c>
      <c r="B432" s="1" t="s">
        <v>11292</v>
      </c>
      <c r="C432" s="1" t="s">
        <v>11294</v>
      </c>
      <c r="D432" s="1" t="s">
        <v>10790</v>
      </c>
      <c r="E432" s="1" t="s">
        <v>10793</v>
      </c>
      <c r="F432" s="1">
        <v>3022066.0</v>
      </c>
      <c r="G432" s="1">
        <v>79301.0</v>
      </c>
      <c r="H432" s="1">
        <v>6648.0</v>
      </c>
      <c r="I432" s="1">
        <v>1.19E7</v>
      </c>
      <c r="J432" s="1" t="s">
        <v>2468</v>
      </c>
      <c r="K432" s="5">
        <f t="shared" si="2"/>
        <v>0.2539551261</v>
      </c>
      <c r="L432" s="6">
        <f t="shared" si="3"/>
        <v>921</v>
      </c>
      <c r="M432" s="6">
        <f t="shared" si="4"/>
        <v>3281.287731</v>
      </c>
      <c r="N432" s="7">
        <f t="shared" si="5"/>
        <v>0.0002757384648</v>
      </c>
      <c r="O432" s="7"/>
      <c r="P432" s="4">
        <f t="shared" si="6"/>
        <v>-0.2553058518</v>
      </c>
      <c r="Q432" s="4">
        <f t="shared" si="7"/>
        <v>16</v>
      </c>
      <c r="R432" s="4">
        <f t="shared" si="8"/>
        <v>0</v>
      </c>
      <c r="S432" s="4">
        <f t="shared" si="9"/>
        <v>-0.2553058518</v>
      </c>
      <c r="T432" s="4">
        <f t="shared" si="10"/>
        <v>70</v>
      </c>
      <c r="U432" s="4">
        <f t="shared" si="1"/>
        <v>-0.2553058518</v>
      </c>
      <c r="V432" s="4"/>
    </row>
    <row r="433">
      <c r="A433" s="1" t="s">
        <v>11312</v>
      </c>
      <c r="B433" s="1" t="s">
        <v>11314</v>
      </c>
      <c r="C433" s="1" t="s">
        <v>11316</v>
      </c>
      <c r="D433" s="1" t="s">
        <v>10790</v>
      </c>
      <c r="E433" s="1" t="s">
        <v>10793</v>
      </c>
      <c r="F433" s="1">
        <v>1931270.0</v>
      </c>
      <c r="G433" s="1">
        <v>75258.0</v>
      </c>
      <c r="H433" s="1">
        <v>3247.0</v>
      </c>
      <c r="I433" s="1">
        <v>1.19E7</v>
      </c>
      <c r="J433" s="1" t="s">
        <v>2468</v>
      </c>
      <c r="K433" s="5">
        <f t="shared" si="2"/>
        <v>0.1622915966</v>
      </c>
      <c r="L433" s="6">
        <f t="shared" si="3"/>
        <v>955</v>
      </c>
      <c r="M433" s="6">
        <f t="shared" si="4"/>
        <v>2022.272251</v>
      </c>
      <c r="N433" s="7">
        <f t="shared" si="5"/>
        <v>0.0001699388446</v>
      </c>
      <c r="O433" s="7"/>
      <c r="P433" s="4">
        <f t="shared" si="6"/>
        <v>-0.3298272348</v>
      </c>
      <c r="Q433" s="4">
        <f t="shared" si="7"/>
        <v>17</v>
      </c>
      <c r="R433" s="4">
        <f t="shared" si="8"/>
        <v>0</v>
      </c>
      <c r="S433" s="4">
        <f t="shared" si="9"/>
        <v>-0.3298272348</v>
      </c>
      <c r="T433" s="4">
        <f t="shared" si="10"/>
        <v>72</v>
      </c>
      <c r="U433" s="4">
        <f t="shared" si="1"/>
        <v>-0.3298272348</v>
      </c>
      <c r="V433" s="4"/>
    </row>
    <row r="434">
      <c r="A434" s="1" t="s">
        <v>11332</v>
      </c>
      <c r="B434" s="1" t="s">
        <v>11333</v>
      </c>
      <c r="C434" s="1" t="s">
        <v>11335</v>
      </c>
      <c r="D434" s="1" t="s">
        <v>10790</v>
      </c>
      <c r="E434" s="1" t="s">
        <v>10793</v>
      </c>
      <c r="F434" s="1">
        <v>4985111.0</v>
      </c>
      <c r="G434" s="1">
        <v>208094.0</v>
      </c>
      <c r="H434" s="1">
        <v>19052.0</v>
      </c>
      <c r="I434" s="1">
        <v>1.19E7</v>
      </c>
      <c r="J434" s="1" t="s">
        <v>2468</v>
      </c>
      <c r="K434" s="5">
        <f t="shared" si="2"/>
        <v>0.4189168908</v>
      </c>
      <c r="L434" s="6">
        <f t="shared" si="3"/>
        <v>1005</v>
      </c>
      <c r="M434" s="6">
        <f t="shared" si="4"/>
        <v>4960.309453</v>
      </c>
      <c r="N434" s="7">
        <f t="shared" si="5"/>
        <v>0.0004168327271</v>
      </c>
      <c r="O434" s="7"/>
      <c r="P434" s="4">
        <f t="shared" si="6"/>
        <v>-0.1559242136</v>
      </c>
      <c r="Q434" s="4">
        <f t="shared" si="7"/>
        <v>18</v>
      </c>
      <c r="R434" s="4">
        <f t="shared" si="8"/>
        <v>0</v>
      </c>
      <c r="S434" s="4">
        <f t="shared" si="9"/>
        <v>-0.1559242136</v>
      </c>
      <c r="T434" s="4">
        <f t="shared" si="10"/>
        <v>64</v>
      </c>
      <c r="U434" s="4">
        <f t="shared" si="1"/>
        <v>-0.1559242136</v>
      </c>
      <c r="V434" s="4"/>
    </row>
    <row r="435">
      <c r="A435" s="1" t="s">
        <v>11350</v>
      </c>
      <c r="B435" s="1" t="s">
        <v>11351</v>
      </c>
      <c r="C435" s="1" t="s">
        <v>11352</v>
      </c>
      <c r="D435" s="1" t="s">
        <v>10790</v>
      </c>
      <c r="E435" s="1" t="s">
        <v>10793</v>
      </c>
      <c r="F435" s="1">
        <v>2932005.0</v>
      </c>
      <c r="G435" s="1">
        <v>104006.0</v>
      </c>
      <c r="H435" s="1">
        <v>3060.0</v>
      </c>
      <c r="I435" s="1">
        <v>1.19E7</v>
      </c>
      <c r="J435" s="1" t="s">
        <v>2468</v>
      </c>
      <c r="K435" s="5">
        <f t="shared" si="2"/>
        <v>0.2463869748</v>
      </c>
      <c r="L435" s="6">
        <f t="shared" si="3"/>
        <v>1023</v>
      </c>
      <c r="M435" s="6">
        <f t="shared" si="4"/>
        <v>2866.085044</v>
      </c>
      <c r="N435" s="7">
        <f t="shared" si="5"/>
        <v>0.0002408474827</v>
      </c>
      <c r="O435" s="7"/>
      <c r="P435" s="4">
        <f t="shared" si="6"/>
        <v>-0.2798817835</v>
      </c>
      <c r="Q435" s="4">
        <f t="shared" si="7"/>
        <v>13</v>
      </c>
      <c r="R435" s="4">
        <f t="shared" si="8"/>
        <v>0</v>
      </c>
      <c r="S435" s="4">
        <f t="shared" si="9"/>
        <v>-0.2798817835</v>
      </c>
      <c r="T435" s="4">
        <f t="shared" si="10"/>
        <v>68</v>
      </c>
      <c r="U435" s="4">
        <f t="shared" si="1"/>
        <v>-0.2798817835</v>
      </c>
      <c r="V435" s="4"/>
    </row>
    <row r="436">
      <c r="A436" s="1" t="s">
        <v>11372</v>
      </c>
      <c r="B436" s="1" t="s">
        <v>11374</v>
      </c>
      <c r="C436" s="1" t="s">
        <v>11376</v>
      </c>
      <c r="D436" s="1" t="s">
        <v>10790</v>
      </c>
      <c r="E436" s="1" t="s">
        <v>10793</v>
      </c>
      <c r="F436" s="1">
        <v>962244.0</v>
      </c>
      <c r="G436" s="1">
        <v>36520.0</v>
      </c>
      <c r="H436" s="1">
        <v>2281.0</v>
      </c>
      <c r="I436" s="1">
        <v>1.19E7</v>
      </c>
      <c r="J436" s="1" t="s">
        <v>2468</v>
      </c>
      <c r="K436" s="5">
        <f t="shared" si="2"/>
        <v>0.08086084034</v>
      </c>
      <c r="L436" s="6">
        <f t="shared" si="3"/>
        <v>1040</v>
      </c>
      <c r="M436" s="6">
        <f t="shared" si="4"/>
        <v>925.2346154</v>
      </c>
      <c r="N436" s="7">
        <f t="shared" si="5"/>
        <v>0.00007775080802</v>
      </c>
      <c r="O436" s="7"/>
      <c r="P436" s="4">
        <f t="shared" si="6"/>
        <v>-0.3947611162</v>
      </c>
      <c r="Q436" s="4">
        <f t="shared" si="7"/>
        <v>12</v>
      </c>
      <c r="R436" s="4">
        <f t="shared" si="8"/>
        <v>0</v>
      </c>
      <c r="S436" s="4">
        <f t="shared" si="9"/>
        <v>-0.3947611162</v>
      </c>
      <c r="T436" s="4">
        <f t="shared" si="10"/>
        <v>44</v>
      </c>
      <c r="U436" s="4">
        <f t="shared" si="1"/>
        <v>-0.3947611162</v>
      </c>
      <c r="V436" s="4"/>
    </row>
    <row r="437">
      <c r="A437" s="1" t="s">
        <v>11392</v>
      </c>
      <c r="B437" s="1" t="s">
        <v>11393</v>
      </c>
      <c r="C437" s="1" t="s">
        <v>11395</v>
      </c>
      <c r="D437" s="1" t="s">
        <v>10790</v>
      </c>
      <c r="E437" s="1" t="s">
        <v>10793</v>
      </c>
      <c r="F437" s="1">
        <v>8266678.0</v>
      </c>
      <c r="G437" s="1">
        <v>162787.0</v>
      </c>
      <c r="H437" s="1">
        <v>7073.0</v>
      </c>
      <c r="I437" s="1">
        <v>1.19E7</v>
      </c>
      <c r="J437" s="1" t="s">
        <v>2468</v>
      </c>
      <c r="K437" s="5">
        <f t="shared" si="2"/>
        <v>0.6946788235</v>
      </c>
      <c r="L437" s="6">
        <f t="shared" si="3"/>
        <v>1083</v>
      </c>
      <c r="M437" s="6">
        <f t="shared" si="4"/>
        <v>7633.128347</v>
      </c>
      <c r="N437" s="7">
        <f t="shared" si="5"/>
        <v>0.0006414393569</v>
      </c>
      <c r="O437" s="7"/>
      <c r="P437" s="4">
        <f t="shared" si="6"/>
        <v>0.002280481787</v>
      </c>
      <c r="Q437" s="4">
        <f t="shared" si="7"/>
        <v>17</v>
      </c>
      <c r="R437" s="4">
        <f t="shared" si="8"/>
        <v>1</v>
      </c>
      <c r="S437" s="4">
        <f t="shared" si="9"/>
        <v>0.002280481787</v>
      </c>
      <c r="T437" s="4">
        <f t="shared" si="10"/>
        <v>81</v>
      </c>
      <c r="U437" s="4">
        <f t="shared" si="1"/>
        <v>0.002280481787</v>
      </c>
      <c r="V437" s="4"/>
    </row>
    <row r="438">
      <c r="A438" s="1" t="s">
        <v>11413</v>
      </c>
      <c r="B438" s="1" t="s">
        <v>11414</v>
      </c>
      <c r="C438" s="1" t="s">
        <v>11416</v>
      </c>
      <c r="D438" s="1" t="s">
        <v>10790</v>
      </c>
      <c r="E438" s="1" t="s">
        <v>10793</v>
      </c>
      <c r="F438" s="1">
        <v>1672275.0</v>
      </c>
      <c r="G438" s="1">
        <v>59127.0</v>
      </c>
      <c r="H438" s="1">
        <v>1750.0</v>
      </c>
      <c r="I438" s="1">
        <v>1.19E7</v>
      </c>
      <c r="J438" s="1" t="s">
        <v>2468</v>
      </c>
      <c r="K438" s="5">
        <f t="shared" si="2"/>
        <v>0.1405273109</v>
      </c>
      <c r="L438" s="6">
        <f t="shared" si="3"/>
        <v>1109</v>
      </c>
      <c r="M438" s="6">
        <f t="shared" si="4"/>
        <v>1507.912534</v>
      </c>
      <c r="N438" s="7">
        <f t="shared" si="5"/>
        <v>0.000126715339</v>
      </c>
      <c r="O438" s="7"/>
      <c r="P438" s="4">
        <f t="shared" si="6"/>
        <v>-0.3602722913</v>
      </c>
      <c r="Q438" s="4">
        <f t="shared" si="7"/>
        <v>12</v>
      </c>
      <c r="R438" s="4">
        <f t="shared" si="8"/>
        <v>0</v>
      </c>
      <c r="S438" s="4">
        <f t="shared" si="9"/>
        <v>-0.3602722913</v>
      </c>
      <c r="T438" s="4">
        <f t="shared" si="10"/>
        <v>58</v>
      </c>
      <c r="U438" s="4">
        <f t="shared" si="1"/>
        <v>-0.3602722913</v>
      </c>
      <c r="V438" s="4"/>
    </row>
    <row r="439">
      <c r="A439" s="1" t="s">
        <v>11433</v>
      </c>
      <c r="B439" s="1" t="s">
        <v>11435</v>
      </c>
      <c r="C439" s="1" t="s">
        <v>11436</v>
      </c>
      <c r="D439" s="1" t="s">
        <v>10790</v>
      </c>
      <c r="E439" s="1" t="s">
        <v>10793</v>
      </c>
      <c r="F439" s="1">
        <v>2876581.0</v>
      </c>
      <c r="G439" s="1">
        <v>89081.0</v>
      </c>
      <c r="H439" s="1">
        <v>6477.0</v>
      </c>
      <c r="I439" s="1">
        <v>1.19E7</v>
      </c>
      <c r="J439" s="1" t="s">
        <v>2468</v>
      </c>
      <c r="K439" s="5">
        <f t="shared" si="2"/>
        <v>0.2417294958</v>
      </c>
      <c r="L439" s="6">
        <f t="shared" si="3"/>
        <v>1130</v>
      </c>
      <c r="M439" s="6">
        <f t="shared" si="4"/>
        <v>2545.646903</v>
      </c>
      <c r="N439" s="7">
        <f t="shared" si="5"/>
        <v>0.0002139199078</v>
      </c>
      <c r="O439" s="7"/>
      <c r="P439" s="4">
        <f t="shared" si="6"/>
        <v>-0.2988485824</v>
      </c>
      <c r="Q439" s="4">
        <f t="shared" si="7"/>
        <v>14</v>
      </c>
      <c r="R439" s="4">
        <f t="shared" si="8"/>
        <v>0</v>
      </c>
      <c r="S439" s="4">
        <f t="shared" si="9"/>
        <v>-0.2988485824</v>
      </c>
      <c r="T439" s="4">
        <f t="shared" si="10"/>
        <v>70</v>
      </c>
      <c r="U439" s="4">
        <f t="shared" si="1"/>
        <v>-0.2988485824</v>
      </c>
      <c r="V439" s="4"/>
    </row>
    <row r="440">
      <c r="A440" s="1" t="s">
        <v>11443</v>
      </c>
      <c r="B440" s="1" t="s">
        <v>11445</v>
      </c>
      <c r="C440" s="1" t="s">
        <v>11447</v>
      </c>
      <c r="D440" s="1" t="s">
        <v>10790</v>
      </c>
      <c r="E440" s="1" t="s">
        <v>10793</v>
      </c>
      <c r="F440" s="1">
        <v>2.5227779E7</v>
      </c>
      <c r="G440" s="1">
        <v>504908.0</v>
      </c>
      <c r="H440" s="1">
        <v>24963.0</v>
      </c>
      <c r="I440" s="1">
        <v>1.19E7</v>
      </c>
      <c r="J440" s="1" t="s">
        <v>2468</v>
      </c>
      <c r="K440" s="5">
        <f t="shared" si="2"/>
        <v>2.119981429</v>
      </c>
      <c r="L440" s="6">
        <f t="shared" si="3"/>
        <v>1181</v>
      </c>
      <c r="M440" s="6">
        <f t="shared" si="4"/>
        <v>21361.37087</v>
      </c>
      <c r="N440" s="7">
        <f t="shared" si="5"/>
        <v>0.001795073183</v>
      </c>
      <c r="O440" s="7"/>
      <c r="P440" s="4">
        <f t="shared" si="6"/>
        <v>0.8148579565</v>
      </c>
      <c r="Q440" s="4">
        <f t="shared" si="7"/>
        <v>15</v>
      </c>
      <c r="R440" s="4">
        <f t="shared" si="8"/>
        <v>0</v>
      </c>
      <c r="S440" s="4">
        <f t="shared" si="9"/>
        <v>0.8148579565</v>
      </c>
      <c r="T440" s="4">
        <f t="shared" si="10"/>
        <v>69</v>
      </c>
      <c r="U440" s="4">
        <f t="shared" si="1"/>
        <v>0.8148579565</v>
      </c>
      <c r="V440" s="4"/>
    </row>
    <row r="441">
      <c r="A441" s="1" t="s">
        <v>11464</v>
      </c>
      <c r="B441" s="1" t="s">
        <v>11466</v>
      </c>
      <c r="C441" s="1" t="s">
        <v>11468</v>
      </c>
      <c r="D441" s="1" t="s">
        <v>10790</v>
      </c>
      <c r="E441" s="1" t="s">
        <v>10793</v>
      </c>
      <c r="F441" s="1">
        <v>1726764.0</v>
      </c>
      <c r="G441" s="1">
        <v>42608.0</v>
      </c>
      <c r="H441" s="1">
        <v>2860.0</v>
      </c>
      <c r="I441" s="1">
        <v>1.19E7</v>
      </c>
      <c r="J441" s="1" t="s">
        <v>2468</v>
      </c>
      <c r="K441" s="5">
        <f t="shared" si="2"/>
        <v>0.1451062185</v>
      </c>
      <c r="L441" s="6">
        <f t="shared" si="3"/>
        <v>1208</v>
      </c>
      <c r="M441" s="6">
        <f t="shared" si="4"/>
        <v>1429.440397</v>
      </c>
      <c r="N441" s="7">
        <f t="shared" si="5"/>
        <v>0.0001201210418</v>
      </c>
      <c r="O441" s="7"/>
      <c r="P441" s="4">
        <f t="shared" si="6"/>
        <v>-0.3649170731</v>
      </c>
      <c r="Q441" s="4">
        <f t="shared" si="7"/>
        <v>14</v>
      </c>
      <c r="R441" s="4">
        <f t="shared" si="8"/>
        <v>0</v>
      </c>
      <c r="S441" s="4">
        <f t="shared" si="9"/>
        <v>-0.3649170731</v>
      </c>
      <c r="T441" s="4">
        <f t="shared" si="10"/>
        <v>49</v>
      </c>
      <c r="U441" s="4">
        <f t="shared" si="1"/>
        <v>-0.3649170731</v>
      </c>
      <c r="V441" s="4"/>
    </row>
    <row r="442">
      <c r="A442" s="1" t="s">
        <v>11488</v>
      </c>
      <c r="B442" s="1" t="s">
        <v>11489</v>
      </c>
      <c r="C442" s="1" t="s">
        <v>11490</v>
      </c>
      <c r="D442" s="1" t="s">
        <v>10790</v>
      </c>
      <c r="E442" s="1" t="s">
        <v>10793</v>
      </c>
      <c r="F442" s="1">
        <v>5772862.0</v>
      </c>
      <c r="G442" s="1">
        <v>110509.0</v>
      </c>
      <c r="H442" s="1">
        <v>4942.0</v>
      </c>
      <c r="I442" s="1">
        <v>1.19E7</v>
      </c>
      <c r="J442" s="1" t="s">
        <v>2468</v>
      </c>
      <c r="K442" s="5">
        <f t="shared" si="2"/>
        <v>0.4851144538</v>
      </c>
      <c r="L442" s="6">
        <f t="shared" si="3"/>
        <v>1236</v>
      </c>
      <c r="M442" s="6">
        <f t="shared" si="4"/>
        <v>4670.600324</v>
      </c>
      <c r="N442" s="7">
        <f t="shared" si="5"/>
        <v>0.0003924874222</v>
      </c>
      <c r="O442" s="7"/>
      <c r="P442" s="4">
        <f t="shared" si="6"/>
        <v>-0.1730721561</v>
      </c>
      <c r="Q442" s="4">
        <f t="shared" si="7"/>
        <v>11</v>
      </c>
      <c r="R442" s="4">
        <f t="shared" si="8"/>
        <v>0</v>
      </c>
      <c r="S442" s="4">
        <f t="shared" si="9"/>
        <v>-0.1730721561</v>
      </c>
      <c r="T442" s="4">
        <f t="shared" si="10"/>
        <v>49</v>
      </c>
      <c r="U442" s="4">
        <f t="shared" si="1"/>
        <v>-0.1730721561</v>
      </c>
      <c r="V442" s="4"/>
    </row>
    <row r="443">
      <c r="A443" s="1" t="s">
        <v>11491</v>
      </c>
      <c r="B443" s="1" t="s">
        <v>11492</v>
      </c>
      <c r="C443" s="1" t="s">
        <v>11493</v>
      </c>
      <c r="D443" s="1" t="s">
        <v>10790</v>
      </c>
      <c r="E443" s="1" t="s">
        <v>10793</v>
      </c>
      <c r="F443" s="1">
        <v>706103.0</v>
      </c>
      <c r="G443" s="1">
        <v>32820.0</v>
      </c>
      <c r="H443" s="1">
        <v>1706.0</v>
      </c>
      <c r="I443" s="1">
        <v>1.19E7</v>
      </c>
      <c r="J443" s="1" t="s">
        <v>2468</v>
      </c>
      <c r="K443" s="5">
        <f t="shared" si="2"/>
        <v>0.05933638655</v>
      </c>
      <c r="L443" s="6">
        <f t="shared" si="3"/>
        <v>1252</v>
      </c>
      <c r="M443" s="6">
        <f t="shared" si="4"/>
        <v>563.9800319</v>
      </c>
      <c r="N443" s="7">
        <f t="shared" si="5"/>
        <v>0.00004739328</v>
      </c>
      <c r="O443" s="7"/>
      <c r="P443" s="4">
        <f t="shared" si="6"/>
        <v>-0.4161438486</v>
      </c>
      <c r="Q443" s="4">
        <f t="shared" si="7"/>
        <v>11</v>
      </c>
      <c r="R443" s="4">
        <f t="shared" si="8"/>
        <v>0</v>
      </c>
      <c r="S443" s="4">
        <f t="shared" si="9"/>
        <v>-0.4161438486</v>
      </c>
      <c r="T443" s="4">
        <f t="shared" si="10"/>
        <v>49</v>
      </c>
      <c r="U443" s="4">
        <f t="shared" si="1"/>
        <v>-0.4161438486</v>
      </c>
      <c r="V443" s="4"/>
    </row>
    <row r="444">
      <c r="A444" s="1" t="s">
        <v>11494</v>
      </c>
      <c r="B444" s="1" t="s">
        <v>11495</v>
      </c>
      <c r="C444" s="1" t="s">
        <v>11496</v>
      </c>
      <c r="D444" s="1" t="s">
        <v>10790</v>
      </c>
      <c r="E444" s="1" t="s">
        <v>10793</v>
      </c>
      <c r="F444" s="1">
        <v>2430923.0</v>
      </c>
      <c r="G444" s="1">
        <v>86884.0</v>
      </c>
      <c r="H444" s="1">
        <v>2209.0</v>
      </c>
      <c r="I444" s="1">
        <v>1.19E7</v>
      </c>
      <c r="J444" s="1" t="s">
        <v>2468</v>
      </c>
      <c r="K444" s="5">
        <f t="shared" si="2"/>
        <v>0.2042792437</v>
      </c>
      <c r="L444" s="6">
        <f t="shared" si="3"/>
        <v>1285</v>
      </c>
      <c r="M444" s="6">
        <f t="shared" si="4"/>
        <v>1891.768872</v>
      </c>
      <c r="N444" s="7">
        <f t="shared" si="5"/>
        <v>0.0001589721741</v>
      </c>
      <c r="O444" s="7"/>
      <c r="P444" s="4">
        <f t="shared" si="6"/>
        <v>-0.3375517564</v>
      </c>
      <c r="Q444" s="4">
        <f t="shared" si="7"/>
        <v>11</v>
      </c>
      <c r="R444" s="4">
        <f t="shared" si="8"/>
        <v>0</v>
      </c>
      <c r="S444" s="4">
        <f t="shared" si="9"/>
        <v>-0.3375517564</v>
      </c>
      <c r="T444" s="4">
        <f t="shared" si="10"/>
        <v>63</v>
      </c>
      <c r="U444" s="4">
        <f t="shared" si="1"/>
        <v>-0.3375517564</v>
      </c>
      <c r="V444" s="4"/>
    </row>
    <row r="445">
      <c r="A445" s="1" t="s">
        <v>11497</v>
      </c>
      <c r="B445" s="1" t="s">
        <v>11498</v>
      </c>
      <c r="C445" s="1" t="s">
        <v>11499</v>
      </c>
      <c r="D445" s="1" t="s">
        <v>10790</v>
      </c>
      <c r="E445" s="1" t="s">
        <v>10793</v>
      </c>
      <c r="F445" s="1">
        <v>1852861.0</v>
      </c>
      <c r="G445" s="1">
        <v>96536.0</v>
      </c>
      <c r="H445" s="1">
        <v>4031.0</v>
      </c>
      <c r="I445" s="1">
        <v>1.19E7</v>
      </c>
      <c r="J445" s="1" t="s">
        <v>2468</v>
      </c>
      <c r="K445" s="5">
        <f t="shared" si="2"/>
        <v>0.155702605</v>
      </c>
      <c r="L445" s="6">
        <f t="shared" si="3"/>
        <v>1295</v>
      </c>
      <c r="M445" s="6">
        <f t="shared" si="4"/>
        <v>1430.780695</v>
      </c>
      <c r="N445" s="7">
        <f t="shared" si="5"/>
        <v>0.0001202336718</v>
      </c>
      <c r="O445" s="7"/>
      <c r="P445" s="4">
        <f t="shared" si="6"/>
        <v>-0.3648377406</v>
      </c>
      <c r="Q445" s="4">
        <f t="shared" si="7"/>
        <v>13</v>
      </c>
      <c r="R445" s="4">
        <f t="shared" si="8"/>
        <v>0</v>
      </c>
      <c r="S445" s="4">
        <f t="shared" si="9"/>
        <v>-0.3648377406</v>
      </c>
      <c r="T445" s="4">
        <f t="shared" si="10"/>
        <v>56</v>
      </c>
      <c r="U445" s="4">
        <f t="shared" si="1"/>
        <v>-0.3648377406</v>
      </c>
      <c r="V445" s="4"/>
    </row>
    <row r="446">
      <c r="A446" s="1" t="s">
        <v>11500</v>
      </c>
      <c r="B446" s="1" t="s">
        <v>11501</v>
      </c>
      <c r="C446" s="1" t="s">
        <v>11502</v>
      </c>
      <c r="D446" s="1" t="s">
        <v>10790</v>
      </c>
      <c r="E446" s="1" t="s">
        <v>10793</v>
      </c>
      <c r="F446" s="1">
        <v>2937538.0</v>
      </c>
      <c r="G446" s="1">
        <v>99339.0</v>
      </c>
      <c r="H446" s="1">
        <v>4440.0</v>
      </c>
      <c r="I446" s="1">
        <v>1.19E7</v>
      </c>
      <c r="J446" s="1" t="s">
        <v>2468</v>
      </c>
      <c r="K446" s="5">
        <f t="shared" si="2"/>
        <v>0.2468519328</v>
      </c>
      <c r="L446" s="6">
        <f t="shared" si="3"/>
        <v>1320</v>
      </c>
      <c r="M446" s="6">
        <f t="shared" si="4"/>
        <v>2225.407576</v>
      </c>
      <c r="N446" s="7">
        <f t="shared" si="5"/>
        <v>0.00018700904</v>
      </c>
      <c r="O446" s="7"/>
      <c r="P446" s="4">
        <f t="shared" si="6"/>
        <v>-0.3178036135</v>
      </c>
      <c r="Q446" s="4">
        <f t="shared" si="7"/>
        <v>16</v>
      </c>
      <c r="R446" s="4">
        <f t="shared" si="8"/>
        <v>0</v>
      </c>
      <c r="S446" s="4">
        <f t="shared" si="9"/>
        <v>-0.3178036135</v>
      </c>
      <c r="T446" s="4">
        <f t="shared" si="10"/>
        <v>66</v>
      </c>
      <c r="U446" s="4">
        <f t="shared" si="1"/>
        <v>-0.3178036135</v>
      </c>
      <c r="V446" s="4"/>
    </row>
    <row r="447">
      <c r="A447" s="1" t="s">
        <v>11503</v>
      </c>
      <c r="B447" s="1" t="s">
        <v>11504</v>
      </c>
      <c r="C447" s="1" t="s">
        <v>11505</v>
      </c>
      <c r="D447" s="1" t="s">
        <v>10790</v>
      </c>
      <c r="E447" s="1" t="s">
        <v>10793</v>
      </c>
      <c r="F447" s="1">
        <v>4960331.0</v>
      </c>
      <c r="G447" s="1">
        <v>109111.0</v>
      </c>
      <c r="H447" s="1">
        <v>7330.0</v>
      </c>
      <c r="I447" s="1">
        <v>1.19E7</v>
      </c>
      <c r="J447" s="1" t="s">
        <v>2468</v>
      </c>
      <c r="K447" s="5">
        <f t="shared" si="2"/>
        <v>0.4168345378</v>
      </c>
      <c r="L447" s="6">
        <f t="shared" si="3"/>
        <v>1347</v>
      </c>
      <c r="M447" s="6">
        <f t="shared" si="4"/>
        <v>3682.502598</v>
      </c>
      <c r="N447" s="7">
        <f t="shared" si="5"/>
        <v>0.0003094539999</v>
      </c>
      <c r="O447" s="7"/>
      <c r="P447" s="4">
        <f t="shared" si="6"/>
        <v>-0.2315578619</v>
      </c>
      <c r="Q447" s="4">
        <f t="shared" si="7"/>
        <v>17</v>
      </c>
      <c r="R447" s="4">
        <f t="shared" si="8"/>
        <v>0</v>
      </c>
      <c r="S447" s="4">
        <f t="shared" si="9"/>
        <v>-0.2315578619</v>
      </c>
      <c r="T447" s="4">
        <f t="shared" si="10"/>
        <v>71</v>
      </c>
      <c r="U447" s="4">
        <f t="shared" si="1"/>
        <v>-0.2315578619</v>
      </c>
      <c r="V447" s="4"/>
    </row>
    <row r="448">
      <c r="A448" s="1" t="s">
        <v>11506</v>
      </c>
      <c r="B448" s="1" t="s">
        <v>11507</v>
      </c>
      <c r="C448" s="1" t="s">
        <v>11508</v>
      </c>
      <c r="D448" s="1" t="s">
        <v>10790</v>
      </c>
      <c r="E448" s="1" t="s">
        <v>10793</v>
      </c>
      <c r="F448" s="1">
        <v>946365.0</v>
      </c>
      <c r="G448" s="1">
        <v>46155.0</v>
      </c>
      <c r="H448" s="1">
        <v>1317.0</v>
      </c>
      <c r="I448" s="1">
        <v>1.19E7</v>
      </c>
      <c r="J448" s="1" t="s">
        <v>2468</v>
      </c>
      <c r="K448" s="5">
        <f t="shared" si="2"/>
        <v>0.07952647059</v>
      </c>
      <c r="L448" s="6">
        <f t="shared" si="3"/>
        <v>1380</v>
      </c>
      <c r="M448" s="6">
        <f t="shared" si="4"/>
        <v>685.7717391</v>
      </c>
      <c r="N448" s="7">
        <f t="shared" si="5"/>
        <v>0.00005762787724</v>
      </c>
      <c r="O448" s="7"/>
      <c r="P448" s="4">
        <f t="shared" si="6"/>
        <v>-0.4089349726</v>
      </c>
      <c r="Q448" s="4">
        <f t="shared" si="7"/>
        <v>11</v>
      </c>
      <c r="R448" s="4">
        <f t="shared" si="8"/>
        <v>0</v>
      </c>
      <c r="S448" s="4">
        <f t="shared" si="9"/>
        <v>-0.4089349726</v>
      </c>
      <c r="T448" s="4">
        <f t="shared" si="10"/>
        <v>47</v>
      </c>
      <c r="U448" s="4">
        <f t="shared" si="1"/>
        <v>-0.4089349726</v>
      </c>
      <c r="V448" s="4"/>
    </row>
    <row r="449">
      <c r="A449" s="1" t="s">
        <v>11509</v>
      </c>
      <c r="B449" s="1" t="s">
        <v>11510</v>
      </c>
      <c r="C449" s="1" t="s">
        <v>11511</v>
      </c>
      <c r="D449" s="1" t="s">
        <v>10790</v>
      </c>
      <c r="E449" s="1" t="s">
        <v>10793</v>
      </c>
      <c r="F449" s="1">
        <v>6162903.0</v>
      </c>
      <c r="G449" s="1">
        <v>141748.0</v>
      </c>
      <c r="H449" s="1">
        <v>5939.0</v>
      </c>
      <c r="I449" s="1">
        <v>1.19E7</v>
      </c>
      <c r="J449" s="1" t="s">
        <v>2468</v>
      </c>
      <c r="K449" s="5">
        <f t="shared" si="2"/>
        <v>0.5178910084</v>
      </c>
      <c r="L449" s="6">
        <f t="shared" si="3"/>
        <v>1404</v>
      </c>
      <c r="M449" s="6">
        <f t="shared" si="4"/>
        <v>4389.532051</v>
      </c>
      <c r="N449" s="7">
        <f t="shared" si="5"/>
        <v>0.0003688682396</v>
      </c>
      <c r="O449" s="7"/>
      <c r="P449" s="4">
        <f t="shared" si="6"/>
        <v>-0.1897086444</v>
      </c>
      <c r="Q449" s="4">
        <f t="shared" si="7"/>
        <v>12</v>
      </c>
      <c r="R449" s="4">
        <f t="shared" si="8"/>
        <v>0</v>
      </c>
      <c r="S449" s="4">
        <f t="shared" si="9"/>
        <v>-0.1897086444</v>
      </c>
      <c r="T449" s="4">
        <f t="shared" si="10"/>
        <v>69</v>
      </c>
      <c r="U449" s="4">
        <f t="shared" si="1"/>
        <v>-0.1897086444</v>
      </c>
      <c r="V449" s="4"/>
    </row>
    <row r="450">
      <c r="A450" s="1" t="s">
        <v>11512</v>
      </c>
      <c r="B450" s="1" t="s">
        <v>11513</v>
      </c>
      <c r="C450" s="1" t="s">
        <v>11514</v>
      </c>
      <c r="D450" s="1" t="s">
        <v>10790</v>
      </c>
      <c r="E450" s="1" t="s">
        <v>10793</v>
      </c>
      <c r="F450" s="1">
        <v>1048656.0</v>
      </c>
      <c r="G450" s="1">
        <v>45990.0</v>
      </c>
      <c r="H450" s="1">
        <v>1514.0</v>
      </c>
      <c r="I450" s="1">
        <v>1.19E7</v>
      </c>
      <c r="J450" s="1" t="s">
        <v>2468</v>
      </c>
      <c r="K450" s="5">
        <f t="shared" si="2"/>
        <v>0.08812235294</v>
      </c>
      <c r="L450" s="6">
        <f t="shared" si="3"/>
        <v>1439</v>
      </c>
      <c r="M450" s="6">
        <f t="shared" si="4"/>
        <v>728.7394024</v>
      </c>
      <c r="N450" s="7">
        <f t="shared" si="5"/>
        <v>0.00006123860524</v>
      </c>
      <c r="O450" s="7"/>
      <c r="P450" s="4">
        <f t="shared" si="6"/>
        <v>-0.4063917079</v>
      </c>
      <c r="Q450" s="4">
        <f t="shared" si="7"/>
        <v>15</v>
      </c>
      <c r="R450" s="4">
        <f t="shared" si="8"/>
        <v>0</v>
      </c>
      <c r="S450" s="4">
        <f t="shared" si="9"/>
        <v>-0.4063917079</v>
      </c>
      <c r="T450" s="4">
        <f t="shared" si="10"/>
        <v>64</v>
      </c>
      <c r="U450" s="4">
        <f t="shared" si="1"/>
        <v>-0.4063917079</v>
      </c>
      <c r="V450" s="4"/>
    </row>
    <row r="451">
      <c r="A451" s="1" t="s">
        <v>11515</v>
      </c>
      <c r="B451" s="1" t="s">
        <v>11516</v>
      </c>
      <c r="C451" s="1" t="s">
        <v>11517</v>
      </c>
      <c r="D451" s="1" t="s">
        <v>10790</v>
      </c>
      <c r="E451" s="1" t="s">
        <v>10793</v>
      </c>
      <c r="F451" s="1">
        <v>2871644.0</v>
      </c>
      <c r="G451" s="1">
        <v>99422.0</v>
      </c>
      <c r="H451" s="1">
        <v>7044.0</v>
      </c>
      <c r="I451" s="1">
        <v>1.19E7</v>
      </c>
      <c r="J451" s="1" t="s">
        <v>2468</v>
      </c>
      <c r="K451" s="5">
        <f t="shared" si="2"/>
        <v>0.2413146218</v>
      </c>
      <c r="L451" s="6">
        <f t="shared" si="3"/>
        <v>1468</v>
      </c>
      <c r="M451" s="6">
        <f t="shared" si="4"/>
        <v>1956.160763</v>
      </c>
      <c r="N451" s="7">
        <f t="shared" si="5"/>
        <v>0.0001643832574</v>
      </c>
      <c r="O451" s="7"/>
      <c r="P451" s="4">
        <f t="shared" si="6"/>
        <v>-0.3337403872</v>
      </c>
      <c r="Q451" s="4">
        <f t="shared" si="7"/>
        <v>13</v>
      </c>
      <c r="R451" s="4">
        <f t="shared" si="8"/>
        <v>0</v>
      </c>
      <c r="S451" s="4">
        <f t="shared" si="9"/>
        <v>-0.3337403872</v>
      </c>
      <c r="T451" s="4">
        <f t="shared" si="10"/>
        <v>50</v>
      </c>
      <c r="U451" s="4">
        <f t="shared" si="1"/>
        <v>-0.3337403872</v>
      </c>
      <c r="V451" s="4"/>
    </row>
    <row r="452">
      <c r="A452" s="1" t="s">
        <v>11518</v>
      </c>
      <c r="B452" s="1" t="s">
        <v>11519</v>
      </c>
      <c r="C452" s="1" t="s">
        <v>11520</v>
      </c>
      <c r="D452" s="1" t="s">
        <v>10790</v>
      </c>
      <c r="E452" s="1" t="s">
        <v>10793</v>
      </c>
      <c r="F452" s="1">
        <v>1650386.0</v>
      </c>
      <c r="G452" s="1">
        <v>43339.0</v>
      </c>
      <c r="H452" s="1">
        <v>2746.0</v>
      </c>
      <c r="I452" s="1">
        <v>1.19E7</v>
      </c>
      <c r="J452" s="1" t="s">
        <v>2468</v>
      </c>
      <c r="K452" s="5">
        <f t="shared" si="2"/>
        <v>0.1386878992</v>
      </c>
      <c r="L452" s="6">
        <f t="shared" si="3"/>
        <v>1505</v>
      </c>
      <c r="M452" s="6">
        <f t="shared" si="4"/>
        <v>1096.601993</v>
      </c>
      <c r="N452" s="7">
        <f t="shared" si="5"/>
        <v>0.00009215142801</v>
      </c>
      <c r="O452" s="7"/>
      <c r="P452" s="4">
        <f t="shared" si="6"/>
        <v>-0.3846178461</v>
      </c>
      <c r="Q452" s="4">
        <f t="shared" si="7"/>
        <v>17</v>
      </c>
      <c r="R452" s="4">
        <f t="shared" si="8"/>
        <v>1</v>
      </c>
      <c r="S452" s="4">
        <f t="shared" si="9"/>
        <v>-0.3846178461</v>
      </c>
      <c r="T452" s="4">
        <f t="shared" si="10"/>
        <v>65</v>
      </c>
      <c r="U452" s="4">
        <f t="shared" si="1"/>
        <v>-0.3846178461</v>
      </c>
      <c r="V452" s="4"/>
    </row>
    <row r="453">
      <c r="A453" s="1" t="s">
        <v>11527</v>
      </c>
      <c r="B453" s="1" t="s">
        <v>11528</v>
      </c>
      <c r="C453" s="1" t="s">
        <v>11529</v>
      </c>
      <c r="D453" s="1" t="s">
        <v>10790</v>
      </c>
      <c r="E453" s="1" t="s">
        <v>10793</v>
      </c>
      <c r="F453" s="1">
        <v>1016252.0</v>
      </c>
      <c r="G453" s="1">
        <v>49769.0</v>
      </c>
      <c r="H453" s="1">
        <v>2784.0</v>
      </c>
      <c r="I453" s="1">
        <v>1.19E7</v>
      </c>
      <c r="J453" s="1" t="s">
        <v>2468</v>
      </c>
      <c r="K453" s="5">
        <f t="shared" si="2"/>
        <v>0.08539932773</v>
      </c>
      <c r="L453" s="6">
        <f t="shared" si="3"/>
        <v>1536</v>
      </c>
      <c r="M453" s="6">
        <f t="shared" si="4"/>
        <v>661.6223958</v>
      </c>
      <c r="N453" s="7">
        <f t="shared" si="5"/>
        <v>0.00005559852066</v>
      </c>
      <c r="O453" s="7"/>
      <c r="P453" s="4">
        <f t="shared" si="6"/>
        <v>-0.4103643772</v>
      </c>
      <c r="Q453" s="4">
        <f t="shared" si="7"/>
        <v>10</v>
      </c>
      <c r="R453" s="4">
        <f t="shared" si="8"/>
        <v>0</v>
      </c>
      <c r="S453" s="4">
        <f t="shared" si="9"/>
        <v>-0.4103643772</v>
      </c>
      <c r="T453" s="4">
        <f t="shared" si="10"/>
        <v>50</v>
      </c>
      <c r="U453" s="4">
        <f t="shared" si="1"/>
        <v>-0.4103643772</v>
      </c>
      <c r="V453" s="4"/>
    </row>
    <row r="454">
      <c r="A454" s="1" t="s">
        <v>11542</v>
      </c>
      <c r="B454" s="1" t="s">
        <v>11543</v>
      </c>
      <c r="C454" s="1" t="s">
        <v>11544</v>
      </c>
      <c r="D454" s="1" t="s">
        <v>10790</v>
      </c>
      <c r="E454" s="1" t="s">
        <v>10793</v>
      </c>
      <c r="F454" s="1">
        <v>6672694.0</v>
      </c>
      <c r="G454" s="1">
        <v>168207.0</v>
      </c>
      <c r="H454" s="1">
        <v>10569.0</v>
      </c>
      <c r="I454" s="1">
        <v>1.19E7</v>
      </c>
      <c r="J454" s="1" t="s">
        <v>2468</v>
      </c>
      <c r="K454" s="5">
        <f t="shared" si="2"/>
        <v>0.5607305882</v>
      </c>
      <c r="L454" s="6">
        <f t="shared" si="3"/>
        <v>1558</v>
      </c>
      <c r="M454" s="6">
        <f t="shared" si="4"/>
        <v>4282.858793</v>
      </c>
      <c r="N454" s="7">
        <f t="shared" si="5"/>
        <v>0.0003599041003</v>
      </c>
      <c r="O454" s="7"/>
      <c r="P454" s="4">
        <f t="shared" si="6"/>
        <v>-0.1960226563</v>
      </c>
      <c r="Q454" s="4">
        <f t="shared" si="7"/>
        <v>15</v>
      </c>
      <c r="R454" s="4">
        <f t="shared" si="8"/>
        <v>0</v>
      </c>
      <c r="S454" s="4">
        <f t="shared" si="9"/>
        <v>-0.1960226563</v>
      </c>
      <c r="T454" s="4">
        <f t="shared" si="10"/>
        <v>69</v>
      </c>
      <c r="U454" s="4">
        <f t="shared" si="1"/>
        <v>-0.1960226563</v>
      </c>
      <c r="V454" s="4"/>
    </row>
    <row r="455">
      <c r="A455" s="1" t="s">
        <v>11560</v>
      </c>
      <c r="B455" s="1" t="s">
        <v>11561</v>
      </c>
      <c r="C455" s="1" t="s">
        <v>11563</v>
      </c>
      <c r="D455" s="1" t="s">
        <v>10790</v>
      </c>
      <c r="E455" s="1" t="s">
        <v>10793</v>
      </c>
      <c r="F455" s="1">
        <v>2662211.0</v>
      </c>
      <c r="G455" s="1">
        <v>87925.0</v>
      </c>
      <c r="H455" s="1">
        <v>4224.0</v>
      </c>
      <c r="I455" s="1">
        <v>1.19E7</v>
      </c>
      <c r="J455" s="1" t="s">
        <v>2468</v>
      </c>
      <c r="K455" s="5">
        <f t="shared" si="2"/>
        <v>0.2237152101</v>
      </c>
      <c r="L455" s="6">
        <f t="shared" si="3"/>
        <v>1588</v>
      </c>
      <c r="M455" s="6">
        <f t="shared" si="4"/>
        <v>1676.45529</v>
      </c>
      <c r="N455" s="7">
        <f t="shared" si="5"/>
        <v>0.0001408785958</v>
      </c>
      <c r="O455" s="7"/>
      <c r="P455" s="4">
        <f t="shared" si="6"/>
        <v>-0.3502962112</v>
      </c>
      <c r="Q455" s="4">
        <f t="shared" si="7"/>
        <v>14</v>
      </c>
      <c r="R455" s="4">
        <f t="shared" si="8"/>
        <v>0</v>
      </c>
      <c r="S455" s="4">
        <f t="shared" si="9"/>
        <v>-0.3502962112</v>
      </c>
      <c r="T455" s="4">
        <f t="shared" si="10"/>
        <v>66</v>
      </c>
      <c r="U455" s="4">
        <f t="shared" si="1"/>
        <v>-0.3502962112</v>
      </c>
      <c r="V455" s="4"/>
    </row>
    <row r="456">
      <c r="A456" s="1" t="s">
        <v>11582</v>
      </c>
      <c r="B456" s="1" t="s">
        <v>11584</v>
      </c>
      <c r="C456" s="1" t="s">
        <v>11585</v>
      </c>
      <c r="D456" s="1" t="s">
        <v>10790</v>
      </c>
      <c r="E456" s="1" t="s">
        <v>10793</v>
      </c>
      <c r="F456" s="1">
        <v>3757870.0</v>
      </c>
      <c r="G456" s="1">
        <v>95795.0</v>
      </c>
      <c r="H456" s="1">
        <v>5509.0</v>
      </c>
      <c r="I456" s="1">
        <v>1.19E7</v>
      </c>
      <c r="J456" s="1" t="s">
        <v>2468</v>
      </c>
      <c r="K456" s="5">
        <f t="shared" si="2"/>
        <v>0.315787395</v>
      </c>
      <c r="L456" s="6">
        <f t="shared" si="3"/>
        <v>1629</v>
      </c>
      <c r="M456" s="6">
        <f t="shared" si="4"/>
        <v>2306.856967</v>
      </c>
      <c r="N456" s="7">
        <f t="shared" si="5"/>
        <v>0.0001938535267</v>
      </c>
      <c r="O456" s="7"/>
      <c r="P456" s="4">
        <f t="shared" si="6"/>
        <v>-0.3129826074</v>
      </c>
      <c r="Q456" s="4">
        <f t="shared" si="7"/>
        <v>17</v>
      </c>
      <c r="R456" s="4">
        <f t="shared" si="8"/>
        <v>1</v>
      </c>
      <c r="S456" s="4">
        <f t="shared" si="9"/>
        <v>-0.3129826074</v>
      </c>
      <c r="T456" s="4">
        <f t="shared" si="10"/>
        <v>65</v>
      </c>
      <c r="U456" s="4">
        <f t="shared" si="1"/>
        <v>-0.3129826074</v>
      </c>
      <c r="V456" s="4"/>
    </row>
    <row r="457">
      <c r="A457" s="1" t="s">
        <v>11604</v>
      </c>
      <c r="B457" s="1" t="s">
        <v>11605</v>
      </c>
      <c r="C457" s="1" t="s">
        <v>11607</v>
      </c>
      <c r="D457" s="1" t="s">
        <v>10790</v>
      </c>
      <c r="E457" s="1" t="s">
        <v>10793</v>
      </c>
      <c r="F457" s="1">
        <v>3169762.0</v>
      </c>
      <c r="G457" s="1">
        <v>97366.0</v>
      </c>
      <c r="H457" s="1">
        <v>5529.0</v>
      </c>
      <c r="I457" s="1">
        <v>1.19E7</v>
      </c>
      <c r="J457" s="1" t="s">
        <v>2468</v>
      </c>
      <c r="K457" s="5">
        <f t="shared" si="2"/>
        <v>0.2663665546</v>
      </c>
      <c r="L457" s="6">
        <f t="shared" si="3"/>
        <v>1647</v>
      </c>
      <c r="M457" s="6">
        <f t="shared" si="4"/>
        <v>1924.567092</v>
      </c>
      <c r="N457" s="7">
        <f t="shared" si="5"/>
        <v>0.000161728327</v>
      </c>
      <c r="O457" s="7"/>
      <c r="P457" s="4">
        <f t="shared" si="6"/>
        <v>-0.3356104231</v>
      </c>
      <c r="Q457" s="4">
        <f t="shared" si="7"/>
        <v>18</v>
      </c>
      <c r="R457" s="4">
        <f t="shared" si="8"/>
        <v>1</v>
      </c>
      <c r="S457" s="4">
        <f t="shared" si="9"/>
        <v>-0.3356104231</v>
      </c>
      <c r="T457" s="4">
        <f t="shared" si="10"/>
        <v>76</v>
      </c>
      <c r="U457" s="4">
        <f t="shared" si="1"/>
        <v>-0.3356104231</v>
      </c>
      <c r="V457" s="4"/>
    </row>
    <row r="458">
      <c r="A458" s="1" t="s">
        <v>11632</v>
      </c>
      <c r="B458" s="1" t="s">
        <v>11634</v>
      </c>
      <c r="C458" s="1" t="s">
        <v>11636</v>
      </c>
      <c r="D458" s="1" t="s">
        <v>10790</v>
      </c>
      <c r="E458" s="1" t="s">
        <v>10793</v>
      </c>
      <c r="F458" s="1">
        <v>458805.0</v>
      </c>
      <c r="G458" s="1">
        <v>31069.0</v>
      </c>
      <c r="H458" s="1">
        <v>849.0</v>
      </c>
      <c r="I458" s="1">
        <v>1.19E7</v>
      </c>
      <c r="J458" s="1" t="s">
        <v>2468</v>
      </c>
      <c r="K458" s="5">
        <f t="shared" si="2"/>
        <v>0.03855504202</v>
      </c>
      <c r="L458" s="6">
        <f t="shared" si="3"/>
        <v>1651</v>
      </c>
      <c r="M458" s="6">
        <f t="shared" si="4"/>
        <v>277.895215</v>
      </c>
      <c r="N458" s="7">
        <f t="shared" si="5"/>
        <v>0.00002335253908</v>
      </c>
      <c r="O458" s="7"/>
      <c r="P458" s="4">
        <f t="shared" si="6"/>
        <v>-0.4330772673</v>
      </c>
      <c r="Q458" s="4">
        <f t="shared" si="7"/>
        <v>10</v>
      </c>
      <c r="R458" s="4">
        <f t="shared" si="8"/>
        <v>0</v>
      </c>
      <c r="S458" s="4">
        <f t="shared" si="9"/>
        <v>-0.4330772673</v>
      </c>
      <c r="T458" s="4">
        <f t="shared" si="10"/>
        <v>42</v>
      </c>
      <c r="U458" s="4">
        <f t="shared" si="1"/>
        <v>-0.4330772673</v>
      </c>
      <c r="V458" s="4"/>
    </row>
    <row r="459">
      <c r="A459" s="1" t="s">
        <v>11655</v>
      </c>
      <c r="B459" s="1" t="s">
        <v>11656</v>
      </c>
      <c r="C459" s="1" t="s">
        <v>11657</v>
      </c>
      <c r="D459" s="1" t="s">
        <v>10790</v>
      </c>
      <c r="E459" s="1" t="s">
        <v>10793</v>
      </c>
      <c r="F459" s="1">
        <v>6933694.0</v>
      </c>
      <c r="G459" s="1">
        <v>193099.0</v>
      </c>
      <c r="H459" s="1">
        <v>8480.0</v>
      </c>
      <c r="I459" s="1">
        <v>1.19E7</v>
      </c>
      <c r="J459" s="1" t="s">
        <v>2468</v>
      </c>
      <c r="K459" s="5">
        <f t="shared" si="2"/>
        <v>0.5826633613</v>
      </c>
      <c r="L459" s="6">
        <f t="shared" si="3"/>
        <v>1689</v>
      </c>
      <c r="M459" s="6">
        <f t="shared" si="4"/>
        <v>4105.206631</v>
      </c>
      <c r="N459" s="7">
        <f t="shared" si="5"/>
        <v>0.0003449753472</v>
      </c>
      <c r="O459" s="7"/>
      <c r="P459" s="4">
        <f t="shared" si="6"/>
        <v>-0.206537924</v>
      </c>
      <c r="Q459" s="4">
        <f t="shared" si="7"/>
        <v>15</v>
      </c>
      <c r="R459" s="4">
        <f t="shared" si="8"/>
        <v>0</v>
      </c>
      <c r="S459" s="4">
        <f t="shared" si="9"/>
        <v>-0.206537924</v>
      </c>
      <c r="T459" s="4">
        <f t="shared" si="10"/>
        <v>71</v>
      </c>
      <c r="U459" s="4">
        <f t="shared" si="1"/>
        <v>-0.206537924</v>
      </c>
      <c r="V459" s="4"/>
    </row>
    <row r="460">
      <c r="A460" s="1" t="s">
        <v>11703</v>
      </c>
      <c r="B460" s="1" t="s">
        <v>11704</v>
      </c>
      <c r="C460" s="1" t="s">
        <v>11705</v>
      </c>
      <c r="D460" s="1" t="s">
        <v>10790</v>
      </c>
      <c r="E460" s="1" t="s">
        <v>10793</v>
      </c>
      <c r="F460" s="1">
        <v>7601999.0</v>
      </c>
      <c r="G460" s="1">
        <v>226341.0</v>
      </c>
      <c r="H460" s="1">
        <v>17962.0</v>
      </c>
      <c r="I460" s="1">
        <v>1.19E7</v>
      </c>
      <c r="J460" s="1" t="s">
        <v>2468</v>
      </c>
      <c r="K460" s="5">
        <f t="shared" si="2"/>
        <v>0.6388234454</v>
      </c>
      <c r="L460" s="6">
        <f t="shared" si="3"/>
        <v>1731</v>
      </c>
      <c r="M460" s="6">
        <f t="shared" si="4"/>
        <v>4391.680531</v>
      </c>
      <c r="N460" s="7">
        <f t="shared" si="5"/>
        <v>0.0003690487842</v>
      </c>
      <c r="O460" s="7"/>
      <c r="P460" s="4">
        <f t="shared" si="6"/>
        <v>-0.1895814755</v>
      </c>
      <c r="Q460" s="4">
        <f t="shared" si="7"/>
        <v>17</v>
      </c>
      <c r="R460" s="4">
        <f t="shared" si="8"/>
        <v>1</v>
      </c>
      <c r="S460" s="4">
        <f t="shared" si="9"/>
        <v>-0.1895814755</v>
      </c>
      <c r="T460" s="4">
        <f t="shared" si="10"/>
        <v>68</v>
      </c>
      <c r="U460" s="4">
        <f t="shared" si="1"/>
        <v>-0.1895814755</v>
      </c>
      <c r="V460" s="4"/>
    </row>
    <row r="461">
      <c r="A461" s="1" t="s">
        <v>11724</v>
      </c>
      <c r="B461" s="1" t="s">
        <v>11725</v>
      </c>
      <c r="C461" s="1" t="s">
        <v>11726</v>
      </c>
      <c r="D461" s="1" t="s">
        <v>10790</v>
      </c>
      <c r="E461" s="1" t="s">
        <v>10793</v>
      </c>
      <c r="F461" s="1">
        <v>1742144.0</v>
      </c>
      <c r="G461" s="1">
        <v>109932.0</v>
      </c>
      <c r="H461" s="1">
        <v>8319.0</v>
      </c>
      <c r="I461" s="1">
        <v>1.19E7</v>
      </c>
      <c r="J461" s="1" t="s">
        <v>2468</v>
      </c>
      <c r="K461" s="5">
        <f t="shared" si="2"/>
        <v>0.1463986555</v>
      </c>
      <c r="L461" s="6">
        <f t="shared" si="3"/>
        <v>1737</v>
      </c>
      <c r="M461" s="6">
        <f t="shared" si="4"/>
        <v>1002.961428</v>
      </c>
      <c r="N461" s="7">
        <f t="shared" si="5"/>
        <v>0.00008428247292</v>
      </c>
      <c r="O461" s="7"/>
      <c r="P461" s="4">
        <f t="shared" si="6"/>
        <v>-0.3901604503</v>
      </c>
      <c r="Q461" s="4">
        <f t="shared" si="7"/>
        <v>10</v>
      </c>
      <c r="R461" s="4">
        <f t="shared" si="8"/>
        <v>0</v>
      </c>
      <c r="S461" s="4">
        <f t="shared" si="9"/>
        <v>-0.3901604503</v>
      </c>
      <c r="T461" s="4">
        <f t="shared" si="10"/>
        <v>48</v>
      </c>
      <c r="U461" s="4">
        <f t="shared" si="1"/>
        <v>-0.3901604503</v>
      </c>
      <c r="V461" s="4"/>
    </row>
    <row r="462">
      <c r="A462" s="1" t="s">
        <v>11742</v>
      </c>
      <c r="B462" s="1" t="s">
        <v>11744</v>
      </c>
      <c r="C462" s="1" t="s">
        <v>11746</v>
      </c>
      <c r="D462" s="1" t="s">
        <v>10790</v>
      </c>
      <c r="E462" s="1" t="s">
        <v>10793</v>
      </c>
      <c r="F462" s="1">
        <v>2005398.0</v>
      </c>
      <c r="G462" s="1">
        <v>84260.0</v>
      </c>
      <c r="H462" s="1">
        <v>3410.0</v>
      </c>
      <c r="I462" s="1">
        <v>1.19E7</v>
      </c>
      <c r="J462" s="1" t="s">
        <v>2468</v>
      </c>
      <c r="K462" s="5">
        <f t="shared" si="2"/>
        <v>0.1685208403</v>
      </c>
      <c r="L462" s="6">
        <f t="shared" si="3"/>
        <v>1752</v>
      </c>
      <c r="M462" s="6">
        <f t="shared" si="4"/>
        <v>1144.633562</v>
      </c>
      <c r="N462" s="7">
        <f t="shared" si="5"/>
        <v>0.00009618769426</v>
      </c>
      <c r="O462" s="7"/>
      <c r="P462" s="4">
        <f t="shared" si="6"/>
        <v>-0.3817748478</v>
      </c>
      <c r="Q462" s="4">
        <f t="shared" si="7"/>
        <v>12</v>
      </c>
      <c r="R462" s="4">
        <f t="shared" si="8"/>
        <v>0</v>
      </c>
      <c r="S462" s="4">
        <f t="shared" si="9"/>
        <v>-0.3817748478</v>
      </c>
      <c r="T462" s="4">
        <f t="shared" si="10"/>
        <v>44</v>
      </c>
      <c r="U462" s="4">
        <f t="shared" si="1"/>
        <v>-0.3817748478</v>
      </c>
      <c r="V462" s="4"/>
    </row>
    <row r="463">
      <c r="A463" s="1" t="s">
        <v>11760</v>
      </c>
      <c r="B463" s="1" t="s">
        <v>11761</v>
      </c>
      <c r="C463" s="1" t="s">
        <v>11763</v>
      </c>
      <c r="D463" s="1" t="s">
        <v>10790</v>
      </c>
      <c r="E463" s="1" t="s">
        <v>10793</v>
      </c>
      <c r="F463" s="1">
        <v>3407445.0</v>
      </c>
      <c r="G463" s="1">
        <v>111410.0</v>
      </c>
      <c r="H463" s="1">
        <v>10010.0</v>
      </c>
      <c r="I463" s="1">
        <v>1.19E7</v>
      </c>
      <c r="J463" s="1" t="s">
        <v>2468</v>
      </c>
      <c r="K463" s="5">
        <f t="shared" si="2"/>
        <v>0.286339916</v>
      </c>
      <c r="L463" s="6">
        <f t="shared" si="3"/>
        <v>1771</v>
      </c>
      <c r="M463" s="6">
        <f t="shared" si="4"/>
        <v>1924.023151</v>
      </c>
      <c r="N463" s="7">
        <f t="shared" si="5"/>
        <v>0.0001616826177</v>
      </c>
      <c r="O463" s="7"/>
      <c r="P463" s="4">
        <f t="shared" si="6"/>
        <v>-0.3356426191</v>
      </c>
      <c r="Q463" s="4">
        <f t="shared" si="7"/>
        <v>13</v>
      </c>
      <c r="R463" s="4">
        <f t="shared" si="8"/>
        <v>0</v>
      </c>
      <c r="S463" s="4">
        <f t="shared" si="9"/>
        <v>-0.3356426191</v>
      </c>
      <c r="T463" s="4">
        <f t="shared" si="10"/>
        <v>56</v>
      </c>
      <c r="U463" s="4">
        <f t="shared" si="1"/>
        <v>-0.3356426191</v>
      </c>
      <c r="V463" s="4"/>
    </row>
    <row r="464">
      <c r="A464" s="1" t="s">
        <v>11781</v>
      </c>
      <c r="B464" s="1" t="s">
        <v>11782</v>
      </c>
      <c r="C464" s="1" t="s">
        <v>11784</v>
      </c>
      <c r="D464" s="1" t="s">
        <v>10790</v>
      </c>
      <c r="E464" s="1" t="s">
        <v>10793</v>
      </c>
      <c r="F464" s="1">
        <v>1822569.0</v>
      </c>
      <c r="G464" s="1">
        <v>163840.0</v>
      </c>
      <c r="H464" s="1">
        <v>12415.0</v>
      </c>
      <c r="I464" s="1">
        <v>1.19E7</v>
      </c>
      <c r="J464" s="1" t="s">
        <v>2468</v>
      </c>
      <c r="K464" s="5">
        <f t="shared" si="2"/>
        <v>0.1531570588</v>
      </c>
      <c r="L464" s="6">
        <f t="shared" si="3"/>
        <v>1778</v>
      </c>
      <c r="M464" s="6">
        <f t="shared" si="4"/>
        <v>1025.066929</v>
      </c>
      <c r="N464" s="7">
        <f t="shared" si="5"/>
        <v>0.00008614007808</v>
      </c>
      <c r="O464" s="7"/>
      <c r="P464" s="4">
        <f t="shared" si="6"/>
        <v>-0.3888520211</v>
      </c>
      <c r="Q464" s="4">
        <f t="shared" si="7"/>
        <v>14</v>
      </c>
      <c r="R464" s="4">
        <f t="shared" si="8"/>
        <v>1</v>
      </c>
      <c r="S464" s="4">
        <f t="shared" si="9"/>
        <v>-0.3888520211</v>
      </c>
      <c r="T464" s="4">
        <f t="shared" si="10"/>
        <v>59</v>
      </c>
      <c r="U464" s="4">
        <f t="shared" si="1"/>
        <v>-0.3888520211</v>
      </c>
      <c r="V464" s="4"/>
    </row>
    <row r="465">
      <c r="A465" s="1" t="s">
        <v>11798</v>
      </c>
      <c r="B465" s="1" t="s">
        <v>11800</v>
      </c>
      <c r="C465" s="1" t="s">
        <v>11801</v>
      </c>
      <c r="D465" s="1" t="s">
        <v>10790</v>
      </c>
      <c r="E465" s="1" t="s">
        <v>10793</v>
      </c>
      <c r="F465" s="1">
        <v>3851048.0</v>
      </c>
      <c r="G465" s="1">
        <v>142591.0</v>
      </c>
      <c r="H465" s="1">
        <v>7969.0</v>
      </c>
      <c r="I465" s="1">
        <v>1.19E7</v>
      </c>
      <c r="J465" s="1" t="s">
        <v>2468</v>
      </c>
      <c r="K465" s="5">
        <f t="shared" si="2"/>
        <v>0.323617479</v>
      </c>
      <c r="L465" s="6">
        <f t="shared" si="3"/>
        <v>1798</v>
      </c>
      <c r="M465" s="6">
        <f t="shared" si="4"/>
        <v>2141.850945</v>
      </c>
      <c r="N465" s="7">
        <f t="shared" si="5"/>
        <v>0.0001799874744</v>
      </c>
      <c r="O465" s="7"/>
      <c r="P465" s="4">
        <f t="shared" si="6"/>
        <v>-0.3227493475</v>
      </c>
      <c r="Q465" s="4">
        <f t="shared" si="7"/>
        <v>13</v>
      </c>
      <c r="R465" s="4">
        <f t="shared" si="8"/>
        <v>1</v>
      </c>
      <c r="S465" s="4">
        <f t="shared" si="9"/>
        <v>-0.3227493475</v>
      </c>
      <c r="T465" s="4">
        <f t="shared" si="10"/>
        <v>56</v>
      </c>
      <c r="U465" s="4">
        <f t="shared" si="1"/>
        <v>-0.3227493475</v>
      </c>
      <c r="V465" s="4"/>
    </row>
    <row r="466">
      <c r="A466" s="1" t="s">
        <v>11820</v>
      </c>
      <c r="B466" s="1" t="s">
        <v>11821</v>
      </c>
      <c r="C466" s="1" t="s">
        <v>11823</v>
      </c>
      <c r="D466" s="1" t="s">
        <v>10790</v>
      </c>
      <c r="E466" s="1" t="s">
        <v>10793</v>
      </c>
      <c r="F466" s="1">
        <v>2603750.0</v>
      </c>
      <c r="G466" s="1">
        <v>93006.0</v>
      </c>
      <c r="H466" s="1">
        <v>5936.0</v>
      </c>
      <c r="I466" s="1">
        <v>1.19E7</v>
      </c>
      <c r="J466" s="1" t="s">
        <v>2468</v>
      </c>
      <c r="K466" s="5">
        <f t="shared" si="2"/>
        <v>0.218802521</v>
      </c>
      <c r="L466" s="6">
        <f t="shared" si="3"/>
        <v>1839</v>
      </c>
      <c r="M466" s="6">
        <f t="shared" si="4"/>
        <v>1415.851006</v>
      </c>
      <c r="N466" s="7">
        <f t="shared" si="5"/>
        <v>0.0001189790761</v>
      </c>
      <c r="O466" s="7"/>
      <c r="P466" s="4">
        <f t="shared" si="6"/>
        <v>-0.3657214319</v>
      </c>
      <c r="Q466" s="4">
        <f t="shared" si="7"/>
        <v>15</v>
      </c>
      <c r="R466" s="4">
        <f t="shared" si="8"/>
        <v>0</v>
      </c>
      <c r="S466" s="4">
        <f t="shared" si="9"/>
        <v>-0.3657214319</v>
      </c>
      <c r="T466" s="4">
        <f t="shared" si="10"/>
        <v>73</v>
      </c>
      <c r="U466" s="4">
        <f t="shared" si="1"/>
        <v>-0.3657214319</v>
      </c>
      <c r="V466" s="4"/>
    </row>
    <row r="467">
      <c r="A467" s="1" t="s">
        <v>11835</v>
      </c>
      <c r="B467" s="1" t="s">
        <v>11836</v>
      </c>
      <c r="C467" s="1" t="s">
        <v>11838</v>
      </c>
      <c r="D467" s="1" t="s">
        <v>10790</v>
      </c>
      <c r="E467" s="1" t="s">
        <v>10793</v>
      </c>
      <c r="F467" s="1">
        <v>6346868.0</v>
      </c>
      <c r="G467" s="1">
        <v>173856.0</v>
      </c>
      <c r="H467" s="1">
        <v>9972.0</v>
      </c>
      <c r="I467" s="1">
        <v>1.19E7</v>
      </c>
      <c r="J467" s="1" t="s">
        <v>2468</v>
      </c>
      <c r="K467" s="5">
        <f t="shared" si="2"/>
        <v>0.5333502521</v>
      </c>
      <c r="L467" s="6">
        <f t="shared" si="3"/>
        <v>1861</v>
      </c>
      <c r="M467" s="6">
        <f t="shared" si="4"/>
        <v>3410.461042</v>
      </c>
      <c r="N467" s="7">
        <f t="shared" si="5"/>
        <v>0.0002865933649</v>
      </c>
      <c r="O467" s="7"/>
      <c r="P467" s="4">
        <f t="shared" si="6"/>
        <v>-0.2476600571</v>
      </c>
      <c r="Q467" s="4">
        <f t="shared" si="7"/>
        <v>15</v>
      </c>
      <c r="R467" s="4">
        <f t="shared" si="8"/>
        <v>0</v>
      </c>
      <c r="S467" s="4">
        <f t="shared" si="9"/>
        <v>-0.2476600571</v>
      </c>
      <c r="T467" s="4">
        <f t="shared" si="10"/>
        <v>56</v>
      </c>
      <c r="U467" s="4">
        <f t="shared" si="1"/>
        <v>-0.2476600571</v>
      </c>
      <c r="V467" s="4"/>
    </row>
    <row r="468">
      <c r="A468" s="1" t="s">
        <v>11853</v>
      </c>
      <c r="B468" s="1" t="s">
        <v>11854</v>
      </c>
      <c r="C468" s="1" t="s">
        <v>11855</v>
      </c>
      <c r="D468" s="1" t="s">
        <v>10790</v>
      </c>
      <c r="E468" s="1" t="s">
        <v>10793</v>
      </c>
      <c r="F468" s="1">
        <v>1.4170792E7</v>
      </c>
      <c r="G468" s="1">
        <v>490521.0</v>
      </c>
      <c r="H468" s="1">
        <v>30320.0</v>
      </c>
      <c r="I468" s="1">
        <v>1.19E7</v>
      </c>
      <c r="J468" s="1" t="s">
        <v>2468</v>
      </c>
      <c r="K468" s="5">
        <f t="shared" si="2"/>
        <v>1.190822857</v>
      </c>
      <c r="L468" s="6">
        <f t="shared" si="3"/>
        <v>1891</v>
      </c>
      <c r="M468" s="6">
        <f t="shared" si="4"/>
        <v>7493.808567</v>
      </c>
      <c r="N468" s="7">
        <f t="shared" si="5"/>
        <v>0.0006297318123</v>
      </c>
      <c r="O468" s="7"/>
      <c r="P468" s="4">
        <f t="shared" si="6"/>
        <v>-0.00596588442</v>
      </c>
      <c r="Q468" s="4">
        <f t="shared" si="7"/>
        <v>18</v>
      </c>
      <c r="R468" s="4">
        <f t="shared" si="8"/>
        <v>1</v>
      </c>
      <c r="S468" s="4">
        <f t="shared" si="9"/>
        <v>-0.00596588442</v>
      </c>
      <c r="T468" s="4">
        <f t="shared" si="10"/>
        <v>80</v>
      </c>
      <c r="U468" s="4">
        <f t="shared" si="1"/>
        <v>-0.00596588442</v>
      </c>
      <c r="V468" s="4"/>
    </row>
    <row r="469">
      <c r="A469" s="1" t="s">
        <v>11871</v>
      </c>
      <c r="B469" s="1" t="s">
        <v>11872</v>
      </c>
      <c r="C469" s="1" t="s">
        <v>11873</v>
      </c>
      <c r="D469" s="1" t="s">
        <v>10790</v>
      </c>
      <c r="E469" s="1" t="s">
        <v>10793</v>
      </c>
      <c r="F469" s="1">
        <v>4629662.0</v>
      </c>
      <c r="G469" s="1">
        <v>157560.0</v>
      </c>
      <c r="H469" s="1">
        <v>9900.0</v>
      </c>
      <c r="I469" s="1">
        <v>1.19E7</v>
      </c>
      <c r="J469" s="1" t="s">
        <v>2468</v>
      </c>
      <c r="K469" s="5">
        <f t="shared" si="2"/>
        <v>0.3890472269</v>
      </c>
      <c r="L469" s="6">
        <f t="shared" si="3"/>
        <v>1908</v>
      </c>
      <c r="M469" s="6">
        <f t="shared" si="4"/>
        <v>2426.447589</v>
      </c>
      <c r="N469" s="7">
        <f t="shared" si="5"/>
        <v>0.0002039031587</v>
      </c>
      <c r="O469" s="7"/>
      <c r="P469" s="4">
        <f t="shared" si="6"/>
        <v>-0.3059040141</v>
      </c>
      <c r="Q469" s="4">
        <f t="shared" si="7"/>
        <v>16</v>
      </c>
      <c r="R469" s="4">
        <f t="shared" si="8"/>
        <v>1</v>
      </c>
      <c r="S469" s="4">
        <f t="shared" si="9"/>
        <v>-0.3059040141</v>
      </c>
      <c r="T469" s="4">
        <f t="shared" si="10"/>
        <v>75</v>
      </c>
      <c r="U469" s="4">
        <f t="shared" si="1"/>
        <v>-0.3059040141</v>
      </c>
      <c r="V469" s="4"/>
    </row>
    <row r="470">
      <c r="A470" s="1" t="s">
        <v>11891</v>
      </c>
      <c r="B470" s="1" t="s">
        <v>11893</v>
      </c>
      <c r="C470" s="1" t="s">
        <v>11894</v>
      </c>
      <c r="D470" s="1" t="s">
        <v>10790</v>
      </c>
      <c r="E470" s="1" t="s">
        <v>10793</v>
      </c>
      <c r="F470" s="1">
        <v>3473959.0</v>
      </c>
      <c r="G470" s="1">
        <v>153177.0</v>
      </c>
      <c r="H470" s="1">
        <v>9782.0</v>
      </c>
      <c r="I470" s="1">
        <v>1.19E7</v>
      </c>
      <c r="J470" s="1" t="s">
        <v>2468</v>
      </c>
      <c r="K470" s="5">
        <f t="shared" si="2"/>
        <v>0.2919293277</v>
      </c>
      <c r="L470" s="6">
        <f t="shared" si="3"/>
        <v>1922</v>
      </c>
      <c r="M470" s="6">
        <f t="shared" si="4"/>
        <v>1807.470864</v>
      </c>
      <c r="N470" s="7">
        <f t="shared" si="5"/>
        <v>0.0001518883079</v>
      </c>
      <c r="O470" s="7"/>
      <c r="P470" s="4">
        <f t="shared" si="6"/>
        <v>-0.3425413727</v>
      </c>
      <c r="Q470" s="4">
        <f t="shared" si="7"/>
        <v>11</v>
      </c>
      <c r="R470" s="4">
        <f t="shared" si="8"/>
        <v>0</v>
      </c>
      <c r="S470" s="4">
        <f t="shared" si="9"/>
        <v>-0.3425413727</v>
      </c>
      <c r="T470" s="4">
        <f t="shared" si="10"/>
        <v>57</v>
      </c>
      <c r="U470" s="4">
        <f t="shared" si="1"/>
        <v>-0.3425413727</v>
      </c>
      <c r="V470" s="4"/>
    </row>
    <row r="471">
      <c r="A471" s="1" t="s">
        <v>11913</v>
      </c>
      <c r="B471" s="1" t="s">
        <v>11915</v>
      </c>
      <c r="C471" s="1" t="s">
        <v>11917</v>
      </c>
      <c r="D471" s="1" t="s">
        <v>10790</v>
      </c>
      <c r="E471" s="1" t="s">
        <v>10793</v>
      </c>
      <c r="F471" s="1">
        <v>3210169.0</v>
      </c>
      <c r="G471" s="1">
        <v>97564.0</v>
      </c>
      <c r="H471" s="1">
        <v>5096.0</v>
      </c>
      <c r="I471" s="1">
        <v>1.19E7</v>
      </c>
      <c r="J471" s="1" t="s">
        <v>2468</v>
      </c>
      <c r="K471" s="5">
        <f t="shared" si="2"/>
        <v>0.2697621008</v>
      </c>
      <c r="L471" s="6">
        <f t="shared" si="3"/>
        <v>1943</v>
      </c>
      <c r="M471" s="6">
        <f t="shared" si="4"/>
        <v>1652.171384</v>
      </c>
      <c r="N471" s="7">
        <f t="shared" si="5"/>
        <v>0.0001388379315</v>
      </c>
      <c r="O471" s="7"/>
      <c r="P471" s="4">
        <f t="shared" si="6"/>
        <v>-0.3517335805</v>
      </c>
      <c r="Q471" s="4">
        <f t="shared" si="7"/>
        <v>12</v>
      </c>
      <c r="R471" s="4">
        <f t="shared" si="8"/>
        <v>0</v>
      </c>
      <c r="S471" s="4">
        <f t="shared" si="9"/>
        <v>-0.3517335805</v>
      </c>
      <c r="T471" s="4">
        <f t="shared" si="10"/>
        <v>46</v>
      </c>
      <c r="U471" s="4">
        <f t="shared" si="1"/>
        <v>-0.3517335805</v>
      </c>
      <c r="V471" s="4"/>
    </row>
    <row r="472">
      <c r="A472" s="1" t="s">
        <v>11934</v>
      </c>
      <c r="B472" s="1" t="s">
        <v>11935</v>
      </c>
      <c r="C472" s="1" t="s">
        <v>11936</v>
      </c>
      <c r="D472" s="1" t="s">
        <v>10790</v>
      </c>
      <c r="E472" s="1" t="s">
        <v>10793</v>
      </c>
      <c r="F472" s="1">
        <v>4113080.0</v>
      </c>
      <c r="G472" s="1">
        <v>146595.0</v>
      </c>
      <c r="H472" s="1">
        <v>12373.0</v>
      </c>
      <c r="I472" s="1">
        <v>1.19E7</v>
      </c>
      <c r="J472" s="1" t="s">
        <v>2468</v>
      </c>
      <c r="K472" s="5">
        <f t="shared" si="2"/>
        <v>0.3456369748</v>
      </c>
      <c r="L472" s="6">
        <f t="shared" si="3"/>
        <v>1952</v>
      </c>
      <c r="M472" s="6">
        <f t="shared" si="4"/>
        <v>2107.110656</v>
      </c>
      <c r="N472" s="7">
        <f t="shared" si="5"/>
        <v>0.0001770681223</v>
      </c>
      <c r="O472" s="7"/>
      <c r="P472" s="4">
        <f t="shared" si="6"/>
        <v>-0.3248056323</v>
      </c>
      <c r="Q472" s="4">
        <f t="shared" si="7"/>
        <v>18</v>
      </c>
      <c r="R472" s="4">
        <f t="shared" si="8"/>
        <v>1</v>
      </c>
      <c r="S472" s="4">
        <f t="shared" si="9"/>
        <v>-0.3248056323</v>
      </c>
      <c r="T472" s="4">
        <f t="shared" si="10"/>
        <v>78</v>
      </c>
      <c r="U472" s="4">
        <f t="shared" si="1"/>
        <v>-0.3248056323</v>
      </c>
      <c r="V472" s="4"/>
    </row>
    <row r="473">
      <c r="A473" s="1" t="s">
        <v>11955</v>
      </c>
      <c r="B473" s="1" t="s">
        <v>11956</v>
      </c>
      <c r="C473" s="1" t="s">
        <v>11957</v>
      </c>
      <c r="D473" s="1" t="s">
        <v>10790</v>
      </c>
      <c r="E473" s="1" t="s">
        <v>10793</v>
      </c>
      <c r="F473" s="1">
        <v>997355.0</v>
      </c>
      <c r="G473" s="1">
        <v>65800.0</v>
      </c>
      <c r="H473" s="1">
        <v>4950.0</v>
      </c>
      <c r="I473" s="1">
        <v>1.19E7</v>
      </c>
      <c r="J473" s="1" t="s">
        <v>2468</v>
      </c>
      <c r="K473" s="5">
        <f t="shared" si="2"/>
        <v>0.08381134454</v>
      </c>
      <c r="L473" s="6">
        <f t="shared" si="3"/>
        <v>1964</v>
      </c>
      <c r="M473" s="6">
        <f t="shared" si="4"/>
        <v>507.8182281</v>
      </c>
      <c r="N473" s="7">
        <f t="shared" si="5"/>
        <v>0.00004267380068</v>
      </c>
      <c r="O473" s="7"/>
      <c r="P473" s="4">
        <f t="shared" si="6"/>
        <v>-0.4194680772</v>
      </c>
      <c r="Q473" s="4">
        <f t="shared" si="7"/>
        <v>13</v>
      </c>
      <c r="R473" s="4">
        <f t="shared" si="8"/>
        <v>0</v>
      </c>
      <c r="S473" s="4">
        <f t="shared" si="9"/>
        <v>-0.4194680772</v>
      </c>
      <c r="T473" s="4">
        <f t="shared" si="10"/>
        <v>42</v>
      </c>
      <c r="U473" s="4">
        <f t="shared" si="1"/>
        <v>-0.4194680772</v>
      </c>
      <c r="V473" s="4"/>
    </row>
    <row r="474">
      <c r="A474" s="1" t="s">
        <v>11976</v>
      </c>
      <c r="B474" s="1" t="s">
        <v>11978</v>
      </c>
      <c r="C474" s="1" t="s">
        <v>11980</v>
      </c>
      <c r="D474" s="1" t="s">
        <v>10790</v>
      </c>
      <c r="E474" s="1" t="s">
        <v>10793</v>
      </c>
      <c r="F474" s="1">
        <v>1876828.0</v>
      </c>
      <c r="G474" s="1">
        <v>118584.0</v>
      </c>
      <c r="H474" s="1">
        <v>7058.0</v>
      </c>
      <c r="I474" s="1">
        <v>1.19E7</v>
      </c>
      <c r="J474" s="1" t="s">
        <v>2468</v>
      </c>
      <c r="K474" s="5">
        <f t="shared" si="2"/>
        <v>0.1577166387</v>
      </c>
      <c r="L474" s="6">
        <f t="shared" si="3"/>
        <v>1982</v>
      </c>
      <c r="M474" s="6">
        <f t="shared" si="4"/>
        <v>946.9364279</v>
      </c>
      <c r="N474" s="7">
        <f t="shared" si="5"/>
        <v>0.00007957448974</v>
      </c>
      <c r="O474" s="7"/>
      <c r="P474" s="4">
        <f t="shared" si="6"/>
        <v>-0.3934765814</v>
      </c>
      <c r="Q474" s="4">
        <f t="shared" si="7"/>
        <v>10</v>
      </c>
      <c r="R474" s="4">
        <f t="shared" si="8"/>
        <v>0</v>
      </c>
      <c r="S474" s="4">
        <f t="shared" si="9"/>
        <v>-0.3934765814</v>
      </c>
      <c r="T474" s="4">
        <f t="shared" si="10"/>
        <v>43</v>
      </c>
      <c r="U474" s="4">
        <f t="shared" si="1"/>
        <v>-0.3934765814</v>
      </c>
      <c r="V474" s="4"/>
    </row>
    <row r="475">
      <c r="A475" s="1" t="s">
        <v>11990</v>
      </c>
      <c r="B475" s="1" t="s">
        <v>11992</v>
      </c>
      <c r="C475" s="1" t="s">
        <v>11994</v>
      </c>
      <c r="D475" s="1" t="s">
        <v>10790</v>
      </c>
      <c r="E475" s="1" t="s">
        <v>10793</v>
      </c>
      <c r="F475" s="1">
        <v>1549092.0</v>
      </c>
      <c r="G475" s="1">
        <v>54637.0</v>
      </c>
      <c r="H475" s="1">
        <v>3889.0</v>
      </c>
      <c r="I475" s="1">
        <v>1.19E7</v>
      </c>
      <c r="J475" s="1" t="s">
        <v>2468</v>
      </c>
      <c r="K475" s="5">
        <f t="shared" si="2"/>
        <v>0.1301757983</v>
      </c>
      <c r="L475" s="6">
        <f t="shared" si="3"/>
        <v>2006</v>
      </c>
      <c r="M475" s="6">
        <f t="shared" si="4"/>
        <v>772.2293121</v>
      </c>
      <c r="N475" s="7">
        <f t="shared" si="5"/>
        <v>0.0000648932195</v>
      </c>
      <c r="O475" s="7"/>
      <c r="P475" s="4">
        <f t="shared" si="6"/>
        <v>-0.4038175313</v>
      </c>
      <c r="Q475" s="4">
        <f t="shared" si="7"/>
        <v>13</v>
      </c>
      <c r="R475" s="4">
        <f t="shared" si="8"/>
        <v>1</v>
      </c>
      <c r="S475" s="4">
        <f t="shared" si="9"/>
        <v>-0.4038175313</v>
      </c>
      <c r="T475" s="4">
        <f t="shared" si="10"/>
        <v>54</v>
      </c>
      <c r="U475" s="4">
        <f t="shared" si="1"/>
        <v>-0.4038175313</v>
      </c>
      <c r="V475" s="4"/>
    </row>
    <row r="476">
      <c r="A476" s="1" t="s">
        <v>12014</v>
      </c>
      <c r="B476" s="1" t="s">
        <v>12015</v>
      </c>
      <c r="C476" s="1" t="s">
        <v>12016</v>
      </c>
      <c r="D476" s="1" t="s">
        <v>10790</v>
      </c>
      <c r="E476" s="1" t="s">
        <v>10793</v>
      </c>
      <c r="F476" s="1">
        <v>1.0331784E7</v>
      </c>
      <c r="G476" s="1">
        <v>272382.0</v>
      </c>
      <c r="H476" s="1">
        <v>13681.0</v>
      </c>
      <c r="I476" s="1">
        <v>1.19E7</v>
      </c>
      <c r="J476" s="1" t="s">
        <v>2468</v>
      </c>
      <c r="K476" s="5">
        <f t="shared" si="2"/>
        <v>0.8682171429</v>
      </c>
      <c r="L476" s="6">
        <f t="shared" si="3"/>
        <v>2020</v>
      </c>
      <c r="M476" s="6">
        <f t="shared" si="4"/>
        <v>5114.744554</v>
      </c>
      <c r="N476" s="7">
        <f t="shared" si="5"/>
        <v>0.0004298104668</v>
      </c>
      <c r="O476" s="7"/>
      <c r="P476" s="4">
        <f t="shared" si="6"/>
        <v>-0.1467831685</v>
      </c>
      <c r="Q476" s="4">
        <f t="shared" si="7"/>
        <v>10</v>
      </c>
      <c r="R476" s="4">
        <f t="shared" si="8"/>
        <v>1</v>
      </c>
      <c r="S476" s="4">
        <f t="shared" si="9"/>
        <v>-0.1467831685</v>
      </c>
      <c r="T476" s="4">
        <f t="shared" si="10"/>
        <v>51</v>
      </c>
      <c r="U476" s="4">
        <f t="shared" si="1"/>
        <v>-0.1467831685</v>
      </c>
      <c r="V476" s="4"/>
    </row>
    <row r="477">
      <c r="A477" s="1" t="s">
        <v>12029</v>
      </c>
      <c r="B477" s="1" t="s">
        <v>12030</v>
      </c>
      <c r="C477" s="1" t="s">
        <v>12031</v>
      </c>
      <c r="D477" s="1" t="s">
        <v>10790</v>
      </c>
      <c r="E477" s="1" t="s">
        <v>10793</v>
      </c>
      <c r="F477" s="1">
        <v>1935060.0</v>
      </c>
      <c r="G477" s="1">
        <v>87854.0</v>
      </c>
      <c r="H477" s="1">
        <v>6422.0</v>
      </c>
      <c r="I477" s="1">
        <v>1.19E7</v>
      </c>
      <c r="J477" s="1" t="s">
        <v>2468</v>
      </c>
      <c r="K477" s="5">
        <f t="shared" si="2"/>
        <v>0.162610084</v>
      </c>
      <c r="L477" s="6">
        <f t="shared" si="3"/>
        <v>2042</v>
      </c>
      <c r="M477" s="6">
        <f t="shared" si="4"/>
        <v>947.6297747</v>
      </c>
      <c r="N477" s="7">
        <f t="shared" si="5"/>
        <v>0.00007963275418</v>
      </c>
      <c r="O477" s="7"/>
      <c r="P477" s="4">
        <f t="shared" si="6"/>
        <v>-0.3934355421</v>
      </c>
      <c r="Q477" s="4">
        <f t="shared" si="7"/>
        <v>15</v>
      </c>
      <c r="R477" s="4">
        <f t="shared" si="8"/>
        <v>0</v>
      </c>
      <c r="S477" s="4">
        <f t="shared" si="9"/>
        <v>-0.3934355421</v>
      </c>
      <c r="T477" s="4">
        <f t="shared" si="10"/>
        <v>56</v>
      </c>
      <c r="U477" s="4">
        <f t="shared" si="1"/>
        <v>-0.3934355421</v>
      </c>
      <c r="V477" s="4"/>
    </row>
    <row r="478">
      <c r="A478" s="1" t="s">
        <v>12050</v>
      </c>
      <c r="B478" s="1" t="s">
        <v>12051</v>
      </c>
      <c r="C478" s="1" t="s">
        <v>12052</v>
      </c>
      <c r="D478" s="1" t="s">
        <v>10790</v>
      </c>
      <c r="E478" s="1" t="s">
        <v>10793</v>
      </c>
      <c r="F478" s="1">
        <v>4849470.0</v>
      </c>
      <c r="G478" s="1">
        <v>163959.0</v>
      </c>
      <c r="H478" s="1">
        <v>8444.0</v>
      </c>
      <c r="I478" s="1">
        <v>1.19E7</v>
      </c>
      <c r="J478" s="1" t="s">
        <v>2468</v>
      </c>
      <c r="K478" s="5">
        <f t="shared" si="2"/>
        <v>0.4075184874</v>
      </c>
      <c r="L478" s="6">
        <f t="shared" si="3"/>
        <v>2077</v>
      </c>
      <c r="M478" s="6">
        <f t="shared" si="4"/>
        <v>2334.843524</v>
      </c>
      <c r="N478" s="7">
        <f t="shared" si="5"/>
        <v>0.0001962053382</v>
      </c>
      <c r="O478" s="7"/>
      <c r="P478" s="4">
        <f t="shared" si="6"/>
        <v>-0.3113260774</v>
      </c>
      <c r="Q478" s="4">
        <f t="shared" si="7"/>
        <v>11</v>
      </c>
      <c r="R478" s="4">
        <f t="shared" si="8"/>
        <v>0</v>
      </c>
      <c r="S478" s="4">
        <f t="shared" si="9"/>
        <v>-0.3113260774</v>
      </c>
      <c r="T478" s="4">
        <f t="shared" si="10"/>
        <v>52</v>
      </c>
      <c r="U478" s="4">
        <f t="shared" si="1"/>
        <v>-0.3113260774</v>
      </c>
      <c r="V478" s="4"/>
    </row>
    <row r="479">
      <c r="A479" s="1" t="s">
        <v>12069</v>
      </c>
      <c r="B479" s="1" t="s">
        <v>12071</v>
      </c>
      <c r="C479" s="1" t="s">
        <v>12073</v>
      </c>
      <c r="D479" s="1" t="s">
        <v>10790</v>
      </c>
      <c r="E479" s="1" t="s">
        <v>10793</v>
      </c>
      <c r="F479" s="1">
        <v>3520857.0</v>
      </c>
      <c r="G479" s="1">
        <v>122940.0</v>
      </c>
      <c r="H479" s="1">
        <v>9366.0</v>
      </c>
      <c r="I479" s="1">
        <v>1.19E7</v>
      </c>
      <c r="J479" s="1" t="s">
        <v>2468</v>
      </c>
      <c r="K479" s="5">
        <f t="shared" si="2"/>
        <v>0.2958703361</v>
      </c>
      <c r="L479" s="6">
        <f t="shared" si="3"/>
        <v>2097</v>
      </c>
      <c r="M479" s="6">
        <f t="shared" si="4"/>
        <v>1678.997139</v>
      </c>
      <c r="N479" s="7">
        <f t="shared" si="5"/>
        <v>0.0001410921965</v>
      </c>
      <c r="O479" s="7"/>
      <c r="P479" s="4">
        <f t="shared" si="6"/>
        <v>-0.3501457587</v>
      </c>
      <c r="Q479" s="4">
        <f t="shared" si="7"/>
        <v>12</v>
      </c>
      <c r="R479" s="4">
        <f t="shared" si="8"/>
        <v>0</v>
      </c>
      <c r="S479" s="4">
        <f t="shared" si="9"/>
        <v>-0.3501457587</v>
      </c>
      <c r="T479" s="4">
        <f t="shared" si="10"/>
        <v>50</v>
      </c>
      <c r="U479" s="4">
        <f t="shared" si="1"/>
        <v>-0.3501457587</v>
      </c>
      <c r="V479" s="4"/>
    </row>
    <row r="480">
      <c r="A480" s="1" t="s">
        <v>12089</v>
      </c>
      <c r="B480" s="1" t="s">
        <v>12090</v>
      </c>
      <c r="C480" s="1" t="s">
        <v>12091</v>
      </c>
      <c r="D480" s="1" t="s">
        <v>10790</v>
      </c>
      <c r="E480" s="1" t="s">
        <v>10793</v>
      </c>
      <c r="F480" s="1">
        <v>1.6837589E7</v>
      </c>
      <c r="G480" s="1">
        <v>377039.0</v>
      </c>
      <c r="H480" s="1">
        <v>24580.0</v>
      </c>
      <c r="I480" s="1">
        <v>1.19E7</v>
      </c>
      <c r="J480" s="1" t="s">
        <v>2468</v>
      </c>
      <c r="K480" s="5">
        <f t="shared" si="2"/>
        <v>1.414923445</v>
      </c>
      <c r="L480" s="6">
        <f t="shared" si="3"/>
        <v>2121</v>
      </c>
      <c r="M480" s="6">
        <f t="shared" si="4"/>
        <v>7938.51438</v>
      </c>
      <c r="N480" s="7">
        <f t="shared" si="5"/>
        <v>0.0006671020487</v>
      </c>
      <c r="O480" s="7"/>
      <c r="P480" s="4">
        <f t="shared" si="6"/>
        <v>0.02035634335</v>
      </c>
      <c r="Q480" s="4">
        <f t="shared" si="7"/>
        <v>12</v>
      </c>
      <c r="R480" s="4">
        <f t="shared" si="8"/>
        <v>0</v>
      </c>
      <c r="S480" s="4">
        <f t="shared" si="9"/>
        <v>0.02035634335</v>
      </c>
      <c r="T480" s="4">
        <f t="shared" si="10"/>
        <v>48</v>
      </c>
      <c r="U480" s="4">
        <f t="shared" si="1"/>
        <v>0.02035634335</v>
      </c>
      <c r="V480" s="4"/>
    </row>
    <row r="481">
      <c r="A481" s="1" t="s">
        <v>12108</v>
      </c>
      <c r="B481" s="1" t="s">
        <v>12110</v>
      </c>
      <c r="C481" s="1" t="s">
        <v>12112</v>
      </c>
      <c r="D481" s="1" t="s">
        <v>10790</v>
      </c>
      <c r="E481" s="1" t="s">
        <v>10793</v>
      </c>
      <c r="F481" s="1">
        <v>7203558.0</v>
      </c>
      <c r="G481" s="1">
        <v>169813.0</v>
      </c>
      <c r="H481" s="1">
        <v>10081.0</v>
      </c>
      <c r="I481" s="1">
        <v>1.19E7</v>
      </c>
      <c r="J481" s="1" t="s">
        <v>2468</v>
      </c>
      <c r="K481" s="5">
        <f t="shared" si="2"/>
        <v>0.6053410084</v>
      </c>
      <c r="L481" s="6">
        <f t="shared" si="3"/>
        <v>2132</v>
      </c>
      <c r="M481" s="6">
        <f t="shared" si="4"/>
        <v>3378.77955</v>
      </c>
      <c r="N481" s="7">
        <f t="shared" si="5"/>
        <v>0.0002839310546</v>
      </c>
      <c r="O481" s="7"/>
      <c r="P481" s="4">
        <f t="shared" si="6"/>
        <v>-0.2495352911</v>
      </c>
      <c r="Q481" s="4">
        <f t="shared" si="7"/>
        <v>12</v>
      </c>
      <c r="R481" s="4">
        <f t="shared" si="8"/>
        <v>0</v>
      </c>
      <c r="S481" s="4">
        <f t="shared" si="9"/>
        <v>-0.2495352911</v>
      </c>
      <c r="T481" s="4">
        <f t="shared" si="10"/>
        <v>44</v>
      </c>
      <c r="U481" s="4">
        <f t="shared" si="1"/>
        <v>-0.2495352911</v>
      </c>
      <c r="V481" s="4"/>
    </row>
    <row r="482">
      <c r="A482" s="1" t="s">
        <v>12127</v>
      </c>
      <c r="B482" s="1" t="s">
        <v>12129</v>
      </c>
      <c r="C482" s="1" t="s">
        <v>12130</v>
      </c>
      <c r="D482" s="1" t="s">
        <v>10790</v>
      </c>
      <c r="E482" s="1" t="s">
        <v>10793</v>
      </c>
      <c r="F482" s="1">
        <v>3506791.0</v>
      </c>
      <c r="G482" s="1">
        <v>124700.0</v>
      </c>
      <c r="H482" s="1">
        <v>5953.0</v>
      </c>
      <c r="I482" s="1">
        <v>1.19E7</v>
      </c>
      <c r="J482" s="1" t="s">
        <v>2468</v>
      </c>
      <c r="K482" s="5">
        <f t="shared" si="2"/>
        <v>0.2946883193</v>
      </c>
      <c r="L482" s="6">
        <f t="shared" si="3"/>
        <v>2146</v>
      </c>
      <c r="M482" s="6">
        <f t="shared" si="4"/>
        <v>1634.105778</v>
      </c>
      <c r="N482" s="7">
        <f t="shared" si="5"/>
        <v>0.0001373198133</v>
      </c>
      <c r="O482" s="7"/>
      <c r="P482" s="4">
        <f t="shared" si="6"/>
        <v>-0.3528028875</v>
      </c>
      <c r="Q482" s="4">
        <f t="shared" si="7"/>
        <v>14</v>
      </c>
      <c r="R482" s="4">
        <f t="shared" si="8"/>
        <v>0</v>
      </c>
      <c r="S482" s="4">
        <f t="shared" si="9"/>
        <v>-0.3528028875</v>
      </c>
      <c r="T482" s="4">
        <f t="shared" si="10"/>
        <v>58</v>
      </c>
      <c r="U482" s="4">
        <f t="shared" si="1"/>
        <v>-0.3528028875</v>
      </c>
      <c r="V482" s="4"/>
    </row>
    <row r="483">
      <c r="A483" s="1" t="s">
        <v>12146</v>
      </c>
      <c r="B483" s="1" t="s">
        <v>12147</v>
      </c>
      <c r="C483" s="1" t="s">
        <v>12149</v>
      </c>
      <c r="D483" s="1" t="s">
        <v>10790</v>
      </c>
      <c r="E483" s="1" t="s">
        <v>10793</v>
      </c>
      <c r="F483" s="1">
        <v>3246066.0</v>
      </c>
      <c r="G483" s="1">
        <v>90695.0</v>
      </c>
      <c r="H483" s="1">
        <v>3989.0</v>
      </c>
      <c r="I483" s="1">
        <v>1.19E7</v>
      </c>
      <c r="J483" s="1" t="s">
        <v>2468</v>
      </c>
      <c r="K483" s="5">
        <f t="shared" si="2"/>
        <v>0.2727786555</v>
      </c>
      <c r="L483" s="6">
        <f t="shared" si="3"/>
        <v>2160</v>
      </c>
      <c r="M483" s="6">
        <f t="shared" si="4"/>
        <v>1502.808333</v>
      </c>
      <c r="N483" s="7">
        <f t="shared" si="5"/>
        <v>0.0001262864146</v>
      </c>
      <c r="O483" s="7"/>
      <c r="P483" s="4">
        <f t="shared" si="6"/>
        <v>-0.36057441</v>
      </c>
      <c r="Q483" s="4">
        <f t="shared" si="7"/>
        <v>15</v>
      </c>
      <c r="R483" s="4">
        <f t="shared" si="8"/>
        <v>0</v>
      </c>
      <c r="S483" s="4">
        <f t="shared" si="9"/>
        <v>-0.36057441</v>
      </c>
      <c r="T483" s="4">
        <f t="shared" si="10"/>
        <v>61</v>
      </c>
      <c r="U483" s="4">
        <f t="shared" si="1"/>
        <v>-0.36057441</v>
      </c>
      <c r="V483" s="4"/>
    </row>
    <row r="484">
      <c r="A484" s="1" t="s">
        <v>12168</v>
      </c>
      <c r="B484" s="1" t="s">
        <v>12170</v>
      </c>
      <c r="C484" s="1" t="s">
        <v>12172</v>
      </c>
      <c r="D484" s="1" t="s">
        <v>10790</v>
      </c>
      <c r="E484" s="1" t="s">
        <v>10793</v>
      </c>
      <c r="F484" s="1">
        <v>2316159.0</v>
      </c>
      <c r="G484" s="1">
        <v>81840.0</v>
      </c>
      <c r="H484" s="1">
        <v>4900.0</v>
      </c>
      <c r="I484" s="1">
        <v>1.19E7</v>
      </c>
      <c r="J484" s="1" t="s">
        <v>2468</v>
      </c>
      <c r="K484" s="5">
        <f t="shared" si="2"/>
        <v>0.1946352101</v>
      </c>
      <c r="L484" s="6">
        <f t="shared" si="3"/>
        <v>2167</v>
      </c>
      <c r="M484" s="6">
        <f t="shared" si="4"/>
        <v>1068.832026</v>
      </c>
      <c r="N484" s="7">
        <f t="shared" si="5"/>
        <v>0.0000898178173</v>
      </c>
      <c r="O484" s="7"/>
      <c r="P484" s="4">
        <f t="shared" si="6"/>
        <v>-0.3862615561</v>
      </c>
      <c r="Q484" s="4">
        <f t="shared" si="7"/>
        <v>8</v>
      </c>
      <c r="R484" s="4">
        <f t="shared" si="8"/>
        <v>0</v>
      </c>
      <c r="S484" s="4">
        <f t="shared" si="9"/>
        <v>-0.3862615561</v>
      </c>
      <c r="T484" s="4">
        <f t="shared" si="10"/>
        <v>36</v>
      </c>
      <c r="U484" s="4">
        <f t="shared" si="1"/>
        <v>-0.3862615561</v>
      </c>
      <c r="V484" s="4"/>
    </row>
    <row r="485">
      <c r="A485" s="1" t="s">
        <v>12188</v>
      </c>
      <c r="B485" s="1" t="s">
        <v>12189</v>
      </c>
      <c r="C485" s="1" t="s">
        <v>12190</v>
      </c>
      <c r="D485" s="1" t="s">
        <v>10790</v>
      </c>
      <c r="E485" s="1" t="s">
        <v>10793</v>
      </c>
      <c r="F485" s="1">
        <v>1.4715662E7</v>
      </c>
      <c r="G485" s="1">
        <v>428861.0</v>
      </c>
      <c r="H485" s="1">
        <v>25145.0</v>
      </c>
      <c r="I485" s="1">
        <v>1.19E7</v>
      </c>
      <c r="J485" s="1" t="s">
        <v>2468</v>
      </c>
      <c r="K485" s="5">
        <f t="shared" si="2"/>
        <v>1.236610252</v>
      </c>
      <c r="L485" s="6">
        <f t="shared" si="3"/>
        <v>2188</v>
      </c>
      <c r="M485" s="6">
        <f t="shared" si="4"/>
        <v>6725.622486</v>
      </c>
      <c r="N485" s="7">
        <f t="shared" si="5"/>
        <v>0.0005651783602</v>
      </c>
      <c r="O485" s="7"/>
      <c r="P485" s="4">
        <f t="shared" si="6"/>
        <v>-0.05143497519</v>
      </c>
      <c r="Q485" s="4">
        <f t="shared" si="7"/>
        <v>12</v>
      </c>
      <c r="R485" s="4">
        <f t="shared" si="8"/>
        <v>0</v>
      </c>
      <c r="S485" s="4">
        <f t="shared" si="9"/>
        <v>-0.05143497519</v>
      </c>
      <c r="T485" s="4">
        <f t="shared" si="10"/>
        <v>62</v>
      </c>
      <c r="U485" s="4">
        <f t="shared" si="1"/>
        <v>-0.05143497519</v>
      </c>
      <c r="V485" s="4"/>
    </row>
    <row r="486">
      <c r="A486" s="1" t="s">
        <v>12209</v>
      </c>
      <c r="B486" s="1" t="s">
        <v>12210</v>
      </c>
      <c r="C486" s="1" t="s">
        <v>12211</v>
      </c>
      <c r="D486" s="1" t="s">
        <v>10790</v>
      </c>
      <c r="E486" s="1" t="s">
        <v>10793</v>
      </c>
      <c r="F486" s="1">
        <v>5990332.0</v>
      </c>
      <c r="G486" s="1">
        <v>170586.0</v>
      </c>
      <c r="H486" s="1">
        <v>8465.0</v>
      </c>
      <c r="I486" s="1">
        <v>1.19E7</v>
      </c>
      <c r="J486" s="1" t="s">
        <v>2468</v>
      </c>
      <c r="K486" s="5">
        <f t="shared" si="2"/>
        <v>0.5033892437</v>
      </c>
      <c r="L486" s="6">
        <f t="shared" si="3"/>
        <v>2209</v>
      </c>
      <c r="M486" s="6">
        <f t="shared" si="4"/>
        <v>2711.784518</v>
      </c>
      <c r="N486" s="7">
        <f t="shared" si="5"/>
        <v>0.0002278810519</v>
      </c>
      <c r="O486" s="7"/>
      <c r="P486" s="4">
        <f t="shared" si="6"/>
        <v>-0.2890148631</v>
      </c>
      <c r="Q486" s="4">
        <f t="shared" si="7"/>
        <v>14</v>
      </c>
      <c r="R486" s="4">
        <f t="shared" si="8"/>
        <v>0</v>
      </c>
      <c r="S486" s="4">
        <f t="shared" si="9"/>
        <v>-0.2890148631</v>
      </c>
      <c r="T486" s="4">
        <f t="shared" si="10"/>
        <v>65</v>
      </c>
      <c r="U486" s="4">
        <f t="shared" si="1"/>
        <v>-0.2890148631</v>
      </c>
      <c r="V486" s="4"/>
    </row>
    <row r="487">
      <c r="A487" s="1" t="s">
        <v>12228</v>
      </c>
      <c r="B487" s="1" t="s">
        <v>12230</v>
      </c>
      <c r="C487" s="1" t="s">
        <v>12232</v>
      </c>
      <c r="D487" s="1" t="s">
        <v>10790</v>
      </c>
      <c r="E487" s="1" t="s">
        <v>10793</v>
      </c>
      <c r="F487" s="1">
        <v>1.7437786E7</v>
      </c>
      <c r="G487" s="1">
        <v>298963.0</v>
      </c>
      <c r="H487" s="1">
        <v>16341.0</v>
      </c>
      <c r="I487" s="1">
        <v>1.19E7</v>
      </c>
      <c r="J487" s="1" t="s">
        <v>2468</v>
      </c>
      <c r="K487" s="5">
        <f t="shared" si="2"/>
        <v>1.465360168</v>
      </c>
      <c r="L487" s="6">
        <f t="shared" si="3"/>
        <v>2230</v>
      </c>
      <c r="M487" s="6">
        <f t="shared" si="4"/>
        <v>7819.634978</v>
      </c>
      <c r="N487" s="7">
        <f t="shared" si="5"/>
        <v>0.000657112183</v>
      </c>
      <c r="O487" s="7"/>
      <c r="P487" s="4">
        <f t="shared" si="6"/>
        <v>0.01331984727</v>
      </c>
      <c r="Q487" s="4">
        <f t="shared" si="7"/>
        <v>14</v>
      </c>
      <c r="R487" s="4">
        <f t="shared" si="8"/>
        <v>0</v>
      </c>
      <c r="S487" s="4">
        <f t="shared" si="9"/>
        <v>0.01331984727</v>
      </c>
      <c r="T487" s="4">
        <f t="shared" si="10"/>
        <v>60</v>
      </c>
      <c r="U487" s="4">
        <f t="shared" si="1"/>
        <v>0.01331984727</v>
      </c>
      <c r="V487" s="4"/>
    </row>
    <row r="488">
      <c r="A488" s="1" t="s">
        <v>12247</v>
      </c>
      <c r="B488" s="1" t="s">
        <v>12249</v>
      </c>
      <c r="C488" s="1" t="s">
        <v>12250</v>
      </c>
      <c r="D488" s="1" t="s">
        <v>10790</v>
      </c>
      <c r="E488" s="1" t="s">
        <v>10793</v>
      </c>
      <c r="F488" s="1">
        <v>2653930.0</v>
      </c>
      <c r="G488" s="1">
        <v>58121.0</v>
      </c>
      <c r="H488" s="1">
        <v>3777.0</v>
      </c>
      <c r="I488" s="1">
        <v>1.19E7</v>
      </c>
      <c r="J488" s="1" t="s">
        <v>2468</v>
      </c>
      <c r="K488" s="5">
        <f t="shared" si="2"/>
        <v>0.2230193277</v>
      </c>
      <c r="L488" s="6">
        <f t="shared" si="3"/>
        <v>2243</v>
      </c>
      <c r="M488" s="6">
        <f t="shared" si="4"/>
        <v>1183.205528</v>
      </c>
      <c r="N488" s="7">
        <f t="shared" si="5"/>
        <v>0.00009942903599</v>
      </c>
      <c r="O488" s="7"/>
      <c r="P488" s="4">
        <f t="shared" si="6"/>
        <v>-0.3794917652</v>
      </c>
      <c r="Q488" s="4">
        <f t="shared" si="7"/>
        <v>10</v>
      </c>
      <c r="R488" s="4">
        <f t="shared" si="8"/>
        <v>0</v>
      </c>
      <c r="S488" s="4">
        <f t="shared" si="9"/>
        <v>-0.3794917652</v>
      </c>
      <c r="T488" s="4">
        <f t="shared" si="10"/>
        <v>43</v>
      </c>
      <c r="U488" s="4">
        <f t="shared" si="1"/>
        <v>-0.3794917652</v>
      </c>
      <c r="V488" s="4"/>
    </row>
    <row r="489">
      <c r="A489" s="1" t="s">
        <v>12266</v>
      </c>
      <c r="B489" s="1" t="s">
        <v>12267</v>
      </c>
      <c r="C489" s="1" t="s">
        <v>12268</v>
      </c>
      <c r="D489" s="1" t="s">
        <v>10790</v>
      </c>
      <c r="E489" s="1" t="s">
        <v>10793</v>
      </c>
      <c r="F489" s="1">
        <v>3877916.0</v>
      </c>
      <c r="G489" s="1">
        <v>133136.0</v>
      </c>
      <c r="H489" s="1">
        <v>14749.0</v>
      </c>
      <c r="I489" s="1">
        <v>1.19E7</v>
      </c>
      <c r="J489" s="1" t="s">
        <v>2468</v>
      </c>
      <c r="K489" s="5">
        <f t="shared" si="2"/>
        <v>0.3258752941</v>
      </c>
      <c r="L489" s="6">
        <f t="shared" si="3"/>
        <v>2258</v>
      </c>
      <c r="M489" s="6">
        <f t="shared" si="4"/>
        <v>1717.411869</v>
      </c>
      <c r="N489" s="7">
        <f t="shared" si="5"/>
        <v>0.0001443203251</v>
      </c>
      <c r="O489" s="7"/>
      <c r="P489" s="4">
        <f t="shared" si="6"/>
        <v>-0.347871983</v>
      </c>
      <c r="Q489" s="4">
        <f t="shared" si="7"/>
        <v>17</v>
      </c>
      <c r="R489" s="4">
        <f t="shared" si="8"/>
        <v>1</v>
      </c>
      <c r="S489" s="4">
        <f t="shared" si="9"/>
        <v>-0.347871983</v>
      </c>
      <c r="T489" s="4">
        <f t="shared" si="10"/>
        <v>76</v>
      </c>
      <c r="U489" s="4">
        <f t="shared" si="1"/>
        <v>-0.347871983</v>
      </c>
      <c r="V489" s="4"/>
    </row>
    <row r="490">
      <c r="A490" s="1" t="s">
        <v>12289</v>
      </c>
      <c r="B490" s="1" t="s">
        <v>12297</v>
      </c>
      <c r="C490" s="1" t="s">
        <v>12298</v>
      </c>
      <c r="D490" s="1" t="s">
        <v>10790</v>
      </c>
      <c r="E490" s="1" t="s">
        <v>10793</v>
      </c>
      <c r="F490" s="1">
        <v>4475998.0</v>
      </c>
      <c r="G490" s="1">
        <v>156434.0</v>
      </c>
      <c r="H490" s="1">
        <v>8729.0</v>
      </c>
      <c r="I490" s="1">
        <v>1.19E7</v>
      </c>
      <c r="J490" s="1" t="s">
        <v>2468</v>
      </c>
      <c r="K490" s="5">
        <f t="shared" si="2"/>
        <v>0.3761342857</v>
      </c>
      <c r="L490" s="6">
        <f t="shared" si="3"/>
        <v>2272</v>
      </c>
      <c r="M490" s="6">
        <f t="shared" si="4"/>
        <v>1970.069542</v>
      </c>
      <c r="N490" s="7">
        <f t="shared" si="5"/>
        <v>0.0001655520624</v>
      </c>
      <c r="O490" s="7"/>
      <c r="P490" s="4">
        <f t="shared" si="6"/>
        <v>-0.3329171238</v>
      </c>
      <c r="Q490" s="4">
        <f t="shared" si="7"/>
        <v>18</v>
      </c>
      <c r="R490" s="4">
        <f t="shared" si="8"/>
        <v>0</v>
      </c>
      <c r="S490" s="4">
        <f t="shared" si="9"/>
        <v>-0.3329171238</v>
      </c>
      <c r="T490" s="4">
        <f t="shared" si="10"/>
        <v>73</v>
      </c>
      <c r="U490" s="4">
        <f t="shared" si="1"/>
        <v>-0.3329171238</v>
      </c>
      <c r="V490" s="4"/>
    </row>
    <row r="491">
      <c r="A491" s="1" t="s">
        <v>12368</v>
      </c>
      <c r="B491" s="1" t="s">
        <v>12370</v>
      </c>
      <c r="C491" s="1" t="s">
        <v>12372</v>
      </c>
      <c r="D491" s="1" t="s">
        <v>10790</v>
      </c>
      <c r="E491" s="1" t="s">
        <v>10793</v>
      </c>
      <c r="F491" s="1">
        <v>8093817.0</v>
      </c>
      <c r="G491" s="1">
        <v>194615.0</v>
      </c>
      <c r="H491" s="1">
        <v>14988.0</v>
      </c>
      <c r="I491" s="1">
        <v>1.19E7</v>
      </c>
      <c r="J491" s="1" t="s">
        <v>2468</v>
      </c>
      <c r="K491" s="5">
        <f t="shared" si="2"/>
        <v>0.6801526891</v>
      </c>
      <c r="L491" s="6">
        <f t="shared" si="3"/>
        <v>2286</v>
      </c>
      <c r="M491" s="6">
        <f t="shared" si="4"/>
        <v>3540.602362</v>
      </c>
      <c r="N491" s="7">
        <f t="shared" si="5"/>
        <v>0.0002975296103</v>
      </c>
      <c r="O491" s="7"/>
      <c r="P491" s="4">
        <f t="shared" si="6"/>
        <v>-0.2399569659</v>
      </c>
      <c r="Q491" s="4">
        <f t="shared" si="7"/>
        <v>14</v>
      </c>
      <c r="R491" s="4">
        <f t="shared" si="8"/>
        <v>0</v>
      </c>
      <c r="S491" s="4">
        <f t="shared" si="9"/>
        <v>-0.2399569659</v>
      </c>
      <c r="T491" s="4">
        <f t="shared" si="10"/>
        <v>60</v>
      </c>
      <c r="U491" s="4">
        <f t="shared" si="1"/>
        <v>-0.2399569659</v>
      </c>
      <c r="V491" s="4"/>
    </row>
    <row r="492">
      <c r="A492" s="1" t="s">
        <v>12393</v>
      </c>
      <c r="B492" s="1" t="s">
        <v>12395</v>
      </c>
      <c r="C492" s="1" t="s">
        <v>12396</v>
      </c>
      <c r="D492" s="1" t="s">
        <v>10790</v>
      </c>
      <c r="E492" s="1" t="s">
        <v>10793</v>
      </c>
      <c r="F492" s="1">
        <v>2.1973349E7</v>
      </c>
      <c r="G492" s="1">
        <v>435437.0</v>
      </c>
      <c r="H492" s="1">
        <v>16205.0</v>
      </c>
      <c r="I492" s="1">
        <v>1.19E7</v>
      </c>
      <c r="J492" s="1" t="s">
        <v>2468</v>
      </c>
      <c r="K492" s="5">
        <f t="shared" si="2"/>
        <v>1.846499916</v>
      </c>
      <c r="L492" s="6">
        <f t="shared" si="3"/>
        <v>2299</v>
      </c>
      <c r="M492" s="6">
        <f t="shared" si="4"/>
        <v>9557.785559</v>
      </c>
      <c r="N492" s="7">
        <f t="shared" si="5"/>
        <v>0.0008031752571</v>
      </c>
      <c r="O492" s="7"/>
      <c r="P492" s="4">
        <f t="shared" si="6"/>
        <v>0.1162013346</v>
      </c>
      <c r="Q492" s="4">
        <f t="shared" si="7"/>
        <v>17</v>
      </c>
      <c r="R492" s="4">
        <f t="shared" si="8"/>
        <v>0</v>
      </c>
      <c r="S492" s="4">
        <f t="shared" si="9"/>
        <v>0.1162013346</v>
      </c>
      <c r="T492" s="4">
        <f t="shared" si="10"/>
        <v>81</v>
      </c>
      <c r="U492" s="4">
        <f t="shared" si="1"/>
        <v>0.1162013346</v>
      </c>
      <c r="V492" s="4"/>
    </row>
    <row r="493">
      <c r="A493" s="1" t="s">
        <v>12422</v>
      </c>
      <c r="B493" s="1" t="s">
        <v>12424</v>
      </c>
      <c r="C493" s="1" t="s">
        <v>12426</v>
      </c>
      <c r="D493" s="1" t="s">
        <v>10790</v>
      </c>
      <c r="E493" s="1" t="s">
        <v>10793</v>
      </c>
      <c r="F493" s="1">
        <v>994920.0</v>
      </c>
      <c r="G493" s="1">
        <v>48920.0</v>
      </c>
      <c r="H493" s="1">
        <v>3637.0</v>
      </c>
      <c r="I493" s="1">
        <v>1.19E7</v>
      </c>
      <c r="J493" s="1" t="s">
        <v>2468</v>
      </c>
      <c r="K493" s="5">
        <f t="shared" si="2"/>
        <v>0.08360672269</v>
      </c>
      <c r="L493" s="6">
        <f t="shared" si="3"/>
        <v>2320</v>
      </c>
      <c r="M493" s="6">
        <f t="shared" si="4"/>
        <v>428.8448276</v>
      </c>
      <c r="N493" s="7">
        <f t="shared" si="5"/>
        <v>0.00003603738047</v>
      </c>
      <c r="O493" s="7"/>
      <c r="P493" s="4">
        <f t="shared" si="6"/>
        <v>-0.4241425289</v>
      </c>
      <c r="Q493" s="4">
        <f t="shared" si="7"/>
        <v>13</v>
      </c>
      <c r="R493" s="4">
        <f t="shared" si="8"/>
        <v>0</v>
      </c>
      <c r="S493" s="4">
        <f t="shared" si="9"/>
        <v>-0.4241425289</v>
      </c>
      <c r="T493" s="4">
        <f t="shared" si="10"/>
        <v>56</v>
      </c>
      <c r="U493" s="4">
        <f t="shared" si="1"/>
        <v>-0.4241425289</v>
      </c>
      <c r="V493" s="4"/>
    </row>
    <row r="494">
      <c r="A494" s="1" t="s">
        <v>12448</v>
      </c>
      <c r="B494" s="1" t="s">
        <v>12449</v>
      </c>
      <c r="C494" s="1" t="s">
        <v>12450</v>
      </c>
      <c r="D494" s="1" t="s">
        <v>10790</v>
      </c>
      <c r="E494" s="1" t="s">
        <v>10793</v>
      </c>
      <c r="F494" s="1">
        <v>639401.0</v>
      </c>
      <c r="G494" s="1">
        <v>36320.0</v>
      </c>
      <c r="H494" s="1">
        <v>2302.0</v>
      </c>
      <c r="I494" s="1">
        <v>1.19E7</v>
      </c>
      <c r="J494" s="1" t="s">
        <v>2468</v>
      </c>
      <c r="K494" s="5">
        <f t="shared" si="2"/>
        <v>0.05373117647</v>
      </c>
      <c r="L494" s="6">
        <f t="shared" si="3"/>
        <v>2340</v>
      </c>
      <c r="M494" s="6">
        <f t="shared" si="4"/>
        <v>273.2482906</v>
      </c>
      <c r="N494" s="7">
        <f t="shared" si="5"/>
        <v>0.00002296204123</v>
      </c>
      <c r="O494" s="7"/>
      <c r="P494" s="4">
        <f t="shared" si="6"/>
        <v>-0.4333523197</v>
      </c>
      <c r="Q494" s="4">
        <f t="shared" si="7"/>
        <v>9</v>
      </c>
      <c r="R494" s="4">
        <f t="shared" si="8"/>
        <v>0</v>
      </c>
      <c r="S494" s="4">
        <f t="shared" si="9"/>
        <v>-0.4333523197</v>
      </c>
      <c r="T494" s="4">
        <f t="shared" si="10"/>
        <v>35</v>
      </c>
      <c r="U494" s="4">
        <f t="shared" si="1"/>
        <v>-0.4333523197</v>
      </c>
      <c r="V494" s="4"/>
    </row>
    <row r="495">
      <c r="A495" s="1" t="s">
        <v>12467</v>
      </c>
      <c r="B495" s="1" t="s">
        <v>12469</v>
      </c>
      <c r="C495" s="1" t="s">
        <v>12471</v>
      </c>
      <c r="D495" s="1" t="s">
        <v>10790</v>
      </c>
      <c r="E495" s="1" t="s">
        <v>10793</v>
      </c>
      <c r="F495" s="1">
        <v>1004244.0</v>
      </c>
      <c r="G495" s="1">
        <v>40600.0</v>
      </c>
      <c r="H495" s="1">
        <v>4423.0</v>
      </c>
      <c r="I495" s="1">
        <v>1.19E7</v>
      </c>
      <c r="J495" s="1" t="s">
        <v>2468</v>
      </c>
      <c r="K495" s="5">
        <f t="shared" si="2"/>
        <v>0.0843902521</v>
      </c>
      <c r="L495" s="6">
        <f t="shared" si="3"/>
        <v>2353</v>
      </c>
      <c r="M495" s="6">
        <f t="shared" si="4"/>
        <v>426.7930302</v>
      </c>
      <c r="N495" s="7">
        <f t="shared" si="5"/>
        <v>0.00003586496052</v>
      </c>
      <c r="O495" s="7"/>
      <c r="P495" s="4">
        <f t="shared" si="6"/>
        <v>-0.4242639752</v>
      </c>
      <c r="Q495" s="4">
        <f t="shared" si="7"/>
        <v>13</v>
      </c>
      <c r="R495" s="4">
        <f t="shared" si="8"/>
        <v>0</v>
      </c>
      <c r="S495" s="4">
        <f t="shared" si="9"/>
        <v>-0.4242639752</v>
      </c>
      <c r="T495" s="4">
        <f t="shared" si="10"/>
        <v>58</v>
      </c>
      <c r="U495" s="4">
        <f t="shared" si="1"/>
        <v>-0.4242639752</v>
      </c>
      <c r="V495" s="4"/>
    </row>
    <row r="496">
      <c r="A496" s="1" t="s">
        <v>12487</v>
      </c>
      <c r="B496" s="1" t="s">
        <v>12489</v>
      </c>
      <c r="C496" s="1" t="s">
        <v>12495</v>
      </c>
      <c r="D496" s="1" t="s">
        <v>10790</v>
      </c>
      <c r="E496" s="1" t="s">
        <v>10793</v>
      </c>
      <c r="F496" s="1">
        <v>1.3341615E7</v>
      </c>
      <c r="G496" s="1">
        <v>264395.0</v>
      </c>
      <c r="H496" s="1">
        <v>15029.0</v>
      </c>
      <c r="I496" s="1">
        <v>1.19E7</v>
      </c>
      <c r="J496" s="1" t="s">
        <v>2468</v>
      </c>
      <c r="K496" s="5">
        <f t="shared" si="2"/>
        <v>1.121144118</v>
      </c>
      <c r="L496" s="6">
        <f t="shared" si="3"/>
        <v>2378</v>
      </c>
      <c r="M496" s="6">
        <f t="shared" si="4"/>
        <v>5610.43524</v>
      </c>
      <c r="N496" s="7">
        <f t="shared" si="5"/>
        <v>0.0004714651462</v>
      </c>
      <c r="O496" s="7"/>
      <c r="P496" s="4">
        <f t="shared" si="6"/>
        <v>-0.1174431357</v>
      </c>
      <c r="Q496" s="4">
        <f t="shared" si="7"/>
        <v>16</v>
      </c>
      <c r="R496" s="4">
        <f t="shared" si="8"/>
        <v>0</v>
      </c>
      <c r="S496" s="4">
        <f t="shared" si="9"/>
        <v>-0.1174431357</v>
      </c>
      <c r="T496" s="4">
        <f t="shared" si="10"/>
        <v>75</v>
      </c>
      <c r="U496" s="4">
        <f t="shared" si="1"/>
        <v>-0.1174431357</v>
      </c>
      <c r="V496" s="4"/>
    </row>
    <row r="497">
      <c r="A497" s="1" t="s">
        <v>12523</v>
      </c>
      <c r="B497" s="1" t="s">
        <v>12524</v>
      </c>
      <c r="C497" s="1" t="s">
        <v>12525</v>
      </c>
      <c r="D497" s="1" t="s">
        <v>10790</v>
      </c>
      <c r="E497" s="1" t="s">
        <v>10793</v>
      </c>
      <c r="F497" s="1">
        <v>2.4883721E7</v>
      </c>
      <c r="G497" s="1">
        <v>299691.0</v>
      </c>
      <c r="H497" s="1">
        <v>12537.0</v>
      </c>
      <c r="I497" s="1">
        <v>1.19E7</v>
      </c>
      <c r="J497" s="1" t="s">
        <v>2468</v>
      </c>
      <c r="K497" s="5">
        <f t="shared" si="2"/>
        <v>2.091068992</v>
      </c>
      <c r="L497" s="6">
        <f t="shared" si="3"/>
        <v>2437</v>
      </c>
      <c r="M497" s="6">
        <f t="shared" si="4"/>
        <v>10210.80057</v>
      </c>
      <c r="N497" s="7">
        <f t="shared" si="5"/>
        <v>0.0008580504684</v>
      </c>
      <c r="O497" s="7"/>
      <c r="P497" s="4">
        <f t="shared" si="6"/>
        <v>0.1548534266</v>
      </c>
      <c r="Q497" s="4">
        <f t="shared" si="7"/>
        <v>13</v>
      </c>
      <c r="R497" s="4">
        <f t="shared" si="8"/>
        <v>0</v>
      </c>
      <c r="S497" s="4">
        <f t="shared" si="9"/>
        <v>0.1548534266</v>
      </c>
      <c r="T497" s="4">
        <f t="shared" si="10"/>
        <v>62</v>
      </c>
      <c r="U497" s="4">
        <f t="shared" si="1"/>
        <v>0.1548534266</v>
      </c>
      <c r="V497" s="4"/>
    </row>
    <row r="498">
      <c r="A498" s="1" t="s">
        <v>12555</v>
      </c>
      <c r="B498" s="1" t="s">
        <v>12557</v>
      </c>
      <c r="C498" s="1" t="s">
        <v>12558</v>
      </c>
      <c r="D498" s="1" t="s">
        <v>10790</v>
      </c>
      <c r="E498" s="1" t="s">
        <v>10793</v>
      </c>
      <c r="F498" s="1">
        <v>4821638.0</v>
      </c>
      <c r="G498" s="1">
        <v>196722.0</v>
      </c>
      <c r="H498" s="1">
        <v>9807.0</v>
      </c>
      <c r="I498" s="1">
        <v>1.19E7</v>
      </c>
      <c r="J498" s="1" t="s">
        <v>2468</v>
      </c>
      <c r="K498" s="5">
        <f t="shared" si="2"/>
        <v>0.4051796639</v>
      </c>
      <c r="L498" s="6">
        <f t="shared" si="3"/>
        <v>2443</v>
      </c>
      <c r="M498" s="6">
        <f t="shared" si="4"/>
        <v>1973.654523</v>
      </c>
      <c r="N498" s="7">
        <f t="shared" si="5"/>
        <v>0.0001658533213</v>
      </c>
      <c r="O498" s="7"/>
      <c r="P498" s="4">
        <f t="shared" si="6"/>
        <v>-0.332704928</v>
      </c>
      <c r="Q498" s="4">
        <f t="shared" si="7"/>
        <v>13</v>
      </c>
      <c r="R498" s="4">
        <f t="shared" si="8"/>
        <v>0</v>
      </c>
      <c r="S498" s="4">
        <f t="shared" si="9"/>
        <v>-0.332704928</v>
      </c>
      <c r="T498" s="4">
        <f t="shared" si="10"/>
        <v>50</v>
      </c>
      <c r="U498" s="4">
        <f t="shared" si="1"/>
        <v>-0.332704928</v>
      </c>
      <c r="V498" s="4"/>
    </row>
    <row r="499">
      <c r="A499" s="1" t="s">
        <v>12581</v>
      </c>
      <c r="B499" s="1" t="s">
        <v>12583</v>
      </c>
      <c r="C499" s="1" t="s">
        <v>12584</v>
      </c>
      <c r="D499" s="1" t="s">
        <v>10790</v>
      </c>
      <c r="E499" s="1" t="s">
        <v>10793</v>
      </c>
      <c r="F499" s="1">
        <v>1.8099417E7</v>
      </c>
      <c r="G499" s="1">
        <v>394077.0</v>
      </c>
      <c r="H499" s="1">
        <v>19075.0</v>
      </c>
      <c r="I499" s="1">
        <v>1.19E7</v>
      </c>
      <c r="J499" s="1" t="s">
        <v>2468</v>
      </c>
      <c r="K499" s="5">
        <f t="shared" si="2"/>
        <v>1.520959412</v>
      </c>
      <c r="L499" s="6">
        <f t="shared" si="3"/>
        <v>2464</v>
      </c>
      <c r="M499" s="6">
        <f t="shared" si="4"/>
        <v>7345.542614</v>
      </c>
      <c r="N499" s="7">
        <f t="shared" si="5"/>
        <v>0.0006172724885</v>
      </c>
      <c r="O499" s="7"/>
      <c r="P499" s="4">
        <f t="shared" si="6"/>
        <v>-0.01474177643</v>
      </c>
      <c r="Q499" s="4">
        <f t="shared" si="7"/>
        <v>14</v>
      </c>
      <c r="R499" s="4">
        <f t="shared" si="8"/>
        <v>0</v>
      </c>
      <c r="S499" s="4">
        <f t="shared" si="9"/>
        <v>-0.01474177643</v>
      </c>
      <c r="T499" s="4">
        <f t="shared" si="10"/>
        <v>59</v>
      </c>
      <c r="U499" s="4">
        <f t="shared" si="1"/>
        <v>-0.01474177643</v>
      </c>
      <c r="V499" s="4"/>
    </row>
    <row r="500">
      <c r="A500" s="1" t="s">
        <v>12605</v>
      </c>
      <c r="B500" s="1" t="s">
        <v>12608</v>
      </c>
      <c r="C500" s="1" t="s">
        <v>12609</v>
      </c>
      <c r="D500" s="1" t="s">
        <v>10790</v>
      </c>
      <c r="E500" s="1" t="s">
        <v>10793</v>
      </c>
      <c r="F500" s="1">
        <v>1508298.0</v>
      </c>
      <c r="G500" s="1">
        <v>82143.0</v>
      </c>
      <c r="H500" s="1">
        <v>3776.0</v>
      </c>
      <c r="I500" s="1">
        <v>1.19E7</v>
      </c>
      <c r="J500" s="1" t="s">
        <v>2468</v>
      </c>
      <c r="K500" s="5">
        <f t="shared" si="2"/>
        <v>0.1267477311</v>
      </c>
      <c r="L500" s="6">
        <f t="shared" si="3"/>
        <v>2505</v>
      </c>
      <c r="M500" s="6">
        <f t="shared" si="4"/>
        <v>602.1149701</v>
      </c>
      <c r="N500" s="7">
        <f t="shared" si="5"/>
        <v>0.00005059789664</v>
      </c>
      <c r="O500" s="7"/>
      <c r="P500" s="4">
        <f t="shared" si="6"/>
        <v>-0.4138866339</v>
      </c>
      <c r="Q500" s="4">
        <f t="shared" si="7"/>
        <v>12</v>
      </c>
      <c r="R500" s="4">
        <f t="shared" si="8"/>
        <v>0</v>
      </c>
      <c r="S500" s="4">
        <f t="shared" si="9"/>
        <v>-0.4138866339</v>
      </c>
      <c r="T500" s="4">
        <f t="shared" si="10"/>
        <v>52</v>
      </c>
      <c r="U500" s="4">
        <f t="shared" si="1"/>
        <v>-0.4138866339</v>
      </c>
      <c r="V500" s="4"/>
    </row>
    <row r="501">
      <c r="A501" s="1" t="s">
        <v>12640</v>
      </c>
      <c r="B501" s="1" t="s">
        <v>12641</v>
      </c>
      <c r="C501" s="1" t="s">
        <v>12642</v>
      </c>
      <c r="D501" s="1" t="s">
        <v>10790</v>
      </c>
      <c r="E501" s="1" t="s">
        <v>10793</v>
      </c>
      <c r="F501" s="1">
        <v>2973230.0</v>
      </c>
      <c r="G501" s="1">
        <v>102649.0</v>
      </c>
      <c r="H501" s="1">
        <v>5376.0</v>
      </c>
      <c r="I501" s="1">
        <v>1.19E7</v>
      </c>
      <c r="J501" s="1" t="s">
        <v>2468</v>
      </c>
      <c r="K501" s="5">
        <f t="shared" si="2"/>
        <v>0.2498512605</v>
      </c>
      <c r="L501" s="6">
        <f t="shared" si="3"/>
        <v>2517</v>
      </c>
      <c r="M501" s="6">
        <f t="shared" si="4"/>
        <v>1181.259436</v>
      </c>
      <c r="N501" s="7">
        <f t="shared" si="5"/>
        <v>0.00009926549881</v>
      </c>
      <c r="O501" s="7"/>
      <c r="P501" s="4">
        <f t="shared" si="6"/>
        <v>-0.3796069548</v>
      </c>
      <c r="Q501" s="4">
        <f t="shared" si="7"/>
        <v>13</v>
      </c>
      <c r="R501" s="4">
        <f t="shared" si="8"/>
        <v>1</v>
      </c>
      <c r="S501" s="4">
        <f t="shared" si="9"/>
        <v>-0.3796069548</v>
      </c>
      <c r="T501" s="4">
        <f t="shared" si="10"/>
        <v>56</v>
      </c>
      <c r="U501" s="4">
        <f t="shared" si="1"/>
        <v>-0.3796069548</v>
      </c>
      <c r="V501" s="4"/>
    </row>
    <row r="502">
      <c r="A502" s="1" t="s">
        <v>12667</v>
      </c>
      <c r="B502" s="1" t="s">
        <v>12668</v>
      </c>
      <c r="C502" s="1" t="s">
        <v>12670</v>
      </c>
      <c r="D502" s="1" t="s">
        <v>10790</v>
      </c>
      <c r="E502" s="1" t="s">
        <v>10793</v>
      </c>
      <c r="F502" s="1">
        <v>1899339.0</v>
      </c>
      <c r="G502" s="1">
        <v>100532.0</v>
      </c>
      <c r="H502" s="1">
        <v>11279.0</v>
      </c>
      <c r="I502" s="1">
        <v>1.19E7</v>
      </c>
      <c r="J502" s="1" t="s">
        <v>2468</v>
      </c>
      <c r="K502" s="5">
        <f t="shared" si="2"/>
        <v>0.1596083193</v>
      </c>
      <c r="L502" s="6">
        <f t="shared" si="3"/>
        <v>2531</v>
      </c>
      <c r="M502" s="6">
        <f t="shared" si="4"/>
        <v>750.4302647</v>
      </c>
      <c r="N502" s="7">
        <f t="shared" si="5"/>
        <v>0.00006306136678</v>
      </c>
      <c r="O502" s="7"/>
      <c r="P502" s="4">
        <f t="shared" si="6"/>
        <v>-0.4051078213</v>
      </c>
      <c r="Q502" s="4">
        <f t="shared" si="7"/>
        <v>8</v>
      </c>
      <c r="R502" s="4">
        <f t="shared" si="8"/>
        <v>0</v>
      </c>
      <c r="S502" s="4">
        <f t="shared" si="9"/>
        <v>-0.4051078213</v>
      </c>
      <c r="T502" s="4">
        <f t="shared" si="10"/>
        <v>32</v>
      </c>
      <c r="U502" s="4">
        <f t="shared" si="1"/>
        <v>-0.4051078213</v>
      </c>
      <c r="V502" s="4"/>
    </row>
    <row r="503">
      <c r="A503" s="1" t="s">
        <v>12691</v>
      </c>
      <c r="B503" s="1" t="s">
        <v>12692</v>
      </c>
      <c r="C503" s="1" t="s">
        <v>12694</v>
      </c>
      <c r="D503" s="1" t="s">
        <v>10790</v>
      </c>
      <c r="E503" s="1" t="s">
        <v>10793</v>
      </c>
      <c r="F503" s="1">
        <v>2323864.0</v>
      </c>
      <c r="G503" s="1">
        <v>115551.0</v>
      </c>
      <c r="H503" s="1">
        <v>7314.0</v>
      </c>
      <c r="I503" s="1">
        <v>1.19E7</v>
      </c>
      <c r="J503" s="1" t="s">
        <v>2468</v>
      </c>
      <c r="K503" s="5">
        <f t="shared" si="2"/>
        <v>0.1952826891</v>
      </c>
      <c r="L503" s="6">
        <f t="shared" si="3"/>
        <v>2559</v>
      </c>
      <c r="M503" s="6">
        <f t="shared" si="4"/>
        <v>908.1141071</v>
      </c>
      <c r="N503" s="7">
        <f t="shared" si="5"/>
        <v>0.00007631210984</v>
      </c>
      <c r="O503" s="7"/>
      <c r="P503" s="4">
        <f t="shared" si="6"/>
        <v>-0.3957744825</v>
      </c>
      <c r="Q503" s="4">
        <f t="shared" si="7"/>
        <v>15</v>
      </c>
      <c r="R503" s="4">
        <f t="shared" si="8"/>
        <v>0</v>
      </c>
      <c r="S503" s="4">
        <f t="shared" si="9"/>
        <v>-0.3957744825</v>
      </c>
      <c r="T503" s="4">
        <f t="shared" si="10"/>
        <v>64</v>
      </c>
      <c r="U503" s="4">
        <f t="shared" si="1"/>
        <v>-0.3957744825</v>
      </c>
      <c r="V503" s="4"/>
    </row>
    <row r="504">
      <c r="A504" s="1" t="s">
        <v>12710</v>
      </c>
      <c r="B504" s="1" t="s">
        <v>12712</v>
      </c>
      <c r="C504" s="1" t="s">
        <v>12714</v>
      </c>
      <c r="D504" s="1" t="s">
        <v>10790</v>
      </c>
      <c r="E504" s="1" t="s">
        <v>10793</v>
      </c>
      <c r="F504" s="1">
        <v>5358742.0</v>
      </c>
      <c r="G504" s="1">
        <v>165505.0</v>
      </c>
      <c r="H504" s="1">
        <v>6714.0</v>
      </c>
      <c r="I504" s="1">
        <v>1.19E7</v>
      </c>
      <c r="J504" s="1" t="s">
        <v>2468</v>
      </c>
      <c r="K504" s="5">
        <f t="shared" si="2"/>
        <v>0.4503144538</v>
      </c>
      <c r="L504" s="6">
        <f t="shared" si="3"/>
        <v>2583</v>
      </c>
      <c r="M504" s="6">
        <f t="shared" si="4"/>
        <v>2074.619435</v>
      </c>
      <c r="N504" s="7">
        <f t="shared" si="5"/>
        <v>0.0001743377676</v>
      </c>
      <c r="O504" s="7"/>
      <c r="P504" s="4">
        <f t="shared" si="6"/>
        <v>-0.3267287943</v>
      </c>
      <c r="Q504" s="4">
        <f t="shared" si="7"/>
        <v>11</v>
      </c>
      <c r="R504" s="4">
        <f t="shared" si="8"/>
        <v>1</v>
      </c>
      <c r="S504" s="4">
        <f t="shared" si="9"/>
        <v>-0.3267287943</v>
      </c>
      <c r="T504" s="4">
        <f t="shared" si="10"/>
        <v>44</v>
      </c>
      <c r="U504" s="4">
        <f t="shared" si="1"/>
        <v>-0.3267287943</v>
      </c>
      <c r="V504" s="4"/>
    </row>
    <row r="505">
      <c r="A505" s="1" t="s">
        <v>12736</v>
      </c>
      <c r="B505" s="1" t="s">
        <v>12738</v>
      </c>
      <c r="C505" s="1" t="s">
        <v>12740</v>
      </c>
      <c r="D505" s="1" t="s">
        <v>10790</v>
      </c>
      <c r="E505" s="1" t="s">
        <v>10793</v>
      </c>
      <c r="F505" s="1">
        <v>2861365.0</v>
      </c>
      <c r="G505" s="1">
        <v>126746.0</v>
      </c>
      <c r="H505" s="1">
        <v>4680.0</v>
      </c>
      <c r="I505" s="1">
        <v>1.19E7</v>
      </c>
      <c r="J505" s="1" t="s">
        <v>2468</v>
      </c>
      <c r="K505" s="5">
        <f t="shared" si="2"/>
        <v>0.2404508403</v>
      </c>
      <c r="L505" s="6">
        <f t="shared" si="3"/>
        <v>2592</v>
      </c>
      <c r="M505" s="6">
        <f t="shared" si="4"/>
        <v>1103.921682</v>
      </c>
      <c r="N505" s="7">
        <f t="shared" si="5"/>
        <v>0.00009276652791</v>
      </c>
      <c r="O505" s="7"/>
      <c r="P505" s="4">
        <f t="shared" si="6"/>
        <v>-0.3841845922</v>
      </c>
      <c r="Q505" s="4">
        <f t="shared" si="7"/>
        <v>13</v>
      </c>
      <c r="R505" s="4">
        <f t="shared" si="8"/>
        <v>0</v>
      </c>
      <c r="S505" s="4">
        <f t="shared" si="9"/>
        <v>-0.3841845922</v>
      </c>
      <c r="T505" s="4">
        <f t="shared" si="10"/>
        <v>58</v>
      </c>
      <c r="U505" s="4">
        <f t="shared" si="1"/>
        <v>-0.3841845922</v>
      </c>
      <c r="V505" s="4"/>
    </row>
    <row r="506">
      <c r="A506" s="1" t="s">
        <v>12754</v>
      </c>
      <c r="B506" s="1" t="s">
        <v>12755</v>
      </c>
      <c r="C506" s="1" t="s">
        <v>12756</v>
      </c>
      <c r="D506" s="1" t="s">
        <v>10790</v>
      </c>
      <c r="E506" s="1" t="s">
        <v>10793</v>
      </c>
      <c r="F506" s="1">
        <v>859433.0</v>
      </c>
      <c r="G506" s="1">
        <v>49836.0</v>
      </c>
      <c r="H506" s="1">
        <v>2708.0</v>
      </c>
      <c r="I506" s="1">
        <v>1.19E7</v>
      </c>
      <c r="J506" s="1" t="s">
        <v>2468</v>
      </c>
      <c r="K506" s="5">
        <f t="shared" si="2"/>
        <v>0.0722212605</v>
      </c>
      <c r="L506" s="6">
        <f t="shared" si="3"/>
        <v>2597</v>
      </c>
      <c r="M506" s="6">
        <f t="shared" si="4"/>
        <v>330.9329996</v>
      </c>
      <c r="N506" s="7">
        <f t="shared" si="5"/>
        <v>0.00002780949577</v>
      </c>
      <c r="O506" s="7"/>
      <c r="P506" s="4">
        <f t="shared" si="6"/>
        <v>-0.42993795</v>
      </c>
      <c r="Q506" s="4">
        <f t="shared" si="7"/>
        <v>11</v>
      </c>
      <c r="R506" s="4">
        <f t="shared" si="8"/>
        <v>0</v>
      </c>
      <c r="S506" s="4">
        <f t="shared" si="9"/>
        <v>-0.42993795</v>
      </c>
      <c r="T506" s="4">
        <f t="shared" si="10"/>
        <v>47</v>
      </c>
      <c r="U506" s="4">
        <f t="shared" si="1"/>
        <v>-0.42993795</v>
      </c>
      <c r="V506" s="4"/>
    </row>
    <row r="507">
      <c r="A507" s="1" t="s">
        <v>12778</v>
      </c>
      <c r="B507" s="1" t="s">
        <v>12779</v>
      </c>
      <c r="C507" s="1" t="s">
        <v>12780</v>
      </c>
      <c r="D507" s="1" t="s">
        <v>10790</v>
      </c>
      <c r="E507" s="1" t="s">
        <v>10793</v>
      </c>
      <c r="F507" s="1">
        <v>9876632.0</v>
      </c>
      <c r="G507" s="1">
        <v>189363.0</v>
      </c>
      <c r="H507" s="1">
        <v>16250.0</v>
      </c>
      <c r="I507" s="1">
        <v>1.19E7</v>
      </c>
      <c r="J507" s="1" t="s">
        <v>2468</v>
      </c>
      <c r="K507" s="5">
        <f t="shared" si="2"/>
        <v>0.8299690756</v>
      </c>
      <c r="L507" s="6">
        <f t="shared" si="3"/>
        <v>2613</v>
      </c>
      <c r="M507" s="6">
        <f t="shared" si="4"/>
        <v>3779.805587</v>
      </c>
      <c r="N507" s="7">
        <f t="shared" si="5"/>
        <v>0.0003176307216</v>
      </c>
      <c r="O507" s="7"/>
      <c r="P507" s="4">
        <f t="shared" si="6"/>
        <v>-0.2257984782</v>
      </c>
      <c r="Q507" s="4">
        <f t="shared" si="7"/>
        <v>12</v>
      </c>
      <c r="R507" s="4">
        <f t="shared" si="8"/>
        <v>1</v>
      </c>
      <c r="S507" s="4">
        <f t="shared" si="9"/>
        <v>-0.2257984782</v>
      </c>
      <c r="T507" s="4">
        <f t="shared" si="10"/>
        <v>48</v>
      </c>
      <c r="U507" s="4">
        <f t="shared" si="1"/>
        <v>-0.2257984782</v>
      </c>
      <c r="V507" s="4"/>
    </row>
    <row r="508">
      <c r="A508" s="1" t="s">
        <v>12804</v>
      </c>
      <c r="B508" s="1" t="s">
        <v>12806</v>
      </c>
      <c r="C508" s="1" t="s">
        <v>12807</v>
      </c>
      <c r="D508" s="1" t="s">
        <v>10790</v>
      </c>
      <c r="E508" s="1" t="s">
        <v>10793</v>
      </c>
      <c r="F508" s="1">
        <v>3019789.0</v>
      </c>
      <c r="G508" s="1">
        <v>91086.0</v>
      </c>
      <c r="H508" s="1">
        <v>5607.0</v>
      </c>
      <c r="I508" s="1">
        <v>1.19E7</v>
      </c>
      <c r="J508" s="1" t="s">
        <v>2468</v>
      </c>
      <c r="K508" s="5">
        <f t="shared" si="2"/>
        <v>0.2537637815</v>
      </c>
      <c r="L508" s="6">
        <f t="shared" si="3"/>
        <v>2632</v>
      </c>
      <c r="M508" s="6">
        <f t="shared" si="4"/>
        <v>1147.336246</v>
      </c>
      <c r="N508" s="7">
        <f t="shared" si="5"/>
        <v>0.00009641481061</v>
      </c>
      <c r="O508" s="7"/>
      <c r="P508" s="4">
        <f t="shared" si="6"/>
        <v>-0.3816148753</v>
      </c>
      <c r="Q508" s="4">
        <f t="shared" si="7"/>
        <v>13</v>
      </c>
      <c r="R508" s="4">
        <f t="shared" si="8"/>
        <v>1</v>
      </c>
      <c r="S508" s="4">
        <f t="shared" si="9"/>
        <v>-0.3816148753</v>
      </c>
      <c r="T508" s="4">
        <f t="shared" si="10"/>
        <v>73</v>
      </c>
      <c r="U508" s="4">
        <f t="shared" si="1"/>
        <v>-0.3816148753</v>
      </c>
      <c r="V508" s="4"/>
    </row>
    <row r="509">
      <c r="A509" s="1" t="s">
        <v>12823</v>
      </c>
      <c r="B509" s="1" t="s">
        <v>12824</v>
      </c>
      <c r="C509" s="1" t="s">
        <v>12825</v>
      </c>
      <c r="D509" s="1" t="s">
        <v>10790</v>
      </c>
      <c r="E509" s="1" t="s">
        <v>10793</v>
      </c>
      <c r="F509" s="1">
        <v>7775067.0</v>
      </c>
      <c r="G509" s="1">
        <v>208563.0</v>
      </c>
      <c r="H509" s="1">
        <v>11262.0</v>
      </c>
      <c r="I509" s="1">
        <v>1.19E7</v>
      </c>
      <c r="J509" s="1" t="s">
        <v>2468</v>
      </c>
      <c r="K509" s="5">
        <f t="shared" si="2"/>
        <v>0.6533669748</v>
      </c>
      <c r="L509" s="6">
        <f t="shared" si="3"/>
        <v>2639</v>
      </c>
      <c r="M509" s="6">
        <f t="shared" si="4"/>
        <v>2946.217128</v>
      </c>
      <c r="N509" s="7">
        <f t="shared" si="5"/>
        <v>0.0002475812712</v>
      </c>
      <c r="O509" s="7"/>
      <c r="P509" s="4">
        <f t="shared" si="6"/>
        <v>-0.2751387491</v>
      </c>
      <c r="Q509" s="4">
        <f t="shared" si="7"/>
        <v>12</v>
      </c>
      <c r="R509" s="4">
        <f t="shared" si="8"/>
        <v>0</v>
      </c>
      <c r="S509" s="4">
        <f t="shared" si="9"/>
        <v>-0.2751387491</v>
      </c>
      <c r="T509" s="4">
        <f t="shared" si="10"/>
        <v>62</v>
      </c>
      <c r="U509" s="4">
        <f t="shared" si="1"/>
        <v>-0.2751387491</v>
      </c>
      <c r="V509" s="4"/>
    </row>
    <row r="510">
      <c r="A510" s="1" t="s">
        <v>12846</v>
      </c>
      <c r="B510" s="1" t="s">
        <v>12848</v>
      </c>
      <c r="C510" s="1" t="s">
        <v>12849</v>
      </c>
      <c r="D510" s="1" t="s">
        <v>10790</v>
      </c>
      <c r="E510" s="1" t="s">
        <v>10793</v>
      </c>
      <c r="F510" s="1">
        <v>5412119.0</v>
      </c>
      <c r="G510" s="1">
        <v>172565.0</v>
      </c>
      <c r="H510" s="1">
        <v>5508.0</v>
      </c>
      <c r="I510" s="1">
        <v>1.19E7</v>
      </c>
      <c r="J510" s="1" t="s">
        <v>2468</v>
      </c>
      <c r="K510" s="5">
        <f t="shared" si="2"/>
        <v>0.454799916</v>
      </c>
      <c r="L510" s="6">
        <f t="shared" si="3"/>
        <v>2661</v>
      </c>
      <c r="M510" s="6">
        <f t="shared" si="4"/>
        <v>2033.866592</v>
      </c>
      <c r="N510" s="7">
        <f t="shared" si="5"/>
        <v>0.000170913159</v>
      </c>
      <c r="O510" s="7"/>
      <c r="P510" s="4">
        <f t="shared" si="6"/>
        <v>-0.3291409634</v>
      </c>
      <c r="Q510" s="4">
        <f t="shared" si="7"/>
        <v>12</v>
      </c>
      <c r="R510" s="4">
        <f t="shared" si="8"/>
        <v>0</v>
      </c>
      <c r="S510" s="4">
        <f t="shared" si="9"/>
        <v>-0.3291409634</v>
      </c>
      <c r="T510" s="4">
        <f t="shared" si="10"/>
        <v>66</v>
      </c>
      <c r="U510" s="4">
        <f t="shared" si="1"/>
        <v>-0.3291409634</v>
      </c>
      <c r="V510" s="4"/>
    </row>
    <row r="511">
      <c r="A511" s="1" t="s">
        <v>12863</v>
      </c>
      <c r="B511" s="1" t="s">
        <v>12865</v>
      </c>
      <c r="C511" s="1" t="s">
        <v>12867</v>
      </c>
      <c r="D511" s="1" t="s">
        <v>12868</v>
      </c>
      <c r="E511" s="1" t="s">
        <v>12869</v>
      </c>
      <c r="F511" s="1">
        <v>119197.0</v>
      </c>
      <c r="G511" s="1">
        <v>2742.0</v>
      </c>
      <c r="H511" s="1">
        <v>80.0</v>
      </c>
      <c r="I511" s="1">
        <v>5980000.0</v>
      </c>
      <c r="J511" s="1" t="s">
        <v>2468</v>
      </c>
      <c r="K511" s="5">
        <f t="shared" si="2"/>
        <v>0.0199326087</v>
      </c>
      <c r="L511" s="6">
        <f t="shared" si="3"/>
        <v>49</v>
      </c>
      <c r="M511" s="6">
        <f t="shared" si="4"/>
        <v>2432.591837</v>
      </c>
      <c r="N511" s="7">
        <f t="shared" si="5"/>
        <v>0.0004067879326</v>
      </c>
      <c r="O511" s="7"/>
      <c r="P511" s="4">
        <f t="shared" si="6"/>
        <v>-0.1629993996</v>
      </c>
      <c r="Q511" s="4">
        <f t="shared" si="7"/>
        <v>9</v>
      </c>
      <c r="R511" s="4">
        <f t="shared" si="8"/>
        <v>1</v>
      </c>
      <c r="S511" s="4">
        <f t="shared" si="9"/>
        <v>-0.1629993996</v>
      </c>
      <c r="T511" s="4">
        <f t="shared" si="10"/>
        <v>35</v>
      </c>
      <c r="U511" s="4">
        <f t="shared" si="1"/>
        <v>-0.1629993996</v>
      </c>
      <c r="V511" s="4"/>
    </row>
    <row r="512">
      <c r="A512" s="1" t="s">
        <v>12891</v>
      </c>
      <c r="B512" s="1" t="s">
        <v>12893</v>
      </c>
      <c r="C512" s="1" t="s">
        <v>12895</v>
      </c>
      <c r="D512" s="1" t="s">
        <v>12868</v>
      </c>
      <c r="E512" s="1" t="s">
        <v>12869</v>
      </c>
      <c r="F512" s="1">
        <v>482841.0</v>
      </c>
      <c r="G512" s="1">
        <v>24287.0</v>
      </c>
      <c r="H512" s="1">
        <v>1198.0</v>
      </c>
      <c r="I512" s="1">
        <v>5980000.0</v>
      </c>
      <c r="J512" s="1" t="s">
        <v>2468</v>
      </c>
      <c r="K512" s="5">
        <f t="shared" si="2"/>
        <v>0.08074264214</v>
      </c>
      <c r="L512" s="6">
        <f t="shared" si="3"/>
        <v>65</v>
      </c>
      <c r="M512" s="6">
        <f t="shared" si="4"/>
        <v>7428.323077</v>
      </c>
      <c r="N512" s="7">
        <f t="shared" si="5"/>
        <v>0.001242194494</v>
      </c>
      <c r="O512" s="7"/>
      <c r="P512" s="4">
        <f t="shared" si="6"/>
        <v>0.4254304291</v>
      </c>
      <c r="Q512" s="4">
        <f t="shared" si="7"/>
        <v>5</v>
      </c>
      <c r="R512" s="4">
        <f t="shared" si="8"/>
        <v>0</v>
      </c>
      <c r="S512" s="4">
        <f t="shared" si="9"/>
        <v>0.4254304291</v>
      </c>
      <c r="T512" s="4">
        <f t="shared" si="10"/>
        <v>18</v>
      </c>
      <c r="U512" s="4">
        <f t="shared" si="1"/>
        <v>0.4254304291</v>
      </c>
      <c r="V512" s="4"/>
    </row>
    <row r="513">
      <c r="A513" s="1" t="s">
        <v>12915</v>
      </c>
      <c r="B513" s="1" t="s">
        <v>12916</v>
      </c>
      <c r="C513" s="1" t="s">
        <v>12917</v>
      </c>
      <c r="D513" s="1" t="s">
        <v>12868</v>
      </c>
      <c r="E513" s="1" t="s">
        <v>12869</v>
      </c>
      <c r="F513" s="1">
        <v>320993.0</v>
      </c>
      <c r="G513" s="1">
        <v>9228.0</v>
      </c>
      <c r="H513" s="1">
        <v>522.0</v>
      </c>
      <c r="I513" s="1">
        <v>5980000.0</v>
      </c>
      <c r="J513" s="1" t="s">
        <v>2468</v>
      </c>
      <c r="K513" s="5">
        <f t="shared" si="2"/>
        <v>0.0536777592</v>
      </c>
      <c r="L513" s="6">
        <f t="shared" si="3"/>
        <v>70</v>
      </c>
      <c r="M513" s="6">
        <f t="shared" si="4"/>
        <v>4585.614286</v>
      </c>
      <c r="N513" s="7">
        <f t="shared" si="5"/>
        <v>0.0007668251314</v>
      </c>
      <c r="O513" s="7"/>
      <c r="P513" s="4">
        <f t="shared" si="6"/>
        <v>0.09059763557</v>
      </c>
      <c r="Q513" s="4">
        <f t="shared" si="7"/>
        <v>5</v>
      </c>
      <c r="R513" s="4">
        <f t="shared" si="8"/>
        <v>0</v>
      </c>
      <c r="S513" s="4">
        <f t="shared" si="9"/>
        <v>0.09059763557</v>
      </c>
      <c r="T513" s="4">
        <f t="shared" si="10"/>
        <v>20</v>
      </c>
      <c r="U513" s="4">
        <f t="shared" si="1"/>
        <v>0.09059763557</v>
      </c>
      <c r="V513" s="4"/>
    </row>
    <row r="514">
      <c r="A514" s="1" t="s">
        <v>12936</v>
      </c>
      <c r="B514" s="1" t="s">
        <v>12937</v>
      </c>
      <c r="C514" s="1" t="s">
        <v>12938</v>
      </c>
      <c r="D514" s="1" t="s">
        <v>12868</v>
      </c>
      <c r="E514" s="1" t="s">
        <v>12869</v>
      </c>
      <c r="F514" s="1">
        <v>363558.0</v>
      </c>
      <c r="G514" s="1">
        <v>23033.0</v>
      </c>
      <c r="H514" s="1">
        <v>747.0</v>
      </c>
      <c r="I514" s="1">
        <v>5980000.0</v>
      </c>
      <c r="J514" s="1" t="s">
        <v>2468</v>
      </c>
      <c r="K514" s="5">
        <f t="shared" si="2"/>
        <v>0.06079565217</v>
      </c>
      <c r="L514" s="6">
        <f t="shared" si="3"/>
        <v>91</v>
      </c>
      <c r="M514" s="6">
        <f t="shared" si="4"/>
        <v>3995.142857</v>
      </c>
      <c r="N514" s="7">
        <f t="shared" si="5"/>
        <v>0.0006680840898</v>
      </c>
      <c r="O514" s="7"/>
      <c r="P514" s="4">
        <f t="shared" si="6"/>
        <v>0.02104805717</v>
      </c>
      <c r="Q514" s="4">
        <f t="shared" si="7"/>
        <v>5</v>
      </c>
      <c r="R514" s="4">
        <f t="shared" si="8"/>
        <v>0</v>
      </c>
      <c r="S514" s="4">
        <f t="shared" si="9"/>
        <v>0.02104805717</v>
      </c>
      <c r="T514" s="4">
        <f t="shared" si="10"/>
        <v>28</v>
      </c>
      <c r="U514" s="4">
        <f t="shared" si="1"/>
        <v>0.02104805717</v>
      </c>
      <c r="V514" s="4"/>
    </row>
    <row r="515">
      <c r="A515" s="1" t="s">
        <v>12956</v>
      </c>
      <c r="B515" s="1" t="s">
        <v>12957</v>
      </c>
      <c r="C515" s="1" t="s">
        <v>12959</v>
      </c>
      <c r="D515" s="1" t="s">
        <v>12868</v>
      </c>
      <c r="E515" s="1" t="s">
        <v>12869</v>
      </c>
      <c r="F515" s="1">
        <v>464773.0</v>
      </c>
      <c r="G515" s="1">
        <v>9038.0</v>
      </c>
      <c r="H515" s="1">
        <v>287.0</v>
      </c>
      <c r="I515" s="1">
        <v>5980000.0</v>
      </c>
      <c r="J515" s="1" t="s">
        <v>2468</v>
      </c>
      <c r="K515" s="5">
        <f t="shared" si="2"/>
        <v>0.07772123746</v>
      </c>
      <c r="L515" s="6">
        <f t="shared" si="3"/>
        <v>104</v>
      </c>
      <c r="M515" s="6">
        <f t="shared" si="4"/>
        <v>4468.971154</v>
      </c>
      <c r="N515" s="7">
        <f t="shared" si="5"/>
        <v>0.0007473195909</v>
      </c>
      <c r="O515" s="7"/>
      <c r="P515" s="4">
        <f t="shared" si="6"/>
        <v>0.07685864626</v>
      </c>
      <c r="Q515" s="4">
        <f t="shared" si="7"/>
        <v>6</v>
      </c>
      <c r="R515" s="4">
        <f t="shared" si="8"/>
        <v>0</v>
      </c>
      <c r="S515" s="4">
        <f t="shared" si="9"/>
        <v>0.07685864626</v>
      </c>
      <c r="T515" s="4">
        <f t="shared" si="10"/>
        <v>26</v>
      </c>
      <c r="U515" s="4">
        <f t="shared" si="1"/>
        <v>0.07685864626</v>
      </c>
      <c r="V515" s="4"/>
    </row>
    <row r="516">
      <c r="A516" s="1" t="s">
        <v>12981</v>
      </c>
      <c r="B516" s="1" t="s">
        <v>12983</v>
      </c>
      <c r="C516" s="1" t="s">
        <v>12985</v>
      </c>
      <c r="D516" s="1" t="s">
        <v>12868</v>
      </c>
      <c r="E516" s="1" t="s">
        <v>12869</v>
      </c>
      <c r="F516" s="1">
        <v>238522.0</v>
      </c>
      <c r="G516" s="1">
        <v>12963.0</v>
      </c>
      <c r="H516" s="1">
        <v>799.0</v>
      </c>
      <c r="I516" s="1">
        <v>5980000.0</v>
      </c>
      <c r="J516" s="1" t="s">
        <v>2468</v>
      </c>
      <c r="K516" s="5">
        <f t="shared" si="2"/>
        <v>0.03988662207</v>
      </c>
      <c r="L516" s="6">
        <f t="shared" si="3"/>
        <v>114</v>
      </c>
      <c r="M516" s="6">
        <f t="shared" si="4"/>
        <v>2092.298246</v>
      </c>
      <c r="N516" s="7">
        <f t="shared" si="5"/>
        <v>0.0003498826498</v>
      </c>
      <c r="O516" s="7"/>
      <c r="P516" s="4">
        <f t="shared" si="6"/>
        <v>-0.2030813996</v>
      </c>
      <c r="Q516" s="4">
        <f t="shared" si="7"/>
        <v>6</v>
      </c>
      <c r="R516" s="4">
        <f t="shared" si="8"/>
        <v>0</v>
      </c>
      <c r="S516" s="4">
        <f t="shared" si="9"/>
        <v>-0.2030813996</v>
      </c>
      <c r="T516" s="4">
        <f t="shared" si="10"/>
        <v>31</v>
      </c>
      <c r="U516" s="4">
        <f t="shared" si="1"/>
        <v>-0.2030813996</v>
      </c>
      <c r="V516" s="4"/>
    </row>
    <row r="517">
      <c r="A517" s="1" t="s">
        <v>13008</v>
      </c>
      <c r="B517" s="1" t="s">
        <v>13010</v>
      </c>
      <c r="C517" s="1" t="s">
        <v>13012</v>
      </c>
      <c r="D517" s="1" t="s">
        <v>12868</v>
      </c>
      <c r="E517" s="1" t="s">
        <v>12869</v>
      </c>
      <c r="F517" s="1">
        <v>353359.0</v>
      </c>
      <c r="G517" s="1">
        <v>15900.0</v>
      </c>
      <c r="H517" s="1">
        <v>4310.0</v>
      </c>
      <c r="I517" s="1">
        <v>5980000.0</v>
      </c>
      <c r="J517" s="1" t="s">
        <v>2468</v>
      </c>
      <c r="K517" s="5">
        <f t="shared" si="2"/>
        <v>0.05909013378</v>
      </c>
      <c r="L517" s="6">
        <f t="shared" si="3"/>
        <v>141</v>
      </c>
      <c r="M517" s="6">
        <f t="shared" si="4"/>
        <v>2506.092199</v>
      </c>
      <c r="N517" s="7">
        <f t="shared" si="5"/>
        <v>0.000419078963</v>
      </c>
      <c r="O517" s="7"/>
      <c r="P517" s="4">
        <f t="shared" si="6"/>
        <v>-0.1543420473</v>
      </c>
      <c r="Q517" s="4">
        <f t="shared" si="7"/>
        <v>4</v>
      </c>
      <c r="R517" s="4">
        <f t="shared" si="8"/>
        <v>1</v>
      </c>
      <c r="S517" s="4">
        <f t="shared" si="9"/>
        <v>-0.1543420473</v>
      </c>
      <c r="T517" s="4">
        <f t="shared" si="10"/>
        <v>27</v>
      </c>
      <c r="U517" s="4">
        <f t="shared" si="1"/>
        <v>-0.1543420473</v>
      </c>
      <c r="V517" s="4"/>
    </row>
    <row r="518">
      <c r="A518" s="1" t="s">
        <v>13031</v>
      </c>
      <c r="B518" s="1" t="s">
        <v>13033</v>
      </c>
      <c r="C518" s="1" t="s">
        <v>13036</v>
      </c>
      <c r="D518" s="1" t="s">
        <v>12868</v>
      </c>
      <c r="E518" s="1" t="s">
        <v>12869</v>
      </c>
      <c r="F518" s="1">
        <v>305406.0</v>
      </c>
      <c r="G518" s="1">
        <v>5117.0</v>
      </c>
      <c r="H518" s="1">
        <v>224.0</v>
      </c>
      <c r="I518" s="1">
        <v>5980000.0</v>
      </c>
      <c r="J518" s="1" t="s">
        <v>2468</v>
      </c>
      <c r="K518" s="5">
        <f t="shared" si="2"/>
        <v>0.05107123746</v>
      </c>
      <c r="L518" s="6">
        <f t="shared" si="3"/>
        <v>145</v>
      </c>
      <c r="M518" s="6">
        <f t="shared" si="4"/>
        <v>2106.248276</v>
      </c>
      <c r="N518" s="7">
        <f t="shared" si="5"/>
        <v>0.0003522154307</v>
      </c>
      <c r="O518" s="7"/>
      <c r="P518" s="4">
        <f t="shared" si="6"/>
        <v>-0.201438274</v>
      </c>
      <c r="Q518" s="4">
        <f t="shared" si="7"/>
        <v>11</v>
      </c>
      <c r="R518" s="4">
        <f t="shared" si="8"/>
        <v>0</v>
      </c>
      <c r="S518" s="4">
        <f t="shared" si="9"/>
        <v>-0.201438274</v>
      </c>
      <c r="T518" s="4">
        <f t="shared" si="10"/>
        <v>44</v>
      </c>
      <c r="U518" s="4">
        <f t="shared" si="1"/>
        <v>-0.201438274</v>
      </c>
      <c r="V518" s="4"/>
    </row>
    <row r="519">
      <c r="A519" s="1" t="s">
        <v>13055</v>
      </c>
      <c r="B519" s="1" t="s">
        <v>13057</v>
      </c>
      <c r="C519" s="1" t="s">
        <v>13060</v>
      </c>
      <c r="D519" s="1" t="s">
        <v>12868</v>
      </c>
      <c r="E519" s="1" t="s">
        <v>12869</v>
      </c>
      <c r="F519" s="1">
        <v>197753.0</v>
      </c>
      <c r="G519" s="1">
        <v>4996.0</v>
      </c>
      <c r="H519" s="1">
        <v>398.0</v>
      </c>
      <c r="I519" s="1">
        <v>5980000.0</v>
      </c>
      <c r="J519" s="1" t="s">
        <v>2468</v>
      </c>
      <c r="K519" s="5">
        <f t="shared" si="2"/>
        <v>0.03306906355</v>
      </c>
      <c r="L519" s="6">
        <f t="shared" si="3"/>
        <v>166</v>
      </c>
      <c r="M519" s="6">
        <f t="shared" si="4"/>
        <v>1191.283133</v>
      </c>
      <c r="N519" s="7">
        <f t="shared" si="5"/>
        <v>0.0001992112262</v>
      </c>
      <c r="O519" s="7"/>
      <c r="P519" s="4">
        <f t="shared" si="6"/>
        <v>-0.3092088398</v>
      </c>
      <c r="Q519" s="4">
        <f t="shared" si="7"/>
        <v>6</v>
      </c>
      <c r="R519" s="4">
        <f t="shared" si="8"/>
        <v>0</v>
      </c>
      <c r="S519" s="4">
        <f t="shared" si="9"/>
        <v>-0.3092088398</v>
      </c>
      <c r="T519" s="4">
        <f t="shared" si="10"/>
        <v>40</v>
      </c>
      <c r="U519" s="4">
        <f t="shared" si="1"/>
        <v>-0.3092088398</v>
      </c>
      <c r="V519" s="4"/>
    </row>
    <row r="520">
      <c r="A520" s="1" t="s">
        <v>13084</v>
      </c>
      <c r="B520" s="1" t="s">
        <v>13086</v>
      </c>
      <c r="C520" s="1" t="s">
        <v>13087</v>
      </c>
      <c r="D520" s="1" t="s">
        <v>12868</v>
      </c>
      <c r="E520" s="1" t="s">
        <v>12869</v>
      </c>
      <c r="F520" s="1">
        <v>855131.0</v>
      </c>
      <c r="G520" s="1">
        <v>46344.0</v>
      </c>
      <c r="H520" s="1">
        <v>2603.0</v>
      </c>
      <c r="I520" s="1">
        <v>5980000.0</v>
      </c>
      <c r="J520" s="1" t="s">
        <v>2468</v>
      </c>
      <c r="K520" s="5">
        <f t="shared" si="2"/>
        <v>0.142998495</v>
      </c>
      <c r="L520" s="6">
        <f t="shared" si="3"/>
        <v>176</v>
      </c>
      <c r="M520" s="6">
        <f t="shared" si="4"/>
        <v>4858.698864</v>
      </c>
      <c r="N520" s="7">
        <f t="shared" si="5"/>
        <v>0.0008124914488</v>
      </c>
      <c r="O520" s="7"/>
      <c r="P520" s="4">
        <f t="shared" si="6"/>
        <v>0.1227633194</v>
      </c>
      <c r="Q520" s="4">
        <f t="shared" si="7"/>
        <v>4</v>
      </c>
      <c r="R520" s="4">
        <f t="shared" si="8"/>
        <v>1</v>
      </c>
      <c r="S520" s="4">
        <f t="shared" si="9"/>
        <v>0.1227633194</v>
      </c>
      <c r="T520" s="4">
        <f t="shared" si="10"/>
        <v>20</v>
      </c>
      <c r="U520" s="4">
        <f t="shared" si="1"/>
        <v>0.1227633194</v>
      </c>
      <c r="V520" s="4"/>
    </row>
    <row r="521">
      <c r="A521" s="1" t="s">
        <v>13115</v>
      </c>
      <c r="B521" s="1" t="s">
        <v>13116</v>
      </c>
      <c r="C521" s="1" t="s">
        <v>13117</v>
      </c>
      <c r="D521" s="1" t="s">
        <v>12868</v>
      </c>
      <c r="E521" s="1" t="s">
        <v>12869</v>
      </c>
      <c r="F521" s="1">
        <v>974408.0</v>
      </c>
      <c r="G521" s="1">
        <v>24937.0</v>
      </c>
      <c r="H521" s="1">
        <v>956.0</v>
      </c>
      <c r="I521" s="1">
        <v>5980000.0</v>
      </c>
      <c r="J521" s="1" t="s">
        <v>2468</v>
      </c>
      <c r="K521" s="5">
        <f t="shared" si="2"/>
        <v>0.1629444816</v>
      </c>
      <c r="L521" s="6">
        <f t="shared" si="3"/>
        <v>187</v>
      </c>
      <c r="M521" s="6">
        <f t="shared" si="4"/>
        <v>5210.737968</v>
      </c>
      <c r="N521" s="7">
        <f t="shared" si="5"/>
        <v>0.0008713608642</v>
      </c>
      <c r="O521" s="7"/>
      <c r="P521" s="4">
        <f t="shared" si="6"/>
        <v>0.1642287826</v>
      </c>
      <c r="Q521" s="4">
        <f t="shared" si="7"/>
        <v>6</v>
      </c>
      <c r="R521" s="4">
        <f t="shared" si="8"/>
        <v>0</v>
      </c>
      <c r="S521" s="4">
        <f t="shared" si="9"/>
        <v>0.1642287826</v>
      </c>
      <c r="T521" s="4">
        <f t="shared" si="10"/>
        <v>19</v>
      </c>
      <c r="U521" s="4">
        <f t="shared" si="1"/>
        <v>0.1642287826</v>
      </c>
      <c r="V521" s="4"/>
    </row>
    <row r="522">
      <c r="A522" s="1" t="s">
        <v>13142</v>
      </c>
      <c r="B522" s="1" t="s">
        <v>13143</v>
      </c>
      <c r="C522" s="1" t="s">
        <v>13144</v>
      </c>
      <c r="D522" s="1" t="s">
        <v>12868</v>
      </c>
      <c r="E522" s="1" t="s">
        <v>12869</v>
      </c>
      <c r="F522" s="1">
        <v>222489.0</v>
      </c>
      <c r="G522" s="1">
        <v>4191.0</v>
      </c>
      <c r="H522" s="1">
        <v>206.0</v>
      </c>
      <c r="I522" s="1">
        <v>5980000.0</v>
      </c>
      <c r="J522" s="1" t="s">
        <v>2468</v>
      </c>
      <c r="K522" s="5">
        <f t="shared" si="2"/>
        <v>0.03720551839</v>
      </c>
      <c r="L522" s="6">
        <f t="shared" si="3"/>
        <v>195</v>
      </c>
      <c r="M522" s="6">
        <f t="shared" si="4"/>
        <v>1140.969231</v>
      </c>
      <c r="N522" s="7">
        <f t="shared" si="5"/>
        <v>0.0001907975302</v>
      </c>
      <c r="O522" s="7"/>
      <c r="P522" s="4">
        <f t="shared" si="6"/>
        <v>-0.3151351395</v>
      </c>
      <c r="Q522" s="4">
        <f t="shared" si="7"/>
        <v>8</v>
      </c>
      <c r="R522" s="4">
        <f t="shared" si="8"/>
        <v>0</v>
      </c>
      <c r="S522" s="4">
        <f t="shared" si="9"/>
        <v>-0.3151351395</v>
      </c>
      <c r="T522" s="4">
        <f t="shared" si="10"/>
        <v>38</v>
      </c>
      <c r="U522" s="4">
        <f t="shared" si="1"/>
        <v>-0.3151351395</v>
      </c>
      <c r="V522" s="4"/>
    </row>
    <row r="523">
      <c r="A523" s="1" t="s">
        <v>13183</v>
      </c>
      <c r="B523" s="1" t="s">
        <v>13185</v>
      </c>
      <c r="C523" s="1" t="s">
        <v>13186</v>
      </c>
      <c r="D523" s="1" t="s">
        <v>12868</v>
      </c>
      <c r="E523" s="1" t="s">
        <v>12869</v>
      </c>
      <c r="F523" s="1">
        <v>247050.0</v>
      </c>
      <c r="G523" s="1">
        <v>17971.0</v>
      </c>
      <c r="H523" s="1">
        <v>1743.0</v>
      </c>
      <c r="I523" s="1">
        <v>5980000.0</v>
      </c>
      <c r="J523" s="1" t="s">
        <v>2468</v>
      </c>
      <c r="K523" s="5">
        <f t="shared" si="2"/>
        <v>0.04131270903</v>
      </c>
      <c r="L523" s="6">
        <f t="shared" si="3"/>
        <v>204</v>
      </c>
      <c r="M523" s="6">
        <f t="shared" si="4"/>
        <v>1211.029412</v>
      </c>
      <c r="N523" s="7">
        <f t="shared" si="5"/>
        <v>0.0002025132796</v>
      </c>
      <c r="O523" s="7"/>
      <c r="P523" s="4">
        <f t="shared" si="6"/>
        <v>-0.3068829942</v>
      </c>
      <c r="Q523" s="4">
        <f t="shared" si="7"/>
        <v>8</v>
      </c>
      <c r="R523" s="4">
        <f t="shared" si="8"/>
        <v>1</v>
      </c>
      <c r="S523" s="4">
        <f t="shared" si="9"/>
        <v>-0.3068829942</v>
      </c>
      <c r="T523" s="4">
        <f t="shared" si="10"/>
        <v>48</v>
      </c>
      <c r="U523" s="4">
        <f t="shared" si="1"/>
        <v>-0.3068829942</v>
      </c>
      <c r="V523" s="4"/>
    </row>
    <row r="524">
      <c r="A524" s="1" t="s">
        <v>13203</v>
      </c>
      <c r="B524" s="1" t="s">
        <v>13205</v>
      </c>
      <c r="C524" s="1" t="s">
        <v>13207</v>
      </c>
      <c r="D524" s="1" t="s">
        <v>12868</v>
      </c>
      <c r="E524" s="1" t="s">
        <v>12869</v>
      </c>
      <c r="F524" s="1">
        <v>204418.0</v>
      </c>
      <c r="G524" s="1">
        <v>3558.0</v>
      </c>
      <c r="H524" s="1">
        <v>139.0</v>
      </c>
      <c r="I524" s="1">
        <v>5980000.0</v>
      </c>
      <c r="J524" s="1" t="s">
        <v>2468</v>
      </c>
      <c r="K524" s="5">
        <f t="shared" si="2"/>
        <v>0.03418361204</v>
      </c>
      <c r="L524" s="6">
        <f t="shared" si="3"/>
        <v>211</v>
      </c>
      <c r="M524" s="6">
        <f t="shared" si="4"/>
        <v>968.8056872</v>
      </c>
      <c r="N524" s="7">
        <f t="shared" si="5"/>
        <v>0.00016200764</v>
      </c>
      <c r="O524" s="7"/>
      <c r="P524" s="4">
        <f t="shared" si="6"/>
        <v>-0.3354136852</v>
      </c>
      <c r="Q524" s="4">
        <f t="shared" si="7"/>
        <v>3</v>
      </c>
      <c r="R524" s="4">
        <f t="shared" si="8"/>
        <v>0</v>
      </c>
      <c r="S524" s="4">
        <f t="shared" si="9"/>
        <v>-0.3354136852</v>
      </c>
      <c r="T524" s="4">
        <f t="shared" si="10"/>
        <v>11</v>
      </c>
      <c r="U524" s="4">
        <f t="shared" si="1"/>
        <v>-0.3354136852</v>
      </c>
      <c r="V524" s="4"/>
    </row>
    <row r="525">
      <c r="A525" s="1" t="s">
        <v>13226</v>
      </c>
      <c r="B525" s="1" t="s">
        <v>13228</v>
      </c>
      <c r="C525" s="1" t="s">
        <v>13231</v>
      </c>
      <c r="D525" s="1" t="s">
        <v>12868</v>
      </c>
      <c r="E525" s="1" t="s">
        <v>12869</v>
      </c>
      <c r="F525" s="1">
        <v>179563.0</v>
      </c>
      <c r="G525" s="1">
        <v>3945.0</v>
      </c>
      <c r="H525" s="1">
        <v>158.0</v>
      </c>
      <c r="I525" s="1">
        <v>5980000.0</v>
      </c>
      <c r="J525" s="1" t="s">
        <v>2468</v>
      </c>
      <c r="K525" s="5">
        <f t="shared" si="2"/>
        <v>0.03002725753</v>
      </c>
      <c r="L525" s="6">
        <f t="shared" si="3"/>
        <v>218</v>
      </c>
      <c r="M525" s="6">
        <f t="shared" si="4"/>
        <v>823.6834862</v>
      </c>
      <c r="N525" s="7">
        <f t="shared" si="5"/>
        <v>0.0001377397134</v>
      </c>
      <c r="O525" s="7"/>
      <c r="P525" s="4">
        <f t="shared" si="6"/>
        <v>-0.3525071252</v>
      </c>
      <c r="Q525" s="4">
        <f t="shared" si="7"/>
        <v>9</v>
      </c>
      <c r="R525" s="4">
        <f t="shared" si="8"/>
        <v>1</v>
      </c>
      <c r="S525" s="4">
        <f t="shared" si="9"/>
        <v>-0.3525071252</v>
      </c>
      <c r="T525" s="4">
        <f t="shared" si="10"/>
        <v>53</v>
      </c>
      <c r="U525" s="4">
        <f t="shared" si="1"/>
        <v>-0.3525071252</v>
      </c>
      <c r="V525" s="4"/>
    </row>
    <row r="526">
      <c r="A526" s="1" t="s">
        <v>13250</v>
      </c>
      <c r="B526" s="1" t="s">
        <v>13252</v>
      </c>
      <c r="C526" s="1" t="s">
        <v>13254</v>
      </c>
      <c r="D526" s="1" t="s">
        <v>12868</v>
      </c>
      <c r="E526" s="1" t="s">
        <v>12869</v>
      </c>
      <c r="F526" s="1">
        <v>201965.0</v>
      </c>
      <c r="G526" s="1">
        <v>13114.0</v>
      </c>
      <c r="H526" s="1">
        <v>1220.0</v>
      </c>
      <c r="I526" s="1">
        <v>5980000.0</v>
      </c>
      <c r="J526" s="1" t="s">
        <v>2468</v>
      </c>
      <c r="K526" s="5">
        <f t="shared" si="2"/>
        <v>0.03377341137</v>
      </c>
      <c r="L526" s="6">
        <f t="shared" si="3"/>
        <v>224</v>
      </c>
      <c r="M526" s="6">
        <f t="shared" si="4"/>
        <v>901.6294643</v>
      </c>
      <c r="N526" s="7">
        <f t="shared" si="5"/>
        <v>0.0001507741579</v>
      </c>
      <c r="O526" s="7"/>
      <c r="P526" s="4">
        <f t="shared" si="6"/>
        <v>-0.3433261392</v>
      </c>
      <c r="Q526" s="4">
        <f t="shared" si="7"/>
        <v>6</v>
      </c>
      <c r="R526" s="4">
        <f t="shared" si="8"/>
        <v>0</v>
      </c>
      <c r="S526" s="4">
        <f t="shared" si="9"/>
        <v>-0.3433261392</v>
      </c>
      <c r="T526" s="4">
        <f t="shared" si="10"/>
        <v>34</v>
      </c>
      <c r="U526" s="4">
        <f t="shared" si="1"/>
        <v>-0.3433261392</v>
      </c>
      <c r="V526" s="4"/>
    </row>
    <row r="527">
      <c r="A527" s="1" t="s">
        <v>13274</v>
      </c>
      <c r="B527" s="1" t="s">
        <v>13275</v>
      </c>
      <c r="C527" s="1" t="s">
        <v>13276</v>
      </c>
      <c r="D527" s="1" t="s">
        <v>12868</v>
      </c>
      <c r="E527" s="1" t="s">
        <v>12869</v>
      </c>
      <c r="F527" s="1">
        <v>568102.0</v>
      </c>
      <c r="G527" s="1">
        <v>24862.0</v>
      </c>
      <c r="H527" s="1">
        <v>3581.0</v>
      </c>
      <c r="I527" s="1">
        <v>5980000.0</v>
      </c>
      <c r="J527" s="1" t="s">
        <v>2468</v>
      </c>
      <c r="K527" s="5">
        <f t="shared" si="2"/>
        <v>0.09500033445</v>
      </c>
      <c r="L527" s="6">
        <f t="shared" si="3"/>
        <v>255</v>
      </c>
      <c r="M527" s="6">
        <f t="shared" si="4"/>
        <v>2227.85098</v>
      </c>
      <c r="N527" s="7">
        <f t="shared" si="5"/>
        <v>0.0003725503312</v>
      </c>
      <c r="O527" s="7"/>
      <c r="P527" s="4">
        <f t="shared" si="6"/>
        <v>-0.1871151138</v>
      </c>
      <c r="Q527" s="4">
        <f t="shared" si="7"/>
        <v>7</v>
      </c>
      <c r="R527" s="4">
        <f t="shared" si="8"/>
        <v>0</v>
      </c>
      <c r="S527" s="4">
        <f t="shared" si="9"/>
        <v>-0.1871151138</v>
      </c>
      <c r="T527" s="4">
        <f t="shared" si="10"/>
        <v>26</v>
      </c>
      <c r="U527" s="4">
        <f t="shared" si="1"/>
        <v>-0.1871151138</v>
      </c>
      <c r="V527" s="4"/>
    </row>
    <row r="528">
      <c r="A528" s="1" t="s">
        <v>13295</v>
      </c>
      <c r="B528" s="1" t="s">
        <v>13297</v>
      </c>
      <c r="C528" s="1" t="s">
        <v>13299</v>
      </c>
      <c r="D528" s="1" t="s">
        <v>12868</v>
      </c>
      <c r="E528" s="1" t="s">
        <v>12869</v>
      </c>
      <c r="F528" s="1">
        <v>519830.0</v>
      </c>
      <c r="G528" s="1">
        <v>23319.0</v>
      </c>
      <c r="H528" s="1">
        <v>1122.0</v>
      </c>
      <c r="I528" s="1">
        <v>5980000.0</v>
      </c>
      <c r="J528" s="1" t="s">
        <v>2468</v>
      </c>
      <c r="K528" s="5">
        <f t="shared" si="2"/>
        <v>0.08692809365</v>
      </c>
      <c r="L528" s="6">
        <f t="shared" si="3"/>
        <v>274</v>
      </c>
      <c r="M528" s="6">
        <f t="shared" si="4"/>
        <v>1897.189781</v>
      </c>
      <c r="N528" s="7">
        <f t="shared" si="5"/>
        <v>0.0003172558162</v>
      </c>
      <c r="O528" s="7"/>
      <c r="P528" s="4">
        <f t="shared" si="6"/>
        <v>-0.2260625478</v>
      </c>
      <c r="Q528" s="4">
        <f t="shared" si="7"/>
        <v>3</v>
      </c>
      <c r="R528" s="4">
        <f t="shared" si="8"/>
        <v>0</v>
      </c>
      <c r="S528" s="4">
        <f t="shared" si="9"/>
        <v>-0.2260625478</v>
      </c>
      <c r="T528" s="4">
        <f t="shared" si="10"/>
        <v>12</v>
      </c>
      <c r="U528" s="4">
        <f t="shared" si="1"/>
        <v>-0.2260625478</v>
      </c>
      <c r="V528" s="4"/>
    </row>
    <row r="529">
      <c r="A529" s="1" t="s">
        <v>13321</v>
      </c>
      <c r="B529" s="1" t="s">
        <v>13322</v>
      </c>
      <c r="C529" s="1" t="s">
        <v>13323</v>
      </c>
      <c r="D529" s="1" t="s">
        <v>12868</v>
      </c>
      <c r="E529" s="1" t="s">
        <v>12869</v>
      </c>
      <c r="F529" s="1">
        <v>184886.0</v>
      </c>
      <c r="G529" s="1">
        <v>9744.0</v>
      </c>
      <c r="H529" s="1">
        <v>345.0</v>
      </c>
      <c r="I529" s="1">
        <v>5980000.0</v>
      </c>
      <c r="J529" s="1" t="s">
        <v>2468</v>
      </c>
      <c r="K529" s="5">
        <f t="shared" si="2"/>
        <v>0.0309173913</v>
      </c>
      <c r="L529" s="6">
        <f t="shared" si="3"/>
        <v>314</v>
      </c>
      <c r="M529" s="6">
        <f t="shared" si="4"/>
        <v>588.8089172</v>
      </c>
      <c r="N529" s="7">
        <f t="shared" si="5"/>
        <v>0.00009846302963</v>
      </c>
      <c r="O529" s="7"/>
      <c r="P529" s="4">
        <f t="shared" si="6"/>
        <v>-0.3801721848</v>
      </c>
      <c r="Q529" s="4">
        <f t="shared" si="7"/>
        <v>5</v>
      </c>
      <c r="R529" s="4">
        <f t="shared" si="8"/>
        <v>0</v>
      </c>
      <c r="S529" s="4">
        <f t="shared" si="9"/>
        <v>-0.3801721848</v>
      </c>
      <c r="T529" s="4">
        <f t="shared" si="10"/>
        <v>23</v>
      </c>
      <c r="U529" s="4">
        <f t="shared" si="1"/>
        <v>-0.3801721848</v>
      </c>
      <c r="V529" s="4"/>
    </row>
    <row r="530">
      <c r="A530" s="1" t="s">
        <v>13339</v>
      </c>
      <c r="B530" s="1" t="s">
        <v>13340</v>
      </c>
      <c r="C530" s="1" t="s">
        <v>13341</v>
      </c>
      <c r="D530" s="1" t="s">
        <v>12868</v>
      </c>
      <c r="E530" s="1" t="s">
        <v>12869</v>
      </c>
      <c r="F530" s="1">
        <v>1050690.0</v>
      </c>
      <c r="G530" s="1">
        <v>49105.0</v>
      </c>
      <c r="H530" s="1">
        <v>2274.0</v>
      </c>
      <c r="I530" s="1">
        <v>5980000.0</v>
      </c>
      <c r="J530" s="1" t="s">
        <v>2468</v>
      </c>
      <c r="K530" s="5">
        <f t="shared" si="2"/>
        <v>0.1757006689</v>
      </c>
      <c r="L530" s="6">
        <f t="shared" si="3"/>
        <v>335</v>
      </c>
      <c r="M530" s="6">
        <f t="shared" si="4"/>
        <v>3136.38806</v>
      </c>
      <c r="N530" s="7">
        <f t="shared" si="5"/>
        <v>0.0005244796086</v>
      </c>
      <c r="O530" s="7"/>
      <c r="P530" s="4">
        <f t="shared" si="6"/>
        <v>-0.08010168729</v>
      </c>
      <c r="Q530" s="4">
        <f t="shared" si="7"/>
        <v>3</v>
      </c>
      <c r="R530" s="4">
        <f t="shared" si="8"/>
        <v>0</v>
      </c>
      <c r="S530" s="4">
        <f t="shared" si="9"/>
        <v>-0.08010168729</v>
      </c>
      <c r="T530" s="4">
        <f t="shared" si="10"/>
        <v>17</v>
      </c>
      <c r="U530" s="4">
        <f t="shared" si="1"/>
        <v>-0.08010168729</v>
      </c>
      <c r="V530" s="4"/>
    </row>
    <row r="531">
      <c r="A531" s="1" t="s">
        <v>13360</v>
      </c>
      <c r="B531" s="1" t="s">
        <v>13361</v>
      </c>
      <c r="C531" s="1" t="s">
        <v>13368</v>
      </c>
      <c r="D531" s="1" t="s">
        <v>12868</v>
      </c>
      <c r="E531" s="1" t="s">
        <v>12869</v>
      </c>
      <c r="F531" s="1">
        <v>1413139.0</v>
      </c>
      <c r="G531" s="1">
        <v>53590.0</v>
      </c>
      <c r="H531" s="1">
        <v>1661.0</v>
      </c>
      <c r="I531" s="1">
        <v>5980000.0</v>
      </c>
      <c r="J531" s="1" t="s">
        <v>2468</v>
      </c>
      <c r="K531" s="5">
        <f t="shared" si="2"/>
        <v>0.2363108696</v>
      </c>
      <c r="L531" s="6">
        <f t="shared" si="3"/>
        <v>356</v>
      </c>
      <c r="M531" s="6">
        <f t="shared" si="4"/>
        <v>3969.491573</v>
      </c>
      <c r="N531" s="7">
        <f t="shared" si="5"/>
        <v>0.0006637945774</v>
      </c>
      <c r="O531" s="7"/>
      <c r="P531" s="4">
        <f t="shared" si="6"/>
        <v>0.01802668152</v>
      </c>
      <c r="Q531" s="4">
        <f t="shared" si="7"/>
        <v>7</v>
      </c>
      <c r="R531" s="4">
        <f t="shared" si="8"/>
        <v>1</v>
      </c>
      <c r="S531" s="4">
        <f t="shared" si="9"/>
        <v>0.01802668152</v>
      </c>
      <c r="T531" s="4">
        <f t="shared" si="10"/>
        <v>32</v>
      </c>
      <c r="U531" s="4">
        <f t="shared" si="1"/>
        <v>0.01802668152</v>
      </c>
      <c r="V531" s="4"/>
    </row>
    <row r="532">
      <c r="A532" s="1" t="s">
        <v>13384</v>
      </c>
      <c r="B532" s="1" t="s">
        <v>13386</v>
      </c>
      <c r="C532" s="1" t="s">
        <v>13388</v>
      </c>
      <c r="D532" s="1" t="s">
        <v>12868</v>
      </c>
      <c r="E532" s="1" t="s">
        <v>12869</v>
      </c>
      <c r="F532" s="1">
        <v>421235.0</v>
      </c>
      <c r="G532" s="1">
        <v>19923.0</v>
      </c>
      <c r="H532" s="1">
        <v>823.0</v>
      </c>
      <c r="I532" s="1">
        <v>5980000.0</v>
      </c>
      <c r="J532" s="1" t="s">
        <v>2468</v>
      </c>
      <c r="K532" s="5">
        <f t="shared" si="2"/>
        <v>0.07044063545</v>
      </c>
      <c r="L532" s="6">
        <f t="shared" si="3"/>
        <v>363</v>
      </c>
      <c r="M532" s="6">
        <f t="shared" si="4"/>
        <v>1160.426997</v>
      </c>
      <c r="N532" s="7">
        <f t="shared" si="5"/>
        <v>0.0001940513373</v>
      </c>
      <c r="O532" s="7"/>
      <c r="P532" s="4">
        <f t="shared" si="6"/>
        <v>-0.3128432768</v>
      </c>
      <c r="Q532" s="4">
        <f t="shared" si="7"/>
        <v>5</v>
      </c>
      <c r="R532" s="4">
        <f t="shared" si="8"/>
        <v>0</v>
      </c>
      <c r="S532" s="4">
        <f t="shared" si="9"/>
        <v>-0.3128432768</v>
      </c>
      <c r="T532" s="4">
        <f t="shared" si="10"/>
        <v>22</v>
      </c>
      <c r="U532" s="4">
        <f t="shared" si="1"/>
        <v>-0.3128432768</v>
      </c>
      <c r="V532" s="4"/>
    </row>
    <row r="533">
      <c r="A533" s="1" t="s">
        <v>13402</v>
      </c>
      <c r="B533" s="1" t="s">
        <v>13404</v>
      </c>
      <c r="C533" s="1" t="s">
        <v>13406</v>
      </c>
      <c r="D533" s="1" t="s">
        <v>12868</v>
      </c>
      <c r="E533" s="1" t="s">
        <v>12869</v>
      </c>
      <c r="F533" s="1">
        <v>239561.0</v>
      </c>
      <c r="G533" s="1">
        <v>10115.0</v>
      </c>
      <c r="H533" s="1">
        <v>316.0</v>
      </c>
      <c r="I533" s="1">
        <v>5980000.0</v>
      </c>
      <c r="J533" s="1" t="s">
        <v>2468</v>
      </c>
      <c r="K533" s="5">
        <f t="shared" si="2"/>
        <v>0.04006036789</v>
      </c>
      <c r="L533" s="6">
        <f t="shared" si="3"/>
        <v>384</v>
      </c>
      <c r="M533" s="6">
        <f t="shared" si="4"/>
        <v>623.8567708</v>
      </c>
      <c r="N533" s="7">
        <f t="shared" si="5"/>
        <v>0.0001043238747</v>
      </c>
      <c r="O533" s="7"/>
      <c r="P533" s="4">
        <f t="shared" si="6"/>
        <v>-0.3760440198</v>
      </c>
      <c r="Q533" s="4">
        <f t="shared" si="7"/>
        <v>4</v>
      </c>
      <c r="R533" s="4">
        <f t="shared" si="8"/>
        <v>0</v>
      </c>
      <c r="S533" s="4">
        <f t="shared" si="9"/>
        <v>-0.3760440198</v>
      </c>
      <c r="T533" s="4">
        <f t="shared" si="10"/>
        <v>23</v>
      </c>
      <c r="U533" s="4">
        <f t="shared" si="1"/>
        <v>-0.3760440198</v>
      </c>
      <c r="V533" s="4"/>
    </row>
    <row r="534">
      <c r="A534" s="1" t="s">
        <v>13430</v>
      </c>
      <c r="B534" s="1" t="s">
        <v>13432</v>
      </c>
      <c r="C534" s="1" t="s">
        <v>13434</v>
      </c>
      <c r="D534" s="1" t="s">
        <v>12868</v>
      </c>
      <c r="E534" s="1" t="s">
        <v>12869</v>
      </c>
      <c r="F534" s="1">
        <v>688800.0</v>
      </c>
      <c r="G534" s="1">
        <v>35600.0</v>
      </c>
      <c r="H534" s="1">
        <v>1673.0</v>
      </c>
      <c r="I534" s="1">
        <v>5980000.0</v>
      </c>
      <c r="J534" s="1" t="s">
        <v>2468</v>
      </c>
      <c r="K534" s="5">
        <f t="shared" si="2"/>
        <v>0.1151839465</v>
      </c>
      <c r="L534" s="6">
        <f t="shared" si="3"/>
        <v>394</v>
      </c>
      <c r="M534" s="6">
        <f t="shared" si="4"/>
        <v>1748.22335</v>
      </c>
      <c r="N534" s="7">
        <f t="shared" si="5"/>
        <v>0.0002923450418</v>
      </c>
      <c r="O534" s="7"/>
      <c r="P534" s="4">
        <f t="shared" si="6"/>
        <v>-0.2436087862</v>
      </c>
      <c r="Q534" s="4">
        <f t="shared" si="7"/>
        <v>4</v>
      </c>
      <c r="R534" s="4">
        <f t="shared" si="8"/>
        <v>0</v>
      </c>
      <c r="S534" s="4">
        <f t="shared" si="9"/>
        <v>-0.2436087862</v>
      </c>
      <c r="T534" s="4">
        <f t="shared" si="10"/>
        <v>19</v>
      </c>
      <c r="U534" s="4">
        <f t="shared" si="1"/>
        <v>-0.2436087862</v>
      </c>
      <c r="V534" s="4"/>
    </row>
    <row r="535">
      <c r="A535" s="1" t="s">
        <v>13451</v>
      </c>
      <c r="B535" s="1" t="s">
        <v>13453</v>
      </c>
      <c r="C535" s="1" t="s">
        <v>13455</v>
      </c>
      <c r="D535" s="1" t="s">
        <v>12868</v>
      </c>
      <c r="E535" s="1" t="s">
        <v>12869</v>
      </c>
      <c r="F535" s="1">
        <v>1341635.0</v>
      </c>
      <c r="G535" s="1">
        <v>66943.0</v>
      </c>
      <c r="H535" s="1">
        <v>3136.0</v>
      </c>
      <c r="I535" s="1">
        <v>5980000.0</v>
      </c>
      <c r="J535" s="1" t="s">
        <v>2468</v>
      </c>
      <c r="K535" s="5">
        <f t="shared" si="2"/>
        <v>0.2243536789</v>
      </c>
      <c r="L535" s="6">
        <f t="shared" si="3"/>
        <v>412</v>
      </c>
      <c r="M535" s="6">
        <f t="shared" si="4"/>
        <v>3256.395631</v>
      </c>
      <c r="N535" s="7">
        <f t="shared" si="5"/>
        <v>0.0005445477644</v>
      </c>
      <c r="O535" s="7"/>
      <c r="P535" s="4">
        <f t="shared" si="6"/>
        <v>-0.06596641234</v>
      </c>
      <c r="Q535" s="4">
        <f t="shared" si="7"/>
        <v>4</v>
      </c>
      <c r="R535" s="4">
        <f t="shared" si="8"/>
        <v>0</v>
      </c>
      <c r="S535" s="4">
        <f t="shared" si="9"/>
        <v>-0.06596641234</v>
      </c>
      <c r="T535" s="4">
        <f t="shared" si="10"/>
        <v>21</v>
      </c>
      <c r="U535" s="4">
        <f t="shared" si="1"/>
        <v>-0.06596641234</v>
      </c>
      <c r="V535" s="4"/>
    </row>
    <row r="536">
      <c r="A536" s="1" t="s">
        <v>13474</v>
      </c>
      <c r="B536" s="1" t="s">
        <v>13475</v>
      </c>
      <c r="C536" s="1" t="s">
        <v>13477</v>
      </c>
      <c r="D536" s="1" t="s">
        <v>12868</v>
      </c>
      <c r="E536" s="1" t="s">
        <v>12869</v>
      </c>
      <c r="F536" s="1">
        <v>1973212.0</v>
      </c>
      <c r="G536" s="1">
        <v>114764.0</v>
      </c>
      <c r="H536" s="1">
        <v>3131.0</v>
      </c>
      <c r="I536" s="1">
        <v>5980000.0</v>
      </c>
      <c r="J536" s="1" t="s">
        <v>2468</v>
      </c>
      <c r="K536" s="5">
        <f t="shared" si="2"/>
        <v>0.3299685619</v>
      </c>
      <c r="L536" s="6">
        <f t="shared" si="3"/>
        <v>434</v>
      </c>
      <c r="M536" s="6">
        <f t="shared" si="4"/>
        <v>4546.571429</v>
      </c>
      <c r="N536" s="7">
        <f t="shared" si="5"/>
        <v>0.0007602962255</v>
      </c>
      <c r="O536" s="7"/>
      <c r="P536" s="4">
        <f t="shared" si="6"/>
        <v>0.08599891306</v>
      </c>
      <c r="Q536" s="4">
        <f t="shared" si="7"/>
        <v>4</v>
      </c>
      <c r="R536" s="4">
        <f t="shared" si="8"/>
        <v>0</v>
      </c>
      <c r="S536" s="4">
        <f t="shared" si="9"/>
        <v>0.08599891306</v>
      </c>
      <c r="T536" s="4">
        <f t="shared" si="10"/>
        <v>22</v>
      </c>
      <c r="U536" s="4">
        <f t="shared" si="1"/>
        <v>0.08599891306</v>
      </c>
      <c r="V536" s="4"/>
    </row>
    <row r="537">
      <c r="A537" s="1" t="s">
        <v>13493</v>
      </c>
      <c r="B537" s="1" t="s">
        <v>13495</v>
      </c>
      <c r="C537" s="1" t="s">
        <v>13497</v>
      </c>
      <c r="D537" s="1" t="s">
        <v>12868</v>
      </c>
      <c r="E537" s="1" t="s">
        <v>12869</v>
      </c>
      <c r="F537" s="1">
        <v>183522.0</v>
      </c>
      <c r="G537" s="1">
        <v>9904.0</v>
      </c>
      <c r="H537" s="1">
        <v>658.0</v>
      </c>
      <c r="I537" s="1">
        <v>5980000.0</v>
      </c>
      <c r="J537" s="1" t="s">
        <v>2468</v>
      </c>
      <c r="K537" s="5">
        <f t="shared" si="2"/>
        <v>0.03068929766</v>
      </c>
      <c r="L537" s="6">
        <f t="shared" si="3"/>
        <v>447</v>
      </c>
      <c r="M537" s="6">
        <f t="shared" si="4"/>
        <v>410.5637584</v>
      </c>
      <c r="N537" s="7">
        <f t="shared" si="5"/>
        <v>0.00006865614689</v>
      </c>
      <c r="O537" s="7"/>
      <c r="P537" s="4">
        <f t="shared" si="6"/>
        <v>-0.4011670628</v>
      </c>
      <c r="Q537" s="4">
        <f t="shared" si="7"/>
        <v>4</v>
      </c>
      <c r="R537" s="4">
        <f t="shared" si="8"/>
        <v>0</v>
      </c>
      <c r="S537" s="4">
        <f t="shared" si="9"/>
        <v>-0.4011670628</v>
      </c>
      <c r="T537" s="4">
        <f t="shared" si="10"/>
        <v>24</v>
      </c>
      <c r="U537" s="4">
        <f t="shared" si="1"/>
        <v>-0.4011670628</v>
      </c>
      <c r="V537" s="4"/>
    </row>
    <row r="538">
      <c r="A538" s="1" t="s">
        <v>13516</v>
      </c>
      <c r="B538" s="1" t="s">
        <v>13517</v>
      </c>
      <c r="C538" s="1" t="s">
        <v>13519</v>
      </c>
      <c r="D538" s="1" t="s">
        <v>12868</v>
      </c>
      <c r="E538" s="1" t="s">
        <v>12869</v>
      </c>
      <c r="F538" s="1">
        <v>434706.0</v>
      </c>
      <c r="G538" s="1">
        <v>19981.0</v>
      </c>
      <c r="H538" s="1">
        <v>961.0</v>
      </c>
      <c r="I538" s="1">
        <v>5980000.0</v>
      </c>
      <c r="J538" s="1" t="s">
        <v>2468</v>
      </c>
      <c r="K538" s="5">
        <f t="shared" si="2"/>
        <v>0.07269331104</v>
      </c>
      <c r="L538" s="6">
        <f t="shared" si="3"/>
        <v>552</v>
      </c>
      <c r="M538" s="6">
        <f t="shared" si="4"/>
        <v>787.5108696</v>
      </c>
      <c r="N538" s="7">
        <f t="shared" si="5"/>
        <v>0.0001316907809</v>
      </c>
      <c r="O538" s="7"/>
      <c r="P538" s="4">
        <f t="shared" si="6"/>
        <v>-0.356767772</v>
      </c>
      <c r="Q538" s="4">
        <f t="shared" si="7"/>
        <v>3</v>
      </c>
      <c r="R538" s="4">
        <f t="shared" si="8"/>
        <v>0</v>
      </c>
      <c r="S538" s="4">
        <f t="shared" si="9"/>
        <v>-0.356767772</v>
      </c>
      <c r="T538" s="4">
        <f t="shared" si="10"/>
        <v>21</v>
      </c>
      <c r="U538" s="4">
        <f t="shared" si="1"/>
        <v>-0.356767772</v>
      </c>
      <c r="V538" s="4"/>
    </row>
    <row r="539">
      <c r="A539" s="1" t="s">
        <v>13537</v>
      </c>
      <c r="B539" s="1" t="s">
        <v>13538</v>
      </c>
      <c r="C539" s="1" t="s">
        <v>13542</v>
      </c>
      <c r="D539" s="1" t="s">
        <v>12868</v>
      </c>
      <c r="E539" s="1" t="s">
        <v>12869</v>
      </c>
      <c r="F539" s="1">
        <v>57313.0</v>
      </c>
      <c r="G539" s="1">
        <v>1730.0</v>
      </c>
      <c r="H539" s="1">
        <v>32.0</v>
      </c>
      <c r="I539" s="1">
        <v>5980000.0</v>
      </c>
      <c r="J539" s="1" t="s">
        <v>2468</v>
      </c>
      <c r="K539" s="5">
        <f t="shared" si="2"/>
        <v>0.009584113712</v>
      </c>
      <c r="L539" s="6">
        <f t="shared" si="3"/>
        <v>646</v>
      </c>
      <c r="M539" s="6">
        <f t="shared" si="4"/>
        <v>88.71981424</v>
      </c>
      <c r="N539" s="7">
        <f t="shared" si="5"/>
        <v>0.00001483608934</v>
      </c>
      <c r="O539" s="7"/>
      <c r="P539" s="4">
        <f t="shared" si="6"/>
        <v>-0.439075943</v>
      </c>
      <c r="Q539" s="4">
        <f t="shared" si="7"/>
        <v>8</v>
      </c>
      <c r="R539" s="4">
        <f t="shared" si="8"/>
        <v>0</v>
      </c>
      <c r="S539" s="4">
        <f t="shared" si="9"/>
        <v>-0.439075943</v>
      </c>
      <c r="T539" s="4">
        <f t="shared" si="10"/>
        <v>35</v>
      </c>
      <c r="U539" s="4">
        <f t="shared" si="1"/>
        <v>-0.439075943</v>
      </c>
      <c r="V539" s="4"/>
    </row>
    <row r="540">
      <c r="A540" s="1" t="s">
        <v>13555</v>
      </c>
      <c r="B540" s="1" t="s">
        <v>13557</v>
      </c>
      <c r="C540" s="1" t="s">
        <v>13558</v>
      </c>
      <c r="D540" s="1" t="s">
        <v>12868</v>
      </c>
      <c r="E540" s="1" t="s">
        <v>12869</v>
      </c>
      <c r="F540" s="1">
        <v>270951.0</v>
      </c>
      <c r="G540" s="1">
        <v>13639.0</v>
      </c>
      <c r="H540" s="1">
        <v>705.0</v>
      </c>
      <c r="I540" s="1">
        <v>5980000.0</v>
      </c>
      <c r="J540" s="1" t="s">
        <v>2468</v>
      </c>
      <c r="K540" s="5">
        <f t="shared" si="2"/>
        <v>0.04530953177</v>
      </c>
      <c r="L540" s="6">
        <f t="shared" si="3"/>
        <v>650</v>
      </c>
      <c r="M540" s="6">
        <f t="shared" si="4"/>
        <v>416.8476923</v>
      </c>
      <c r="N540" s="7">
        <f t="shared" si="5"/>
        <v>0.00006970697196</v>
      </c>
      <c r="O540" s="7"/>
      <c r="P540" s="4">
        <f t="shared" si="6"/>
        <v>-0.4004269001</v>
      </c>
      <c r="Q540" s="4">
        <f t="shared" si="7"/>
        <v>7</v>
      </c>
      <c r="R540" s="4">
        <f t="shared" si="8"/>
        <v>0</v>
      </c>
      <c r="S540" s="4">
        <f t="shared" si="9"/>
        <v>-0.4004269001</v>
      </c>
      <c r="T540" s="4">
        <f t="shared" si="10"/>
        <v>40</v>
      </c>
      <c r="U540" s="4">
        <f t="shared" si="1"/>
        <v>-0.4004269001</v>
      </c>
      <c r="V540" s="4"/>
    </row>
    <row r="541">
      <c r="A541" s="1" t="s">
        <v>13572</v>
      </c>
      <c r="B541" s="1" t="s">
        <v>13574</v>
      </c>
      <c r="C541" s="1" t="s">
        <v>13575</v>
      </c>
      <c r="D541" s="1" t="s">
        <v>12868</v>
      </c>
      <c r="E541" s="1" t="s">
        <v>12869</v>
      </c>
      <c r="F541" s="1">
        <v>635039.0</v>
      </c>
      <c r="G541" s="1">
        <v>22264.0</v>
      </c>
      <c r="H541" s="1">
        <v>756.0</v>
      </c>
      <c r="I541" s="1">
        <v>5980000.0</v>
      </c>
      <c r="J541" s="1" t="s">
        <v>2468</v>
      </c>
      <c r="K541" s="5">
        <f t="shared" si="2"/>
        <v>0.1061938127</v>
      </c>
      <c r="L541" s="6">
        <f t="shared" si="3"/>
        <v>664</v>
      </c>
      <c r="M541" s="6">
        <f t="shared" si="4"/>
        <v>956.3840361</v>
      </c>
      <c r="N541" s="7">
        <f t="shared" si="5"/>
        <v>0.0001599304408</v>
      </c>
      <c r="O541" s="7"/>
      <c r="P541" s="4">
        <f t="shared" si="6"/>
        <v>-0.3368767884</v>
      </c>
      <c r="Q541" s="4">
        <f t="shared" si="7"/>
        <v>7</v>
      </c>
      <c r="R541" s="4">
        <f t="shared" si="8"/>
        <v>0</v>
      </c>
      <c r="S541" s="4">
        <f t="shared" si="9"/>
        <v>-0.3368767884</v>
      </c>
      <c r="T541" s="4">
        <f t="shared" si="10"/>
        <v>25</v>
      </c>
      <c r="U541" s="4">
        <f t="shared" si="1"/>
        <v>-0.3368767884</v>
      </c>
      <c r="V541" s="4"/>
    </row>
    <row r="542">
      <c r="A542" s="1" t="s">
        <v>13606</v>
      </c>
      <c r="B542" s="1" t="s">
        <v>13607</v>
      </c>
      <c r="C542" s="1" t="s">
        <v>13608</v>
      </c>
      <c r="D542" s="1" t="s">
        <v>12868</v>
      </c>
      <c r="E542" s="1" t="s">
        <v>12869</v>
      </c>
      <c r="F542" s="1">
        <v>113950.0</v>
      </c>
      <c r="G542" s="1">
        <v>6256.0</v>
      </c>
      <c r="H542" s="1">
        <v>253.0</v>
      </c>
      <c r="I542" s="1">
        <v>5980000.0</v>
      </c>
      <c r="J542" s="1" t="s">
        <v>2468</v>
      </c>
      <c r="K542" s="5">
        <f t="shared" si="2"/>
        <v>0.01905518395</v>
      </c>
      <c r="L542" s="6">
        <f t="shared" si="3"/>
        <v>671</v>
      </c>
      <c r="M542" s="6">
        <f t="shared" si="4"/>
        <v>169.8211624</v>
      </c>
      <c r="N542" s="7">
        <f t="shared" si="5"/>
        <v>0.0000283981877</v>
      </c>
      <c r="O542" s="7"/>
      <c r="P542" s="4">
        <f t="shared" si="6"/>
        <v>-0.4295232969</v>
      </c>
      <c r="Q542" s="4">
        <f t="shared" si="7"/>
        <v>7</v>
      </c>
      <c r="R542" s="4">
        <f t="shared" si="8"/>
        <v>0</v>
      </c>
      <c r="S542" s="4">
        <f t="shared" si="9"/>
        <v>-0.4295232969</v>
      </c>
      <c r="T542" s="4">
        <f t="shared" si="10"/>
        <v>29</v>
      </c>
      <c r="U542" s="4">
        <f t="shared" si="1"/>
        <v>-0.4295232969</v>
      </c>
      <c r="V542" s="4"/>
    </row>
    <row r="543">
      <c r="A543" s="1" t="s">
        <v>13627</v>
      </c>
      <c r="B543" s="1" t="s">
        <v>13629</v>
      </c>
      <c r="C543" s="1" t="s">
        <v>13631</v>
      </c>
      <c r="D543" s="1" t="s">
        <v>12868</v>
      </c>
      <c r="E543" s="1" t="s">
        <v>12869</v>
      </c>
      <c r="F543" s="1">
        <v>1847387.0</v>
      </c>
      <c r="G543" s="1">
        <v>66174.0</v>
      </c>
      <c r="H543" s="1">
        <v>2470.0</v>
      </c>
      <c r="I543" s="1">
        <v>5980000.0</v>
      </c>
      <c r="J543" s="1" t="s">
        <v>2468</v>
      </c>
      <c r="K543" s="5">
        <f t="shared" si="2"/>
        <v>0.308927592</v>
      </c>
      <c r="L543" s="6">
        <f t="shared" si="3"/>
        <v>701</v>
      </c>
      <c r="M543" s="6">
        <f t="shared" si="4"/>
        <v>2635.359486</v>
      </c>
      <c r="N543" s="7">
        <f t="shared" si="5"/>
        <v>0.0004406955663</v>
      </c>
      <c r="O543" s="7"/>
      <c r="P543" s="4">
        <f t="shared" si="6"/>
        <v>-0.1391161025</v>
      </c>
      <c r="Q543" s="4">
        <f t="shared" si="7"/>
        <v>5</v>
      </c>
      <c r="R543" s="4">
        <f t="shared" si="8"/>
        <v>0</v>
      </c>
      <c r="S543" s="4">
        <f t="shared" si="9"/>
        <v>-0.1391161025</v>
      </c>
      <c r="T543" s="4">
        <f t="shared" si="10"/>
        <v>20</v>
      </c>
      <c r="U543" s="4">
        <f t="shared" si="1"/>
        <v>-0.1391161025</v>
      </c>
      <c r="V543" s="4"/>
    </row>
    <row r="544">
      <c r="A544" s="1" t="s">
        <v>13653</v>
      </c>
      <c r="B544" s="1" t="s">
        <v>13654</v>
      </c>
      <c r="C544" s="1" t="s">
        <v>13655</v>
      </c>
      <c r="D544" s="1" t="s">
        <v>12868</v>
      </c>
      <c r="E544" s="1" t="s">
        <v>12869</v>
      </c>
      <c r="F544" s="1">
        <v>229774.0</v>
      </c>
      <c r="G544" s="1">
        <v>13345.0</v>
      </c>
      <c r="H544" s="1">
        <v>277.0</v>
      </c>
      <c r="I544" s="1">
        <v>5980000.0</v>
      </c>
      <c r="J544" s="1" t="s">
        <v>2468</v>
      </c>
      <c r="K544" s="5">
        <f t="shared" si="2"/>
        <v>0.03842374582</v>
      </c>
      <c r="L544" s="6">
        <f t="shared" si="3"/>
        <v>738</v>
      </c>
      <c r="M544" s="6">
        <f t="shared" si="4"/>
        <v>311.3468835</v>
      </c>
      <c r="N544" s="7">
        <f t="shared" si="5"/>
        <v>0.00005206469623</v>
      </c>
      <c r="O544" s="7"/>
      <c r="P544" s="4">
        <f t="shared" si="6"/>
        <v>-0.4128534739</v>
      </c>
      <c r="Q544" s="4">
        <f t="shared" si="7"/>
        <v>8</v>
      </c>
      <c r="R544" s="4">
        <f t="shared" si="8"/>
        <v>1</v>
      </c>
      <c r="S544" s="4">
        <f t="shared" si="9"/>
        <v>-0.4128534739</v>
      </c>
      <c r="T544" s="4">
        <f t="shared" si="10"/>
        <v>40</v>
      </c>
      <c r="U544" s="4">
        <f t="shared" si="1"/>
        <v>-0.4128534739</v>
      </c>
      <c r="V544" s="4"/>
    </row>
    <row r="545">
      <c r="A545" s="1" t="s">
        <v>13672</v>
      </c>
      <c r="B545" s="1" t="s">
        <v>13674</v>
      </c>
      <c r="C545" s="1" t="s">
        <v>13676</v>
      </c>
      <c r="D545" s="1" t="s">
        <v>12868</v>
      </c>
      <c r="E545" s="1" t="s">
        <v>12869</v>
      </c>
      <c r="F545" s="1">
        <v>686694.0</v>
      </c>
      <c r="G545" s="1">
        <v>36741.0</v>
      </c>
      <c r="H545" s="1">
        <v>792.0</v>
      </c>
      <c r="I545" s="1">
        <v>5980000.0</v>
      </c>
      <c r="J545" s="1" t="s">
        <v>2468</v>
      </c>
      <c r="K545" s="5">
        <f t="shared" si="2"/>
        <v>0.1148317726</v>
      </c>
      <c r="L545" s="6">
        <f t="shared" si="3"/>
        <v>771</v>
      </c>
      <c r="M545" s="6">
        <f t="shared" si="4"/>
        <v>890.6536965</v>
      </c>
      <c r="N545" s="7">
        <f t="shared" si="5"/>
        <v>0.0001489387452</v>
      </c>
      <c r="O545" s="7"/>
      <c r="P545" s="4">
        <f t="shared" si="6"/>
        <v>-0.3446189367</v>
      </c>
      <c r="Q545" s="4">
        <f t="shared" si="7"/>
        <v>4</v>
      </c>
      <c r="R545" s="4">
        <f t="shared" si="8"/>
        <v>0</v>
      </c>
      <c r="S545" s="4">
        <f t="shared" si="9"/>
        <v>-0.3446189367</v>
      </c>
      <c r="T545" s="4">
        <f t="shared" si="10"/>
        <v>25</v>
      </c>
      <c r="U545" s="4">
        <f t="shared" si="1"/>
        <v>-0.3446189367</v>
      </c>
      <c r="V545" s="4"/>
    </row>
    <row r="546">
      <c r="A546" s="1" t="s">
        <v>13692</v>
      </c>
      <c r="B546" s="1" t="s">
        <v>13693</v>
      </c>
      <c r="C546" s="1" t="s">
        <v>13694</v>
      </c>
      <c r="D546" s="1" t="s">
        <v>12868</v>
      </c>
      <c r="E546" s="1" t="s">
        <v>12869</v>
      </c>
      <c r="F546" s="1">
        <v>1441524.0</v>
      </c>
      <c r="G546" s="1">
        <v>24126.0</v>
      </c>
      <c r="H546" s="1">
        <v>1012.0</v>
      </c>
      <c r="I546" s="1">
        <v>5980000.0</v>
      </c>
      <c r="J546" s="1" t="s">
        <v>2468</v>
      </c>
      <c r="K546" s="5">
        <f t="shared" si="2"/>
        <v>0.2410575251</v>
      </c>
      <c r="L546" s="6">
        <f t="shared" si="3"/>
        <v>881</v>
      </c>
      <c r="M546" s="6">
        <f t="shared" si="4"/>
        <v>1636.236095</v>
      </c>
      <c r="N546" s="7">
        <f t="shared" si="5"/>
        <v>0.0002736180761</v>
      </c>
      <c r="O546" s="7"/>
      <c r="P546" s="4">
        <f t="shared" si="6"/>
        <v>-0.256799376</v>
      </c>
      <c r="Q546" s="4">
        <f t="shared" si="7"/>
        <v>6</v>
      </c>
      <c r="R546" s="4">
        <f t="shared" si="8"/>
        <v>1</v>
      </c>
      <c r="S546" s="4">
        <f t="shared" si="9"/>
        <v>-0.256799376</v>
      </c>
      <c r="T546" s="4">
        <f t="shared" si="10"/>
        <v>28</v>
      </c>
      <c r="U546" s="4">
        <f t="shared" si="1"/>
        <v>-0.256799376</v>
      </c>
      <c r="V546" s="4"/>
    </row>
    <row r="547">
      <c r="A547" s="1" t="s">
        <v>13709</v>
      </c>
      <c r="B547" s="1" t="s">
        <v>13711</v>
      </c>
      <c r="C547" s="1" t="s">
        <v>13712</v>
      </c>
      <c r="D547" s="1" t="s">
        <v>12868</v>
      </c>
      <c r="E547" s="1" t="s">
        <v>12869</v>
      </c>
      <c r="F547" s="1">
        <v>380414.0</v>
      </c>
      <c r="G547" s="1">
        <v>12703.0</v>
      </c>
      <c r="H547" s="1">
        <v>601.0</v>
      </c>
      <c r="I547" s="1">
        <v>5980000.0</v>
      </c>
      <c r="J547" s="1" t="s">
        <v>2468</v>
      </c>
      <c r="K547" s="5">
        <f t="shared" si="2"/>
        <v>0.06361438127</v>
      </c>
      <c r="L547" s="6">
        <f t="shared" si="3"/>
        <v>885</v>
      </c>
      <c r="M547" s="6">
        <f t="shared" si="4"/>
        <v>429.8463277</v>
      </c>
      <c r="N547" s="7">
        <f t="shared" si="5"/>
        <v>0.0000718806568</v>
      </c>
      <c r="O547" s="7"/>
      <c r="P547" s="4">
        <f t="shared" si="6"/>
        <v>-0.398895836</v>
      </c>
      <c r="Q547" s="4">
        <f t="shared" si="7"/>
        <v>7</v>
      </c>
      <c r="R547" s="4">
        <f t="shared" si="8"/>
        <v>1</v>
      </c>
      <c r="S547" s="4">
        <f t="shared" si="9"/>
        <v>-0.398895836</v>
      </c>
      <c r="T547" s="4">
        <f t="shared" si="10"/>
        <v>29</v>
      </c>
      <c r="U547" s="4">
        <f t="shared" si="1"/>
        <v>-0.398895836</v>
      </c>
      <c r="V547" s="4"/>
    </row>
    <row r="548">
      <c r="A548" s="1" t="s">
        <v>13735</v>
      </c>
      <c r="B548" s="1" t="s">
        <v>13737</v>
      </c>
      <c r="C548" s="1" t="s">
        <v>13739</v>
      </c>
      <c r="D548" s="1" t="s">
        <v>12868</v>
      </c>
      <c r="E548" s="1" t="s">
        <v>12869</v>
      </c>
      <c r="F548" s="1">
        <v>726631.0</v>
      </c>
      <c r="G548" s="1">
        <v>37556.0</v>
      </c>
      <c r="H548" s="1">
        <v>782.0</v>
      </c>
      <c r="I548" s="1">
        <v>5980000.0</v>
      </c>
      <c r="J548" s="1" t="s">
        <v>2468</v>
      </c>
      <c r="K548" s="5">
        <f t="shared" si="2"/>
        <v>0.1215102007</v>
      </c>
      <c r="L548" s="6">
        <f t="shared" si="3"/>
        <v>896</v>
      </c>
      <c r="M548" s="6">
        <f t="shared" si="4"/>
        <v>810.9720982</v>
      </c>
      <c r="N548" s="7">
        <f t="shared" si="5"/>
        <v>0.0001356140632</v>
      </c>
      <c r="O548" s="7"/>
      <c r="P548" s="4">
        <f t="shared" si="6"/>
        <v>-0.3540043554</v>
      </c>
      <c r="Q548" s="4">
        <f t="shared" si="7"/>
        <v>6</v>
      </c>
      <c r="R548" s="4">
        <f t="shared" si="8"/>
        <v>1</v>
      </c>
      <c r="S548" s="4">
        <f t="shared" si="9"/>
        <v>-0.3540043554</v>
      </c>
      <c r="T548" s="4">
        <f t="shared" si="10"/>
        <v>32</v>
      </c>
      <c r="U548" s="4">
        <f t="shared" si="1"/>
        <v>-0.3540043554</v>
      </c>
      <c r="V548" s="4"/>
    </row>
    <row r="549">
      <c r="A549" s="1" t="s">
        <v>13759</v>
      </c>
      <c r="B549" s="1" t="s">
        <v>13761</v>
      </c>
      <c r="C549" s="1" t="s">
        <v>13763</v>
      </c>
      <c r="D549" s="1" t="s">
        <v>12868</v>
      </c>
      <c r="E549" s="1" t="s">
        <v>12869</v>
      </c>
      <c r="F549" s="1">
        <v>590226.0</v>
      </c>
      <c r="G549" s="1">
        <v>28548.0</v>
      </c>
      <c r="H549" s="1">
        <v>748.0</v>
      </c>
      <c r="I549" s="1">
        <v>5980000.0</v>
      </c>
      <c r="J549" s="1" t="s">
        <v>2468</v>
      </c>
      <c r="K549" s="5">
        <f t="shared" si="2"/>
        <v>0.0987</v>
      </c>
      <c r="L549" s="6">
        <f t="shared" si="3"/>
        <v>988</v>
      </c>
      <c r="M549" s="6">
        <f t="shared" si="4"/>
        <v>597.3947368</v>
      </c>
      <c r="N549" s="7">
        <f t="shared" si="5"/>
        <v>0.00009989878543</v>
      </c>
      <c r="O549" s="7"/>
      <c r="P549" s="4">
        <f t="shared" si="6"/>
        <v>-0.3791608909</v>
      </c>
      <c r="Q549" s="4">
        <f t="shared" si="7"/>
        <v>6</v>
      </c>
      <c r="R549" s="4">
        <f t="shared" si="8"/>
        <v>1</v>
      </c>
      <c r="S549" s="4">
        <f t="shared" si="9"/>
        <v>-0.3791608909</v>
      </c>
      <c r="T549" s="4">
        <f t="shared" si="10"/>
        <v>25</v>
      </c>
      <c r="U549" s="4">
        <f t="shared" si="1"/>
        <v>-0.3791608909</v>
      </c>
      <c r="V549" s="4"/>
    </row>
    <row r="550">
      <c r="A550" s="1" t="s">
        <v>13781</v>
      </c>
      <c r="B550" s="1" t="s">
        <v>13782</v>
      </c>
      <c r="C550" s="1" t="s">
        <v>13783</v>
      </c>
      <c r="D550" s="1" t="s">
        <v>12868</v>
      </c>
      <c r="E550" s="1" t="s">
        <v>12869</v>
      </c>
      <c r="F550" s="1">
        <v>1383388.0</v>
      </c>
      <c r="G550" s="1">
        <v>38310.0</v>
      </c>
      <c r="H550" s="1">
        <v>1331.0</v>
      </c>
      <c r="I550" s="1">
        <v>5980000.0</v>
      </c>
      <c r="J550" s="1" t="s">
        <v>2468</v>
      </c>
      <c r="K550" s="5">
        <f t="shared" si="2"/>
        <v>0.231335786</v>
      </c>
      <c r="L550" s="6">
        <f t="shared" si="3"/>
        <v>995</v>
      </c>
      <c r="M550" s="6">
        <f t="shared" si="4"/>
        <v>1390.339698</v>
      </c>
      <c r="N550" s="7">
        <f t="shared" si="5"/>
        <v>0.0002324982773</v>
      </c>
      <c r="O550" s="7"/>
      <c r="P550" s="4">
        <f t="shared" si="6"/>
        <v>-0.2857626584</v>
      </c>
      <c r="Q550" s="4">
        <f t="shared" si="7"/>
        <v>5</v>
      </c>
      <c r="R550" s="4">
        <f t="shared" si="8"/>
        <v>0</v>
      </c>
      <c r="S550" s="4">
        <f t="shared" si="9"/>
        <v>-0.2857626584</v>
      </c>
      <c r="T550" s="4">
        <f t="shared" si="10"/>
        <v>22</v>
      </c>
      <c r="U550" s="4">
        <f t="shared" si="1"/>
        <v>-0.2857626584</v>
      </c>
      <c r="V550" s="4"/>
    </row>
    <row r="551">
      <c r="A551" s="1" t="s">
        <v>13807</v>
      </c>
      <c r="B551" s="1" t="s">
        <v>13809</v>
      </c>
      <c r="C551" s="1" t="s">
        <v>13811</v>
      </c>
      <c r="D551" s="1" t="s">
        <v>12868</v>
      </c>
      <c r="E551" s="1" t="s">
        <v>12869</v>
      </c>
      <c r="F551" s="1">
        <v>346371.0</v>
      </c>
      <c r="G551" s="1">
        <v>18039.0</v>
      </c>
      <c r="H551" s="1">
        <v>422.0</v>
      </c>
      <c r="I551" s="1">
        <v>5980000.0</v>
      </c>
      <c r="J551" s="1" t="s">
        <v>2468</v>
      </c>
      <c r="K551" s="5">
        <f t="shared" si="2"/>
        <v>0.05792157191</v>
      </c>
      <c r="L551" s="6">
        <f t="shared" si="3"/>
        <v>1002</v>
      </c>
      <c r="M551" s="6">
        <f t="shared" si="4"/>
        <v>345.6796407</v>
      </c>
      <c r="N551" s="7">
        <f t="shared" si="5"/>
        <v>0.00005780595999</v>
      </c>
      <c r="O551" s="7"/>
      <c r="P551" s="4">
        <f t="shared" si="6"/>
        <v>-0.4088095377</v>
      </c>
      <c r="Q551" s="4">
        <f t="shared" si="7"/>
        <v>6</v>
      </c>
      <c r="R551" s="4">
        <f t="shared" si="8"/>
        <v>1</v>
      </c>
      <c r="S551" s="4">
        <f t="shared" si="9"/>
        <v>-0.4088095377</v>
      </c>
      <c r="T551" s="4">
        <f t="shared" si="10"/>
        <v>19</v>
      </c>
      <c r="U551" s="4">
        <f t="shared" si="1"/>
        <v>-0.4088095377</v>
      </c>
      <c r="V551" s="4"/>
    </row>
    <row r="552">
      <c r="A552" s="1" t="s">
        <v>13822</v>
      </c>
      <c r="B552" s="1" t="s">
        <v>13823</v>
      </c>
      <c r="C552" s="1" t="s">
        <v>13824</v>
      </c>
      <c r="D552" s="1" t="s">
        <v>12868</v>
      </c>
      <c r="E552" s="1" t="s">
        <v>12869</v>
      </c>
      <c r="F552" s="1">
        <v>159039.0</v>
      </c>
      <c r="G552" s="1">
        <v>3472.0</v>
      </c>
      <c r="H552" s="1">
        <v>75.0</v>
      </c>
      <c r="I552" s="1">
        <v>5980000.0</v>
      </c>
      <c r="J552" s="1" t="s">
        <v>2468</v>
      </c>
      <c r="K552" s="5">
        <f t="shared" si="2"/>
        <v>0.0265951505</v>
      </c>
      <c r="L552" s="6">
        <f t="shared" si="3"/>
        <v>1009</v>
      </c>
      <c r="M552" s="6">
        <f t="shared" si="4"/>
        <v>157.6204163</v>
      </c>
      <c r="N552" s="7">
        <f t="shared" si="5"/>
        <v>0.00002635792914</v>
      </c>
      <c r="O552" s="7"/>
      <c r="P552" s="4">
        <f t="shared" si="6"/>
        <v>-0.4309603804</v>
      </c>
      <c r="Q552" s="4">
        <f t="shared" si="7"/>
        <v>10</v>
      </c>
      <c r="R552" s="4">
        <f t="shared" si="8"/>
        <v>1</v>
      </c>
      <c r="S552" s="4">
        <f t="shared" si="9"/>
        <v>-0.4309603804</v>
      </c>
      <c r="T552" s="4">
        <f t="shared" si="10"/>
        <v>53</v>
      </c>
      <c r="U552" s="4">
        <f t="shared" si="1"/>
        <v>-0.4309603804</v>
      </c>
      <c r="V552" s="4"/>
    </row>
    <row r="553">
      <c r="A553" s="1" t="s">
        <v>13836</v>
      </c>
      <c r="B553" s="1" t="s">
        <v>13838</v>
      </c>
      <c r="C553" s="1" t="s">
        <v>13839</v>
      </c>
      <c r="D553" s="1" t="s">
        <v>12868</v>
      </c>
      <c r="E553" s="1" t="s">
        <v>12869</v>
      </c>
      <c r="F553" s="1">
        <v>788041.0</v>
      </c>
      <c r="G553" s="1">
        <v>28029.0</v>
      </c>
      <c r="H553" s="1">
        <v>884.0</v>
      </c>
      <c r="I553" s="1">
        <v>5980000.0</v>
      </c>
      <c r="J553" s="1" t="s">
        <v>2468</v>
      </c>
      <c r="K553" s="5">
        <f t="shared" si="2"/>
        <v>0.1317794314</v>
      </c>
      <c r="L553" s="6">
        <f t="shared" si="3"/>
        <v>1177</v>
      </c>
      <c r="M553" s="6">
        <f t="shared" si="4"/>
        <v>669.5335599</v>
      </c>
      <c r="N553" s="7">
        <f t="shared" si="5"/>
        <v>0.0001119621338</v>
      </c>
      <c r="O553" s="7"/>
      <c r="P553" s="4">
        <f t="shared" si="6"/>
        <v>-0.3706639095</v>
      </c>
      <c r="Q553" s="4">
        <f t="shared" si="7"/>
        <v>6</v>
      </c>
      <c r="R553" s="4">
        <f t="shared" si="8"/>
        <v>0</v>
      </c>
      <c r="S553" s="4">
        <f t="shared" si="9"/>
        <v>-0.3706639095</v>
      </c>
      <c r="T553" s="4">
        <f t="shared" si="10"/>
        <v>33</v>
      </c>
      <c r="U553" s="4">
        <f t="shared" si="1"/>
        <v>-0.3706639095</v>
      </c>
      <c r="V553" s="4"/>
    </row>
    <row r="554">
      <c r="A554" s="1" t="s">
        <v>13858</v>
      </c>
      <c r="B554" s="1" t="s">
        <v>13859</v>
      </c>
      <c r="C554" s="1" t="s">
        <v>13861</v>
      </c>
      <c r="D554" s="1" t="s">
        <v>12868</v>
      </c>
      <c r="E554" s="1" t="s">
        <v>12869</v>
      </c>
      <c r="F554" s="1">
        <v>1123896.0</v>
      </c>
      <c r="G554" s="1">
        <v>43770.0</v>
      </c>
      <c r="H554" s="1">
        <v>1357.0</v>
      </c>
      <c r="I554" s="1">
        <v>5980000.0</v>
      </c>
      <c r="J554" s="1" t="s">
        <v>2468</v>
      </c>
      <c r="K554" s="5">
        <f t="shared" si="2"/>
        <v>0.1879424749</v>
      </c>
      <c r="L554" s="6">
        <f t="shared" si="3"/>
        <v>1351</v>
      </c>
      <c r="M554" s="6">
        <f t="shared" si="4"/>
        <v>831.8993338</v>
      </c>
      <c r="N554" s="7">
        <f t="shared" si="5"/>
        <v>0.000139113601</v>
      </c>
      <c r="O554" s="7"/>
      <c r="P554" s="4">
        <f t="shared" si="6"/>
        <v>-0.351539409</v>
      </c>
      <c r="Q554" s="4">
        <f t="shared" si="7"/>
        <v>4</v>
      </c>
      <c r="R554" s="4">
        <f t="shared" si="8"/>
        <v>0</v>
      </c>
      <c r="S554" s="4">
        <f t="shared" si="9"/>
        <v>-0.351539409</v>
      </c>
      <c r="T554" s="4">
        <f t="shared" si="10"/>
        <v>27</v>
      </c>
      <c r="U554" s="4">
        <f t="shared" si="1"/>
        <v>-0.351539409</v>
      </c>
      <c r="V554" s="4"/>
    </row>
    <row r="555">
      <c r="A555" s="1" t="s">
        <v>13885</v>
      </c>
      <c r="B555" s="1" t="s">
        <v>13886</v>
      </c>
      <c r="C555" s="1" t="s">
        <v>13888</v>
      </c>
      <c r="D555" s="1" t="s">
        <v>12868</v>
      </c>
      <c r="E555" s="1" t="s">
        <v>12869</v>
      </c>
      <c r="F555" s="1">
        <v>1593525.0</v>
      </c>
      <c r="G555" s="1">
        <v>61882.0</v>
      </c>
      <c r="H555" s="1">
        <v>1092.0</v>
      </c>
      <c r="I555" s="1">
        <v>5980000.0</v>
      </c>
      <c r="J555" s="1" t="s">
        <v>2468</v>
      </c>
      <c r="K555" s="5">
        <f t="shared" si="2"/>
        <v>0.2664757525</v>
      </c>
      <c r="L555" s="6">
        <f t="shared" si="3"/>
        <v>1372</v>
      </c>
      <c r="M555" s="6">
        <f t="shared" si="4"/>
        <v>1161.46137</v>
      </c>
      <c r="N555" s="7">
        <f t="shared" si="5"/>
        <v>0.0001942243094</v>
      </c>
      <c r="O555" s="7"/>
      <c r="P555" s="4">
        <f t="shared" si="6"/>
        <v>-0.3127214416</v>
      </c>
      <c r="Q555" s="4">
        <f t="shared" si="7"/>
        <v>5</v>
      </c>
      <c r="R555" s="4">
        <f t="shared" si="8"/>
        <v>0</v>
      </c>
      <c r="S555" s="4">
        <f t="shared" si="9"/>
        <v>-0.3127214416</v>
      </c>
      <c r="T555" s="4">
        <f t="shared" si="10"/>
        <v>25</v>
      </c>
      <c r="U555" s="4">
        <f t="shared" si="1"/>
        <v>-0.3127214416</v>
      </c>
      <c r="V555" s="4"/>
    </row>
    <row r="556">
      <c r="A556" s="1" t="s">
        <v>13906</v>
      </c>
      <c r="B556" s="1" t="s">
        <v>13907</v>
      </c>
      <c r="C556" s="1" t="s">
        <v>13909</v>
      </c>
      <c r="D556" s="1" t="s">
        <v>12868</v>
      </c>
      <c r="E556" s="1" t="s">
        <v>12869</v>
      </c>
      <c r="F556" s="1">
        <v>2402362.0</v>
      </c>
      <c r="G556" s="1">
        <v>94838.0</v>
      </c>
      <c r="H556" s="1">
        <v>3144.0</v>
      </c>
      <c r="I556" s="1">
        <v>5980000.0</v>
      </c>
      <c r="J556" s="1" t="s">
        <v>2468</v>
      </c>
      <c r="K556" s="5">
        <f t="shared" si="2"/>
        <v>0.4017327759</v>
      </c>
      <c r="L556" s="6">
        <f t="shared" si="3"/>
        <v>1420</v>
      </c>
      <c r="M556" s="6">
        <f t="shared" si="4"/>
        <v>1691.804225</v>
      </c>
      <c r="N556" s="7">
        <f t="shared" si="5"/>
        <v>0.0002829104056</v>
      </c>
      <c r="O556" s="7"/>
      <c r="P556" s="4">
        <f t="shared" si="6"/>
        <v>-0.250254199</v>
      </c>
      <c r="Q556" s="4">
        <f t="shared" si="7"/>
        <v>9</v>
      </c>
      <c r="R556" s="4">
        <f t="shared" si="8"/>
        <v>1</v>
      </c>
      <c r="S556" s="4">
        <f t="shared" si="9"/>
        <v>-0.250254199</v>
      </c>
      <c r="T556" s="4">
        <f t="shared" si="10"/>
        <v>40</v>
      </c>
      <c r="U556" s="4">
        <f t="shared" si="1"/>
        <v>-0.250254199</v>
      </c>
      <c r="V556" s="4"/>
    </row>
    <row r="557">
      <c r="A557" s="1" t="s">
        <v>13924</v>
      </c>
      <c r="B557" s="1" t="s">
        <v>13925</v>
      </c>
      <c r="C557" s="1" t="s">
        <v>13926</v>
      </c>
      <c r="D557" s="1" t="s">
        <v>12868</v>
      </c>
      <c r="E557" s="1" t="s">
        <v>12869</v>
      </c>
      <c r="F557" s="1">
        <v>1729005.0</v>
      </c>
      <c r="G557" s="1">
        <v>69470.0</v>
      </c>
      <c r="H557" s="1">
        <v>1836.0</v>
      </c>
      <c r="I557" s="1">
        <v>5980000.0</v>
      </c>
      <c r="J557" s="1" t="s">
        <v>2468</v>
      </c>
      <c r="K557" s="5">
        <f t="shared" si="2"/>
        <v>0.2891312709</v>
      </c>
      <c r="L557" s="6">
        <f t="shared" si="3"/>
        <v>1456</v>
      </c>
      <c r="M557" s="6">
        <f t="shared" si="4"/>
        <v>1187.503434</v>
      </c>
      <c r="N557" s="7">
        <f t="shared" si="5"/>
        <v>0.0001985791696</v>
      </c>
      <c r="O557" s="7"/>
      <c r="P557" s="4">
        <f t="shared" si="6"/>
        <v>-0.3096540373</v>
      </c>
      <c r="Q557" s="4">
        <f t="shared" si="7"/>
        <v>8</v>
      </c>
      <c r="R557" s="4">
        <f t="shared" si="8"/>
        <v>0</v>
      </c>
      <c r="S557" s="4">
        <f t="shared" si="9"/>
        <v>-0.3096540373</v>
      </c>
      <c r="T557" s="4">
        <f t="shared" si="10"/>
        <v>43</v>
      </c>
      <c r="U557" s="4">
        <f t="shared" si="1"/>
        <v>-0.3096540373</v>
      </c>
      <c r="V557" s="4"/>
    </row>
    <row r="558">
      <c r="A558" s="1" t="s">
        <v>13945</v>
      </c>
      <c r="B558" s="1" t="s">
        <v>13947</v>
      </c>
      <c r="C558" s="1" t="s">
        <v>13949</v>
      </c>
      <c r="D558" s="1" t="s">
        <v>12868</v>
      </c>
      <c r="E558" s="1" t="s">
        <v>12869</v>
      </c>
      <c r="F558" s="1">
        <v>1.3564218E7</v>
      </c>
      <c r="G558" s="1">
        <v>388433.0</v>
      </c>
      <c r="H558" s="1">
        <v>8527.0</v>
      </c>
      <c r="I558" s="1">
        <v>5980000.0</v>
      </c>
      <c r="J558" s="1" t="s">
        <v>2468</v>
      </c>
      <c r="K558" s="5">
        <f t="shared" si="2"/>
        <v>2.26826388</v>
      </c>
      <c r="L558" s="6">
        <f t="shared" si="3"/>
        <v>1463</v>
      </c>
      <c r="M558" s="6">
        <f t="shared" si="4"/>
        <v>9271.509228</v>
      </c>
      <c r="N558" s="7">
        <f t="shared" si="5"/>
        <v>0.001550419603</v>
      </c>
      <c r="O558" s="7"/>
      <c r="P558" s="4">
        <f t="shared" si="6"/>
        <v>0.642532923</v>
      </c>
      <c r="Q558" s="4">
        <f t="shared" si="7"/>
        <v>5</v>
      </c>
      <c r="R558" s="4">
        <f t="shared" si="8"/>
        <v>0</v>
      </c>
      <c r="S558" s="4">
        <f t="shared" si="9"/>
        <v>0.642532923</v>
      </c>
      <c r="T558" s="4">
        <f t="shared" si="10"/>
        <v>26</v>
      </c>
      <c r="U558" s="4">
        <f t="shared" si="1"/>
        <v>0.642532923</v>
      </c>
      <c r="V558" s="4"/>
    </row>
    <row r="559">
      <c r="A559" s="1" t="s">
        <v>13966</v>
      </c>
      <c r="B559" s="1" t="s">
        <v>13967</v>
      </c>
      <c r="C559" s="1" t="s">
        <v>13968</v>
      </c>
      <c r="D559" s="1" t="s">
        <v>12868</v>
      </c>
      <c r="E559" s="1" t="s">
        <v>12869</v>
      </c>
      <c r="F559" s="1">
        <v>872058.0</v>
      </c>
      <c r="G559" s="1">
        <v>54826.0</v>
      </c>
      <c r="H559" s="1">
        <v>2558.0</v>
      </c>
      <c r="I559" s="1">
        <v>5980000.0</v>
      </c>
      <c r="J559" s="1" t="s">
        <v>2468</v>
      </c>
      <c r="K559" s="5">
        <f t="shared" si="2"/>
        <v>0.145829097</v>
      </c>
      <c r="L559" s="6">
        <f t="shared" si="3"/>
        <v>1477</v>
      </c>
      <c r="M559" s="6">
        <f t="shared" si="4"/>
        <v>590.4251862</v>
      </c>
      <c r="N559" s="7">
        <f t="shared" si="5"/>
        <v>0.00009873330873</v>
      </c>
      <c r="O559" s="7"/>
      <c r="P559" s="4">
        <f t="shared" si="6"/>
        <v>-0.37998181</v>
      </c>
      <c r="Q559" s="4">
        <f t="shared" si="7"/>
        <v>10</v>
      </c>
      <c r="R559" s="4">
        <f t="shared" si="8"/>
        <v>1</v>
      </c>
      <c r="S559" s="4">
        <f t="shared" si="9"/>
        <v>-0.37998181</v>
      </c>
      <c r="T559" s="4">
        <f t="shared" si="10"/>
        <v>43</v>
      </c>
      <c r="U559" s="4">
        <f t="shared" si="1"/>
        <v>-0.37998181</v>
      </c>
      <c r="V559" s="4"/>
    </row>
    <row r="560">
      <c r="A560" s="1" t="s">
        <v>13987</v>
      </c>
      <c r="B560" s="1" t="s">
        <v>13988</v>
      </c>
      <c r="C560" s="1" t="s">
        <v>13989</v>
      </c>
      <c r="D560" s="1" t="s">
        <v>12868</v>
      </c>
      <c r="E560" s="1" t="s">
        <v>12869</v>
      </c>
      <c r="F560" s="1">
        <v>1819157.0</v>
      </c>
      <c r="G560" s="1">
        <v>73346.0</v>
      </c>
      <c r="H560" s="1">
        <v>3189.0</v>
      </c>
      <c r="I560" s="1">
        <v>5980000.0</v>
      </c>
      <c r="J560" s="1" t="s">
        <v>2468</v>
      </c>
      <c r="K560" s="5">
        <f t="shared" si="2"/>
        <v>0.3042068562</v>
      </c>
      <c r="L560" s="6">
        <f t="shared" si="3"/>
        <v>1491</v>
      </c>
      <c r="M560" s="6">
        <f t="shared" si="4"/>
        <v>1220.091885</v>
      </c>
      <c r="N560" s="7">
        <f t="shared" si="5"/>
        <v>0.0002040287433</v>
      </c>
      <c r="O560" s="7"/>
      <c r="P560" s="4">
        <f t="shared" si="6"/>
        <v>-0.305815557</v>
      </c>
      <c r="Q560" s="4">
        <f t="shared" si="7"/>
        <v>3</v>
      </c>
      <c r="R560" s="4">
        <f t="shared" si="8"/>
        <v>0</v>
      </c>
      <c r="S560" s="4">
        <f t="shared" si="9"/>
        <v>-0.305815557</v>
      </c>
      <c r="T560" s="4">
        <f t="shared" si="10"/>
        <v>19</v>
      </c>
      <c r="U560" s="4">
        <f t="shared" si="1"/>
        <v>-0.305815557</v>
      </c>
      <c r="V560" s="4"/>
    </row>
    <row r="561">
      <c r="A561" s="1" t="s">
        <v>14005</v>
      </c>
      <c r="B561" s="1" t="s">
        <v>14006</v>
      </c>
      <c r="C561" s="1" t="s">
        <v>14007</v>
      </c>
      <c r="D561" s="1" t="s">
        <v>12868</v>
      </c>
      <c r="E561" s="1" t="s">
        <v>12869</v>
      </c>
      <c r="F561" s="1">
        <v>335949.0</v>
      </c>
      <c r="G561" s="1">
        <v>16812.0</v>
      </c>
      <c r="H561" s="1">
        <v>431.0</v>
      </c>
      <c r="I561" s="1">
        <v>5980000.0</v>
      </c>
      <c r="J561" s="1" t="s">
        <v>2468</v>
      </c>
      <c r="K561" s="5">
        <f t="shared" si="2"/>
        <v>0.05617876254</v>
      </c>
      <c r="L561" s="6">
        <f t="shared" si="3"/>
        <v>1527</v>
      </c>
      <c r="M561" s="6">
        <f t="shared" si="4"/>
        <v>220.0058939</v>
      </c>
      <c r="N561" s="7">
        <f t="shared" si="5"/>
        <v>0.00003679028326</v>
      </c>
      <c r="O561" s="7"/>
      <c r="P561" s="4">
        <f t="shared" si="6"/>
        <v>-0.4236122117</v>
      </c>
      <c r="Q561" s="4">
        <f t="shared" si="7"/>
        <v>4</v>
      </c>
      <c r="R561" s="4">
        <f t="shared" si="8"/>
        <v>0</v>
      </c>
      <c r="S561" s="4">
        <f t="shared" si="9"/>
        <v>-0.4236122117</v>
      </c>
      <c r="T561" s="4">
        <f t="shared" si="10"/>
        <v>18</v>
      </c>
      <c r="U561" s="4">
        <f t="shared" si="1"/>
        <v>-0.4236122117</v>
      </c>
      <c r="V561" s="4"/>
    </row>
    <row r="562">
      <c r="A562" s="1" t="s">
        <v>14027</v>
      </c>
      <c r="B562" s="1" t="s">
        <v>14029</v>
      </c>
      <c r="C562" s="1" t="s">
        <v>14031</v>
      </c>
      <c r="D562" s="1" t="s">
        <v>12868</v>
      </c>
      <c r="E562" s="1" t="s">
        <v>12869</v>
      </c>
      <c r="F562" s="1">
        <v>241554.0</v>
      </c>
      <c r="G562" s="1">
        <v>14623.0</v>
      </c>
      <c r="H562" s="1">
        <v>387.0</v>
      </c>
      <c r="I562" s="1">
        <v>5980000.0</v>
      </c>
      <c r="J562" s="1" t="s">
        <v>2468</v>
      </c>
      <c r="K562" s="5">
        <f t="shared" si="2"/>
        <v>0.04039364548</v>
      </c>
      <c r="L562" s="6">
        <f t="shared" si="3"/>
        <v>1540</v>
      </c>
      <c r="M562" s="6">
        <f t="shared" si="4"/>
        <v>156.8532468</v>
      </c>
      <c r="N562" s="7">
        <f t="shared" si="5"/>
        <v>0.00002622963993</v>
      </c>
      <c r="O562" s="7"/>
      <c r="P562" s="4">
        <f t="shared" si="6"/>
        <v>-0.4310507427</v>
      </c>
      <c r="Q562" s="4">
        <f t="shared" si="7"/>
        <v>1</v>
      </c>
      <c r="R562" s="4">
        <f t="shared" si="8"/>
        <v>0</v>
      </c>
      <c r="S562" s="4">
        <f t="shared" si="9"/>
        <v>-0.4310507427</v>
      </c>
      <c r="T562" s="4">
        <f t="shared" si="10"/>
        <v>12</v>
      </c>
      <c r="U562" s="4">
        <f t="shared" si="1"/>
        <v>-0.4310507427</v>
      </c>
      <c r="V562" s="4"/>
    </row>
    <row r="563">
      <c r="A563" s="1" t="s">
        <v>14047</v>
      </c>
      <c r="B563" s="1" t="s">
        <v>14048</v>
      </c>
      <c r="C563" s="1" t="s">
        <v>14049</v>
      </c>
      <c r="D563" s="1" t="s">
        <v>12868</v>
      </c>
      <c r="E563" s="1" t="s">
        <v>12869</v>
      </c>
      <c r="F563" s="1">
        <v>528169.0</v>
      </c>
      <c r="G563" s="1">
        <v>30175.0</v>
      </c>
      <c r="H563" s="1">
        <v>687.0</v>
      </c>
      <c r="I563" s="1">
        <v>5980000.0</v>
      </c>
      <c r="J563" s="1" t="s">
        <v>2468</v>
      </c>
      <c r="K563" s="5">
        <f t="shared" si="2"/>
        <v>0.08832257525</v>
      </c>
      <c r="L563" s="6">
        <f t="shared" si="3"/>
        <v>1561</v>
      </c>
      <c r="M563" s="6">
        <f t="shared" si="4"/>
        <v>338.3529789</v>
      </c>
      <c r="N563" s="7">
        <f t="shared" si="5"/>
        <v>0.0000565807657</v>
      </c>
      <c r="O563" s="7"/>
      <c r="P563" s="4">
        <f t="shared" si="6"/>
        <v>-0.4096725197</v>
      </c>
      <c r="Q563" s="4">
        <f t="shared" si="7"/>
        <v>7</v>
      </c>
      <c r="R563" s="4">
        <f t="shared" si="8"/>
        <v>0</v>
      </c>
      <c r="S563" s="4">
        <f t="shared" si="9"/>
        <v>-0.4096725197</v>
      </c>
      <c r="T563" s="4">
        <f t="shared" si="10"/>
        <v>38</v>
      </c>
      <c r="U563" s="4">
        <f t="shared" si="1"/>
        <v>-0.4096725197</v>
      </c>
      <c r="V563" s="4"/>
    </row>
    <row r="564">
      <c r="A564" s="1" t="s">
        <v>14065</v>
      </c>
      <c r="B564" s="1" t="s">
        <v>14066</v>
      </c>
      <c r="C564" s="1" t="s">
        <v>14067</v>
      </c>
      <c r="D564" s="1" t="s">
        <v>12868</v>
      </c>
      <c r="E564" s="1" t="s">
        <v>12869</v>
      </c>
      <c r="F564" s="1">
        <v>525429.0</v>
      </c>
      <c r="G564" s="1">
        <v>32396.0</v>
      </c>
      <c r="H564" s="1">
        <v>1391.0</v>
      </c>
      <c r="I564" s="1">
        <v>5980000.0</v>
      </c>
      <c r="J564" s="1" t="s">
        <v>2468</v>
      </c>
      <c r="K564" s="5">
        <f t="shared" si="2"/>
        <v>0.08786438127</v>
      </c>
      <c r="L564" s="6">
        <f t="shared" si="3"/>
        <v>1716</v>
      </c>
      <c r="M564" s="6">
        <f t="shared" si="4"/>
        <v>306.1940559</v>
      </c>
      <c r="N564" s="7">
        <f t="shared" si="5"/>
        <v>0.00005120301939</v>
      </c>
      <c r="O564" s="7"/>
      <c r="P564" s="4">
        <f t="shared" si="6"/>
        <v>-0.4134604075</v>
      </c>
      <c r="Q564" s="4">
        <f t="shared" si="7"/>
        <v>6</v>
      </c>
      <c r="R564" s="4">
        <f t="shared" si="8"/>
        <v>1</v>
      </c>
      <c r="S564" s="4">
        <f t="shared" si="9"/>
        <v>-0.4134604075</v>
      </c>
      <c r="T564" s="4">
        <f t="shared" si="10"/>
        <v>27</v>
      </c>
      <c r="U564" s="4">
        <f t="shared" si="1"/>
        <v>-0.4134604075</v>
      </c>
      <c r="V564" s="4"/>
    </row>
    <row r="565">
      <c r="A565" s="1" t="s">
        <v>14092</v>
      </c>
      <c r="B565" s="1" t="s">
        <v>14093</v>
      </c>
      <c r="C565" s="1" t="s">
        <v>14095</v>
      </c>
      <c r="D565" s="1" t="s">
        <v>12868</v>
      </c>
      <c r="E565" s="1" t="s">
        <v>12869</v>
      </c>
      <c r="F565" s="1">
        <v>455949.0</v>
      </c>
      <c r="G565" s="1">
        <v>23870.0</v>
      </c>
      <c r="H565" s="1">
        <v>1498.0</v>
      </c>
      <c r="I565" s="1">
        <v>5980000.0</v>
      </c>
      <c r="J565" s="1" t="s">
        <v>2468</v>
      </c>
      <c r="K565" s="5">
        <f t="shared" si="2"/>
        <v>0.07624565217</v>
      </c>
      <c r="L565" s="6">
        <f t="shared" si="3"/>
        <v>1778</v>
      </c>
      <c r="M565" s="6">
        <f t="shared" si="4"/>
        <v>256.4392576</v>
      </c>
      <c r="N565" s="7">
        <f t="shared" si="5"/>
        <v>0.000042882819</v>
      </c>
      <c r="O565" s="7"/>
      <c r="P565" s="4">
        <f t="shared" si="6"/>
        <v>-0.4193208524</v>
      </c>
      <c r="Q565" s="4">
        <f t="shared" si="7"/>
        <v>6</v>
      </c>
      <c r="R565" s="4">
        <f t="shared" si="8"/>
        <v>0</v>
      </c>
      <c r="S565" s="4">
        <f t="shared" si="9"/>
        <v>-0.4193208524</v>
      </c>
      <c r="T565" s="4">
        <f t="shared" si="10"/>
        <v>31</v>
      </c>
      <c r="U565" s="4">
        <f t="shared" si="1"/>
        <v>-0.4193208524</v>
      </c>
      <c r="V565" s="4"/>
    </row>
    <row r="566">
      <c r="A566" s="1" t="s">
        <v>14111</v>
      </c>
      <c r="B566" s="1" t="s">
        <v>14113</v>
      </c>
      <c r="C566" s="1" t="s">
        <v>14115</v>
      </c>
      <c r="D566" s="1" t="s">
        <v>12868</v>
      </c>
      <c r="E566" s="1" t="s">
        <v>12869</v>
      </c>
      <c r="F566" s="1">
        <v>158948.0</v>
      </c>
      <c r="G566" s="1">
        <v>7002.0</v>
      </c>
      <c r="H566" s="1">
        <v>417.0</v>
      </c>
      <c r="I566" s="1">
        <v>5980000.0</v>
      </c>
      <c r="J566" s="1" t="s">
        <v>2468</v>
      </c>
      <c r="K566" s="5">
        <f t="shared" si="2"/>
        <v>0.02657993311</v>
      </c>
      <c r="L566" s="6">
        <f t="shared" si="3"/>
        <v>1791</v>
      </c>
      <c r="M566" s="6">
        <f t="shared" si="4"/>
        <v>88.74818537</v>
      </c>
      <c r="N566" s="7">
        <f t="shared" si="5"/>
        <v>0.00001484083367</v>
      </c>
      <c r="O566" s="7"/>
      <c r="P566" s="4">
        <f t="shared" si="6"/>
        <v>-0.4390726013</v>
      </c>
      <c r="Q566" s="4">
        <f t="shared" si="7"/>
        <v>5</v>
      </c>
      <c r="R566" s="4">
        <f t="shared" si="8"/>
        <v>0</v>
      </c>
      <c r="S566" s="4">
        <f t="shared" si="9"/>
        <v>-0.4390726013</v>
      </c>
      <c r="T566" s="4">
        <f t="shared" si="10"/>
        <v>19</v>
      </c>
      <c r="U566" s="4">
        <f t="shared" si="1"/>
        <v>-0.4390726013</v>
      </c>
      <c r="V566" s="4"/>
    </row>
    <row r="567">
      <c r="A567" s="1" t="s">
        <v>14137</v>
      </c>
      <c r="B567" s="1" t="s">
        <v>14138</v>
      </c>
      <c r="C567" s="1" t="s">
        <v>14140</v>
      </c>
      <c r="D567" s="1" t="s">
        <v>12868</v>
      </c>
      <c r="E567" s="1" t="s">
        <v>12869</v>
      </c>
      <c r="F567" s="1">
        <v>1526308.0</v>
      </c>
      <c r="G567" s="1">
        <v>60051.0</v>
      </c>
      <c r="H567" s="1">
        <v>2662.0</v>
      </c>
      <c r="I567" s="1">
        <v>5980000.0</v>
      </c>
      <c r="J567" s="1" t="s">
        <v>2468</v>
      </c>
      <c r="K567" s="5">
        <f t="shared" si="2"/>
        <v>0.2552354515</v>
      </c>
      <c r="L567" s="6">
        <f t="shared" si="3"/>
        <v>1842</v>
      </c>
      <c r="M567" s="6">
        <f t="shared" si="4"/>
        <v>828.6145494</v>
      </c>
      <c r="N567" s="7">
        <f t="shared" si="5"/>
        <v>0.0001385643059</v>
      </c>
      <c r="O567" s="7"/>
      <c r="P567" s="4">
        <f t="shared" si="6"/>
        <v>-0.3519263124</v>
      </c>
      <c r="Q567" s="4">
        <f t="shared" si="7"/>
        <v>5</v>
      </c>
      <c r="R567" s="4">
        <f t="shared" si="8"/>
        <v>0</v>
      </c>
      <c r="S567" s="4">
        <f t="shared" si="9"/>
        <v>-0.3519263124</v>
      </c>
      <c r="T567" s="4">
        <f t="shared" si="10"/>
        <v>22</v>
      </c>
      <c r="U567" s="4">
        <f t="shared" si="1"/>
        <v>-0.3519263124</v>
      </c>
      <c r="V567" s="4"/>
    </row>
    <row r="568">
      <c r="A568" s="1" t="s">
        <v>14152</v>
      </c>
      <c r="B568" s="1" t="s">
        <v>14153</v>
      </c>
      <c r="C568" s="1" t="s">
        <v>14155</v>
      </c>
      <c r="D568" s="1" t="s">
        <v>12868</v>
      </c>
      <c r="E568" s="1" t="s">
        <v>12869</v>
      </c>
      <c r="F568" s="1">
        <v>5660510.0</v>
      </c>
      <c r="G568" s="1">
        <v>269814.0</v>
      </c>
      <c r="H568" s="1">
        <v>7964.0</v>
      </c>
      <c r="I568" s="1">
        <v>5980000.0</v>
      </c>
      <c r="J568" s="1" t="s">
        <v>2468</v>
      </c>
      <c r="K568" s="5">
        <f t="shared" si="2"/>
        <v>0.9465735786</v>
      </c>
      <c r="L568" s="6">
        <f t="shared" si="3"/>
        <v>1933</v>
      </c>
      <c r="M568" s="6">
        <f t="shared" si="4"/>
        <v>2928.354889</v>
      </c>
      <c r="N568" s="7">
        <f t="shared" si="5"/>
        <v>0.000489691453</v>
      </c>
      <c r="O568" s="7"/>
      <c r="P568" s="4">
        <f t="shared" si="6"/>
        <v>-0.1046051918</v>
      </c>
      <c r="Q568" s="4">
        <f t="shared" si="7"/>
        <v>6</v>
      </c>
      <c r="R568" s="4">
        <f t="shared" si="8"/>
        <v>0</v>
      </c>
      <c r="S568" s="4">
        <f t="shared" si="9"/>
        <v>-0.1046051918</v>
      </c>
      <c r="T568" s="4">
        <f t="shared" si="10"/>
        <v>23</v>
      </c>
      <c r="U568" s="4">
        <f t="shared" si="1"/>
        <v>-0.1046051918</v>
      </c>
      <c r="V568" s="4"/>
    </row>
    <row r="569">
      <c r="A569" s="1" t="s">
        <v>14170</v>
      </c>
      <c r="B569" s="1" t="s">
        <v>14178</v>
      </c>
      <c r="C569" s="1" t="s">
        <v>14180</v>
      </c>
      <c r="D569" s="1" t="s">
        <v>12868</v>
      </c>
      <c r="E569" s="1" t="s">
        <v>12869</v>
      </c>
      <c r="F569" s="1">
        <v>546753.0</v>
      </c>
      <c r="G569" s="1">
        <v>27253.0</v>
      </c>
      <c r="H569" s="1">
        <v>673.0</v>
      </c>
      <c r="I569" s="1">
        <v>5980000.0</v>
      </c>
      <c r="J569" s="1" t="s">
        <v>2468</v>
      </c>
      <c r="K569" s="5">
        <f t="shared" si="2"/>
        <v>0.09143026756</v>
      </c>
      <c r="L569" s="6">
        <f t="shared" si="3"/>
        <v>1981</v>
      </c>
      <c r="M569" s="6">
        <f t="shared" si="4"/>
        <v>275.9984856</v>
      </c>
      <c r="N569" s="7">
        <f t="shared" si="5"/>
        <v>0.00004615359291</v>
      </c>
      <c r="O569" s="7"/>
      <c r="P569" s="4">
        <f t="shared" si="6"/>
        <v>-0.4170170389</v>
      </c>
      <c r="Q569" s="4">
        <f t="shared" si="7"/>
        <v>5</v>
      </c>
      <c r="R569" s="4">
        <f t="shared" si="8"/>
        <v>0</v>
      </c>
      <c r="S569" s="4">
        <f t="shared" si="9"/>
        <v>-0.4170170389</v>
      </c>
      <c r="T569" s="4">
        <f t="shared" si="10"/>
        <v>22</v>
      </c>
      <c r="U569" s="4">
        <f t="shared" si="1"/>
        <v>-0.4170170389</v>
      </c>
      <c r="V569" s="4"/>
    </row>
    <row r="570">
      <c r="A570" s="1" t="s">
        <v>14197</v>
      </c>
      <c r="B570" s="1" t="s">
        <v>14199</v>
      </c>
      <c r="C570" s="1" t="s">
        <v>14201</v>
      </c>
      <c r="D570" s="1" t="s">
        <v>12868</v>
      </c>
      <c r="E570" s="1" t="s">
        <v>12869</v>
      </c>
      <c r="F570" s="1">
        <v>521319.0</v>
      </c>
      <c r="G570" s="1">
        <v>31877.0</v>
      </c>
      <c r="H570" s="1">
        <v>835.0</v>
      </c>
      <c r="I570" s="1">
        <v>5980000.0</v>
      </c>
      <c r="J570" s="1" t="s">
        <v>2468</v>
      </c>
      <c r="K570" s="5">
        <f t="shared" si="2"/>
        <v>0.0871770903</v>
      </c>
      <c r="L570" s="6">
        <f t="shared" si="3"/>
        <v>1992</v>
      </c>
      <c r="M570" s="6">
        <f t="shared" si="4"/>
        <v>261.7063253</v>
      </c>
      <c r="N570" s="7">
        <f t="shared" si="5"/>
        <v>0.00004376359955</v>
      </c>
      <c r="O570" s="7"/>
      <c r="P570" s="4">
        <f t="shared" si="6"/>
        <v>-0.4187004628</v>
      </c>
      <c r="Q570" s="4">
        <f t="shared" si="7"/>
        <v>6</v>
      </c>
      <c r="R570" s="4">
        <f t="shared" si="8"/>
        <v>1</v>
      </c>
      <c r="S570" s="4">
        <f t="shared" si="9"/>
        <v>-0.4187004628</v>
      </c>
      <c r="T570" s="4">
        <f t="shared" si="10"/>
        <v>23</v>
      </c>
      <c r="U570" s="4">
        <f t="shared" si="1"/>
        <v>-0.4187004628</v>
      </c>
      <c r="V570" s="4"/>
    </row>
    <row r="571">
      <c r="A571" s="1" t="s">
        <v>14215</v>
      </c>
      <c r="B571" s="1" t="s">
        <v>14218</v>
      </c>
      <c r="C571" s="1" t="s">
        <v>14219</v>
      </c>
      <c r="D571" s="1" t="s">
        <v>12868</v>
      </c>
      <c r="E571" s="1" t="s">
        <v>12869</v>
      </c>
      <c r="F571" s="1">
        <v>952612.0</v>
      </c>
      <c r="G571" s="1">
        <v>59889.0</v>
      </c>
      <c r="H571" s="1">
        <v>2041.0</v>
      </c>
      <c r="I571" s="1">
        <v>5980000.0</v>
      </c>
      <c r="J571" s="1" t="s">
        <v>2468</v>
      </c>
      <c r="K571" s="5">
        <f t="shared" si="2"/>
        <v>0.1592996656</v>
      </c>
      <c r="L571" s="6">
        <f t="shared" si="3"/>
        <v>2011</v>
      </c>
      <c r="M571" s="6">
        <f t="shared" si="4"/>
        <v>473.7006464</v>
      </c>
      <c r="N571" s="7">
        <f t="shared" si="5"/>
        <v>0.00007921415492</v>
      </c>
      <c r="O571" s="7"/>
      <c r="P571" s="4">
        <f t="shared" si="6"/>
        <v>-0.3937303881</v>
      </c>
      <c r="Q571" s="4">
        <f t="shared" si="7"/>
        <v>5</v>
      </c>
      <c r="R571" s="4">
        <f t="shared" si="8"/>
        <v>0</v>
      </c>
      <c r="S571" s="4">
        <f t="shared" si="9"/>
        <v>-0.3937303881</v>
      </c>
      <c r="T571" s="4">
        <f t="shared" si="10"/>
        <v>25</v>
      </c>
      <c r="U571" s="4">
        <f t="shared" si="1"/>
        <v>-0.3937303881</v>
      </c>
      <c r="V571" s="4"/>
    </row>
    <row r="572">
      <c r="A572" s="1" t="s">
        <v>14238</v>
      </c>
      <c r="B572" s="1" t="s">
        <v>14239</v>
      </c>
      <c r="C572" s="1" t="s">
        <v>14241</v>
      </c>
      <c r="D572" s="1" t="s">
        <v>12868</v>
      </c>
      <c r="E572" s="1" t="s">
        <v>12869</v>
      </c>
      <c r="F572" s="1">
        <v>1831456.0</v>
      </c>
      <c r="G572" s="1">
        <v>76249.0</v>
      </c>
      <c r="H572" s="1">
        <v>2564.0</v>
      </c>
      <c r="I572" s="1">
        <v>5980000.0</v>
      </c>
      <c r="J572" s="1" t="s">
        <v>2468</v>
      </c>
      <c r="K572" s="5">
        <f t="shared" si="2"/>
        <v>0.3062635452</v>
      </c>
      <c r="L572" s="6">
        <f t="shared" si="3"/>
        <v>2023</v>
      </c>
      <c r="M572" s="6">
        <f t="shared" si="4"/>
        <v>905.3168562</v>
      </c>
      <c r="N572" s="7">
        <f t="shared" si="5"/>
        <v>0.0001513907786</v>
      </c>
      <c r="O572" s="7"/>
      <c r="P572" s="4">
        <f t="shared" si="6"/>
        <v>-0.3428918141</v>
      </c>
      <c r="Q572" s="4">
        <f t="shared" si="7"/>
        <v>8</v>
      </c>
      <c r="R572" s="4">
        <f t="shared" si="8"/>
        <v>0</v>
      </c>
      <c r="S572" s="4">
        <f t="shared" si="9"/>
        <v>-0.3428918141</v>
      </c>
      <c r="T572" s="4">
        <f t="shared" si="10"/>
        <v>46</v>
      </c>
      <c r="U572" s="4">
        <f t="shared" si="1"/>
        <v>-0.3428918141</v>
      </c>
      <c r="V572" s="4"/>
    </row>
    <row r="573">
      <c r="A573" s="1" t="s">
        <v>14258</v>
      </c>
      <c r="B573" s="1" t="s">
        <v>14260</v>
      </c>
      <c r="C573" s="1" t="s">
        <v>14262</v>
      </c>
      <c r="D573" s="1" t="s">
        <v>12868</v>
      </c>
      <c r="E573" s="1" t="s">
        <v>12869</v>
      </c>
      <c r="F573" s="1">
        <v>690872.0</v>
      </c>
      <c r="G573" s="1">
        <v>31239.0</v>
      </c>
      <c r="H573" s="1">
        <v>1651.0</v>
      </c>
      <c r="I573" s="1">
        <v>5980000.0</v>
      </c>
      <c r="J573" s="1" t="s">
        <v>2468</v>
      </c>
      <c r="K573" s="5">
        <f t="shared" si="2"/>
        <v>0.1155304348</v>
      </c>
      <c r="L573" s="6">
        <f t="shared" si="3"/>
        <v>2058</v>
      </c>
      <c r="M573" s="6">
        <f t="shared" si="4"/>
        <v>335.7006803</v>
      </c>
      <c r="N573" s="7">
        <f t="shared" si="5"/>
        <v>0.0000561372375</v>
      </c>
      <c r="O573" s="7"/>
      <c r="P573" s="4">
        <f t="shared" si="6"/>
        <v>-0.4099849247</v>
      </c>
      <c r="Q573" s="4">
        <f t="shared" si="7"/>
        <v>7</v>
      </c>
      <c r="R573" s="4">
        <f t="shared" si="8"/>
        <v>0</v>
      </c>
      <c r="S573" s="4">
        <f t="shared" si="9"/>
        <v>-0.4099849247</v>
      </c>
      <c r="T573" s="4">
        <f t="shared" si="10"/>
        <v>33</v>
      </c>
      <c r="U573" s="4">
        <f t="shared" si="1"/>
        <v>-0.4099849247</v>
      </c>
      <c r="V573" s="4"/>
    </row>
    <row r="574">
      <c r="A574" s="1" t="s">
        <v>14282</v>
      </c>
      <c r="B574" s="1" t="s">
        <v>14283</v>
      </c>
      <c r="C574" s="1" t="s">
        <v>14285</v>
      </c>
      <c r="D574" s="1" t="s">
        <v>12868</v>
      </c>
      <c r="E574" s="1" t="s">
        <v>12869</v>
      </c>
      <c r="F574" s="1">
        <v>1515512.0</v>
      </c>
      <c r="G574" s="1">
        <v>81363.0</v>
      </c>
      <c r="H574" s="1">
        <v>10844.0</v>
      </c>
      <c r="I574" s="1">
        <v>5980000.0</v>
      </c>
      <c r="J574" s="1" t="s">
        <v>2468</v>
      </c>
      <c r="K574" s="5">
        <f t="shared" si="2"/>
        <v>0.2534301003</v>
      </c>
      <c r="L574" s="6">
        <f t="shared" si="3"/>
        <v>2186</v>
      </c>
      <c r="M574" s="6">
        <f t="shared" si="4"/>
        <v>693.2808783</v>
      </c>
      <c r="N574" s="7">
        <f t="shared" si="5"/>
        <v>0.0001159332572</v>
      </c>
      <c r="O574" s="7"/>
      <c r="P574" s="4">
        <f t="shared" si="6"/>
        <v>-0.3678667954</v>
      </c>
      <c r="Q574" s="4">
        <f t="shared" si="7"/>
        <v>7</v>
      </c>
      <c r="R574" s="4">
        <f t="shared" si="8"/>
        <v>0</v>
      </c>
      <c r="S574" s="4">
        <f t="shared" si="9"/>
        <v>-0.3678667954</v>
      </c>
      <c r="T574" s="4">
        <f t="shared" si="10"/>
        <v>31</v>
      </c>
      <c r="U574" s="4">
        <f t="shared" si="1"/>
        <v>-0.3678667954</v>
      </c>
      <c r="V574" s="4"/>
    </row>
    <row r="575">
      <c r="A575" s="1" t="s">
        <v>14314</v>
      </c>
      <c r="B575" s="1" t="s">
        <v>14316</v>
      </c>
      <c r="C575" s="1" t="s">
        <v>14317</v>
      </c>
      <c r="D575" s="1" t="s">
        <v>12868</v>
      </c>
      <c r="E575" s="1" t="s">
        <v>12869</v>
      </c>
      <c r="F575" s="1">
        <v>2647769.0</v>
      </c>
      <c r="G575" s="1">
        <v>122572.0</v>
      </c>
      <c r="H575" s="1">
        <v>5902.0</v>
      </c>
      <c r="I575" s="1">
        <v>5980000.0</v>
      </c>
      <c r="J575" s="1" t="s">
        <v>2468</v>
      </c>
      <c r="K575" s="5">
        <f t="shared" si="2"/>
        <v>0.4427707358</v>
      </c>
      <c r="L575" s="6">
        <f t="shared" si="3"/>
        <v>2268</v>
      </c>
      <c r="M575" s="6">
        <f t="shared" si="4"/>
        <v>1167.446649</v>
      </c>
      <c r="N575" s="7">
        <f t="shared" si="5"/>
        <v>0.0001952251921</v>
      </c>
      <c r="O575" s="7"/>
      <c r="P575" s="4">
        <f t="shared" si="6"/>
        <v>-0.3120164564</v>
      </c>
      <c r="Q575" s="4">
        <f t="shared" si="7"/>
        <v>6</v>
      </c>
      <c r="R575" s="4">
        <f t="shared" si="8"/>
        <v>0</v>
      </c>
      <c r="S575" s="4">
        <f t="shared" si="9"/>
        <v>-0.3120164564</v>
      </c>
      <c r="T575" s="4">
        <f t="shared" si="10"/>
        <v>29</v>
      </c>
      <c r="U575" s="4">
        <f t="shared" si="1"/>
        <v>-0.3120164564</v>
      </c>
      <c r="V575" s="4"/>
    </row>
    <row r="576">
      <c r="A576" s="1" t="s">
        <v>14333</v>
      </c>
      <c r="B576" s="1" t="s">
        <v>14334</v>
      </c>
      <c r="C576" s="1" t="s">
        <v>14335</v>
      </c>
      <c r="D576" s="1" t="s">
        <v>12868</v>
      </c>
      <c r="E576" s="1" t="s">
        <v>12869</v>
      </c>
      <c r="F576" s="1">
        <v>6441182.0</v>
      </c>
      <c r="G576" s="1">
        <v>153943.0</v>
      </c>
      <c r="H576" s="1">
        <v>15513.0</v>
      </c>
      <c r="I576" s="1">
        <v>5980000.0</v>
      </c>
      <c r="J576" s="1" t="s">
        <v>2468</v>
      </c>
      <c r="K576" s="5">
        <f t="shared" si="2"/>
        <v>1.077120736</v>
      </c>
      <c r="L576" s="6">
        <f t="shared" si="3"/>
        <v>2351</v>
      </c>
      <c r="M576" s="6">
        <f t="shared" si="4"/>
        <v>2739.762654</v>
      </c>
      <c r="N576" s="7">
        <f t="shared" si="5"/>
        <v>0.00045815429</v>
      </c>
      <c r="O576" s="7"/>
      <c r="P576" s="4">
        <f t="shared" si="6"/>
        <v>-0.126818816</v>
      </c>
      <c r="Q576" s="4">
        <f t="shared" si="7"/>
        <v>7</v>
      </c>
      <c r="R576" s="4">
        <f t="shared" si="8"/>
        <v>0</v>
      </c>
      <c r="S576" s="4">
        <f t="shared" si="9"/>
        <v>-0.126818816</v>
      </c>
      <c r="T576" s="4">
        <f t="shared" si="10"/>
        <v>30</v>
      </c>
      <c r="U576" s="4">
        <f t="shared" si="1"/>
        <v>-0.126818816</v>
      </c>
      <c r="V576" s="4"/>
    </row>
    <row r="577">
      <c r="A577" s="1" t="s">
        <v>14353</v>
      </c>
      <c r="B577" s="1" t="s">
        <v>14355</v>
      </c>
      <c r="C577" s="1" t="s">
        <v>14357</v>
      </c>
      <c r="D577" s="1" t="s">
        <v>12868</v>
      </c>
      <c r="E577" s="1" t="s">
        <v>12869</v>
      </c>
      <c r="F577" s="1">
        <v>1402897.0</v>
      </c>
      <c r="G577" s="1">
        <v>51973.0</v>
      </c>
      <c r="H577" s="1">
        <v>2497.0</v>
      </c>
      <c r="I577" s="1">
        <v>5980000.0</v>
      </c>
      <c r="J577" s="1" t="s">
        <v>2468</v>
      </c>
      <c r="K577" s="5">
        <f t="shared" si="2"/>
        <v>0.2345981605</v>
      </c>
      <c r="L577" s="6">
        <f t="shared" si="3"/>
        <v>2381</v>
      </c>
      <c r="M577" s="6">
        <f t="shared" si="4"/>
        <v>589.2049559</v>
      </c>
      <c r="N577" s="7">
        <f t="shared" si="5"/>
        <v>0.00009852925684</v>
      </c>
      <c r="O577" s="7"/>
      <c r="P577" s="4">
        <f t="shared" si="6"/>
        <v>-0.3801255367</v>
      </c>
      <c r="Q577" s="4">
        <f t="shared" si="7"/>
        <v>13</v>
      </c>
      <c r="R577" s="4">
        <f t="shared" si="8"/>
        <v>0</v>
      </c>
      <c r="S577" s="4">
        <f t="shared" si="9"/>
        <v>-0.3801255367</v>
      </c>
      <c r="T577" s="4">
        <f t="shared" si="10"/>
        <v>55</v>
      </c>
      <c r="U577" s="4">
        <f t="shared" si="1"/>
        <v>-0.3801255367</v>
      </c>
      <c r="V577" s="4"/>
    </row>
    <row r="578">
      <c r="A578" s="1" t="s">
        <v>14373</v>
      </c>
      <c r="B578" s="1" t="s">
        <v>14375</v>
      </c>
      <c r="C578" s="1" t="s">
        <v>14376</v>
      </c>
      <c r="D578" s="1" t="s">
        <v>12868</v>
      </c>
      <c r="E578" s="1" t="s">
        <v>12869</v>
      </c>
      <c r="F578" s="1">
        <v>641390.0</v>
      </c>
      <c r="G578" s="1">
        <v>31294.0</v>
      </c>
      <c r="H578" s="1">
        <v>1107.0</v>
      </c>
      <c r="I578" s="1">
        <v>5980000.0</v>
      </c>
      <c r="J578" s="1" t="s">
        <v>2468</v>
      </c>
      <c r="K578" s="5">
        <f t="shared" si="2"/>
        <v>0.1072558528</v>
      </c>
      <c r="L578" s="6">
        <f t="shared" si="3"/>
        <v>2449</v>
      </c>
      <c r="M578" s="6">
        <f t="shared" si="4"/>
        <v>261.8987342</v>
      </c>
      <c r="N578" s="7">
        <f t="shared" si="5"/>
        <v>0.00004379577495</v>
      </c>
      <c r="O578" s="7"/>
      <c r="P578" s="4">
        <f t="shared" si="6"/>
        <v>-0.4186777996</v>
      </c>
      <c r="Q578" s="4">
        <f t="shared" si="7"/>
        <v>4</v>
      </c>
      <c r="R578" s="4">
        <f t="shared" si="8"/>
        <v>0</v>
      </c>
      <c r="S578" s="4">
        <f t="shared" si="9"/>
        <v>-0.4186777996</v>
      </c>
      <c r="T578" s="4">
        <f t="shared" si="10"/>
        <v>26</v>
      </c>
      <c r="U578" s="4">
        <f t="shared" si="1"/>
        <v>-0.4186777996</v>
      </c>
      <c r="V578" s="4"/>
    </row>
    <row r="579">
      <c r="A579" s="1" t="s">
        <v>14392</v>
      </c>
      <c r="B579" s="1" t="s">
        <v>14394</v>
      </c>
      <c r="C579" s="1" t="s">
        <v>14396</v>
      </c>
      <c r="D579" s="1" t="s">
        <v>12868</v>
      </c>
      <c r="E579" s="1" t="s">
        <v>12869</v>
      </c>
      <c r="F579" s="1">
        <v>942617.0</v>
      </c>
      <c r="G579" s="1">
        <v>46981.0</v>
      </c>
      <c r="H579" s="1">
        <v>1131.0</v>
      </c>
      <c r="I579" s="1">
        <v>5980000.0</v>
      </c>
      <c r="J579" s="1" t="s">
        <v>2468</v>
      </c>
      <c r="K579" s="5">
        <f t="shared" si="2"/>
        <v>0.1576282609</v>
      </c>
      <c r="L579" s="6">
        <f t="shared" si="3"/>
        <v>2463</v>
      </c>
      <c r="M579" s="6">
        <f t="shared" si="4"/>
        <v>382.7109216</v>
      </c>
      <c r="N579" s="7">
        <f t="shared" si="5"/>
        <v>0.00006399848188</v>
      </c>
      <c r="O579" s="7"/>
      <c r="P579" s="4">
        <f t="shared" si="6"/>
        <v>-0.4044477517</v>
      </c>
      <c r="Q579" s="4">
        <f t="shared" si="7"/>
        <v>12</v>
      </c>
      <c r="R579" s="4">
        <f t="shared" si="8"/>
        <v>1</v>
      </c>
      <c r="S579" s="4">
        <f t="shared" si="9"/>
        <v>-0.4044477517</v>
      </c>
      <c r="T579" s="4">
        <f t="shared" si="10"/>
        <v>41</v>
      </c>
      <c r="U579" s="4">
        <f t="shared" si="1"/>
        <v>-0.4044477517</v>
      </c>
      <c r="V579" s="4"/>
    </row>
    <row r="580">
      <c r="A580" s="1" t="s">
        <v>14416</v>
      </c>
      <c r="B580" s="1" t="s">
        <v>14417</v>
      </c>
      <c r="C580" s="1" t="s">
        <v>14418</v>
      </c>
      <c r="D580" s="1" t="s">
        <v>12868</v>
      </c>
      <c r="E580" s="1" t="s">
        <v>12869</v>
      </c>
      <c r="F580" s="1">
        <v>616737.0</v>
      </c>
      <c r="G580" s="1">
        <v>25035.0</v>
      </c>
      <c r="H580" s="1">
        <v>938.0</v>
      </c>
      <c r="I580" s="1">
        <v>5980000.0</v>
      </c>
      <c r="J580" s="1" t="s">
        <v>2468</v>
      </c>
      <c r="K580" s="5">
        <f t="shared" si="2"/>
        <v>0.1031332776</v>
      </c>
      <c r="L580" s="6">
        <f t="shared" si="3"/>
        <v>2493</v>
      </c>
      <c r="M580" s="6">
        <f t="shared" si="4"/>
        <v>247.387485</v>
      </c>
      <c r="N580" s="7">
        <f t="shared" si="5"/>
        <v>0.00004136914464</v>
      </c>
      <c r="O580" s="7"/>
      <c r="P580" s="4">
        <f t="shared" si="6"/>
        <v>-0.4203870292</v>
      </c>
      <c r="Q580" s="4">
        <f t="shared" si="7"/>
        <v>4</v>
      </c>
      <c r="R580" s="4">
        <f t="shared" si="8"/>
        <v>1</v>
      </c>
      <c r="S580" s="4">
        <f t="shared" si="9"/>
        <v>-0.4203870292</v>
      </c>
      <c r="T580" s="4">
        <f t="shared" si="10"/>
        <v>20</v>
      </c>
      <c r="U580" s="4">
        <f t="shared" si="1"/>
        <v>-0.4203870292</v>
      </c>
      <c r="V580" s="4"/>
    </row>
    <row r="581">
      <c r="A581" s="1" t="s">
        <v>14438</v>
      </c>
      <c r="B581" s="1" t="s">
        <v>14440</v>
      </c>
      <c r="C581" s="1" t="s">
        <v>14442</v>
      </c>
      <c r="D581" s="1" t="s">
        <v>12868</v>
      </c>
      <c r="E581" s="1" t="s">
        <v>12869</v>
      </c>
      <c r="F581" s="1">
        <v>1529397.0</v>
      </c>
      <c r="G581" s="1">
        <v>59558.0</v>
      </c>
      <c r="H581" s="1">
        <v>2203.0</v>
      </c>
      <c r="I581" s="1">
        <v>5980000.0</v>
      </c>
      <c r="J581" s="1" t="s">
        <v>2468</v>
      </c>
      <c r="K581" s="5">
        <f t="shared" si="2"/>
        <v>0.2557520067</v>
      </c>
      <c r="L581" s="6">
        <f t="shared" si="3"/>
        <v>2515</v>
      </c>
      <c r="M581" s="6">
        <f t="shared" si="4"/>
        <v>608.1101392</v>
      </c>
      <c r="N581" s="7">
        <f t="shared" si="5"/>
        <v>0.0001016906587</v>
      </c>
      <c r="O581" s="7"/>
      <c r="P581" s="4">
        <f t="shared" si="6"/>
        <v>-0.3778987609</v>
      </c>
      <c r="Q581" s="4">
        <f t="shared" si="7"/>
        <v>5</v>
      </c>
      <c r="R581" s="4">
        <f t="shared" si="8"/>
        <v>0</v>
      </c>
      <c r="S581" s="4">
        <f t="shared" si="9"/>
        <v>-0.3778987609</v>
      </c>
      <c r="T581" s="4">
        <f t="shared" si="10"/>
        <v>25</v>
      </c>
      <c r="U581" s="4">
        <f t="shared" si="1"/>
        <v>-0.3778987609</v>
      </c>
      <c r="V581" s="4"/>
    </row>
    <row r="582">
      <c r="A582" s="1" t="s">
        <v>14455</v>
      </c>
      <c r="B582" s="1" t="s">
        <v>14457</v>
      </c>
      <c r="C582" s="1" t="s">
        <v>14459</v>
      </c>
      <c r="D582" s="1" t="s">
        <v>12868</v>
      </c>
      <c r="E582" s="1" t="s">
        <v>12869</v>
      </c>
      <c r="F582" s="1">
        <v>326685.0</v>
      </c>
      <c r="G582" s="1">
        <v>10318.0</v>
      </c>
      <c r="H582" s="1">
        <v>880.0</v>
      </c>
      <c r="I582" s="1">
        <v>5980000.0</v>
      </c>
      <c r="J582" s="1" t="s">
        <v>2468</v>
      </c>
      <c r="K582" s="5">
        <f t="shared" si="2"/>
        <v>0.05462959866</v>
      </c>
      <c r="L582" s="6">
        <f t="shared" si="3"/>
        <v>2539</v>
      </c>
      <c r="M582" s="6">
        <f t="shared" si="4"/>
        <v>128.666798</v>
      </c>
      <c r="N582" s="7">
        <f t="shared" si="5"/>
        <v>0.00002151618695</v>
      </c>
      <c r="O582" s="7"/>
      <c r="P582" s="4">
        <f t="shared" si="6"/>
        <v>-0.4343707265</v>
      </c>
      <c r="Q582" s="4">
        <f t="shared" si="7"/>
        <v>6</v>
      </c>
      <c r="R582" s="4">
        <f t="shared" si="8"/>
        <v>0</v>
      </c>
      <c r="S582" s="4">
        <f t="shared" si="9"/>
        <v>-0.4343707265</v>
      </c>
      <c r="T582" s="4">
        <f t="shared" si="10"/>
        <v>25</v>
      </c>
      <c r="U582" s="4">
        <f t="shared" si="1"/>
        <v>-0.4343707265</v>
      </c>
      <c r="V582" s="4"/>
    </row>
    <row r="583">
      <c r="A583" s="1" t="s">
        <v>14473</v>
      </c>
      <c r="B583" s="1" t="s">
        <v>14474</v>
      </c>
      <c r="C583" s="1" t="s">
        <v>14476</v>
      </c>
      <c r="D583" s="1" t="s">
        <v>12868</v>
      </c>
      <c r="E583" s="1" t="s">
        <v>12869</v>
      </c>
      <c r="F583" s="1">
        <v>450474.0</v>
      </c>
      <c r="G583" s="1">
        <v>19164.0</v>
      </c>
      <c r="H583" s="1">
        <v>811.0</v>
      </c>
      <c r="I583" s="1">
        <v>5980000.0</v>
      </c>
      <c r="J583" s="1" t="s">
        <v>2468</v>
      </c>
      <c r="K583" s="5">
        <f t="shared" si="2"/>
        <v>0.07533010033</v>
      </c>
      <c r="L583" s="6">
        <f t="shared" si="3"/>
        <v>2548</v>
      </c>
      <c r="M583" s="6">
        <f t="shared" si="4"/>
        <v>176.7951334</v>
      </c>
      <c r="N583" s="7">
        <f t="shared" si="5"/>
        <v>0.00002956440358</v>
      </c>
      <c r="O583" s="7"/>
      <c r="P583" s="4">
        <f t="shared" si="6"/>
        <v>-0.4287018571</v>
      </c>
      <c r="Q583" s="4">
        <f t="shared" si="7"/>
        <v>8</v>
      </c>
      <c r="R583" s="4">
        <f t="shared" si="8"/>
        <v>0</v>
      </c>
      <c r="S583" s="4">
        <f t="shared" si="9"/>
        <v>-0.4287018571</v>
      </c>
      <c r="T583" s="4">
        <f t="shared" si="10"/>
        <v>45</v>
      </c>
      <c r="U583" s="4">
        <f t="shared" si="1"/>
        <v>-0.4287018571</v>
      </c>
      <c r="V583" s="4"/>
    </row>
    <row r="584">
      <c r="A584" s="1" t="s">
        <v>14500</v>
      </c>
      <c r="B584" s="1" t="s">
        <v>14502</v>
      </c>
      <c r="C584" s="1" t="s">
        <v>14504</v>
      </c>
      <c r="D584" s="1" t="s">
        <v>12868</v>
      </c>
      <c r="E584" s="1" t="s">
        <v>12869</v>
      </c>
      <c r="F584" s="1">
        <v>1952166.0</v>
      </c>
      <c r="G584" s="1">
        <v>85947.0</v>
      </c>
      <c r="H584" s="1">
        <v>2490.0</v>
      </c>
      <c r="I584" s="1">
        <v>5980000.0</v>
      </c>
      <c r="J584" s="1" t="s">
        <v>2468</v>
      </c>
      <c r="K584" s="5">
        <f t="shared" si="2"/>
        <v>0.3264491639</v>
      </c>
      <c r="L584" s="6">
        <f t="shared" si="3"/>
        <v>2561</v>
      </c>
      <c r="M584" s="6">
        <f t="shared" si="4"/>
        <v>762.2670832</v>
      </c>
      <c r="N584" s="7">
        <f t="shared" si="5"/>
        <v>0.0001274694119</v>
      </c>
      <c r="O584" s="7"/>
      <c r="P584" s="4">
        <f t="shared" si="6"/>
        <v>-0.3597411499</v>
      </c>
      <c r="Q584" s="4">
        <f t="shared" si="7"/>
        <v>8</v>
      </c>
      <c r="R584" s="4">
        <f t="shared" si="8"/>
        <v>0</v>
      </c>
      <c r="S584" s="4">
        <f t="shared" si="9"/>
        <v>-0.3597411499</v>
      </c>
      <c r="T584" s="4">
        <f t="shared" si="10"/>
        <v>28</v>
      </c>
      <c r="U584" s="4">
        <f t="shared" si="1"/>
        <v>-0.3597411499</v>
      </c>
      <c r="V584" s="4"/>
    </row>
    <row r="585">
      <c r="A585" s="1" t="s">
        <v>14521</v>
      </c>
      <c r="B585" s="1" t="s">
        <v>14524</v>
      </c>
      <c r="C585" s="1" t="s">
        <v>14526</v>
      </c>
      <c r="D585" s="1" t="s">
        <v>12868</v>
      </c>
      <c r="E585" s="1" t="s">
        <v>12869</v>
      </c>
      <c r="F585" s="1">
        <v>720832.0</v>
      </c>
      <c r="G585" s="1">
        <v>22203.0</v>
      </c>
      <c r="H585" s="1">
        <v>535.0</v>
      </c>
      <c r="I585" s="1">
        <v>5980000.0</v>
      </c>
      <c r="J585" s="1" t="s">
        <v>2468</v>
      </c>
      <c r="K585" s="5">
        <f t="shared" si="2"/>
        <v>0.1205404682</v>
      </c>
      <c r="L585" s="6">
        <f t="shared" si="3"/>
        <v>2568</v>
      </c>
      <c r="M585" s="6">
        <f t="shared" si="4"/>
        <v>280.6978193</v>
      </c>
      <c r="N585" s="7">
        <f t="shared" si="5"/>
        <v>0.00004693943467</v>
      </c>
      <c r="O585" s="7"/>
      <c r="P585" s="4">
        <f t="shared" si="6"/>
        <v>-0.4164635207</v>
      </c>
      <c r="Q585" s="4">
        <f t="shared" si="7"/>
        <v>6</v>
      </c>
      <c r="R585" s="4">
        <f t="shared" si="8"/>
        <v>0</v>
      </c>
      <c r="S585" s="4">
        <f t="shared" si="9"/>
        <v>-0.4164635207</v>
      </c>
      <c r="T585" s="4">
        <f t="shared" si="10"/>
        <v>23</v>
      </c>
      <c r="U585" s="4">
        <f t="shared" si="1"/>
        <v>-0.4164635207</v>
      </c>
      <c r="V585" s="4"/>
    </row>
    <row r="586">
      <c r="A586" s="1" t="s">
        <v>14548</v>
      </c>
      <c r="B586" s="1" t="s">
        <v>14549</v>
      </c>
      <c r="C586" s="1" t="s">
        <v>14551</v>
      </c>
      <c r="D586" s="1" t="s">
        <v>12868</v>
      </c>
      <c r="E586" s="1" t="s">
        <v>12869</v>
      </c>
      <c r="F586" s="1">
        <v>898900.0</v>
      </c>
      <c r="G586" s="1">
        <v>32814.0</v>
      </c>
      <c r="H586" s="1">
        <v>1339.0</v>
      </c>
      <c r="I586" s="1">
        <v>5980000.0</v>
      </c>
      <c r="J586" s="1" t="s">
        <v>2468</v>
      </c>
      <c r="K586" s="5">
        <f t="shared" si="2"/>
        <v>0.1503177258</v>
      </c>
      <c r="L586" s="6">
        <f t="shared" si="3"/>
        <v>2590</v>
      </c>
      <c r="M586" s="6">
        <f t="shared" si="4"/>
        <v>347.0656371</v>
      </c>
      <c r="N586" s="7">
        <f t="shared" si="5"/>
        <v>0.00005803773195</v>
      </c>
      <c r="O586" s="7"/>
      <c r="P586" s="4">
        <f t="shared" si="6"/>
        <v>-0.408646286</v>
      </c>
      <c r="Q586" s="4">
        <f t="shared" si="7"/>
        <v>4</v>
      </c>
      <c r="R586" s="4">
        <f t="shared" si="8"/>
        <v>0</v>
      </c>
      <c r="S586" s="4">
        <f t="shared" si="9"/>
        <v>-0.408646286</v>
      </c>
      <c r="T586" s="4">
        <f t="shared" si="10"/>
        <v>33</v>
      </c>
      <c r="U586" s="4">
        <f t="shared" si="1"/>
        <v>-0.408646286</v>
      </c>
      <c r="V586" s="4"/>
    </row>
    <row r="587">
      <c r="A587" s="1" t="s">
        <v>14575</v>
      </c>
      <c r="B587" s="1" t="s">
        <v>14576</v>
      </c>
      <c r="C587" s="1" t="s">
        <v>14577</v>
      </c>
      <c r="D587" s="1" t="s">
        <v>12868</v>
      </c>
      <c r="E587" s="1" t="s">
        <v>12869</v>
      </c>
      <c r="F587" s="1">
        <v>5958731.0</v>
      </c>
      <c r="G587" s="1">
        <v>189316.0</v>
      </c>
      <c r="H587" s="1">
        <v>20579.0</v>
      </c>
      <c r="I587" s="1">
        <v>5980000.0</v>
      </c>
      <c r="J587" s="1" t="s">
        <v>2468</v>
      </c>
      <c r="K587" s="5">
        <f t="shared" si="2"/>
        <v>0.996443311</v>
      </c>
      <c r="L587" s="6">
        <f t="shared" si="3"/>
        <v>2624</v>
      </c>
      <c r="M587" s="6">
        <f t="shared" si="4"/>
        <v>2270.857851</v>
      </c>
      <c r="N587" s="7">
        <f t="shared" si="5"/>
        <v>0.0003797421155</v>
      </c>
      <c r="O587" s="7"/>
      <c r="P587" s="4">
        <f t="shared" si="6"/>
        <v>-0.182049484</v>
      </c>
      <c r="Q587" s="4">
        <f t="shared" si="7"/>
        <v>3</v>
      </c>
      <c r="R587" s="4">
        <f t="shared" si="8"/>
        <v>0</v>
      </c>
      <c r="S587" s="4">
        <f t="shared" si="9"/>
        <v>-0.182049484</v>
      </c>
      <c r="T587" s="4">
        <f t="shared" si="10"/>
        <v>15</v>
      </c>
      <c r="U587" s="4">
        <f t="shared" si="1"/>
        <v>-0.182049484</v>
      </c>
      <c r="V587" s="4"/>
    </row>
    <row r="588">
      <c r="A588" s="1" t="s">
        <v>14597</v>
      </c>
      <c r="B588" s="1" t="s">
        <v>14599</v>
      </c>
      <c r="C588" s="1" t="s">
        <v>14601</v>
      </c>
      <c r="D588" s="1" t="s">
        <v>12868</v>
      </c>
      <c r="E588" s="1" t="s">
        <v>12869</v>
      </c>
      <c r="F588" s="1">
        <v>2160929.0</v>
      </c>
      <c r="G588" s="1">
        <v>77688.0</v>
      </c>
      <c r="H588" s="1">
        <v>5207.0</v>
      </c>
      <c r="I588" s="1">
        <v>5980000.0</v>
      </c>
      <c r="J588" s="1" t="s">
        <v>2468</v>
      </c>
      <c r="K588" s="5">
        <f t="shared" si="2"/>
        <v>0.3613593645</v>
      </c>
      <c r="L588" s="6">
        <f t="shared" si="3"/>
        <v>2632</v>
      </c>
      <c r="M588" s="6">
        <f t="shared" si="4"/>
        <v>821.0216565</v>
      </c>
      <c r="N588" s="7">
        <f t="shared" si="5"/>
        <v>0.0001372945914</v>
      </c>
      <c r="O588" s="7"/>
      <c r="P588" s="4">
        <f t="shared" si="6"/>
        <v>-0.3528206528</v>
      </c>
      <c r="Q588" s="4">
        <f t="shared" si="7"/>
        <v>4</v>
      </c>
      <c r="R588" s="4">
        <f t="shared" si="8"/>
        <v>0</v>
      </c>
      <c r="S588" s="4">
        <f t="shared" si="9"/>
        <v>-0.3528206528</v>
      </c>
      <c r="T588" s="4">
        <f t="shared" si="10"/>
        <v>23</v>
      </c>
      <c r="U588" s="4">
        <f t="shared" si="1"/>
        <v>-0.3528206528</v>
      </c>
      <c r="V588" s="4"/>
    </row>
    <row r="589">
      <c r="A589" s="1" t="s">
        <v>14622</v>
      </c>
      <c r="B589" s="1" t="s">
        <v>14624</v>
      </c>
      <c r="C589" s="1" t="s">
        <v>14625</v>
      </c>
      <c r="D589" s="1" t="s">
        <v>12868</v>
      </c>
      <c r="E589" s="1" t="s">
        <v>12869</v>
      </c>
      <c r="F589" s="1">
        <v>725749.0</v>
      </c>
      <c r="G589" s="1">
        <v>35079.0</v>
      </c>
      <c r="H589" s="1">
        <v>1690.0</v>
      </c>
      <c r="I589" s="1">
        <v>5980000.0</v>
      </c>
      <c r="J589" s="1" t="s">
        <v>2468</v>
      </c>
      <c r="K589" s="5">
        <f t="shared" si="2"/>
        <v>0.121362709</v>
      </c>
      <c r="L589" s="6">
        <f t="shared" si="3"/>
        <v>2648</v>
      </c>
      <c r="M589" s="6">
        <f t="shared" si="4"/>
        <v>274.0743958</v>
      </c>
      <c r="N589" s="7">
        <f t="shared" si="5"/>
        <v>0.00004583183876</v>
      </c>
      <c r="O589" s="7"/>
      <c r="P589" s="4">
        <f t="shared" si="6"/>
        <v>-0.4172436707</v>
      </c>
      <c r="Q589" s="4">
        <f t="shared" si="7"/>
        <v>11</v>
      </c>
      <c r="R589" s="4">
        <f t="shared" si="8"/>
        <v>0</v>
      </c>
      <c r="S589" s="4">
        <f t="shared" si="9"/>
        <v>-0.4172436707</v>
      </c>
      <c r="T589" s="4">
        <f t="shared" si="10"/>
        <v>38</v>
      </c>
      <c r="U589" s="4">
        <f t="shared" si="1"/>
        <v>-0.4172436707</v>
      </c>
      <c r="V589" s="4"/>
    </row>
    <row r="590">
      <c r="A590" s="1" t="s">
        <v>14641</v>
      </c>
      <c r="B590" s="1" t="s">
        <v>14642</v>
      </c>
      <c r="C590" s="1" t="s">
        <v>14644</v>
      </c>
      <c r="D590" s="1" t="s">
        <v>12868</v>
      </c>
      <c r="E590" s="1" t="s">
        <v>12869</v>
      </c>
      <c r="F590" s="1">
        <v>479596.0</v>
      </c>
      <c r="G590" s="1">
        <v>15027.0</v>
      </c>
      <c r="H590" s="1">
        <v>711.0</v>
      </c>
      <c r="I590" s="1">
        <v>5980000.0</v>
      </c>
      <c r="J590" s="1" t="s">
        <v>2468</v>
      </c>
      <c r="K590" s="5">
        <f t="shared" si="2"/>
        <v>0.0802</v>
      </c>
      <c r="L590" s="6">
        <f t="shared" si="3"/>
        <v>2661</v>
      </c>
      <c r="M590" s="6">
        <f t="shared" si="4"/>
        <v>180.2314919</v>
      </c>
      <c r="N590" s="7">
        <f t="shared" si="5"/>
        <v>0.00003013904547</v>
      </c>
      <c r="O590" s="7"/>
      <c r="P590" s="4">
        <f t="shared" si="6"/>
        <v>-0.4282971004</v>
      </c>
      <c r="Q590" s="4">
        <f t="shared" si="7"/>
        <v>5</v>
      </c>
      <c r="R590" s="4">
        <f t="shared" si="8"/>
        <v>0</v>
      </c>
      <c r="S590" s="4">
        <f t="shared" si="9"/>
        <v>-0.4282971004</v>
      </c>
      <c r="T590" s="4">
        <f t="shared" si="10"/>
        <v>30</v>
      </c>
      <c r="U590" s="4">
        <f t="shared" si="1"/>
        <v>-0.4282971004</v>
      </c>
      <c r="V590" s="4"/>
    </row>
    <row r="591">
      <c r="A591" s="1" t="s">
        <v>14659</v>
      </c>
      <c r="B591" s="1" t="s">
        <v>14660</v>
      </c>
      <c r="C591" s="1" t="s">
        <v>14661</v>
      </c>
      <c r="D591" s="1" t="s">
        <v>12868</v>
      </c>
      <c r="E591" s="1" t="s">
        <v>12869</v>
      </c>
      <c r="F591" s="1">
        <v>3338461.0</v>
      </c>
      <c r="G591" s="1">
        <v>99929.0</v>
      </c>
      <c r="H591" s="1">
        <v>5419.0</v>
      </c>
      <c r="I591" s="1">
        <v>5980000.0</v>
      </c>
      <c r="J591" s="1" t="s">
        <v>2468</v>
      </c>
      <c r="K591" s="5">
        <f t="shared" si="2"/>
        <v>0.5582710702</v>
      </c>
      <c r="L591" s="6">
        <f t="shared" si="3"/>
        <v>2682</v>
      </c>
      <c r="M591" s="6">
        <f t="shared" si="4"/>
        <v>1244.765474</v>
      </c>
      <c r="N591" s="7">
        <f t="shared" si="5"/>
        <v>0.0002081547615</v>
      </c>
      <c r="O591" s="7"/>
      <c r="P591" s="4">
        <f t="shared" si="6"/>
        <v>-0.3029093406</v>
      </c>
      <c r="Q591" s="4">
        <f t="shared" si="7"/>
        <v>9</v>
      </c>
      <c r="R591" s="4">
        <f t="shared" si="8"/>
        <v>0</v>
      </c>
      <c r="S591" s="4">
        <f t="shared" si="9"/>
        <v>-0.3029093406</v>
      </c>
      <c r="T591" s="4">
        <f t="shared" si="10"/>
        <v>58</v>
      </c>
      <c r="U591" s="4">
        <f t="shared" si="1"/>
        <v>-0.3029093406</v>
      </c>
      <c r="V591" s="4"/>
    </row>
    <row r="592">
      <c r="A592" s="1" t="s">
        <v>14683</v>
      </c>
      <c r="B592" s="1" t="s">
        <v>14684</v>
      </c>
      <c r="C592" s="1" t="s">
        <v>14685</v>
      </c>
      <c r="D592" s="1" t="s">
        <v>12868</v>
      </c>
      <c r="E592" s="1" t="s">
        <v>12869</v>
      </c>
      <c r="F592" s="1">
        <v>1426930.0</v>
      </c>
      <c r="G592" s="1">
        <v>53966.0</v>
      </c>
      <c r="H592" s="1">
        <v>1393.0</v>
      </c>
      <c r="I592" s="1">
        <v>5980000.0</v>
      </c>
      <c r="J592" s="1" t="s">
        <v>2468</v>
      </c>
      <c r="K592" s="5">
        <f t="shared" si="2"/>
        <v>0.2386170569</v>
      </c>
      <c r="L592" s="6">
        <f t="shared" si="3"/>
        <v>2710</v>
      </c>
      <c r="M592" s="6">
        <f t="shared" si="4"/>
        <v>526.5424354</v>
      </c>
      <c r="N592" s="7">
        <f t="shared" si="5"/>
        <v>0.00008805057449</v>
      </c>
      <c r="O592" s="7"/>
      <c r="P592" s="4">
        <f t="shared" si="6"/>
        <v>-0.3875063373</v>
      </c>
      <c r="Q592" s="4">
        <f t="shared" si="7"/>
        <v>7</v>
      </c>
      <c r="R592" s="4">
        <f t="shared" si="8"/>
        <v>1</v>
      </c>
      <c r="S592" s="4">
        <f t="shared" si="9"/>
        <v>-0.3875063373</v>
      </c>
      <c r="T592" s="4">
        <f t="shared" si="10"/>
        <v>29</v>
      </c>
      <c r="U592" s="4">
        <f t="shared" si="1"/>
        <v>-0.3875063373</v>
      </c>
      <c r="V592" s="4"/>
    </row>
    <row r="593">
      <c r="A593" s="1" t="s">
        <v>14701</v>
      </c>
      <c r="B593" s="1" t="s">
        <v>14702</v>
      </c>
      <c r="C593" s="1" t="s">
        <v>14704</v>
      </c>
      <c r="D593" s="1" t="s">
        <v>12868</v>
      </c>
      <c r="E593" s="1" t="s">
        <v>12869</v>
      </c>
      <c r="F593" s="1">
        <v>3174484.0</v>
      </c>
      <c r="G593" s="1">
        <v>127323.0</v>
      </c>
      <c r="H593" s="1">
        <v>4336.0</v>
      </c>
      <c r="I593" s="1">
        <v>5980000.0</v>
      </c>
      <c r="J593" s="1" t="s">
        <v>2468</v>
      </c>
      <c r="K593" s="5">
        <f t="shared" si="2"/>
        <v>0.5308501672</v>
      </c>
      <c r="L593" s="6">
        <f t="shared" si="3"/>
        <v>2743</v>
      </c>
      <c r="M593" s="6">
        <f t="shared" si="4"/>
        <v>1157.303682</v>
      </c>
      <c r="N593" s="7">
        <f t="shared" si="5"/>
        <v>0.0001935290438</v>
      </c>
      <c r="O593" s="7"/>
      <c r="P593" s="4">
        <f t="shared" si="6"/>
        <v>-0.3132111612</v>
      </c>
      <c r="Q593" s="4">
        <f t="shared" si="7"/>
        <v>7</v>
      </c>
      <c r="R593" s="4">
        <f t="shared" si="8"/>
        <v>0</v>
      </c>
      <c r="S593" s="4">
        <f t="shared" si="9"/>
        <v>-0.3132111612</v>
      </c>
      <c r="T593" s="4">
        <f t="shared" si="10"/>
        <v>33</v>
      </c>
      <c r="U593" s="4">
        <f t="shared" si="1"/>
        <v>-0.3132111612</v>
      </c>
      <c r="V593" s="4"/>
    </row>
    <row r="594">
      <c r="A594" s="1" t="s">
        <v>14722</v>
      </c>
      <c r="B594" s="1" t="s">
        <v>14723</v>
      </c>
      <c r="C594" s="1" t="s">
        <v>14724</v>
      </c>
      <c r="D594" s="1" t="s">
        <v>12868</v>
      </c>
      <c r="E594" s="1" t="s">
        <v>12869</v>
      </c>
      <c r="F594" s="1">
        <v>277643.0</v>
      </c>
      <c r="G594" s="1">
        <v>16853.0</v>
      </c>
      <c r="H594" s="1">
        <v>868.0</v>
      </c>
      <c r="I594" s="1">
        <v>5980000.0</v>
      </c>
      <c r="J594" s="1" t="s">
        <v>2468</v>
      </c>
      <c r="K594" s="5">
        <f t="shared" si="2"/>
        <v>0.04642859532</v>
      </c>
      <c r="L594" s="6">
        <f t="shared" si="3"/>
        <v>2765</v>
      </c>
      <c r="M594" s="6">
        <f t="shared" si="4"/>
        <v>100.4133816</v>
      </c>
      <c r="N594" s="7">
        <f t="shared" si="5"/>
        <v>0.00001679153538</v>
      </c>
      <c r="O594" s="7"/>
      <c r="P594" s="4">
        <f t="shared" si="6"/>
        <v>-0.4376985983</v>
      </c>
      <c r="Q594" s="4">
        <f t="shared" si="7"/>
        <v>6</v>
      </c>
      <c r="R594" s="4">
        <f t="shared" si="8"/>
        <v>0</v>
      </c>
      <c r="S594" s="4">
        <f t="shared" si="9"/>
        <v>-0.4376985983</v>
      </c>
      <c r="T594" s="4">
        <f t="shared" si="10"/>
        <v>33</v>
      </c>
      <c r="U594" s="4">
        <f t="shared" si="1"/>
        <v>-0.4376985983</v>
      </c>
      <c r="V594" s="4"/>
    </row>
    <row r="595">
      <c r="A595" s="1" t="s">
        <v>14745</v>
      </c>
      <c r="B595" s="1" t="s">
        <v>14747</v>
      </c>
      <c r="C595" s="1" t="s">
        <v>14748</v>
      </c>
      <c r="D595" s="1" t="s">
        <v>12868</v>
      </c>
      <c r="E595" s="1" t="s">
        <v>12869</v>
      </c>
      <c r="F595" s="1">
        <v>416482.0</v>
      </c>
      <c r="G595" s="1">
        <v>16261.0</v>
      </c>
      <c r="H595" s="1">
        <v>680.0</v>
      </c>
      <c r="I595" s="1">
        <v>5980000.0</v>
      </c>
      <c r="J595" s="1" t="s">
        <v>2468</v>
      </c>
      <c r="K595" s="5">
        <f t="shared" si="2"/>
        <v>0.0696458194</v>
      </c>
      <c r="L595" s="6">
        <f t="shared" si="3"/>
        <v>2779</v>
      </c>
      <c r="M595" s="6">
        <f t="shared" si="4"/>
        <v>149.8675783</v>
      </c>
      <c r="N595" s="7">
        <f t="shared" si="5"/>
        <v>0.00002506146794</v>
      </c>
      <c r="O595" s="7"/>
      <c r="P595" s="4">
        <f t="shared" si="6"/>
        <v>-0.4318735603</v>
      </c>
      <c r="Q595" s="4">
        <f t="shared" si="7"/>
        <v>4</v>
      </c>
      <c r="R595" s="4">
        <f t="shared" si="8"/>
        <v>0</v>
      </c>
      <c r="S595" s="4">
        <f t="shared" si="9"/>
        <v>-0.4318735603</v>
      </c>
      <c r="T595" s="4">
        <f t="shared" si="10"/>
        <v>13</v>
      </c>
      <c r="U595" s="4">
        <f t="shared" si="1"/>
        <v>-0.4318735603</v>
      </c>
      <c r="V595" s="4"/>
    </row>
    <row r="596">
      <c r="A596" s="1" t="s">
        <v>14785</v>
      </c>
      <c r="B596" s="1" t="s">
        <v>14786</v>
      </c>
      <c r="C596" s="1" t="s">
        <v>14787</v>
      </c>
      <c r="D596" s="1" t="s">
        <v>12868</v>
      </c>
      <c r="E596" s="1" t="s">
        <v>12869</v>
      </c>
      <c r="F596" s="1">
        <v>789463.0</v>
      </c>
      <c r="G596" s="1">
        <v>21239.0</v>
      </c>
      <c r="H596" s="1">
        <v>1313.0</v>
      </c>
      <c r="I596" s="1">
        <v>5980000.0</v>
      </c>
      <c r="J596" s="1" t="s">
        <v>2468</v>
      </c>
      <c r="K596" s="5">
        <f t="shared" si="2"/>
        <v>0.1320172241</v>
      </c>
      <c r="L596" s="6">
        <f t="shared" si="3"/>
        <v>2813</v>
      </c>
      <c r="M596" s="6">
        <f t="shared" si="4"/>
        <v>280.6480626</v>
      </c>
      <c r="N596" s="7">
        <f t="shared" si="5"/>
        <v>0.00004693111414</v>
      </c>
      <c r="O596" s="7"/>
      <c r="P596" s="4">
        <f t="shared" si="6"/>
        <v>-0.4164693813</v>
      </c>
      <c r="Q596" s="4">
        <f t="shared" si="7"/>
        <v>8</v>
      </c>
      <c r="R596" s="4">
        <f t="shared" si="8"/>
        <v>0</v>
      </c>
      <c r="S596" s="4">
        <f t="shared" si="9"/>
        <v>-0.4164693813</v>
      </c>
      <c r="T596" s="4">
        <f t="shared" si="10"/>
        <v>47</v>
      </c>
      <c r="U596" s="4">
        <f t="shared" si="1"/>
        <v>-0.4164693813</v>
      </c>
      <c r="V596" s="4"/>
    </row>
    <row r="597">
      <c r="A597" s="1" t="s">
        <v>14788</v>
      </c>
      <c r="B597" s="1" t="s">
        <v>14790</v>
      </c>
      <c r="C597" s="1" t="s">
        <v>14792</v>
      </c>
      <c r="D597" s="1" t="s">
        <v>12868</v>
      </c>
      <c r="E597" s="1" t="s">
        <v>12869</v>
      </c>
      <c r="F597" s="1">
        <v>1245143.0</v>
      </c>
      <c r="G597" s="1">
        <v>52140.0</v>
      </c>
      <c r="H597" s="1">
        <v>2276.0</v>
      </c>
      <c r="I597" s="1">
        <v>5980000.0</v>
      </c>
      <c r="J597" s="1" t="s">
        <v>2468</v>
      </c>
      <c r="K597" s="5">
        <f t="shared" si="2"/>
        <v>0.208217893</v>
      </c>
      <c r="L597" s="6">
        <f t="shared" si="3"/>
        <v>2851</v>
      </c>
      <c r="M597" s="6">
        <f t="shared" si="4"/>
        <v>436.7390389</v>
      </c>
      <c r="N597" s="7">
        <f t="shared" si="5"/>
        <v>0.0000730332841</v>
      </c>
      <c r="O597" s="7"/>
      <c r="P597" s="4">
        <f t="shared" si="6"/>
        <v>-0.3980839675</v>
      </c>
      <c r="Q597" s="4">
        <f t="shared" si="7"/>
        <v>2</v>
      </c>
      <c r="R597" s="4">
        <f t="shared" si="8"/>
        <v>0</v>
      </c>
      <c r="S597" s="4">
        <f t="shared" si="9"/>
        <v>-0.3980839675</v>
      </c>
      <c r="T597" s="4">
        <f t="shared" si="10"/>
        <v>14</v>
      </c>
      <c r="U597" s="4">
        <f t="shared" si="1"/>
        <v>-0.3980839675</v>
      </c>
      <c r="V597" s="4"/>
    </row>
    <row r="598">
      <c r="A598" s="1" t="s">
        <v>14815</v>
      </c>
      <c r="B598" s="1" t="s">
        <v>14816</v>
      </c>
      <c r="C598" s="1" t="s">
        <v>14817</v>
      </c>
      <c r="D598" s="1" t="s">
        <v>12868</v>
      </c>
      <c r="E598" s="1" t="s">
        <v>12869</v>
      </c>
      <c r="F598" s="1">
        <v>1433697.0</v>
      </c>
      <c r="G598" s="1">
        <v>50881.0</v>
      </c>
      <c r="H598" s="1">
        <v>1971.0</v>
      </c>
      <c r="I598" s="1">
        <v>5980000.0</v>
      </c>
      <c r="J598" s="1" t="s">
        <v>2468</v>
      </c>
      <c r="K598" s="5">
        <f t="shared" si="2"/>
        <v>0.2397486622</v>
      </c>
      <c r="L598" s="6">
        <f t="shared" si="3"/>
        <v>2869</v>
      </c>
      <c r="M598" s="6">
        <f t="shared" si="4"/>
        <v>499.7201115</v>
      </c>
      <c r="N598" s="7">
        <f t="shared" si="5"/>
        <v>0.00008356523604</v>
      </c>
      <c r="O598" s="7"/>
      <c r="P598" s="4">
        <f t="shared" si="6"/>
        <v>-0.3906656457</v>
      </c>
      <c r="Q598" s="4">
        <f t="shared" si="7"/>
        <v>7</v>
      </c>
      <c r="R598" s="4">
        <f t="shared" si="8"/>
        <v>0</v>
      </c>
      <c r="S598" s="4">
        <f t="shared" si="9"/>
        <v>-0.3906656457</v>
      </c>
      <c r="T598" s="4">
        <f t="shared" si="10"/>
        <v>46</v>
      </c>
      <c r="U598" s="4">
        <f t="shared" si="1"/>
        <v>-0.3906656457</v>
      </c>
      <c r="V598" s="4"/>
    </row>
    <row r="599">
      <c r="A599" s="1" t="s">
        <v>14830</v>
      </c>
      <c r="B599" s="1" t="s">
        <v>14831</v>
      </c>
      <c r="C599" s="1" t="s">
        <v>14833</v>
      </c>
      <c r="D599" s="1" t="s">
        <v>12868</v>
      </c>
      <c r="E599" s="1" t="s">
        <v>12869</v>
      </c>
      <c r="F599" s="1">
        <v>575407.0</v>
      </c>
      <c r="G599" s="1">
        <v>26454.0</v>
      </c>
      <c r="H599" s="1">
        <v>623.0</v>
      </c>
      <c r="I599" s="1">
        <v>5980000.0</v>
      </c>
      <c r="J599" s="1" t="s">
        <v>2468</v>
      </c>
      <c r="K599" s="5">
        <f t="shared" si="2"/>
        <v>0.09622190635</v>
      </c>
      <c r="L599" s="6">
        <f t="shared" si="3"/>
        <v>2928</v>
      </c>
      <c r="M599" s="6">
        <f t="shared" si="4"/>
        <v>196.5187842</v>
      </c>
      <c r="N599" s="7">
        <f t="shared" si="5"/>
        <v>0.00003286267294</v>
      </c>
      <c r="O599" s="7"/>
      <c r="P599" s="4">
        <f t="shared" si="6"/>
        <v>-0.4263786768</v>
      </c>
      <c r="Q599" s="4">
        <f t="shared" si="7"/>
        <v>12</v>
      </c>
      <c r="R599" s="4">
        <f t="shared" si="8"/>
        <v>0</v>
      </c>
      <c r="S599" s="4">
        <f t="shared" si="9"/>
        <v>-0.4263786768</v>
      </c>
      <c r="T599" s="4">
        <f t="shared" si="10"/>
        <v>56</v>
      </c>
      <c r="U599" s="4">
        <f t="shared" si="1"/>
        <v>-0.4263786768</v>
      </c>
      <c r="V599" s="4"/>
    </row>
    <row r="600">
      <c r="A600" s="1" t="s">
        <v>14851</v>
      </c>
      <c r="B600" s="1" t="s">
        <v>14853</v>
      </c>
      <c r="C600" s="1" t="s">
        <v>14855</v>
      </c>
      <c r="D600" s="1" t="s">
        <v>12868</v>
      </c>
      <c r="E600" s="1" t="s">
        <v>12869</v>
      </c>
      <c r="F600" s="1">
        <v>484547.0</v>
      </c>
      <c r="G600" s="1">
        <v>15199.0</v>
      </c>
      <c r="H600" s="1">
        <v>1035.0</v>
      </c>
      <c r="I600" s="1">
        <v>5980000.0</v>
      </c>
      <c r="J600" s="1" t="s">
        <v>2468</v>
      </c>
      <c r="K600" s="5">
        <f t="shared" si="2"/>
        <v>0.08102792642</v>
      </c>
      <c r="L600" s="6">
        <f t="shared" si="3"/>
        <v>2942</v>
      </c>
      <c r="M600" s="6">
        <f t="shared" si="4"/>
        <v>164.699864</v>
      </c>
      <c r="N600" s="7">
        <f t="shared" si="5"/>
        <v>0.00002754178328</v>
      </c>
      <c r="O600" s="7"/>
      <c r="P600" s="4">
        <f t="shared" si="6"/>
        <v>-0.4301265169</v>
      </c>
      <c r="Q600" s="4">
        <f t="shared" si="7"/>
        <v>10</v>
      </c>
      <c r="R600" s="4">
        <f t="shared" si="8"/>
        <v>0</v>
      </c>
      <c r="S600" s="4">
        <f t="shared" si="9"/>
        <v>-0.4301265169</v>
      </c>
      <c r="T600" s="4">
        <f t="shared" si="10"/>
        <v>55</v>
      </c>
      <c r="U600" s="4">
        <f t="shared" si="1"/>
        <v>-0.4301265169</v>
      </c>
      <c r="V600" s="4"/>
    </row>
    <row r="601">
      <c r="A601" s="1" t="s">
        <v>14875</v>
      </c>
      <c r="B601" s="1" t="s">
        <v>14876</v>
      </c>
      <c r="C601" s="1" t="s">
        <v>14877</v>
      </c>
      <c r="D601" s="1" t="s">
        <v>12868</v>
      </c>
      <c r="E601" s="1" t="s">
        <v>12869</v>
      </c>
      <c r="F601" s="1">
        <v>658953.0</v>
      </c>
      <c r="G601" s="1">
        <v>25901.0</v>
      </c>
      <c r="H601" s="1">
        <v>1279.0</v>
      </c>
      <c r="I601" s="1">
        <v>5980000.0</v>
      </c>
      <c r="J601" s="1" t="s">
        <v>2468</v>
      </c>
      <c r="K601" s="5">
        <f t="shared" si="2"/>
        <v>0.1101928094</v>
      </c>
      <c r="L601" s="6">
        <f t="shared" si="3"/>
        <v>2963</v>
      </c>
      <c r="M601" s="6">
        <f t="shared" si="4"/>
        <v>222.3938576</v>
      </c>
      <c r="N601" s="7">
        <f t="shared" si="5"/>
        <v>0.00003718960829</v>
      </c>
      <c r="O601" s="7"/>
      <c r="P601" s="4">
        <f t="shared" si="6"/>
        <v>-0.4233309418</v>
      </c>
      <c r="Q601" s="4">
        <f t="shared" si="7"/>
        <v>11</v>
      </c>
      <c r="R601" s="4">
        <f t="shared" si="8"/>
        <v>0</v>
      </c>
      <c r="S601" s="4">
        <f t="shared" si="9"/>
        <v>-0.4233309418</v>
      </c>
      <c r="T601" s="4">
        <f t="shared" si="10"/>
        <v>49</v>
      </c>
      <c r="U601" s="4">
        <f t="shared" si="1"/>
        <v>-0.4233309418</v>
      </c>
      <c r="V601" s="4"/>
    </row>
    <row r="602">
      <c r="A602" s="1" t="s">
        <v>14903</v>
      </c>
      <c r="B602" s="1" t="s">
        <v>14905</v>
      </c>
      <c r="C602" s="1" t="s">
        <v>14907</v>
      </c>
      <c r="D602" s="1" t="s">
        <v>12868</v>
      </c>
      <c r="E602" s="1" t="s">
        <v>12869</v>
      </c>
      <c r="F602" s="1">
        <v>3694689.0</v>
      </c>
      <c r="G602" s="1">
        <v>89232.0</v>
      </c>
      <c r="H602" s="1">
        <v>2974.0</v>
      </c>
      <c r="I602" s="1">
        <v>5980000.0</v>
      </c>
      <c r="J602" s="1" t="s">
        <v>2468</v>
      </c>
      <c r="K602" s="5">
        <f t="shared" si="2"/>
        <v>0.6178409699</v>
      </c>
      <c r="L602" s="6">
        <f t="shared" si="3"/>
        <v>2967</v>
      </c>
      <c r="M602" s="6">
        <f t="shared" si="4"/>
        <v>1245.26087</v>
      </c>
      <c r="N602" s="7">
        <f t="shared" si="5"/>
        <v>0.0002082376036</v>
      </c>
      <c r="O602" s="7"/>
      <c r="P602" s="4">
        <f t="shared" si="6"/>
        <v>-0.3028509897</v>
      </c>
      <c r="Q602" s="4">
        <f t="shared" si="7"/>
        <v>5</v>
      </c>
      <c r="R602" s="4">
        <f t="shared" si="8"/>
        <v>0</v>
      </c>
      <c r="S602" s="4">
        <f t="shared" si="9"/>
        <v>-0.3028509897</v>
      </c>
      <c r="T602" s="4">
        <f t="shared" si="10"/>
        <v>35</v>
      </c>
      <c r="U602" s="4">
        <f t="shared" si="1"/>
        <v>-0.3028509897</v>
      </c>
      <c r="V602" s="4"/>
    </row>
    <row r="603">
      <c r="A603" s="1" t="s">
        <v>14926</v>
      </c>
      <c r="B603" s="1" t="s">
        <v>14927</v>
      </c>
      <c r="C603" s="1" t="s">
        <v>14928</v>
      </c>
      <c r="D603" s="1" t="s">
        <v>12868</v>
      </c>
      <c r="E603" s="1" t="s">
        <v>12869</v>
      </c>
      <c r="F603" s="1">
        <v>531340.0</v>
      </c>
      <c r="G603" s="1">
        <v>15748.0</v>
      </c>
      <c r="H603" s="1">
        <v>667.0</v>
      </c>
      <c r="I603" s="1">
        <v>5980000.0</v>
      </c>
      <c r="J603" s="1" t="s">
        <v>2468</v>
      </c>
      <c r="K603" s="5">
        <f t="shared" si="2"/>
        <v>0.08885284281</v>
      </c>
      <c r="L603" s="6">
        <f t="shared" si="3"/>
        <v>2977</v>
      </c>
      <c r="M603" s="6">
        <f t="shared" si="4"/>
        <v>178.481693</v>
      </c>
      <c r="N603" s="7">
        <f t="shared" si="5"/>
        <v>0.00002984643695</v>
      </c>
      <c r="O603" s="7"/>
      <c r="P603" s="4">
        <f t="shared" si="6"/>
        <v>-0.4285032031</v>
      </c>
      <c r="Q603" s="4">
        <f t="shared" si="7"/>
        <v>11</v>
      </c>
      <c r="R603" s="4">
        <f t="shared" si="8"/>
        <v>0</v>
      </c>
      <c r="S603" s="4">
        <f t="shared" si="9"/>
        <v>-0.4285032031</v>
      </c>
      <c r="T603" s="4">
        <f t="shared" si="10"/>
        <v>63</v>
      </c>
      <c r="U603" s="4">
        <f t="shared" si="1"/>
        <v>-0.4285032031</v>
      </c>
      <c r="V603" s="4"/>
    </row>
    <row r="604">
      <c r="A604" s="1" t="s">
        <v>14953</v>
      </c>
      <c r="B604" s="1" t="s">
        <v>14954</v>
      </c>
      <c r="C604" s="1" t="s">
        <v>14955</v>
      </c>
      <c r="D604" s="1" t="s">
        <v>12868</v>
      </c>
      <c r="E604" s="1" t="s">
        <v>12869</v>
      </c>
      <c r="F604" s="1">
        <v>535469.0</v>
      </c>
      <c r="G604" s="1">
        <v>23880.0</v>
      </c>
      <c r="H604" s="1">
        <v>778.0</v>
      </c>
      <c r="I604" s="1">
        <v>5980000.0</v>
      </c>
      <c r="J604" s="1" t="s">
        <v>2468</v>
      </c>
      <c r="K604" s="5">
        <f t="shared" si="2"/>
        <v>0.08954331104</v>
      </c>
      <c r="L604" s="6">
        <f t="shared" si="3"/>
        <v>2991</v>
      </c>
      <c r="M604" s="6">
        <f t="shared" si="4"/>
        <v>179.0267469</v>
      </c>
      <c r="N604" s="7">
        <f t="shared" si="5"/>
        <v>0.00002993758309</v>
      </c>
      <c r="O604" s="7"/>
      <c r="P604" s="4">
        <f t="shared" si="6"/>
        <v>-0.4284390031</v>
      </c>
      <c r="Q604" s="4">
        <f t="shared" si="7"/>
        <v>8</v>
      </c>
      <c r="R604" s="4">
        <f t="shared" si="8"/>
        <v>1</v>
      </c>
      <c r="S604" s="4">
        <f t="shared" si="9"/>
        <v>-0.4284390031</v>
      </c>
      <c r="T604" s="4">
        <f t="shared" si="10"/>
        <v>43</v>
      </c>
      <c r="U604" s="4">
        <f t="shared" si="1"/>
        <v>-0.4284390031</v>
      </c>
      <c r="V604" s="4"/>
    </row>
    <row r="605">
      <c r="A605" s="1" t="s">
        <v>14986</v>
      </c>
      <c r="B605" s="1" t="s">
        <v>14987</v>
      </c>
      <c r="C605" s="1" t="s">
        <v>14988</v>
      </c>
      <c r="D605" s="1" t="s">
        <v>12868</v>
      </c>
      <c r="E605" s="1" t="s">
        <v>12869</v>
      </c>
      <c r="F605" s="1">
        <v>681593.0</v>
      </c>
      <c r="G605" s="1">
        <v>21503.0</v>
      </c>
      <c r="H605" s="1">
        <v>1108.0</v>
      </c>
      <c r="I605" s="1">
        <v>5980000.0</v>
      </c>
      <c r="J605" s="1" t="s">
        <v>2468</v>
      </c>
      <c r="K605" s="5">
        <f t="shared" si="2"/>
        <v>0.1139787625</v>
      </c>
      <c r="L605" s="6">
        <f t="shared" si="3"/>
        <v>3005</v>
      </c>
      <c r="M605" s="6">
        <f t="shared" si="4"/>
        <v>226.8196339</v>
      </c>
      <c r="N605" s="7">
        <f t="shared" si="5"/>
        <v>0.00003792970467</v>
      </c>
      <c r="O605" s="7"/>
      <c r="P605" s="4">
        <f t="shared" si="6"/>
        <v>-0.422809645</v>
      </c>
      <c r="Q605" s="4">
        <f t="shared" si="7"/>
        <v>9</v>
      </c>
      <c r="R605" s="4">
        <f t="shared" si="8"/>
        <v>0</v>
      </c>
      <c r="S605" s="4">
        <f t="shared" si="9"/>
        <v>-0.422809645</v>
      </c>
      <c r="T605" s="4">
        <f t="shared" si="10"/>
        <v>51</v>
      </c>
      <c r="U605" s="4">
        <f t="shared" si="1"/>
        <v>-0.422809645</v>
      </c>
      <c r="V605" s="4"/>
    </row>
    <row r="606">
      <c r="A606" s="1" t="s">
        <v>15005</v>
      </c>
      <c r="B606" s="1" t="s">
        <v>15007</v>
      </c>
      <c r="C606" s="1" t="s">
        <v>15009</v>
      </c>
      <c r="D606" s="1" t="s">
        <v>12868</v>
      </c>
      <c r="E606" s="1" t="s">
        <v>12869</v>
      </c>
      <c r="F606" s="1">
        <v>1023222.0</v>
      </c>
      <c r="G606" s="1">
        <v>26449.0</v>
      </c>
      <c r="H606" s="1">
        <v>1373.0</v>
      </c>
      <c r="I606" s="1">
        <v>5980000.0</v>
      </c>
      <c r="J606" s="1" t="s">
        <v>2468</v>
      </c>
      <c r="K606" s="5">
        <f t="shared" si="2"/>
        <v>0.1711073579</v>
      </c>
      <c r="L606" s="6">
        <f t="shared" si="3"/>
        <v>3019</v>
      </c>
      <c r="M606" s="6">
        <f t="shared" si="4"/>
        <v>338.9274594</v>
      </c>
      <c r="N606" s="7">
        <f t="shared" si="5"/>
        <v>0.00005667683268</v>
      </c>
      <c r="O606" s="7"/>
      <c r="P606" s="4">
        <f t="shared" si="6"/>
        <v>-0.4096048536</v>
      </c>
      <c r="Q606" s="4">
        <f t="shared" si="7"/>
        <v>10</v>
      </c>
      <c r="R606" s="4">
        <f t="shared" si="8"/>
        <v>0</v>
      </c>
      <c r="S606" s="4">
        <f t="shared" si="9"/>
        <v>-0.4096048536</v>
      </c>
      <c r="T606" s="4">
        <f t="shared" si="10"/>
        <v>53</v>
      </c>
      <c r="U606" s="4">
        <f t="shared" si="1"/>
        <v>-0.4096048536</v>
      </c>
      <c r="V606" s="4"/>
    </row>
    <row r="607">
      <c r="A607" s="1" t="s">
        <v>15027</v>
      </c>
      <c r="B607" s="1" t="s">
        <v>15028</v>
      </c>
      <c r="C607" s="1" t="s">
        <v>15029</v>
      </c>
      <c r="D607" s="1" t="s">
        <v>12868</v>
      </c>
      <c r="E607" s="1" t="s">
        <v>12869</v>
      </c>
      <c r="F607" s="1">
        <v>912355.0</v>
      </c>
      <c r="G607" s="1">
        <v>24135.0</v>
      </c>
      <c r="H607" s="1">
        <v>916.0</v>
      </c>
      <c r="I607" s="1">
        <v>5980000.0</v>
      </c>
      <c r="J607" s="1" t="s">
        <v>2468</v>
      </c>
      <c r="K607" s="5">
        <f t="shared" si="2"/>
        <v>0.1525677258</v>
      </c>
      <c r="L607" s="6">
        <f t="shared" si="3"/>
        <v>3052</v>
      </c>
      <c r="M607" s="6">
        <f t="shared" si="4"/>
        <v>298.9367628</v>
      </c>
      <c r="N607" s="7">
        <f t="shared" si="5"/>
        <v>0.00004998942521</v>
      </c>
      <c r="O607" s="7"/>
      <c r="P607" s="4">
        <f t="shared" si="6"/>
        <v>-0.4143152189</v>
      </c>
      <c r="Q607" s="4">
        <f t="shared" si="7"/>
        <v>8</v>
      </c>
      <c r="R607" s="4">
        <f t="shared" si="8"/>
        <v>0</v>
      </c>
      <c r="S607" s="4">
        <f t="shared" si="9"/>
        <v>-0.4143152189</v>
      </c>
      <c r="T607" s="4">
        <f t="shared" si="10"/>
        <v>45</v>
      </c>
      <c r="U607" s="4">
        <f t="shared" si="1"/>
        <v>-0.4143152189</v>
      </c>
      <c r="V607" s="4"/>
    </row>
    <row r="608">
      <c r="A608" s="1" t="s">
        <v>15043</v>
      </c>
      <c r="B608" s="1" t="s">
        <v>15045</v>
      </c>
      <c r="C608" s="1" t="s">
        <v>15046</v>
      </c>
      <c r="D608" s="1" t="s">
        <v>15047</v>
      </c>
      <c r="E608" s="1" t="s">
        <v>15048</v>
      </c>
      <c r="F608" s="1">
        <v>704600.0</v>
      </c>
      <c r="G608" s="1">
        <v>27047.0</v>
      </c>
      <c r="H608" s="1">
        <v>1200.0</v>
      </c>
      <c r="I608" s="1">
        <v>4810000.0</v>
      </c>
      <c r="J608" s="1" t="s">
        <v>2468</v>
      </c>
      <c r="K608" s="5">
        <f t="shared" si="2"/>
        <v>0.1464864865</v>
      </c>
      <c r="L608" s="6">
        <f t="shared" si="3"/>
        <v>44</v>
      </c>
      <c r="M608" s="6">
        <f t="shared" si="4"/>
        <v>16013.63636</v>
      </c>
      <c r="N608" s="7">
        <f t="shared" si="5"/>
        <v>0.003329238329</v>
      </c>
      <c r="O608" s="7"/>
      <c r="P608" s="4">
        <f t="shared" si="6"/>
        <v>1.895467776</v>
      </c>
      <c r="Q608" s="4">
        <f t="shared" si="7"/>
        <v>8</v>
      </c>
      <c r="R608" s="4">
        <f t="shared" si="8"/>
        <v>1</v>
      </c>
      <c r="S608" s="4">
        <f t="shared" si="9"/>
        <v>1.895467776</v>
      </c>
      <c r="T608" s="4">
        <f t="shared" si="10"/>
        <v>32</v>
      </c>
      <c r="U608" s="4">
        <f t="shared" si="1"/>
        <v>1.895467776</v>
      </c>
      <c r="V608" s="4"/>
    </row>
    <row r="609">
      <c r="A609" s="1" t="s">
        <v>15064</v>
      </c>
      <c r="B609" s="1" t="s">
        <v>15065</v>
      </c>
      <c r="C609" s="1" t="s">
        <v>15067</v>
      </c>
      <c r="D609" s="1" t="s">
        <v>15047</v>
      </c>
      <c r="E609" s="1" t="s">
        <v>15048</v>
      </c>
      <c r="F609" s="1">
        <v>1805441.0</v>
      </c>
      <c r="G609" s="1">
        <v>52229.0</v>
      </c>
      <c r="H609" s="1">
        <v>2982.0</v>
      </c>
      <c r="I609" s="1">
        <v>4810000.0</v>
      </c>
      <c r="J609" s="1" t="s">
        <v>2468</v>
      </c>
      <c r="K609" s="5">
        <f t="shared" si="2"/>
        <v>0.3753515593</v>
      </c>
      <c r="L609" s="6">
        <f t="shared" si="3"/>
        <v>58</v>
      </c>
      <c r="M609" s="6">
        <f t="shared" si="4"/>
        <v>31128.2931</v>
      </c>
      <c r="N609" s="7">
        <f t="shared" si="5"/>
        <v>0.006471578608</v>
      </c>
      <c r="O609" s="7"/>
      <c r="P609" s="4">
        <f t="shared" si="6"/>
        <v>4.108817343</v>
      </c>
      <c r="Q609" s="4">
        <f t="shared" si="7"/>
        <v>7</v>
      </c>
      <c r="R609" s="4">
        <f t="shared" si="8"/>
        <v>0</v>
      </c>
      <c r="S609" s="4">
        <f t="shared" si="9"/>
        <v>4.108817343</v>
      </c>
      <c r="T609" s="4">
        <f t="shared" si="10"/>
        <v>39</v>
      </c>
      <c r="U609" s="4">
        <f t="shared" si="1"/>
        <v>4.108817343</v>
      </c>
      <c r="V609" s="4"/>
    </row>
    <row r="610">
      <c r="A610" s="1" t="s">
        <v>15082</v>
      </c>
      <c r="B610" s="1" t="s">
        <v>15084</v>
      </c>
      <c r="C610" s="1" t="s">
        <v>15086</v>
      </c>
      <c r="D610" s="1" t="s">
        <v>15047</v>
      </c>
      <c r="E610" s="1" t="s">
        <v>15048</v>
      </c>
      <c r="F610" s="1">
        <v>532032.0</v>
      </c>
      <c r="G610" s="1">
        <v>25437.0</v>
      </c>
      <c r="H610" s="1">
        <v>997.0</v>
      </c>
      <c r="I610" s="1">
        <v>4810000.0</v>
      </c>
      <c r="J610" s="1" t="s">
        <v>2468</v>
      </c>
      <c r="K610" s="5">
        <f t="shared" si="2"/>
        <v>0.1106095634</v>
      </c>
      <c r="L610" s="6">
        <f t="shared" si="3"/>
        <v>79</v>
      </c>
      <c r="M610" s="6">
        <f t="shared" si="4"/>
        <v>6734.582278</v>
      </c>
      <c r="N610" s="7">
        <f t="shared" si="5"/>
        <v>0.001400121056</v>
      </c>
      <c r="O610" s="7"/>
      <c r="P610" s="4">
        <f t="shared" si="6"/>
        <v>0.5366681231</v>
      </c>
      <c r="Q610" s="4">
        <f t="shared" si="7"/>
        <v>4</v>
      </c>
      <c r="R610" s="4">
        <f t="shared" si="8"/>
        <v>0</v>
      </c>
      <c r="S610" s="4">
        <f t="shared" si="9"/>
        <v>0.5366681231</v>
      </c>
      <c r="T610" s="4">
        <f t="shared" si="10"/>
        <v>28</v>
      </c>
      <c r="U610" s="4">
        <f t="shared" si="1"/>
        <v>0.5366681231</v>
      </c>
      <c r="V610" s="4"/>
    </row>
    <row r="611">
      <c r="A611" s="1" t="s">
        <v>15103</v>
      </c>
      <c r="B611" s="1" t="s">
        <v>15104</v>
      </c>
      <c r="C611" s="1" t="s">
        <v>15105</v>
      </c>
      <c r="D611" s="1" t="s">
        <v>15047</v>
      </c>
      <c r="E611" s="1" t="s">
        <v>15048</v>
      </c>
      <c r="F611" s="1">
        <v>2839002.0</v>
      </c>
      <c r="G611" s="1">
        <v>79257.0</v>
      </c>
      <c r="H611" s="1">
        <v>4671.0</v>
      </c>
      <c r="I611" s="1">
        <v>4810000.0</v>
      </c>
      <c r="J611" s="1" t="s">
        <v>2468</v>
      </c>
      <c r="K611" s="5">
        <f t="shared" si="2"/>
        <v>0.590229106</v>
      </c>
      <c r="L611" s="6">
        <f t="shared" si="3"/>
        <v>93</v>
      </c>
      <c r="M611" s="6">
        <f t="shared" si="4"/>
        <v>30526.90323</v>
      </c>
      <c r="N611" s="7">
        <f t="shared" si="5"/>
        <v>0.006346549527</v>
      </c>
      <c r="O611" s="7"/>
      <c r="P611" s="4">
        <f t="shared" si="6"/>
        <v>4.020751432</v>
      </c>
      <c r="Q611" s="4">
        <f t="shared" si="7"/>
        <v>4</v>
      </c>
      <c r="R611" s="4">
        <f t="shared" si="8"/>
        <v>0</v>
      </c>
      <c r="S611" s="4">
        <f t="shared" si="9"/>
        <v>4.020751432</v>
      </c>
      <c r="T611" s="4">
        <f t="shared" si="10"/>
        <v>20</v>
      </c>
      <c r="U611" s="4">
        <f t="shared" si="1"/>
        <v>4.020751432</v>
      </c>
      <c r="V611" s="4"/>
    </row>
    <row r="612">
      <c r="A612" s="1" t="s">
        <v>15121</v>
      </c>
      <c r="B612" s="1" t="s">
        <v>15122</v>
      </c>
      <c r="C612" s="1" t="s">
        <v>15123</v>
      </c>
      <c r="D612" s="1" t="s">
        <v>15047</v>
      </c>
      <c r="E612" s="1" t="s">
        <v>15048</v>
      </c>
      <c r="F612" s="1">
        <v>615435.0</v>
      </c>
      <c r="G612" s="1">
        <v>26308.0</v>
      </c>
      <c r="H612" s="1">
        <v>1122.0</v>
      </c>
      <c r="I612" s="1">
        <v>4810000.0</v>
      </c>
      <c r="J612" s="1" t="s">
        <v>2468</v>
      </c>
      <c r="K612" s="5">
        <f t="shared" si="2"/>
        <v>0.1279490644</v>
      </c>
      <c r="L612" s="6">
        <f t="shared" si="3"/>
        <v>107</v>
      </c>
      <c r="M612" s="6">
        <f t="shared" si="4"/>
        <v>5751.728972</v>
      </c>
      <c r="N612" s="7">
        <f t="shared" si="5"/>
        <v>0.001195785649</v>
      </c>
      <c r="O612" s="7"/>
      <c r="P612" s="4">
        <f t="shared" si="6"/>
        <v>0.3927417358</v>
      </c>
      <c r="Q612" s="4">
        <f t="shared" si="7"/>
        <v>8</v>
      </c>
      <c r="R612" s="4">
        <f t="shared" si="8"/>
        <v>0</v>
      </c>
      <c r="S612" s="4">
        <f t="shared" si="9"/>
        <v>0.3927417358</v>
      </c>
      <c r="T612" s="4">
        <f t="shared" si="10"/>
        <v>34</v>
      </c>
      <c r="U612" s="4">
        <f t="shared" si="1"/>
        <v>0.3927417358</v>
      </c>
      <c r="V612" s="4"/>
    </row>
    <row r="613">
      <c r="A613" s="1" t="s">
        <v>15142</v>
      </c>
      <c r="B613" s="1" t="s">
        <v>15143</v>
      </c>
      <c r="C613" s="1" t="s">
        <v>15144</v>
      </c>
      <c r="D613" s="1" t="s">
        <v>15047</v>
      </c>
      <c r="E613" s="1" t="s">
        <v>15048</v>
      </c>
      <c r="F613" s="1">
        <v>1047222.0</v>
      </c>
      <c r="G613" s="1">
        <v>31009.0</v>
      </c>
      <c r="H613" s="1">
        <v>1681.0</v>
      </c>
      <c r="I613" s="1">
        <v>4810000.0</v>
      </c>
      <c r="J613" s="1" t="s">
        <v>2468</v>
      </c>
      <c r="K613" s="5">
        <f t="shared" si="2"/>
        <v>0.2177176715</v>
      </c>
      <c r="L613" s="6">
        <f t="shared" si="3"/>
        <v>121</v>
      </c>
      <c r="M613" s="6">
        <f t="shared" si="4"/>
        <v>8654.727273</v>
      </c>
      <c r="N613" s="7">
        <f t="shared" si="5"/>
        <v>0.001799319599</v>
      </c>
      <c r="O613" s="7"/>
      <c r="P613" s="4">
        <f t="shared" si="6"/>
        <v>0.8178489771</v>
      </c>
      <c r="Q613" s="4">
        <f t="shared" si="7"/>
        <v>6</v>
      </c>
      <c r="R613" s="4">
        <f t="shared" si="8"/>
        <v>0</v>
      </c>
      <c r="S613" s="4">
        <f t="shared" si="9"/>
        <v>0.8178489771</v>
      </c>
      <c r="T613" s="4">
        <f t="shared" si="10"/>
        <v>28</v>
      </c>
      <c r="U613" s="4">
        <f t="shared" si="1"/>
        <v>0.8178489771</v>
      </c>
      <c r="V613" s="4"/>
    </row>
    <row r="614">
      <c r="A614" s="1" t="s">
        <v>15162</v>
      </c>
      <c r="B614" s="1" t="s">
        <v>15164</v>
      </c>
      <c r="C614" s="1" t="s">
        <v>15165</v>
      </c>
      <c r="D614" s="1" t="s">
        <v>15047</v>
      </c>
      <c r="E614" s="1" t="s">
        <v>15048</v>
      </c>
      <c r="F614" s="1">
        <v>1189238.0</v>
      </c>
      <c r="G614" s="1">
        <v>34559.0</v>
      </c>
      <c r="H614" s="1">
        <v>1203.0</v>
      </c>
      <c r="I614" s="1">
        <v>4810000.0</v>
      </c>
      <c r="J614" s="1" t="s">
        <v>2468</v>
      </c>
      <c r="K614" s="5">
        <f t="shared" si="2"/>
        <v>0.2472428274</v>
      </c>
      <c r="L614" s="6">
        <f t="shared" si="3"/>
        <v>135</v>
      </c>
      <c r="M614" s="6">
        <f t="shared" si="4"/>
        <v>8809.17037</v>
      </c>
      <c r="N614" s="7">
        <f t="shared" si="5"/>
        <v>0.001831428351</v>
      </c>
      <c r="O614" s="7"/>
      <c r="P614" s="4">
        <f t="shared" si="6"/>
        <v>0.8404652078</v>
      </c>
      <c r="Q614" s="4">
        <f t="shared" si="7"/>
        <v>8</v>
      </c>
      <c r="R614" s="4">
        <f t="shared" si="8"/>
        <v>0</v>
      </c>
      <c r="S614" s="4">
        <f t="shared" si="9"/>
        <v>0.8404652078</v>
      </c>
      <c r="T614" s="4">
        <f t="shared" si="10"/>
        <v>31</v>
      </c>
      <c r="U614" s="4">
        <f t="shared" si="1"/>
        <v>0.8404652078</v>
      </c>
      <c r="V614" s="4"/>
    </row>
    <row r="615">
      <c r="A615" s="1" t="s">
        <v>15178</v>
      </c>
      <c r="B615" s="1" t="s">
        <v>15179</v>
      </c>
      <c r="C615" s="1" t="s">
        <v>15180</v>
      </c>
      <c r="D615" s="1" t="s">
        <v>15047</v>
      </c>
      <c r="E615" s="1" t="s">
        <v>15048</v>
      </c>
      <c r="F615" s="1">
        <v>756549.0</v>
      </c>
      <c r="G615" s="1">
        <v>28679.0</v>
      </c>
      <c r="H615" s="1">
        <v>847.0</v>
      </c>
      <c r="I615" s="1">
        <v>4810000.0</v>
      </c>
      <c r="J615" s="1" t="s">
        <v>2468</v>
      </c>
      <c r="K615" s="5">
        <f t="shared" si="2"/>
        <v>0.1572866944</v>
      </c>
      <c r="L615" s="6">
        <f t="shared" si="3"/>
        <v>149</v>
      </c>
      <c r="M615" s="6">
        <f t="shared" si="4"/>
        <v>5077.510067</v>
      </c>
      <c r="N615" s="7">
        <f t="shared" si="5"/>
        <v>0.001055615399</v>
      </c>
      <c r="O615" s="7"/>
      <c r="P615" s="4">
        <f t="shared" si="6"/>
        <v>0.2940109378</v>
      </c>
      <c r="Q615" s="4">
        <f t="shared" si="7"/>
        <v>5</v>
      </c>
      <c r="R615" s="4">
        <f t="shared" si="8"/>
        <v>0</v>
      </c>
      <c r="S615" s="4">
        <f t="shared" si="9"/>
        <v>0.2940109378</v>
      </c>
      <c r="T615" s="4">
        <f t="shared" si="10"/>
        <v>26</v>
      </c>
      <c r="U615" s="4">
        <f t="shared" si="1"/>
        <v>0.2940109378</v>
      </c>
      <c r="V615" s="4"/>
    </row>
    <row r="616">
      <c r="A616" s="1" t="s">
        <v>15204</v>
      </c>
      <c r="B616" s="1" t="s">
        <v>15206</v>
      </c>
      <c r="C616" s="1" t="s">
        <v>15208</v>
      </c>
      <c r="D616" s="1" t="s">
        <v>15047</v>
      </c>
      <c r="E616" s="1" t="s">
        <v>15048</v>
      </c>
      <c r="F616" s="1">
        <v>4862283.0</v>
      </c>
      <c r="G616" s="1">
        <v>82533.0</v>
      </c>
      <c r="H616" s="1">
        <v>4429.0</v>
      </c>
      <c r="I616" s="1">
        <v>4810000.0</v>
      </c>
      <c r="J616" s="1" t="s">
        <v>2468</v>
      </c>
      <c r="K616" s="5">
        <f t="shared" si="2"/>
        <v>1.010869647</v>
      </c>
      <c r="L616" s="6">
        <f t="shared" si="3"/>
        <v>170</v>
      </c>
      <c r="M616" s="6">
        <f t="shared" si="4"/>
        <v>28601.66471</v>
      </c>
      <c r="N616" s="7">
        <f t="shared" si="5"/>
        <v>0.005946292039</v>
      </c>
      <c r="O616" s="7"/>
      <c r="P616" s="4">
        <f t="shared" si="6"/>
        <v>3.738824695</v>
      </c>
      <c r="Q616" s="4">
        <f t="shared" si="7"/>
        <v>6</v>
      </c>
      <c r="R616" s="4">
        <f t="shared" si="8"/>
        <v>0</v>
      </c>
      <c r="S616" s="4">
        <f t="shared" si="9"/>
        <v>3.738824695</v>
      </c>
      <c r="T616" s="4">
        <f t="shared" si="10"/>
        <v>26</v>
      </c>
      <c r="U616" s="4">
        <f t="shared" si="1"/>
        <v>3.738824695</v>
      </c>
      <c r="V616" s="4"/>
    </row>
    <row r="617">
      <c r="A617" s="1" t="s">
        <v>15219</v>
      </c>
      <c r="B617" s="1" t="s">
        <v>15220</v>
      </c>
      <c r="C617" s="1" t="s">
        <v>15222</v>
      </c>
      <c r="D617" s="1" t="s">
        <v>15047</v>
      </c>
      <c r="E617" s="1" t="s">
        <v>15048</v>
      </c>
      <c r="F617" s="1">
        <v>641726.0</v>
      </c>
      <c r="G617" s="1">
        <v>29378.0</v>
      </c>
      <c r="H617" s="1">
        <v>776.0</v>
      </c>
      <c r="I617" s="1">
        <v>4810000.0</v>
      </c>
      <c r="J617" s="1" t="s">
        <v>2468</v>
      </c>
      <c r="K617" s="5">
        <f t="shared" si="2"/>
        <v>0.1334149688</v>
      </c>
      <c r="L617" s="6">
        <f t="shared" si="3"/>
        <v>184</v>
      </c>
      <c r="M617" s="6">
        <f t="shared" si="4"/>
        <v>3487.641304</v>
      </c>
      <c r="N617" s="7">
        <f t="shared" si="5"/>
        <v>0.0007250813523</v>
      </c>
      <c r="O617" s="7"/>
      <c r="P617" s="4">
        <f t="shared" si="6"/>
        <v>0.06119484425</v>
      </c>
      <c r="Q617" s="4">
        <f t="shared" si="7"/>
        <v>4</v>
      </c>
      <c r="R617" s="4">
        <f t="shared" si="8"/>
        <v>0</v>
      </c>
      <c r="S617" s="4">
        <f t="shared" si="9"/>
        <v>0.06119484425</v>
      </c>
      <c r="T617" s="4">
        <f t="shared" si="10"/>
        <v>24</v>
      </c>
      <c r="U617" s="4">
        <f t="shared" si="1"/>
        <v>0.06119484425</v>
      </c>
      <c r="V617" s="4"/>
    </row>
    <row r="618">
      <c r="A618" s="1" t="s">
        <v>15234</v>
      </c>
      <c r="B618" s="1" t="s">
        <v>15235</v>
      </c>
      <c r="C618" s="1" t="s">
        <v>15237</v>
      </c>
      <c r="D618" s="1" t="s">
        <v>15047</v>
      </c>
      <c r="E618" s="1" t="s">
        <v>15048</v>
      </c>
      <c r="F618" s="1">
        <v>839848.0</v>
      </c>
      <c r="G618" s="1">
        <v>34915.0</v>
      </c>
      <c r="H618" s="1">
        <v>2011.0</v>
      </c>
      <c r="I618" s="1">
        <v>4810000.0</v>
      </c>
      <c r="J618" s="1" t="s">
        <v>2468</v>
      </c>
      <c r="K618" s="5">
        <f t="shared" si="2"/>
        <v>0.1746045738</v>
      </c>
      <c r="L618" s="6">
        <f t="shared" si="3"/>
        <v>198</v>
      </c>
      <c r="M618" s="6">
        <f t="shared" si="4"/>
        <v>4241.656566</v>
      </c>
      <c r="N618" s="7">
        <f t="shared" si="5"/>
        <v>0.0008818412818</v>
      </c>
      <c r="O618" s="7"/>
      <c r="P618" s="4">
        <f t="shared" si="6"/>
        <v>0.1716108054</v>
      </c>
      <c r="Q618" s="4">
        <f t="shared" si="7"/>
        <v>7</v>
      </c>
      <c r="R618" s="4">
        <f t="shared" si="8"/>
        <v>0</v>
      </c>
      <c r="S618" s="4">
        <f t="shared" si="9"/>
        <v>0.1716108054</v>
      </c>
      <c r="T618" s="4">
        <f t="shared" si="10"/>
        <v>25</v>
      </c>
      <c r="U618" s="4">
        <f t="shared" si="1"/>
        <v>0.1716108054</v>
      </c>
      <c r="V618" s="4"/>
    </row>
    <row r="619">
      <c r="A619" s="1" t="s">
        <v>15252</v>
      </c>
      <c r="B619" s="1" t="s">
        <v>15253</v>
      </c>
      <c r="C619" s="1" t="s">
        <v>15254</v>
      </c>
      <c r="D619" s="1" t="s">
        <v>15047</v>
      </c>
      <c r="E619" s="1" t="s">
        <v>15048</v>
      </c>
      <c r="F619" s="1">
        <v>2366797.0</v>
      </c>
      <c r="G619" s="1">
        <v>63057.0</v>
      </c>
      <c r="H619" s="1">
        <v>1997.0</v>
      </c>
      <c r="I619" s="1">
        <v>4810000.0</v>
      </c>
      <c r="J619" s="1" t="s">
        <v>2468</v>
      </c>
      <c r="K619" s="5">
        <f t="shared" si="2"/>
        <v>0.4920575884</v>
      </c>
      <c r="L619" s="6">
        <f t="shared" si="3"/>
        <v>212</v>
      </c>
      <c r="M619" s="6">
        <f t="shared" si="4"/>
        <v>11164.13679</v>
      </c>
      <c r="N619" s="7">
        <f t="shared" si="5"/>
        <v>0.00232102636</v>
      </c>
      <c r="O619" s="7"/>
      <c r="P619" s="4">
        <f t="shared" si="6"/>
        <v>1.185320139</v>
      </c>
      <c r="Q619" s="4">
        <f t="shared" si="7"/>
        <v>5</v>
      </c>
      <c r="R619" s="4">
        <f t="shared" si="8"/>
        <v>1</v>
      </c>
      <c r="S619" s="4">
        <f t="shared" si="9"/>
        <v>1.185320139</v>
      </c>
      <c r="T619" s="4">
        <f t="shared" si="10"/>
        <v>28</v>
      </c>
      <c r="U619" s="4">
        <f t="shared" si="1"/>
        <v>1.185320139</v>
      </c>
      <c r="V619" s="4"/>
    </row>
    <row r="620">
      <c r="A620" s="1" t="s">
        <v>15270</v>
      </c>
      <c r="B620" s="1" t="s">
        <v>15271</v>
      </c>
      <c r="C620" s="1" t="s">
        <v>15272</v>
      </c>
      <c r="D620" s="1" t="s">
        <v>15047</v>
      </c>
      <c r="E620" s="1" t="s">
        <v>15048</v>
      </c>
      <c r="F620" s="1">
        <v>1881093.0</v>
      </c>
      <c r="G620" s="1">
        <v>53652.0</v>
      </c>
      <c r="H620" s="1">
        <v>1479.0</v>
      </c>
      <c r="I620" s="1">
        <v>4810000.0</v>
      </c>
      <c r="J620" s="1" t="s">
        <v>2468</v>
      </c>
      <c r="K620" s="5">
        <f t="shared" si="2"/>
        <v>0.3910796258</v>
      </c>
      <c r="L620" s="6">
        <f t="shared" si="3"/>
        <v>226</v>
      </c>
      <c r="M620" s="6">
        <f t="shared" si="4"/>
        <v>8323.420354</v>
      </c>
      <c r="N620" s="7">
        <f t="shared" si="5"/>
        <v>0.001730440822</v>
      </c>
      <c r="O620" s="7"/>
      <c r="P620" s="4">
        <f t="shared" si="6"/>
        <v>0.7693332855</v>
      </c>
      <c r="Q620" s="4">
        <f t="shared" si="7"/>
        <v>5</v>
      </c>
      <c r="R620" s="4">
        <f t="shared" si="8"/>
        <v>0</v>
      </c>
      <c r="S620" s="4">
        <f t="shared" si="9"/>
        <v>0.7693332855</v>
      </c>
      <c r="T620" s="4">
        <f t="shared" si="10"/>
        <v>28</v>
      </c>
      <c r="U620" s="4">
        <f t="shared" si="1"/>
        <v>0.7693332855</v>
      </c>
      <c r="V620" s="4"/>
    </row>
    <row r="621">
      <c r="A621" s="1" t="s">
        <v>15309</v>
      </c>
      <c r="B621" s="1" t="s">
        <v>15311</v>
      </c>
      <c r="C621" s="1" t="s">
        <v>15313</v>
      </c>
      <c r="D621" s="1" t="s">
        <v>15047</v>
      </c>
      <c r="E621" s="1" t="s">
        <v>15048</v>
      </c>
      <c r="F621" s="1">
        <v>2343139.0</v>
      </c>
      <c r="G621" s="1">
        <v>75727.0</v>
      </c>
      <c r="H621" s="1">
        <v>2453.0</v>
      </c>
      <c r="I621" s="1">
        <v>4810000.0</v>
      </c>
      <c r="J621" s="1" t="s">
        <v>2468</v>
      </c>
      <c r="K621" s="5">
        <f t="shared" si="2"/>
        <v>0.4871390852</v>
      </c>
      <c r="L621" s="6">
        <f t="shared" si="3"/>
        <v>240</v>
      </c>
      <c r="M621" s="6">
        <f t="shared" si="4"/>
        <v>9763.079167</v>
      </c>
      <c r="N621" s="7">
        <f t="shared" si="5"/>
        <v>0.002029746188</v>
      </c>
      <c r="O621" s="7"/>
      <c r="P621" s="4">
        <f t="shared" si="6"/>
        <v>0.9801530391</v>
      </c>
      <c r="Q621" s="4">
        <f t="shared" si="7"/>
        <v>8</v>
      </c>
      <c r="R621" s="4">
        <f t="shared" si="8"/>
        <v>0</v>
      </c>
      <c r="S621" s="4">
        <f t="shared" si="9"/>
        <v>0.9801530391</v>
      </c>
      <c r="T621" s="4">
        <f t="shared" si="10"/>
        <v>41</v>
      </c>
      <c r="U621" s="4">
        <f t="shared" si="1"/>
        <v>0.9801530391</v>
      </c>
      <c r="V621" s="4"/>
    </row>
    <row r="622">
      <c r="A622" s="1" t="s">
        <v>15333</v>
      </c>
      <c r="B622" s="1" t="s">
        <v>15334</v>
      </c>
      <c r="C622" s="1" t="s">
        <v>15335</v>
      </c>
      <c r="D622" s="1" t="s">
        <v>15047</v>
      </c>
      <c r="E622" s="1" t="s">
        <v>15048</v>
      </c>
      <c r="F622" s="1">
        <v>999061.0</v>
      </c>
      <c r="G622" s="1">
        <v>32836.0</v>
      </c>
      <c r="H622" s="1">
        <v>1314.0</v>
      </c>
      <c r="I622" s="1">
        <v>4810000.0</v>
      </c>
      <c r="J622" s="1" t="s">
        <v>2468</v>
      </c>
      <c r="K622" s="5">
        <f t="shared" si="2"/>
        <v>0.2077049896</v>
      </c>
      <c r="L622" s="6">
        <f t="shared" si="3"/>
        <v>261</v>
      </c>
      <c r="M622" s="6">
        <f t="shared" si="4"/>
        <v>3827.819923</v>
      </c>
      <c r="N622" s="7">
        <f t="shared" si="5"/>
        <v>0.0007958045579</v>
      </c>
      <c r="O622" s="7"/>
      <c r="P622" s="4">
        <f t="shared" si="6"/>
        <v>0.1110096837</v>
      </c>
      <c r="Q622" s="4">
        <f t="shared" si="7"/>
        <v>7</v>
      </c>
      <c r="R622" s="4">
        <f t="shared" si="8"/>
        <v>0</v>
      </c>
      <c r="S622" s="4">
        <f t="shared" si="9"/>
        <v>0.1110096837</v>
      </c>
      <c r="T622" s="4">
        <f t="shared" si="10"/>
        <v>26</v>
      </c>
      <c r="U622" s="4">
        <f t="shared" si="1"/>
        <v>0.1110096837</v>
      </c>
      <c r="V622" s="4"/>
    </row>
    <row r="623">
      <c r="A623" s="1" t="s">
        <v>15348</v>
      </c>
      <c r="B623" s="1" t="s">
        <v>15350</v>
      </c>
      <c r="C623" s="1" t="s">
        <v>15352</v>
      </c>
      <c r="D623" s="1" t="s">
        <v>15047</v>
      </c>
      <c r="E623" s="1" t="s">
        <v>15048</v>
      </c>
      <c r="F623" s="1">
        <v>1088829.0</v>
      </c>
      <c r="G623" s="1">
        <v>33267.0</v>
      </c>
      <c r="H623" s="1">
        <v>2114.0</v>
      </c>
      <c r="I623" s="1">
        <v>4810000.0</v>
      </c>
      <c r="J623" s="1" t="s">
        <v>2468</v>
      </c>
      <c r="K623" s="5">
        <f t="shared" si="2"/>
        <v>0.2263677755</v>
      </c>
      <c r="L623" s="6">
        <f t="shared" si="3"/>
        <v>275</v>
      </c>
      <c r="M623" s="6">
        <f t="shared" si="4"/>
        <v>3959.378182</v>
      </c>
      <c r="N623" s="7">
        <f t="shared" si="5"/>
        <v>0.0008231555472</v>
      </c>
      <c r="O623" s="7"/>
      <c r="P623" s="4">
        <f t="shared" si="6"/>
        <v>0.1302747203</v>
      </c>
      <c r="Q623" s="4">
        <f t="shared" si="7"/>
        <v>4</v>
      </c>
      <c r="R623" s="4">
        <f t="shared" si="8"/>
        <v>0</v>
      </c>
      <c r="S623" s="4">
        <f t="shared" si="9"/>
        <v>0.1302747203</v>
      </c>
      <c r="T623" s="4">
        <f t="shared" si="10"/>
        <v>21</v>
      </c>
      <c r="U623" s="4">
        <f t="shared" si="1"/>
        <v>0.1302747203</v>
      </c>
      <c r="V623" s="4"/>
    </row>
    <row r="624">
      <c r="A624" s="1" t="s">
        <v>15370</v>
      </c>
      <c r="B624" s="1" t="s">
        <v>15373</v>
      </c>
      <c r="C624" s="1" t="s">
        <v>15374</v>
      </c>
      <c r="D624" s="1" t="s">
        <v>15047</v>
      </c>
      <c r="E624" s="1" t="s">
        <v>15048</v>
      </c>
      <c r="F624" s="1">
        <v>734585.0</v>
      </c>
      <c r="G624" s="1">
        <v>32784.0</v>
      </c>
      <c r="H624" s="1">
        <v>1183.0</v>
      </c>
      <c r="I624" s="1">
        <v>4810000.0</v>
      </c>
      <c r="J624" s="1" t="s">
        <v>2468</v>
      </c>
      <c r="K624" s="5">
        <f t="shared" si="2"/>
        <v>0.1527203742</v>
      </c>
      <c r="L624" s="6">
        <f t="shared" si="3"/>
        <v>292</v>
      </c>
      <c r="M624" s="6">
        <f t="shared" si="4"/>
        <v>2515.702055</v>
      </c>
      <c r="N624" s="7">
        <f t="shared" si="5"/>
        <v>0.0005230149802</v>
      </c>
      <c r="O624" s="7"/>
      <c r="P624" s="4">
        <f t="shared" si="6"/>
        <v>-0.081133318</v>
      </c>
      <c r="Q624" s="4">
        <f t="shared" si="7"/>
        <v>7</v>
      </c>
      <c r="R624" s="4">
        <f t="shared" si="8"/>
        <v>0</v>
      </c>
      <c r="S624" s="4">
        <f t="shared" si="9"/>
        <v>-0.081133318</v>
      </c>
      <c r="T624" s="4">
        <f t="shared" si="10"/>
        <v>40</v>
      </c>
      <c r="U624" s="4">
        <f t="shared" si="1"/>
        <v>-0.081133318</v>
      </c>
      <c r="V624" s="4"/>
    </row>
    <row r="625">
      <c r="A625" s="1" t="s">
        <v>15399</v>
      </c>
      <c r="B625" s="1" t="s">
        <v>15400</v>
      </c>
      <c r="C625" s="1" t="s">
        <v>15401</v>
      </c>
      <c r="D625" s="1" t="s">
        <v>15047</v>
      </c>
      <c r="E625" s="1" t="s">
        <v>15048</v>
      </c>
      <c r="F625" s="1">
        <v>802831.0</v>
      </c>
      <c r="G625" s="1">
        <v>30713.0</v>
      </c>
      <c r="H625" s="1">
        <v>1162.0</v>
      </c>
      <c r="I625" s="1">
        <v>4810000.0</v>
      </c>
      <c r="J625" s="1" t="s">
        <v>2468</v>
      </c>
      <c r="K625" s="5">
        <f t="shared" si="2"/>
        <v>0.1669087318</v>
      </c>
      <c r="L625" s="6">
        <f t="shared" si="3"/>
        <v>303</v>
      </c>
      <c r="M625" s="6">
        <f t="shared" si="4"/>
        <v>2649.607261</v>
      </c>
      <c r="N625" s="7">
        <f t="shared" si="5"/>
        <v>0.0005508539004</v>
      </c>
      <c r="O625" s="7"/>
      <c r="P625" s="4">
        <f t="shared" si="6"/>
        <v>-0.0615246008</v>
      </c>
      <c r="Q625" s="4">
        <f t="shared" si="7"/>
        <v>5</v>
      </c>
      <c r="R625" s="4">
        <f t="shared" si="8"/>
        <v>0</v>
      </c>
      <c r="S625" s="4">
        <f t="shared" si="9"/>
        <v>-0.0615246008</v>
      </c>
      <c r="T625" s="4">
        <f t="shared" si="10"/>
        <v>31</v>
      </c>
      <c r="U625" s="4">
        <f t="shared" si="1"/>
        <v>-0.0615246008</v>
      </c>
      <c r="V625" s="4"/>
    </row>
    <row r="626">
      <c r="A626" s="1" t="s">
        <v>15420</v>
      </c>
      <c r="B626" s="1" t="s">
        <v>15422</v>
      </c>
      <c r="C626" s="1" t="s">
        <v>15424</v>
      </c>
      <c r="D626" s="1" t="s">
        <v>15047</v>
      </c>
      <c r="E626" s="1" t="s">
        <v>15048</v>
      </c>
      <c r="F626" s="1">
        <v>1990798.0</v>
      </c>
      <c r="G626" s="1">
        <v>47934.0</v>
      </c>
      <c r="H626" s="1">
        <v>1309.0</v>
      </c>
      <c r="I626" s="1">
        <v>4810000.0</v>
      </c>
      <c r="J626" s="1" t="s">
        <v>2468</v>
      </c>
      <c r="K626" s="5">
        <f t="shared" si="2"/>
        <v>0.4138873181</v>
      </c>
      <c r="L626" s="6">
        <f t="shared" si="3"/>
        <v>317</v>
      </c>
      <c r="M626" s="6">
        <f t="shared" si="4"/>
        <v>6280.119874</v>
      </c>
      <c r="N626" s="7">
        <f t="shared" si="5"/>
        <v>0.001305638227</v>
      </c>
      <c r="O626" s="7"/>
      <c r="P626" s="4">
        <f t="shared" si="6"/>
        <v>0.4701178743</v>
      </c>
      <c r="Q626" s="4">
        <f t="shared" si="7"/>
        <v>6</v>
      </c>
      <c r="R626" s="4">
        <f t="shared" si="8"/>
        <v>0</v>
      </c>
      <c r="S626" s="4">
        <f t="shared" si="9"/>
        <v>0.4701178743</v>
      </c>
      <c r="T626" s="4">
        <f t="shared" si="10"/>
        <v>33</v>
      </c>
      <c r="U626" s="4">
        <f t="shared" si="1"/>
        <v>0.4701178743</v>
      </c>
      <c r="V626" s="4"/>
    </row>
    <row r="627">
      <c r="A627" s="1" t="s">
        <v>15455</v>
      </c>
      <c r="B627" s="1" t="s">
        <v>15457</v>
      </c>
      <c r="C627" s="1" t="s">
        <v>15458</v>
      </c>
      <c r="D627" s="1" t="s">
        <v>15047</v>
      </c>
      <c r="E627" s="1" t="s">
        <v>15048</v>
      </c>
      <c r="F627" s="1">
        <v>3829986.0</v>
      </c>
      <c r="G627" s="1">
        <v>97575.0</v>
      </c>
      <c r="H627" s="1">
        <v>3041.0</v>
      </c>
      <c r="I627" s="1">
        <v>4810000.0</v>
      </c>
      <c r="J627" s="1" t="s">
        <v>2468</v>
      </c>
      <c r="K627" s="5">
        <f t="shared" si="2"/>
        <v>0.7962548857</v>
      </c>
      <c r="L627" s="6">
        <f t="shared" si="3"/>
        <v>331</v>
      </c>
      <c r="M627" s="6">
        <f t="shared" si="4"/>
        <v>11570.95468</v>
      </c>
      <c r="N627" s="7">
        <f t="shared" si="5"/>
        <v>0.002405603884</v>
      </c>
      <c r="O627" s="7"/>
      <c r="P627" s="4">
        <f t="shared" si="6"/>
        <v>1.244893454</v>
      </c>
      <c r="Q627" s="4">
        <f t="shared" si="7"/>
        <v>6</v>
      </c>
      <c r="R627" s="4">
        <f t="shared" si="8"/>
        <v>0</v>
      </c>
      <c r="S627" s="4">
        <f t="shared" si="9"/>
        <v>1.244893454</v>
      </c>
      <c r="T627" s="4">
        <f t="shared" si="10"/>
        <v>29</v>
      </c>
      <c r="U627" s="4">
        <f t="shared" si="1"/>
        <v>1.244893454</v>
      </c>
      <c r="V627" s="4"/>
    </row>
    <row r="628">
      <c r="A628" s="1" t="s">
        <v>15484</v>
      </c>
      <c r="B628" s="1" t="s">
        <v>15486</v>
      </c>
      <c r="C628" s="1" t="s">
        <v>15488</v>
      </c>
      <c r="D628" s="1" t="s">
        <v>15047</v>
      </c>
      <c r="E628" s="1" t="s">
        <v>15048</v>
      </c>
      <c r="F628" s="1">
        <v>703936.0</v>
      </c>
      <c r="G628" s="1">
        <v>39795.0</v>
      </c>
      <c r="H628" s="1">
        <v>2949.0</v>
      </c>
      <c r="I628" s="1">
        <v>4810000.0</v>
      </c>
      <c r="J628" s="1" t="s">
        <v>2468</v>
      </c>
      <c r="K628" s="5">
        <f t="shared" si="2"/>
        <v>0.1463484407</v>
      </c>
      <c r="L628" s="6">
        <f t="shared" si="3"/>
        <v>352</v>
      </c>
      <c r="M628" s="6">
        <f t="shared" si="4"/>
        <v>1999.818182</v>
      </c>
      <c r="N628" s="7">
        <f t="shared" si="5"/>
        <v>0.0004157626158</v>
      </c>
      <c r="O628" s="7"/>
      <c r="P628" s="4">
        <f t="shared" si="6"/>
        <v>-0.156677961</v>
      </c>
      <c r="Q628" s="4">
        <f t="shared" si="7"/>
        <v>7</v>
      </c>
      <c r="R628" s="4">
        <f t="shared" si="8"/>
        <v>0</v>
      </c>
      <c r="S628" s="4">
        <f t="shared" si="9"/>
        <v>-0.156677961</v>
      </c>
      <c r="T628" s="4">
        <f t="shared" si="10"/>
        <v>38</v>
      </c>
      <c r="U628" s="4">
        <f t="shared" si="1"/>
        <v>-0.156677961</v>
      </c>
      <c r="V628" s="4"/>
    </row>
    <row r="629">
      <c r="A629" s="1" t="s">
        <v>15507</v>
      </c>
      <c r="B629" s="1" t="s">
        <v>15509</v>
      </c>
      <c r="C629" s="1" t="s">
        <v>15511</v>
      </c>
      <c r="D629" s="1" t="s">
        <v>15047</v>
      </c>
      <c r="E629" s="1" t="s">
        <v>15048</v>
      </c>
      <c r="F629" s="1">
        <v>1003733.0</v>
      </c>
      <c r="G629" s="1">
        <v>42242.0</v>
      </c>
      <c r="H629" s="1">
        <v>1611.0</v>
      </c>
      <c r="I629" s="1">
        <v>4810000.0</v>
      </c>
      <c r="J629" s="1" t="s">
        <v>2468</v>
      </c>
      <c r="K629" s="5">
        <f t="shared" si="2"/>
        <v>0.2086762994</v>
      </c>
      <c r="L629" s="6">
        <f t="shared" si="3"/>
        <v>366</v>
      </c>
      <c r="M629" s="6">
        <f t="shared" si="4"/>
        <v>2742.439891</v>
      </c>
      <c r="N629" s="7">
        <f t="shared" si="5"/>
        <v>0.0005701538234</v>
      </c>
      <c r="O629" s="7"/>
      <c r="P629" s="4">
        <f t="shared" si="6"/>
        <v>-0.04793044085</v>
      </c>
      <c r="Q629" s="4">
        <f t="shared" si="7"/>
        <v>6</v>
      </c>
      <c r="R629" s="4">
        <f t="shared" si="8"/>
        <v>0</v>
      </c>
      <c r="S629" s="4">
        <f t="shared" si="9"/>
        <v>-0.04793044085</v>
      </c>
      <c r="T629" s="4">
        <f t="shared" si="10"/>
        <v>38</v>
      </c>
      <c r="U629" s="4">
        <f t="shared" si="1"/>
        <v>-0.04793044085</v>
      </c>
      <c r="V629" s="4"/>
    </row>
    <row r="630">
      <c r="A630" s="1" t="s">
        <v>15528</v>
      </c>
      <c r="B630" s="1" t="s">
        <v>15529</v>
      </c>
      <c r="C630" s="1" t="s">
        <v>15530</v>
      </c>
      <c r="D630" s="1" t="s">
        <v>15047</v>
      </c>
      <c r="E630" s="1" t="s">
        <v>15048</v>
      </c>
      <c r="F630" s="1">
        <v>1762789.0</v>
      </c>
      <c r="G630" s="1">
        <v>44243.0</v>
      </c>
      <c r="H630" s="1">
        <v>1898.0</v>
      </c>
      <c r="I630" s="1">
        <v>4810000.0</v>
      </c>
      <c r="J630" s="1" t="s">
        <v>2468</v>
      </c>
      <c r="K630" s="5">
        <f t="shared" si="2"/>
        <v>0.3664841996</v>
      </c>
      <c r="L630" s="6">
        <f t="shared" si="3"/>
        <v>380</v>
      </c>
      <c r="M630" s="6">
        <f t="shared" si="4"/>
        <v>4638.918421</v>
      </c>
      <c r="N630" s="7">
        <f t="shared" si="5"/>
        <v>0.0009644321042</v>
      </c>
      <c r="O630" s="7"/>
      <c r="P630" s="4">
        <f t="shared" si="6"/>
        <v>0.2297847601</v>
      </c>
      <c r="Q630" s="4">
        <f t="shared" si="7"/>
        <v>6</v>
      </c>
      <c r="R630" s="4">
        <f t="shared" si="8"/>
        <v>0</v>
      </c>
      <c r="S630" s="4">
        <f t="shared" si="9"/>
        <v>0.2297847601</v>
      </c>
      <c r="T630" s="4">
        <f t="shared" si="10"/>
        <v>44</v>
      </c>
      <c r="U630" s="4">
        <f t="shared" si="1"/>
        <v>0.2297847601</v>
      </c>
      <c r="V630" s="4"/>
    </row>
    <row r="631">
      <c r="A631" s="1" t="s">
        <v>15538</v>
      </c>
      <c r="B631" s="1" t="s">
        <v>15539</v>
      </c>
      <c r="C631" s="1" t="s">
        <v>15540</v>
      </c>
      <c r="D631" s="1" t="s">
        <v>15047</v>
      </c>
      <c r="E631" s="1" t="s">
        <v>15048</v>
      </c>
      <c r="F631" s="1">
        <v>1090444.0</v>
      </c>
      <c r="G631" s="1">
        <v>39079.0</v>
      </c>
      <c r="H631" s="1">
        <v>1005.0</v>
      </c>
      <c r="I631" s="1">
        <v>4810000.0</v>
      </c>
      <c r="J631" s="1" t="s">
        <v>2468</v>
      </c>
      <c r="K631" s="5">
        <f t="shared" si="2"/>
        <v>0.2267035343</v>
      </c>
      <c r="L631" s="6">
        <f t="shared" si="3"/>
        <v>394</v>
      </c>
      <c r="M631" s="6">
        <f t="shared" si="4"/>
        <v>2767.624365</v>
      </c>
      <c r="N631" s="7">
        <f t="shared" si="5"/>
        <v>0.000575389681</v>
      </c>
      <c r="O631" s="7"/>
      <c r="P631" s="4">
        <f t="shared" si="6"/>
        <v>-0.04424249429</v>
      </c>
      <c r="Q631" s="4">
        <f t="shared" si="7"/>
        <v>7</v>
      </c>
      <c r="R631" s="4">
        <f t="shared" si="8"/>
        <v>1</v>
      </c>
      <c r="S631" s="4">
        <f t="shared" si="9"/>
        <v>-0.04424249429</v>
      </c>
      <c r="T631" s="4">
        <f t="shared" si="10"/>
        <v>26</v>
      </c>
      <c r="U631" s="4">
        <f t="shared" si="1"/>
        <v>-0.04424249429</v>
      </c>
      <c r="V631" s="4"/>
    </row>
    <row r="632">
      <c r="A632" s="1" t="s">
        <v>15552</v>
      </c>
      <c r="B632" s="1" t="s">
        <v>15553</v>
      </c>
      <c r="C632" s="1" t="s">
        <v>15555</v>
      </c>
      <c r="D632" s="1" t="s">
        <v>15047</v>
      </c>
      <c r="E632" s="1" t="s">
        <v>15048</v>
      </c>
      <c r="F632" s="1">
        <v>869591.0</v>
      </c>
      <c r="G632" s="1">
        <v>30928.0</v>
      </c>
      <c r="H632" s="1">
        <v>1120.0</v>
      </c>
      <c r="I632" s="1">
        <v>4810000.0</v>
      </c>
      <c r="J632" s="1" t="s">
        <v>2468</v>
      </c>
      <c r="K632" s="5">
        <f t="shared" si="2"/>
        <v>0.1807881497</v>
      </c>
      <c r="L632" s="6">
        <f t="shared" si="3"/>
        <v>415</v>
      </c>
      <c r="M632" s="6">
        <f t="shared" si="4"/>
        <v>2095.4</v>
      </c>
      <c r="N632" s="7">
        <f t="shared" si="5"/>
        <v>0.0004356340956</v>
      </c>
      <c r="O632" s="7"/>
      <c r="P632" s="4">
        <f t="shared" si="6"/>
        <v>-0.1426812173</v>
      </c>
      <c r="Q632" s="4">
        <f t="shared" si="7"/>
        <v>6</v>
      </c>
      <c r="R632" s="4">
        <f t="shared" si="8"/>
        <v>0</v>
      </c>
      <c r="S632" s="4">
        <f t="shared" si="9"/>
        <v>-0.1426812173</v>
      </c>
      <c r="T632" s="4">
        <f t="shared" si="10"/>
        <v>36</v>
      </c>
      <c r="U632" s="4">
        <f t="shared" si="1"/>
        <v>-0.1426812173</v>
      </c>
      <c r="V632" s="4"/>
    </row>
    <row r="633">
      <c r="A633" s="1" t="s">
        <v>15574</v>
      </c>
      <c r="B633" s="1" t="s">
        <v>15576</v>
      </c>
      <c r="C633" s="1" t="s">
        <v>15578</v>
      </c>
      <c r="D633" s="1" t="s">
        <v>15047</v>
      </c>
      <c r="E633" s="1" t="s">
        <v>15048</v>
      </c>
      <c r="F633" s="1">
        <v>1339822.0</v>
      </c>
      <c r="G633" s="1">
        <v>38458.0</v>
      </c>
      <c r="H633" s="1">
        <v>1384.0</v>
      </c>
      <c r="I633" s="1">
        <v>4810000.0</v>
      </c>
      <c r="J633" s="1" t="s">
        <v>2468</v>
      </c>
      <c r="K633" s="5">
        <f t="shared" si="2"/>
        <v>0.2785492723</v>
      </c>
      <c r="L633" s="6">
        <f t="shared" si="3"/>
        <v>429</v>
      </c>
      <c r="M633" s="6">
        <f t="shared" si="4"/>
        <v>3123.128205</v>
      </c>
      <c r="N633" s="7">
        <f t="shared" si="5"/>
        <v>0.0006492990031</v>
      </c>
      <c r="O633" s="7"/>
      <c r="P633" s="4">
        <f t="shared" si="6"/>
        <v>0.007816529145</v>
      </c>
      <c r="Q633" s="4">
        <f t="shared" si="7"/>
        <v>6</v>
      </c>
      <c r="R633" s="4">
        <f t="shared" si="8"/>
        <v>0</v>
      </c>
      <c r="S633" s="4">
        <f t="shared" si="9"/>
        <v>0.007816529145</v>
      </c>
      <c r="T633" s="4">
        <f t="shared" si="10"/>
        <v>32</v>
      </c>
      <c r="U633" s="4">
        <f t="shared" si="1"/>
        <v>0.007816529145</v>
      </c>
      <c r="V633" s="4"/>
    </row>
    <row r="634">
      <c r="A634" s="1" t="s">
        <v>15594</v>
      </c>
      <c r="B634" s="1" t="s">
        <v>15595</v>
      </c>
      <c r="C634" s="1" t="s">
        <v>15597</v>
      </c>
      <c r="D634" s="1" t="s">
        <v>15047</v>
      </c>
      <c r="E634" s="1" t="s">
        <v>15048</v>
      </c>
      <c r="F634" s="1">
        <v>927079.0</v>
      </c>
      <c r="G634" s="1">
        <v>30226.0</v>
      </c>
      <c r="H634" s="1">
        <v>1310.0</v>
      </c>
      <c r="I634" s="1">
        <v>4810000.0</v>
      </c>
      <c r="J634" s="1" t="s">
        <v>2468</v>
      </c>
      <c r="K634" s="5">
        <f t="shared" si="2"/>
        <v>0.1927399168</v>
      </c>
      <c r="L634" s="6">
        <f t="shared" si="3"/>
        <v>443</v>
      </c>
      <c r="M634" s="6">
        <f t="shared" si="4"/>
        <v>2092.72912</v>
      </c>
      <c r="N634" s="7">
        <f t="shared" si="5"/>
        <v>0.0004350788191</v>
      </c>
      <c r="O634" s="7"/>
      <c r="P634" s="4">
        <f t="shared" si="6"/>
        <v>-0.1430723338</v>
      </c>
      <c r="Q634" s="4">
        <f t="shared" si="7"/>
        <v>4</v>
      </c>
      <c r="R634" s="4">
        <f t="shared" si="8"/>
        <v>0</v>
      </c>
      <c r="S634" s="4">
        <f t="shared" si="9"/>
        <v>-0.1430723338</v>
      </c>
      <c r="T634" s="4">
        <f t="shared" si="10"/>
        <v>21</v>
      </c>
      <c r="U634" s="4">
        <f t="shared" si="1"/>
        <v>-0.1430723338</v>
      </c>
      <c r="V634" s="4"/>
    </row>
    <row r="635">
      <c r="A635" s="1" t="s">
        <v>15612</v>
      </c>
      <c r="B635" s="1" t="s">
        <v>15614</v>
      </c>
      <c r="C635" s="1" t="s">
        <v>15616</v>
      </c>
      <c r="D635" s="1" t="s">
        <v>15047</v>
      </c>
      <c r="E635" s="1" t="s">
        <v>15048</v>
      </c>
      <c r="F635" s="1">
        <v>1167010.0</v>
      </c>
      <c r="G635" s="1">
        <v>38894.0</v>
      </c>
      <c r="H635" s="1">
        <v>1527.0</v>
      </c>
      <c r="I635" s="1">
        <v>4810000.0</v>
      </c>
      <c r="J635" s="1" t="s">
        <v>2468</v>
      </c>
      <c r="K635" s="5">
        <f t="shared" si="2"/>
        <v>0.2426216216</v>
      </c>
      <c r="L635" s="6">
        <f t="shared" si="3"/>
        <v>457</v>
      </c>
      <c r="M635" s="6">
        <f t="shared" si="4"/>
        <v>2553.632385</v>
      </c>
      <c r="N635" s="7">
        <f t="shared" si="5"/>
        <v>0.0005309007038</v>
      </c>
      <c r="O635" s="7"/>
      <c r="P635" s="4">
        <f t="shared" si="6"/>
        <v>-0.07557890273</v>
      </c>
      <c r="Q635" s="4">
        <f t="shared" si="7"/>
        <v>5</v>
      </c>
      <c r="R635" s="4">
        <f t="shared" si="8"/>
        <v>1</v>
      </c>
      <c r="S635" s="4">
        <f t="shared" si="9"/>
        <v>-0.07557890273</v>
      </c>
      <c r="T635" s="4">
        <f t="shared" si="10"/>
        <v>23</v>
      </c>
      <c r="U635" s="4">
        <f t="shared" si="1"/>
        <v>-0.07557890273</v>
      </c>
      <c r="V635" s="4"/>
    </row>
    <row r="636">
      <c r="A636" s="1" t="s">
        <v>15629</v>
      </c>
      <c r="B636" s="1" t="s">
        <v>15631</v>
      </c>
      <c r="C636" s="1" t="s">
        <v>15632</v>
      </c>
      <c r="D636" s="1" t="s">
        <v>15047</v>
      </c>
      <c r="E636" s="1" t="s">
        <v>15048</v>
      </c>
      <c r="F636" s="1">
        <v>2250477.0</v>
      </c>
      <c r="G636" s="1">
        <v>61659.0</v>
      </c>
      <c r="H636" s="1">
        <v>1807.0</v>
      </c>
      <c r="I636" s="1">
        <v>4810000.0</v>
      </c>
      <c r="J636" s="1" t="s">
        <v>2468</v>
      </c>
      <c r="K636" s="5">
        <f t="shared" si="2"/>
        <v>0.4678746362</v>
      </c>
      <c r="L636" s="6">
        <f t="shared" si="3"/>
        <v>471</v>
      </c>
      <c r="M636" s="6">
        <f t="shared" si="4"/>
        <v>4778.082803</v>
      </c>
      <c r="N636" s="7">
        <f t="shared" si="5"/>
        <v>0.000993364408</v>
      </c>
      <c r="O636" s="7"/>
      <c r="P636" s="4">
        <f t="shared" si="6"/>
        <v>0.2501636168</v>
      </c>
      <c r="Q636" s="4">
        <f t="shared" si="7"/>
        <v>5</v>
      </c>
      <c r="R636" s="4">
        <f t="shared" si="8"/>
        <v>0</v>
      </c>
      <c r="S636" s="4">
        <f t="shared" si="9"/>
        <v>0.2501636168</v>
      </c>
      <c r="T636" s="4">
        <f t="shared" si="10"/>
        <v>32</v>
      </c>
      <c r="U636" s="4">
        <f t="shared" si="1"/>
        <v>0.2501636168</v>
      </c>
      <c r="V636" s="4"/>
    </row>
    <row r="637">
      <c r="A637" s="1" t="s">
        <v>15641</v>
      </c>
      <c r="B637" s="1" t="s">
        <v>15642</v>
      </c>
      <c r="C637" s="1" t="s">
        <v>15643</v>
      </c>
      <c r="D637" s="1" t="s">
        <v>15047</v>
      </c>
      <c r="E637" s="1" t="s">
        <v>15048</v>
      </c>
      <c r="F637" s="1">
        <v>2644552.0</v>
      </c>
      <c r="G637" s="1">
        <v>70796.0</v>
      </c>
      <c r="H637" s="1">
        <v>2233.0</v>
      </c>
      <c r="I637" s="1">
        <v>4810000.0</v>
      </c>
      <c r="J637" s="1" t="s">
        <v>2468</v>
      </c>
      <c r="K637" s="5">
        <f t="shared" si="2"/>
        <v>0.5498029106</v>
      </c>
      <c r="L637" s="6">
        <f t="shared" si="3"/>
        <v>485</v>
      </c>
      <c r="M637" s="6">
        <f t="shared" si="4"/>
        <v>5452.684536</v>
      </c>
      <c r="N637" s="7">
        <f t="shared" si="5"/>
        <v>0.001133614249</v>
      </c>
      <c r="O637" s="7"/>
      <c r="P637" s="4">
        <f t="shared" si="6"/>
        <v>0.3489504751</v>
      </c>
      <c r="Q637" s="4">
        <f t="shared" si="7"/>
        <v>4</v>
      </c>
      <c r="R637" s="4">
        <f t="shared" si="8"/>
        <v>0</v>
      </c>
      <c r="S637" s="4">
        <f t="shared" si="9"/>
        <v>0.3489504751</v>
      </c>
      <c r="T637" s="4">
        <f t="shared" si="10"/>
        <v>25</v>
      </c>
      <c r="U637" s="4">
        <f t="shared" si="1"/>
        <v>0.3489504751</v>
      </c>
      <c r="V637" s="4"/>
    </row>
    <row r="638">
      <c r="A638" s="1" t="s">
        <v>15655</v>
      </c>
      <c r="B638" s="1" t="s">
        <v>15657</v>
      </c>
      <c r="C638" s="1" t="s">
        <v>15659</v>
      </c>
      <c r="D638" s="1" t="s">
        <v>15047</v>
      </c>
      <c r="E638" s="1" t="s">
        <v>15048</v>
      </c>
      <c r="F638" s="1">
        <v>950745.0</v>
      </c>
      <c r="G638" s="1">
        <v>35025.0</v>
      </c>
      <c r="H638" s="1">
        <v>1588.0</v>
      </c>
      <c r="I638" s="1">
        <v>4810000.0</v>
      </c>
      <c r="J638" s="1" t="s">
        <v>2468</v>
      </c>
      <c r="K638" s="5">
        <f t="shared" si="2"/>
        <v>0.1976600832</v>
      </c>
      <c r="L638" s="6">
        <f t="shared" si="3"/>
        <v>506</v>
      </c>
      <c r="M638" s="6">
        <f t="shared" si="4"/>
        <v>1878.942688</v>
      </c>
      <c r="N638" s="7">
        <f t="shared" si="5"/>
        <v>0.0003906325754</v>
      </c>
      <c r="O638" s="7"/>
      <c r="P638" s="4">
        <f t="shared" si="6"/>
        <v>-0.1743786423</v>
      </c>
      <c r="Q638" s="4">
        <f t="shared" si="7"/>
        <v>7</v>
      </c>
      <c r="R638" s="4">
        <f t="shared" si="8"/>
        <v>0</v>
      </c>
      <c r="S638" s="4">
        <f t="shared" si="9"/>
        <v>-0.1743786423</v>
      </c>
      <c r="T638" s="4">
        <f t="shared" si="10"/>
        <v>39</v>
      </c>
      <c r="U638" s="4">
        <f t="shared" si="1"/>
        <v>-0.1743786423</v>
      </c>
      <c r="V638" s="4"/>
    </row>
    <row r="639">
      <c r="A639" s="1" t="s">
        <v>15669</v>
      </c>
      <c r="B639" s="1" t="s">
        <v>15670</v>
      </c>
      <c r="C639" s="1" t="s">
        <v>15672</v>
      </c>
      <c r="D639" s="1" t="s">
        <v>15047</v>
      </c>
      <c r="E639" s="1" t="s">
        <v>15048</v>
      </c>
      <c r="F639" s="1">
        <v>6861289.0</v>
      </c>
      <c r="G639" s="1">
        <v>154973.0</v>
      </c>
      <c r="H639" s="1">
        <v>4865.0</v>
      </c>
      <c r="I639" s="1">
        <v>4810000.0</v>
      </c>
      <c r="J639" s="1" t="s">
        <v>2468</v>
      </c>
      <c r="K639" s="5">
        <f t="shared" si="2"/>
        <v>1.42646341</v>
      </c>
      <c r="L639" s="6">
        <f t="shared" si="3"/>
        <v>520</v>
      </c>
      <c r="M639" s="6">
        <f t="shared" si="4"/>
        <v>13194.78654</v>
      </c>
      <c r="N639" s="7">
        <f t="shared" si="5"/>
        <v>0.002743198865</v>
      </c>
      <c r="O639" s="7"/>
      <c r="P639" s="4">
        <f t="shared" si="6"/>
        <v>1.482683011</v>
      </c>
      <c r="Q639" s="4">
        <f t="shared" si="7"/>
        <v>6</v>
      </c>
      <c r="R639" s="4">
        <f t="shared" si="8"/>
        <v>1</v>
      </c>
      <c r="S639" s="4">
        <f t="shared" si="9"/>
        <v>1.482683011</v>
      </c>
      <c r="T639" s="4">
        <f t="shared" si="10"/>
        <v>24</v>
      </c>
      <c r="U639" s="4">
        <f t="shared" si="1"/>
        <v>1.482683011</v>
      </c>
      <c r="V639" s="4"/>
    </row>
    <row r="640">
      <c r="A640" s="1" t="s">
        <v>15687</v>
      </c>
      <c r="B640" s="1" t="s">
        <v>15689</v>
      </c>
      <c r="C640" s="1" t="s">
        <v>15691</v>
      </c>
      <c r="D640" s="1" t="s">
        <v>15047</v>
      </c>
      <c r="E640" s="1" t="s">
        <v>15048</v>
      </c>
      <c r="F640" s="1">
        <v>1660283.0</v>
      </c>
      <c r="G640" s="1">
        <v>51963.0</v>
      </c>
      <c r="H640" s="1">
        <v>2712.0</v>
      </c>
      <c r="I640" s="1">
        <v>4810000.0</v>
      </c>
      <c r="J640" s="1" t="s">
        <v>2468</v>
      </c>
      <c r="K640" s="5">
        <f t="shared" si="2"/>
        <v>0.3451731809</v>
      </c>
      <c r="L640" s="6">
        <f t="shared" si="3"/>
        <v>534</v>
      </c>
      <c r="M640" s="6">
        <f t="shared" si="4"/>
        <v>3109.144195</v>
      </c>
      <c r="N640" s="7">
        <f t="shared" si="5"/>
        <v>0.0006463917245</v>
      </c>
      <c r="O640" s="7"/>
      <c r="P640" s="4">
        <f t="shared" si="6"/>
        <v>0.005768748383</v>
      </c>
      <c r="Q640" s="4">
        <f t="shared" si="7"/>
        <v>9</v>
      </c>
      <c r="R640" s="4">
        <f t="shared" si="8"/>
        <v>0</v>
      </c>
      <c r="S640" s="4">
        <f t="shared" si="9"/>
        <v>0.005768748383</v>
      </c>
      <c r="T640" s="4">
        <f t="shared" si="10"/>
        <v>48</v>
      </c>
      <c r="U640" s="4">
        <f t="shared" si="1"/>
        <v>0.005768748383</v>
      </c>
      <c r="V640" s="4"/>
    </row>
    <row r="641">
      <c r="A641" s="1" t="s">
        <v>15706</v>
      </c>
      <c r="B641" s="1" t="s">
        <v>15708</v>
      </c>
      <c r="C641" s="1" t="s">
        <v>15709</v>
      </c>
      <c r="D641" s="1" t="s">
        <v>15047</v>
      </c>
      <c r="E641" s="1" t="s">
        <v>15048</v>
      </c>
      <c r="F641" s="1">
        <v>6012078.0</v>
      </c>
      <c r="G641" s="1">
        <v>134210.0</v>
      </c>
      <c r="H641" s="1">
        <v>5898.0</v>
      </c>
      <c r="I641" s="1">
        <v>4810000.0</v>
      </c>
      <c r="J641" s="1" t="s">
        <v>2468</v>
      </c>
      <c r="K641" s="5">
        <f t="shared" si="2"/>
        <v>1.249912266</v>
      </c>
      <c r="L641" s="6">
        <f t="shared" si="3"/>
        <v>548</v>
      </c>
      <c r="M641" s="6">
        <f t="shared" si="4"/>
        <v>10970.94526</v>
      </c>
      <c r="N641" s="7">
        <f t="shared" si="5"/>
        <v>0.002280861799</v>
      </c>
      <c r="O641" s="7"/>
      <c r="P641" s="4">
        <f t="shared" si="6"/>
        <v>1.157029691</v>
      </c>
      <c r="Q641" s="4">
        <f t="shared" si="7"/>
        <v>4</v>
      </c>
      <c r="R641" s="4">
        <f t="shared" si="8"/>
        <v>0</v>
      </c>
      <c r="S641" s="4">
        <f t="shared" si="9"/>
        <v>1.157029691</v>
      </c>
      <c r="T641" s="4">
        <f t="shared" si="10"/>
        <v>18</v>
      </c>
      <c r="U641" s="4">
        <f t="shared" si="1"/>
        <v>1.157029691</v>
      </c>
      <c r="V641" s="4"/>
    </row>
    <row r="642">
      <c r="A642" s="1" t="s">
        <v>15726</v>
      </c>
      <c r="B642" s="1" t="s">
        <v>15728</v>
      </c>
      <c r="C642" s="1" t="s">
        <v>15730</v>
      </c>
      <c r="D642" s="1" t="s">
        <v>15047</v>
      </c>
      <c r="E642" s="1" t="s">
        <v>15048</v>
      </c>
      <c r="F642" s="1">
        <v>462812.0</v>
      </c>
      <c r="G642" s="1">
        <v>27275.0</v>
      </c>
      <c r="H642" s="1">
        <v>1649.0</v>
      </c>
      <c r="I642" s="1">
        <v>4810000.0</v>
      </c>
      <c r="J642" s="1" t="s">
        <v>2468</v>
      </c>
      <c r="K642" s="5">
        <f t="shared" si="2"/>
        <v>0.09621871102</v>
      </c>
      <c r="L642" s="6">
        <f t="shared" si="3"/>
        <v>566</v>
      </c>
      <c r="M642" s="6">
        <f t="shared" si="4"/>
        <v>817.6890459</v>
      </c>
      <c r="N642" s="7">
        <f t="shared" si="5"/>
        <v>0.0001699977226</v>
      </c>
      <c r="O642" s="7"/>
      <c r="P642" s="4">
        <f t="shared" si="6"/>
        <v>-0.3297857632</v>
      </c>
      <c r="Q642" s="4">
        <f t="shared" si="7"/>
        <v>6</v>
      </c>
      <c r="R642" s="4">
        <f t="shared" si="8"/>
        <v>0</v>
      </c>
      <c r="S642" s="4">
        <f t="shared" si="9"/>
        <v>-0.3297857632</v>
      </c>
      <c r="T642" s="4">
        <f t="shared" si="10"/>
        <v>31</v>
      </c>
      <c r="U642" s="4">
        <f t="shared" si="1"/>
        <v>-0.3297857632</v>
      </c>
      <c r="V642" s="4"/>
    </row>
    <row r="643">
      <c r="A643" s="1" t="s">
        <v>15737</v>
      </c>
      <c r="B643" s="1" t="s">
        <v>15738</v>
      </c>
      <c r="C643" s="1" t="s">
        <v>15739</v>
      </c>
      <c r="D643" s="1" t="s">
        <v>15047</v>
      </c>
      <c r="E643" s="1" t="s">
        <v>15048</v>
      </c>
      <c r="F643" s="1">
        <v>2245848.0</v>
      </c>
      <c r="G643" s="1">
        <v>62295.0</v>
      </c>
      <c r="H643" s="1">
        <v>3060.0</v>
      </c>
      <c r="I643" s="1">
        <v>4810000.0</v>
      </c>
      <c r="J643" s="1" t="s">
        <v>2468</v>
      </c>
      <c r="K643" s="5">
        <f t="shared" si="2"/>
        <v>0.4669122661</v>
      </c>
      <c r="L643" s="6">
        <f t="shared" si="3"/>
        <v>576</v>
      </c>
      <c r="M643" s="6">
        <f t="shared" si="4"/>
        <v>3899.041667</v>
      </c>
      <c r="N643" s="7">
        <f t="shared" si="5"/>
        <v>0.0008106115731</v>
      </c>
      <c r="O643" s="7"/>
      <c r="P643" s="4">
        <f t="shared" si="6"/>
        <v>0.1214392037</v>
      </c>
      <c r="Q643" s="4">
        <f t="shared" si="7"/>
        <v>4</v>
      </c>
      <c r="R643" s="4">
        <f t="shared" si="8"/>
        <v>1</v>
      </c>
      <c r="S643" s="4">
        <f t="shared" si="9"/>
        <v>0.1214392037</v>
      </c>
      <c r="T643" s="4">
        <f t="shared" si="10"/>
        <v>20</v>
      </c>
      <c r="U643" s="4">
        <f t="shared" si="1"/>
        <v>0.1214392037</v>
      </c>
      <c r="V643" s="4"/>
    </row>
    <row r="644">
      <c r="A644" s="1" t="s">
        <v>15740</v>
      </c>
      <c r="B644" s="1" t="s">
        <v>15741</v>
      </c>
      <c r="C644" s="1" t="s">
        <v>15742</v>
      </c>
      <c r="D644" s="1" t="s">
        <v>15047</v>
      </c>
      <c r="E644" s="1" t="s">
        <v>15048</v>
      </c>
      <c r="F644" s="1">
        <v>3337381.0</v>
      </c>
      <c r="G644" s="1">
        <v>68321.0</v>
      </c>
      <c r="H644" s="1">
        <v>3267.0</v>
      </c>
      <c r="I644" s="1">
        <v>4810000.0</v>
      </c>
      <c r="J644" s="1" t="s">
        <v>2468</v>
      </c>
      <c r="K644" s="5">
        <f t="shared" si="2"/>
        <v>0.6938422037</v>
      </c>
      <c r="L644" s="6">
        <f t="shared" si="3"/>
        <v>590</v>
      </c>
      <c r="M644" s="6">
        <f t="shared" si="4"/>
        <v>5656.577966</v>
      </c>
      <c r="N644" s="7">
        <f t="shared" si="5"/>
        <v>0.001176003735</v>
      </c>
      <c r="O644" s="7"/>
      <c r="P644" s="4">
        <f t="shared" si="6"/>
        <v>0.3788080791</v>
      </c>
      <c r="Q644" s="4">
        <f t="shared" si="7"/>
        <v>8</v>
      </c>
      <c r="R644" s="4">
        <f t="shared" si="8"/>
        <v>1</v>
      </c>
      <c r="S644" s="4">
        <f t="shared" si="9"/>
        <v>0.3788080791</v>
      </c>
      <c r="T644" s="4">
        <f t="shared" si="10"/>
        <v>32</v>
      </c>
      <c r="U644" s="4">
        <f t="shared" si="1"/>
        <v>0.3788080791</v>
      </c>
      <c r="V644" s="4"/>
    </row>
    <row r="645">
      <c r="A645" s="1" t="s">
        <v>15743</v>
      </c>
      <c r="B645" s="1" t="s">
        <v>15744</v>
      </c>
      <c r="C645" s="1" t="s">
        <v>15745</v>
      </c>
      <c r="D645" s="1" t="s">
        <v>15047</v>
      </c>
      <c r="E645" s="1" t="s">
        <v>15048</v>
      </c>
      <c r="F645" s="1">
        <v>1602295.0</v>
      </c>
      <c r="G645" s="1">
        <v>57757.0</v>
      </c>
      <c r="H645" s="1">
        <v>1846.0</v>
      </c>
      <c r="I645" s="1">
        <v>4810000.0</v>
      </c>
      <c r="J645" s="1" t="s">
        <v>2468</v>
      </c>
      <c r="K645" s="5">
        <f t="shared" si="2"/>
        <v>0.3331174636</v>
      </c>
      <c r="L645" s="6">
        <f t="shared" si="3"/>
        <v>604</v>
      </c>
      <c r="M645" s="6">
        <f t="shared" si="4"/>
        <v>2652.806291</v>
      </c>
      <c r="N645" s="7">
        <f t="shared" si="5"/>
        <v>0.0005515189795</v>
      </c>
      <c r="O645" s="7"/>
      <c r="P645" s="4">
        <f t="shared" si="6"/>
        <v>-0.06105614338</v>
      </c>
      <c r="Q645" s="4">
        <f t="shared" si="7"/>
        <v>8</v>
      </c>
      <c r="R645" s="4">
        <f t="shared" si="8"/>
        <v>0</v>
      </c>
      <c r="S645" s="4">
        <f t="shared" si="9"/>
        <v>-0.06105614338</v>
      </c>
      <c r="T645" s="4">
        <f t="shared" si="10"/>
        <v>52</v>
      </c>
      <c r="U645" s="4">
        <f t="shared" si="1"/>
        <v>-0.06105614338</v>
      </c>
      <c r="V645" s="4"/>
    </row>
    <row r="646">
      <c r="A646" s="1" t="s">
        <v>15746</v>
      </c>
      <c r="B646" s="1" t="s">
        <v>15747</v>
      </c>
      <c r="C646" s="1" t="s">
        <v>15748</v>
      </c>
      <c r="D646" s="1" t="s">
        <v>15047</v>
      </c>
      <c r="E646" s="1" t="s">
        <v>15048</v>
      </c>
      <c r="F646" s="1">
        <v>1450740.0</v>
      </c>
      <c r="G646" s="1">
        <v>39310.0</v>
      </c>
      <c r="H646" s="1">
        <v>1562.0</v>
      </c>
      <c r="I646" s="1">
        <v>4810000.0</v>
      </c>
      <c r="J646" s="1" t="s">
        <v>2468</v>
      </c>
      <c r="K646" s="5">
        <f t="shared" si="2"/>
        <v>0.3016091476</v>
      </c>
      <c r="L646" s="6">
        <f t="shared" si="3"/>
        <v>625</v>
      </c>
      <c r="M646" s="6">
        <f t="shared" si="4"/>
        <v>2321.184</v>
      </c>
      <c r="N646" s="7">
        <f t="shared" si="5"/>
        <v>0.0004825746362</v>
      </c>
      <c r="O646" s="7"/>
      <c r="P646" s="4">
        <f t="shared" si="6"/>
        <v>-0.1096180173</v>
      </c>
      <c r="Q646" s="4">
        <f t="shared" si="7"/>
        <v>6</v>
      </c>
      <c r="R646" s="4">
        <f t="shared" si="8"/>
        <v>0</v>
      </c>
      <c r="S646" s="4">
        <f t="shared" si="9"/>
        <v>-0.1096180173</v>
      </c>
      <c r="T646" s="4">
        <f t="shared" si="10"/>
        <v>38</v>
      </c>
      <c r="U646" s="4">
        <f t="shared" si="1"/>
        <v>-0.1096180173</v>
      </c>
      <c r="V646" s="4"/>
    </row>
    <row r="647">
      <c r="A647" s="1" t="s">
        <v>15749</v>
      </c>
      <c r="B647" s="1" t="s">
        <v>15750</v>
      </c>
      <c r="C647" s="1" t="s">
        <v>15751</v>
      </c>
      <c r="D647" s="1" t="s">
        <v>15047</v>
      </c>
      <c r="E647" s="1" t="s">
        <v>15048</v>
      </c>
      <c r="F647" s="1">
        <v>3849367.0</v>
      </c>
      <c r="G647" s="1">
        <v>92035.0</v>
      </c>
      <c r="H647" s="1">
        <v>2278.0</v>
      </c>
      <c r="I647" s="1">
        <v>4810000.0</v>
      </c>
      <c r="J647" s="1" t="s">
        <v>2468</v>
      </c>
      <c r="K647" s="5">
        <f t="shared" si="2"/>
        <v>0.8002841996</v>
      </c>
      <c r="L647" s="6">
        <f t="shared" si="3"/>
        <v>639</v>
      </c>
      <c r="M647" s="6">
        <f t="shared" si="4"/>
        <v>6024.048513</v>
      </c>
      <c r="N647" s="7">
        <f t="shared" si="5"/>
        <v>0.001252400938</v>
      </c>
      <c r="O647" s="7"/>
      <c r="P647" s="4">
        <f t="shared" si="6"/>
        <v>0.4326194749</v>
      </c>
      <c r="Q647" s="4">
        <f t="shared" si="7"/>
        <v>6</v>
      </c>
      <c r="R647" s="4">
        <f t="shared" si="8"/>
        <v>1</v>
      </c>
      <c r="S647" s="4">
        <f t="shared" si="9"/>
        <v>0.4326194749</v>
      </c>
      <c r="T647" s="4">
        <f t="shared" si="10"/>
        <v>27</v>
      </c>
      <c r="U647" s="4">
        <f t="shared" si="1"/>
        <v>0.4326194749</v>
      </c>
      <c r="V647" s="4"/>
    </row>
    <row r="648">
      <c r="A648" s="1" t="s">
        <v>15752</v>
      </c>
      <c r="B648" s="1" t="s">
        <v>15753</v>
      </c>
      <c r="C648" s="1" t="s">
        <v>15754</v>
      </c>
      <c r="D648" s="1" t="s">
        <v>15047</v>
      </c>
      <c r="E648" s="1" t="s">
        <v>15048</v>
      </c>
      <c r="F648" s="1">
        <v>877739.0</v>
      </c>
      <c r="G648" s="1">
        <v>26940.0</v>
      </c>
      <c r="H648" s="1">
        <v>1605.0</v>
      </c>
      <c r="I648" s="1">
        <v>4810000.0</v>
      </c>
      <c r="J648" s="1" t="s">
        <v>2468</v>
      </c>
      <c r="K648" s="5">
        <f t="shared" si="2"/>
        <v>0.1824821206</v>
      </c>
      <c r="L648" s="6">
        <f t="shared" si="3"/>
        <v>653</v>
      </c>
      <c r="M648" s="6">
        <f t="shared" si="4"/>
        <v>1344.163859</v>
      </c>
      <c r="N648" s="7">
        <f t="shared" si="5"/>
        <v>0.0002794519458</v>
      </c>
      <c r="O648" s="7"/>
      <c r="P648" s="4">
        <f t="shared" si="6"/>
        <v>-0.2526902116</v>
      </c>
      <c r="Q648" s="4">
        <f t="shared" si="7"/>
        <v>8</v>
      </c>
      <c r="R648" s="4">
        <f t="shared" si="8"/>
        <v>1</v>
      </c>
      <c r="S648" s="4">
        <f t="shared" si="9"/>
        <v>-0.2526902116</v>
      </c>
      <c r="T648" s="4">
        <f t="shared" si="10"/>
        <v>40</v>
      </c>
      <c r="U648" s="4">
        <f t="shared" si="1"/>
        <v>-0.2526902116</v>
      </c>
      <c r="V648" s="4"/>
    </row>
    <row r="649">
      <c r="A649" s="1" t="s">
        <v>15755</v>
      </c>
      <c r="B649" s="1" t="s">
        <v>15756</v>
      </c>
      <c r="C649" s="1" t="s">
        <v>15757</v>
      </c>
      <c r="D649" s="1" t="s">
        <v>15047</v>
      </c>
      <c r="E649" s="1" t="s">
        <v>15048</v>
      </c>
      <c r="F649" s="1">
        <v>9237294.0</v>
      </c>
      <c r="G649" s="1">
        <v>190089.0</v>
      </c>
      <c r="H649" s="1">
        <v>4711.0</v>
      </c>
      <c r="I649" s="1">
        <v>4810000.0</v>
      </c>
      <c r="J649" s="1" t="s">
        <v>2468</v>
      </c>
      <c r="K649" s="5">
        <f t="shared" si="2"/>
        <v>1.920435343</v>
      </c>
      <c r="L649" s="6">
        <f t="shared" si="3"/>
        <v>667</v>
      </c>
      <c r="M649" s="6">
        <f t="shared" si="4"/>
        <v>13849.01649</v>
      </c>
      <c r="N649" s="7">
        <f t="shared" si="5"/>
        <v>0.002879213408</v>
      </c>
      <c r="O649" s="7"/>
      <c r="P649" s="4">
        <f t="shared" si="6"/>
        <v>1.578486681</v>
      </c>
      <c r="Q649" s="4">
        <f t="shared" si="7"/>
        <v>7</v>
      </c>
      <c r="R649" s="4">
        <f t="shared" si="8"/>
        <v>1</v>
      </c>
      <c r="S649" s="4">
        <f t="shared" si="9"/>
        <v>1.578486681</v>
      </c>
      <c r="T649" s="4">
        <f t="shared" si="10"/>
        <v>33</v>
      </c>
      <c r="U649" s="4">
        <f t="shared" si="1"/>
        <v>1.578486681</v>
      </c>
      <c r="V649" s="4"/>
    </row>
    <row r="650">
      <c r="A650" s="1" t="s">
        <v>15758</v>
      </c>
      <c r="B650" s="1" t="s">
        <v>15759</v>
      </c>
      <c r="C650" s="1" t="s">
        <v>15760</v>
      </c>
      <c r="D650" s="1" t="s">
        <v>15047</v>
      </c>
      <c r="E650" s="1" t="s">
        <v>15048</v>
      </c>
      <c r="F650" s="1">
        <v>1398900.0</v>
      </c>
      <c r="G650" s="1">
        <v>24833.0</v>
      </c>
      <c r="H650" s="1">
        <v>1034.0</v>
      </c>
      <c r="I650" s="1">
        <v>4810000.0</v>
      </c>
      <c r="J650" s="1" t="s">
        <v>2468</v>
      </c>
      <c r="K650" s="5">
        <f t="shared" si="2"/>
        <v>0.2908316008</v>
      </c>
      <c r="L650" s="6">
        <f t="shared" si="3"/>
        <v>674</v>
      </c>
      <c r="M650" s="6">
        <f t="shared" si="4"/>
        <v>2075.519288</v>
      </c>
      <c r="N650" s="7">
        <f t="shared" si="5"/>
        <v>0.0004315008914</v>
      </c>
      <c r="O650" s="7"/>
      <c r="P650" s="4">
        <f t="shared" si="6"/>
        <v>-0.1455924952</v>
      </c>
      <c r="Q650" s="4">
        <f t="shared" si="7"/>
        <v>8</v>
      </c>
      <c r="R650" s="4">
        <f t="shared" si="8"/>
        <v>0</v>
      </c>
      <c r="S650" s="4">
        <f t="shared" si="9"/>
        <v>-0.1455924952</v>
      </c>
      <c r="T650" s="4">
        <f t="shared" si="10"/>
        <v>36</v>
      </c>
      <c r="U650" s="4">
        <f t="shared" si="1"/>
        <v>-0.1455924952</v>
      </c>
      <c r="V650" s="4"/>
    </row>
    <row r="651">
      <c r="A651" s="1" t="s">
        <v>15761</v>
      </c>
      <c r="B651" s="1" t="s">
        <v>15762</v>
      </c>
      <c r="C651" s="1" t="s">
        <v>15763</v>
      </c>
      <c r="D651" s="1" t="s">
        <v>15047</v>
      </c>
      <c r="E651" s="1" t="s">
        <v>15048</v>
      </c>
      <c r="F651" s="1">
        <v>1.1180826E7</v>
      </c>
      <c r="G651" s="1">
        <v>131175.0</v>
      </c>
      <c r="H651" s="1">
        <v>4940.0</v>
      </c>
      <c r="I651" s="1">
        <v>4810000.0</v>
      </c>
      <c r="J651" s="1" t="s">
        <v>2468</v>
      </c>
      <c r="K651" s="5">
        <f t="shared" si="2"/>
        <v>2.32449605</v>
      </c>
      <c r="L651" s="6">
        <f t="shared" si="3"/>
        <v>688</v>
      </c>
      <c r="M651" s="6">
        <f t="shared" si="4"/>
        <v>16251.20058</v>
      </c>
      <c r="N651" s="7">
        <f t="shared" si="5"/>
        <v>0.00337862798</v>
      </c>
      <c r="O651" s="7"/>
      <c r="P651" s="4">
        <f t="shared" si="6"/>
        <v>1.93025604</v>
      </c>
      <c r="Q651" s="4">
        <f t="shared" si="7"/>
        <v>9</v>
      </c>
      <c r="R651" s="4">
        <f t="shared" si="8"/>
        <v>0</v>
      </c>
      <c r="S651" s="4">
        <f t="shared" si="9"/>
        <v>1.93025604</v>
      </c>
      <c r="T651" s="4">
        <f t="shared" si="10"/>
        <v>34</v>
      </c>
      <c r="U651" s="4">
        <f t="shared" si="1"/>
        <v>1.93025604</v>
      </c>
      <c r="V651" s="4"/>
    </row>
    <row r="652">
      <c r="A652" s="1" t="s">
        <v>15764</v>
      </c>
      <c r="B652" s="1" t="s">
        <v>15765</v>
      </c>
      <c r="C652" s="1" t="s">
        <v>15766</v>
      </c>
      <c r="D652" s="1" t="s">
        <v>15047</v>
      </c>
      <c r="E652" s="1" t="s">
        <v>15048</v>
      </c>
      <c r="F652" s="1">
        <v>1614298.0</v>
      </c>
      <c r="G652" s="1">
        <v>56034.0</v>
      </c>
      <c r="H652" s="1">
        <v>2875.0</v>
      </c>
      <c r="I652" s="1">
        <v>4810000.0</v>
      </c>
      <c r="J652" s="1" t="s">
        <v>2468</v>
      </c>
      <c r="K652" s="5">
        <f t="shared" si="2"/>
        <v>0.3356128898</v>
      </c>
      <c r="L652" s="6">
        <f t="shared" si="3"/>
        <v>702</v>
      </c>
      <c r="M652" s="6">
        <f t="shared" si="4"/>
        <v>2299.569801</v>
      </c>
      <c r="N652" s="7">
        <f t="shared" si="5"/>
        <v>0.0004780810396</v>
      </c>
      <c r="O652" s="7"/>
      <c r="P652" s="4">
        <f t="shared" si="6"/>
        <v>-0.1127831424</v>
      </c>
      <c r="Q652" s="4">
        <f t="shared" si="7"/>
        <v>8</v>
      </c>
      <c r="R652" s="4">
        <f t="shared" si="8"/>
        <v>1</v>
      </c>
      <c r="S652" s="4">
        <f t="shared" si="9"/>
        <v>-0.1127831424</v>
      </c>
      <c r="T652" s="4">
        <f t="shared" si="10"/>
        <v>32</v>
      </c>
      <c r="U652" s="4">
        <f t="shared" si="1"/>
        <v>-0.1127831424</v>
      </c>
      <c r="V652" s="4"/>
    </row>
    <row r="653">
      <c r="A653" s="1" t="s">
        <v>15767</v>
      </c>
      <c r="B653" s="1" t="s">
        <v>15768</v>
      </c>
      <c r="C653" s="1" t="s">
        <v>15769</v>
      </c>
      <c r="D653" s="1" t="s">
        <v>15047</v>
      </c>
      <c r="E653" s="1" t="s">
        <v>15048</v>
      </c>
      <c r="F653" s="1">
        <v>728642.0</v>
      </c>
      <c r="G653" s="1">
        <v>30457.0</v>
      </c>
      <c r="H653" s="1">
        <v>1334.0</v>
      </c>
      <c r="I653" s="1">
        <v>4810000.0</v>
      </c>
      <c r="J653" s="1" t="s">
        <v>2468</v>
      </c>
      <c r="K653" s="5">
        <f t="shared" si="2"/>
        <v>0.1514848233</v>
      </c>
      <c r="L653" s="6">
        <f t="shared" si="3"/>
        <v>716</v>
      </c>
      <c r="M653" s="6">
        <f t="shared" si="4"/>
        <v>1017.656425</v>
      </c>
      <c r="N653" s="7">
        <f t="shared" si="5"/>
        <v>0.0002115709822</v>
      </c>
      <c r="O653" s="7"/>
      <c r="P653" s="4">
        <f t="shared" si="6"/>
        <v>-0.3005030797</v>
      </c>
      <c r="Q653" s="4">
        <f t="shared" si="7"/>
        <v>4</v>
      </c>
      <c r="R653" s="4">
        <f t="shared" si="8"/>
        <v>0</v>
      </c>
      <c r="S653" s="4">
        <f t="shared" si="9"/>
        <v>-0.3005030797</v>
      </c>
      <c r="T653" s="4">
        <f t="shared" si="10"/>
        <v>27</v>
      </c>
      <c r="U653" s="4">
        <f t="shared" si="1"/>
        <v>-0.3005030797</v>
      </c>
      <c r="V653" s="4"/>
    </row>
    <row r="654">
      <c r="A654" s="1" t="s">
        <v>15770</v>
      </c>
      <c r="B654" s="1" t="s">
        <v>15771</v>
      </c>
      <c r="C654" s="1" t="s">
        <v>15772</v>
      </c>
      <c r="D654" s="1" t="s">
        <v>15047</v>
      </c>
      <c r="E654" s="1" t="s">
        <v>15048</v>
      </c>
      <c r="F654" s="1">
        <v>1.1838437E7</v>
      </c>
      <c r="G654" s="1">
        <v>232203.0</v>
      </c>
      <c r="H654" s="1">
        <v>9673.0</v>
      </c>
      <c r="I654" s="1">
        <v>4810000.0</v>
      </c>
      <c r="J654" s="1" t="s">
        <v>2468</v>
      </c>
      <c r="K654" s="5">
        <f t="shared" si="2"/>
        <v>2.461213514</v>
      </c>
      <c r="L654" s="6">
        <f t="shared" si="3"/>
        <v>730</v>
      </c>
      <c r="M654" s="6">
        <f t="shared" si="4"/>
        <v>16217.03699</v>
      </c>
      <c r="N654" s="7">
        <f t="shared" si="5"/>
        <v>0.003371525361</v>
      </c>
      <c r="O654" s="7"/>
      <c r="P654" s="4">
        <f t="shared" si="6"/>
        <v>1.925253215</v>
      </c>
      <c r="Q654" s="4">
        <f t="shared" si="7"/>
        <v>5</v>
      </c>
      <c r="R654" s="4">
        <f t="shared" si="8"/>
        <v>0</v>
      </c>
      <c r="S654" s="4">
        <f t="shared" si="9"/>
        <v>1.925253215</v>
      </c>
      <c r="T654" s="4">
        <f t="shared" si="10"/>
        <v>30</v>
      </c>
      <c r="U654" s="4">
        <f t="shared" si="1"/>
        <v>1.925253215</v>
      </c>
      <c r="V654" s="4"/>
    </row>
    <row r="655">
      <c r="A655" s="1" t="s">
        <v>15773</v>
      </c>
      <c r="B655" s="1" t="s">
        <v>15774</v>
      </c>
      <c r="C655" s="1" t="s">
        <v>15775</v>
      </c>
      <c r="D655" s="1" t="s">
        <v>15047</v>
      </c>
      <c r="E655" s="1" t="s">
        <v>15048</v>
      </c>
      <c r="F655" s="1">
        <v>2555678.0</v>
      </c>
      <c r="G655" s="1">
        <v>58323.0</v>
      </c>
      <c r="H655" s="1">
        <v>4163.0</v>
      </c>
      <c r="I655" s="1">
        <v>4810000.0</v>
      </c>
      <c r="J655" s="1" t="s">
        <v>2468</v>
      </c>
      <c r="K655" s="5">
        <f t="shared" si="2"/>
        <v>0.5313259875</v>
      </c>
      <c r="L655" s="6">
        <f t="shared" si="3"/>
        <v>744</v>
      </c>
      <c r="M655" s="6">
        <f t="shared" si="4"/>
        <v>3435.051075</v>
      </c>
      <c r="N655" s="7">
        <f t="shared" si="5"/>
        <v>0.0007141478327</v>
      </c>
      <c r="O655" s="7"/>
      <c r="P655" s="4">
        <f t="shared" si="6"/>
        <v>0.05349367295</v>
      </c>
      <c r="Q655" s="4">
        <f t="shared" si="7"/>
        <v>6</v>
      </c>
      <c r="R655" s="4">
        <f t="shared" si="8"/>
        <v>1</v>
      </c>
      <c r="S655" s="4">
        <f t="shared" si="9"/>
        <v>0.05349367295</v>
      </c>
      <c r="T655" s="4">
        <f t="shared" si="10"/>
        <v>29</v>
      </c>
      <c r="U655" s="4">
        <f t="shared" si="1"/>
        <v>0.05349367295</v>
      </c>
      <c r="V655" s="4"/>
    </row>
    <row r="656">
      <c r="A656" s="1" t="s">
        <v>15776</v>
      </c>
      <c r="B656" s="1" t="s">
        <v>15777</v>
      </c>
      <c r="C656" s="1" t="s">
        <v>15778</v>
      </c>
      <c r="D656" s="1" t="s">
        <v>15047</v>
      </c>
      <c r="E656" s="1" t="s">
        <v>15048</v>
      </c>
      <c r="F656" s="1">
        <v>4130794.0</v>
      </c>
      <c r="G656" s="1">
        <v>98939.0</v>
      </c>
      <c r="H656" s="1">
        <v>2354.0</v>
      </c>
      <c r="I656" s="1">
        <v>4810000.0</v>
      </c>
      <c r="J656" s="1" t="s">
        <v>2468</v>
      </c>
      <c r="K656" s="5">
        <f t="shared" si="2"/>
        <v>0.8587929314</v>
      </c>
      <c r="L656" s="6">
        <f t="shared" si="3"/>
        <v>758</v>
      </c>
      <c r="M656" s="6">
        <f t="shared" si="4"/>
        <v>5449.596306</v>
      </c>
      <c r="N656" s="7">
        <f t="shared" si="5"/>
        <v>0.001132972205</v>
      </c>
      <c r="O656" s="7"/>
      <c r="P656" s="4">
        <f t="shared" si="6"/>
        <v>0.3484982431</v>
      </c>
      <c r="Q656" s="4">
        <f t="shared" si="7"/>
        <v>4</v>
      </c>
      <c r="R656" s="4">
        <f t="shared" si="8"/>
        <v>0</v>
      </c>
      <c r="S656" s="4">
        <f t="shared" si="9"/>
        <v>0.3484982431</v>
      </c>
      <c r="T656" s="4">
        <f t="shared" si="10"/>
        <v>18</v>
      </c>
      <c r="U656" s="4">
        <f t="shared" si="1"/>
        <v>0.3484982431</v>
      </c>
      <c r="V656" s="4"/>
    </row>
    <row r="657">
      <c r="A657" s="1" t="s">
        <v>15779</v>
      </c>
      <c r="B657" s="1" t="s">
        <v>15780</v>
      </c>
      <c r="C657" s="1" t="s">
        <v>15781</v>
      </c>
      <c r="D657" s="1" t="s">
        <v>15047</v>
      </c>
      <c r="E657" s="1" t="s">
        <v>15048</v>
      </c>
      <c r="F657" s="1">
        <v>981752.0</v>
      </c>
      <c r="G657" s="1">
        <v>37339.0</v>
      </c>
      <c r="H657" s="1">
        <v>1273.0</v>
      </c>
      <c r="I657" s="1">
        <v>4810000.0</v>
      </c>
      <c r="J657" s="1" t="s">
        <v>2468</v>
      </c>
      <c r="K657" s="5">
        <f t="shared" si="2"/>
        <v>0.2041064449</v>
      </c>
      <c r="L657" s="6">
        <f t="shared" si="3"/>
        <v>779</v>
      </c>
      <c r="M657" s="6">
        <f t="shared" si="4"/>
        <v>1260.272144</v>
      </c>
      <c r="N657" s="7">
        <f t="shared" si="5"/>
        <v>0.0002620108407</v>
      </c>
      <c r="O657" s="7"/>
      <c r="P657" s="4">
        <f t="shared" si="6"/>
        <v>-0.2649750881</v>
      </c>
      <c r="Q657" s="4">
        <f t="shared" si="7"/>
        <v>6</v>
      </c>
      <c r="R657" s="4">
        <f t="shared" si="8"/>
        <v>0</v>
      </c>
      <c r="S657" s="4">
        <f t="shared" si="9"/>
        <v>-0.2649750881</v>
      </c>
      <c r="T657" s="4">
        <f t="shared" si="10"/>
        <v>23</v>
      </c>
      <c r="U657" s="4">
        <f t="shared" si="1"/>
        <v>-0.2649750881</v>
      </c>
      <c r="V657" s="4"/>
    </row>
    <row r="658">
      <c r="A658" s="1" t="s">
        <v>15782</v>
      </c>
      <c r="B658" s="1" t="s">
        <v>15783</v>
      </c>
      <c r="C658" s="1" t="s">
        <v>15784</v>
      </c>
      <c r="D658" s="1" t="s">
        <v>15047</v>
      </c>
      <c r="E658" s="1" t="s">
        <v>15048</v>
      </c>
      <c r="F658" s="1">
        <v>4364767.0</v>
      </c>
      <c r="G658" s="1">
        <v>86991.0</v>
      </c>
      <c r="H658" s="1">
        <v>2697.0</v>
      </c>
      <c r="I658" s="1">
        <v>4810000.0</v>
      </c>
      <c r="J658" s="1" t="s">
        <v>2468</v>
      </c>
      <c r="K658" s="5">
        <f t="shared" si="2"/>
        <v>0.9074359667</v>
      </c>
      <c r="L658" s="6">
        <f t="shared" si="3"/>
        <v>793</v>
      </c>
      <c r="M658" s="6">
        <f t="shared" si="4"/>
        <v>5504.119798</v>
      </c>
      <c r="N658" s="7">
        <f t="shared" si="5"/>
        <v>0.00114430765</v>
      </c>
      <c r="O658" s="7"/>
      <c r="P658" s="4">
        <f t="shared" si="6"/>
        <v>0.3564825162</v>
      </c>
      <c r="Q658" s="4">
        <f t="shared" si="7"/>
        <v>4</v>
      </c>
      <c r="R658" s="4">
        <f t="shared" si="8"/>
        <v>0</v>
      </c>
      <c r="S658" s="4">
        <f t="shared" si="9"/>
        <v>0.3564825162</v>
      </c>
      <c r="T658" s="4">
        <f t="shared" si="10"/>
        <v>18</v>
      </c>
      <c r="U658" s="4">
        <f t="shared" si="1"/>
        <v>0.3564825162</v>
      </c>
      <c r="V658" s="4"/>
    </row>
    <row r="659">
      <c r="A659" s="1" t="s">
        <v>15785</v>
      </c>
      <c r="B659" s="1" t="s">
        <v>15786</v>
      </c>
      <c r="C659" s="1" t="s">
        <v>15787</v>
      </c>
      <c r="D659" s="1" t="s">
        <v>15047</v>
      </c>
      <c r="E659" s="1" t="s">
        <v>15048</v>
      </c>
      <c r="F659" s="1">
        <v>2122921.0</v>
      </c>
      <c r="G659" s="1">
        <v>55734.0</v>
      </c>
      <c r="H659" s="1">
        <v>4533.0</v>
      </c>
      <c r="I659" s="1">
        <v>4810000.0</v>
      </c>
      <c r="J659" s="1" t="s">
        <v>2468</v>
      </c>
      <c r="K659" s="5">
        <f t="shared" si="2"/>
        <v>0.4413557173</v>
      </c>
      <c r="L659" s="6">
        <f t="shared" si="3"/>
        <v>807</v>
      </c>
      <c r="M659" s="6">
        <f t="shared" si="4"/>
        <v>2630.633209</v>
      </c>
      <c r="N659" s="7">
        <f t="shared" si="5"/>
        <v>0.0005469091911</v>
      </c>
      <c r="O659" s="7"/>
      <c r="P659" s="4">
        <f t="shared" si="6"/>
        <v>-0.0643031097</v>
      </c>
      <c r="Q659" s="4">
        <f t="shared" si="7"/>
        <v>10</v>
      </c>
      <c r="R659" s="4">
        <f t="shared" si="8"/>
        <v>0</v>
      </c>
      <c r="S659" s="4">
        <f t="shared" si="9"/>
        <v>-0.0643031097</v>
      </c>
      <c r="T659" s="4">
        <f t="shared" si="10"/>
        <v>51</v>
      </c>
      <c r="U659" s="4">
        <f t="shared" si="1"/>
        <v>-0.0643031097</v>
      </c>
      <c r="V659" s="4"/>
    </row>
    <row r="660">
      <c r="A660" s="1" t="s">
        <v>15788</v>
      </c>
      <c r="B660" s="1" t="s">
        <v>15789</v>
      </c>
      <c r="C660" s="1" t="s">
        <v>15790</v>
      </c>
      <c r="D660" s="1" t="s">
        <v>15047</v>
      </c>
      <c r="E660" s="1" t="s">
        <v>15048</v>
      </c>
      <c r="F660" s="1">
        <v>3166266.0</v>
      </c>
      <c r="G660" s="1">
        <v>79939.0</v>
      </c>
      <c r="H660" s="1">
        <v>2515.0</v>
      </c>
      <c r="I660" s="1">
        <v>4810000.0</v>
      </c>
      <c r="J660" s="1" t="s">
        <v>2468</v>
      </c>
      <c r="K660" s="5">
        <f t="shared" si="2"/>
        <v>0.6582673597</v>
      </c>
      <c r="L660" s="6">
        <f t="shared" si="3"/>
        <v>821</v>
      </c>
      <c r="M660" s="6">
        <f t="shared" si="4"/>
        <v>3856.596833</v>
      </c>
      <c r="N660" s="7">
        <f t="shared" si="5"/>
        <v>0.0008017872834</v>
      </c>
      <c r="O660" s="7"/>
      <c r="P660" s="4">
        <f t="shared" si="6"/>
        <v>0.1152236968</v>
      </c>
      <c r="Q660" s="4">
        <f t="shared" si="7"/>
        <v>8</v>
      </c>
      <c r="R660" s="4">
        <f t="shared" si="8"/>
        <v>0</v>
      </c>
      <c r="S660" s="4">
        <f t="shared" si="9"/>
        <v>0.1152236968</v>
      </c>
      <c r="T660" s="4">
        <f t="shared" si="10"/>
        <v>33</v>
      </c>
      <c r="U660" s="4">
        <f t="shared" si="1"/>
        <v>0.1152236968</v>
      </c>
      <c r="V660" s="4"/>
    </row>
    <row r="661">
      <c r="A661" s="1" t="s">
        <v>15791</v>
      </c>
      <c r="B661" s="1" t="s">
        <v>15792</v>
      </c>
      <c r="C661" s="1" t="s">
        <v>15793</v>
      </c>
      <c r="D661" s="1" t="s">
        <v>15047</v>
      </c>
      <c r="E661" s="1" t="s">
        <v>15048</v>
      </c>
      <c r="F661" s="1">
        <v>2449993.0</v>
      </c>
      <c r="G661" s="1">
        <v>67481.0</v>
      </c>
      <c r="H661" s="1">
        <v>1719.0</v>
      </c>
      <c r="I661" s="1">
        <v>4810000.0</v>
      </c>
      <c r="J661" s="1" t="s">
        <v>2468</v>
      </c>
      <c r="K661" s="5">
        <f t="shared" si="2"/>
        <v>0.5093540541</v>
      </c>
      <c r="L661" s="6">
        <f t="shared" si="3"/>
        <v>835</v>
      </c>
      <c r="M661" s="6">
        <f t="shared" si="4"/>
        <v>2934.123353</v>
      </c>
      <c r="N661" s="7">
        <f t="shared" si="5"/>
        <v>0.0006100048552</v>
      </c>
      <c r="O661" s="7"/>
      <c r="P661" s="4">
        <f t="shared" si="6"/>
        <v>-0.01986083159</v>
      </c>
      <c r="Q661" s="4">
        <f t="shared" si="7"/>
        <v>8</v>
      </c>
      <c r="R661" s="4">
        <f t="shared" si="8"/>
        <v>0</v>
      </c>
      <c r="S661" s="4">
        <f t="shared" si="9"/>
        <v>-0.01986083159</v>
      </c>
      <c r="T661" s="4">
        <f t="shared" si="10"/>
        <v>36</v>
      </c>
      <c r="U661" s="4">
        <f t="shared" si="1"/>
        <v>-0.01986083159</v>
      </c>
      <c r="V661" s="4"/>
    </row>
    <row r="662">
      <c r="A662" s="1" t="s">
        <v>15794</v>
      </c>
      <c r="B662" s="1" t="s">
        <v>15795</v>
      </c>
      <c r="C662" s="1" t="s">
        <v>15796</v>
      </c>
      <c r="D662" s="1" t="s">
        <v>15047</v>
      </c>
      <c r="E662" s="1" t="s">
        <v>15048</v>
      </c>
      <c r="F662" s="1">
        <v>1563652.0</v>
      </c>
      <c r="G662" s="1">
        <v>41600.0</v>
      </c>
      <c r="H662" s="1">
        <v>1668.0</v>
      </c>
      <c r="I662" s="1">
        <v>4810000.0</v>
      </c>
      <c r="J662" s="1" t="s">
        <v>2468</v>
      </c>
      <c r="K662" s="5">
        <f t="shared" si="2"/>
        <v>0.3250835759</v>
      </c>
      <c r="L662" s="6">
        <f t="shared" si="3"/>
        <v>849</v>
      </c>
      <c r="M662" s="6">
        <f t="shared" si="4"/>
        <v>1841.757362</v>
      </c>
      <c r="N662" s="7">
        <f t="shared" si="5"/>
        <v>0.0003829017384</v>
      </c>
      <c r="O662" s="7"/>
      <c r="P662" s="4">
        <f t="shared" si="6"/>
        <v>-0.1798239612</v>
      </c>
      <c r="Q662" s="4">
        <f t="shared" si="7"/>
        <v>7</v>
      </c>
      <c r="R662" s="4">
        <f t="shared" si="8"/>
        <v>0</v>
      </c>
      <c r="S662" s="4">
        <f t="shared" si="9"/>
        <v>-0.1798239612</v>
      </c>
      <c r="T662" s="4">
        <f t="shared" si="10"/>
        <v>44</v>
      </c>
      <c r="U662" s="4">
        <f t="shared" si="1"/>
        <v>-0.1798239612</v>
      </c>
      <c r="V662" s="4"/>
    </row>
    <row r="663">
      <c r="A663" s="1" t="s">
        <v>15797</v>
      </c>
      <c r="B663" s="1" t="s">
        <v>15798</v>
      </c>
      <c r="C663" s="1" t="s">
        <v>15799</v>
      </c>
      <c r="D663" s="1" t="s">
        <v>15047</v>
      </c>
      <c r="E663" s="1" t="s">
        <v>15048</v>
      </c>
      <c r="F663" s="1">
        <v>2240153.0</v>
      </c>
      <c r="G663" s="1">
        <v>62264.0</v>
      </c>
      <c r="H663" s="1">
        <v>2428.0</v>
      </c>
      <c r="I663" s="1">
        <v>4810000.0</v>
      </c>
      <c r="J663" s="1" t="s">
        <v>2468</v>
      </c>
      <c r="K663" s="5">
        <f t="shared" si="2"/>
        <v>0.4657282744</v>
      </c>
      <c r="L663" s="6">
        <f t="shared" si="3"/>
        <v>870</v>
      </c>
      <c r="M663" s="6">
        <f t="shared" si="4"/>
        <v>2574.888506</v>
      </c>
      <c r="N663" s="7">
        <f t="shared" si="5"/>
        <v>0.0005353198557</v>
      </c>
      <c r="O663" s="7"/>
      <c r="P663" s="4">
        <f t="shared" si="6"/>
        <v>-0.07246621376</v>
      </c>
      <c r="Q663" s="4">
        <f t="shared" si="7"/>
        <v>10</v>
      </c>
      <c r="R663" s="4">
        <f t="shared" si="8"/>
        <v>0</v>
      </c>
      <c r="S663" s="4">
        <f t="shared" si="9"/>
        <v>-0.07246621376</v>
      </c>
      <c r="T663" s="4">
        <f t="shared" si="10"/>
        <v>43</v>
      </c>
      <c r="U663" s="4">
        <f t="shared" si="1"/>
        <v>-0.07246621376</v>
      </c>
      <c r="V663" s="4"/>
    </row>
    <row r="664">
      <c r="A664" s="1" t="s">
        <v>15800</v>
      </c>
      <c r="B664" s="1" t="s">
        <v>15801</v>
      </c>
      <c r="C664" s="1" t="s">
        <v>15802</v>
      </c>
      <c r="D664" s="1" t="s">
        <v>15047</v>
      </c>
      <c r="E664" s="1" t="s">
        <v>15048</v>
      </c>
      <c r="F664" s="1">
        <v>1705237.0</v>
      </c>
      <c r="G664" s="1">
        <v>44815.0</v>
      </c>
      <c r="H664" s="1">
        <v>1119.0</v>
      </c>
      <c r="I664" s="1">
        <v>4810000.0</v>
      </c>
      <c r="J664" s="1" t="s">
        <v>2468</v>
      </c>
      <c r="K664" s="5">
        <f t="shared" si="2"/>
        <v>0.3545191268</v>
      </c>
      <c r="L664" s="6">
        <f t="shared" si="3"/>
        <v>884</v>
      </c>
      <c r="M664" s="6">
        <f t="shared" si="4"/>
        <v>1929.001131</v>
      </c>
      <c r="N664" s="7">
        <f t="shared" si="5"/>
        <v>0.0004010397362</v>
      </c>
      <c r="O664" s="7"/>
      <c r="P664" s="4">
        <f t="shared" si="6"/>
        <v>-0.1670482188</v>
      </c>
      <c r="Q664" s="4">
        <f t="shared" si="7"/>
        <v>5</v>
      </c>
      <c r="R664" s="4">
        <f t="shared" si="8"/>
        <v>0</v>
      </c>
      <c r="S664" s="4">
        <f t="shared" si="9"/>
        <v>-0.1670482188</v>
      </c>
      <c r="T664" s="4">
        <f t="shared" si="10"/>
        <v>25</v>
      </c>
      <c r="U664" s="4">
        <f t="shared" si="1"/>
        <v>-0.1670482188</v>
      </c>
      <c r="V664" s="4"/>
    </row>
    <row r="665">
      <c r="A665" s="1" t="s">
        <v>15803</v>
      </c>
      <c r="B665" s="1" t="s">
        <v>15804</v>
      </c>
      <c r="C665" s="1" t="s">
        <v>15805</v>
      </c>
      <c r="D665" s="1" t="s">
        <v>15047</v>
      </c>
      <c r="E665" s="1" t="s">
        <v>15048</v>
      </c>
      <c r="F665" s="1">
        <v>2286636.0</v>
      </c>
      <c r="G665" s="1">
        <v>56038.0</v>
      </c>
      <c r="H665" s="1">
        <v>2871.0</v>
      </c>
      <c r="I665" s="1">
        <v>4810000.0</v>
      </c>
      <c r="J665" s="1" t="s">
        <v>2468</v>
      </c>
      <c r="K665" s="5">
        <f t="shared" si="2"/>
        <v>0.4753920998</v>
      </c>
      <c r="L665" s="6">
        <f t="shared" si="3"/>
        <v>898</v>
      </c>
      <c r="M665" s="6">
        <f t="shared" si="4"/>
        <v>2546.365256</v>
      </c>
      <c r="N665" s="7">
        <f t="shared" si="5"/>
        <v>0.0005293898661</v>
      </c>
      <c r="O665" s="7"/>
      <c r="P665" s="4">
        <f t="shared" si="6"/>
        <v>-0.0766430815</v>
      </c>
      <c r="Q665" s="4">
        <f t="shared" si="7"/>
        <v>6</v>
      </c>
      <c r="R665" s="4">
        <f t="shared" si="8"/>
        <v>0</v>
      </c>
      <c r="S665" s="4">
        <f t="shared" si="9"/>
        <v>-0.0766430815</v>
      </c>
      <c r="T665" s="4">
        <f t="shared" si="10"/>
        <v>27</v>
      </c>
      <c r="U665" s="4">
        <f t="shared" si="1"/>
        <v>-0.0766430815</v>
      </c>
      <c r="V665" s="4"/>
    </row>
    <row r="666">
      <c r="A666" s="1" t="s">
        <v>15806</v>
      </c>
      <c r="B666" s="1" t="s">
        <v>15807</v>
      </c>
      <c r="C666" s="1" t="s">
        <v>15808</v>
      </c>
      <c r="D666" s="1" t="s">
        <v>15047</v>
      </c>
      <c r="E666" s="1" t="s">
        <v>15048</v>
      </c>
      <c r="F666" s="1">
        <v>2700671.0</v>
      </c>
      <c r="G666" s="1">
        <v>71387.0</v>
      </c>
      <c r="H666" s="1">
        <v>2403.0</v>
      </c>
      <c r="I666" s="1">
        <v>4810000.0</v>
      </c>
      <c r="J666" s="1" t="s">
        <v>2468</v>
      </c>
      <c r="K666" s="5">
        <f t="shared" si="2"/>
        <v>0.5614700624</v>
      </c>
      <c r="L666" s="6">
        <f t="shared" si="3"/>
        <v>912</v>
      </c>
      <c r="M666" s="6">
        <f t="shared" si="4"/>
        <v>2961.262061</v>
      </c>
      <c r="N666" s="7">
        <f t="shared" si="5"/>
        <v>0.0006156469982</v>
      </c>
      <c r="O666" s="7"/>
      <c r="P666" s="4">
        <f t="shared" si="6"/>
        <v>-0.01588671237</v>
      </c>
      <c r="Q666" s="4">
        <f t="shared" si="7"/>
        <v>5</v>
      </c>
      <c r="R666" s="4">
        <f t="shared" si="8"/>
        <v>0</v>
      </c>
      <c r="S666" s="4">
        <f t="shared" si="9"/>
        <v>-0.01588671237</v>
      </c>
      <c r="T666" s="4">
        <f t="shared" si="10"/>
        <v>26</v>
      </c>
      <c r="U666" s="4">
        <f t="shared" si="1"/>
        <v>-0.01588671237</v>
      </c>
      <c r="V666" s="4"/>
    </row>
    <row r="667">
      <c r="A667" s="1" t="s">
        <v>15809</v>
      </c>
      <c r="B667" s="1" t="s">
        <v>15810</v>
      </c>
      <c r="C667" s="1" t="s">
        <v>15811</v>
      </c>
      <c r="D667" s="1" t="s">
        <v>15047</v>
      </c>
      <c r="E667" s="1" t="s">
        <v>15048</v>
      </c>
      <c r="F667" s="1">
        <v>849594.0</v>
      </c>
      <c r="G667" s="1">
        <v>37443.0</v>
      </c>
      <c r="H667" s="1">
        <v>1018.0</v>
      </c>
      <c r="I667" s="1">
        <v>4810000.0</v>
      </c>
      <c r="J667" s="1" t="s">
        <v>2468</v>
      </c>
      <c r="K667" s="5">
        <f t="shared" si="2"/>
        <v>0.1766307692</v>
      </c>
      <c r="L667" s="6">
        <f t="shared" si="3"/>
        <v>926</v>
      </c>
      <c r="M667" s="6">
        <f t="shared" si="4"/>
        <v>917.488121</v>
      </c>
      <c r="N667" s="7">
        <f t="shared" si="5"/>
        <v>0.0001907459711</v>
      </c>
      <c r="O667" s="7"/>
      <c r="P667" s="4">
        <f t="shared" si="6"/>
        <v>-0.3151714559</v>
      </c>
      <c r="Q667" s="4">
        <f t="shared" si="7"/>
        <v>8</v>
      </c>
      <c r="R667" s="4">
        <f t="shared" si="8"/>
        <v>0</v>
      </c>
      <c r="S667" s="4">
        <f t="shared" si="9"/>
        <v>-0.3151714559</v>
      </c>
      <c r="T667" s="4">
        <f t="shared" si="10"/>
        <v>34</v>
      </c>
      <c r="U667" s="4">
        <f t="shared" si="1"/>
        <v>-0.3151714559</v>
      </c>
      <c r="V667" s="4"/>
    </row>
    <row r="668">
      <c r="A668" s="1" t="s">
        <v>15812</v>
      </c>
      <c r="B668" s="1" t="s">
        <v>15813</v>
      </c>
      <c r="C668" s="1" t="s">
        <v>15814</v>
      </c>
      <c r="D668" s="1" t="s">
        <v>15047</v>
      </c>
      <c r="E668" s="1" t="s">
        <v>15048</v>
      </c>
      <c r="F668" s="1">
        <v>1952683.0</v>
      </c>
      <c r="G668" s="1">
        <v>58050.0</v>
      </c>
      <c r="H668" s="1">
        <v>1820.0</v>
      </c>
      <c r="I668" s="1">
        <v>4810000.0</v>
      </c>
      <c r="J668" s="1" t="s">
        <v>2468</v>
      </c>
      <c r="K668" s="5">
        <f t="shared" si="2"/>
        <v>0.4059632017</v>
      </c>
      <c r="L668" s="6">
        <f t="shared" si="3"/>
        <v>940</v>
      </c>
      <c r="M668" s="6">
        <f t="shared" si="4"/>
        <v>2077.32234</v>
      </c>
      <c r="N668" s="7">
        <f t="shared" si="5"/>
        <v>0.0004318757465</v>
      </c>
      <c r="O668" s="7"/>
      <c r="P668" s="4">
        <f t="shared" si="6"/>
        <v>-0.145328461</v>
      </c>
      <c r="Q668" s="4">
        <f t="shared" si="7"/>
        <v>5</v>
      </c>
      <c r="R668" s="4">
        <f t="shared" si="8"/>
        <v>0</v>
      </c>
      <c r="S668" s="4">
        <f t="shared" si="9"/>
        <v>-0.145328461</v>
      </c>
      <c r="T668" s="4">
        <f t="shared" si="10"/>
        <v>27</v>
      </c>
      <c r="U668" s="4">
        <f t="shared" si="1"/>
        <v>-0.145328461</v>
      </c>
      <c r="V668" s="4"/>
    </row>
    <row r="669">
      <c r="A669" s="1" t="s">
        <v>15815</v>
      </c>
      <c r="B669" s="1" t="s">
        <v>15816</v>
      </c>
      <c r="C669" s="1" t="s">
        <v>15817</v>
      </c>
      <c r="D669" s="1" t="s">
        <v>15047</v>
      </c>
      <c r="E669" s="1" t="s">
        <v>15048</v>
      </c>
      <c r="F669" s="1">
        <v>2640481.0</v>
      </c>
      <c r="G669" s="1">
        <v>54599.0</v>
      </c>
      <c r="H669" s="1">
        <v>1943.0</v>
      </c>
      <c r="I669" s="1">
        <v>4810000.0</v>
      </c>
      <c r="J669" s="1" t="s">
        <v>2468</v>
      </c>
      <c r="K669" s="5">
        <f t="shared" si="2"/>
        <v>0.5489565489</v>
      </c>
      <c r="L669" s="6">
        <f t="shared" si="3"/>
        <v>961</v>
      </c>
      <c r="M669" s="6">
        <f t="shared" si="4"/>
        <v>2747.638918</v>
      </c>
      <c r="N669" s="7">
        <f t="shared" si="5"/>
        <v>0.0005712347022</v>
      </c>
      <c r="O669" s="7"/>
      <c r="P669" s="4">
        <f t="shared" si="6"/>
        <v>-0.04716910935</v>
      </c>
      <c r="Q669" s="4">
        <f t="shared" si="7"/>
        <v>5</v>
      </c>
      <c r="R669" s="4">
        <f t="shared" si="8"/>
        <v>0</v>
      </c>
      <c r="S669" s="4">
        <f t="shared" si="9"/>
        <v>-0.04716910935</v>
      </c>
      <c r="T669" s="4">
        <f t="shared" si="10"/>
        <v>23</v>
      </c>
      <c r="U669" s="4">
        <f t="shared" si="1"/>
        <v>-0.04716910935</v>
      </c>
      <c r="V669" s="4"/>
    </row>
    <row r="670">
      <c r="A670" s="1" t="s">
        <v>15818</v>
      </c>
      <c r="B670" s="1" t="s">
        <v>15819</v>
      </c>
      <c r="C670" s="1" t="s">
        <v>15820</v>
      </c>
      <c r="D670" s="1" t="s">
        <v>15047</v>
      </c>
      <c r="E670" s="1" t="s">
        <v>15048</v>
      </c>
      <c r="F670" s="1">
        <v>2402298.0</v>
      </c>
      <c r="G670" s="1">
        <v>64255.0</v>
      </c>
      <c r="H670" s="1">
        <v>2191.0</v>
      </c>
      <c r="I670" s="1">
        <v>4810000.0</v>
      </c>
      <c r="J670" s="1" t="s">
        <v>2468</v>
      </c>
      <c r="K670" s="5">
        <f t="shared" si="2"/>
        <v>0.4994382536</v>
      </c>
      <c r="L670" s="6">
        <f t="shared" si="3"/>
        <v>975</v>
      </c>
      <c r="M670" s="6">
        <f t="shared" si="4"/>
        <v>2463.895385</v>
      </c>
      <c r="N670" s="7">
        <f t="shared" si="5"/>
        <v>0.0005122443627</v>
      </c>
      <c r="O670" s="7"/>
      <c r="P670" s="4">
        <f t="shared" si="6"/>
        <v>-0.08871974705</v>
      </c>
      <c r="Q670" s="4">
        <f t="shared" si="7"/>
        <v>4</v>
      </c>
      <c r="R670" s="4">
        <f t="shared" si="8"/>
        <v>0</v>
      </c>
      <c r="S670" s="4">
        <f t="shared" si="9"/>
        <v>-0.08871974705</v>
      </c>
      <c r="T670" s="4">
        <f t="shared" si="10"/>
        <v>23</v>
      </c>
      <c r="U670" s="4">
        <f t="shared" si="1"/>
        <v>-0.08871974705</v>
      </c>
      <c r="V670" s="4"/>
    </row>
    <row r="671">
      <c r="A671" s="1" t="s">
        <v>15821</v>
      </c>
      <c r="B671" s="1" t="s">
        <v>15822</v>
      </c>
      <c r="C671" s="1" t="s">
        <v>15823</v>
      </c>
      <c r="D671" s="1" t="s">
        <v>15047</v>
      </c>
      <c r="E671" s="1" t="s">
        <v>15048</v>
      </c>
      <c r="F671" s="1">
        <v>2558388.0</v>
      </c>
      <c r="G671" s="1">
        <v>66156.0</v>
      </c>
      <c r="H671" s="1">
        <v>1596.0</v>
      </c>
      <c r="I671" s="1">
        <v>4810000.0</v>
      </c>
      <c r="J671" s="1" t="s">
        <v>2468</v>
      </c>
      <c r="K671" s="5">
        <f t="shared" si="2"/>
        <v>0.5318893971</v>
      </c>
      <c r="L671" s="6">
        <f t="shared" si="3"/>
        <v>989</v>
      </c>
      <c r="M671" s="6">
        <f t="shared" si="4"/>
        <v>2586.843276</v>
      </c>
      <c r="N671" s="7">
        <f t="shared" si="5"/>
        <v>0.0005378052549</v>
      </c>
      <c r="O671" s="7"/>
      <c r="P671" s="4">
        <f t="shared" si="6"/>
        <v>-0.07071558944</v>
      </c>
      <c r="Q671" s="4">
        <f t="shared" si="7"/>
        <v>8</v>
      </c>
      <c r="R671" s="4">
        <f t="shared" si="8"/>
        <v>0</v>
      </c>
      <c r="S671" s="4">
        <f t="shared" si="9"/>
        <v>-0.07071558944</v>
      </c>
      <c r="T671" s="4">
        <f t="shared" si="10"/>
        <v>44</v>
      </c>
      <c r="U671" s="4">
        <f t="shared" si="1"/>
        <v>-0.07071558944</v>
      </c>
      <c r="V671" s="4"/>
    </row>
    <row r="672">
      <c r="A672" s="1" t="s">
        <v>15824</v>
      </c>
      <c r="B672" s="1" t="s">
        <v>15825</v>
      </c>
      <c r="C672" s="1" t="s">
        <v>15826</v>
      </c>
      <c r="D672" s="1" t="s">
        <v>15047</v>
      </c>
      <c r="E672" s="1" t="s">
        <v>15048</v>
      </c>
      <c r="F672" s="1">
        <v>5187940.0</v>
      </c>
      <c r="G672" s="1">
        <v>121739.0</v>
      </c>
      <c r="H672" s="1">
        <v>3269.0</v>
      </c>
      <c r="I672" s="1">
        <v>4810000.0</v>
      </c>
      <c r="J672" s="1" t="s">
        <v>2468</v>
      </c>
      <c r="K672" s="5">
        <f t="shared" si="2"/>
        <v>1.078573805</v>
      </c>
      <c r="L672" s="6">
        <f t="shared" si="3"/>
        <v>1003</v>
      </c>
      <c r="M672" s="6">
        <f t="shared" si="4"/>
        <v>5172.422732</v>
      </c>
      <c r="N672" s="7">
        <f t="shared" si="5"/>
        <v>0.001075347761</v>
      </c>
      <c r="O672" s="7"/>
      <c r="P672" s="4">
        <f t="shared" si="6"/>
        <v>0.3079096924</v>
      </c>
      <c r="Q672" s="4">
        <f t="shared" si="7"/>
        <v>6</v>
      </c>
      <c r="R672" s="4">
        <f t="shared" si="8"/>
        <v>0</v>
      </c>
      <c r="S672" s="4">
        <f t="shared" si="9"/>
        <v>0.3079096924</v>
      </c>
      <c r="T672" s="4">
        <f t="shared" si="10"/>
        <v>35</v>
      </c>
      <c r="U672" s="4">
        <f t="shared" si="1"/>
        <v>0.3079096924</v>
      </c>
      <c r="V672" s="4"/>
    </row>
    <row r="673">
      <c r="A673" s="1" t="s">
        <v>15827</v>
      </c>
      <c r="B673" s="1" t="s">
        <v>15828</v>
      </c>
      <c r="C673" s="1" t="s">
        <v>15829</v>
      </c>
      <c r="D673" s="1" t="s">
        <v>15047</v>
      </c>
      <c r="E673" s="1" t="s">
        <v>15048</v>
      </c>
      <c r="F673" s="1">
        <v>1205689.0</v>
      </c>
      <c r="G673" s="1">
        <v>37642.0</v>
      </c>
      <c r="H673" s="1">
        <v>2176.0</v>
      </c>
      <c r="I673" s="1">
        <v>4810000.0</v>
      </c>
      <c r="J673" s="1" t="s">
        <v>2468</v>
      </c>
      <c r="K673" s="5">
        <f t="shared" si="2"/>
        <v>0.2506629938</v>
      </c>
      <c r="L673" s="6">
        <f t="shared" si="3"/>
        <v>1017</v>
      </c>
      <c r="M673" s="6">
        <f t="shared" si="4"/>
        <v>1185.534907</v>
      </c>
      <c r="N673" s="7">
        <f t="shared" si="5"/>
        <v>0.0002464729536</v>
      </c>
      <c r="O673" s="7"/>
      <c r="P673" s="4">
        <f t="shared" si="6"/>
        <v>-0.2759194075</v>
      </c>
      <c r="Q673" s="4">
        <f t="shared" si="7"/>
        <v>6</v>
      </c>
      <c r="R673" s="4">
        <f t="shared" si="8"/>
        <v>0</v>
      </c>
      <c r="S673" s="4">
        <f t="shared" si="9"/>
        <v>-0.2759194075</v>
      </c>
      <c r="T673" s="4">
        <f t="shared" si="10"/>
        <v>40</v>
      </c>
      <c r="U673" s="4">
        <f t="shared" si="1"/>
        <v>-0.2759194075</v>
      </c>
      <c r="V673" s="4"/>
    </row>
    <row r="674">
      <c r="A674" s="1" t="s">
        <v>15830</v>
      </c>
      <c r="B674" s="1" t="s">
        <v>15831</v>
      </c>
      <c r="C674" s="1" t="s">
        <v>15832</v>
      </c>
      <c r="D674" s="1" t="s">
        <v>15047</v>
      </c>
      <c r="E674" s="1" t="s">
        <v>15048</v>
      </c>
      <c r="F674" s="1">
        <v>2043152.0</v>
      </c>
      <c r="G674" s="1">
        <v>62763.0</v>
      </c>
      <c r="H674" s="1">
        <v>2373.0</v>
      </c>
      <c r="I674" s="1">
        <v>4810000.0</v>
      </c>
      <c r="J674" s="1" t="s">
        <v>2468</v>
      </c>
      <c r="K674" s="5">
        <f t="shared" si="2"/>
        <v>0.4247717256</v>
      </c>
      <c r="L674" s="6">
        <f t="shared" si="3"/>
        <v>1031</v>
      </c>
      <c r="M674" s="6">
        <f t="shared" si="4"/>
        <v>1981.71872</v>
      </c>
      <c r="N674" s="7">
        <f t="shared" si="5"/>
        <v>0.0004119997338</v>
      </c>
      <c r="O674" s="7"/>
      <c r="P674" s="4">
        <f t="shared" si="6"/>
        <v>-0.1593283974</v>
      </c>
      <c r="Q674" s="4">
        <f t="shared" si="7"/>
        <v>9</v>
      </c>
      <c r="R674" s="4">
        <f t="shared" si="8"/>
        <v>1</v>
      </c>
      <c r="S674" s="4">
        <f t="shared" si="9"/>
        <v>-0.1593283974</v>
      </c>
      <c r="T674" s="4">
        <f t="shared" si="10"/>
        <v>40</v>
      </c>
      <c r="U674" s="4">
        <f t="shared" si="1"/>
        <v>-0.1593283974</v>
      </c>
      <c r="V674" s="4"/>
    </row>
    <row r="675">
      <c r="A675" s="1" t="s">
        <v>15833</v>
      </c>
      <c r="B675" s="1" t="s">
        <v>15834</v>
      </c>
      <c r="C675" s="1" t="s">
        <v>15835</v>
      </c>
      <c r="D675" s="1" t="s">
        <v>15047</v>
      </c>
      <c r="E675" s="1" t="s">
        <v>15048</v>
      </c>
      <c r="F675" s="1">
        <v>530357.0</v>
      </c>
      <c r="G675" s="1">
        <v>32985.0</v>
      </c>
      <c r="H675" s="1">
        <v>2209.0</v>
      </c>
      <c r="I675" s="1">
        <v>4810000.0</v>
      </c>
      <c r="J675" s="1" t="s">
        <v>2468</v>
      </c>
      <c r="K675" s="5">
        <f t="shared" si="2"/>
        <v>0.1102613306</v>
      </c>
      <c r="L675" s="6">
        <f t="shared" si="3"/>
        <v>1045</v>
      </c>
      <c r="M675" s="6">
        <f t="shared" si="4"/>
        <v>507.5186603</v>
      </c>
      <c r="N675" s="7">
        <f t="shared" si="5"/>
        <v>0.000105513235</v>
      </c>
      <c r="O675" s="7"/>
      <c r="P675" s="4">
        <f t="shared" si="6"/>
        <v>-0.375206278</v>
      </c>
      <c r="Q675" s="4">
        <f t="shared" si="7"/>
        <v>10</v>
      </c>
      <c r="R675" s="4">
        <f t="shared" si="8"/>
        <v>0</v>
      </c>
      <c r="S675" s="4">
        <f t="shared" si="9"/>
        <v>-0.375206278</v>
      </c>
      <c r="T675" s="4">
        <f t="shared" si="10"/>
        <v>40</v>
      </c>
      <c r="U675" s="4">
        <f t="shared" si="1"/>
        <v>-0.375206278</v>
      </c>
      <c r="V675" s="4"/>
    </row>
    <row r="676">
      <c r="A676" s="1" t="s">
        <v>15836</v>
      </c>
      <c r="B676" s="1" t="s">
        <v>15837</v>
      </c>
      <c r="C676" s="1" t="s">
        <v>15838</v>
      </c>
      <c r="D676" s="1" t="s">
        <v>15047</v>
      </c>
      <c r="E676" s="1" t="s">
        <v>15048</v>
      </c>
      <c r="F676" s="1">
        <v>644133.0</v>
      </c>
      <c r="G676" s="1">
        <v>25794.0</v>
      </c>
      <c r="H676" s="1">
        <v>1310.0</v>
      </c>
      <c r="I676" s="1">
        <v>4810000.0</v>
      </c>
      <c r="J676" s="1" t="s">
        <v>2468</v>
      </c>
      <c r="K676" s="5">
        <f t="shared" si="2"/>
        <v>0.1339153846</v>
      </c>
      <c r="L676" s="6">
        <f t="shared" si="3"/>
        <v>1052</v>
      </c>
      <c r="M676" s="6">
        <f t="shared" si="4"/>
        <v>612.2937262</v>
      </c>
      <c r="N676" s="7">
        <f t="shared" si="5"/>
        <v>0.000127295993</v>
      </c>
      <c r="O676" s="7"/>
      <c r="P676" s="4">
        <f t="shared" si="6"/>
        <v>-0.3598632999</v>
      </c>
      <c r="Q676" s="4">
        <f t="shared" si="7"/>
        <v>9</v>
      </c>
      <c r="R676" s="4">
        <f t="shared" si="8"/>
        <v>1</v>
      </c>
      <c r="S676" s="4">
        <f t="shared" si="9"/>
        <v>-0.3598632999</v>
      </c>
      <c r="T676" s="4">
        <f t="shared" si="10"/>
        <v>42</v>
      </c>
      <c r="U676" s="4">
        <f t="shared" si="1"/>
        <v>-0.3598632999</v>
      </c>
      <c r="V676" s="4"/>
    </row>
    <row r="677">
      <c r="A677" s="1" t="s">
        <v>15839</v>
      </c>
      <c r="B677" s="1" t="s">
        <v>15840</v>
      </c>
      <c r="C677" s="1" t="s">
        <v>15841</v>
      </c>
      <c r="D677" s="1" t="s">
        <v>15047</v>
      </c>
      <c r="E677" s="1" t="s">
        <v>15048</v>
      </c>
      <c r="F677" s="1">
        <v>600370.0</v>
      </c>
      <c r="G677" s="1">
        <v>34204.0</v>
      </c>
      <c r="H677" s="1">
        <v>1171.0</v>
      </c>
      <c r="I677" s="1">
        <v>4810000.0</v>
      </c>
      <c r="J677" s="1" t="s">
        <v>2468</v>
      </c>
      <c r="K677" s="5">
        <f t="shared" si="2"/>
        <v>0.1248170478</v>
      </c>
      <c r="L677" s="6">
        <f t="shared" si="3"/>
        <v>1059</v>
      </c>
      <c r="M677" s="6">
        <f t="shared" si="4"/>
        <v>566.9216242</v>
      </c>
      <c r="N677" s="7">
        <f t="shared" si="5"/>
        <v>0.0001178631235</v>
      </c>
      <c r="O677" s="7"/>
      <c r="P677" s="4">
        <f t="shared" si="6"/>
        <v>-0.3665074681</v>
      </c>
      <c r="Q677" s="4">
        <f t="shared" si="7"/>
        <v>10</v>
      </c>
      <c r="R677" s="4">
        <f t="shared" si="8"/>
        <v>0</v>
      </c>
      <c r="S677" s="4">
        <f t="shared" si="9"/>
        <v>-0.3665074681</v>
      </c>
      <c r="T677" s="4">
        <f t="shared" si="10"/>
        <v>40</v>
      </c>
      <c r="U677" s="4">
        <f t="shared" si="1"/>
        <v>-0.3665074681</v>
      </c>
      <c r="V677" s="4"/>
    </row>
    <row r="678">
      <c r="A678" s="1" t="s">
        <v>15842</v>
      </c>
      <c r="B678" s="1" t="s">
        <v>15843</v>
      </c>
      <c r="C678" s="1" t="s">
        <v>15844</v>
      </c>
      <c r="D678" s="1" t="s">
        <v>15047</v>
      </c>
      <c r="E678" s="1" t="s">
        <v>15048</v>
      </c>
      <c r="F678" s="1">
        <v>3428664.0</v>
      </c>
      <c r="G678" s="1">
        <v>104888.0</v>
      </c>
      <c r="H678" s="1">
        <v>2316.0</v>
      </c>
      <c r="I678" s="1">
        <v>4810000.0</v>
      </c>
      <c r="J678" s="1" t="s">
        <v>2468</v>
      </c>
      <c r="K678" s="5">
        <f t="shared" si="2"/>
        <v>0.7128199584</v>
      </c>
      <c r="L678" s="6">
        <f t="shared" si="3"/>
        <v>1066</v>
      </c>
      <c r="M678" s="6">
        <f t="shared" si="4"/>
        <v>3216.382739</v>
      </c>
      <c r="N678" s="7">
        <f t="shared" si="5"/>
        <v>0.0006686866402</v>
      </c>
      <c r="O678" s="7"/>
      <c r="P678" s="4">
        <f t="shared" si="6"/>
        <v>0.0214724716</v>
      </c>
      <c r="Q678" s="4">
        <f t="shared" si="7"/>
        <v>6</v>
      </c>
      <c r="R678" s="4">
        <f t="shared" si="8"/>
        <v>1</v>
      </c>
      <c r="S678" s="4">
        <f t="shared" si="9"/>
        <v>0.0214724716</v>
      </c>
      <c r="T678" s="4">
        <f t="shared" si="10"/>
        <v>25</v>
      </c>
      <c r="U678" s="4">
        <f t="shared" si="1"/>
        <v>0.0214724716</v>
      </c>
      <c r="V678" s="4"/>
    </row>
    <row r="679">
      <c r="A679" s="1" t="s">
        <v>15845</v>
      </c>
      <c r="B679" s="1" t="s">
        <v>15846</v>
      </c>
      <c r="C679" s="1" t="s">
        <v>15847</v>
      </c>
      <c r="D679" s="1" t="s">
        <v>15047</v>
      </c>
      <c r="E679" s="1" t="s">
        <v>15048</v>
      </c>
      <c r="F679" s="1">
        <v>532827.0</v>
      </c>
      <c r="G679" s="1">
        <v>30804.0</v>
      </c>
      <c r="H679" s="1">
        <v>1050.0</v>
      </c>
      <c r="I679" s="1">
        <v>4810000.0</v>
      </c>
      <c r="J679" s="1" t="s">
        <v>2468</v>
      </c>
      <c r="K679" s="5">
        <f t="shared" si="2"/>
        <v>0.1107748441</v>
      </c>
      <c r="L679" s="6">
        <f t="shared" si="3"/>
        <v>1073</v>
      </c>
      <c r="M679" s="6">
        <f t="shared" si="4"/>
        <v>496.5768872</v>
      </c>
      <c r="N679" s="7">
        <f t="shared" si="5"/>
        <v>0.0001032384381</v>
      </c>
      <c r="O679" s="7"/>
      <c r="P679" s="4">
        <f t="shared" si="6"/>
        <v>-0.3768085617</v>
      </c>
      <c r="Q679" s="4">
        <f t="shared" si="7"/>
        <v>10</v>
      </c>
      <c r="R679" s="4">
        <f t="shared" si="8"/>
        <v>0</v>
      </c>
      <c r="S679" s="4">
        <f t="shared" si="9"/>
        <v>-0.3768085617</v>
      </c>
      <c r="T679" s="4">
        <f t="shared" si="10"/>
        <v>40</v>
      </c>
      <c r="U679" s="4">
        <f t="shared" si="1"/>
        <v>-0.3768085617</v>
      </c>
      <c r="V679" s="4"/>
    </row>
    <row r="680">
      <c r="A680" s="1" t="s">
        <v>15848</v>
      </c>
      <c r="B680" s="1" t="s">
        <v>15849</v>
      </c>
      <c r="C680" s="1" t="s">
        <v>15850</v>
      </c>
      <c r="D680" s="1" t="s">
        <v>15047</v>
      </c>
      <c r="E680" s="1" t="s">
        <v>15048</v>
      </c>
      <c r="F680" s="1">
        <v>2800496.0</v>
      </c>
      <c r="G680" s="1">
        <v>75168.0</v>
      </c>
      <c r="H680" s="1">
        <v>3245.0</v>
      </c>
      <c r="I680" s="1">
        <v>4810000.0</v>
      </c>
      <c r="J680" s="1" t="s">
        <v>2468</v>
      </c>
      <c r="K680" s="5">
        <f t="shared" si="2"/>
        <v>0.5822237006</v>
      </c>
      <c r="L680" s="6">
        <f t="shared" si="3"/>
        <v>1080</v>
      </c>
      <c r="M680" s="6">
        <f t="shared" si="4"/>
        <v>2593.051852</v>
      </c>
      <c r="N680" s="7">
        <f t="shared" si="5"/>
        <v>0.0005390960191</v>
      </c>
      <c r="O680" s="7"/>
      <c r="P680" s="4">
        <f t="shared" si="6"/>
        <v>-0.06980642234</v>
      </c>
      <c r="Q680" s="4">
        <f t="shared" si="7"/>
        <v>8</v>
      </c>
      <c r="R680" s="4">
        <f t="shared" si="8"/>
        <v>0</v>
      </c>
      <c r="S680" s="4">
        <f t="shared" si="9"/>
        <v>-0.06980642234</v>
      </c>
      <c r="T680" s="4">
        <f t="shared" si="10"/>
        <v>37</v>
      </c>
      <c r="U680" s="4">
        <f t="shared" si="1"/>
        <v>-0.06980642234</v>
      </c>
      <c r="V680" s="4"/>
    </row>
    <row r="681">
      <c r="A681" s="1" t="s">
        <v>15851</v>
      </c>
      <c r="B681" s="1" t="s">
        <v>15852</v>
      </c>
      <c r="C681" s="1" t="s">
        <v>15853</v>
      </c>
      <c r="D681" s="1" t="s">
        <v>15047</v>
      </c>
      <c r="E681" s="1" t="s">
        <v>15048</v>
      </c>
      <c r="F681" s="1">
        <v>594135.0</v>
      </c>
      <c r="G681" s="1">
        <v>34319.0</v>
      </c>
      <c r="H681" s="1">
        <v>1191.0</v>
      </c>
      <c r="I681" s="1">
        <v>4810000.0</v>
      </c>
      <c r="J681" s="1" t="s">
        <v>2468</v>
      </c>
      <c r="K681" s="5">
        <f t="shared" si="2"/>
        <v>0.12352079</v>
      </c>
      <c r="L681" s="6">
        <f t="shared" si="3"/>
        <v>1087</v>
      </c>
      <c r="M681" s="6">
        <f t="shared" si="4"/>
        <v>546.5823367</v>
      </c>
      <c r="N681" s="7">
        <f t="shared" si="5"/>
        <v>0.0001136345814</v>
      </c>
      <c r="O681" s="7"/>
      <c r="P681" s="4">
        <f t="shared" si="6"/>
        <v>-0.3694858985</v>
      </c>
      <c r="Q681" s="4">
        <f t="shared" si="7"/>
        <v>10</v>
      </c>
      <c r="R681" s="4">
        <f t="shared" si="8"/>
        <v>0</v>
      </c>
      <c r="S681" s="4">
        <f t="shared" si="9"/>
        <v>-0.3694858985</v>
      </c>
      <c r="T681" s="4">
        <f t="shared" si="10"/>
        <v>40</v>
      </c>
      <c r="U681" s="4">
        <f t="shared" si="1"/>
        <v>-0.3694858985</v>
      </c>
      <c r="V681" s="4"/>
    </row>
    <row r="682">
      <c r="A682" s="1" t="s">
        <v>15854</v>
      </c>
      <c r="B682" s="1" t="s">
        <v>15855</v>
      </c>
      <c r="C682" s="1" t="s">
        <v>15856</v>
      </c>
      <c r="D682" s="1" t="s">
        <v>15047</v>
      </c>
      <c r="E682" s="1" t="s">
        <v>15048</v>
      </c>
      <c r="F682" s="1">
        <v>1792710.0</v>
      </c>
      <c r="G682" s="1">
        <v>51427.0</v>
      </c>
      <c r="H682" s="1">
        <v>1950.0</v>
      </c>
      <c r="I682" s="1">
        <v>4810000.0</v>
      </c>
      <c r="J682" s="1" t="s">
        <v>2468</v>
      </c>
      <c r="K682" s="5">
        <f t="shared" si="2"/>
        <v>0.3727047817</v>
      </c>
      <c r="L682" s="6">
        <f t="shared" si="3"/>
        <v>1094</v>
      </c>
      <c r="M682" s="6">
        <f t="shared" si="4"/>
        <v>1638.674589</v>
      </c>
      <c r="N682" s="7">
        <f t="shared" si="5"/>
        <v>0.0003406807877</v>
      </c>
      <c r="O682" s="7"/>
      <c r="P682" s="4">
        <f t="shared" si="6"/>
        <v>-0.2095628547</v>
      </c>
      <c r="Q682" s="4">
        <f t="shared" si="7"/>
        <v>5</v>
      </c>
      <c r="R682" s="4">
        <f t="shared" si="8"/>
        <v>1</v>
      </c>
      <c r="S682" s="4">
        <f t="shared" si="9"/>
        <v>-0.2095628547</v>
      </c>
      <c r="T682" s="4">
        <f t="shared" si="10"/>
        <v>25</v>
      </c>
      <c r="U682" s="4">
        <f t="shared" si="1"/>
        <v>-0.2095628547</v>
      </c>
      <c r="V682" s="4"/>
    </row>
    <row r="683">
      <c r="A683" s="1" t="s">
        <v>15857</v>
      </c>
      <c r="B683" s="1" t="s">
        <v>15858</v>
      </c>
      <c r="C683" s="1" t="s">
        <v>15859</v>
      </c>
      <c r="D683" s="1" t="s">
        <v>15047</v>
      </c>
      <c r="E683" s="1" t="s">
        <v>15048</v>
      </c>
      <c r="F683" s="1">
        <v>755164.0</v>
      </c>
      <c r="G683" s="1">
        <v>46011.0</v>
      </c>
      <c r="H683" s="1">
        <v>2099.0</v>
      </c>
      <c r="I683" s="1">
        <v>4810000.0</v>
      </c>
      <c r="J683" s="1" t="s">
        <v>2468</v>
      </c>
      <c r="K683" s="5">
        <f t="shared" si="2"/>
        <v>0.1569987526</v>
      </c>
      <c r="L683" s="6">
        <f t="shared" si="3"/>
        <v>1101</v>
      </c>
      <c r="M683" s="6">
        <f t="shared" si="4"/>
        <v>685.8891916</v>
      </c>
      <c r="N683" s="7">
        <f t="shared" si="5"/>
        <v>0.0001425965055</v>
      </c>
      <c r="O683" s="7"/>
      <c r="P683" s="4">
        <f t="shared" si="6"/>
        <v>-0.3490861784</v>
      </c>
      <c r="Q683" s="4">
        <f t="shared" si="7"/>
        <v>10</v>
      </c>
      <c r="R683" s="4">
        <f t="shared" si="8"/>
        <v>0</v>
      </c>
      <c r="S683" s="4">
        <f t="shared" si="9"/>
        <v>-0.3490861784</v>
      </c>
      <c r="T683" s="4">
        <f t="shared" si="10"/>
        <v>40</v>
      </c>
      <c r="U683" s="4">
        <f t="shared" si="1"/>
        <v>-0.3490861784</v>
      </c>
      <c r="V683" s="4"/>
    </row>
    <row r="684">
      <c r="A684" s="1" t="s">
        <v>15860</v>
      </c>
      <c r="B684" s="1" t="s">
        <v>15861</v>
      </c>
      <c r="C684" s="1" t="s">
        <v>15862</v>
      </c>
      <c r="D684" s="1" t="s">
        <v>15047</v>
      </c>
      <c r="E684" s="1" t="s">
        <v>15048</v>
      </c>
      <c r="F684" s="1">
        <v>4575718.0</v>
      </c>
      <c r="G684" s="1">
        <v>83811.0</v>
      </c>
      <c r="H684" s="1">
        <v>2949.0</v>
      </c>
      <c r="I684" s="1">
        <v>4810000.0</v>
      </c>
      <c r="J684" s="1" t="s">
        <v>2468</v>
      </c>
      <c r="K684" s="5">
        <f t="shared" si="2"/>
        <v>0.9512927235</v>
      </c>
      <c r="L684" s="6">
        <f t="shared" si="3"/>
        <v>1115</v>
      </c>
      <c r="M684" s="6">
        <f t="shared" si="4"/>
        <v>4103.78296</v>
      </c>
      <c r="N684" s="7">
        <f t="shared" si="5"/>
        <v>0.0008531773305</v>
      </c>
      <c r="O684" s="7"/>
      <c r="P684" s="4">
        <f t="shared" si="6"/>
        <v>0.1514209664</v>
      </c>
      <c r="Q684" s="4">
        <f t="shared" si="7"/>
        <v>7</v>
      </c>
      <c r="R684" s="4">
        <f t="shared" si="8"/>
        <v>0</v>
      </c>
      <c r="S684" s="4">
        <f t="shared" si="9"/>
        <v>0.1514209664</v>
      </c>
      <c r="T684" s="4">
        <f t="shared" si="10"/>
        <v>43</v>
      </c>
      <c r="U684" s="4">
        <f t="shared" si="1"/>
        <v>0.1514209664</v>
      </c>
      <c r="V684" s="4"/>
    </row>
    <row r="685">
      <c r="A685" s="1" t="s">
        <v>15863</v>
      </c>
      <c r="B685" s="1" t="s">
        <v>15864</v>
      </c>
      <c r="C685" s="1" t="s">
        <v>15865</v>
      </c>
      <c r="D685" s="1" t="s">
        <v>15047</v>
      </c>
      <c r="E685" s="1" t="s">
        <v>15048</v>
      </c>
      <c r="F685" s="1">
        <v>7874877.0</v>
      </c>
      <c r="G685" s="1">
        <v>154414.0</v>
      </c>
      <c r="H685" s="1">
        <v>4992.0</v>
      </c>
      <c r="I685" s="1">
        <v>4810000.0</v>
      </c>
      <c r="J685" s="1" t="s">
        <v>2468</v>
      </c>
      <c r="K685" s="5">
        <f t="shared" si="2"/>
        <v>1.637188565</v>
      </c>
      <c r="L685" s="6">
        <f t="shared" si="3"/>
        <v>1129</v>
      </c>
      <c r="M685" s="6">
        <f t="shared" si="4"/>
        <v>6975.090345</v>
      </c>
      <c r="N685" s="7">
        <f t="shared" si="5"/>
        <v>0.001450122733</v>
      </c>
      <c r="O685" s="7"/>
      <c r="P685" s="4">
        <f t="shared" si="6"/>
        <v>0.5718874757</v>
      </c>
      <c r="Q685" s="4">
        <f t="shared" si="7"/>
        <v>6</v>
      </c>
      <c r="R685" s="4">
        <f t="shared" si="8"/>
        <v>1</v>
      </c>
      <c r="S685" s="4">
        <f t="shared" si="9"/>
        <v>0.5718874757</v>
      </c>
      <c r="T685" s="4">
        <f t="shared" si="10"/>
        <v>38</v>
      </c>
      <c r="U685" s="4">
        <f t="shared" si="1"/>
        <v>0.5718874757</v>
      </c>
      <c r="V685" s="4"/>
    </row>
    <row r="686">
      <c r="A686" s="1" t="s">
        <v>15866</v>
      </c>
      <c r="B686" s="1" t="s">
        <v>15867</v>
      </c>
      <c r="C686" s="1" t="s">
        <v>15868</v>
      </c>
      <c r="D686" s="1" t="s">
        <v>15047</v>
      </c>
      <c r="E686" s="1" t="s">
        <v>15048</v>
      </c>
      <c r="F686" s="1">
        <v>957924.0</v>
      </c>
      <c r="G686" s="1">
        <v>34513.0</v>
      </c>
      <c r="H686" s="1">
        <v>2029.0</v>
      </c>
      <c r="I686" s="1">
        <v>4810000.0</v>
      </c>
      <c r="J686" s="1" t="s">
        <v>2468</v>
      </c>
      <c r="K686" s="5">
        <f t="shared" si="2"/>
        <v>0.1991525988</v>
      </c>
      <c r="L686" s="6">
        <f t="shared" si="3"/>
        <v>1143</v>
      </c>
      <c r="M686" s="6">
        <f t="shared" si="4"/>
        <v>838.0787402</v>
      </c>
      <c r="N686" s="7">
        <f t="shared" si="5"/>
        <v>0.0001742367443</v>
      </c>
      <c r="O686" s="7"/>
      <c r="P686" s="4">
        <f t="shared" si="6"/>
        <v>-0.3267999514</v>
      </c>
      <c r="Q686" s="4">
        <f t="shared" si="7"/>
        <v>5</v>
      </c>
      <c r="R686" s="4">
        <f t="shared" si="8"/>
        <v>0</v>
      </c>
      <c r="S686" s="4">
        <f t="shared" si="9"/>
        <v>-0.3267999514</v>
      </c>
      <c r="T686" s="4">
        <f t="shared" si="10"/>
        <v>38</v>
      </c>
      <c r="U686" s="4">
        <f t="shared" si="1"/>
        <v>-0.3267999514</v>
      </c>
      <c r="V686" s="4"/>
    </row>
    <row r="687">
      <c r="A687" s="1" t="s">
        <v>15869</v>
      </c>
      <c r="B687" s="1" t="s">
        <v>15870</v>
      </c>
      <c r="C687" s="1" t="s">
        <v>15871</v>
      </c>
      <c r="D687" s="1" t="s">
        <v>15047</v>
      </c>
      <c r="E687" s="1" t="s">
        <v>15048</v>
      </c>
      <c r="F687" s="1">
        <v>4875171.0</v>
      </c>
      <c r="G687" s="1">
        <v>109976.0</v>
      </c>
      <c r="H687" s="1">
        <v>6456.0</v>
      </c>
      <c r="I687" s="1">
        <v>4810000.0</v>
      </c>
      <c r="J687" s="1" t="s">
        <v>2468</v>
      </c>
      <c r="K687" s="5">
        <f t="shared" si="2"/>
        <v>1.013549064</v>
      </c>
      <c r="L687" s="6">
        <f t="shared" si="3"/>
        <v>1156</v>
      </c>
      <c r="M687" s="6">
        <f t="shared" si="4"/>
        <v>4217.275952</v>
      </c>
      <c r="N687" s="7">
        <f t="shared" si="5"/>
        <v>0.0008767725471</v>
      </c>
      <c r="O687" s="7"/>
      <c r="P687" s="4">
        <f t="shared" si="6"/>
        <v>0.1680405741</v>
      </c>
      <c r="Q687" s="4">
        <f t="shared" si="7"/>
        <v>5</v>
      </c>
      <c r="R687" s="4">
        <f t="shared" si="8"/>
        <v>1</v>
      </c>
      <c r="S687" s="4">
        <f t="shared" si="9"/>
        <v>0.1680405741</v>
      </c>
      <c r="T687" s="4">
        <f t="shared" si="10"/>
        <v>28</v>
      </c>
      <c r="U687" s="4">
        <f t="shared" si="1"/>
        <v>0.1680405741</v>
      </c>
      <c r="V687" s="4"/>
    </row>
    <row r="688">
      <c r="A688" s="1" t="s">
        <v>15872</v>
      </c>
      <c r="B688" s="1" t="s">
        <v>15873</v>
      </c>
      <c r="C688" s="1" t="s">
        <v>15874</v>
      </c>
      <c r="D688" s="1" t="s">
        <v>15047</v>
      </c>
      <c r="E688" s="1" t="s">
        <v>15048</v>
      </c>
      <c r="F688" s="1">
        <v>691507.0</v>
      </c>
      <c r="G688" s="1">
        <v>31876.0</v>
      </c>
      <c r="H688" s="1">
        <v>2327.0</v>
      </c>
      <c r="I688" s="1">
        <v>4810000.0</v>
      </c>
      <c r="J688" s="1" t="s">
        <v>2468</v>
      </c>
      <c r="K688" s="5">
        <f t="shared" si="2"/>
        <v>0.1437644491</v>
      </c>
      <c r="L688" s="6">
        <f t="shared" si="3"/>
        <v>1171</v>
      </c>
      <c r="M688" s="6">
        <f t="shared" si="4"/>
        <v>590.5269001</v>
      </c>
      <c r="N688" s="7">
        <f t="shared" si="5"/>
        <v>0.0001227706653</v>
      </c>
      <c r="O688" s="7"/>
      <c r="P688" s="4">
        <f t="shared" si="6"/>
        <v>-0.3630507752</v>
      </c>
      <c r="Q688" s="4">
        <f t="shared" si="7"/>
        <v>7</v>
      </c>
      <c r="R688" s="4">
        <f t="shared" si="8"/>
        <v>1</v>
      </c>
      <c r="S688" s="4">
        <f t="shared" si="9"/>
        <v>-0.3630507752</v>
      </c>
      <c r="T688" s="4">
        <f t="shared" si="10"/>
        <v>29</v>
      </c>
      <c r="U688" s="4">
        <f t="shared" si="1"/>
        <v>-0.3630507752</v>
      </c>
      <c r="V688" s="4"/>
    </row>
    <row r="689">
      <c r="A689" s="1" t="s">
        <v>15875</v>
      </c>
      <c r="B689" s="1" t="s">
        <v>15876</v>
      </c>
      <c r="C689" s="1" t="s">
        <v>15877</v>
      </c>
      <c r="D689" s="1" t="s">
        <v>15047</v>
      </c>
      <c r="E689" s="1" t="s">
        <v>15048</v>
      </c>
      <c r="F689" s="1">
        <v>2240342.0</v>
      </c>
      <c r="G689" s="1">
        <v>57120.0</v>
      </c>
      <c r="H689" s="1">
        <v>1343.0</v>
      </c>
      <c r="I689" s="1">
        <v>4810000.0</v>
      </c>
      <c r="J689" s="1" t="s">
        <v>2468</v>
      </c>
      <c r="K689" s="5">
        <f t="shared" si="2"/>
        <v>0.4657675676</v>
      </c>
      <c r="L689" s="6">
        <f t="shared" si="3"/>
        <v>1185</v>
      </c>
      <c r="M689" s="6">
        <f t="shared" si="4"/>
        <v>1890.583966</v>
      </c>
      <c r="N689" s="7">
        <f t="shared" si="5"/>
        <v>0.0003930527996</v>
      </c>
      <c r="O689" s="7"/>
      <c r="P689" s="4">
        <f t="shared" si="6"/>
        <v>-0.1726739249</v>
      </c>
      <c r="Q689" s="4">
        <f t="shared" si="7"/>
        <v>4</v>
      </c>
      <c r="R689" s="4">
        <f t="shared" si="8"/>
        <v>0</v>
      </c>
      <c r="S689" s="4">
        <f t="shared" si="9"/>
        <v>-0.1726739249</v>
      </c>
      <c r="T689" s="4">
        <f t="shared" si="10"/>
        <v>18</v>
      </c>
      <c r="U689" s="4">
        <f t="shared" si="1"/>
        <v>-0.1726739249</v>
      </c>
      <c r="V689" s="4"/>
    </row>
    <row r="690">
      <c r="A690" s="1" t="s">
        <v>15878</v>
      </c>
      <c r="B690" s="1" t="s">
        <v>15879</v>
      </c>
      <c r="C690" s="1" t="s">
        <v>15880</v>
      </c>
      <c r="D690" s="1" t="s">
        <v>15047</v>
      </c>
      <c r="E690" s="1" t="s">
        <v>15048</v>
      </c>
      <c r="F690" s="1">
        <v>1207575.0</v>
      </c>
      <c r="G690" s="1">
        <v>42914.0</v>
      </c>
      <c r="H690" s="1">
        <v>2323.0</v>
      </c>
      <c r="I690" s="1">
        <v>4810000.0</v>
      </c>
      <c r="J690" s="1" t="s">
        <v>2468</v>
      </c>
      <c r="K690" s="5">
        <f t="shared" si="2"/>
        <v>0.2510550936</v>
      </c>
      <c r="L690" s="6">
        <f t="shared" si="3"/>
        <v>1206</v>
      </c>
      <c r="M690" s="6">
        <f t="shared" si="4"/>
        <v>1001.30597</v>
      </c>
      <c r="N690" s="7">
        <f t="shared" si="5"/>
        <v>0.0002081717194</v>
      </c>
      <c r="O690" s="7"/>
      <c r="P690" s="4">
        <f t="shared" si="6"/>
        <v>-0.3028973961</v>
      </c>
      <c r="Q690" s="4">
        <f t="shared" si="7"/>
        <v>11</v>
      </c>
      <c r="R690" s="4">
        <f t="shared" si="8"/>
        <v>1</v>
      </c>
      <c r="S690" s="4">
        <f t="shared" si="9"/>
        <v>-0.3028973961</v>
      </c>
      <c r="T690" s="4">
        <f t="shared" si="10"/>
        <v>60</v>
      </c>
      <c r="U690" s="4">
        <f t="shared" si="1"/>
        <v>-0.3028973961</v>
      </c>
      <c r="V690" s="4"/>
    </row>
    <row r="691">
      <c r="A691" s="1" t="s">
        <v>15881</v>
      </c>
      <c r="B691" s="1" t="s">
        <v>15882</v>
      </c>
      <c r="C691" s="1" t="s">
        <v>15883</v>
      </c>
      <c r="D691" s="1" t="s">
        <v>15047</v>
      </c>
      <c r="E691" s="1" t="s">
        <v>15048</v>
      </c>
      <c r="F691" s="1">
        <v>704315.0</v>
      </c>
      <c r="G691" s="1">
        <v>29355.0</v>
      </c>
      <c r="H691" s="1">
        <v>860.0</v>
      </c>
      <c r="I691" s="1">
        <v>4810000.0</v>
      </c>
      <c r="J691" s="1" t="s">
        <v>2468</v>
      </c>
      <c r="K691" s="5">
        <f t="shared" si="2"/>
        <v>0.1464272349</v>
      </c>
      <c r="L691" s="6">
        <f t="shared" si="3"/>
        <v>1220</v>
      </c>
      <c r="M691" s="6">
        <f t="shared" si="4"/>
        <v>577.307377</v>
      </c>
      <c r="N691" s="7">
        <f t="shared" si="5"/>
        <v>0.0001200223237</v>
      </c>
      <c r="O691" s="7"/>
      <c r="P691" s="4">
        <f t="shared" si="6"/>
        <v>-0.3649866065</v>
      </c>
      <c r="Q691" s="4">
        <f t="shared" si="7"/>
        <v>10</v>
      </c>
      <c r="R691" s="4">
        <f t="shared" si="8"/>
        <v>0</v>
      </c>
      <c r="S691" s="4">
        <f t="shared" si="9"/>
        <v>-0.3649866065</v>
      </c>
      <c r="T691" s="4">
        <f t="shared" si="10"/>
        <v>57</v>
      </c>
      <c r="U691" s="4">
        <f t="shared" si="1"/>
        <v>-0.3649866065</v>
      </c>
      <c r="V691" s="4"/>
    </row>
    <row r="692">
      <c r="A692" s="1" t="s">
        <v>15884</v>
      </c>
      <c r="B692" s="1" t="s">
        <v>15885</v>
      </c>
      <c r="C692" s="1" t="s">
        <v>15886</v>
      </c>
      <c r="D692" s="1" t="s">
        <v>15047</v>
      </c>
      <c r="E692" s="1" t="s">
        <v>15048</v>
      </c>
      <c r="F692" s="1">
        <v>1020446.0</v>
      </c>
      <c r="G692" s="1">
        <v>40030.0</v>
      </c>
      <c r="H692" s="1">
        <v>2819.0</v>
      </c>
      <c r="I692" s="1">
        <v>4810000.0</v>
      </c>
      <c r="J692" s="1" t="s">
        <v>2468</v>
      </c>
      <c r="K692" s="5">
        <f t="shared" si="2"/>
        <v>0.2121509356</v>
      </c>
      <c r="L692" s="6">
        <f t="shared" si="3"/>
        <v>1234</v>
      </c>
      <c r="M692" s="6">
        <f t="shared" si="4"/>
        <v>826.9416532</v>
      </c>
      <c r="N692" s="7">
        <f t="shared" si="5"/>
        <v>0.0001719213416</v>
      </c>
      <c r="O692" s="7"/>
      <c r="P692" s="4">
        <f t="shared" si="6"/>
        <v>-0.3284308364</v>
      </c>
      <c r="Q692" s="4">
        <f t="shared" si="7"/>
        <v>5</v>
      </c>
      <c r="R692" s="4">
        <f t="shared" si="8"/>
        <v>0</v>
      </c>
      <c r="S692" s="4">
        <f t="shared" si="9"/>
        <v>-0.3284308364</v>
      </c>
      <c r="T692" s="4">
        <f t="shared" si="10"/>
        <v>36</v>
      </c>
      <c r="U692" s="4">
        <f t="shared" si="1"/>
        <v>-0.3284308364</v>
      </c>
      <c r="V692" s="4"/>
    </row>
    <row r="693">
      <c r="A693" s="1" t="s">
        <v>15887</v>
      </c>
      <c r="B693" s="1" t="s">
        <v>15888</v>
      </c>
      <c r="C693" s="1" t="s">
        <v>15889</v>
      </c>
      <c r="D693" s="1" t="s">
        <v>15047</v>
      </c>
      <c r="E693" s="1" t="s">
        <v>15048</v>
      </c>
      <c r="F693" s="1">
        <v>4412094.0</v>
      </c>
      <c r="G693" s="1">
        <v>101303.0</v>
      </c>
      <c r="H693" s="1">
        <v>2692.0</v>
      </c>
      <c r="I693" s="1">
        <v>4810000.0</v>
      </c>
      <c r="J693" s="1" t="s">
        <v>2468</v>
      </c>
      <c r="K693" s="5">
        <f t="shared" si="2"/>
        <v>0.9172752599</v>
      </c>
      <c r="L693" s="6">
        <f t="shared" si="3"/>
        <v>1248</v>
      </c>
      <c r="M693" s="6">
        <f t="shared" si="4"/>
        <v>3535.331731</v>
      </c>
      <c r="N693" s="7">
        <f t="shared" si="5"/>
        <v>0.0007349962018</v>
      </c>
      <c r="O693" s="7"/>
      <c r="P693" s="4">
        <f t="shared" si="6"/>
        <v>0.06817850167</v>
      </c>
      <c r="Q693" s="4">
        <f t="shared" si="7"/>
        <v>5</v>
      </c>
      <c r="R693" s="4">
        <f t="shared" si="8"/>
        <v>0</v>
      </c>
      <c r="S693" s="4">
        <f t="shared" si="9"/>
        <v>0.06817850167</v>
      </c>
      <c r="T693" s="4">
        <f t="shared" si="10"/>
        <v>29</v>
      </c>
      <c r="U693" s="4">
        <f t="shared" si="1"/>
        <v>0.06817850167</v>
      </c>
      <c r="V693" s="4"/>
    </row>
    <row r="694">
      <c r="A694" s="1" t="s">
        <v>15890</v>
      </c>
      <c r="B694" s="1" t="s">
        <v>15891</v>
      </c>
      <c r="C694" s="1" t="s">
        <v>15892</v>
      </c>
      <c r="D694" s="1" t="s">
        <v>15047</v>
      </c>
      <c r="E694" s="1" t="s">
        <v>15048</v>
      </c>
      <c r="F694" s="1">
        <v>1604316.0</v>
      </c>
      <c r="G694" s="1">
        <v>46763.0</v>
      </c>
      <c r="H694" s="1">
        <v>2726.0</v>
      </c>
      <c r="I694" s="1">
        <v>4810000.0</v>
      </c>
      <c r="J694" s="1" t="s">
        <v>2468</v>
      </c>
      <c r="K694" s="5">
        <f t="shared" si="2"/>
        <v>0.3335376299</v>
      </c>
      <c r="L694" s="6">
        <f t="shared" si="3"/>
        <v>1262</v>
      </c>
      <c r="M694" s="6">
        <f t="shared" si="4"/>
        <v>1271.248811</v>
      </c>
      <c r="N694" s="7">
        <f t="shared" si="5"/>
        <v>0.0002642928922</v>
      </c>
      <c r="O694" s="7"/>
      <c r="P694" s="4">
        <f t="shared" si="6"/>
        <v>-0.2633676945</v>
      </c>
      <c r="Q694" s="4">
        <f t="shared" si="7"/>
        <v>7</v>
      </c>
      <c r="R694" s="4">
        <f t="shared" si="8"/>
        <v>0</v>
      </c>
      <c r="S694" s="4">
        <f t="shared" si="9"/>
        <v>-0.2633676945</v>
      </c>
      <c r="T694" s="4">
        <f t="shared" si="10"/>
        <v>40</v>
      </c>
      <c r="U694" s="4">
        <f t="shared" si="1"/>
        <v>-0.2633676945</v>
      </c>
      <c r="V694" s="4"/>
    </row>
    <row r="695">
      <c r="A695" s="1" t="s">
        <v>15893</v>
      </c>
      <c r="B695" s="1" t="s">
        <v>15894</v>
      </c>
      <c r="C695" s="1" t="s">
        <v>15895</v>
      </c>
      <c r="D695" s="1" t="s">
        <v>15047</v>
      </c>
      <c r="E695" s="1" t="s">
        <v>15048</v>
      </c>
      <c r="F695" s="1">
        <v>3253152.0</v>
      </c>
      <c r="G695" s="1">
        <v>90042.0</v>
      </c>
      <c r="H695" s="1">
        <v>2233.0</v>
      </c>
      <c r="I695" s="1">
        <v>4810000.0</v>
      </c>
      <c r="J695" s="1" t="s">
        <v>2468</v>
      </c>
      <c r="K695" s="5">
        <f t="shared" si="2"/>
        <v>0.6763309771</v>
      </c>
      <c r="L695" s="6">
        <f t="shared" si="3"/>
        <v>1276</v>
      </c>
      <c r="M695" s="6">
        <f t="shared" si="4"/>
        <v>2549.492163</v>
      </c>
      <c r="N695" s="7">
        <f t="shared" si="5"/>
        <v>0.0005300399507</v>
      </c>
      <c r="O695" s="7"/>
      <c r="P695" s="4">
        <f t="shared" si="6"/>
        <v>-0.07618518569</v>
      </c>
      <c r="Q695" s="4">
        <f t="shared" si="7"/>
        <v>3</v>
      </c>
      <c r="R695" s="4">
        <f t="shared" si="8"/>
        <v>0</v>
      </c>
      <c r="S695" s="4">
        <f t="shared" si="9"/>
        <v>-0.07618518569</v>
      </c>
      <c r="T695" s="4">
        <f t="shared" si="10"/>
        <v>12</v>
      </c>
      <c r="U695" s="4">
        <f t="shared" si="1"/>
        <v>-0.07618518569</v>
      </c>
      <c r="V695" s="4"/>
    </row>
    <row r="696">
      <c r="A696" s="1" t="s">
        <v>15896</v>
      </c>
      <c r="B696" s="1" t="s">
        <v>15897</v>
      </c>
      <c r="C696" s="1" t="s">
        <v>15898</v>
      </c>
      <c r="D696" s="1" t="s">
        <v>15047</v>
      </c>
      <c r="E696" s="1" t="s">
        <v>15048</v>
      </c>
      <c r="F696" s="1">
        <v>1281007.0</v>
      </c>
      <c r="G696" s="1">
        <v>45044.0</v>
      </c>
      <c r="H696" s="1">
        <v>3673.0</v>
      </c>
      <c r="I696" s="1">
        <v>4810000.0</v>
      </c>
      <c r="J696" s="1" t="s">
        <v>2468</v>
      </c>
      <c r="K696" s="5">
        <f t="shared" si="2"/>
        <v>0.2663216216</v>
      </c>
      <c r="L696" s="6">
        <f t="shared" si="3"/>
        <v>1290</v>
      </c>
      <c r="M696" s="6">
        <f t="shared" si="4"/>
        <v>993.0286822</v>
      </c>
      <c r="N696" s="7">
        <f t="shared" si="5"/>
        <v>0.0002064508695</v>
      </c>
      <c r="O696" s="7"/>
      <c r="P696" s="4">
        <f t="shared" si="6"/>
        <v>-0.3041094998</v>
      </c>
      <c r="Q696" s="4">
        <f t="shared" si="7"/>
        <v>10</v>
      </c>
      <c r="R696" s="4">
        <f t="shared" si="8"/>
        <v>0</v>
      </c>
      <c r="S696" s="4">
        <f t="shared" si="9"/>
        <v>-0.3041094998</v>
      </c>
      <c r="T696" s="4">
        <f t="shared" si="10"/>
        <v>44</v>
      </c>
      <c r="U696" s="4">
        <f t="shared" si="1"/>
        <v>-0.3041094998</v>
      </c>
      <c r="V696" s="4"/>
    </row>
    <row r="697">
      <c r="A697" s="1" t="s">
        <v>15899</v>
      </c>
      <c r="B697" s="1" t="s">
        <v>15900</v>
      </c>
      <c r="C697" s="1" t="s">
        <v>15901</v>
      </c>
      <c r="D697" s="1" t="s">
        <v>15047</v>
      </c>
      <c r="E697" s="1" t="s">
        <v>15048</v>
      </c>
      <c r="F697" s="1">
        <v>2224415.0</v>
      </c>
      <c r="G697" s="1">
        <v>55290.0</v>
      </c>
      <c r="H697" s="1">
        <v>1868.0</v>
      </c>
      <c r="I697" s="1">
        <v>4810000.0</v>
      </c>
      <c r="J697" s="1" t="s">
        <v>2468</v>
      </c>
      <c r="K697" s="5">
        <f t="shared" si="2"/>
        <v>0.462456341</v>
      </c>
      <c r="L697" s="6">
        <f t="shared" si="3"/>
        <v>1304</v>
      </c>
      <c r="M697" s="6">
        <f t="shared" si="4"/>
        <v>1705.839724</v>
      </c>
      <c r="N697" s="7">
        <f t="shared" si="5"/>
        <v>0.0003546444332</v>
      </c>
      <c r="O697" s="7"/>
      <c r="P697" s="4">
        <f t="shared" si="6"/>
        <v>-0.1997273734</v>
      </c>
      <c r="Q697" s="4">
        <f t="shared" si="7"/>
        <v>7</v>
      </c>
      <c r="R697" s="4">
        <f t="shared" si="8"/>
        <v>0</v>
      </c>
      <c r="S697" s="4">
        <f t="shared" si="9"/>
        <v>-0.1997273734</v>
      </c>
      <c r="T697" s="4">
        <f t="shared" si="10"/>
        <v>29</v>
      </c>
      <c r="U697" s="4">
        <f t="shared" si="1"/>
        <v>-0.1997273734</v>
      </c>
      <c r="V697" s="4"/>
    </row>
    <row r="698">
      <c r="A698" s="1" t="s">
        <v>15902</v>
      </c>
      <c r="B698" s="1" t="s">
        <v>15903</v>
      </c>
      <c r="C698" s="1" t="s">
        <v>15904</v>
      </c>
      <c r="D698" s="1" t="s">
        <v>15047</v>
      </c>
      <c r="E698" s="1" t="s">
        <v>15048</v>
      </c>
      <c r="F698" s="1">
        <v>1969609.0</v>
      </c>
      <c r="G698" s="1">
        <v>67093.0</v>
      </c>
      <c r="H698" s="1">
        <v>5391.0</v>
      </c>
      <c r="I698" s="1">
        <v>4810000.0</v>
      </c>
      <c r="J698" s="1" t="s">
        <v>2468</v>
      </c>
      <c r="K698" s="5">
        <f t="shared" si="2"/>
        <v>0.4094821206</v>
      </c>
      <c r="L698" s="6">
        <f t="shared" si="3"/>
        <v>1325</v>
      </c>
      <c r="M698" s="6">
        <f t="shared" si="4"/>
        <v>1486.497358</v>
      </c>
      <c r="N698" s="7">
        <f t="shared" si="5"/>
        <v>0.0003090431099</v>
      </c>
      <c r="O698" s="7"/>
      <c r="P698" s="4">
        <f t="shared" si="6"/>
        <v>-0.2318472778</v>
      </c>
      <c r="Q698" s="4">
        <f t="shared" si="7"/>
        <v>10</v>
      </c>
      <c r="R698" s="4">
        <f t="shared" si="8"/>
        <v>1</v>
      </c>
      <c r="S698" s="4">
        <f t="shared" si="9"/>
        <v>-0.2318472778</v>
      </c>
      <c r="T698" s="4">
        <f t="shared" si="10"/>
        <v>56</v>
      </c>
      <c r="U698" s="4">
        <f t="shared" si="1"/>
        <v>-0.2318472778</v>
      </c>
      <c r="V698" s="4"/>
    </row>
    <row r="699">
      <c r="A699" s="1" t="s">
        <v>15905</v>
      </c>
      <c r="B699" s="1" t="s">
        <v>15906</v>
      </c>
      <c r="C699" s="1" t="s">
        <v>15907</v>
      </c>
      <c r="D699" s="1" t="s">
        <v>15047</v>
      </c>
      <c r="E699" s="1" t="s">
        <v>15048</v>
      </c>
      <c r="F699" s="1">
        <v>5182276.0</v>
      </c>
      <c r="G699" s="1">
        <v>85295.0</v>
      </c>
      <c r="H699" s="1">
        <v>1830.0</v>
      </c>
      <c r="I699" s="1">
        <v>4810000.0</v>
      </c>
      <c r="J699" s="1" t="s">
        <v>2468</v>
      </c>
      <c r="K699" s="5">
        <f t="shared" si="2"/>
        <v>1.077396258</v>
      </c>
      <c r="L699" s="6">
        <f t="shared" si="3"/>
        <v>1339</v>
      </c>
      <c r="M699" s="6">
        <f t="shared" si="4"/>
        <v>3870.258402</v>
      </c>
      <c r="N699" s="7">
        <f t="shared" si="5"/>
        <v>0.0008046275264</v>
      </c>
      <c r="O699" s="7"/>
      <c r="P699" s="4">
        <f t="shared" si="6"/>
        <v>0.11722426</v>
      </c>
      <c r="Q699" s="4">
        <f t="shared" si="7"/>
        <v>5</v>
      </c>
      <c r="R699" s="4">
        <f t="shared" si="8"/>
        <v>0</v>
      </c>
      <c r="S699" s="4">
        <f t="shared" si="9"/>
        <v>0.11722426</v>
      </c>
      <c r="T699" s="4">
        <f t="shared" si="10"/>
        <v>28</v>
      </c>
      <c r="U699" s="4">
        <f t="shared" si="1"/>
        <v>0.11722426</v>
      </c>
      <c r="V699" s="4"/>
    </row>
    <row r="700">
      <c r="A700" s="1" t="s">
        <v>15908</v>
      </c>
      <c r="B700" s="1" t="s">
        <v>15909</v>
      </c>
      <c r="C700" s="1" t="s">
        <v>15910</v>
      </c>
      <c r="D700" s="1" t="s">
        <v>15047</v>
      </c>
      <c r="E700" s="1" t="s">
        <v>15048</v>
      </c>
      <c r="F700" s="1">
        <v>1233461.0</v>
      </c>
      <c r="G700" s="1">
        <v>42435.0</v>
      </c>
      <c r="H700" s="1">
        <v>1402.0</v>
      </c>
      <c r="I700" s="1">
        <v>4810000.0</v>
      </c>
      <c r="J700" s="1" t="s">
        <v>2468</v>
      </c>
      <c r="K700" s="5">
        <f t="shared" si="2"/>
        <v>0.2564367983</v>
      </c>
      <c r="L700" s="6">
        <f t="shared" si="3"/>
        <v>1353</v>
      </c>
      <c r="M700" s="6">
        <f t="shared" si="4"/>
        <v>911.6489283</v>
      </c>
      <c r="N700" s="7">
        <f t="shared" si="5"/>
        <v>0.0001895320017</v>
      </c>
      <c r="O700" s="7"/>
      <c r="P700" s="4">
        <f t="shared" si="6"/>
        <v>-0.3160265315</v>
      </c>
      <c r="Q700" s="4">
        <f t="shared" si="7"/>
        <v>11</v>
      </c>
      <c r="R700" s="4">
        <f t="shared" si="8"/>
        <v>0</v>
      </c>
      <c r="S700" s="4">
        <f t="shared" si="9"/>
        <v>-0.3160265315</v>
      </c>
      <c r="T700" s="4">
        <f t="shared" si="10"/>
        <v>47</v>
      </c>
      <c r="U700" s="4">
        <f t="shared" si="1"/>
        <v>-0.3160265315</v>
      </c>
      <c r="V700" s="4"/>
    </row>
    <row r="701">
      <c r="A701" s="1" t="s">
        <v>15911</v>
      </c>
      <c r="B701" s="1" t="s">
        <v>15912</v>
      </c>
      <c r="C701" s="1" t="s">
        <v>15913</v>
      </c>
      <c r="D701" s="1" t="s">
        <v>15047</v>
      </c>
      <c r="E701" s="1" t="s">
        <v>15048</v>
      </c>
      <c r="F701" s="1">
        <v>3004241.0</v>
      </c>
      <c r="G701" s="1">
        <v>81829.0</v>
      </c>
      <c r="H701" s="1">
        <v>3065.0</v>
      </c>
      <c r="I701" s="1">
        <v>4810000.0</v>
      </c>
      <c r="J701" s="1" t="s">
        <v>2468</v>
      </c>
      <c r="K701" s="5">
        <f t="shared" si="2"/>
        <v>0.6245823285</v>
      </c>
      <c r="L701" s="6">
        <f t="shared" si="3"/>
        <v>1367</v>
      </c>
      <c r="M701" s="6">
        <f t="shared" si="4"/>
        <v>2197.6891</v>
      </c>
      <c r="N701" s="7">
        <f t="shared" si="5"/>
        <v>0.0004569000208</v>
      </c>
      <c r="O701" s="7"/>
      <c r="P701" s="4">
        <f t="shared" si="6"/>
        <v>-0.1277022773</v>
      </c>
      <c r="Q701" s="4">
        <f t="shared" si="7"/>
        <v>9</v>
      </c>
      <c r="R701" s="4">
        <f t="shared" si="8"/>
        <v>1</v>
      </c>
      <c r="S701" s="4">
        <f t="shared" si="9"/>
        <v>-0.1277022773</v>
      </c>
      <c r="T701" s="4">
        <f t="shared" si="10"/>
        <v>31</v>
      </c>
      <c r="U701" s="4">
        <f t="shared" si="1"/>
        <v>-0.1277022773</v>
      </c>
      <c r="V701" s="4"/>
    </row>
    <row r="702">
      <c r="A702" s="1" t="s">
        <v>15914</v>
      </c>
      <c r="B702" s="1" t="s">
        <v>15915</v>
      </c>
      <c r="C702" s="1" t="s">
        <v>15916</v>
      </c>
      <c r="D702" s="1" t="s">
        <v>15047</v>
      </c>
      <c r="E702" s="1" t="s">
        <v>15048</v>
      </c>
      <c r="F702" s="1">
        <v>136879.0</v>
      </c>
      <c r="G702" s="1">
        <v>11848.0</v>
      </c>
      <c r="H702" s="1">
        <v>294.0</v>
      </c>
      <c r="I702" s="1">
        <v>4810000.0</v>
      </c>
      <c r="J702" s="1" t="s">
        <v>2468</v>
      </c>
      <c r="K702" s="5">
        <f t="shared" si="2"/>
        <v>0.02845717256</v>
      </c>
      <c r="L702" s="6">
        <f t="shared" si="3"/>
        <v>1375</v>
      </c>
      <c r="M702" s="6">
        <f t="shared" si="4"/>
        <v>99.54836364</v>
      </c>
      <c r="N702" s="7">
        <f t="shared" si="5"/>
        <v>0.0000206961255</v>
      </c>
      <c r="O702" s="7"/>
      <c r="P702" s="4">
        <f t="shared" si="6"/>
        <v>-0.4349483478</v>
      </c>
      <c r="Q702" s="4">
        <f t="shared" si="7"/>
        <v>2</v>
      </c>
      <c r="R702" s="4">
        <f t="shared" si="8"/>
        <v>0</v>
      </c>
      <c r="S702" s="4">
        <f t="shared" si="9"/>
        <v>-0.4349483478</v>
      </c>
      <c r="T702" s="4">
        <f t="shared" si="10"/>
        <v>8</v>
      </c>
      <c r="U702" s="4">
        <f t="shared" si="1"/>
        <v>-0.4349483478</v>
      </c>
      <c r="V702" s="4"/>
    </row>
    <row r="703">
      <c r="A703" s="1" t="s">
        <v>15917</v>
      </c>
      <c r="B703" s="1" t="s">
        <v>15918</v>
      </c>
      <c r="C703" s="1" t="s">
        <v>15919</v>
      </c>
      <c r="D703" s="1" t="s">
        <v>15047</v>
      </c>
      <c r="E703" s="1" t="s">
        <v>15048</v>
      </c>
      <c r="F703" s="1">
        <v>3993293.0</v>
      </c>
      <c r="G703" s="1">
        <v>101992.0</v>
      </c>
      <c r="H703" s="1">
        <v>8391.0</v>
      </c>
      <c r="I703" s="1">
        <v>4810000.0</v>
      </c>
      <c r="J703" s="1" t="s">
        <v>2468</v>
      </c>
      <c r="K703" s="5">
        <f t="shared" si="2"/>
        <v>0.8302064449</v>
      </c>
      <c r="L703" s="6">
        <f t="shared" si="3"/>
        <v>1381</v>
      </c>
      <c r="M703" s="6">
        <f t="shared" si="4"/>
        <v>2891.595221</v>
      </c>
      <c r="N703" s="7">
        <f t="shared" si="5"/>
        <v>0.0006011632476</v>
      </c>
      <c r="O703" s="7"/>
      <c r="P703" s="4">
        <f t="shared" si="6"/>
        <v>-0.0260885366</v>
      </c>
      <c r="Q703" s="4">
        <f t="shared" si="7"/>
        <v>10</v>
      </c>
      <c r="R703" s="4">
        <f t="shared" si="8"/>
        <v>1</v>
      </c>
      <c r="S703" s="4">
        <f t="shared" si="9"/>
        <v>-0.0260885366</v>
      </c>
      <c r="T703" s="4">
        <f t="shared" si="10"/>
        <v>47</v>
      </c>
      <c r="U703" s="4">
        <f t="shared" si="1"/>
        <v>-0.0260885366</v>
      </c>
      <c r="V703" s="4"/>
    </row>
    <row r="704">
      <c r="A704" s="1" t="s">
        <v>15920</v>
      </c>
      <c r="B704" s="1" t="s">
        <v>15921</v>
      </c>
      <c r="C704" s="1" t="s">
        <v>15922</v>
      </c>
      <c r="D704" s="1" t="s">
        <v>15047</v>
      </c>
      <c r="E704" s="1" t="s">
        <v>15048</v>
      </c>
      <c r="F704" s="1">
        <v>3640056.0</v>
      </c>
      <c r="G704" s="1">
        <v>78029.0</v>
      </c>
      <c r="H704" s="1">
        <v>3502.0</v>
      </c>
      <c r="I704" s="1">
        <v>4810000.0</v>
      </c>
      <c r="J704" s="1" t="s">
        <v>2468</v>
      </c>
      <c r="K704" s="5">
        <f t="shared" si="2"/>
        <v>0.7567683992</v>
      </c>
      <c r="L704" s="6">
        <f t="shared" si="3"/>
        <v>1395</v>
      </c>
      <c r="M704" s="6">
        <f t="shared" si="4"/>
        <v>2609.35914</v>
      </c>
      <c r="N704" s="7">
        <f t="shared" si="5"/>
        <v>0.0005424863076</v>
      </c>
      <c r="O704" s="7"/>
      <c r="P704" s="4">
        <f t="shared" si="6"/>
        <v>-0.06741842708</v>
      </c>
      <c r="Q704" s="4">
        <f t="shared" si="7"/>
        <v>9</v>
      </c>
      <c r="R704" s="4">
        <f t="shared" si="8"/>
        <v>1</v>
      </c>
      <c r="S704" s="4">
        <f t="shared" si="9"/>
        <v>-0.06741842708</v>
      </c>
      <c r="T704" s="4">
        <f t="shared" si="10"/>
        <v>37</v>
      </c>
      <c r="U704" s="4">
        <f t="shared" si="1"/>
        <v>-0.06741842708</v>
      </c>
      <c r="V704" s="4"/>
    </row>
    <row r="705">
      <c r="A705" s="1" t="s">
        <v>15923</v>
      </c>
      <c r="B705" s="1" t="s">
        <v>15924</v>
      </c>
      <c r="C705" s="1" t="s">
        <v>15925</v>
      </c>
      <c r="D705" s="1" t="s">
        <v>15047</v>
      </c>
      <c r="E705" s="1" t="s">
        <v>15048</v>
      </c>
      <c r="F705" s="1">
        <v>114615.0</v>
      </c>
      <c r="G705" s="1">
        <v>6412.0</v>
      </c>
      <c r="H705" s="1">
        <v>502.0</v>
      </c>
      <c r="I705" s="1">
        <v>4810000.0</v>
      </c>
      <c r="J705" s="1" t="s">
        <v>2468</v>
      </c>
      <c r="K705" s="5">
        <f t="shared" si="2"/>
        <v>0.02382848233</v>
      </c>
      <c r="L705" s="6">
        <f t="shared" si="3"/>
        <v>1402</v>
      </c>
      <c r="M705" s="6">
        <f t="shared" si="4"/>
        <v>81.7510699</v>
      </c>
      <c r="N705" s="7">
        <f t="shared" si="5"/>
        <v>0.00001699606443</v>
      </c>
      <c r="O705" s="7"/>
      <c r="P705" s="4">
        <f t="shared" si="6"/>
        <v>-0.4375545355</v>
      </c>
      <c r="Q705" s="4">
        <f t="shared" si="7"/>
        <v>12</v>
      </c>
      <c r="R705" s="4">
        <f t="shared" si="8"/>
        <v>0</v>
      </c>
      <c r="S705" s="4">
        <f t="shared" si="9"/>
        <v>-0.4375545355</v>
      </c>
      <c r="T705" s="4">
        <f t="shared" si="10"/>
        <v>73</v>
      </c>
      <c r="U705" s="4">
        <f t="shared" si="1"/>
        <v>-0.4375545355</v>
      </c>
      <c r="V705" s="4"/>
    </row>
    <row r="706">
      <c r="A706" s="1" t="s">
        <v>15926</v>
      </c>
      <c r="B706" s="1" t="s">
        <v>15927</v>
      </c>
      <c r="C706" s="1" t="s">
        <v>15928</v>
      </c>
      <c r="D706" s="1" t="s">
        <v>15929</v>
      </c>
      <c r="E706" s="1" t="s">
        <v>15930</v>
      </c>
      <c r="F706" s="1">
        <v>1113045.0</v>
      </c>
      <c r="G706" s="1">
        <v>0.0</v>
      </c>
      <c r="H706" s="1">
        <v>361.0</v>
      </c>
      <c r="I706" s="1">
        <v>5100000.0</v>
      </c>
      <c r="J706" s="1" t="s">
        <v>2468</v>
      </c>
      <c r="K706" s="5">
        <f t="shared" si="2"/>
        <v>0.2182441176</v>
      </c>
      <c r="L706" s="6">
        <f t="shared" si="3"/>
        <v>63</v>
      </c>
      <c r="M706" s="6">
        <f t="shared" si="4"/>
        <v>17667.38095</v>
      </c>
      <c r="N706" s="7">
        <f t="shared" si="5"/>
        <v>0.003464192344</v>
      </c>
      <c r="O706" s="7"/>
      <c r="P706" s="4">
        <f t="shared" si="6"/>
        <v>1.990524448</v>
      </c>
      <c r="Q706" s="4">
        <f t="shared" si="7"/>
        <v>5</v>
      </c>
      <c r="R706" s="4">
        <f t="shared" si="8"/>
        <v>0</v>
      </c>
      <c r="S706" s="4">
        <f t="shared" si="9"/>
        <v>1.990524448</v>
      </c>
      <c r="T706" s="4">
        <f t="shared" si="10"/>
        <v>21</v>
      </c>
      <c r="U706" s="4">
        <f t="shared" si="1"/>
        <v>1.990524448</v>
      </c>
      <c r="V706" s="4"/>
    </row>
    <row r="707">
      <c r="A707" s="1" t="s">
        <v>15931</v>
      </c>
      <c r="B707" s="1" t="s">
        <v>15932</v>
      </c>
      <c r="C707" s="1" t="s">
        <v>15933</v>
      </c>
      <c r="D707" s="1" t="s">
        <v>15929</v>
      </c>
      <c r="E707" s="1" t="s">
        <v>15930</v>
      </c>
      <c r="F707" s="1">
        <v>97427.0</v>
      </c>
      <c r="G707" s="1">
        <v>0.0</v>
      </c>
      <c r="H707" s="1">
        <v>80.0</v>
      </c>
      <c r="I707" s="1">
        <v>5100000.0</v>
      </c>
      <c r="J707" s="1" t="s">
        <v>2468</v>
      </c>
      <c r="K707" s="5">
        <f t="shared" si="2"/>
        <v>0.01910333333</v>
      </c>
      <c r="L707" s="6">
        <f t="shared" si="3"/>
        <v>64</v>
      </c>
      <c r="M707" s="6">
        <f t="shared" si="4"/>
        <v>1522.296875</v>
      </c>
      <c r="N707" s="7">
        <f t="shared" si="5"/>
        <v>0.0002984895833</v>
      </c>
      <c r="O707" s="7"/>
      <c r="P707" s="4">
        <f t="shared" si="6"/>
        <v>-0.2392807959</v>
      </c>
      <c r="Q707" s="4">
        <f t="shared" si="7"/>
        <v>7</v>
      </c>
      <c r="R707" s="4">
        <f t="shared" si="8"/>
        <v>0</v>
      </c>
      <c r="S707" s="4">
        <f t="shared" si="9"/>
        <v>-0.2392807959</v>
      </c>
      <c r="T707" s="4">
        <f t="shared" si="10"/>
        <v>34</v>
      </c>
      <c r="U707" s="4">
        <f t="shared" si="1"/>
        <v>-0.2392807959</v>
      </c>
      <c r="V707" s="4"/>
    </row>
    <row r="708">
      <c r="A708" s="1" t="s">
        <v>15934</v>
      </c>
      <c r="B708" s="1" t="s">
        <v>15935</v>
      </c>
      <c r="C708" s="1" t="s">
        <v>15936</v>
      </c>
      <c r="D708" s="1" t="s">
        <v>15929</v>
      </c>
      <c r="E708" s="1" t="s">
        <v>15930</v>
      </c>
      <c r="F708" s="1">
        <v>583071.0</v>
      </c>
      <c r="G708" s="1">
        <v>30375.0</v>
      </c>
      <c r="H708" s="1">
        <v>3620.0</v>
      </c>
      <c r="I708" s="1">
        <v>5100000.0</v>
      </c>
      <c r="J708" s="1" t="s">
        <v>2468</v>
      </c>
      <c r="K708" s="5">
        <f t="shared" si="2"/>
        <v>0.1143276471</v>
      </c>
      <c r="L708" s="6">
        <f t="shared" si="3"/>
        <v>68</v>
      </c>
      <c r="M708" s="6">
        <f t="shared" si="4"/>
        <v>8574.573529</v>
      </c>
      <c r="N708" s="7">
        <f t="shared" si="5"/>
        <v>0.001681288927</v>
      </c>
      <c r="O708" s="7"/>
      <c r="P708" s="4">
        <f t="shared" si="6"/>
        <v>0.7347124886</v>
      </c>
      <c r="Q708" s="4">
        <f t="shared" si="7"/>
        <v>8</v>
      </c>
      <c r="R708" s="4">
        <f t="shared" si="8"/>
        <v>0</v>
      </c>
      <c r="S708" s="4">
        <f t="shared" si="9"/>
        <v>0.7347124886</v>
      </c>
      <c r="T708" s="4">
        <f t="shared" si="10"/>
        <v>43</v>
      </c>
      <c r="U708" s="4">
        <f t="shared" si="1"/>
        <v>0.7347124886</v>
      </c>
      <c r="V708" s="4"/>
    </row>
    <row r="709">
      <c r="A709" s="1" t="s">
        <v>15937</v>
      </c>
      <c r="B709" s="1" t="s">
        <v>15938</v>
      </c>
      <c r="C709" s="1" t="s">
        <v>15939</v>
      </c>
      <c r="D709" s="1" t="s">
        <v>15929</v>
      </c>
      <c r="E709" s="1" t="s">
        <v>15930</v>
      </c>
      <c r="F709" s="1">
        <v>164504.0</v>
      </c>
      <c r="G709" s="1">
        <v>10245.0</v>
      </c>
      <c r="H709" s="1">
        <v>150.0</v>
      </c>
      <c r="I709" s="1">
        <v>5100000.0</v>
      </c>
      <c r="J709" s="1" t="s">
        <v>2468</v>
      </c>
      <c r="K709" s="5">
        <f t="shared" si="2"/>
        <v>0.03225568627</v>
      </c>
      <c r="L709" s="6">
        <f t="shared" si="3"/>
        <v>72</v>
      </c>
      <c r="M709" s="6">
        <f t="shared" si="4"/>
        <v>2284.777778</v>
      </c>
      <c r="N709" s="7">
        <f t="shared" si="5"/>
        <v>0.0004479956427</v>
      </c>
      <c r="O709" s="7"/>
      <c r="P709" s="4">
        <f t="shared" si="6"/>
        <v>-0.1339741956</v>
      </c>
      <c r="Q709" s="4">
        <f t="shared" si="7"/>
        <v>8</v>
      </c>
      <c r="R709" s="4">
        <f t="shared" si="8"/>
        <v>1</v>
      </c>
      <c r="S709" s="4">
        <f t="shared" si="9"/>
        <v>-0.1339741956</v>
      </c>
      <c r="T709" s="4">
        <f t="shared" si="10"/>
        <v>39</v>
      </c>
      <c r="U709" s="4">
        <f t="shared" si="1"/>
        <v>-0.1339741956</v>
      </c>
      <c r="V709" s="4"/>
    </row>
    <row r="710">
      <c r="A710" s="1" t="s">
        <v>15940</v>
      </c>
      <c r="B710" s="1" t="s">
        <v>15941</v>
      </c>
      <c r="C710" s="1" t="s">
        <v>15942</v>
      </c>
      <c r="D710" s="1" t="s">
        <v>15929</v>
      </c>
      <c r="E710" s="1" t="s">
        <v>15930</v>
      </c>
      <c r="F710" s="1">
        <v>523007.0</v>
      </c>
      <c r="G710" s="1">
        <v>17888.0</v>
      </c>
      <c r="H710" s="1">
        <v>577.0</v>
      </c>
      <c r="I710" s="1">
        <v>5100000.0</v>
      </c>
      <c r="J710" s="1" t="s">
        <v>2468</v>
      </c>
      <c r="K710" s="5">
        <f t="shared" si="2"/>
        <v>0.1025503922</v>
      </c>
      <c r="L710" s="6">
        <f t="shared" si="3"/>
        <v>89</v>
      </c>
      <c r="M710" s="6">
        <f t="shared" si="4"/>
        <v>5876.483146</v>
      </c>
      <c r="N710" s="7">
        <f t="shared" si="5"/>
        <v>0.001152251597</v>
      </c>
      <c r="O710" s="7"/>
      <c r="P710" s="4">
        <f t="shared" si="6"/>
        <v>0.3620779419</v>
      </c>
      <c r="Q710" s="4">
        <f t="shared" si="7"/>
        <v>9</v>
      </c>
      <c r="R710" s="4">
        <f t="shared" si="8"/>
        <v>0</v>
      </c>
      <c r="S710" s="4">
        <f t="shared" si="9"/>
        <v>0.3620779419</v>
      </c>
      <c r="T710" s="4">
        <f t="shared" si="10"/>
        <v>45</v>
      </c>
      <c r="U710" s="4">
        <f t="shared" si="1"/>
        <v>0.3620779419</v>
      </c>
      <c r="V710" s="4"/>
    </row>
    <row r="711">
      <c r="A711" s="1" t="s">
        <v>15943</v>
      </c>
      <c r="B711" s="1" t="s">
        <v>15944</v>
      </c>
      <c r="C711" s="1" t="s">
        <v>15945</v>
      </c>
      <c r="D711" s="1" t="s">
        <v>15929</v>
      </c>
      <c r="E711" s="1" t="s">
        <v>15930</v>
      </c>
      <c r="F711" s="1">
        <v>570912.0</v>
      </c>
      <c r="G711" s="1">
        <v>40162.0</v>
      </c>
      <c r="H711" s="1">
        <v>413.0</v>
      </c>
      <c r="I711" s="1">
        <v>5100000.0</v>
      </c>
      <c r="J711" s="1" t="s">
        <v>2468</v>
      </c>
      <c r="K711" s="5">
        <f t="shared" si="2"/>
        <v>0.1119435294</v>
      </c>
      <c r="L711" s="6">
        <f t="shared" si="3"/>
        <v>113</v>
      </c>
      <c r="M711" s="6">
        <f t="shared" si="4"/>
        <v>5052.318584</v>
      </c>
      <c r="N711" s="7">
        <f t="shared" si="5"/>
        <v>0.0009906507028</v>
      </c>
      <c r="O711" s="7"/>
      <c r="P711" s="4">
        <f t="shared" si="6"/>
        <v>0.248252182</v>
      </c>
      <c r="Q711" s="4">
        <f t="shared" si="7"/>
        <v>7</v>
      </c>
      <c r="R711" s="4">
        <f t="shared" si="8"/>
        <v>0</v>
      </c>
      <c r="S711" s="4">
        <f t="shared" si="9"/>
        <v>0.248252182</v>
      </c>
      <c r="T711" s="4">
        <f t="shared" si="10"/>
        <v>37</v>
      </c>
      <c r="U711" s="4">
        <f t="shared" si="1"/>
        <v>0.248252182</v>
      </c>
      <c r="V711" s="4"/>
    </row>
    <row r="712">
      <c r="A712" s="1" t="s">
        <v>15946</v>
      </c>
      <c r="B712" s="1" t="s">
        <v>15947</v>
      </c>
      <c r="C712" s="1" t="s">
        <v>15948</v>
      </c>
      <c r="D712" s="1" t="s">
        <v>15929</v>
      </c>
      <c r="E712" s="1" t="s">
        <v>15930</v>
      </c>
      <c r="F712" s="1">
        <v>408694.0</v>
      </c>
      <c r="G712" s="1">
        <v>32710.0</v>
      </c>
      <c r="H712" s="1">
        <v>536.0</v>
      </c>
      <c r="I712" s="1">
        <v>5100000.0</v>
      </c>
      <c r="J712" s="1" t="s">
        <v>2468</v>
      </c>
      <c r="K712" s="5">
        <f t="shared" si="2"/>
        <v>0.08013607843</v>
      </c>
      <c r="L712" s="6">
        <f t="shared" si="3"/>
        <v>127</v>
      </c>
      <c r="M712" s="6">
        <f t="shared" si="4"/>
        <v>3218.062992</v>
      </c>
      <c r="N712" s="7">
        <f t="shared" si="5"/>
        <v>0.0006309927436</v>
      </c>
      <c r="O712" s="7"/>
      <c r="P712" s="4">
        <f t="shared" si="6"/>
        <v>-0.005077730592</v>
      </c>
      <c r="Q712" s="4">
        <f t="shared" si="7"/>
        <v>7</v>
      </c>
      <c r="R712" s="4">
        <f t="shared" si="8"/>
        <v>0</v>
      </c>
      <c r="S712" s="4">
        <f t="shared" si="9"/>
        <v>-0.005077730592</v>
      </c>
      <c r="T712" s="4">
        <f t="shared" si="10"/>
        <v>26</v>
      </c>
      <c r="U712" s="4">
        <f t="shared" si="1"/>
        <v>-0.005077730592</v>
      </c>
      <c r="V712" s="4"/>
    </row>
    <row r="713">
      <c r="A713" s="1" t="s">
        <v>15949</v>
      </c>
      <c r="B713" s="1" t="s">
        <v>15950</v>
      </c>
      <c r="C713" s="1" t="s">
        <v>15951</v>
      </c>
      <c r="D713" s="1" t="s">
        <v>15929</v>
      </c>
      <c r="E713" s="1" t="s">
        <v>15930</v>
      </c>
      <c r="F713" s="1">
        <v>1052191.0</v>
      </c>
      <c r="G713" s="1">
        <v>34096.0</v>
      </c>
      <c r="H713" s="1">
        <v>1115.0</v>
      </c>
      <c r="I713" s="1">
        <v>5100000.0</v>
      </c>
      <c r="J713" s="1" t="s">
        <v>2468</v>
      </c>
      <c r="K713" s="5">
        <f t="shared" si="2"/>
        <v>0.2063119608</v>
      </c>
      <c r="L713" s="6">
        <f t="shared" si="3"/>
        <v>131</v>
      </c>
      <c r="M713" s="6">
        <f t="shared" si="4"/>
        <v>8031.992366</v>
      </c>
      <c r="N713" s="7">
        <f t="shared" si="5"/>
        <v>0.001574900464</v>
      </c>
      <c r="O713" s="7"/>
      <c r="P713" s="4">
        <f t="shared" si="6"/>
        <v>0.659776346</v>
      </c>
      <c r="Q713" s="4">
        <f t="shared" si="7"/>
        <v>7</v>
      </c>
      <c r="R713" s="4">
        <f t="shared" si="8"/>
        <v>0</v>
      </c>
      <c r="S713" s="4">
        <f t="shared" si="9"/>
        <v>0.659776346</v>
      </c>
      <c r="T713" s="4">
        <f t="shared" si="10"/>
        <v>34</v>
      </c>
      <c r="U713" s="4">
        <f t="shared" si="1"/>
        <v>0.659776346</v>
      </c>
      <c r="V713" s="4"/>
    </row>
    <row r="714">
      <c r="A714" s="1" t="s">
        <v>15952</v>
      </c>
      <c r="B714" s="1" t="s">
        <v>15953</v>
      </c>
      <c r="C714" s="1" t="s">
        <v>15954</v>
      </c>
      <c r="D714" s="1" t="s">
        <v>15929</v>
      </c>
      <c r="E714" s="1" t="s">
        <v>15930</v>
      </c>
      <c r="F714" s="1">
        <v>998468.0</v>
      </c>
      <c r="G714" s="1">
        <v>31333.0</v>
      </c>
      <c r="H714" s="1">
        <v>1990.0</v>
      </c>
      <c r="I714" s="1">
        <v>5100000.0</v>
      </c>
      <c r="J714" s="1" t="s">
        <v>2468</v>
      </c>
      <c r="K714" s="5">
        <f t="shared" si="2"/>
        <v>0.1957780392</v>
      </c>
      <c r="L714" s="6">
        <f t="shared" si="3"/>
        <v>157</v>
      </c>
      <c r="M714" s="6">
        <f t="shared" si="4"/>
        <v>6359.66879</v>
      </c>
      <c r="N714" s="7">
        <f t="shared" si="5"/>
        <v>0.00124699388</v>
      </c>
      <c r="O714" s="7"/>
      <c r="P714" s="4">
        <f t="shared" si="6"/>
        <v>0.428810941</v>
      </c>
      <c r="Q714" s="4">
        <f t="shared" si="7"/>
        <v>8</v>
      </c>
      <c r="R714" s="4">
        <f t="shared" si="8"/>
        <v>0</v>
      </c>
      <c r="S714" s="4">
        <f t="shared" si="9"/>
        <v>0.428810941</v>
      </c>
      <c r="T714" s="4">
        <f t="shared" si="10"/>
        <v>41</v>
      </c>
      <c r="U714" s="4">
        <f t="shared" si="1"/>
        <v>0.428810941</v>
      </c>
      <c r="V714" s="4"/>
    </row>
    <row r="715">
      <c r="A715" s="1" t="s">
        <v>15955</v>
      </c>
      <c r="B715" s="1" t="s">
        <v>15956</v>
      </c>
      <c r="C715" s="1" t="s">
        <v>15957</v>
      </c>
      <c r="D715" s="1" t="s">
        <v>15929</v>
      </c>
      <c r="E715" s="1" t="s">
        <v>15930</v>
      </c>
      <c r="F715" s="1">
        <v>305125.0</v>
      </c>
      <c r="G715" s="1">
        <v>19151.0</v>
      </c>
      <c r="H715" s="1">
        <v>488.0</v>
      </c>
      <c r="I715" s="1">
        <v>5100000.0</v>
      </c>
      <c r="J715" s="1" t="s">
        <v>2468</v>
      </c>
      <c r="K715" s="5">
        <f t="shared" si="2"/>
        <v>0.05982843137</v>
      </c>
      <c r="L715" s="6">
        <f t="shared" si="3"/>
        <v>158</v>
      </c>
      <c r="M715" s="6">
        <f t="shared" si="4"/>
        <v>1931.170886</v>
      </c>
      <c r="N715" s="7">
        <f t="shared" si="5"/>
        <v>0.0003786609581</v>
      </c>
      <c r="O715" s="7"/>
      <c r="P715" s="4">
        <f t="shared" si="6"/>
        <v>-0.1828110117</v>
      </c>
      <c r="Q715" s="4">
        <f t="shared" si="7"/>
        <v>4</v>
      </c>
      <c r="R715" s="4">
        <f t="shared" si="8"/>
        <v>0</v>
      </c>
      <c r="S715" s="4">
        <f t="shared" si="9"/>
        <v>-0.1828110117</v>
      </c>
      <c r="T715" s="4">
        <f t="shared" si="10"/>
        <v>18</v>
      </c>
      <c r="U715" s="4">
        <f t="shared" si="1"/>
        <v>-0.1828110117</v>
      </c>
      <c r="V715" s="4"/>
    </row>
    <row r="716">
      <c r="A716" s="1" t="s">
        <v>15958</v>
      </c>
      <c r="B716" s="1" t="s">
        <v>15959</v>
      </c>
      <c r="C716" s="1" t="s">
        <v>15960</v>
      </c>
      <c r="D716" s="1" t="s">
        <v>15929</v>
      </c>
      <c r="E716" s="1" t="s">
        <v>15930</v>
      </c>
      <c r="F716" s="1">
        <v>972361.0</v>
      </c>
      <c r="G716" s="1">
        <v>23656.0</v>
      </c>
      <c r="H716" s="1">
        <v>1248.0</v>
      </c>
      <c r="I716" s="1">
        <v>5100000.0</v>
      </c>
      <c r="J716" s="1" t="s">
        <v>2468</v>
      </c>
      <c r="K716" s="5">
        <f t="shared" si="2"/>
        <v>0.1906590196</v>
      </c>
      <c r="L716" s="6">
        <f t="shared" si="3"/>
        <v>166</v>
      </c>
      <c r="M716" s="6">
        <f t="shared" si="4"/>
        <v>5857.596386</v>
      </c>
      <c r="N716" s="7">
        <f t="shared" si="5"/>
        <v>0.001148548311</v>
      </c>
      <c r="O716" s="7"/>
      <c r="P716" s="4">
        <f t="shared" si="6"/>
        <v>0.3594694824</v>
      </c>
      <c r="Q716" s="4">
        <f t="shared" si="7"/>
        <v>8</v>
      </c>
      <c r="R716" s="4">
        <f t="shared" si="8"/>
        <v>0</v>
      </c>
      <c r="S716" s="4">
        <f t="shared" si="9"/>
        <v>0.3594694824</v>
      </c>
      <c r="T716" s="4">
        <f t="shared" si="10"/>
        <v>43</v>
      </c>
      <c r="U716" s="4">
        <f t="shared" si="1"/>
        <v>0.3594694824</v>
      </c>
      <c r="V716" s="4"/>
    </row>
    <row r="717">
      <c r="A717" s="1" t="s">
        <v>15961</v>
      </c>
      <c r="B717" s="1" t="s">
        <v>15962</v>
      </c>
      <c r="C717" s="1" t="s">
        <v>11103</v>
      </c>
      <c r="D717" s="1" t="s">
        <v>15929</v>
      </c>
      <c r="E717" s="1" t="s">
        <v>15930</v>
      </c>
      <c r="F717" s="1">
        <v>1477373.0</v>
      </c>
      <c r="G717" s="1">
        <v>43462.0</v>
      </c>
      <c r="H717" s="1">
        <v>5548.0</v>
      </c>
      <c r="I717" s="1">
        <v>5100000.0</v>
      </c>
      <c r="J717" s="1" t="s">
        <v>2468</v>
      </c>
      <c r="K717" s="5">
        <f t="shared" si="2"/>
        <v>0.2896809804</v>
      </c>
      <c r="L717" s="6">
        <f t="shared" si="3"/>
        <v>194</v>
      </c>
      <c r="M717" s="6">
        <f t="shared" si="4"/>
        <v>7615.324742</v>
      </c>
      <c r="N717" s="7">
        <f t="shared" si="5"/>
        <v>0.00149320093</v>
      </c>
      <c r="O717" s="7"/>
      <c r="P717" s="4">
        <f t="shared" si="6"/>
        <v>0.6022301821</v>
      </c>
      <c r="Q717" s="4">
        <f t="shared" si="7"/>
        <v>6</v>
      </c>
      <c r="R717" s="4">
        <f t="shared" si="8"/>
        <v>0</v>
      </c>
      <c r="S717" s="4">
        <f t="shared" si="9"/>
        <v>0.6022301821</v>
      </c>
      <c r="T717" s="4">
        <f t="shared" si="10"/>
        <v>30</v>
      </c>
      <c r="U717" s="4">
        <f t="shared" si="1"/>
        <v>0.6022301821</v>
      </c>
      <c r="V717" s="4"/>
    </row>
    <row r="718">
      <c r="A718" s="1" t="s">
        <v>15963</v>
      </c>
      <c r="B718" s="1" t="s">
        <v>15964</v>
      </c>
      <c r="C718" s="1" t="s">
        <v>15965</v>
      </c>
      <c r="D718" s="1" t="s">
        <v>15929</v>
      </c>
      <c r="E718" s="1" t="s">
        <v>15930</v>
      </c>
      <c r="F718" s="1">
        <v>151334.0</v>
      </c>
      <c r="G718" s="1">
        <v>8837.0</v>
      </c>
      <c r="H718" s="1">
        <v>150.0</v>
      </c>
      <c r="I718" s="1">
        <v>5100000.0</v>
      </c>
      <c r="J718" s="1" t="s">
        <v>2468</v>
      </c>
      <c r="K718" s="5">
        <f t="shared" si="2"/>
        <v>0.02967333333</v>
      </c>
      <c r="L718" s="6">
        <f t="shared" si="3"/>
        <v>212</v>
      </c>
      <c r="M718" s="6">
        <f t="shared" si="4"/>
        <v>713.8396226</v>
      </c>
      <c r="N718" s="7">
        <f t="shared" si="5"/>
        <v>0.0001399685535</v>
      </c>
      <c r="O718" s="7"/>
      <c r="P718" s="4">
        <f t="shared" si="6"/>
        <v>-0.3509372118</v>
      </c>
      <c r="Q718" s="4">
        <f t="shared" si="7"/>
        <v>7</v>
      </c>
      <c r="R718" s="4">
        <f t="shared" si="8"/>
        <v>0</v>
      </c>
      <c r="S718" s="4">
        <f t="shared" si="9"/>
        <v>-0.3509372118</v>
      </c>
      <c r="T718" s="4">
        <f t="shared" si="10"/>
        <v>36</v>
      </c>
      <c r="U718" s="4">
        <f t="shared" si="1"/>
        <v>-0.3509372118</v>
      </c>
      <c r="V718" s="4"/>
    </row>
    <row r="719">
      <c r="A719" s="1" t="s">
        <v>15966</v>
      </c>
      <c r="B719" s="1" t="s">
        <v>15967</v>
      </c>
      <c r="C719" s="1" t="s">
        <v>15968</v>
      </c>
      <c r="D719" s="1" t="s">
        <v>15929</v>
      </c>
      <c r="E719" s="1" t="s">
        <v>15930</v>
      </c>
      <c r="F719" s="1">
        <v>196034.0</v>
      </c>
      <c r="G719" s="1">
        <v>9783.0</v>
      </c>
      <c r="H719" s="1">
        <v>170.0</v>
      </c>
      <c r="I719" s="1">
        <v>5100000.0</v>
      </c>
      <c r="J719" s="1" t="s">
        <v>2468</v>
      </c>
      <c r="K719" s="5">
        <f t="shared" si="2"/>
        <v>0.03843803922</v>
      </c>
      <c r="L719" s="6">
        <f t="shared" si="3"/>
        <v>215</v>
      </c>
      <c r="M719" s="6">
        <f t="shared" si="4"/>
        <v>911.7860465</v>
      </c>
      <c r="N719" s="7">
        <f t="shared" si="5"/>
        <v>0.0001787815777</v>
      </c>
      <c r="O719" s="7"/>
      <c r="P719" s="4">
        <f t="shared" si="6"/>
        <v>-0.323598737</v>
      </c>
      <c r="Q719" s="4">
        <f t="shared" si="7"/>
        <v>5</v>
      </c>
      <c r="R719" s="4">
        <f t="shared" si="8"/>
        <v>1</v>
      </c>
      <c r="S719" s="4">
        <f t="shared" si="9"/>
        <v>-0.323598737</v>
      </c>
      <c r="T719" s="4">
        <f t="shared" si="10"/>
        <v>25</v>
      </c>
      <c r="U719" s="4">
        <f t="shared" si="1"/>
        <v>-0.323598737</v>
      </c>
      <c r="V719" s="4"/>
    </row>
    <row r="720">
      <c r="A720" s="1" t="s">
        <v>15969</v>
      </c>
      <c r="B720" s="1" t="s">
        <v>15970</v>
      </c>
      <c r="C720" s="1" t="s">
        <v>15971</v>
      </c>
      <c r="D720" s="1" t="s">
        <v>15929</v>
      </c>
      <c r="E720" s="1" t="s">
        <v>15930</v>
      </c>
      <c r="F720" s="1">
        <v>199600.0</v>
      </c>
      <c r="G720" s="1">
        <v>6260.0</v>
      </c>
      <c r="H720" s="1">
        <v>160.0</v>
      </c>
      <c r="I720" s="1">
        <v>5100000.0</v>
      </c>
      <c r="J720" s="1" t="s">
        <v>2468</v>
      </c>
      <c r="K720" s="5">
        <f t="shared" si="2"/>
        <v>0.0391372549</v>
      </c>
      <c r="L720" s="6">
        <f t="shared" si="3"/>
        <v>217</v>
      </c>
      <c r="M720" s="6">
        <f t="shared" si="4"/>
        <v>919.8156682</v>
      </c>
      <c r="N720" s="7">
        <f t="shared" si="5"/>
        <v>0.0001803560134</v>
      </c>
      <c r="O720" s="7"/>
      <c r="P720" s="4">
        <f t="shared" si="6"/>
        <v>-0.3224897621</v>
      </c>
      <c r="Q720" s="4">
        <f t="shared" si="7"/>
        <v>6</v>
      </c>
      <c r="R720" s="4">
        <f t="shared" si="8"/>
        <v>0</v>
      </c>
      <c r="S720" s="4">
        <f t="shared" si="9"/>
        <v>-0.3224897621</v>
      </c>
      <c r="T720" s="4">
        <f t="shared" si="10"/>
        <v>20</v>
      </c>
      <c r="U720" s="4">
        <f t="shared" si="1"/>
        <v>-0.3224897621</v>
      </c>
      <c r="V720" s="4"/>
    </row>
    <row r="721">
      <c r="A721" s="1" t="s">
        <v>15972</v>
      </c>
      <c r="B721" s="1" t="s">
        <v>15973</v>
      </c>
      <c r="C721" s="1" t="s">
        <v>15974</v>
      </c>
      <c r="D721" s="1" t="s">
        <v>15929</v>
      </c>
      <c r="E721" s="1" t="s">
        <v>15930</v>
      </c>
      <c r="F721" s="1">
        <v>451727.0</v>
      </c>
      <c r="G721" s="1">
        <v>14600.0</v>
      </c>
      <c r="H721" s="1">
        <v>252.0</v>
      </c>
      <c r="I721" s="1">
        <v>5100000.0</v>
      </c>
      <c r="J721" s="1" t="s">
        <v>2468</v>
      </c>
      <c r="K721" s="5">
        <f t="shared" si="2"/>
        <v>0.08857392157</v>
      </c>
      <c r="L721" s="6">
        <f t="shared" si="3"/>
        <v>218</v>
      </c>
      <c r="M721" s="6">
        <f t="shared" si="4"/>
        <v>2072.142202</v>
      </c>
      <c r="N721" s="7">
        <f t="shared" si="5"/>
        <v>0.0004063023925</v>
      </c>
      <c r="O721" s="7"/>
      <c r="P721" s="4">
        <f t="shared" si="6"/>
        <v>-0.1633413962</v>
      </c>
      <c r="Q721" s="4">
        <f t="shared" si="7"/>
        <v>5</v>
      </c>
      <c r="R721" s="4">
        <f t="shared" si="8"/>
        <v>0</v>
      </c>
      <c r="S721" s="4">
        <f t="shared" si="9"/>
        <v>-0.1633413962</v>
      </c>
      <c r="T721" s="4">
        <f t="shared" si="10"/>
        <v>24</v>
      </c>
      <c r="U721" s="4">
        <f t="shared" si="1"/>
        <v>-0.1633413962</v>
      </c>
      <c r="V721" s="4"/>
    </row>
    <row r="722">
      <c r="A722" s="1" t="s">
        <v>15975</v>
      </c>
      <c r="B722" s="1" t="s">
        <v>15976</v>
      </c>
      <c r="C722" s="1" t="s">
        <v>15977</v>
      </c>
      <c r="D722" s="1" t="s">
        <v>15929</v>
      </c>
      <c r="E722" s="1" t="s">
        <v>15930</v>
      </c>
      <c r="F722" s="1">
        <v>635672.0</v>
      </c>
      <c r="G722" s="1">
        <v>17349.0</v>
      </c>
      <c r="H722" s="1">
        <v>471.0</v>
      </c>
      <c r="I722" s="1">
        <v>5100000.0</v>
      </c>
      <c r="J722" s="1" t="s">
        <v>2468</v>
      </c>
      <c r="K722" s="5">
        <f t="shared" si="2"/>
        <v>0.1246415686</v>
      </c>
      <c r="L722" s="6">
        <f t="shared" si="3"/>
        <v>257</v>
      </c>
      <c r="M722" s="6">
        <f t="shared" si="4"/>
        <v>2473.431907</v>
      </c>
      <c r="N722" s="7">
        <f t="shared" si="5"/>
        <v>0.0004849866484</v>
      </c>
      <c r="O722" s="7"/>
      <c r="P722" s="4">
        <f t="shared" si="6"/>
        <v>-0.1079190841</v>
      </c>
      <c r="Q722" s="4">
        <f t="shared" si="7"/>
        <v>8</v>
      </c>
      <c r="R722" s="4">
        <f t="shared" si="8"/>
        <v>0</v>
      </c>
      <c r="S722" s="4">
        <f t="shared" si="9"/>
        <v>-0.1079190841</v>
      </c>
      <c r="T722" s="4">
        <f t="shared" si="10"/>
        <v>21</v>
      </c>
      <c r="U722" s="4">
        <f t="shared" si="1"/>
        <v>-0.1079190841</v>
      </c>
      <c r="V722" s="4"/>
    </row>
    <row r="723">
      <c r="A723" s="1" t="s">
        <v>15978</v>
      </c>
      <c r="B723" s="1" t="s">
        <v>15979</v>
      </c>
      <c r="C723" s="1" t="s">
        <v>15980</v>
      </c>
      <c r="D723" s="1" t="s">
        <v>15929</v>
      </c>
      <c r="E723" s="1" t="s">
        <v>15930</v>
      </c>
      <c r="F723" s="1">
        <v>1450248.0</v>
      </c>
      <c r="G723" s="1">
        <v>31233.0</v>
      </c>
      <c r="H723" s="1">
        <v>1120.0</v>
      </c>
      <c r="I723" s="1">
        <v>5100000.0</v>
      </c>
      <c r="J723" s="1" t="s">
        <v>2468</v>
      </c>
      <c r="K723" s="5">
        <f t="shared" si="2"/>
        <v>0.2843623529</v>
      </c>
      <c r="L723" s="6">
        <f t="shared" si="3"/>
        <v>271</v>
      </c>
      <c r="M723" s="6">
        <f t="shared" si="4"/>
        <v>5351.468635</v>
      </c>
      <c r="N723" s="7">
        <f t="shared" si="5"/>
        <v>0.001049307575</v>
      </c>
      <c r="O723" s="7"/>
      <c r="P723" s="4">
        <f t="shared" si="6"/>
        <v>0.2895679379</v>
      </c>
      <c r="Q723" s="4">
        <f t="shared" si="7"/>
        <v>5</v>
      </c>
      <c r="R723" s="4">
        <f t="shared" si="8"/>
        <v>0</v>
      </c>
      <c r="S723" s="4">
        <f t="shared" si="9"/>
        <v>0.2895679379</v>
      </c>
      <c r="T723" s="4">
        <f t="shared" si="10"/>
        <v>15</v>
      </c>
      <c r="U723" s="4">
        <f t="shared" si="1"/>
        <v>0.2895679379</v>
      </c>
      <c r="V723" s="4"/>
    </row>
    <row r="724">
      <c r="A724" s="1" t="s">
        <v>15981</v>
      </c>
      <c r="B724" s="1" t="s">
        <v>15982</v>
      </c>
      <c r="C724" s="1" t="s">
        <v>15983</v>
      </c>
      <c r="D724" s="1" t="s">
        <v>15929</v>
      </c>
      <c r="E724" s="1" t="s">
        <v>15930</v>
      </c>
      <c r="F724" s="1">
        <v>520748.0</v>
      </c>
      <c r="G724" s="1">
        <v>17539.0</v>
      </c>
      <c r="H724" s="1">
        <v>2246.0</v>
      </c>
      <c r="I724" s="1">
        <v>5100000.0</v>
      </c>
      <c r="J724" s="1" t="s">
        <v>2468</v>
      </c>
      <c r="K724" s="5">
        <f t="shared" si="2"/>
        <v>0.102107451</v>
      </c>
      <c r="L724" s="6">
        <f t="shared" si="3"/>
        <v>274</v>
      </c>
      <c r="M724" s="6">
        <f t="shared" si="4"/>
        <v>1900.540146</v>
      </c>
      <c r="N724" s="7">
        <f t="shared" si="5"/>
        <v>0.0003726549306</v>
      </c>
      <c r="O724" s="7"/>
      <c r="P724" s="4">
        <f t="shared" si="6"/>
        <v>-0.1870414378</v>
      </c>
      <c r="Q724" s="4">
        <f t="shared" si="7"/>
        <v>7</v>
      </c>
      <c r="R724" s="4">
        <f t="shared" si="8"/>
        <v>0</v>
      </c>
      <c r="S724" s="4">
        <f t="shared" si="9"/>
        <v>-0.1870414378</v>
      </c>
      <c r="T724" s="4">
        <f t="shared" si="10"/>
        <v>31</v>
      </c>
      <c r="U724" s="4">
        <f t="shared" si="1"/>
        <v>-0.1870414378</v>
      </c>
      <c r="V724" s="4"/>
    </row>
    <row r="725">
      <c r="A725" s="1" t="s">
        <v>15984</v>
      </c>
      <c r="B725" s="1" t="s">
        <v>15985</v>
      </c>
      <c r="C725" s="1" t="s">
        <v>15986</v>
      </c>
      <c r="D725" s="1" t="s">
        <v>15929</v>
      </c>
      <c r="E725" s="1" t="s">
        <v>15930</v>
      </c>
      <c r="F725" s="1">
        <v>1809440.0</v>
      </c>
      <c r="G725" s="1">
        <v>51478.0</v>
      </c>
      <c r="H725" s="1">
        <v>4422.0</v>
      </c>
      <c r="I725" s="1">
        <v>5100000.0</v>
      </c>
      <c r="J725" s="1" t="s">
        <v>2468</v>
      </c>
      <c r="K725" s="5">
        <f t="shared" si="2"/>
        <v>0.3547921569</v>
      </c>
      <c r="L725" s="6">
        <f t="shared" si="3"/>
        <v>313</v>
      </c>
      <c r="M725" s="6">
        <f t="shared" si="4"/>
        <v>5780.958466</v>
      </c>
      <c r="N725" s="7">
        <f t="shared" si="5"/>
        <v>0.001133521268</v>
      </c>
      <c r="O725" s="7"/>
      <c r="P725" s="4">
        <f t="shared" si="6"/>
        <v>0.3488849829</v>
      </c>
      <c r="Q725" s="4">
        <f t="shared" si="7"/>
        <v>7</v>
      </c>
      <c r="R725" s="4">
        <f t="shared" si="8"/>
        <v>0</v>
      </c>
      <c r="S725" s="4">
        <f t="shared" si="9"/>
        <v>0.3488849829</v>
      </c>
      <c r="T725" s="4">
        <f t="shared" si="10"/>
        <v>27</v>
      </c>
      <c r="U725" s="4">
        <f t="shared" si="1"/>
        <v>0.3488849829</v>
      </c>
      <c r="V725" s="4"/>
    </row>
    <row r="726">
      <c r="A726" s="1" t="s">
        <v>15987</v>
      </c>
      <c r="B726" s="1" t="s">
        <v>15988</v>
      </c>
      <c r="C726" s="1" t="s">
        <v>15989</v>
      </c>
      <c r="D726" s="1" t="s">
        <v>15929</v>
      </c>
      <c r="E726" s="1" t="s">
        <v>15930</v>
      </c>
      <c r="F726" s="1">
        <v>367444.0</v>
      </c>
      <c r="G726" s="1">
        <v>16031.0</v>
      </c>
      <c r="H726" s="1">
        <v>428.0</v>
      </c>
      <c r="I726" s="1">
        <v>5100000.0</v>
      </c>
      <c r="J726" s="1" t="s">
        <v>2468</v>
      </c>
      <c r="K726" s="5">
        <f t="shared" si="2"/>
        <v>0.07204784314</v>
      </c>
      <c r="L726" s="6">
        <f t="shared" si="3"/>
        <v>347</v>
      </c>
      <c r="M726" s="6">
        <f t="shared" si="4"/>
        <v>1058.916427</v>
      </c>
      <c r="N726" s="7">
        <f t="shared" si="5"/>
        <v>0.0002076306719</v>
      </c>
      <c r="O726" s="7"/>
      <c r="P726" s="4">
        <f t="shared" si="6"/>
        <v>-0.3032784902</v>
      </c>
      <c r="Q726" s="4">
        <f t="shared" si="7"/>
        <v>6</v>
      </c>
      <c r="R726" s="4">
        <f t="shared" si="8"/>
        <v>0</v>
      </c>
      <c r="S726" s="4">
        <f t="shared" si="9"/>
        <v>-0.3032784902</v>
      </c>
      <c r="T726" s="4">
        <f t="shared" si="10"/>
        <v>31</v>
      </c>
      <c r="U726" s="4">
        <f t="shared" si="1"/>
        <v>-0.3032784902</v>
      </c>
      <c r="V726" s="4"/>
    </row>
    <row r="727">
      <c r="A727" s="1" t="s">
        <v>15990</v>
      </c>
      <c r="B727" s="1" t="s">
        <v>15991</v>
      </c>
      <c r="C727" s="1" t="s">
        <v>15992</v>
      </c>
      <c r="D727" s="1" t="s">
        <v>15929</v>
      </c>
      <c r="E727" s="1" t="s">
        <v>15930</v>
      </c>
      <c r="F727" s="1">
        <v>252479.0</v>
      </c>
      <c r="G727" s="1">
        <v>12375.0</v>
      </c>
      <c r="H727" s="1">
        <v>371.0</v>
      </c>
      <c r="I727" s="1">
        <v>5100000.0</v>
      </c>
      <c r="J727" s="1" t="s">
        <v>2468</v>
      </c>
      <c r="K727" s="5">
        <f t="shared" si="2"/>
        <v>0.04950568627</v>
      </c>
      <c r="L727" s="6">
        <f t="shared" si="3"/>
        <v>347</v>
      </c>
      <c r="M727" s="6">
        <f t="shared" si="4"/>
        <v>727.6051873</v>
      </c>
      <c r="N727" s="7">
        <f t="shared" si="5"/>
        <v>0.0001426676838</v>
      </c>
      <c r="O727" s="7"/>
      <c r="P727" s="4">
        <f t="shared" si="6"/>
        <v>-0.3490360431</v>
      </c>
      <c r="Q727" s="4">
        <f t="shared" si="7"/>
        <v>7</v>
      </c>
      <c r="R727" s="4">
        <f t="shared" si="8"/>
        <v>0</v>
      </c>
      <c r="S727" s="4">
        <f t="shared" si="9"/>
        <v>-0.3490360431</v>
      </c>
      <c r="T727" s="4">
        <f t="shared" si="10"/>
        <v>29</v>
      </c>
      <c r="U727" s="4">
        <f t="shared" si="1"/>
        <v>-0.3490360431</v>
      </c>
      <c r="V727" s="4"/>
    </row>
    <row r="728">
      <c r="A728" s="1" t="s">
        <v>15993</v>
      </c>
      <c r="B728" s="1" t="s">
        <v>15994</v>
      </c>
      <c r="C728" s="1" t="s">
        <v>15995</v>
      </c>
      <c r="D728" s="1" t="s">
        <v>15929</v>
      </c>
      <c r="E728" s="1" t="s">
        <v>15930</v>
      </c>
      <c r="F728" s="1">
        <v>2192039.0</v>
      </c>
      <c r="G728" s="1">
        <v>48003.0</v>
      </c>
      <c r="H728" s="1">
        <v>2349.0</v>
      </c>
      <c r="I728" s="1">
        <v>5100000.0</v>
      </c>
      <c r="J728" s="1" t="s">
        <v>2468</v>
      </c>
      <c r="K728" s="5">
        <f t="shared" si="2"/>
        <v>0.4298115686</v>
      </c>
      <c r="L728" s="6">
        <f t="shared" si="3"/>
        <v>348</v>
      </c>
      <c r="M728" s="6">
        <f t="shared" si="4"/>
        <v>6298.962644</v>
      </c>
      <c r="N728" s="7">
        <f t="shared" si="5"/>
        <v>0.001235090714</v>
      </c>
      <c r="O728" s="7"/>
      <c r="P728" s="4">
        <f t="shared" si="6"/>
        <v>0.4204267863</v>
      </c>
      <c r="Q728" s="4">
        <f t="shared" si="7"/>
        <v>6</v>
      </c>
      <c r="R728" s="4">
        <f t="shared" si="8"/>
        <v>0</v>
      </c>
      <c r="S728" s="4">
        <f t="shared" si="9"/>
        <v>0.4204267863</v>
      </c>
      <c r="T728" s="4">
        <f t="shared" si="10"/>
        <v>18</v>
      </c>
      <c r="U728" s="4">
        <f t="shared" si="1"/>
        <v>0.4204267863</v>
      </c>
      <c r="V728" s="4"/>
    </row>
    <row r="729">
      <c r="A729" s="1" t="s">
        <v>15996</v>
      </c>
      <c r="B729" s="1" t="s">
        <v>15997</v>
      </c>
      <c r="C729" s="1" t="s">
        <v>15998</v>
      </c>
      <c r="D729" s="1" t="s">
        <v>15929</v>
      </c>
      <c r="E729" s="1" t="s">
        <v>15930</v>
      </c>
      <c r="F729" s="1">
        <v>334168.0</v>
      </c>
      <c r="G729" s="1">
        <v>10794.0</v>
      </c>
      <c r="H729" s="1">
        <v>566.0</v>
      </c>
      <c r="I729" s="1">
        <v>5100000.0</v>
      </c>
      <c r="J729" s="1" t="s">
        <v>2468</v>
      </c>
      <c r="K729" s="5">
        <f t="shared" si="2"/>
        <v>0.06552313725</v>
      </c>
      <c r="L729" s="6">
        <f t="shared" si="3"/>
        <v>358</v>
      </c>
      <c r="M729" s="6">
        <f t="shared" si="4"/>
        <v>933.4301676</v>
      </c>
      <c r="N729" s="7">
        <f t="shared" si="5"/>
        <v>0.0001830255231</v>
      </c>
      <c r="O729" s="7"/>
      <c r="P729" s="4">
        <f t="shared" si="6"/>
        <v>-0.3206094571</v>
      </c>
      <c r="Q729" s="4">
        <f t="shared" si="7"/>
        <v>6</v>
      </c>
      <c r="R729" s="4">
        <f t="shared" si="8"/>
        <v>0</v>
      </c>
      <c r="S729" s="4">
        <f t="shared" si="9"/>
        <v>-0.3206094571</v>
      </c>
      <c r="T729" s="4">
        <f t="shared" si="10"/>
        <v>29</v>
      </c>
      <c r="U729" s="4">
        <f t="shared" si="1"/>
        <v>-0.3206094571</v>
      </c>
      <c r="V729" s="4"/>
    </row>
    <row r="730">
      <c r="A730" s="1" t="s">
        <v>15999</v>
      </c>
      <c r="B730" s="1" t="s">
        <v>16000</v>
      </c>
      <c r="C730" s="1" t="s">
        <v>16001</v>
      </c>
      <c r="D730" s="1" t="s">
        <v>15929</v>
      </c>
      <c r="E730" s="1" t="s">
        <v>15930</v>
      </c>
      <c r="F730" s="1">
        <v>1727271.0</v>
      </c>
      <c r="G730" s="1">
        <v>55879.0</v>
      </c>
      <c r="H730" s="1">
        <v>604.0</v>
      </c>
      <c r="I730" s="1">
        <v>5100000.0</v>
      </c>
      <c r="J730" s="1" t="s">
        <v>2468</v>
      </c>
      <c r="K730" s="5">
        <f t="shared" si="2"/>
        <v>0.3386805882</v>
      </c>
      <c r="L730" s="6">
        <f t="shared" si="3"/>
        <v>359</v>
      </c>
      <c r="M730" s="6">
        <f t="shared" si="4"/>
        <v>4811.339833</v>
      </c>
      <c r="N730" s="7">
        <f t="shared" si="5"/>
        <v>0.0009433999672</v>
      </c>
      <c r="O730" s="7"/>
      <c r="P730" s="4">
        <f t="shared" si="6"/>
        <v>0.214970492</v>
      </c>
      <c r="Q730" s="4">
        <f t="shared" si="7"/>
        <v>6</v>
      </c>
      <c r="R730" s="4">
        <f t="shared" si="8"/>
        <v>0</v>
      </c>
      <c r="S730" s="4">
        <f t="shared" si="9"/>
        <v>0.214970492</v>
      </c>
      <c r="T730" s="4">
        <f t="shared" si="10"/>
        <v>21</v>
      </c>
      <c r="U730" s="4">
        <f t="shared" si="1"/>
        <v>0.214970492</v>
      </c>
      <c r="V730" s="4"/>
    </row>
    <row r="731">
      <c r="A731" s="1" t="s">
        <v>16002</v>
      </c>
      <c r="B731" s="1" t="s">
        <v>16003</v>
      </c>
      <c r="C731" s="1" t="s">
        <v>16004</v>
      </c>
      <c r="D731" s="1" t="s">
        <v>15929</v>
      </c>
      <c r="E731" s="1" t="s">
        <v>15930</v>
      </c>
      <c r="F731" s="1">
        <v>133308.0</v>
      </c>
      <c r="G731" s="1">
        <v>5288.0</v>
      </c>
      <c r="H731" s="1">
        <v>180.0</v>
      </c>
      <c r="I731" s="1">
        <v>5100000.0</v>
      </c>
      <c r="J731" s="1" t="s">
        <v>2468</v>
      </c>
      <c r="K731" s="5">
        <f t="shared" si="2"/>
        <v>0.02613882353</v>
      </c>
      <c r="L731" s="6">
        <f t="shared" si="3"/>
        <v>360</v>
      </c>
      <c r="M731" s="6">
        <f t="shared" si="4"/>
        <v>370.3</v>
      </c>
      <c r="N731" s="7">
        <f t="shared" si="5"/>
        <v>0.00007260784314</v>
      </c>
      <c r="O731" s="7"/>
      <c r="P731" s="4">
        <f t="shared" si="6"/>
        <v>-0.3983836325</v>
      </c>
      <c r="Q731" s="4">
        <f t="shared" si="7"/>
        <v>6</v>
      </c>
      <c r="R731" s="4">
        <f t="shared" si="8"/>
        <v>0</v>
      </c>
      <c r="S731" s="4">
        <f t="shared" si="9"/>
        <v>-0.3983836325</v>
      </c>
      <c r="T731" s="4">
        <f t="shared" si="10"/>
        <v>25</v>
      </c>
      <c r="U731" s="4">
        <f t="shared" si="1"/>
        <v>-0.3983836325</v>
      </c>
      <c r="V731" s="4"/>
    </row>
    <row r="732">
      <c r="A732" s="1" t="s">
        <v>16005</v>
      </c>
      <c r="B732" s="1" t="s">
        <v>16006</v>
      </c>
      <c r="C732" s="1" t="s">
        <v>16007</v>
      </c>
      <c r="D732" s="1" t="s">
        <v>15929</v>
      </c>
      <c r="E732" s="1" t="s">
        <v>15930</v>
      </c>
      <c r="F732" s="1">
        <v>4360713.0</v>
      </c>
      <c r="G732" s="1">
        <v>226718.0</v>
      </c>
      <c r="H732" s="1">
        <v>3494.0</v>
      </c>
      <c r="I732" s="1">
        <v>5100000.0</v>
      </c>
      <c r="J732" s="1" t="s">
        <v>2468</v>
      </c>
      <c r="K732" s="5">
        <f t="shared" si="2"/>
        <v>0.8550417647</v>
      </c>
      <c r="L732" s="6">
        <f t="shared" si="3"/>
        <v>361</v>
      </c>
      <c r="M732" s="6">
        <f t="shared" si="4"/>
        <v>12079.5374</v>
      </c>
      <c r="N732" s="7">
        <f t="shared" si="5"/>
        <v>0.002368536744</v>
      </c>
      <c r="O732" s="7"/>
      <c r="P732" s="4">
        <f t="shared" si="6"/>
        <v>1.218784716</v>
      </c>
      <c r="Q732" s="4">
        <f t="shared" si="7"/>
        <v>5</v>
      </c>
      <c r="R732" s="4">
        <f t="shared" si="8"/>
        <v>0</v>
      </c>
      <c r="S732" s="4">
        <f t="shared" si="9"/>
        <v>1.218784716</v>
      </c>
      <c r="T732" s="4">
        <f t="shared" si="10"/>
        <v>29</v>
      </c>
      <c r="U732" s="4">
        <f t="shared" si="1"/>
        <v>1.218784716</v>
      </c>
      <c r="V732" s="4"/>
    </row>
    <row r="733">
      <c r="A733" s="1" t="s">
        <v>16008</v>
      </c>
      <c r="B733" s="1" t="s">
        <v>16009</v>
      </c>
      <c r="C733" s="1" t="s">
        <v>16010</v>
      </c>
      <c r="D733" s="1" t="s">
        <v>15929</v>
      </c>
      <c r="E733" s="1" t="s">
        <v>15930</v>
      </c>
      <c r="F733" s="1">
        <v>1071799.0</v>
      </c>
      <c r="G733" s="1">
        <v>47165.0</v>
      </c>
      <c r="H733" s="1">
        <v>2161.0</v>
      </c>
      <c r="I733" s="1">
        <v>5100000.0</v>
      </c>
      <c r="J733" s="1" t="s">
        <v>2468</v>
      </c>
      <c r="K733" s="5">
        <f t="shared" si="2"/>
        <v>0.2101566667</v>
      </c>
      <c r="L733" s="6">
        <f t="shared" si="3"/>
        <v>362</v>
      </c>
      <c r="M733" s="6">
        <f t="shared" si="4"/>
        <v>2960.770718</v>
      </c>
      <c r="N733" s="7">
        <f t="shared" si="5"/>
        <v>0.0005805432781</v>
      </c>
      <c r="O733" s="7"/>
      <c r="P733" s="4">
        <f t="shared" si="6"/>
        <v>-0.04061248897</v>
      </c>
      <c r="Q733" s="4">
        <f t="shared" si="7"/>
        <v>5</v>
      </c>
      <c r="R733" s="4">
        <f t="shared" si="8"/>
        <v>0</v>
      </c>
      <c r="S733" s="4">
        <f t="shared" si="9"/>
        <v>-0.04061248897</v>
      </c>
      <c r="T733" s="4">
        <f t="shared" si="10"/>
        <v>28</v>
      </c>
      <c r="U733" s="4">
        <f t="shared" si="1"/>
        <v>-0.04061248897</v>
      </c>
      <c r="V733" s="4"/>
    </row>
    <row r="734">
      <c r="A734" s="1" t="s">
        <v>16011</v>
      </c>
      <c r="B734" s="1" t="s">
        <v>16012</v>
      </c>
      <c r="C734" s="1" t="s">
        <v>16013</v>
      </c>
      <c r="D734" s="1" t="s">
        <v>15929</v>
      </c>
      <c r="E734" s="1" t="s">
        <v>15930</v>
      </c>
      <c r="F734" s="1">
        <v>1111435.0</v>
      </c>
      <c r="G734" s="1">
        <v>36492.0</v>
      </c>
      <c r="H734" s="1">
        <v>1051.0</v>
      </c>
      <c r="I734" s="1">
        <v>5100000.0</v>
      </c>
      <c r="J734" s="1" t="s">
        <v>2468</v>
      </c>
      <c r="K734" s="5">
        <f t="shared" si="2"/>
        <v>0.2179284314</v>
      </c>
      <c r="L734" s="6">
        <f t="shared" si="3"/>
        <v>363</v>
      </c>
      <c r="M734" s="6">
        <f t="shared" si="4"/>
        <v>3061.804408</v>
      </c>
      <c r="N734" s="7">
        <f t="shared" si="5"/>
        <v>0.0006003538054</v>
      </c>
      <c r="O734" s="7"/>
      <c r="P734" s="4">
        <f t="shared" si="6"/>
        <v>-0.02665867804</v>
      </c>
      <c r="Q734" s="4">
        <f t="shared" si="7"/>
        <v>3</v>
      </c>
      <c r="R734" s="4">
        <f t="shared" si="8"/>
        <v>0</v>
      </c>
      <c r="S734" s="4">
        <f t="shared" si="9"/>
        <v>-0.02665867804</v>
      </c>
      <c r="T734" s="4">
        <f t="shared" si="10"/>
        <v>21</v>
      </c>
      <c r="U734" s="4">
        <f t="shared" si="1"/>
        <v>-0.02665867804</v>
      </c>
      <c r="V734" s="4"/>
    </row>
    <row r="735">
      <c r="A735" s="1" t="s">
        <v>16014</v>
      </c>
      <c r="B735" s="1" t="s">
        <v>16015</v>
      </c>
      <c r="C735" s="1" t="s">
        <v>16016</v>
      </c>
      <c r="D735" s="1" t="s">
        <v>15929</v>
      </c>
      <c r="E735" s="1" t="s">
        <v>15930</v>
      </c>
      <c r="F735" s="1">
        <v>1455107.0</v>
      </c>
      <c r="G735" s="1">
        <v>74110.0</v>
      </c>
      <c r="H735" s="1">
        <v>1083.0</v>
      </c>
      <c r="I735" s="1">
        <v>5100000.0</v>
      </c>
      <c r="J735" s="1" t="s">
        <v>2468</v>
      </c>
      <c r="K735" s="5">
        <f t="shared" si="2"/>
        <v>0.285315098</v>
      </c>
      <c r="L735" s="6">
        <f t="shared" si="3"/>
        <v>364</v>
      </c>
      <c r="M735" s="6">
        <f t="shared" si="4"/>
        <v>3997.546703</v>
      </c>
      <c r="N735" s="7">
        <f t="shared" si="5"/>
        <v>0.0007838326869</v>
      </c>
      <c r="O735" s="7"/>
      <c r="P735" s="4">
        <f t="shared" si="6"/>
        <v>0.1025771357</v>
      </c>
      <c r="Q735" s="4">
        <f t="shared" si="7"/>
        <v>4</v>
      </c>
      <c r="R735" s="4">
        <f t="shared" si="8"/>
        <v>0</v>
      </c>
      <c r="S735" s="4">
        <f t="shared" si="9"/>
        <v>0.1025771357</v>
      </c>
      <c r="T735" s="4">
        <f t="shared" si="10"/>
        <v>17</v>
      </c>
      <c r="U735" s="4">
        <f t="shared" si="1"/>
        <v>0.1025771357</v>
      </c>
      <c r="V735" s="4"/>
    </row>
    <row r="736">
      <c r="A736" s="1" t="s">
        <v>16017</v>
      </c>
      <c r="B736" s="1" t="s">
        <v>16018</v>
      </c>
      <c r="C736" s="1" t="s">
        <v>16019</v>
      </c>
      <c r="D736" s="1" t="s">
        <v>15929</v>
      </c>
      <c r="E736" s="1" t="s">
        <v>15930</v>
      </c>
      <c r="F736" s="1">
        <v>1179730.0</v>
      </c>
      <c r="G736" s="1">
        <v>55187.0</v>
      </c>
      <c r="H736" s="1">
        <v>654.0</v>
      </c>
      <c r="I736" s="1">
        <v>5100000.0</v>
      </c>
      <c r="J736" s="1" t="s">
        <v>2468</v>
      </c>
      <c r="K736" s="5">
        <f t="shared" si="2"/>
        <v>0.2313196078</v>
      </c>
      <c r="L736" s="6">
        <f t="shared" si="3"/>
        <v>365</v>
      </c>
      <c r="M736" s="6">
        <f t="shared" si="4"/>
        <v>3232.136986</v>
      </c>
      <c r="N736" s="7">
        <f t="shared" si="5"/>
        <v>0.0006337523503</v>
      </c>
      <c r="O736" s="7"/>
      <c r="P736" s="4">
        <f t="shared" si="6"/>
        <v>-0.003133964559</v>
      </c>
      <c r="Q736" s="4">
        <f t="shared" si="7"/>
        <v>7</v>
      </c>
      <c r="R736" s="4">
        <f t="shared" si="8"/>
        <v>0</v>
      </c>
      <c r="S736" s="4">
        <f t="shared" si="9"/>
        <v>-0.003133964559</v>
      </c>
      <c r="T736" s="4">
        <f t="shared" si="10"/>
        <v>27</v>
      </c>
      <c r="U736" s="4">
        <f t="shared" si="1"/>
        <v>-0.003133964559</v>
      </c>
      <c r="V736" s="4"/>
    </row>
    <row r="737">
      <c r="A737" s="1" t="s">
        <v>16020</v>
      </c>
      <c r="B737" s="1" t="s">
        <v>16021</v>
      </c>
      <c r="C737" s="1" t="s">
        <v>16022</v>
      </c>
      <c r="D737" s="1" t="s">
        <v>15929</v>
      </c>
      <c r="E737" s="1" t="s">
        <v>15930</v>
      </c>
      <c r="F737" s="1">
        <v>449920.0</v>
      </c>
      <c r="G737" s="1">
        <v>13250.0</v>
      </c>
      <c r="H737" s="1">
        <v>292.0</v>
      </c>
      <c r="I737" s="1">
        <v>5100000.0</v>
      </c>
      <c r="J737" s="1" t="s">
        <v>2468</v>
      </c>
      <c r="K737" s="5">
        <f t="shared" si="2"/>
        <v>0.08821960784</v>
      </c>
      <c r="L737" s="6">
        <f t="shared" si="3"/>
        <v>370</v>
      </c>
      <c r="M737" s="6">
        <f t="shared" si="4"/>
        <v>1216</v>
      </c>
      <c r="N737" s="7">
        <f t="shared" si="5"/>
        <v>0.0002384313725</v>
      </c>
      <c r="O737" s="7"/>
      <c r="P737" s="4">
        <f t="shared" si="6"/>
        <v>-0.2815836031</v>
      </c>
      <c r="Q737" s="4">
        <f t="shared" si="7"/>
        <v>8</v>
      </c>
      <c r="R737" s="4">
        <f t="shared" si="8"/>
        <v>0</v>
      </c>
      <c r="S737" s="4">
        <f t="shared" si="9"/>
        <v>-0.2815836031</v>
      </c>
      <c r="T737" s="4">
        <f t="shared" si="10"/>
        <v>36</v>
      </c>
      <c r="U737" s="4">
        <f t="shared" si="1"/>
        <v>-0.2815836031</v>
      </c>
      <c r="V737" s="4"/>
    </row>
    <row r="738">
      <c r="A738" s="1" t="s">
        <v>16023</v>
      </c>
      <c r="B738" s="1" t="s">
        <v>16024</v>
      </c>
      <c r="C738" s="1" t="s">
        <v>16025</v>
      </c>
      <c r="D738" s="1" t="s">
        <v>15929</v>
      </c>
      <c r="E738" s="1" t="s">
        <v>15930</v>
      </c>
      <c r="F738" s="1">
        <v>2032347.0</v>
      </c>
      <c r="G738" s="1">
        <v>67460.0</v>
      </c>
      <c r="H738" s="1">
        <v>977.0</v>
      </c>
      <c r="I738" s="1">
        <v>5100000.0</v>
      </c>
      <c r="J738" s="1" t="s">
        <v>2468</v>
      </c>
      <c r="K738" s="5">
        <f t="shared" si="2"/>
        <v>0.3984994118</v>
      </c>
      <c r="L738" s="6">
        <f t="shared" si="3"/>
        <v>371</v>
      </c>
      <c r="M738" s="6">
        <f t="shared" si="4"/>
        <v>5478.024259</v>
      </c>
      <c r="N738" s="7">
        <f t="shared" si="5"/>
        <v>0.001074122404</v>
      </c>
      <c r="O738" s="7"/>
      <c r="P738" s="4">
        <f t="shared" si="6"/>
        <v>0.3070465953</v>
      </c>
      <c r="Q738" s="4">
        <f t="shared" si="7"/>
        <v>6</v>
      </c>
      <c r="R738" s="4">
        <f t="shared" si="8"/>
        <v>0</v>
      </c>
      <c r="S738" s="4">
        <f t="shared" si="9"/>
        <v>0.3070465953</v>
      </c>
      <c r="T738" s="4">
        <f t="shared" si="10"/>
        <v>32</v>
      </c>
      <c r="U738" s="4">
        <f t="shared" si="1"/>
        <v>0.3070465953</v>
      </c>
      <c r="V738" s="4"/>
    </row>
    <row r="739">
      <c r="A739" s="1" t="s">
        <v>16026</v>
      </c>
      <c r="B739" s="1" t="s">
        <v>16027</v>
      </c>
      <c r="C739" s="1" t="s">
        <v>16028</v>
      </c>
      <c r="D739" s="1" t="s">
        <v>15929</v>
      </c>
      <c r="E739" s="1" t="s">
        <v>15930</v>
      </c>
      <c r="F739" s="1">
        <v>6803137.0</v>
      </c>
      <c r="G739" s="1">
        <v>276051.0</v>
      </c>
      <c r="H739" s="1">
        <v>2606.0</v>
      </c>
      <c r="I739" s="1">
        <v>5100000.0</v>
      </c>
      <c r="J739" s="1" t="s">
        <v>2468</v>
      </c>
      <c r="K739" s="5">
        <f t="shared" si="2"/>
        <v>1.333948431</v>
      </c>
      <c r="L739" s="6">
        <f t="shared" si="3"/>
        <v>372</v>
      </c>
      <c r="M739" s="6">
        <f t="shared" si="4"/>
        <v>18288.00269</v>
      </c>
      <c r="N739" s="7">
        <f t="shared" si="5"/>
        <v>0.00358588288</v>
      </c>
      <c r="O739" s="7"/>
      <c r="P739" s="4">
        <f t="shared" si="6"/>
        <v>2.076238812</v>
      </c>
      <c r="Q739" s="4">
        <f t="shared" si="7"/>
        <v>6</v>
      </c>
      <c r="R739" s="4">
        <f t="shared" si="8"/>
        <v>0</v>
      </c>
      <c r="S739" s="4">
        <f t="shared" si="9"/>
        <v>2.076238812</v>
      </c>
      <c r="T739" s="4">
        <f t="shared" si="10"/>
        <v>29</v>
      </c>
      <c r="U739" s="4">
        <f t="shared" si="1"/>
        <v>2.076238812</v>
      </c>
      <c r="V739" s="4"/>
    </row>
    <row r="740">
      <c r="A740" s="1" t="s">
        <v>16029</v>
      </c>
      <c r="B740" s="1" t="s">
        <v>16030</v>
      </c>
      <c r="C740" s="1" t="s">
        <v>16031</v>
      </c>
      <c r="D740" s="1" t="s">
        <v>15929</v>
      </c>
      <c r="E740" s="1" t="s">
        <v>15930</v>
      </c>
      <c r="F740" s="1">
        <v>1346803.0</v>
      </c>
      <c r="G740" s="1">
        <v>52718.0</v>
      </c>
      <c r="H740" s="1">
        <v>1811.0</v>
      </c>
      <c r="I740" s="1">
        <v>5100000.0</v>
      </c>
      <c r="J740" s="1" t="s">
        <v>2468</v>
      </c>
      <c r="K740" s="5">
        <f t="shared" si="2"/>
        <v>0.2640790196</v>
      </c>
      <c r="L740" s="6">
        <f t="shared" si="3"/>
        <v>383</v>
      </c>
      <c r="M740" s="6">
        <f t="shared" si="4"/>
        <v>3516.456919</v>
      </c>
      <c r="N740" s="7">
        <f t="shared" si="5"/>
        <v>0.0006895013567</v>
      </c>
      <c r="O740" s="7"/>
      <c r="P740" s="4">
        <f t="shared" si="6"/>
        <v>0.03613359665</v>
      </c>
      <c r="Q740" s="4">
        <f t="shared" si="7"/>
        <v>4</v>
      </c>
      <c r="R740" s="4">
        <f t="shared" si="8"/>
        <v>0</v>
      </c>
      <c r="S740" s="4">
        <f t="shared" si="9"/>
        <v>0.03613359665</v>
      </c>
      <c r="T740" s="4">
        <f t="shared" si="10"/>
        <v>18</v>
      </c>
      <c r="U740" s="4">
        <f t="shared" si="1"/>
        <v>0.03613359665</v>
      </c>
      <c r="V740" s="4"/>
    </row>
    <row r="741">
      <c r="A741" s="1" t="s">
        <v>16032</v>
      </c>
      <c r="B741" s="1" t="s">
        <v>16033</v>
      </c>
      <c r="C741" s="1" t="s">
        <v>16034</v>
      </c>
      <c r="D741" s="1" t="s">
        <v>15929</v>
      </c>
      <c r="E741" s="1" t="s">
        <v>15930</v>
      </c>
      <c r="F741" s="1">
        <v>1978014.0</v>
      </c>
      <c r="G741" s="1">
        <v>41113.0</v>
      </c>
      <c r="H741" s="1">
        <v>3970.0</v>
      </c>
      <c r="I741" s="1">
        <v>5100000.0</v>
      </c>
      <c r="J741" s="1" t="s">
        <v>2468</v>
      </c>
      <c r="K741" s="5">
        <f t="shared" si="2"/>
        <v>0.3878458824</v>
      </c>
      <c r="L741" s="6">
        <f t="shared" si="3"/>
        <v>418</v>
      </c>
      <c r="M741" s="6">
        <f t="shared" si="4"/>
        <v>4732.090909</v>
      </c>
      <c r="N741" s="7">
        <f t="shared" si="5"/>
        <v>0.0009278609626</v>
      </c>
      <c r="O741" s="7"/>
      <c r="P741" s="4">
        <f t="shared" si="6"/>
        <v>0.2040253855</v>
      </c>
      <c r="Q741" s="4">
        <f t="shared" si="7"/>
        <v>6</v>
      </c>
      <c r="R741" s="4">
        <f t="shared" si="8"/>
        <v>1</v>
      </c>
      <c r="S741" s="4">
        <f t="shared" si="9"/>
        <v>0.2040253855</v>
      </c>
      <c r="T741" s="4">
        <f t="shared" si="10"/>
        <v>24</v>
      </c>
      <c r="U741" s="4">
        <f t="shared" si="1"/>
        <v>0.2040253855</v>
      </c>
      <c r="V741" s="4"/>
    </row>
    <row r="742">
      <c r="A742" s="1" t="s">
        <v>16035</v>
      </c>
      <c r="B742" s="1" t="s">
        <v>16036</v>
      </c>
      <c r="C742" s="1" t="s">
        <v>16037</v>
      </c>
      <c r="D742" s="1" t="s">
        <v>15929</v>
      </c>
      <c r="E742" s="1" t="s">
        <v>15930</v>
      </c>
      <c r="F742" s="1">
        <v>3349646.0</v>
      </c>
      <c r="G742" s="1">
        <v>63984.0</v>
      </c>
      <c r="H742" s="1">
        <v>2222.0</v>
      </c>
      <c r="I742" s="1">
        <v>5100000.0</v>
      </c>
      <c r="J742" s="1" t="s">
        <v>2468</v>
      </c>
      <c r="K742" s="5">
        <f t="shared" si="2"/>
        <v>0.6567933333</v>
      </c>
      <c r="L742" s="6">
        <f t="shared" si="3"/>
        <v>432</v>
      </c>
      <c r="M742" s="6">
        <f t="shared" si="4"/>
        <v>7753.810185</v>
      </c>
      <c r="N742" s="7">
        <f t="shared" si="5"/>
        <v>0.001520354938</v>
      </c>
      <c r="O742" s="7"/>
      <c r="P742" s="4">
        <f t="shared" si="6"/>
        <v>0.6213564725</v>
      </c>
      <c r="Q742" s="4">
        <f t="shared" si="7"/>
        <v>7</v>
      </c>
      <c r="R742" s="4">
        <f t="shared" si="8"/>
        <v>0</v>
      </c>
      <c r="S742" s="4">
        <f t="shared" si="9"/>
        <v>0.6213564725</v>
      </c>
      <c r="T742" s="4">
        <f t="shared" si="10"/>
        <v>37</v>
      </c>
      <c r="U742" s="4">
        <f t="shared" si="1"/>
        <v>0.6213564725</v>
      </c>
      <c r="V742" s="4"/>
    </row>
    <row r="743">
      <c r="A743" s="1" t="s">
        <v>16038</v>
      </c>
      <c r="B743" s="1" t="s">
        <v>16039</v>
      </c>
      <c r="C743" s="1" t="s">
        <v>16040</v>
      </c>
      <c r="D743" s="1" t="s">
        <v>15929</v>
      </c>
      <c r="E743" s="1" t="s">
        <v>15930</v>
      </c>
      <c r="F743" s="1">
        <v>2324049.0</v>
      </c>
      <c r="G743" s="1">
        <v>41850.0</v>
      </c>
      <c r="H743" s="1">
        <v>2604.0</v>
      </c>
      <c r="I743" s="1">
        <v>5100000.0</v>
      </c>
      <c r="J743" s="1" t="s">
        <v>2468</v>
      </c>
      <c r="K743" s="5">
        <f t="shared" si="2"/>
        <v>0.4556958824</v>
      </c>
      <c r="L743" s="6">
        <f t="shared" si="3"/>
        <v>460</v>
      </c>
      <c r="M743" s="6">
        <f t="shared" si="4"/>
        <v>5052.280435</v>
      </c>
      <c r="N743" s="7">
        <f t="shared" si="5"/>
        <v>0.0009906432225</v>
      </c>
      <c r="O743" s="7"/>
      <c r="P743" s="4">
        <f t="shared" si="6"/>
        <v>0.2482469132</v>
      </c>
      <c r="Q743" s="4">
        <f t="shared" si="7"/>
        <v>8</v>
      </c>
      <c r="R743" s="4">
        <f t="shared" si="8"/>
        <v>0</v>
      </c>
      <c r="S743" s="4">
        <f t="shared" si="9"/>
        <v>0.2482469132</v>
      </c>
      <c r="T743" s="4">
        <f t="shared" si="10"/>
        <v>35</v>
      </c>
      <c r="U743" s="4">
        <f t="shared" si="1"/>
        <v>0.2482469132</v>
      </c>
      <c r="V743" s="4"/>
    </row>
    <row r="744">
      <c r="A744" s="1" t="s">
        <v>16041</v>
      </c>
      <c r="B744" s="1" t="s">
        <v>16042</v>
      </c>
      <c r="C744" s="1" t="s">
        <v>16043</v>
      </c>
      <c r="D744" s="1" t="s">
        <v>15929</v>
      </c>
      <c r="E744" s="1" t="s">
        <v>15930</v>
      </c>
      <c r="F744" s="1">
        <v>1001698.0</v>
      </c>
      <c r="G744" s="1">
        <v>42831.0</v>
      </c>
      <c r="H744" s="1">
        <v>6918.0</v>
      </c>
      <c r="I744" s="1">
        <v>5100000.0</v>
      </c>
      <c r="J744" s="1" t="s">
        <v>2468</v>
      </c>
      <c r="K744" s="5">
        <f t="shared" si="2"/>
        <v>0.1964113725</v>
      </c>
      <c r="L744" s="6">
        <f t="shared" si="3"/>
        <v>474</v>
      </c>
      <c r="M744" s="6">
        <f t="shared" si="4"/>
        <v>2113.28692</v>
      </c>
      <c r="N744" s="7">
        <f t="shared" si="5"/>
        <v>0.0004143699843</v>
      </c>
      <c r="O744" s="7"/>
      <c r="P744" s="4">
        <f t="shared" si="6"/>
        <v>-0.1576588796</v>
      </c>
      <c r="Q744" s="4">
        <f t="shared" si="7"/>
        <v>8</v>
      </c>
      <c r="R744" s="4">
        <f t="shared" si="8"/>
        <v>0</v>
      </c>
      <c r="S744" s="4">
        <f t="shared" si="9"/>
        <v>-0.1576588796</v>
      </c>
      <c r="T744" s="4">
        <f t="shared" si="10"/>
        <v>37</v>
      </c>
      <c r="U744" s="4">
        <f t="shared" si="1"/>
        <v>-0.1576588796</v>
      </c>
      <c r="V744" s="4"/>
    </row>
    <row r="745">
      <c r="A745" s="1" t="s">
        <v>16044</v>
      </c>
      <c r="B745" s="1" t="s">
        <v>16045</v>
      </c>
      <c r="C745" s="1" t="s">
        <v>16046</v>
      </c>
      <c r="D745" s="1" t="s">
        <v>15929</v>
      </c>
      <c r="E745" s="1" t="s">
        <v>15930</v>
      </c>
      <c r="F745" s="1">
        <v>2026164.0</v>
      </c>
      <c r="G745" s="1">
        <v>43047.0</v>
      </c>
      <c r="H745" s="1">
        <v>2467.0</v>
      </c>
      <c r="I745" s="1">
        <v>5100000.0</v>
      </c>
      <c r="J745" s="1" t="s">
        <v>2468</v>
      </c>
      <c r="K745" s="5">
        <f t="shared" si="2"/>
        <v>0.3972870588</v>
      </c>
      <c r="L745" s="6">
        <f t="shared" si="3"/>
        <v>502</v>
      </c>
      <c r="M745" s="6">
        <f t="shared" si="4"/>
        <v>4036.183267</v>
      </c>
      <c r="N745" s="7">
        <f t="shared" si="5"/>
        <v>0.0007914084837</v>
      </c>
      <c r="O745" s="7"/>
      <c r="P745" s="4">
        <f t="shared" si="6"/>
        <v>0.1079132499</v>
      </c>
      <c r="Q745" s="4">
        <f t="shared" si="7"/>
        <v>6</v>
      </c>
      <c r="R745" s="4">
        <f t="shared" si="8"/>
        <v>0</v>
      </c>
      <c r="S745" s="4">
        <f t="shared" si="9"/>
        <v>0.1079132499</v>
      </c>
      <c r="T745" s="4">
        <f t="shared" si="10"/>
        <v>30</v>
      </c>
      <c r="U745" s="4">
        <f t="shared" si="1"/>
        <v>0.1079132499</v>
      </c>
      <c r="V745" s="4"/>
    </row>
    <row r="746">
      <c r="A746" s="1" t="s">
        <v>16047</v>
      </c>
      <c r="B746" s="1" t="s">
        <v>16048</v>
      </c>
      <c r="C746" s="1" t="s">
        <v>16049</v>
      </c>
      <c r="D746" s="1" t="s">
        <v>15929</v>
      </c>
      <c r="E746" s="1" t="s">
        <v>15930</v>
      </c>
      <c r="F746" s="1">
        <v>4066623.0</v>
      </c>
      <c r="G746" s="1">
        <v>90329.0</v>
      </c>
      <c r="H746" s="1">
        <v>3476.0</v>
      </c>
      <c r="I746" s="1">
        <v>5100000.0</v>
      </c>
      <c r="J746" s="1" t="s">
        <v>2468</v>
      </c>
      <c r="K746" s="5">
        <f t="shared" si="2"/>
        <v>0.7973770588</v>
      </c>
      <c r="L746" s="6">
        <f t="shared" si="3"/>
        <v>530</v>
      </c>
      <c r="M746" s="6">
        <f t="shared" si="4"/>
        <v>7672.873585</v>
      </c>
      <c r="N746" s="7">
        <f t="shared" si="5"/>
        <v>0.001504485017</v>
      </c>
      <c r="O746" s="7"/>
      <c r="P746" s="4">
        <f t="shared" si="6"/>
        <v>0.6101782802</v>
      </c>
      <c r="Q746" s="4">
        <f t="shared" si="7"/>
        <v>3</v>
      </c>
      <c r="R746" s="4">
        <f t="shared" si="8"/>
        <v>0</v>
      </c>
      <c r="S746" s="4">
        <f t="shared" si="9"/>
        <v>0.6101782802</v>
      </c>
      <c r="T746" s="4">
        <f t="shared" si="10"/>
        <v>21</v>
      </c>
      <c r="U746" s="4">
        <f t="shared" si="1"/>
        <v>0.6101782802</v>
      </c>
      <c r="V746" s="4"/>
    </row>
    <row r="747">
      <c r="A747" s="1" t="s">
        <v>16050</v>
      </c>
      <c r="B747" s="1" t="s">
        <v>16051</v>
      </c>
      <c r="C747" s="1" t="s">
        <v>16052</v>
      </c>
      <c r="D747" s="1" t="s">
        <v>15929</v>
      </c>
      <c r="E747" s="1" t="s">
        <v>15930</v>
      </c>
      <c r="F747" s="1">
        <v>3046301.0</v>
      </c>
      <c r="G747" s="1">
        <v>61627.0</v>
      </c>
      <c r="H747" s="1">
        <v>4378.0</v>
      </c>
      <c r="I747" s="1">
        <v>5100000.0</v>
      </c>
      <c r="J747" s="1" t="s">
        <v>2468</v>
      </c>
      <c r="K747" s="5">
        <f t="shared" si="2"/>
        <v>0.5973139216</v>
      </c>
      <c r="L747" s="6">
        <f t="shared" si="3"/>
        <v>551</v>
      </c>
      <c r="M747" s="6">
        <f t="shared" si="4"/>
        <v>5528.676951</v>
      </c>
      <c r="N747" s="7">
        <f t="shared" si="5"/>
        <v>0.001084054304</v>
      </c>
      <c r="O747" s="7"/>
      <c r="P747" s="4">
        <f t="shared" si="6"/>
        <v>0.3140422628</v>
      </c>
      <c r="Q747" s="4">
        <f t="shared" si="7"/>
        <v>8</v>
      </c>
      <c r="R747" s="4">
        <f t="shared" si="8"/>
        <v>0</v>
      </c>
      <c r="S747" s="4">
        <f t="shared" si="9"/>
        <v>0.3140422628</v>
      </c>
      <c r="T747" s="4">
        <f t="shared" si="10"/>
        <v>49</v>
      </c>
      <c r="U747" s="4">
        <f t="shared" si="1"/>
        <v>0.3140422628</v>
      </c>
      <c r="V747" s="4"/>
    </row>
    <row r="748">
      <c r="A748" s="1" t="s">
        <v>16053</v>
      </c>
      <c r="B748" s="1" t="s">
        <v>16054</v>
      </c>
      <c r="C748" s="1" t="s">
        <v>16055</v>
      </c>
      <c r="D748" s="1" t="s">
        <v>15929</v>
      </c>
      <c r="E748" s="1" t="s">
        <v>15930</v>
      </c>
      <c r="F748" s="1">
        <v>429602.0</v>
      </c>
      <c r="G748" s="1">
        <v>17253.0</v>
      </c>
      <c r="H748" s="1">
        <v>288.0</v>
      </c>
      <c r="I748" s="1">
        <v>5100000.0</v>
      </c>
      <c r="J748" s="1" t="s">
        <v>2468</v>
      </c>
      <c r="K748" s="5">
        <f t="shared" si="2"/>
        <v>0.08423568627</v>
      </c>
      <c r="L748" s="6">
        <f t="shared" si="3"/>
        <v>561</v>
      </c>
      <c r="M748" s="6">
        <f t="shared" si="4"/>
        <v>765.7789661</v>
      </c>
      <c r="N748" s="7">
        <f t="shared" si="5"/>
        <v>0.0001501527385</v>
      </c>
      <c r="O748" s="7"/>
      <c r="P748" s="4">
        <f t="shared" si="6"/>
        <v>-0.3437638443</v>
      </c>
      <c r="Q748" s="4">
        <f t="shared" si="7"/>
        <v>6</v>
      </c>
      <c r="R748" s="4">
        <f t="shared" si="8"/>
        <v>0</v>
      </c>
      <c r="S748" s="4">
        <f t="shared" si="9"/>
        <v>-0.3437638443</v>
      </c>
      <c r="T748" s="4">
        <f t="shared" si="10"/>
        <v>32</v>
      </c>
      <c r="U748" s="4">
        <f t="shared" si="1"/>
        <v>-0.3437638443</v>
      </c>
      <c r="V748" s="4"/>
    </row>
    <row r="749">
      <c r="A749" s="1" t="s">
        <v>16056</v>
      </c>
      <c r="B749" s="1" t="s">
        <v>16057</v>
      </c>
      <c r="C749" s="1" t="s">
        <v>16058</v>
      </c>
      <c r="D749" s="1" t="s">
        <v>15929</v>
      </c>
      <c r="E749" s="1" t="s">
        <v>15930</v>
      </c>
      <c r="F749" s="1">
        <v>1961569.0</v>
      </c>
      <c r="G749" s="1">
        <v>102267.0</v>
      </c>
      <c r="H749" s="1">
        <v>1207.0</v>
      </c>
      <c r="I749" s="1">
        <v>5100000.0</v>
      </c>
      <c r="J749" s="1" t="s">
        <v>2468</v>
      </c>
      <c r="K749" s="5">
        <f t="shared" si="2"/>
        <v>0.3846213725</v>
      </c>
      <c r="L749" s="6">
        <f t="shared" si="3"/>
        <v>563</v>
      </c>
      <c r="M749" s="6">
        <f t="shared" si="4"/>
        <v>3484.136767</v>
      </c>
      <c r="N749" s="7">
        <f t="shared" si="5"/>
        <v>0.000683164072</v>
      </c>
      <c r="O749" s="7"/>
      <c r="P749" s="4">
        <f t="shared" si="6"/>
        <v>0.03166984511</v>
      </c>
      <c r="Q749" s="4">
        <f t="shared" si="7"/>
        <v>4</v>
      </c>
      <c r="R749" s="4">
        <f t="shared" si="8"/>
        <v>0</v>
      </c>
      <c r="S749" s="4">
        <f t="shared" si="9"/>
        <v>0.03166984511</v>
      </c>
      <c r="T749" s="4">
        <f t="shared" si="10"/>
        <v>20</v>
      </c>
      <c r="U749" s="4">
        <f t="shared" si="1"/>
        <v>0.03166984511</v>
      </c>
      <c r="V749" s="4"/>
    </row>
    <row r="750">
      <c r="A750" s="1" t="s">
        <v>16059</v>
      </c>
      <c r="B750" s="1" t="s">
        <v>16060</v>
      </c>
      <c r="C750" s="1" t="s">
        <v>16061</v>
      </c>
      <c r="D750" s="1" t="s">
        <v>15929</v>
      </c>
      <c r="E750" s="1" t="s">
        <v>15930</v>
      </c>
      <c r="F750" s="1">
        <v>264956.0</v>
      </c>
      <c r="G750" s="1">
        <v>13481.0</v>
      </c>
      <c r="H750" s="1">
        <v>189.0</v>
      </c>
      <c r="I750" s="1">
        <v>5100000.0</v>
      </c>
      <c r="J750" s="1" t="s">
        <v>2468</v>
      </c>
      <c r="K750" s="5">
        <f t="shared" si="2"/>
        <v>0.05195215686</v>
      </c>
      <c r="L750" s="6">
        <f t="shared" si="3"/>
        <v>564</v>
      </c>
      <c r="M750" s="6">
        <f t="shared" si="4"/>
        <v>469.7801418</v>
      </c>
      <c r="N750" s="7">
        <f t="shared" si="5"/>
        <v>0.0000921137533</v>
      </c>
      <c r="O750" s="7"/>
      <c r="P750" s="4">
        <f t="shared" si="6"/>
        <v>-0.3846443828</v>
      </c>
      <c r="Q750" s="4">
        <f t="shared" si="7"/>
        <v>7</v>
      </c>
      <c r="R750" s="4">
        <f t="shared" si="8"/>
        <v>0</v>
      </c>
      <c r="S750" s="4">
        <f t="shared" si="9"/>
        <v>-0.3846443828</v>
      </c>
      <c r="T750" s="4">
        <f t="shared" si="10"/>
        <v>29</v>
      </c>
      <c r="U750" s="4">
        <f t="shared" si="1"/>
        <v>-0.3846443828</v>
      </c>
      <c r="V750" s="4"/>
    </row>
    <row r="751">
      <c r="A751" s="1" t="s">
        <v>16062</v>
      </c>
      <c r="B751" s="1" t="s">
        <v>16063</v>
      </c>
      <c r="C751" s="1" t="s">
        <v>16064</v>
      </c>
      <c r="D751" s="1" t="s">
        <v>15929</v>
      </c>
      <c r="E751" s="1" t="s">
        <v>15930</v>
      </c>
      <c r="F751" s="1">
        <v>664802.0</v>
      </c>
      <c r="G751" s="1">
        <v>33873.0</v>
      </c>
      <c r="H751" s="1">
        <v>441.0</v>
      </c>
      <c r="I751" s="1">
        <v>5100000.0</v>
      </c>
      <c r="J751" s="1" t="s">
        <v>2468</v>
      </c>
      <c r="K751" s="5">
        <f t="shared" si="2"/>
        <v>0.1303533333</v>
      </c>
      <c r="L751" s="6">
        <f t="shared" si="3"/>
        <v>569</v>
      </c>
      <c r="M751" s="6">
        <f t="shared" si="4"/>
        <v>1168.369069</v>
      </c>
      <c r="N751" s="7">
        <f t="shared" si="5"/>
        <v>0.0002290919742</v>
      </c>
      <c r="O751" s="7"/>
      <c r="P751" s="4">
        <f t="shared" si="6"/>
        <v>-0.2881619337</v>
      </c>
      <c r="Q751" s="4">
        <f t="shared" si="7"/>
        <v>5</v>
      </c>
      <c r="R751" s="4">
        <f t="shared" si="8"/>
        <v>0</v>
      </c>
      <c r="S751" s="4">
        <f t="shared" si="9"/>
        <v>-0.2881619337</v>
      </c>
      <c r="T751" s="4">
        <f t="shared" si="10"/>
        <v>25</v>
      </c>
      <c r="U751" s="4">
        <f t="shared" si="1"/>
        <v>-0.2881619337</v>
      </c>
      <c r="V751" s="4"/>
    </row>
    <row r="752">
      <c r="A752" s="1" t="s">
        <v>16065</v>
      </c>
      <c r="B752" s="1" t="s">
        <v>16066</v>
      </c>
      <c r="C752" s="1" t="s">
        <v>16067</v>
      </c>
      <c r="D752" s="1" t="s">
        <v>15929</v>
      </c>
      <c r="E752" s="1" t="s">
        <v>15930</v>
      </c>
      <c r="F752" s="1">
        <v>154480.0</v>
      </c>
      <c r="G752" s="1">
        <v>8642.0</v>
      </c>
      <c r="H752" s="1">
        <v>351.0</v>
      </c>
      <c r="I752" s="1">
        <v>5100000.0</v>
      </c>
      <c r="J752" s="1" t="s">
        <v>2468</v>
      </c>
      <c r="K752" s="5">
        <f t="shared" si="2"/>
        <v>0.03029019608</v>
      </c>
      <c r="L752" s="6">
        <f t="shared" si="3"/>
        <v>572</v>
      </c>
      <c r="M752" s="6">
        <f t="shared" si="4"/>
        <v>270.0699301</v>
      </c>
      <c r="N752" s="7">
        <f t="shared" si="5"/>
        <v>0.00005295488825</v>
      </c>
      <c r="O752" s="7"/>
      <c r="P752" s="4">
        <f t="shared" si="6"/>
        <v>-0.4122264552</v>
      </c>
      <c r="Q752" s="4">
        <f t="shared" si="7"/>
        <v>4</v>
      </c>
      <c r="R752" s="4">
        <f t="shared" si="8"/>
        <v>0</v>
      </c>
      <c r="S752" s="4">
        <f t="shared" si="9"/>
        <v>-0.4122264552</v>
      </c>
      <c r="T752" s="4">
        <f t="shared" si="10"/>
        <v>20</v>
      </c>
      <c r="U752" s="4">
        <f t="shared" si="1"/>
        <v>-0.4122264552</v>
      </c>
      <c r="V752" s="4"/>
    </row>
    <row r="753">
      <c r="A753" s="1" t="s">
        <v>16068</v>
      </c>
      <c r="B753" s="1" t="s">
        <v>16069</v>
      </c>
      <c r="C753" s="1" t="s">
        <v>16070</v>
      </c>
      <c r="D753" s="1" t="s">
        <v>15929</v>
      </c>
      <c r="E753" s="1" t="s">
        <v>15930</v>
      </c>
      <c r="F753" s="1">
        <v>484170.0</v>
      </c>
      <c r="G753" s="1">
        <v>16345.0</v>
      </c>
      <c r="H753" s="1">
        <v>379.0</v>
      </c>
      <c r="I753" s="1">
        <v>5100000.0</v>
      </c>
      <c r="J753" s="1" t="s">
        <v>2468</v>
      </c>
      <c r="K753" s="5">
        <f t="shared" si="2"/>
        <v>0.09493529412</v>
      </c>
      <c r="L753" s="6">
        <f t="shared" si="3"/>
        <v>574</v>
      </c>
      <c r="M753" s="6">
        <f t="shared" si="4"/>
        <v>843.5017422</v>
      </c>
      <c r="N753" s="7">
        <f t="shared" si="5"/>
        <v>0.0001653924985</v>
      </c>
      <c r="O753" s="7"/>
      <c r="P753" s="4">
        <f t="shared" si="6"/>
        <v>-0.3330295147</v>
      </c>
      <c r="Q753" s="4">
        <f t="shared" si="7"/>
        <v>5</v>
      </c>
      <c r="R753" s="4">
        <f t="shared" si="8"/>
        <v>0</v>
      </c>
      <c r="S753" s="4">
        <f t="shared" si="9"/>
        <v>-0.3330295147</v>
      </c>
      <c r="T753" s="4">
        <f t="shared" si="10"/>
        <v>23</v>
      </c>
      <c r="U753" s="4">
        <f t="shared" si="1"/>
        <v>-0.3330295147</v>
      </c>
      <c r="V753" s="4"/>
    </row>
    <row r="754">
      <c r="A754" s="1" t="s">
        <v>16071</v>
      </c>
      <c r="B754" s="1" t="s">
        <v>16072</v>
      </c>
      <c r="C754" s="1" t="s">
        <v>16073</v>
      </c>
      <c r="D754" s="1" t="s">
        <v>15929</v>
      </c>
      <c r="E754" s="1" t="s">
        <v>15930</v>
      </c>
      <c r="F754" s="1">
        <v>3148244.0</v>
      </c>
      <c r="G754" s="1">
        <v>67260.0</v>
      </c>
      <c r="H754" s="1">
        <v>4746.0</v>
      </c>
      <c r="I754" s="1">
        <v>5100000.0</v>
      </c>
      <c r="J754" s="1" t="s">
        <v>2468</v>
      </c>
      <c r="K754" s="5">
        <f t="shared" si="2"/>
        <v>0.6173027451</v>
      </c>
      <c r="L754" s="6">
        <f t="shared" si="3"/>
        <v>579</v>
      </c>
      <c r="M754" s="6">
        <f t="shared" si="4"/>
        <v>5437.381693</v>
      </c>
      <c r="N754" s="7">
        <f t="shared" si="5"/>
        <v>0.001066153273</v>
      </c>
      <c r="O754" s="7"/>
      <c r="P754" s="4">
        <f t="shared" si="6"/>
        <v>0.3014334312</v>
      </c>
      <c r="Q754" s="4">
        <f t="shared" si="7"/>
        <v>8</v>
      </c>
      <c r="R754" s="4">
        <f t="shared" si="8"/>
        <v>0</v>
      </c>
      <c r="S754" s="4">
        <f t="shared" si="9"/>
        <v>0.3014334312</v>
      </c>
      <c r="T754" s="4">
        <f t="shared" si="10"/>
        <v>33</v>
      </c>
      <c r="U754" s="4">
        <f t="shared" si="1"/>
        <v>0.3014334312</v>
      </c>
      <c r="V754" s="4"/>
    </row>
    <row r="755">
      <c r="A755" s="1" t="s">
        <v>16074</v>
      </c>
      <c r="B755" s="1" t="s">
        <v>16075</v>
      </c>
      <c r="C755" s="1" t="s">
        <v>16076</v>
      </c>
      <c r="D755" s="1" t="s">
        <v>15929</v>
      </c>
      <c r="E755" s="1" t="s">
        <v>15930</v>
      </c>
      <c r="F755" s="1">
        <v>4676322.0</v>
      </c>
      <c r="G755" s="1">
        <v>45236.0</v>
      </c>
      <c r="H755" s="1">
        <v>1813.0</v>
      </c>
      <c r="I755" s="1">
        <v>5100000.0</v>
      </c>
      <c r="J755" s="1" t="s">
        <v>2468</v>
      </c>
      <c r="K755" s="5">
        <f t="shared" si="2"/>
        <v>0.9169258824</v>
      </c>
      <c r="L755" s="6">
        <f t="shared" si="3"/>
        <v>628</v>
      </c>
      <c r="M755" s="6">
        <f t="shared" si="4"/>
        <v>7446.372611</v>
      </c>
      <c r="N755" s="7">
        <f t="shared" si="5"/>
        <v>0.001460073061</v>
      </c>
      <c r="O755" s="7"/>
      <c r="P755" s="4">
        <f t="shared" si="6"/>
        <v>0.5788961229</v>
      </c>
      <c r="Q755" s="4">
        <f t="shared" si="7"/>
        <v>8</v>
      </c>
      <c r="R755" s="4">
        <f t="shared" si="8"/>
        <v>0</v>
      </c>
      <c r="S755" s="4">
        <f t="shared" si="9"/>
        <v>0.5788961229</v>
      </c>
      <c r="T755" s="4">
        <f t="shared" si="10"/>
        <v>39</v>
      </c>
      <c r="U755" s="4">
        <f t="shared" si="1"/>
        <v>0.5788961229</v>
      </c>
      <c r="V755" s="4"/>
    </row>
    <row r="756">
      <c r="A756" s="1" t="s">
        <v>16077</v>
      </c>
      <c r="B756" s="1" t="s">
        <v>16078</v>
      </c>
      <c r="C756" s="1" t="s">
        <v>16079</v>
      </c>
      <c r="D756" s="1" t="s">
        <v>15929</v>
      </c>
      <c r="E756" s="1" t="s">
        <v>15930</v>
      </c>
      <c r="F756" s="1">
        <v>3673161.0</v>
      </c>
      <c r="G756" s="1">
        <v>85231.0</v>
      </c>
      <c r="H756" s="1">
        <v>3096.0</v>
      </c>
      <c r="I756" s="1">
        <v>5100000.0</v>
      </c>
      <c r="J756" s="1" t="s">
        <v>2468</v>
      </c>
      <c r="K756" s="5">
        <f t="shared" si="2"/>
        <v>0.7202276471</v>
      </c>
      <c r="L756" s="6">
        <f t="shared" si="3"/>
        <v>636</v>
      </c>
      <c r="M756" s="6">
        <f t="shared" si="4"/>
        <v>5775.410377</v>
      </c>
      <c r="N756" s="7">
        <f t="shared" si="5"/>
        <v>0.001132433407</v>
      </c>
      <c r="O756" s="7"/>
      <c r="P756" s="4">
        <f t="shared" si="6"/>
        <v>0.3481187337</v>
      </c>
      <c r="Q756" s="4">
        <f t="shared" si="7"/>
        <v>7</v>
      </c>
      <c r="R756" s="4">
        <f t="shared" si="8"/>
        <v>0</v>
      </c>
      <c r="S756" s="4">
        <f t="shared" si="9"/>
        <v>0.3481187337</v>
      </c>
      <c r="T756" s="4">
        <f t="shared" si="10"/>
        <v>34</v>
      </c>
      <c r="U756" s="4">
        <f t="shared" si="1"/>
        <v>0.3481187337</v>
      </c>
      <c r="V756" s="4"/>
    </row>
    <row r="757">
      <c r="A757" s="1" t="s">
        <v>16080</v>
      </c>
      <c r="B757" s="1" t="s">
        <v>16081</v>
      </c>
      <c r="C757" s="1" t="s">
        <v>16082</v>
      </c>
      <c r="D757" s="1" t="s">
        <v>15929</v>
      </c>
      <c r="E757" s="1" t="s">
        <v>15930</v>
      </c>
      <c r="F757" s="1">
        <v>5322094.0</v>
      </c>
      <c r="G757" s="1">
        <v>336529.0</v>
      </c>
      <c r="H757" s="1">
        <v>1307.0</v>
      </c>
      <c r="I757" s="1">
        <v>5100000.0</v>
      </c>
      <c r="J757" s="1" t="s">
        <v>2468</v>
      </c>
      <c r="K757" s="5">
        <f t="shared" si="2"/>
        <v>1.043547843</v>
      </c>
      <c r="L757" s="6">
        <f t="shared" si="3"/>
        <v>637</v>
      </c>
      <c r="M757" s="6">
        <f t="shared" si="4"/>
        <v>8354.935636</v>
      </c>
      <c r="N757" s="7">
        <f t="shared" si="5"/>
        <v>0.001638222674</v>
      </c>
      <c r="O757" s="7"/>
      <c r="P757" s="4">
        <f t="shared" si="6"/>
        <v>0.7043781946</v>
      </c>
      <c r="Q757" s="4">
        <f t="shared" si="7"/>
        <v>7</v>
      </c>
      <c r="R757" s="4">
        <f t="shared" si="8"/>
        <v>0</v>
      </c>
      <c r="S757" s="4">
        <f t="shared" si="9"/>
        <v>0.7043781946</v>
      </c>
      <c r="T757" s="4">
        <f t="shared" si="10"/>
        <v>27</v>
      </c>
      <c r="U757" s="4">
        <f t="shared" si="1"/>
        <v>0.7043781946</v>
      </c>
      <c r="V757" s="4"/>
    </row>
    <row r="758">
      <c r="A758" s="1" t="s">
        <v>16083</v>
      </c>
      <c r="B758" s="1" t="s">
        <v>16084</v>
      </c>
      <c r="C758" s="1" t="s">
        <v>16085</v>
      </c>
      <c r="D758" s="1" t="s">
        <v>15929</v>
      </c>
      <c r="E758" s="1" t="s">
        <v>15930</v>
      </c>
      <c r="F758" s="1">
        <v>1846802.0</v>
      </c>
      <c r="G758" s="1">
        <v>115020.0</v>
      </c>
      <c r="H758" s="1">
        <v>890.0</v>
      </c>
      <c r="I758" s="1">
        <v>5100000.0</v>
      </c>
      <c r="J758" s="1" t="s">
        <v>2468</v>
      </c>
      <c r="K758" s="5">
        <f t="shared" si="2"/>
        <v>0.3621180392</v>
      </c>
      <c r="L758" s="6">
        <f t="shared" si="3"/>
        <v>639</v>
      </c>
      <c r="M758" s="6">
        <f t="shared" si="4"/>
        <v>2890.143975</v>
      </c>
      <c r="N758" s="7">
        <f t="shared" si="5"/>
        <v>0.0005666948971</v>
      </c>
      <c r="O758" s="7"/>
      <c r="P758" s="4">
        <f t="shared" si="6"/>
        <v>-0.05036678209</v>
      </c>
      <c r="Q758" s="4">
        <f t="shared" si="7"/>
        <v>6</v>
      </c>
      <c r="R758" s="4">
        <f t="shared" si="8"/>
        <v>0</v>
      </c>
      <c r="S758" s="4">
        <f t="shared" si="9"/>
        <v>-0.05036678209</v>
      </c>
      <c r="T758" s="4">
        <f t="shared" si="10"/>
        <v>29</v>
      </c>
      <c r="U758" s="4">
        <f t="shared" si="1"/>
        <v>-0.05036678209</v>
      </c>
      <c r="V758" s="4"/>
    </row>
    <row r="759">
      <c r="A759" s="1" t="s">
        <v>16086</v>
      </c>
      <c r="B759" s="1" t="s">
        <v>16087</v>
      </c>
      <c r="C759" s="1" t="s">
        <v>16088</v>
      </c>
      <c r="D759" s="1" t="s">
        <v>15929</v>
      </c>
      <c r="E759" s="1" t="s">
        <v>15930</v>
      </c>
      <c r="F759" s="1">
        <v>1276836.0</v>
      </c>
      <c r="G759" s="1">
        <v>64055.0</v>
      </c>
      <c r="H759" s="1">
        <v>2096.0</v>
      </c>
      <c r="I759" s="1">
        <v>5100000.0</v>
      </c>
      <c r="J759" s="1" t="s">
        <v>2468</v>
      </c>
      <c r="K759" s="5">
        <f t="shared" si="2"/>
        <v>0.25036</v>
      </c>
      <c r="L759" s="6">
        <f t="shared" si="3"/>
        <v>640</v>
      </c>
      <c r="M759" s="6">
        <f t="shared" si="4"/>
        <v>1995.05625</v>
      </c>
      <c r="N759" s="7">
        <f t="shared" si="5"/>
        <v>0.0003911875</v>
      </c>
      <c r="O759" s="7"/>
      <c r="P759" s="4">
        <f t="shared" si="6"/>
        <v>-0.1739877737</v>
      </c>
      <c r="Q759" s="4">
        <f t="shared" si="7"/>
        <v>5</v>
      </c>
      <c r="R759" s="4">
        <f t="shared" si="8"/>
        <v>0</v>
      </c>
      <c r="S759" s="4">
        <f t="shared" si="9"/>
        <v>-0.1739877737</v>
      </c>
      <c r="T759" s="4">
        <f t="shared" si="10"/>
        <v>27</v>
      </c>
      <c r="U759" s="4">
        <f t="shared" si="1"/>
        <v>-0.1739877737</v>
      </c>
      <c r="V759" s="4"/>
    </row>
    <row r="760">
      <c r="A760" s="1" t="s">
        <v>16089</v>
      </c>
      <c r="B760" s="1" t="s">
        <v>16090</v>
      </c>
      <c r="C760" s="1" t="s">
        <v>16091</v>
      </c>
      <c r="D760" s="1" t="s">
        <v>15929</v>
      </c>
      <c r="E760" s="1" t="s">
        <v>15930</v>
      </c>
      <c r="F760" s="1">
        <v>2291871.0</v>
      </c>
      <c r="G760" s="1">
        <v>43418.0</v>
      </c>
      <c r="H760" s="1">
        <v>13042.0</v>
      </c>
      <c r="I760" s="1">
        <v>5100000.0</v>
      </c>
      <c r="J760" s="1" t="s">
        <v>2468</v>
      </c>
      <c r="K760" s="5">
        <f t="shared" si="2"/>
        <v>0.4493864706</v>
      </c>
      <c r="L760" s="6">
        <f t="shared" si="3"/>
        <v>647</v>
      </c>
      <c r="M760" s="6">
        <f t="shared" si="4"/>
        <v>3542.304482</v>
      </c>
      <c r="N760" s="7">
        <f t="shared" si="5"/>
        <v>0.0006945695063</v>
      </c>
      <c r="O760" s="7"/>
      <c r="P760" s="4">
        <f t="shared" si="6"/>
        <v>0.03970341589</v>
      </c>
      <c r="Q760" s="4">
        <f t="shared" si="7"/>
        <v>10</v>
      </c>
      <c r="R760" s="4">
        <f t="shared" si="8"/>
        <v>0</v>
      </c>
      <c r="S760" s="4">
        <f t="shared" si="9"/>
        <v>0.03970341589</v>
      </c>
      <c r="T760" s="4">
        <f t="shared" si="10"/>
        <v>34</v>
      </c>
      <c r="U760" s="4">
        <f t="shared" si="1"/>
        <v>0.03970341589</v>
      </c>
      <c r="V760" s="4"/>
    </row>
    <row r="761">
      <c r="A761" s="1" t="s">
        <v>16092</v>
      </c>
      <c r="B761" s="1" t="s">
        <v>16093</v>
      </c>
      <c r="C761" s="1" t="s">
        <v>16094</v>
      </c>
      <c r="D761" s="1" t="s">
        <v>15929</v>
      </c>
      <c r="E761" s="1" t="s">
        <v>15930</v>
      </c>
      <c r="F761" s="1">
        <v>211826.0</v>
      </c>
      <c r="G761" s="1">
        <v>17791.0</v>
      </c>
      <c r="H761" s="1">
        <v>585.0</v>
      </c>
      <c r="I761" s="1">
        <v>5100000.0</v>
      </c>
      <c r="J761" s="1" t="s">
        <v>2468</v>
      </c>
      <c r="K761" s="5">
        <f t="shared" si="2"/>
        <v>0.0415345098</v>
      </c>
      <c r="L761" s="6">
        <f t="shared" si="3"/>
        <v>650</v>
      </c>
      <c r="M761" s="6">
        <f t="shared" si="4"/>
        <v>325.8861538</v>
      </c>
      <c r="N761" s="7">
        <f t="shared" si="5"/>
        <v>0.00006389924585</v>
      </c>
      <c r="O761" s="7"/>
      <c r="P761" s="4">
        <f t="shared" si="6"/>
        <v>-0.4045176499</v>
      </c>
      <c r="Q761" s="4">
        <f t="shared" si="7"/>
        <v>5</v>
      </c>
      <c r="R761" s="4">
        <f t="shared" si="8"/>
        <v>0</v>
      </c>
      <c r="S761" s="4">
        <f t="shared" si="9"/>
        <v>-0.4045176499</v>
      </c>
      <c r="T761" s="4">
        <f t="shared" si="10"/>
        <v>25</v>
      </c>
      <c r="U761" s="4">
        <f t="shared" si="1"/>
        <v>-0.4045176499</v>
      </c>
      <c r="V761" s="4"/>
    </row>
    <row r="762">
      <c r="A762" s="1" t="s">
        <v>16095</v>
      </c>
      <c r="B762" s="1" t="s">
        <v>16096</v>
      </c>
      <c r="C762" s="1" t="s">
        <v>16097</v>
      </c>
      <c r="D762" s="1" t="s">
        <v>15929</v>
      </c>
      <c r="E762" s="1" t="s">
        <v>15930</v>
      </c>
      <c r="F762" s="1">
        <v>1411921.0</v>
      </c>
      <c r="G762" s="1">
        <v>46583.0</v>
      </c>
      <c r="H762" s="1">
        <v>1455.0</v>
      </c>
      <c r="I762" s="1">
        <v>5100000.0</v>
      </c>
      <c r="J762" s="1" t="s">
        <v>2468</v>
      </c>
      <c r="K762" s="5">
        <f t="shared" si="2"/>
        <v>0.2768472549</v>
      </c>
      <c r="L762" s="6">
        <f t="shared" si="3"/>
        <v>690</v>
      </c>
      <c r="M762" s="6">
        <f t="shared" si="4"/>
        <v>2046.262319</v>
      </c>
      <c r="N762" s="7">
        <f t="shared" si="5"/>
        <v>0.0004012279057</v>
      </c>
      <c r="O762" s="7"/>
      <c r="P762" s="4">
        <f t="shared" si="6"/>
        <v>-0.1669156792</v>
      </c>
      <c r="Q762" s="4">
        <f t="shared" si="7"/>
        <v>6</v>
      </c>
      <c r="R762" s="4">
        <f t="shared" si="8"/>
        <v>0</v>
      </c>
      <c r="S762" s="4">
        <f t="shared" si="9"/>
        <v>-0.1669156792</v>
      </c>
      <c r="T762" s="4">
        <f t="shared" si="10"/>
        <v>34</v>
      </c>
      <c r="U762" s="4">
        <f t="shared" si="1"/>
        <v>-0.1669156792</v>
      </c>
      <c r="V762" s="4"/>
    </row>
    <row r="763">
      <c r="A763" s="1" t="s">
        <v>16098</v>
      </c>
      <c r="B763" s="1" t="s">
        <v>16099</v>
      </c>
      <c r="C763" s="1" t="s">
        <v>16100</v>
      </c>
      <c r="D763" s="1" t="s">
        <v>15929</v>
      </c>
      <c r="E763" s="1" t="s">
        <v>15930</v>
      </c>
      <c r="F763" s="1">
        <v>202981.0</v>
      </c>
      <c r="G763" s="1">
        <v>13341.0</v>
      </c>
      <c r="H763" s="1">
        <v>242.0</v>
      </c>
      <c r="I763" s="1">
        <v>5100000.0</v>
      </c>
      <c r="J763" s="1" t="s">
        <v>2468</v>
      </c>
      <c r="K763" s="5">
        <f t="shared" si="2"/>
        <v>0.03980019608</v>
      </c>
      <c r="L763" s="6">
        <f t="shared" si="3"/>
        <v>694</v>
      </c>
      <c r="M763" s="6">
        <f t="shared" si="4"/>
        <v>292.4798271</v>
      </c>
      <c r="N763" s="7">
        <f t="shared" si="5"/>
        <v>0.0000573489857</v>
      </c>
      <c r="O763" s="7"/>
      <c r="P763" s="4">
        <f t="shared" si="6"/>
        <v>-0.4091314136</v>
      </c>
      <c r="Q763" s="4">
        <f t="shared" si="7"/>
        <v>9</v>
      </c>
      <c r="R763" s="4">
        <f t="shared" si="8"/>
        <v>0</v>
      </c>
      <c r="S763" s="4">
        <f t="shared" si="9"/>
        <v>-0.4091314136</v>
      </c>
      <c r="T763" s="4">
        <f t="shared" si="10"/>
        <v>45</v>
      </c>
      <c r="U763" s="4">
        <f t="shared" si="1"/>
        <v>-0.4091314136</v>
      </c>
      <c r="V763" s="4"/>
    </row>
    <row r="764">
      <c r="A764" s="1" t="s">
        <v>16101</v>
      </c>
      <c r="B764" s="1" t="s">
        <v>16102</v>
      </c>
      <c r="C764" s="1" t="s">
        <v>16103</v>
      </c>
      <c r="D764" s="1" t="s">
        <v>15929</v>
      </c>
      <c r="E764" s="1" t="s">
        <v>15930</v>
      </c>
      <c r="F764" s="1">
        <v>2941614.0</v>
      </c>
      <c r="G764" s="1">
        <v>67819.0</v>
      </c>
      <c r="H764" s="1">
        <v>6591.0</v>
      </c>
      <c r="I764" s="1">
        <v>5100000.0</v>
      </c>
      <c r="J764" s="1" t="s">
        <v>2468</v>
      </c>
      <c r="K764" s="5">
        <f t="shared" si="2"/>
        <v>0.5767870588</v>
      </c>
      <c r="L764" s="6">
        <f t="shared" si="3"/>
        <v>698</v>
      </c>
      <c r="M764" s="6">
        <f t="shared" si="4"/>
        <v>4214.346705</v>
      </c>
      <c r="N764" s="7">
        <f t="shared" si="5"/>
        <v>0.0008263424912</v>
      </c>
      <c r="O764" s="7"/>
      <c r="P764" s="4">
        <f t="shared" si="6"/>
        <v>0.132519487</v>
      </c>
      <c r="Q764" s="4">
        <f t="shared" si="7"/>
        <v>6</v>
      </c>
      <c r="R764" s="4">
        <f t="shared" si="8"/>
        <v>0</v>
      </c>
      <c r="S764" s="4">
        <f t="shared" si="9"/>
        <v>0.132519487</v>
      </c>
      <c r="T764" s="4">
        <f t="shared" si="10"/>
        <v>33</v>
      </c>
      <c r="U764" s="4">
        <f t="shared" si="1"/>
        <v>0.132519487</v>
      </c>
      <c r="V764" s="4"/>
    </row>
    <row r="765">
      <c r="A765" s="1" t="s">
        <v>16104</v>
      </c>
      <c r="B765" s="1" t="s">
        <v>16105</v>
      </c>
      <c r="C765" s="1" t="s">
        <v>16106</v>
      </c>
      <c r="D765" s="1" t="s">
        <v>15929</v>
      </c>
      <c r="E765" s="1" t="s">
        <v>15930</v>
      </c>
      <c r="F765" s="1">
        <v>1.058842E7</v>
      </c>
      <c r="G765" s="1">
        <v>489781.0</v>
      </c>
      <c r="H765" s="1">
        <v>2882.0</v>
      </c>
      <c r="I765" s="1">
        <v>5100000.0</v>
      </c>
      <c r="J765" s="1" t="s">
        <v>2468</v>
      </c>
      <c r="K765" s="5">
        <f t="shared" si="2"/>
        <v>2.076160784</v>
      </c>
      <c r="L765" s="6">
        <f t="shared" si="3"/>
        <v>701</v>
      </c>
      <c r="M765" s="6">
        <f t="shared" si="4"/>
        <v>15104.73609</v>
      </c>
      <c r="N765" s="7">
        <f t="shared" si="5"/>
        <v>0.002961712959</v>
      </c>
      <c r="O765" s="7"/>
      <c r="P765" s="4">
        <f t="shared" si="6"/>
        <v>1.636596347</v>
      </c>
      <c r="Q765" s="4">
        <f t="shared" si="7"/>
        <v>6</v>
      </c>
      <c r="R765" s="4">
        <f t="shared" si="8"/>
        <v>0</v>
      </c>
      <c r="S765" s="4">
        <f t="shared" si="9"/>
        <v>1.636596347</v>
      </c>
      <c r="T765" s="4">
        <f t="shared" si="10"/>
        <v>25</v>
      </c>
      <c r="U765" s="4">
        <f t="shared" si="1"/>
        <v>1.636596347</v>
      </c>
      <c r="V765" s="4"/>
    </row>
    <row r="766">
      <c r="A766" s="1" t="s">
        <v>16107</v>
      </c>
      <c r="B766" s="1" t="s">
        <v>16108</v>
      </c>
      <c r="C766" s="1" t="s">
        <v>16109</v>
      </c>
      <c r="D766" s="1" t="s">
        <v>15929</v>
      </c>
      <c r="E766" s="1" t="s">
        <v>15930</v>
      </c>
      <c r="F766" s="1">
        <v>1002515.0</v>
      </c>
      <c r="G766" s="1">
        <v>43452.0</v>
      </c>
      <c r="H766" s="1">
        <v>444.0</v>
      </c>
      <c r="I766" s="1">
        <v>5100000.0</v>
      </c>
      <c r="J766" s="1" t="s">
        <v>2468</v>
      </c>
      <c r="K766" s="5">
        <f t="shared" si="2"/>
        <v>0.1965715686</v>
      </c>
      <c r="L766" s="6">
        <f t="shared" si="3"/>
        <v>702</v>
      </c>
      <c r="M766" s="6">
        <f t="shared" si="4"/>
        <v>1428.084046</v>
      </c>
      <c r="N766" s="7">
        <f t="shared" si="5"/>
        <v>0.0002800164795</v>
      </c>
      <c r="O766" s="7"/>
      <c r="P766" s="4">
        <f t="shared" si="6"/>
        <v>-0.2522925746</v>
      </c>
      <c r="Q766" s="4">
        <f t="shared" si="7"/>
        <v>9</v>
      </c>
      <c r="R766" s="4">
        <f t="shared" si="8"/>
        <v>0</v>
      </c>
      <c r="S766" s="4">
        <f t="shared" si="9"/>
        <v>-0.2522925746</v>
      </c>
      <c r="T766" s="4">
        <f t="shared" si="10"/>
        <v>34</v>
      </c>
      <c r="U766" s="4">
        <f t="shared" si="1"/>
        <v>-0.2522925746</v>
      </c>
      <c r="V766" s="4"/>
    </row>
    <row r="767">
      <c r="A767" s="1" t="s">
        <v>16110</v>
      </c>
      <c r="B767" s="1" t="s">
        <v>16111</v>
      </c>
      <c r="C767" s="1" t="s">
        <v>16112</v>
      </c>
      <c r="D767" s="1" t="s">
        <v>15929</v>
      </c>
      <c r="E767" s="1" t="s">
        <v>15930</v>
      </c>
      <c r="F767" s="1">
        <v>802456.0</v>
      </c>
      <c r="G767" s="1">
        <v>35415.0</v>
      </c>
      <c r="H767" s="1">
        <v>1092.0</v>
      </c>
      <c r="I767" s="1">
        <v>5100000.0</v>
      </c>
      <c r="J767" s="1" t="s">
        <v>2468</v>
      </c>
      <c r="K767" s="5">
        <f t="shared" si="2"/>
        <v>0.1573443137</v>
      </c>
      <c r="L767" s="6">
        <f t="shared" si="3"/>
        <v>726</v>
      </c>
      <c r="M767" s="6">
        <f t="shared" si="4"/>
        <v>1105.311295</v>
      </c>
      <c r="N767" s="7">
        <f t="shared" si="5"/>
        <v>0.0002167277049</v>
      </c>
      <c r="O767" s="7"/>
      <c r="P767" s="4">
        <f t="shared" si="6"/>
        <v>-0.2968708728</v>
      </c>
      <c r="Q767" s="4">
        <f t="shared" si="7"/>
        <v>6</v>
      </c>
      <c r="R767" s="4">
        <f t="shared" si="8"/>
        <v>0</v>
      </c>
      <c r="S767" s="4">
        <f t="shared" si="9"/>
        <v>-0.2968708728</v>
      </c>
      <c r="T767" s="4">
        <f t="shared" si="10"/>
        <v>25</v>
      </c>
      <c r="U767" s="4">
        <f t="shared" si="1"/>
        <v>-0.2968708728</v>
      </c>
      <c r="V767" s="4"/>
    </row>
    <row r="768">
      <c r="A768" s="1" t="s">
        <v>16113</v>
      </c>
      <c r="B768" s="1" t="s">
        <v>16114</v>
      </c>
      <c r="C768" s="1" t="s">
        <v>16115</v>
      </c>
      <c r="D768" s="1" t="s">
        <v>15929</v>
      </c>
      <c r="E768" s="1" t="s">
        <v>15930</v>
      </c>
      <c r="F768" s="1">
        <v>200970.0</v>
      </c>
      <c r="G768" s="1">
        <v>13868.0</v>
      </c>
      <c r="H768" s="1">
        <v>626.0</v>
      </c>
      <c r="I768" s="1">
        <v>5100000.0</v>
      </c>
      <c r="J768" s="1" t="s">
        <v>2468</v>
      </c>
      <c r="K768" s="5">
        <f t="shared" si="2"/>
        <v>0.03940588235</v>
      </c>
      <c r="L768" s="6">
        <f t="shared" si="3"/>
        <v>730</v>
      </c>
      <c r="M768" s="6">
        <f t="shared" si="4"/>
        <v>275.3013699</v>
      </c>
      <c r="N768" s="7">
        <f t="shared" si="5"/>
        <v>0.00005398066076</v>
      </c>
      <c r="O768" s="7"/>
      <c r="P768" s="4">
        <f t="shared" si="6"/>
        <v>-0.4115039385</v>
      </c>
      <c r="Q768" s="4">
        <f t="shared" si="7"/>
        <v>2</v>
      </c>
      <c r="R768" s="4">
        <f t="shared" si="8"/>
        <v>0</v>
      </c>
      <c r="S768" s="4">
        <f t="shared" si="9"/>
        <v>-0.4115039385</v>
      </c>
      <c r="T768" s="4">
        <f t="shared" si="10"/>
        <v>9</v>
      </c>
      <c r="U768" s="4">
        <f t="shared" si="1"/>
        <v>-0.4115039385</v>
      </c>
      <c r="V768" s="4"/>
    </row>
    <row r="769">
      <c r="A769" s="1" t="s">
        <v>16116</v>
      </c>
      <c r="B769" s="1" t="s">
        <v>16117</v>
      </c>
      <c r="C769" s="1" t="s">
        <v>16118</v>
      </c>
      <c r="D769" s="1" t="s">
        <v>15929</v>
      </c>
      <c r="E769" s="1" t="s">
        <v>15930</v>
      </c>
      <c r="F769" s="1">
        <v>302185.0</v>
      </c>
      <c r="G769" s="1">
        <v>13983.0</v>
      </c>
      <c r="H769" s="1">
        <v>616.0</v>
      </c>
      <c r="I769" s="1">
        <v>5100000.0</v>
      </c>
      <c r="J769" s="1" t="s">
        <v>2468</v>
      </c>
      <c r="K769" s="5">
        <f t="shared" si="2"/>
        <v>0.05925196078</v>
      </c>
      <c r="L769" s="6">
        <f t="shared" si="3"/>
        <v>731</v>
      </c>
      <c r="M769" s="6">
        <f t="shared" si="4"/>
        <v>413.3857729</v>
      </c>
      <c r="N769" s="7">
        <f t="shared" si="5"/>
        <v>0.0000810560339</v>
      </c>
      <c r="O769" s="7"/>
      <c r="P769" s="4">
        <f t="shared" si="6"/>
        <v>-0.3924330359</v>
      </c>
      <c r="Q769" s="4">
        <f t="shared" si="7"/>
        <v>6</v>
      </c>
      <c r="R769" s="4">
        <f t="shared" si="8"/>
        <v>0</v>
      </c>
      <c r="S769" s="4">
        <f t="shared" si="9"/>
        <v>-0.3924330359</v>
      </c>
      <c r="T769" s="4">
        <f t="shared" si="10"/>
        <v>32</v>
      </c>
      <c r="U769" s="4">
        <f t="shared" si="1"/>
        <v>-0.3924330359</v>
      </c>
      <c r="V769" s="4"/>
    </row>
    <row r="770">
      <c r="A770" s="1" t="s">
        <v>16119</v>
      </c>
      <c r="B770" s="1" t="s">
        <v>16120</v>
      </c>
      <c r="C770" s="1" t="s">
        <v>16121</v>
      </c>
      <c r="D770" s="1" t="s">
        <v>15929</v>
      </c>
      <c r="E770" s="1" t="s">
        <v>15930</v>
      </c>
      <c r="F770" s="1">
        <v>1168704.0</v>
      </c>
      <c r="G770" s="1">
        <v>21970.0</v>
      </c>
      <c r="H770" s="1">
        <v>1224.0</v>
      </c>
      <c r="I770" s="1">
        <v>5100000.0</v>
      </c>
      <c r="J770" s="1" t="s">
        <v>2468</v>
      </c>
      <c r="K770" s="5">
        <f t="shared" si="2"/>
        <v>0.2291576471</v>
      </c>
      <c r="L770" s="6">
        <f t="shared" si="3"/>
        <v>757</v>
      </c>
      <c r="M770" s="6">
        <f t="shared" si="4"/>
        <v>1543.862616</v>
      </c>
      <c r="N770" s="7">
        <f t="shared" si="5"/>
        <v>0.0003027181599</v>
      </c>
      <c r="O770" s="7"/>
      <c r="P770" s="4">
        <f t="shared" si="6"/>
        <v>-0.2363023412</v>
      </c>
      <c r="Q770" s="4">
        <f t="shared" si="7"/>
        <v>11</v>
      </c>
      <c r="R770" s="4">
        <f t="shared" si="8"/>
        <v>0</v>
      </c>
      <c r="S770" s="4">
        <f t="shared" si="9"/>
        <v>-0.2363023412</v>
      </c>
      <c r="T770" s="4">
        <f t="shared" si="10"/>
        <v>67</v>
      </c>
      <c r="U770" s="4">
        <f t="shared" si="1"/>
        <v>-0.2363023412</v>
      </c>
      <c r="V770" s="4"/>
    </row>
    <row r="771">
      <c r="A771" s="1" t="s">
        <v>16122</v>
      </c>
      <c r="B771" s="1" t="s">
        <v>16123</v>
      </c>
      <c r="C771" s="1" t="s">
        <v>16124</v>
      </c>
      <c r="D771" s="1" t="s">
        <v>15929</v>
      </c>
      <c r="E771" s="1" t="s">
        <v>15930</v>
      </c>
      <c r="F771" s="1">
        <v>84434.0</v>
      </c>
      <c r="G771" s="1">
        <v>3850.0</v>
      </c>
      <c r="H771" s="1">
        <v>29.0</v>
      </c>
      <c r="I771" s="1">
        <v>5100000.0</v>
      </c>
      <c r="J771" s="1" t="s">
        <v>2468</v>
      </c>
      <c r="K771" s="5">
        <f t="shared" si="2"/>
        <v>0.01655568627</v>
      </c>
      <c r="L771" s="6">
        <f t="shared" si="3"/>
        <v>785</v>
      </c>
      <c r="M771" s="6">
        <f t="shared" si="4"/>
        <v>107.5592357</v>
      </c>
      <c r="N771" s="7">
        <f t="shared" si="5"/>
        <v>0.00002109004621</v>
      </c>
      <c r="O771" s="7"/>
      <c r="P771" s="4">
        <f t="shared" si="6"/>
        <v>-0.4346708845</v>
      </c>
      <c r="Q771" s="4">
        <f t="shared" si="7"/>
        <v>8</v>
      </c>
      <c r="R771" s="4">
        <f t="shared" si="8"/>
        <v>0</v>
      </c>
      <c r="S771" s="4">
        <f t="shared" si="9"/>
        <v>-0.4346708845</v>
      </c>
      <c r="T771" s="4">
        <f t="shared" si="10"/>
        <v>35</v>
      </c>
      <c r="U771" s="4">
        <f t="shared" si="1"/>
        <v>-0.4346708845</v>
      </c>
      <c r="V771" s="4"/>
    </row>
    <row r="772">
      <c r="A772" s="1" t="s">
        <v>16125</v>
      </c>
      <c r="B772" s="1" t="s">
        <v>16126</v>
      </c>
      <c r="C772" s="1" t="s">
        <v>16127</v>
      </c>
      <c r="D772" s="1" t="s">
        <v>15929</v>
      </c>
      <c r="E772" s="1" t="s">
        <v>15930</v>
      </c>
      <c r="F772" s="1">
        <v>233614.0</v>
      </c>
      <c r="G772" s="1">
        <v>9229.0</v>
      </c>
      <c r="H772" s="1">
        <v>275.0</v>
      </c>
      <c r="I772" s="1">
        <v>5100000.0</v>
      </c>
      <c r="J772" s="1" t="s">
        <v>2468</v>
      </c>
      <c r="K772" s="5">
        <f t="shared" si="2"/>
        <v>0.04580666667</v>
      </c>
      <c r="L772" s="6">
        <f t="shared" si="3"/>
        <v>789</v>
      </c>
      <c r="M772" s="6">
        <f t="shared" si="4"/>
        <v>296.0887199</v>
      </c>
      <c r="N772" s="7">
        <f t="shared" si="5"/>
        <v>0.00005805661174</v>
      </c>
      <c r="O772" s="7"/>
      <c r="P772" s="4">
        <f t="shared" si="6"/>
        <v>-0.4086329877</v>
      </c>
      <c r="Q772" s="4">
        <f t="shared" si="7"/>
        <v>6</v>
      </c>
      <c r="R772" s="4">
        <f t="shared" si="8"/>
        <v>0</v>
      </c>
      <c r="S772" s="4">
        <f t="shared" si="9"/>
        <v>-0.4086329877</v>
      </c>
      <c r="T772" s="4">
        <f t="shared" si="10"/>
        <v>21</v>
      </c>
      <c r="U772" s="4">
        <f t="shared" si="1"/>
        <v>-0.4086329877</v>
      </c>
      <c r="V772" s="4"/>
    </row>
    <row r="773">
      <c r="A773" s="1" t="s">
        <v>16128</v>
      </c>
      <c r="B773" s="1" t="s">
        <v>16129</v>
      </c>
      <c r="C773" s="1" t="s">
        <v>16130</v>
      </c>
      <c r="D773" s="1" t="s">
        <v>15929</v>
      </c>
      <c r="E773" s="1" t="s">
        <v>15930</v>
      </c>
      <c r="F773" s="1">
        <v>353386.0</v>
      </c>
      <c r="G773" s="1">
        <v>22100.0</v>
      </c>
      <c r="H773" s="1">
        <v>249.0</v>
      </c>
      <c r="I773" s="1">
        <v>5100000.0</v>
      </c>
      <c r="J773" s="1" t="s">
        <v>2468</v>
      </c>
      <c r="K773" s="5">
        <f t="shared" si="2"/>
        <v>0.06929137255</v>
      </c>
      <c r="L773" s="6">
        <f t="shared" si="3"/>
        <v>790</v>
      </c>
      <c r="M773" s="6">
        <f t="shared" si="4"/>
        <v>447.3240506</v>
      </c>
      <c r="N773" s="7">
        <f t="shared" si="5"/>
        <v>0.00008771059816</v>
      </c>
      <c r="O773" s="7"/>
      <c r="P773" s="4">
        <f t="shared" si="6"/>
        <v>-0.3877458042</v>
      </c>
      <c r="Q773" s="4">
        <f t="shared" si="7"/>
        <v>5</v>
      </c>
      <c r="R773" s="4">
        <f t="shared" si="8"/>
        <v>0</v>
      </c>
      <c r="S773" s="4">
        <f t="shared" si="9"/>
        <v>-0.3877458042</v>
      </c>
      <c r="T773" s="4">
        <f t="shared" si="10"/>
        <v>22</v>
      </c>
      <c r="U773" s="4">
        <f t="shared" si="1"/>
        <v>-0.3877458042</v>
      </c>
      <c r="V773" s="4"/>
    </row>
    <row r="774">
      <c r="A774" s="1" t="s">
        <v>16131</v>
      </c>
      <c r="B774" s="1" t="s">
        <v>16132</v>
      </c>
      <c r="C774" s="1" t="s">
        <v>16133</v>
      </c>
      <c r="D774" s="1" t="s">
        <v>15929</v>
      </c>
      <c r="E774" s="1" t="s">
        <v>15930</v>
      </c>
      <c r="F774" s="1">
        <v>204591.0</v>
      </c>
      <c r="G774" s="1">
        <v>13042.0</v>
      </c>
      <c r="H774" s="1">
        <v>173.0</v>
      </c>
      <c r="I774" s="1">
        <v>5100000.0</v>
      </c>
      <c r="J774" s="1" t="s">
        <v>2468</v>
      </c>
      <c r="K774" s="5">
        <f t="shared" si="2"/>
        <v>0.04011588235</v>
      </c>
      <c r="L774" s="6">
        <f t="shared" si="3"/>
        <v>791</v>
      </c>
      <c r="M774" s="6">
        <f t="shared" si="4"/>
        <v>258.6485461</v>
      </c>
      <c r="N774" s="7">
        <f t="shared" si="5"/>
        <v>0.0000507154012</v>
      </c>
      <c r="O774" s="7"/>
      <c r="P774" s="4">
        <f t="shared" si="6"/>
        <v>-0.4138038679</v>
      </c>
      <c r="Q774" s="4">
        <f t="shared" si="7"/>
        <v>6</v>
      </c>
      <c r="R774" s="4">
        <f t="shared" si="8"/>
        <v>0</v>
      </c>
      <c r="S774" s="4">
        <f t="shared" si="9"/>
        <v>-0.4138038679</v>
      </c>
      <c r="T774" s="4">
        <f t="shared" si="10"/>
        <v>28</v>
      </c>
      <c r="U774" s="4">
        <f t="shared" si="1"/>
        <v>-0.4138038679</v>
      </c>
      <c r="V774" s="4"/>
    </row>
    <row r="775">
      <c r="A775" s="1" t="s">
        <v>16134</v>
      </c>
      <c r="B775" s="1" t="s">
        <v>16135</v>
      </c>
      <c r="C775" s="1" t="s">
        <v>16136</v>
      </c>
      <c r="D775" s="1" t="s">
        <v>15929</v>
      </c>
      <c r="E775" s="1" t="s">
        <v>15930</v>
      </c>
      <c r="F775" s="1">
        <v>1383924.0</v>
      </c>
      <c r="G775" s="1">
        <v>64357.0</v>
      </c>
      <c r="H775" s="1">
        <v>1051.0</v>
      </c>
      <c r="I775" s="1">
        <v>5100000.0</v>
      </c>
      <c r="J775" s="1" t="s">
        <v>2468</v>
      </c>
      <c r="K775" s="5">
        <f t="shared" si="2"/>
        <v>0.2713576471</v>
      </c>
      <c r="L775" s="6">
        <f t="shared" si="3"/>
        <v>792</v>
      </c>
      <c r="M775" s="6">
        <f t="shared" si="4"/>
        <v>1747.378788</v>
      </c>
      <c r="N775" s="7">
        <f t="shared" si="5"/>
        <v>0.0003426232917</v>
      </c>
      <c r="O775" s="7"/>
      <c r="P775" s="4">
        <f t="shared" si="6"/>
        <v>-0.2081946259</v>
      </c>
      <c r="Q775" s="4">
        <f t="shared" si="7"/>
        <v>4</v>
      </c>
      <c r="R775" s="4">
        <f t="shared" si="8"/>
        <v>0</v>
      </c>
      <c r="S775" s="4">
        <f t="shared" si="9"/>
        <v>-0.2081946259</v>
      </c>
      <c r="T775" s="4">
        <f t="shared" si="10"/>
        <v>24</v>
      </c>
      <c r="U775" s="4">
        <f t="shared" si="1"/>
        <v>-0.2081946259</v>
      </c>
      <c r="V775" s="4"/>
    </row>
    <row r="776">
      <c r="A776" s="1" t="s">
        <v>16137</v>
      </c>
      <c r="B776" s="1" t="s">
        <v>16138</v>
      </c>
      <c r="C776" s="1" t="s">
        <v>16139</v>
      </c>
      <c r="D776" s="1" t="s">
        <v>15929</v>
      </c>
      <c r="E776" s="1" t="s">
        <v>15930</v>
      </c>
      <c r="F776" s="1">
        <v>4895224.0</v>
      </c>
      <c r="G776" s="1">
        <v>102706.0</v>
      </c>
      <c r="H776" s="1">
        <v>7629.0</v>
      </c>
      <c r="I776" s="1">
        <v>5100000.0</v>
      </c>
      <c r="J776" s="1" t="s">
        <v>2468</v>
      </c>
      <c r="K776" s="5">
        <f t="shared" si="2"/>
        <v>0.9598478431</v>
      </c>
      <c r="L776" s="6">
        <f t="shared" si="3"/>
        <v>796</v>
      </c>
      <c r="M776" s="6">
        <f t="shared" si="4"/>
        <v>6149.778894</v>
      </c>
      <c r="N776" s="7">
        <f t="shared" si="5"/>
        <v>0.001205838999</v>
      </c>
      <c r="O776" s="7"/>
      <c r="P776" s="4">
        <f t="shared" si="6"/>
        <v>0.3998229477</v>
      </c>
      <c r="Q776" s="4">
        <f t="shared" si="7"/>
        <v>5</v>
      </c>
      <c r="R776" s="4">
        <f t="shared" si="8"/>
        <v>0</v>
      </c>
      <c r="S776" s="4">
        <f t="shared" si="9"/>
        <v>0.3998229477</v>
      </c>
      <c r="T776" s="4">
        <f t="shared" si="10"/>
        <v>23</v>
      </c>
      <c r="U776" s="4">
        <f t="shared" si="1"/>
        <v>0.3998229477</v>
      </c>
      <c r="V776" s="4"/>
    </row>
    <row r="777">
      <c r="A777" s="1" t="s">
        <v>16140</v>
      </c>
      <c r="B777" s="1" t="s">
        <v>16141</v>
      </c>
      <c r="C777" s="1" t="s">
        <v>16142</v>
      </c>
      <c r="D777" s="1" t="s">
        <v>15929</v>
      </c>
      <c r="E777" s="1" t="s">
        <v>15930</v>
      </c>
      <c r="F777" s="1">
        <v>3389381.0</v>
      </c>
      <c r="G777" s="1">
        <v>130067.0</v>
      </c>
      <c r="H777" s="1">
        <v>1803.0</v>
      </c>
      <c r="I777" s="1">
        <v>5100000.0</v>
      </c>
      <c r="J777" s="1" t="s">
        <v>2468</v>
      </c>
      <c r="K777" s="5">
        <f t="shared" si="2"/>
        <v>0.6645845098</v>
      </c>
      <c r="L777" s="6">
        <f t="shared" si="3"/>
        <v>813</v>
      </c>
      <c r="M777" s="6">
        <f t="shared" si="4"/>
        <v>4168.98032</v>
      </c>
      <c r="N777" s="7">
        <f t="shared" si="5"/>
        <v>0.0008174471215</v>
      </c>
      <c r="O777" s="7"/>
      <c r="P777" s="4">
        <f t="shared" si="6"/>
        <v>0.126253914</v>
      </c>
      <c r="Q777" s="4">
        <f t="shared" si="7"/>
        <v>8</v>
      </c>
      <c r="R777" s="4">
        <f t="shared" si="8"/>
        <v>0</v>
      </c>
      <c r="S777" s="4">
        <f t="shared" si="9"/>
        <v>0.126253914</v>
      </c>
      <c r="T777" s="4">
        <f t="shared" si="10"/>
        <v>45</v>
      </c>
      <c r="U777" s="4">
        <f t="shared" si="1"/>
        <v>0.126253914</v>
      </c>
      <c r="V777" s="4"/>
    </row>
    <row r="778">
      <c r="A778" s="1" t="s">
        <v>16143</v>
      </c>
      <c r="B778" s="1" t="s">
        <v>16144</v>
      </c>
      <c r="C778" s="1" t="s">
        <v>16145</v>
      </c>
      <c r="D778" s="1" t="s">
        <v>15929</v>
      </c>
      <c r="E778" s="1" t="s">
        <v>15930</v>
      </c>
      <c r="F778" s="1">
        <v>1731794.0</v>
      </c>
      <c r="G778" s="1">
        <v>70359.0</v>
      </c>
      <c r="H778" s="1">
        <v>1077.0</v>
      </c>
      <c r="I778" s="1">
        <v>5100000.0</v>
      </c>
      <c r="J778" s="1" t="s">
        <v>2468</v>
      </c>
      <c r="K778" s="5">
        <f t="shared" si="2"/>
        <v>0.339567451</v>
      </c>
      <c r="L778" s="6">
        <f t="shared" si="3"/>
        <v>814</v>
      </c>
      <c r="M778" s="6">
        <f t="shared" si="4"/>
        <v>2127.511057</v>
      </c>
      <c r="N778" s="7">
        <f t="shared" si="5"/>
        <v>0.0004171590307</v>
      </c>
      <c r="O778" s="7"/>
      <c r="P778" s="4">
        <f t="shared" si="6"/>
        <v>-0.1556943773</v>
      </c>
      <c r="Q778" s="4">
        <f t="shared" si="7"/>
        <v>7</v>
      </c>
      <c r="R778" s="4">
        <f t="shared" si="8"/>
        <v>0</v>
      </c>
      <c r="S778" s="4">
        <f t="shared" si="9"/>
        <v>-0.1556943773</v>
      </c>
      <c r="T778" s="4">
        <f t="shared" si="10"/>
        <v>33</v>
      </c>
      <c r="U778" s="4">
        <f t="shared" si="1"/>
        <v>-0.1556943773</v>
      </c>
      <c r="V778" s="4"/>
    </row>
    <row r="779">
      <c r="A779" s="1" t="s">
        <v>16146</v>
      </c>
      <c r="B779" s="1" t="s">
        <v>16147</v>
      </c>
      <c r="C779" s="1" t="s">
        <v>16148</v>
      </c>
      <c r="D779" s="1" t="s">
        <v>15929</v>
      </c>
      <c r="E779" s="1" t="s">
        <v>15930</v>
      </c>
      <c r="F779" s="1">
        <v>361752.0</v>
      </c>
      <c r="G779" s="1">
        <v>14857.0</v>
      </c>
      <c r="H779" s="1">
        <v>170.0</v>
      </c>
      <c r="I779" s="1">
        <v>5100000.0</v>
      </c>
      <c r="J779" s="1" t="s">
        <v>2468</v>
      </c>
      <c r="K779" s="5">
        <f t="shared" si="2"/>
        <v>0.07093176471</v>
      </c>
      <c r="L779" s="6">
        <f t="shared" si="3"/>
        <v>815</v>
      </c>
      <c r="M779" s="6">
        <f t="shared" si="4"/>
        <v>443.8674847</v>
      </c>
      <c r="N779" s="7">
        <f t="shared" si="5"/>
        <v>0.00008703284013</v>
      </c>
      <c r="O779" s="7"/>
      <c r="P779" s="4">
        <f t="shared" si="6"/>
        <v>-0.3882231922</v>
      </c>
      <c r="Q779" s="4">
        <f t="shared" si="7"/>
        <v>5</v>
      </c>
      <c r="R779" s="4">
        <f t="shared" si="8"/>
        <v>0</v>
      </c>
      <c r="S779" s="4">
        <f t="shared" si="9"/>
        <v>-0.3882231922</v>
      </c>
      <c r="T779" s="4">
        <f t="shared" si="10"/>
        <v>26</v>
      </c>
      <c r="U779" s="4">
        <f t="shared" si="1"/>
        <v>-0.3882231922</v>
      </c>
      <c r="V779" s="4"/>
    </row>
    <row r="780">
      <c r="A780" s="1" t="s">
        <v>16149</v>
      </c>
      <c r="B780" s="1" t="s">
        <v>16150</v>
      </c>
      <c r="C780" s="1" t="s">
        <v>16151</v>
      </c>
      <c r="D780" s="1" t="s">
        <v>15929</v>
      </c>
      <c r="E780" s="1" t="s">
        <v>15930</v>
      </c>
      <c r="F780" s="1">
        <v>5658635.0</v>
      </c>
      <c r="G780" s="1">
        <v>103898.0</v>
      </c>
      <c r="H780" s="1">
        <v>3101.0</v>
      </c>
      <c r="I780" s="1">
        <v>5100000.0</v>
      </c>
      <c r="J780" s="1" t="s">
        <v>2468</v>
      </c>
      <c r="K780" s="5">
        <f t="shared" si="2"/>
        <v>1.109536275</v>
      </c>
      <c r="L780" s="6">
        <f t="shared" si="3"/>
        <v>817</v>
      </c>
      <c r="M780" s="6">
        <f t="shared" si="4"/>
        <v>6926.113831</v>
      </c>
      <c r="N780" s="7">
        <f t="shared" si="5"/>
        <v>0.001358061536</v>
      </c>
      <c r="O780" s="7"/>
      <c r="P780" s="4">
        <f t="shared" si="6"/>
        <v>0.5070429352</v>
      </c>
      <c r="Q780" s="4">
        <f t="shared" si="7"/>
        <v>7</v>
      </c>
      <c r="R780" s="4">
        <f t="shared" si="8"/>
        <v>0</v>
      </c>
      <c r="S780" s="4">
        <f t="shared" si="9"/>
        <v>0.5070429352</v>
      </c>
      <c r="T780" s="4">
        <f t="shared" si="10"/>
        <v>38</v>
      </c>
      <c r="U780" s="4">
        <f t="shared" si="1"/>
        <v>0.5070429352</v>
      </c>
      <c r="V780" s="4"/>
    </row>
    <row r="781">
      <c r="A781" s="1" t="s">
        <v>16152</v>
      </c>
      <c r="B781" s="1" t="s">
        <v>16153</v>
      </c>
      <c r="C781" s="1" t="s">
        <v>16154</v>
      </c>
      <c r="D781" s="1" t="s">
        <v>15929</v>
      </c>
      <c r="E781" s="1" t="s">
        <v>15930</v>
      </c>
      <c r="F781" s="1">
        <v>85833.0</v>
      </c>
      <c r="G781" s="1">
        <v>4910.0</v>
      </c>
      <c r="H781" s="1">
        <v>100.0</v>
      </c>
      <c r="I781" s="1">
        <v>5100000.0</v>
      </c>
      <c r="J781" s="1" t="s">
        <v>2468</v>
      </c>
      <c r="K781" s="5">
        <f t="shared" si="2"/>
        <v>0.01683</v>
      </c>
      <c r="L781" s="6">
        <f t="shared" si="3"/>
        <v>820</v>
      </c>
      <c r="M781" s="6">
        <f t="shared" si="4"/>
        <v>104.6743902</v>
      </c>
      <c r="N781" s="7">
        <f t="shared" si="5"/>
        <v>0.00002052439024</v>
      </c>
      <c r="O781" s="7"/>
      <c r="P781" s="4">
        <f t="shared" si="6"/>
        <v>-0.4350693119</v>
      </c>
      <c r="Q781" s="4">
        <f t="shared" si="7"/>
        <v>10</v>
      </c>
      <c r="R781" s="4">
        <f t="shared" si="8"/>
        <v>0</v>
      </c>
      <c r="S781" s="4">
        <f t="shared" si="9"/>
        <v>-0.4350693119</v>
      </c>
      <c r="T781" s="4">
        <f t="shared" si="10"/>
        <v>44</v>
      </c>
      <c r="U781" s="4">
        <f t="shared" si="1"/>
        <v>-0.4350693119</v>
      </c>
      <c r="V781" s="4"/>
    </row>
    <row r="782">
      <c r="A782" s="1" t="s">
        <v>16155</v>
      </c>
      <c r="B782" s="1" t="s">
        <v>16156</v>
      </c>
      <c r="C782" s="1" t="s">
        <v>16157</v>
      </c>
      <c r="D782" s="1" t="s">
        <v>15929</v>
      </c>
      <c r="E782" s="1" t="s">
        <v>15930</v>
      </c>
      <c r="F782" s="1">
        <v>74224.0</v>
      </c>
      <c r="G782" s="1">
        <v>3888.0</v>
      </c>
      <c r="H782" s="1">
        <v>76.0</v>
      </c>
      <c r="I782" s="1">
        <v>5100000.0</v>
      </c>
      <c r="J782" s="1" t="s">
        <v>2468</v>
      </c>
      <c r="K782" s="5">
        <f t="shared" si="2"/>
        <v>0.01455372549</v>
      </c>
      <c r="L782" s="6">
        <f t="shared" si="3"/>
        <v>823</v>
      </c>
      <c r="M782" s="6">
        <f t="shared" si="4"/>
        <v>90.18712029</v>
      </c>
      <c r="N782" s="7">
        <f t="shared" si="5"/>
        <v>0.00001768374908</v>
      </c>
      <c r="O782" s="7"/>
      <c r="P782" s="4">
        <f t="shared" si="6"/>
        <v>-0.4370701556</v>
      </c>
      <c r="Q782" s="4">
        <f t="shared" si="7"/>
        <v>4</v>
      </c>
      <c r="R782" s="4">
        <f t="shared" si="8"/>
        <v>0</v>
      </c>
      <c r="S782" s="4">
        <f t="shared" si="9"/>
        <v>-0.4370701556</v>
      </c>
      <c r="T782" s="4">
        <f t="shared" si="10"/>
        <v>15</v>
      </c>
      <c r="U782" s="4">
        <f t="shared" si="1"/>
        <v>-0.4370701556</v>
      </c>
      <c r="V782" s="4"/>
    </row>
    <row r="783">
      <c r="A783" s="1" t="s">
        <v>16158</v>
      </c>
      <c r="B783" s="1" t="s">
        <v>16159</v>
      </c>
      <c r="C783" s="1" t="s">
        <v>16160</v>
      </c>
      <c r="D783" s="1" t="s">
        <v>15929</v>
      </c>
      <c r="E783" s="1" t="s">
        <v>15930</v>
      </c>
      <c r="F783" s="1">
        <v>717225.0</v>
      </c>
      <c r="G783" s="1">
        <v>36321.0</v>
      </c>
      <c r="H783" s="1">
        <v>1542.0</v>
      </c>
      <c r="I783" s="1">
        <v>5100000.0</v>
      </c>
      <c r="J783" s="1" t="s">
        <v>2468</v>
      </c>
      <c r="K783" s="5">
        <f t="shared" si="2"/>
        <v>0.1406323529</v>
      </c>
      <c r="L783" s="6">
        <f t="shared" si="3"/>
        <v>830</v>
      </c>
      <c r="M783" s="6">
        <f t="shared" si="4"/>
        <v>864.126506</v>
      </c>
      <c r="N783" s="7">
        <f t="shared" si="5"/>
        <v>0.0001694365698</v>
      </c>
      <c r="O783" s="7"/>
      <c r="P783" s="4">
        <f t="shared" si="6"/>
        <v>-0.3301810188</v>
      </c>
      <c r="Q783" s="4">
        <f t="shared" si="7"/>
        <v>7</v>
      </c>
      <c r="R783" s="4">
        <f t="shared" si="8"/>
        <v>1</v>
      </c>
      <c r="S783" s="4">
        <f t="shared" si="9"/>
        <v>-0.3301810188</v>
      </c>
      <c r="T783" s="4">
        <f t="shared" si="10"/>
        <v>32</v>
      </c>
      <c r="U783" s="4">
        <f t="shared" si="1"/>
        <v>-0.3301810188</v>
      </c>
      <c r="V783" s="4"/>
    </row>
    <row r="784">
      <c r="A784" s="1" t="s">
        <v>16161</v>
      </c>
      <c r="B784" s="1" t="s">
        <v>16162</v>
      </c>
      <c r="C784" s="1" t="s">
        <v>16163</v>
      </c>
      <c r="D784" s="1" t="s">
        <v>15929</v>
      </c>
      <c r="E784" s="1" t="s">
        <v>15930</v>
      </c>
      <c r="F784" s="1">
        <v>76307.0</v>
      </c>
      <c r="G784" s="1">
        <v>3865.0</v>
      </c>
      <c r="H784" s="1">
        <v>82.0</v>
      </c>
      <c r="I784" s="1">
        <v>5100000.0</v>
      </c>
      <c r="J784" s="1" t="s">
        <v>2468</v>
      </c>
      <c r="K784" s="5">
        <f t="shared" si="2"/>
        <v>0.01496215686</v>
      </c>
      <c r="L784" s="6">
        <f t="shared" si="3"/>
        <v>831</v>
      </c>
      <c r="M784" s="6">
        <f t="shared" si="4"/>
        <v>91.82551143</v>
      </c>
      <c r="N784" s="7">
        <f t="shared" si="5"/>
        <v>0.00001800500224</v>
      </c>
      <c r="O784" s="7"/>
      <c r="P784" s="4">
        <f t="shared" si="6"/>
        <v>-0.4368438766</v>
      </c>
      <c r="Q784" s="4">
        <f t="shared" si="7"/>
        <v>8</v>
      </c>
      <c r="R784" s="4">
        <f t="shared" si="8"/>
        <v>0</v>
      </c>
      <c r="S784" s="4">
        <f t="shared" si="9"/>
        <v>-0.4368438766</v>
      </c>
      <c r="T784" s="4">
        <f t="shared" si="10"/>
        <v>39</v>
      </c>
      <c r="U784" s="4">
        <f t="shared" si="1"/>
        <v>-0.4368438766</v>
      </c>
      <c r="V784" s="4"/>
    </row>
    <row r="785">
      <c r="A785" s="1" t="s">
        <v>16164</v>
      </c>
      <c r="B785" s="1" t="s">
        <v>16165</v>
      </c>
      <c r="C785" s="1" t="s">
        <v>16166</v>
      </c>
      <c r="D785" s="1" t="s">
        <v>15929</v>
      </c>
      <c r="E785" s="1" t="s">
        <v>15930</v>
      </c>
      <c r="F785" s="1">
        <v>456341.0</v>
      </c>
      <c r="G785" s="1">
        <v>25016.0</v>
      </c>
      <c r="H785" s="1">
        <v>264.0</v>
      </c>
      <c r="I785" s="1">
        <v>5100000.0</v>
      </c>
      <c r="J785" s="1" t="s">
        <v>2468</v>
      </c>
      <c r="K785" s="5">
        <f t="shared" si="2"/>
        <v>0.08947862745</v>
      </c>
      <c r="L785" s="6">
        <f t="shared" si="3"/>
        <v>832</v>
      </c>
      <c r="M785" s="6">
        <f t="shared" si="4"/>
        <v>548.4867788</v>
      </c>
      <c r="N785" s="7">
        <f t="shared" si="5"/>
        <v>0.0001075464272</v>
      </c>
      <c r="O785" s="7"/>
      <c r="P785" s="4">
        <f t="shared" si="6"/>
        <v>-0.3737741717</v>
      </c>
      <c r="Q785" s="4">
        <f t="shared" si="7"/>
        <v>6</v>
      </c>
      <c r="R785" s="4">
        <f t="shared" si="8"/>
        <v>0</v>
      </c>
      <c r="S785" s="4">
        <f t="shared" si="9"/>
        <v>-0.3737741717</v>
      </c>
      <c r="T785" s="4">
        <f t="shared" si="10"/>
        <v>27</v>
      </c>
      <c r="U785" s="4">
        <f t="shared" si="1"/>
        <v>-0.3737741717</v>
      </c>
      <c r="V785" s="4"/>
    </row>
    <row r="786">
      <c r="A786" s="1" t="s">
        <v>16167</v>
      </c>
      <c r="B786" s="1" t="s">
        <v>16168</v>
      </c>
      <c r="C786" s="1" t="s">
        <v>16169</v>
      </c>
      <c r="D786" s="1" t="s">
        <v>15929</v>
      </c>
      <c r="E786" s="1" t="s">
        <v>15930</v>
      </c>
      <c r="F786" s="1">
        <v>84907.0</v>
      </c>
      <c r="G786" s="1">
        <v>4641.0</v>
      </c>
      <c r="H786" s="1">
        <v>104.0</v>
      </c>
      <c r="I786" s="1">
        <v>5100000.0</v>
      </c>
      <c r="J786" s="1" t="s">
        <v>2468</v>
      </c>
      <c r="K786" s="5">
        <f t="shared" si="2"/>
        <v>0.01664843137</v>
      </c>
      <c r="L786" s="6">
        <f t="shared" si="3"/>
        <v>833</v>
      </c>
      <c r="M786" s="6">
        <f t="shared" si="4"/>
        <v>101.9291717</v>
      </c>
      <c r="N786" s="7">
        <f t="shared" si="5"/>
        <v>0.00001998611209</v>
      </c>
      <c r="O786" s="7"/>
      <c r="P786" s="4">
        <f t="shared" si="6"/>
        <v>-0.4354484553</v>
      </c>
      <c r="Q786" s="4">
        <f t="shared" si="7"/>
        <v>6</v>
      </c>
      <c r="R786" s="4">
        <f t="shared" si="8"/>
        <v>0</v>
      </c>
      <c r="S786" s="4">
        <f t="shared" si="9"/>
        <v>-0.4354484553</v>
      </c>
      <c r="T786" s="4">
        <f t="shared" si="10"/>
        <v>34</v>
      </c>
      <c r="U786" s="4">
        <f t="shared" si="1"/>
        <v>-0.4354484553</v>
      </c>
      <c r="V786" s="4"/>
    </row>
    <row r="787">
      <c r="A787" s="1" t="s">
        <v>16170</v>
      </c>
      <c r="B787" s="1" t="s">
        <v>16171</v>
      </c>
      <c r="C787" s="1" t="s">
        <v>16172</v>
      </c>
      <c r="D787" s="1" t="s">
        <v>15929</v>
      </c>
      <c r="E787" s="1" t="s">
        <v>15930</v>
      </c>
      <c r="F787" s="1">
        <v>1830225.0</v>
      </c>
      <c r="G787" s="1">
        <v>53173.0</v>
      </c>
      <c r="H787" s="1">
        <v>1643.0</v>
      </c>
      <c r="I787" s="1">
        <v>5100000.0</v>
      </c>
      <c r="J787" s="1" t="s">
        <v>2468</v>
      </c>
      <c r="K787" s="5">
        <f t="shared" si="2"/>
        <v>0.3588676471</v>
      </c>
      <c r="L787" s="6">
        <f t="shared" si="3"/>
        <v>850</v>
      </c>
      <c r="M787" s="6">
        <f t="shared" si="4"/>
        <v>2153.205882</v>
      </c>
      <c r="N787" s="7">
        <f t="shared" si="5"/>
        <v>0.0004221972318</v>
      </c>
      <c r="O787" s="7"/>
      <c r="P787" s="4">
        <f t="shared" si="6"/>
        <v>-0.1521456527</v>
      </c>
      <c r="Q787" s="4">
        <f t="shared" si="7"/>
        <v>5</v>
      </c>
      <c r="R787" s="4">
        <f t="shared" si="8"/>
        <v>0</v>
      </c>
      <c r="S787" s="4">
        <f t="shared" si="9"/>
        <v>-0.1521456527</v>
      </c>
      <c r="T787" s="4">
        <f t="shared" si="10"/>
        <v>22</v>
      </c>
      <c r="U787" s="4">
        <f t="shared" si="1"/>
        <v>-0.1521456527</v>
      </c>
      <c r="V787" s="4"/>
    </row>
    <row r="788">
      <c r="A788" s="1" t="s">
        <v>16173</v>
      </c>
      <c r="B788" s="1" t="s">
        <v>16174</v>
      </c>
      <c r="C788" s="1" t="s">
        <v>16175</v>
      </c>
      <c r="D788" s="1" t="s">
        <v>15929</v>
      </c>
      <c r="E788" s="1" t="s">
        <v>15930</v>
      </c>
      <c r="F788" s="1">
        <v>2304832.0</v>
      </c>
      <c r="G788" s="1">
        <v>63452.0</v>
      </c>
      <c r="H788" s="1">
        <v>2560.0</v>
      </c>
      <c r="I788" s="1">
        <v>5100000.0</v>
      </c>
      <c r="J788" s="1" t="s">
        <v>2468</v>
      </c>
      <c r="K788" s="5">
        <f t="shared" si="2"/>
        <v>0.4519278431</v>
      </c>
      <c r="L788" s="6">
        <f t="shared" si="3"/>
        <v>863</v>
      </c>
      <c r="M788" s="6">
        <f t="shared" si="4"/>
        <v>2670.720742</v>
      </c>
      <c r="N788" s="7">
        <f t="shared" si="5"/>
        <v>0.0005236707336</v>
      </c>
      <c r="O788" s="7"/>
      <c r="P788" s="4">
        <f t="shared" si="6"/>
        <v>-0.08067142926</v>
      </c>
      <c r="Q788" s="4">
        <f t="shared" si="7"/>
        <v>6</v>
      </c>
      <c r="R788" s="4">
        <f t="shared" si="8"/>
        <v>0</v>
      </c>
      <c r="S788" s="4">
        <f t="shared" si="9"/>
        <v>-0.08067142926</v>
      </c>
      <c r="T788" s="4">
        <f t="shared" si="10"/>
        <v>34</v>
      </c>
      <c r="U788" s="4">
        <f t="shared" si="1"/>
        <v>-0.08067142926</v>
      </c>
      <c r="V788" s="4"/>
    </row>
    <row r="789">
      <c r="A789" s="1" t="s">
        <v>16176</v>
      </c>
      <c r="B789" s="1" t="s">
        <v>16177</v>
      </c>
      <c r="C789" s="1" t="s">
        <v>16178</v>
      </c>
      <c r="D789" s="1" t="s">
        <v>15929</v>
      </c>
      <c r="E789" s="1" t="s">
        <v>15930</v>
      </c>
      <c r="F789" s="1">
        <v>2267218.0</v>
      </c>
      <c r="G789" s="1">
        <v>104750.0</v>
      </c>
      <c r="H789" s="1">
        <v>1634.0</v>
      </c>
      <c r="I789" s="1">
        <v>5100000.0</v>
      </c>
      <c r="J789" s="1" t="s">
        <v>2468</v>
      </c>
      <c r="K789" s="5">
        <f t="shared" si="2"/>
        <v>0.444552549</v>
      </c>
      <c r="L789" s="6">
        <f t="shared" si="3"/>
        <v>864</v>
      </c>
      <c r="M789" s="6">
        <f t="shared" si="4"/>
        <v>2624.094907</v>
      </c>
      <c r="N789" s="7">
        <f t="shared" si="5"/>
        <v>0.0005145284132</v>
      </c>
      <c r="O789" s="7"/>
      <c r="P789" s="4">
        <f t="shared" si="6"/>
        <v>-0.08711094541</v>
      </c>
      <c r="Q789" s="4">
        <f t="shared" si="7"/>
        <v>6</v>
      </c>
      <c r="R789" s="4">
        <f t="shared" si="8"/>
        <v>0</v>
      </c>
      <c r="S789" s="4">
        <f t="shared" si="9"/>
        <v>-0.08711094541</v>
      </c>
      <c r="T789" s="4">
        <f t="shared" si="10"/>
        <v>34</v>
      </c>
      <c r="U789" s="4">
        <f t="shared" si="1"/>
        <v>-0.08711094541</v>
      </c>
      <c r="V789" s="4"/>
    </row>
    <row r="790">
      <c r="A790" s="1" t="s">
        <v>16179</v>
      </c>
      <c r="B790" s="1" t="s">
        <v>16180</v>
      </c>
      <c r="C790" s="1" t="s">
        <v>16181</v>
      </c>
      <c r="D790" s="1" t="s">
        <v>15929</v>
      </c>
      <c r="E790" s="1" t="s">
        <v>15930</v>
      </c>
      <c r="F790" s="1">
        <v>52949.0</v>
      </c>
      <c r="G790" s="1">
        <v>2650.0</v>
      </c>
      <c r="H790" s="1">
        <v>30.0</v>
      </c>
      <c r="I790" s="1">
        <v>5100000.0</v>
      </c>
      <c r="J790" s="1" t="s">
        <v>2468</v>
      </c>
      <c r="K790" s="5">
        <f t="shared" si="2"/>
        <v>0.01038215686</v>
      </c>
      <c r="L790" s="6">
        <f t="shared" si="3"/>
        <v>869</v>
      </c>
      <c r="M790" s="6">
        <f t="shared" si="4"/>
        <v>60.93095512</v>
      </c>
      <c r="N790" s="7">
        <f t="shared" si="5"/>
        <v>0.0000119472461</v>
      </c>
      <c r="O790" s="7"/>
      <c r="P790" s="4">
        <f t="shared" si="6"/>
        <v>-0.4411107385</v>
      </c>
      <c r="Q790" s="4">
        <f t="shared" si="7"/>
        <v>7</v>
      </c>
      <c r="R790" s="4">
        <f t="shared" si="8"/>
        <v>0</v>
      </c>
      <c r="S790" s="4">
        <f t="shared" si="9"/>
        <v>-0.4411107385</v>
      </c>
      <c r="T790" s="4">
        <f t="shared" si="10"/>
        <v>36</v>
      </c>
      <c r="U790" s="4">
        <f t="shared" si="1"/>
        <v>-0.4411107385</v>
      </c>
      <c r="V790" s="4"/>
    </row>
    <row r="791">
      <c r="A791" s="1" t="s">
        <v>16182</v>
      </c>
      <c r="B791" s="1" t="s">
        <v>16183</v>
      </c>
      <c r="C791" s="1" t="s">
        <v>16184</v>
      </c>
      <c r="D791" s="1" t="s">
        <v>15929</v>
      </c>
      <c r="E791" s="1" t="s">
        <v>15930</v>
      </c>
      <c r="F791" s="1">
        <v>266770.0</v>
      </c>
      <c r="G791" s="1">
        <v>14911.0</v>
      </c>
      <c r="H791" s="1">
        <v>382.0</v>
      </c>
      <c r="I791" s="1">
        <v>5100000.0</v>
      </c>
      <c r="J791" s="1" t="s">
        <v>2468</v>
      </c>
      <c r="K791" s="5">
        <f t="shared" si="2"/>
        <v>0.05230784314</v>
      </c>
      <c r="L791" s="6">
        <f t="shared" si="3"/>
        <v>870</v>
      </c>
      <c r="M791" s="6">
        <f t="shared" si="4"/>
        <v>306.6321839</v>
      </c>
      <c r="N791" s="7">
        <f t="shared" si="5"/>
        <v>0.00006012395763</v>
      </c>
      <c r="O791" s="7"/>
      <c r="P791" s="4">
        <f t="shared" si="6"/>
        <v>-0.4071768249</v>
      </c>
      <c r="Q791" s="4">
        <f t="shared" si="7"/>
        <v>3</v>
      </c>
      <c r="R791" s="4">
        <f t="shared" si="8"/>
        <v>0</v>
      </c>
      <c r="S791" s="4">
        <f t="shared" si="9"/>
        <v>-0.4071768249</v>
      </c>
      <c r="T791" s="4">
        <f t="shared" si="10"/>
        <v>16</v>
      </c>
      <c r="U791" s="4">
        <f t="shared" si="1"/>
        <v>-0.4071768249</v>
      </c>
      <c r="V791" s="4"/>
    </row>
    <row r="792">
      <c r="A792" s="1" t="s">
        <v>16185</v>
      </c>
      <c r="B792" s="1" t="s">
        <v>16186</v>
      </c>
      <c r="C792" s="1" t="s">
        <v>16187</v>
      </c>
      <c r="D792" s="1" t="s">
        <v>15929</v>
      </c>
      <c r="E792" s="1" t="s">
        <v>15930</v>
      </c>
      <c r="F792" s="1">
        <v>408067.0</v>
      </c>
      <c r="G792" s="1">
        <v>24884.0</v>
      </c>
      <c r="H792" s="1">
        <v>484.0</v>
      </c>
      <c r="I792" s="1">
        <v>5100000.0</v>
      </c>
      <c r="J792" s="1" t="s">
        <v>2468</v>
      </c>
      <c r="K792" s="5">
        <f t="shared" si="2"/>
        <v>0.08001313725</v>
      </c>
      <c r="L792" s="6">
        <f t="shared" si="3"/>
        <v>871</v>
      </c>
      <c r="M792" s="6">
        <f t="shared" si="4"/>
        <v>468.5040184</v>
      </c>
      <c r="N792" s="7">
        <f t="shared" si="5"/>
        <v>0.00009186353301</v>
      </c>
      <c r="O792" s="7"/>
      <c r="P792" s="4">
        <f t="shared" si="6"/>
        <v>-0.3848206288</v>
      </c>
      <c r="Q792" s="4">
        <f t="shared" si="7"/>
        <v>7</v>
      </c>
      <c r="R792" s="4">
        <f t="shared" si="8"/>
        <v>0</v>
      </c>
      <c r="S792" s="4">
        <f t="shared" si="9"/>
        <v>-0.3848206288</v>
      </c>
      <c r="T792" s="4">
        <f t="shared" si="10"/>
        <v>32</v>
      </c>
      <c r="U792" s="4">
        <f t="shared" si="1"/>
        <v>-0.3848206288</v>
      </c>
      <c r="V792" s="4"/>
    </row>
    <row r="793">
      <c r="A793" s="1" t="s">
        <v>16188</v>
      </c>
      <c r="B793" s="1" t="s">
        <v>16189</v>
      </c>
      <c r="C793" s="1" t="s">
        <v>16190</v>
      </c>
      <c r="D793" s="1" t="s">
        <v>15929</v>
      </c>
      <c r="E793" s="1" t="s">
        <v>15930</v>
      </c>
      <c r="F793" s="1">
        <v>74562.0</v>
      </c>
      <c r="G793" s="1">
        <v>5467.0</v>
      </c>
      <c r="H793" s="1">
        <v>112.0</v>
      </c>
      <c r="I793" s="1">
        <v>5100000.0</v>
      </c>
      <c r="J793" s="1" t="s">
        <v>2468</v>
      </c>
      <c r="K793" s="5">
        <f t="shared" si="2"/>
        <v>0.01462</v>
      </c>
      <c r="L793" s="6">
        <f t="shared" si="3"/>
        <v>873</v>
      </c>
      <c r="M793" s="6">
        <f t="shared" si="4"/>
        <v>85.40893471</v>
      </c>
      <c r="N793" s="7">
        <f t="shared" si="5"/>
        <v>0.00001674684994</v>
      </c>
      <c r="O793" s="7"/>
      <c r="P793" s="4">
        <f t="shared" si="6"/>
        <v>-0.4377300731</v>
      </c>
      <c r="Q793" s="4">
        <f t="shared" si="7"/>
        <v>5</v>
      </c>
      <c r="R793" s="4">
        <f t="shared" si="8"/>
        <v>0</v>
      </c>
      <c r="S793" s="4">
        <f t="shared" si="9"/>
        <v>-0.4377300731</v>
      </c>
      <c r="T793" s="4">
        <f t="shared" si="10"/>
        <v>18</v>
      </c>
      <c r="U793" s="4">
        <f t="shared" si="1"/>
        <v>-0.4377300731</v>
      </c>
      <c r="V793" s="4"/>
    </row>
    <row r="794">
      <c r="A794" s="1" t="s">
        <v>16191</v>
      </c>
      <c r="B794" s="1" t="s">
        <v>16192</v>
      </c>
      <c r="C794" s="1" t="s">
        <v>16193</v>
      </c>
      <c r="D794" s="1" t="s">
        <v>15929</v>
      </c>
      <c r="E794" s="1" t="s">
        <v>15930</v>
      </c>
      <c r="F794" s="1">
        <v>242000.0</v>
      </c>
      <c r="G794" s="1">
        <v>14589.0</v>
      </c>
      <c r="H794" s="1">
        <v>207.0</v>
      </c>
      <c r="I794" s="1">
        <v>5100000.0</v>
      </c>
      <c r="J794" s="1" t="s">
        <v>2468</v>
      </c>
      <c r="K794" s="5">
        <f t="shared" si="2"/>
        <v>0.04745098039</v>
      </c>
      <c r="L794" s="6">
        <f t="shared" si="3"/>
        <v>873</v>
      </c>
      <c r="M794" s="6">
        <f t="shared" si="4"/>
        <v>277.2050401</v>
      </c>
      <c r="N794" s="7">
        <f t="shared" si="5"/>
        <v>0.00005435392943</v>
      </c>
      <c r="O794" s="7"/>
      <c r="P794" s="4">
        <f t="shared" si="6"/>
        <v>-0.4112410217</v>
      </c>
      <c r="Q794" s="4">
        <f t="shared" si="7"/>
        <v>7</v>
      </c>
      <c r="R794" s="4">
        <f t="shared" si="8"/>
        <v>0</v>
      </c>
      <c r="S794" s="4">
        <f t="shared" si="9"/>
        <v>-0.4112410217</v>
      </c>
      <c r="T794" s="4">
        <f t="shared" si="10"/>
        <v>26</v>
      </c>
      <c r="U794" s="4">
        <f t="shared" si="1"/>
        <v>-0.4112410217</v>
      </c>
      <c r="V794" s="4"/>
    </row>
    <row r="795">
      <c r="A795" s="1" t="s">
        <v>16194</v>
      </c>
      <c r="B795" s="1" t="s">
        <v>16195</v>
      </c>
      <c r="C795" s="1" t="s">
        <v>16196</v>
      </c>
      <c r="D795" s="1" t="s">
        <v>15929</v>
      </c>
      <c r="E795" s="1" t="s">
        <v>15930</v>
      </c>
      <c r="F795" s="1">
        <v>1843416.0</v>
      </c>
      <c r="G795" s="1">
        <v>87004.0</v>
      </c>
      <c r="H795" s="1">
        <v>1455.0</v>
      </c>
      <c r="I795" s="1">
        <v>5100000.0</v>
      </c>
      <c r="J795" s="1" t="s">
        <v>2468</v>
      </c>
      <c r="K795" s="5">
        <f t="shared" si="2"/>
        <v>0.3614541176</v>
      </c>
      <c r="L795" s="6">
        <f t="shared" si="3"/>
        <v>881</v>
      </c>
      <c r="M795" s="6">
        <f t="shared" si="4"/>
        <v>2092.413167</v>
      </c>
      <c r="N795" s="7">
        <f t="shared" si="5"/>
        <v>0.0004102770915</v>
      </c>
      <c r="O795" s="7"/>
      <c r="P795" s="4">
        <f t="shared" si="6"/>
        <v>-0.1605417636</v>
      </c>
      <c r="Q795" s="4">
        <f t="shared" si="7"/>
        <v>10</v>
      </c>
      <c r="R795" s="4">
        <f t="shared" si="8"/>
        <v>0</v>
      </c>
      <c r="S795" s="4">
        <f t="shared" si="9"/>
        <v>-0.1605417636</v>
      </c>
      <c r="T795" s="4">
        <f t="shared" si="10"/>
        <v>40</v>
      </c>
      <c r="U795" s="4">
        <f t="shared" si="1"/>
        <v>-0.1605417636</v>
      </c>
      <c r="V795" s="4"/>
    </row>
    <row r="796">
      <c r="A796" s="1" t="s">
        <v>16197</v>
      </c>
      <c r="B796" s="1" t="s">
        <v>16198</v>
      </c>
      <c r="C796" s="1" t="s">
        <v>16199</v>
      </c>
      <c r="D796" s="1" t="s">
        <v>15929</v>
      </c>
      <c r="E796" s="1" t="s">
        <v>15930</v>
      </c>
      <c r="F796" s="1">
        <v>1.5158849E7</v>
      </c>
      <c r="G796" s="1">
        <v>531208.0</v>
      </c>
      <c r="H796" s="1">
        <v>11159.0</v>
      </c>
      <c r="I796" s="1">
        <v>5100000.0</v>
      </c>
      <c r="J796" s="1" t="s">
        <v>2468</v>
      </c>
      <c r="K796" s="5">
        <f t="shared" si="2"/>
        <v>2.972323333</v>
      </c>
      <c r="L796" s="6">
        <f t="shared" si="3"/>
        <v>882</v>
      </c>
      <c r="M796" s="6">
        <f t="shared" si="4"/>
        <v>17186.90363</v>
      </c>
      <c r="N796" s="7">
        <f t="shared" si="5"/>
        <v>0.003369981104</v>
      </c>
      <c r="O796" s="7"/>
      <c r="P796" s="4">
        <f t="shared" si="6"/>
        <v>1.924165497</v>
      </c>
      <c r="Q796" s="4">
        <f t="shared" si="7"/>
        <v>6</v>
      </c>
      <c r="R796" s="4">
        <f t="shared" si="8"/>
        <v>0</v>
      </c>
      <c r="S796" s="4">
        <f t="shared" si="9"/>
        <v>1.924165497</v>
      </c>
      <c r="T796" s="4">
        <f t="shared" si="10"/>
        <v>31</v>
      </c>
      <c r="U796" s="4">
        <f t="shared" si="1"/>
        <v>1.924165497</v>
      </c>
      <c r="V796" s="4"/>
    </row>
    <row r="797">
      <c r="A797" s="1" t="s">
        <v>16200</v>
      </c>
      <c r="B797" s="1" t="s">
        <v>16201</v>
      </c>
      <c r="C797" s="1" t="s">
        <v>16202</v>
      </c>
      <c r="D797" s="1" t="s">
        <v>15929</v>
      </c>
      <c r="E797" s="1" t="s">
        <v>15930</v>
      </c>
      <c r="F797" s="1">
        <v>586807.0</v>
      </c>
      <c r="G797" s="1">
        <v>31199.0</v>
      </c>
      <c r="H797" s="1">
        <v>602.0</v>
      </c>
      <c r="I797" s="1">
        <v>5100000.0</v>
      </c>
      <c r="J797" s="1" t="s">
        <v>2468</v>
      </c>
      <c r="K797" s="5">
        <f t="shared" si="2"/>
        <v>0.1150601961</v>
      </c>
      <c r="L797" s="6">
        <f t="shared" si="3"/>
        <v>883</v>
      </c>
      <c r="M797" s="6">
        <f t="shared" si="4"/>
        <v>664.5605889</v>
      </c>
      <c r="N797" s="7">
        <f t="shared" si="5"/>
        <v>0.0001303059978</v>
      </c>
      <c r="O797" s="7"/>
      <c r="P797" s="4">
        <f t="shared" si="6"/>
        <v>-0.3577431626</v>
      </c>
      <c r="Q797" s="4">
        <f t="shared" si="7"/>
        <v>9</v>
      </c>
      <c r="R797" s="4">
        <f t="shared" si="8"/>
        <v>0</v>
      </c>
      <c r="S797" s="4">
        <f t="shared" si="9"/>
        <v>-0.3577431626</v>
      </c>
      <c r="T797" s="4">
        <f t="shared" si="10"/>
        <v>38</v>
      </c>
      <c r="U797" s="4">
        <f t="shared" si="1"/>
        <v>-0.3577431626</v>
      </c>
      <c r="V797" s="4"/>
    </row>
    <row r="798">
      <c r="A798" s="1" t="s">
        <v>16203</v>
      </c>
      <c r="B798" s="1" t="s">
        <v>16204</v>
      </c>
      <c r="C798" s="1" t="s">
        <v>16205</v>
      </c>
      <c r="D798" s="1" t="s">
        <v>15929</v>
      </c>
      <c r="E798" s="1" t="s">
        <v>15930</v>
      </c>
      <c r="F798" s="1">
        <v>229655.0</v>
      </c>
      <c r="G798" s="1">
        <v>14495.0</v>
      </c>
      <c r="H798" s="1">
        <v>513.0</v>
      </c>
      <c r="I798" s="1">
        <v>5100000.0</v>
      </c>
      <c r="J798" s="1" t="s">
        <v>2468</v>
      </c>
      <c r="K798" s="5">
        <f t="shared" si="2"/>
        <v>0.04503039216</v>
      </c>
      <c r="L798" s="6">
        <f t="shared" si="3"/>
        <v>884</v>
      </c>
      <c r="M798" s="6">
        <f t="shared" si="4"/>
        <v>259.790724</v>
      </c>
      <c r="N798" s="7">
        <f t="shared" si="5"/>
        <v>0.00005093935764</v>
      </c>
      <c r="O798" s="7"/>
      <c r="P798" s="4">
        <f t="shared" si="6"/>
        <v>-0.4136461212</v>
      </c>
      <c r="Q798" s="4">
        <f t="shared" si="7"/>
        <v>6</v>
      </c>
      <c r="R798" s="4">
        <f t="shared" si="8"/>
        <v>0</v>
      </c>
      <c r="S798" s="4">
        <f t="shared" si="9"/>
        <v>-0.4136461212</v>
      </c>
      <c r="T798" s="4">
        <f t="shared" si="10"/>
        <v>23</v>
      </c>
      <c r="U798" s="4">
        <f t="shared" si="1"/>
        <v>-0.4136461212</v>
      </c>
      <c r="V798" s="4"/>
    </row>
    <row r="799">
      <c r="A799" s="1" t="s">
        <v>16206</v>
      </c>
      <c r="B799" s="1" t="s">
        <v>16207</v>
      </c>
      <c r="C799" s="1" t="s">
        <v>16208</v>
      </c>
      <c r="D799" s="1" t="s">
        <v>15929</v>
      </c>
      <c r="E799" s="1" t="s">
        <v>15930</v>
      </c>
      <c r="F799" s="1">
        <v>3138606.0</v>
      </c>
      <c r="G799" s="1">
        <v>135067.0</v>
      </c>
      <c r="H799" s="1">
        <v>2633.0</v>
      </c>
      <c r="I799" s="1">
        <v>5100000.0</v>
      </c>
      <c r="J799" s="1" t="s">
        <v>2468</v>
      </c>
      <c r="K799" s="5">
        <f t="shared" si="2"/>
        <v>0.6154129412</v>
      </c>
      <c r="L799" s="6">
        <f t="shared" si="3"/>
        <v>885</v>
      </c>
      <c r="M799" s="6">
        <f t="shared" si="4"/>
        <v>3546.447458</v>
      </c>
      <c r="N799" s="7">
        <f t="shared" si="5"/>
        <v>0.0006953818544</v>
      </c>
      <c r="O799" s="7"/>
      <c r="P799" s="4">
        <f t="shared" si="6"/>
        <v>0.0402756042</v>
      </c>
      <c r="Q799" s="4">
        <f t="shared" si="7"/>
        <v>6</v>
      </c>
      <c r="R799" s="4">
        <f t="shared" si="8"/>
        <v>0</v>
      </c>
      <c r="S799" s="4">
        <f t="shared" si="9"/>
        <v>0.0402756042</v>
      </c>
      <c r="T799" s="4">
        <f t="shared" si="10"/>
        <v>30</v>
      </c>
      <c r="U799" s="4">
        <f t="shared" si="1"/>
        <v>0.0402756042</v>
      </c>
      <c r="V799" s="4"/>
    </row>
    <row r="800">
      <c r="A800" s="1" t="s">
        <v>16209</v>
      </c>
      <c r="B800" s="1" t="s">
        <v>16210</v>
      </c>
      <c r="C800" s="1" t="s">
        <v>16211</v>
      </c>
      <c r="D800" s="1" t="s">
        <v>15929</v>
      </c>
      <c r="E800" s="1" t="s">
        <v>15930</v>
      </c>
      <c r="F800" s="1">
        <v>3126963.0</v>
      </c>
      <c r="G800" s="1">
        <v>98740.0</v>
      </c>
      <c r="H800" s="1">
        <v>3372.0</v>
      </c>
      <c r="I800" s="1">
        <v>5100000.0</v>
      </c>
      <c r="J800" s="1" t="s">
        <v>2468</v>
      </c>
      <c r="K800" s="5">
        <f t="shared" si="2"/>
        <v>0.61313</v>
      </c>
      <c r="L800" s="6">
        <f t="shared" si="3"/>
        <v>887</v>
      </c>
      <c r="M800" s="6">
        <f t="shared" si="4"/>
        <v>3525.32469</v>
      </c>
      <c r="N800" s="7">
        <f t="shared" si="5"/>
        <v>0.0006912401353</v>
      </c>
      <c r="O800" s="7"/>
      <c r="P800" s="4">
        <f t="shared" si="6"/>
        <v>0.0373583287</v>
      </c>
      <c r="Q800" s="4">
        <f t="shared" si="7"/>
        <v>6</v>
      </c>
      <c r="R800" s="4">
        <f t="shared" si="8"/>
        <v>0</v>
      </c>
      <c r="S800" s="4">
        <f t="shared" si="9"/>
        <v>0.0373583287</v>
      </c>
      <c r="T800" s="4">
        <f t="shared" si="10"/>
        <v>31</v>
      </c>
      <c r="U800" s="4">
        <f t="shared" si="1"/>
        <v>0.0373583287</v>
      </c>
      <c r="V800" s="4"/>
    </row>
    <row r="801">
      <c r="A801" s="1" t="s">
        <v>16212</v>
      </c>
      <c r="B801" s="1" t="s">
        <v>16213</v>
      </c>
      <c r="C801" s="1" t="s">
        <v>16214</v>
      </c>
      <c r="D801" s="1" t="s">
        <v>15929</v>
      </c>
      <c r="E801" s="1" t="s">
        <v>15930</v>
      </c>
      <c r="F801" s="1">
        <v>1077495.0</v>
      </c>
      <c r="G801" s="1">
        <v>42121.0</v>
      </c>
      <c r="H801" s="1">
        <v>3453.0</v>
      </c>
      <c r="I801" s="1">
        <v>5100000.0</v>
      </c>
      <c r="J801" s="1" t="s">
        <v>2468</v>
      </c>
      <c r="K801" s="5">
        <f t="shared" si="2"/>
        <v>0.2112735294</v>
      </c>
      <c r="L801" s="6">
        <f t="shared" si="3"/>
        <v>897</v>
      </c>
      <c r="M801" s="6">
        <f t="shared" si="4"/>
        <v>1201.220736</v>
      </c>
      <c r="N801" s="7">
        <f t="shared" si="5"/>
        <v>0.0002355334776</v>
      </c>
      <c r="O801" s="7"/>
      <c r="P801" s="4">
        <f t="shared" si="6"/>
        <v>-0.2836247743</v>
      </c>
      <c r="Q801" s="4">
        <f t="shared" si="7"/>
        <v>5</v>
      </c>
      <c r="R801" s="4">
        <f t="shared" si="8"/>
        <v>1</v>
      </c>
      <c r="S801" s="4">
        <f t="shared" si="9"/>
        <v>-0.2836247743</v>
      </c>
      <c r="T801" s="4">
        <f t="shared" si="10"/>
        <v>28</v>
      </c>
      <c r="U801" s="4">
        <f t="shared" si="1"/>
        <v>-0.2836247743</v>
      </c>
      <c r="V801" s="4"/>
    </row>
    <row r="802">
      <c r="A802" s="1" t="s">
        <v>16215</v>
      </c>
      <c r="B802" s="1" t="s">
        <v>16216</v>
      </c>
      <c r="C802" s="1" t="s">
        <v>16217</v>
      </c>
      <c r="D802" s="1" t="s">
        <v>15929</v>
      </c>
      <c r="E802" s="1" t="s">
        <v>15930</v>
      </c>
      <c r="F802" s="1">
        <v>2.1880769E7</v>
      </c>
      <c r="G802" s="1">
        <v>945404.0</v>
      </c>
      <c r="H802" s="1">
        <v>7116.0</v>
      </c>
      <c r="I802" s="1">
        <v>5100000.0</v>
      </c>
      <c r="J802" s="1" t="s">
        <v>2468</v>
      </c>
      <c r="K802" s="5">
        <f t="shared" si="2"/>
        <v>4.290346863</v>
      </c>
      <c r="L802" s="6">
        <f t="shared" si="3"/>
        <v>897</v>
      </c>
      <c r="M802" s="6">
        <f t="shared" si="4"/>
        <v>24393.27648</v>
      </c>
      <c r="N802" s="7">
        <f t="shared" si="5"/>
        <v>0.004782995388</v>
      </c>
      <c r="O802" s="7"/>
      <c r="P802" s="4">
        <f t="shared" si="6"/>
        <v>2.91944108</v>
      </c>
      <c r="Q802" s="4">
        <f t="shared" si="7"/>
        <v>5</v>
      </c>
      <c r="R802" s="4">
        <f t="shared" si="8"/>
        <v>0</v>
      </c>
      <c r="S802" s="4">
        <f t="shared" si="9"/>
        <v>2.91944108</v>
      </c>
      <c r="T802" s="4">
        <f t="shared" si="10"/>
        <v>23</v>
      </c>
      <c r="U802" s="4">
        <f t="shared" si="1"/>
        <v>2.91944108</v>
      </c>
      <c r="V802" s="4"/>
    </row>
    <row r="803">
      <c r="A803" s="1" t="s">
        <v>16218</v>
      </c>
      <c r="B803" s="1" t="s">
        <v>16219</v>
      </c>
      <c r="C803" s="1" t="s">
        <v>16220</v>
      </c>
      <c r="D803" s="1" t="s">
        <v>16221</v>
      </c>
      <c r="E803" s="1" t="s">
        <v>16222</v>
      </c>
      <c r="F803" s="1">
        <v>153482.0</v>
      </c>
      <c r="G803" s="1">
        <v>7020.0</v>
      </c>
      <c r="H803" s="1">
        <v>385.0</v>
      </c>
      <c r="I803" s="1">
        <v>4770000.0</v>
      </c>
      <c r="J803" s="1" t="s">
        <v>2468</v>
      </c>
      <c r="K803" s="5">
        <f t="shared" si="2"/>
        <v>0.03217651992</v>
      </c>
      <c r="L803" s="6">
        <f t="shared" si="3"/>
        <v>47</v>
      </c>
      <c r="M803" s="6">
        <f t="shared" si="4"/>
        <v>3265.574468</v>
      </c>
      <c r="N803" s="7">
        <f t="shared" si="5"/>
        <v>0.0006846068067</v>
      </c>
      <c r="O803" s="7"/>
      <c r="P803" s="4">
        <f t="shared" si="6"/>
        <v>0.03268605467</v>
      </c>
      <c r="Q803" s="4">
        <f t="shared" si="7"/>
        <v>1</v>
      </c>
      <c r="R803" s="4">
        <f t="shared" si="8"/>
        <v>0</v>
      </c>
      <c r="S803" s="4">
        <f t="shared" si="9"/>
        <v>0.03268605467</v>
      </c>
      <c r="T803" s="4">
        <f t="shared" si="10"/>
        <v>97</v>
      </c>
      <c r="U803" s="4">
        <f t="shared" si="1"/>
        <v>0.03268605467</v>
      </c>
      <c r="V803" s="4"/>
    </row>
    <row r="804">
      <c r="A804" s="1" t="s">
        <v>16223</v>
      </c>
      <c r="B804" s="1" t="s">
        <v>16224</v>
      </c>
      <c r="C804" s="1" t="s">
        <v>16225</v>
      </c>
      <c r="D804" s="1" t="s">
        <v>16221</v>
      </c>
      <c r="E804" s="1" t="s">
        <v>16222</v>
      </c>
      <c r="F804" s="1">
        <v>189843.0</v>
      </c>
      <c r="G804" s="1">
        <v>6143.0</v>
      </c>
      <c r="H804" s="1">
        <v>767.0</v>
      </c>
      <c r="I804" s="1">
        <v>4770000.0</v>
      </c>
      <c r="J804" s="1" t="s">
        <v>2468</v>
      </c>
      <c r="K804" s="5">
        <f t="shared" si="2"/>
        <v>0.03979937107</v>
      </c>
      <c r="L804" s="6">
        <f t="shared" si="3"/>
        <v>52</v>
      </c>
      <c r="M804" s="6">
        <f t="shared" si="4"/>
        <v>3650.826923</v>
      </c>
      <c r="N804" s="7">
        <f t="shared" si="5"/>
        <v>0.0007653725206</v>
      </c>
      <c r="O804" s="7"/>
      <c r="P804" s="4">
        <f t="shared" si="6"/>
        <v>0.08957446963</v>
      </c>
      <c r="Q804" s="4">
        <f t="shared" si="7"/>
        <v>2</v>
      </c>
      <c r="R804" s="4">
        <f t="shared" si="8"/>
        <v>0</v>
      </c>
      <c r="S804" s="4">
        <f t="shared" si="9"/>
        <v>0.08957446963</v>
      </c>
      <c r="T804" s="4">
        <f t="shared" si="10"/>
        <v>98</v>
      </c>
      <c r="U804" s="4">
        <f t="shared" si="1"/>
        <v>0.08957446963</v>
      </c>
      <c r="V804" s="4"/>
    </row>
    <row r="805">
      <c r="A805" s="1" t="s">
        <v>16226</v>
      </c>
      <c r="B805" s="1" t="s">
        <v>16227</v>
      </c>
      <c r="C805" s="1" t="s">
        <v>16228</v>
      </c>
      <c r="D805" s="1" t="s">
        <v>16221</v>
      </c>
      <c r="E805" s="1" t="s">
        <v>16222</v>
      </c>
      <c r="F805" s="1">
        <v>96713.0</v>
      </c>
      <c r="G805" s="1">
        <v>3212.0</v>
      </c>
      <c r="H805" s="1">
        <v>286.0</v>
      </c>
      <c r="I805" s="1">
        <v>4770000.0</v>
      </c>
      <c r="J805" s="1" t="s">
        <v>2468</v>
      </c>
      <c r="K805" s="5">
        <f t="shared" si="2"/>
        <v>0.02027526205</v>
      </c>
      <c r="L805" s="6">
        <f t="shared" si="3"/>
        <v>61</v>
      </c>
      <c r="M805" s="6">
        <f t="shared" si="4"/>
        <v>1585.459016</v>
      </c>
      <c r="N805" s="7">
        <f t="shared" si="5"/>
        <v>0.0003323813452</v>
      </c>
      <c r="O805" s="7"/>
      <c r="P805" s="4">
        <f t="shared" si="6"/>
        <v>-0.2154086784</v>
      </c>
      <c r="Q805" s="4">
        <f t="shared" si="7"/>
        <v>5</v>
      </c>
      <c r="R805" s="4">
        <f t="shared" si="8"/>
        <v>0</v>
      </c>
      <c r="S805" s="4">
        <f t="shared" si="9"/>
        <v>-0.2154086784</v>
      </c>
      <c r="T805" s="4">
        <f t="shared" si="10"/>
        <v>28</v>
      </c>
      <c r="U805" s="4">
        <f t="shared" si="1"/>
        <v>-0.2154086784</v>
      </c>
      <c r="V805" s="4"/>
    </row>
    <row r="806">
      <c r="A806" s="1" t="s">
        <v>16229</v>
      </c>
      <c r="B806" s="1" t="s">
        <v>16230</v>
      </c>
      <c r="C806" s="1" t="s">
        <v>16231</v>
      </c>
      <c r="D806" s="1" t="s">
        <v>16221</v>
      </c>
      <c r="E806" s="1" t="s">
        <v>16222</v>
      </c>
      <c r="F806" s="1">
        <v>142333.0</v>
      </c>
      <c r="G806" s="1">
        <v>5078.0</v>
      </c>
      <c r="H806" s="1">
        <v>569.0</v>
      </c>
      <c r="I806" s="1">
        <v>4770000.0</v>
      </c>
      <c r="J806" s="1" t="s">
        <v>2468</v>
      </c>
      <c r="K806" s="5">
        <f t="shared" si="2"/>
        <v>0.02983920335</v>
      </c>
      <c r="L806" s="6">
        <f t="shared" si="3"/>
        <v>70</v>
      </c>
      <c r="M806" s="6">
        <f t="shared" si="4"/>
        <v>2033.328571</v>
      </c>
      <c r="N806" s="7">
        <f t="shared" si="5"/>
        <v>0.0004262743336</v>
      </c>
      <c r="O806" s="7"/>
      <c r="P806" s="4">
        <f t="shared" si="6"/>
        <v>-0.1492738913</v>
      </c>
      <c r="Q806" s="4">
        <f t="shared" si="7"/>
        <v>6</v>
      </c>
      <c r="R806" s="4">
        <f t="shared" si="8"/>
        <v>0</v>
      </c>
      <c r="S806" s="4">
        <f t="shared" si="9"/>
        <v>-0.1492738913</v>
      </c>
      <c r="T806" s="4">
        <f t="shared" si="10"/>
        <v>31</v>
      </c>
      <c r="U806" s="4">
        <f t="shared" si="1"/>
        <v>-0.1492738913</v>
      </c>
      <c r="V806" s="4"/>
    </row>
    <row r="807">
      <c r="A807" s="1" t="s">
        <v>16232</v>
      </c>
      <c r="B807" s="1" t="s">
        <v>16233</v>
      </c>
      <c r="C807" s="1" t="s">
        <v>16234</v>
      </c>
      <c r="D807" s="1" t="s">
        <v>16221</v>
      </c>
      <c r="E807" s="1" t="s">
        <v>16222</v>
      </c>
      <c r="F807" s="1">
        <v>108826.0</v>
      </c>
      <c r="G807" s="1">
        <v>4418.0</v>
      </c>
      <c r="H807" s="1">
        <v>346.0</v>
      </c>
      <c r="I807" s="1">
        <v>4770000.0</v>
      </c>
      <c r="J807" s="1" t="s">
        <v>2468</v>
      </c>
      <c r="K807" s="5">
        <f t="shared" si="2"/>
        <v>0.02281467505</v>
      </c>
      <c r="L807" s="6">
        <f t="shared" si="3"/>
        <v>80</v>
      </c>
      <c r="M807" s="6">
        <f t="shared" si="4"/>
        <v>1360.325</v>
      </c>
      <c r="N807" s="7">
        <f t="shared" si="5"/>
        <v>0.0002851834382</v>
      </c>
      <c r="O807" s="7"/>
      <c r="P807" s="4">
        <f t="shared" si="6"/>
        <v>-0.248653158</v>
      </c>
      <c r="Q807" s="4">
        <f t="shared" si="7"/>
        <v>4</v>
      </c>
      <c r="R807" s="4">
        <f t="shared" si="8"/>
        <v>0</v>
      </c>
      <c r="S807" s="4">
        <f t="shared" si="9"/>
        <v>-0.248653158</v>
      </c>
      <c r="T807" s="4">
        <f t="shared" si="10"/>
        <v>25</v>
      </c>
      <c r="U807" s="4">
        <f t="shared" si="1"/>
        <v>-0.248653158</v>
      </c>
      <c r="V807" s="4"/>
    </row>
    <row r="808">
      <c r="A808" s="1" t="s">
        <v>16235</v>
      </c>
      <c r="B808" s="1" t="s">
        <v>16236</v>
      </c>
      <c r="C808" s="1" t="s">
        <v>16237</v>
      </c>
      <c r="D808" s="1" t="s">
        <v>16221</v>
      </c>
      <c r="E808" s="1" t="s">
        <v>16222</v>
      </c>
      <c r="F808" s="1">
        <v>50559.0</v>
      </c>
      <c r="G808" s="1">
        <v>2086.0</v>
      </c>
      <c r="H808" s="1">
        <v>162.0</v>
      </c>
      <c r="I808" s="1">
        <v>4770000.0</v>
      </c>
      <c r="J808" s="1" t="s">
        <v>2468</v>
      </c>
      <c r="K808" s="5">
        <f t="shared" si="2"/>
        <v>0.01059937107</v>
      </c>
      <c r="L808" s="6">
        <f t="shared" si="3"/>
        <v>92</v>
      </c>
      <c r="M808" s="6">
        <f t="shared" si="4"/>
        <v>549.5543478</v>
      </c>
      <c r="N808" s="7">
        <f t="shared" si="5"/>
        <v>0.0001152105551</v>
      </c>
      <c r="O808" s="7"/>
      <c r="P808" s="4">
        <f t="shared" si="6"/>
        <v>-0.3683758403</v>
      </c>
      <c r="Q808" s="4">
        <f t="shared" si="7"/>
        <v>7</v>
      </c>
      <c r="R808" s="4">
        <f t="shared" si="8"/>
        <v>0</v>
      </c>
      <c r="S808" s="4">
        <f t="shared" si="9"/>
        <v>-0.3683758403</v>
      </c>
      <c r="T808" s="4">
        <f t="shared" si="10"/>
        <v>33</v>
      </c>
      <c r="U808" s="4">
        <f t="shared" si="1"/>
        <v>-0.3683758403</v>
      </c>
      <c r="V808" s="4"/>
    </row>
    <row r="809">
      <c r="A809" s="1" t="s">
        <v>16238</v>
      </c>
      <c r="B809" s="1" t="s">
        <v>16239</v>
      </c>
      <c r="C809" s="1" t="s">
        <v>16240</v>
      </c>
      <c r="D809" s="1" t="s">
        <v>16221</v>
      </c>
      <c r="E809" s="1" t="s">
        <v>16222</v>
      </c>
      <c r="F809" s="1">
        <v>149682.0</v>
      </c>
      <c r="G809" s="1">
        <v>5510.0</v>
      </c>
      <c r="H809" s="1">
        <v>388.0</v>
      </c>
      <c r="I809" s="1">
        <v>4770000.0</v>
      </c>
      <c r="J809" s="1" t="s">
        <v>2468</v>
      </c>
      <c r="K809" s="5">
        <f t="shared" si="2"/>
        <v>0.03137987421</v>
      </c>
      <c r="L809" s="6">
        <f t="shared" si="3"/>
        <v>99</v>
      </c>
      <c r="M809" s="6">
        <f t="shared" si="4"/>
        <v>1511.939394</v>
      </c>
      <c r="N809" s="7">
        <f t="shared" si="5"/>
        <v>0.0003169684264</v>
      </c>
      <c r="O809" s="7"/>
      <c r="P809" s="4">
        <f t="shared" si="6"/>
        <v>-0.2262649747</v>
      </c>
      <c r="Q809" s="4">
        <f t="shared" si="7"/>
        <v>6</v>
      </c>
      <c r="R809" s="4">
        <f t="shared" si="8"/>
        <v>0</v>
      </c>
      <c r="S809" s="4">
        <f t="shared" si="9"/>
        <v>-0.2262649747</v>
      </c>
      <c r="T809" s="4">
        <f t="shared" si="10"/>
        <v>37</v>
      </c>
      <c r="U809" s="4">
        <f t="shared" si="1"/>
        <v>-0.2262649747</v>
      </c>
      <c r="V809" s="4"/>
    </row>
    <row r="810">
      <c r="A810" s="1" t="s">
        <v>16241</v>
      </c>
      <c r="B810" s="1" t="s">
        <v>16242</v>
      </c>
      <c r="C810" s="1" t="s">
        <v>16243</v>
      </c>
      <c r="D810" s="1" t="s">
        <v>16221</v>
      </c>
      <c r="E810" s="1" t="s">
        <v>16222</v>
      </c>
      <c r="F810" s="1">
        <v>260711.0</v>
      </c>
      <c r="G810" s="1">
        <v>9669.0</v>
      </c>
      <c r="H810" s="1">
        <v>544.0</v>
      </c>
      <c r="I810" s="1">
        <v>4770000.0</v>
      </c>
      <c r="J810" s="1" t="s">
        <v>2468</v>
      </c>
      <c r="K810" s="5">
        <f t="shared" si="2"/>
        <v>0.05465639413</v>
      </c>
      <c r="L810" s="6">
        <f t="shared" si="3"/>
        <v>114</v>
      </c>
      <c r="M810" s="6">
        <f t="shared" si="4"/>
        <v>2286.938596</v>
      </c>
      <c r="N810" s="7">
        <f t="shared" si="5"/>
        <v>0.0004794420538</v>
      </c>
      <c r="O810" s="7"/>
      <c r="P810" s="4">
        <f t="shared" si="6"/>
        <v>-0.1118244938</v>
      </c>
      <c r="Q810" s="4">
        <f t="shared" si="7"/>
        <v>8</v>
      </c>
      <c r="R810" s="4">
        <f t="shared" si="8"/>
        <v>0</v>
      </c>
      <c r="S810" s="4">
        <f t="shared" si="9"/>
        <v>-0.1118244938</v>
      </c>
      <c r="T810" s="4">
        <f t="shared" si="10"/>
        <v>48</v>
      </c>
      <c r="U810" s="4">
        <f t="shared" si="1"/>
        <v>-0.1118244938</v>
      </c>
      <c r="V810" s="4"/>
    </row>
    <row r="811">
      <c r="A811" s="1" t="s">
        <v>16244</v>
      </c>
      <c r="B811" s="1" t="s">
        <v>16245</v>
      </c>
      <c r="C811" s="1" t="s">
        <v>16246</v>
      </c>
      <c r="D811" s="1" t="s">
        <v>16221</v>
      </c>
      <c r="E811" s="1" t="s">
        <v>16222</v>
      </c>
      <c r="F811" s="1">
        <v>255768.0</v>
      </c>
      <c r="G811" s="1">
        <v>7476.0</v>
      </c>
      <c r="H811" s="1">
        <v>661.0</v>
      </c>
      <c r="I811" s="1">
        <v>4770000.0</v>
      </c>
      <c r="J811" s="1" t="s">
        <v>2468</v>
      </c>
      <c r="K811" s="5">
        <f t="shared" si="2"/>
        <v>0.05362012579</v>
      </c>
      <c r="L811" s="6">
        <f t="shared" si="3"/>
        <v>122</v>
      </c>
      <c r="M811" s="6">
        <f t="shared" si="4"/>
        <v>2096.459016</v>
      </c>
      <c r="N811" s="7">
        <f t="shared" si="5"/>
        <v>0.0004395092278</v>
      </c>
      <c r="O811" s="7"/>
      <c r="P811" s="4">
        <f t="shared" si="6"/>
        <v>-0.139951716</v>
      </c>
      <c r="Q811" s="4">
        <f t="shared" si="7"/>
        <v>6</v>
      </c>
      <c r="R811" s="4">
        <f t="shared" si="8"/>
        <v>0</v>
      </c>
      <c r="S811" s="4">
        <f t="shared" si="9"/>
        <v>-0.139951716</v>
      </c>
      <c r="T811" s="4">
        <f t="shared" si="10"/>
        <v>41</v>
      </c>
      <c r="U811" s="4">
        <f t="shared" si="1"/>
        <v>-0.139951716</v>
      </c>
      <c r="V811" s="4"/>
    </row>
    <row r="812">
      <c r="A812" s="1" t="s">
        <v>16247</v>
      </c>
      <c r="B812" s="1" t="s">
        <v>16248</v>
      </c>
      <c r="C812" s="1" t="s">
        <v>16249</v>
      </c>
      <c r="D812" s="1" t="s">
        <v>16221</v>
      </c>
      <c r="E812" s="1" t="s">
        <v>16222</v>
      </c>
      <c r="F812" s="1">
        <v>144881.0</v>
      </c>
      <c r="G812" s="1">
        <v>5786.0</v>
      </c>
      <c r="H812" s="1">
        <v>250.0</v>
      </c>
      <c r="I812" s="1">
        <v>4770000.0</v>
      </c>
      <c r="J812" s="1" t="s">
        <v>2468</v>
      </c>
      <c r="K812" s="5">
        <f t="shared" si="2"/>
        <v>0.03037337526</v>
      </c>
      <c r="L812" s="6">
        <f t="shared" si="3"/>
        <v>142</v>
      </c>
      <c r="M812" s="6">
        <f t="shared" si="4"/>
        <v>1020.288732</v>
      </c>
      <c r="N812" s="7">
        <f t="shared" si="5"/>
        <v>0.0002138970089</v>
      </c>
      <c r="O812" s="7"/>
      <c r="P812" s="4">
        <f t="shared" si="6"/>
        <v>-0.2988647116</v>
      </c>
      <c r="Q812" s="4">
        <f t="shared" si="7"/>
        <v>5</v>
      </c>
      <c r="R812" s="4">
        <f t="shared" si="8"/>
        <v>0</v>
      </c>
      <c r="S812" s="4">
        <f t="shared" si="9"/>
        <v>-0.2988647116</v>
      </c>
      <c r="T812" s="4">
        <f t="shared" si="10"/>
        <v>35</v>
      </c>
      <c r="U812" s="4">
        <f t="shared" si="1"/>
        <v>-0.2988647116</v>
      </c>
      <c r="V812" s="4"/>
    </row>
    <row r="813">
      <c r="A813" s="1" t="s">
        <v>16250</v>
      </c>
      <c r="B813" s="1" t="s">
        <v>16251</v>
      </c>
      <c r="C813" s="1" t="s">
        <v>16252</v>
      </c>
      <c r="D813" s="1" t="s">
        <v>16221</v>
      </c>
      <c r="E813" s="1" t="s">
        <v>16222</v>
      </c>
      <c r="F813" s="1">
        <v>219129.0</v>
      </c>
      <c r="G813" s="1">
        <v>7475.0</v>
      </c>
      <c r="H813" s="1">
        <v>528.0</v>
      </c>
      <c r="I813" s="1">
        <v>4770000.0</v>
      </c>
      <c r="J813" s="1" t="s">
        <v>2468</v>
      </c>
      <c r="K813" s="5">
        <f t="shared" si="2"/>
        <v>0.04593899371</v>
      </c>
      <c r="L813" s="6">
        <f t="shared" si="3"/>
        <v>149</v>
      </c>
      <c r="M813" s="6">
        <f t="shared" si="4"/>
        <v>1470.66443</v>
      </c>
      <c r="N813" s="7">
        <f t="shared" si="5"/>
        <v>0.000308315394</v>
      </c>
      <c r="O813" s="7"/>
      <c r="P813" s="4">
        <f t="shared" si="6"/>
        <v>-0.2323598542</v>
      </c>
      <c r="Q813" s="4">
        <f t="shared" si="7"/>
        <v>4</v>
      </c>
      <c r="R813" s="4">
        <f t="shared" si="8"/>
        <v>0</v>
      </c>
      <c r="S813" s="4">
        <f t="shared" si="9"/>
        <v>-0.2323598542</v>
      </c>
      <c r="T813" s="4">
        <f t="shared" si="10"/>
        <v>24</v>
      </c>
      <c r="U813" s="4">
        <f t="shared" si="1"/>
        <v>-0.2323598542</v>
      </c>
      <c r="V813" s="4"/>
    </row>
    <row r="814">
      <c r="A814" s="1" t="s">
        <v>16253</v>
      </c>
      <c r="B814" s="1" t="s">
        <v>16254</v>
      </c>
      <c r="C814" s="1" t="s">
        <v>16255</v>
      </c>
      <c r="D814" s="1" t="s">
        <v>16221</v>
      </c>
      <c r="E814" s="1" t="s">
        <v>16222</v>
      </c>
      <c r="F814" s="1">
        <v>168052.0</v>
      </c>
      <c r="G814" s="1">
        <v>5826.0</v>
      </c>
      <c r="H814" s="1">
        <v>520.0</v>
      </c>
      <c r="I814" s="1">
        <v>4770000.0</v>
      </c>
      <c r="J814" s="1" t="s">
        <v>2468</v>
      </c>
      <c r="K814" s="5">
        <f t="shared" si="2"/>
        <v>0.03523102725</v>
      </c>
      <c r="L814" s="6">
        <f t="shared" si="3"/>
        <v>156</v>
      </c>
      <c r="M814" s="6">
        <f t="shared" si="4"/>
        <v>1077.25641</v>
      </c>
      <c r="N814" s="7">
        <f t="shared" si="5"/>
        <v>0.0002258399183</v>
      </c>
      <c r="O814" s="7"/>
      <c r="P814" s="4">
        <f t="shared" si="6"/>
        <v>-0.290452563</v>
      </c>
      <c r="Q814" s="4">
        <f t="shared" si="7"/>
        <v>6</v>
      </c>
      <c r="R814" s="4">
        <f t="shared" si="8"/>
        <v>0</v>
      </c>
      <c r="S814" s="4">
        <f t="shared" si="9"/>
        <v>-0.290452563</v>
      </c>
      <c r="T814" s="4">
        <f t="shared" si="10"/>
        <v>36</v>
      </c>
      <c r="U814" s="4">
        <f t="shared" si="1"/>
        <v>-0.290452563</v>
      </c>
      <c r="V814" s="4"/>
    </row>
    <row r="815">
      <c r="A815" s="1" t="s">
        <v>16256</v>
      </c>
      <c r="B815" s="1" t="s">
        <v>16257</v>
      </c>
      <c r="C815" s="1" t="s">
        <v>16258</v>
      </c>
      <c r="D815" s="1" t="s">
        <v>16221</v>
      </c>
      <c r="E815" s="1" t="s">
        <v>16222</v>
      </c>
      <c r="F815" s="1">
        <v>127839.0</v>
      </c>
      <c r="G815" s="1">
        <v>3824.0</v>
      </c>
      <c r="H815" s="1">
        <v>318.0</v>
      </c>
      <c r="I815" s="1">
        <v>4770000.0</v>
      </c>
      <c r="J815" s="1" t="s">
        <v>2468</v>
      </c>
      <c r="K815" s="5">
        <f t="shared" si="2"/>
        <v>0.02680062893</v>
      </c>
      <c r="L815" s="6">
        <f t="shared" si="3"/>
        <v>169</v>
      </c>
      <c r="M815" s="6">
        <f t="shared" si="4"/>
        <v>756.443787</v>
      </c>
      <c r="N815" s="7">
        <f t="shared" si="5"/>
        <v>0.0001585836031</v>
      </c>
      <c r="O815" s="7"/>
      <c r="P815" s="4">
        <f t="shared" si="6"/>
        <v>-0.3378254516</v>
      </c>
      <c r="Q815" s="4">
        <f t="shared" si="7"/>
        <v>5</v>
      </c>
      <c r="R815" s="4">
        <f t="shared" si="8"/>
        <v>0</v>
      </c>
      <c r="S815" s="4">
        <f t="shared" si="9"/>
        <v>-0.3378254516</v>
      </c>
      <c r="T815" s="4">
        <f t="shared" si="10"/>
        <v>29</v>
      </c>
      <c r="U815" s="4">
        <f t="shared" si="1"/>
        <v>-0.3378254516</v>
      </c>
      <c r="V815" s="4"/>
    </row>
    <row r="816">
      <c r="A816" s="1" t="s">
        <v>16259</v>
      </c>
      <c r="B816" s="1" t="s">
        <v>16260</v>
      </c>
      <c r="C816" s="1" t="s">
        <v>16261</v>
      </c>
      <c r="D816" s="1" t="s">
        <v>16221</v>
      </c>
      <c r="E816" s="1" t="s">
        <v>16222</v>
      </c>
      <c r="F816" s="1">
        <v>97177.0</v>
      </c>
      <c r="G816" s="1">
        <v>3559.0</v>
      </c>
      <c r="H816" s="1">
        <v>302.0</v>
      </c>
      <c r="I816" s="1">
        <v>4770000.0</v>
      </c>
      <c r="J816" s="1" t="s">
        <v>2468</v>
      </c>
      <c r="K816" s="5">
        <f t="shared" si="2"/>
        <v>0.02037253669</v>
      </c>
      <c r="L816" s="6">
        <f t="shared" si="3"/>
        <v>173</v>
      </c>
      <c r="M816" s="6">
        <f t="shared" si="4"/>
        <v>561.716763</v>
      </c>
      <c r="N816" s="7">
        <f t="shared" si="5"/>
        <v>0.0001177603277</v>
      </c>
      <c r="O816" s="7"/>
      <c r="P816" s="4">
        <f t="shared" si="6"/>
        <v>-0.3665798738</v>
      </c>
      <c r="Q816" s="4">
        <f t="shared" si="7"/>
        <v>9</v>
      </c>
      <c r="R816" s="4">
        <f t="shared" si="8"/>
        <v>1</v>
      </c>
      <c r="S816" s="4">
        <f t="shared" si="9"/>
        <v>-0.3665798738</v>
      </c>
      <c r="T816" s="4">
        <f t="shared" si="10"/>
        <v>53</v>
      </c>
      <c r="U816" s="4">
        <f t="shared" si="1"/>
        <v>-0.3665798738</v>
      </c>
      <c r="V816" s="4"/>
    </row>
    <row r="817">
      <c r="A817" s="1" t="s">
        <v>16262</v>
      </c>
      <c r="B817" s="1" t="s">
        <v>16263</v>
      </c>
      <c r="C817" s="1" t="s">
        <v>16264</v>
      </c>
      <c r="D817" s="1" t="s">
        <v>16221</v>
      </c>
      <c r="E817" s="1" t="s">
        <v>16222</v>
      </c>
      <c r="F817" s="1">
        <v>104615.0</v>
      </c>
      <c r="G817" s="1">
        <v>4742.0</v>
      </c>
      <c r="H817" s="1">
        <v>819.0</v>
      </c>
      <c r="I817" s="1">
        <v>4770000.0</v>
      </c>
      <c r="J817" s="1" t="s">
        <v>2468</v>
      </c>
      <c r="K817" s="5">
        <f t="shared" si="2"/>
        <v>0.02193186583</v>
      </c>
      <c r="L817" s="6">
        <f t="shared" si="3"/>
        <v>173</v>
      </c>
      <c r="M817" s="6">
        <f t="shared" si="4"/>
        <v>604.7109827</v>
      </c>
      <c r="N817" s="7">
        <f t="shared" si="5"/>
        <v>0.0001267737909</v>
      </c>
      <c r="O817" s="7"/>
      <c r="P817" s="4">
        <f t="shared" si="6"/>
        <v>-0.3602311199</v>
      </c>
      <c r="Q817" s="4">
        <f t="shared" si="7"/>
        <v>7</v>
      </c>
      <c r="R817" s="4">
        <f t="shared" si="8"/>
        <v>0</v>
      </c>
      <c r="S817" s="4">
        <f t="shared" si="9"/>
        <v>-0.3602311199</v>
      </c>
      <c r="T817" s="4">
        <f t="shared" si="10"/>
        <v>34</v>
      </c>
      <c r="U817" s="4">
        <f t="shared" si="1"/>
        <v>-0.3602311199</v>
      </c>
      <c r="V817" s="4"/>
    </row>
    <row r="818">
      <c r="A818" s="1" t="s">
        <v>16265</v>
      </c>
      <c r="B818" s="1" t="s">
        <v>16266</v>
      </c>
      <c r="C818" s="1" t="s">
        <v>16267</v>
      </c>
      <c r="D818" s="1" t="s">
        <v>16221</v>
      </c>
      <c r="E818" s="1" t="s">
        <v>16222</v>
      </c>
      <c r="F818" s="1">
        <v>146266.0</v>
      </c>
      <c r="G818" s="1">
        <v>5604.0</v>
      </c>
      <c r="H818" s="1">
        <v>618.0</v>
      </c>
      <c r="I818" s="1">
        <v>4770000.0</v>
      </c>
      <c r="J818" s="1" t="s">
        <v>2468</v>
      </c>
      <c r="K818" s="5">
        <f t="shared" si="2"/>
        <v>0.03066373166</v>
      </c>
      <c r="L818" s="6">
        <f t="shared" si="3"/>
        <v>199</v>
      </c>
      <c r="M818" s="6">
        <f t="shared" si="4"/>
        <v>735.0050251</v>
      </c>
      <c r="N818" s="7">
        <f t="shared" si="5"/>
        <v>0.0001540891038</v>
      </c>
      <c r="O818" s="7"/>
      <c r="P818" s="4">
        <f t="shared" si="6"/>
        <v>-0.3409912125</v>
      </c>
      <c r="Q818" s="4">
        <f t="shared" si="7"/>
        <v>6</v>
      </c>
      <c r="R818" s="4">
        <f t="shared" si="8"/>
        <v>0</v>
      </c>
      <c r="S818" s="4">
        <f t="shared" si="9"/>
        <v>-0.3409912125</v>
      </c>
      <c r="T818" s="4">
        <f t="shared" si="10"/>
        <v>32</v>
      </c>
      <c r="U818" s="4">
        <f t="shared" si="1"/>
        <v>-0.3409912125</v>
      </c>
      <c r="V818" s="4"/>
    </row>
    <row r="819">
      <c r="A819" s="1" t="s">
        <v>16268</v>
      </c>
      <c r="B819" s="1" t="s">
        <v>16269</v>
      </c>
      <c r="C819" s="1" t="s">
        <v>16270</v>
      </c>
      <c r="D819" s="1" t="s">
        <v>16221</v>
      </c>
      <c r="E819" s="1" t="s">
        <v>16222</v>
      </c>
      <c r="F819" s="1">
        <v>157079.0</v>
      </c>
      <c r="G819" s="1">
        <v>7066.0</v>
      </c>
      <c r="H819" s="1">
        <v>489.0</v>
      </c>
      <c r="I819" s="1">
        <v>4770000.0</v>
      </c>
      <c r="J819" s="1" t="s">
        <v>2468</v>
      </c>
      <c r="K819" s="5">
        <f t="shared" si="2"/>
        <v>0.03293060797</v>
      </c>
      <c r="L819" s="6">
        <f t="shared" si="3"/>
        <v>208</v>
      </c>
      <c r="M819" s="6">
        <f t="shared" si="4"/>
        <v>755.1875</v>
      </c>
      <c r="N819" s="7">
        <f t="shared" si="5"/>
        <v>0.0001583202306</v>
      </c>
      <c r="O819" s="7"/>
      <c r="P819" s="4">
        <f t="shared" si="6"/>
        <v>-0.3380109616</v>
      </c>
      <c r="Q819" s="4">
        <f t="shared" si="7"/>
        <v>4</v>
      </c>
      <c r="R819" s="4">
        <f t="shared" si="8"/>
        <v>0</v>
      </c>
      <c r="S819" s="4">
        <f t="shared" si="9"/>
        <v>-0.3380109616</v>
      </c>
      <c r="T819" s="4">
        <f t="shared" si="10"/>
        <v>21</v>
      </c>
      <c r="U819" s="4">
        <f t="shared" si="1"/>
        <v>-0.3380109616</v>
      </c>
      <c r="V819" s="4"/>
    </row>
    <row r="820">
      <c r="A820" s="1" t="s">
        <v>16271</v>
      </c>
      <c r="B820" s="1" t="s">
        <v>16272</v>
      </c>
      <c r="C820" s="1" t="s">
        <v>16273</v>
      </c>
      <c r="D820" s="1" t="s">
        <v>16221</v>
      </c>
      <c r="E820" s="1" t="s">
        <v>16222</v>
      </c>
      <c r="F820" s="1">
        <v>109063.0</v>
      </c>
      <c r="G820" s="1">
        <v>4811.0</v>
      </c>
      <c r="H820" s="1">
        <v>284.0</v>
      </c>
      <c r="I820" s="1">
        <v>4770000.0</v>
      </c>
      <c r="J820" s="1" t="s">
        <v>2468</v>
      </c>
      <c r="K820" s="5">
        <f t="shared" si="2"/>
        <v>0.02286436059</v>
      </c>
      <c r="L820" s="6">
        <f t="shared" si="3"/>
        <v>212</v>
      </c>
      <c r="M820" s="6">
        <f t="shared" si="4"/>
        <v>514.4481132</v>
      </c>
      <c r="N820" s="7">
        <f t="shared" si="5"/>
        <v>0.0001078507575</v>
      </c>
      <c r="O820" s="7"/>
      <c r="P820" s="4">
        <f t="shared" si="6"/>
        <v>-0.3735598126</v>
      </c>
      <c r="Q820" s="4">
        <f t="shared" si="7"/>
        <v>9</v>
      </c>
      <c r="R820" s="4">
        <f t="shared" si="8"/>
        <v>0</v>
      </c>
      <c r="S820" s="4">
        <f t="shared" si="9"/>
        <v>-0.3735598126</v>
      </c>
      <c r="T820" s="4">
        <f t="shared" si="10"/>
        <v>43</v>
      </c>
      <c r="U820" s="4">
        <f t="shared" si="1"/>
        <v>-0.3735598126</v>
      </c>
      <c r="V820" s="4"/>
    </row>
    <row r="821">
      <c r="A821" s="1" t="s">
        <v>16274</v>
      </c>
      <c r="B821" s="1" t="s">
        <v>16275</v>
      </c>
      <c r="C821" s="1" t="s">
        <v>16276</v>
      </c>
      <c r="D821" s="1" t="s">
        <v>16221</v>
      </c>
      <c r="E821" s="1" t="s">
        <v>16222</v>
      </c>
      <c r="F821" s="1">
        <v>74241.0</v>
      </c>
      <c r="G821" s="1">
        <v>2296.0</v>
      </c>
      <c r="H821" s="1">
        <v>253.0</v>
      </c>
      <c r="I821" s="1">
        <v>4770000.0</v>
      </c>
      <c r="J821" s="1" t="s">
        <v>2468</v>
      </c>
      <c r="K821" s="5">
        <f t="shared" si="2"/>
        <v>0.01556415094</v>
      </c>
      <c r="L821" s="6">
        <f t="shared" si="3"/>
        <v>225</v>
      </c>
      <c r="M821" s="6">
        <f t="shared" si="4"/>
        <v>329.96</v>
      </c>
      <c r="N821" s="7">
        <f t="shared" si="5"/>
        <v>0.00006917400419</v>
      </c>
      <c r="O821" s="7"/>
      <c r="P821" s="4">
        <f t="shared" si="6"/>
        <v>-0.4008023031</v>
      </c>
      <c r="Q821" s="4">
        <f t="shared" si="7"/>
        <v>6</v>
      </c>
      <c r="R821" s="4">
        <f t="shared" si="8"/>
        <v>0</v>
      </c>
      <c r="S821" s="4">
        <f t="shared" si="9"/>
        <v>-0.4008023031</v>
      </c>
      <c r="T821" s="4">
        <f t="shared" si="10"/>
        <v>27</v>
      </c>
      <c r="U821" s="4">
        <f t="shared" si="1"/>
        <v>-0.4008023031</v>
      </c>
      <c r="V821" s="4"/>
    </row>
    <row r="822">
      <c r="A822" s="1" t="s">
        <v>16277</v>
      </c>
      <c r="B822" s="1" t="s">
        <v>16278</v>
      </c>
      <c r="C822" s="1" t="s">
        <v>16279</v>
      </c>
      <c r="D822" s="1" t="s">
        <v>16221</v>
      </c>
      <c r="E822" s="1" t="s">
        <v>16222</v>
      </c>
      <c r="F822" s="1">
        <v>200582.0</v>
      </c>
      <c r="G822" s="1">
        <v>7538.0</v>
      </c>
      <c r="H822" s="1">
        <v>435.0</v>
      </c>
      <c r="I822" s="1">
        <v>4770000.0</v>
      </c>
      <c r="J822" s="1" t="s">
        <v>2468</v>
      </c>
      <c r="K822" s="5">
        <f t="shared" si="2"/>
        <v>0.04205073375</v>
      </c>
      <c r="L822" s="6">
        <f t="shared" si="3"/>
        <v>230</v>
      </c>
      <c r="M822" s="6">
        <f t="shared" si="4"/>
        <v>872.0956522</v>
      </c>
      <c r="N822" s="7">
        <f t="shared" si="5"/>
        <v>0.0001828292772</v>
      </c>
      <c r="O822" s="7"/>
      <c r="P822" s="4">
        <f t="shared" si="6"/>
        <v>-0.3207476855</v>
      </c>
      <c r="Q822" s="4">
        <f t="shared" si="7"/>
        <v>4</v>
      </c>
      <c r="R822" s="4">
        <f t="shared" si="8"/>
        <v>0</v>
      </c>
      <c r="S822" s="4">
        <f t="shared" si="9"/>
        <v>-0.3207476855</v>
      </c>
      <c r="T822" s="4">
        <f t="shared" si="10"/>
        <v>28</v>
      </c>
      <c r="U822" s="4">
        <f t="shared" si="1"/>
        <v>-0.3207476855</v>
      </c>
      <c r="V822" s="4"/>
    </row>
    <row r="823">
      <c r="A823" s="1" t="s">
        <v>16280</v>
      </c>
      <c r="B823" s="1" t="s">
        <v>16281</v>
      </c>
      <c r="C823" s="1" t="s">
        <v>16282</v>
      </c>
      <c r="D823" s="1" t="s">
        <v>16221</v>
      </c>
      <c r="E823" s="1" t="s">
        <v>16222</v>
      </c>
      <c r="F823" s="1">
        <v>165571.0</v>
      </c>
      <c r="G823" s="1">
        <v>7581.0</v>
      </c>
      <c r="H823" s="1">
        <v>507.0</v>
      </c>
      <c r="I823" s="1">
        <v>4770000.0</v>
      </c>
      <c r="J823" s="1" t="s">
        <v>2468</v>
      </c>
      <c r="K823" s="5">
        <f t="shared" si="2"/>
        <v>0.03471090147</v>
      </c>
      <c r="L823" s="6">
        <f t="shared" si="3"/>
        <v>237</v>
      </c>
      <c r="M823" s="6">
        <f t="shared" si="4"/>
        <v>698.6118143</v>
      </c>
      <c r="N823" s="7">
        <f t="shared" si="5"/>
        <v>0.0001464594999</v>
      </c>
      <c r="O823" s="7"/>
      <c r="P823" s="4">
        <f t="shared" si="6"/>
        <v>-0.3463652265</v>
      </c>
      <c r="Q823" s="4">
        <f t="shared" si="7"/>
        <v>4</v>
      </c>
      <c r="R823" s="4">
        <f t="shared" si="8"/>
        <v>0</v>
      </c>
      <c r="S823" s="4">
        <f t="shared" si="9"/>
        <v>-0.3463652265</v>
      </c>
      <c r="T823" s="4">
        <f t="shared" si="10"/>
        <v>24</v>
      </c>
      <c r="U823" s="4">
        <f t="shared" si="1"/>
        <v>-0.3463652265</v>
      </c>
      <c r="V823" s="4"/>
    </row>
    <row r="824">
      <c r="A824" s="1" t="s">
        <v>16283</v>
      </c>
      <c r="B824" s="1" t="s">
        <v>16284</v>
      </c>
      <c r="C824" s="1" t="s">
        <v>16285</v>
      </c>
      <c r="D824" s="1" t="s">
        <v>16221</v>
      </c>
      <c r="E824" s="1" t="s">
        <v>16222</v>
      </c>
      <c r="F824" s="1">
        <v>160245.0</v>
      </c>
      <c r="G824" s="1">
        <v>3170.0</v>
      </c>
      <c r="H824" s="1">
        <v>281.0</v>
      </c>
      <c r="I824" s="1">
        <v>4770000.0</v>
      </c>
      <c r="J824" s="1" t="s">
        <v>2468</v>
      </c>
      <c r="K824" s="5">
        <f t="shared" si="2"/>
        <v>0.03359433962</v>
      </c>
      <c r="L824" s="6">
        <f t="shared" si="3"/>
        <v>255</v>
      </c>
      <c r="M824" s="6">
        <f t="shared" si="4"/>
        <v>628.4117647</v>
      </c>
      <c r="N824" s="7">
        <f t="shared" si="5"/>
        <v>0.0001317425083</v>
      </c>
      <c r="O824" s="7"/>
      <c r="P824" s="4">
        <f t="shared" si="6"/>
        <v>-0.3567313371</v>
      </c>
      <c r="Q824" s="4">
        <f t="shared" si="7"/>
        <v>7</v>
      </c>
      <c r="R824" s="4">
        <f t="shared" si="8"/>
        <v>0</v>
      </c>
      <c r="S824" s="4">
        <f t="shared" si="9"/>
        <v>-0.3567313371</v>
      </c>
      <c r="T824" s="4">
        <f t="shared" si="10"/>
        <v>41</v>
      </c>
      <c r="U824" s="4">
        <f t="shared" si="1"/>
        <v>-0.3567313371</v>
      </c>
      <c r="V824" s="4"/>
    </row>
    <row r="825">
      <c r="A825" s="1" t="s">
        <v>16286</v>
      </c>
      <c r="B825" s="1" t="s">
        <v>16287</v>
      </c>
      <c r="C825" s="1" t="s">
        <v>16288</v>
      </c>
      <c r="D825" s="1" t="s">
        <v>16221</v>
      </c>
      <c r="E825" s="1" t="s">
        <v>16222</v>
      </c>
      <c r="F825" s="1">
        <v>182011.0</v>
      </c>
      <c r="G825" s="1">
        <v>5582.0</v>
      </c>
      <c r="H825" s="1">
        <v>732.0</v>
      </c>
      <c r="I825" s="1">
        <v>4770000.0</v>
      </c>
      <c r="J825" s="1" t="s">
        <v>2468</v>
      </c>
      <c r="K825" s="5">
        <f t="shared" si="2"/>
        <v>0.03815744235</v>
      </c>
      <c r="L825" s="6">
        <f t="shared" si="3"/>
        <v>255</v>
      </c>
      <c r="M825" s="6">
        <f t="shared" si="4"/>
        <v>713.7686275</v>
      </c>
      <c r="N825" s="7">
        <f t="shared" si="5"/>
        <v>0.0001496370288</v>
      </c>
      <c r="O825" s="7"/>
      <c r="P825" s="4">
        <f t="shared" si="6"/>
        <v>-0.3441270913</v>
      </c>
      <c r="Q825" s="4">
        <f t="shared" si="7"/>
        <v>6</v>
      </c>
      <c r="R825" s="4">
        <f t="shared" si="8"/>
        <v>0</v>
      </c>
      <c r="S825" s="4">
        <f t="shared" si="9"/>
        <v>-0.3441270913</v>
      </c>
      <c r="T825" s="4">
        <f t="shared" si="10"/>
        <v>29</v>
      </c>
      <c r="U825" s="4">
        <f t="shared" si="1"/>
        <v>-0.3441270913</v>
      </c>
      <c r="V825" s="4"/>
    </row>
    <row r="826">
      <c r="A826" s="1" t="s">
        <v>16289</v>
      </c>
      <c r="B826" s="1" t="s">
        <v>16290</v>
      </c>
      <c r="C826" s="1" t="s">
        <v>16291</v>
      </c>
      <c r="D826" s="1" t="s">
        <v>16221</v>
      </c>
      <c r="E826" s="1" t="s">
        <v>16222</v>
      </c>
      <c r="F826" s="1">
        <v>232394.0</v>
      </c>
      <c r="G826" s="1">
        <v>9083.0</v>
      </c>
      <c r="H826" s="1">
        <v>506.0</v>
      </c>
      <c r="I826" s="1">
        <v>4770000.0</v>
      </c>
      <c r="J826" s="1" t="s">
        <v>2468</v>
      </c>
      <c r="K826" s="5">
        <f t="shared" si="2"/>
        <v>0.04871991614</v>
      </c>
      <c r="L826" s="6">
        <f t="shared" si="3"/>
        <v>263</v>
      </c>
      <c r="M826" s="6">
        <f t="shared" si="4"/>
        <v>883.6273764</v>
      </c>
      <c r="N826" s="7">
        <f t="shared" si="5"/>
        <v>0.0001852468294</v>
      </c>
      <c r="O826" s="7"/>
      <c r="P826" s="4">
        <f t="shared" si="6"/>
        <v>-0.3190448501</v>
      </c>
      <c r="Q826" s="4">
        <f t="shared" si="7"/>
        <v>8</v>
      </c>
      <c r="R826" s="4">
        <f t="shared" si="8"/>
        <v>0</v>
      </c>
      <c r="S826" s="4">
        <f t="shared" si="9"/>
        <v>-0.3190448501</v>
      </c>
      <c r="T826" s="4">
        <f t="shared" si="10"/>
        <v>42</v>
      </c>
      <c r="U826" s="4">
        <f t="shared" si="1"/>
        <v>-0.3190448501</v>
      </c>
      <c r="V826" s="4"/>
    </row>
    <row r="827">
      <c r="A827" s="1" t="s">
        <v>16292</v>
      </c>
      <c r="B827" s="1" t="s">
        <v>16293</v>
      </c>
      <c r="C827" s="1" t="s">
        <v>16294</v>
      </c>
      <c r="D827" s="1" t="s">
        <v>16221</v>
      </c>
      <c r="E827" s="1" t="s">
        <v>16222</v>
      </c>
      <c r="F827" s="1">
        <v>365809.0</v>
      </c>
      <c r="G827" s="1">
        <v>11907.0</v>
      </c>
      <c r="H827" s="1">
        <v>1376.0</v>
      </c>
      <c r="I827" s="1">
        <v>4770000.0</v>
      </c>
      <c r="J827" s="1" t="s">
        <v>2468</v>
      </c>
      <c r="K827" s="5">
        <f t="shared" si="2"/>
        <v>0.07668951782</v>
      </c>
      <c r="L827" s="6">
        <f t="shared" si="3"/>
        <v>268</v>
      </c>
      <c r="M827" s="6">
        <f t="shared" si="4"/>
        <v>1364.958955</v>
      </c>
      <c r="N827" s="7">
        <f t="shared" si="5"/>
        <v>0.0002861549172</v>
      </c>
      <c r="O827" s="7"/>
      <c r="P827" s="4">
        <f t="shared" si="6"/>
        <v>-0.2479688836</v>
      </c>
      <c r="Q827" s="4">
        <f t="shared" si="7"/>
        <v>7</v>
      </c>
      <c r="R827" s="4">
        <f t="shared" si="8"/>
        <v>0</v>
      </c>
      <c r="S827" s="4">
        <f t="shared" si="9"/>
        <v>-0.2479688836</v>
      </c>
      <c r="T827" s="4">
        <f t="shared" si="10"/>
        <v>35</v>
      </c>
      <c r="U827" s="4">
        <f t="shared" si="1"/>
        <v>-0.2479688836</v>
      </c>
      <c r="V827" s="4"/>
    </row>
    <row r="828">
      <c r="A828" s="1" t="s">
        <v>16295</v>
      </c>
      <c r="B828" s="1" t="s">
        <v>16296</v>
      </c>
      <c r="C828" s="1" t="s">
        <v>16297</v>
      </c>
      <c r="D828" s="1" t="s">
        <v>16221</v>
      </c>
      <c r="E828" s="1" t="s">
        <v>16222</v>
      </c>
      <c r="F828" s="1">
        <v>324046.0</v>
      </c>
      <c r="G828" s="1">
        <v>10131.0</v>
      </c>
      <c r="H828" s="1">
        <v>894.0</v>
      </c>
      <c r="I828" s="1">
        <v>4770000.0</v>
      </c>
      <c r="J828" s="1" t="s">
        <v>2468</v>
      </c>
      <c r="K828" s="5">
        <f t="shared" si="2"/>
        <v>0.06793417191</v>
      </c>
      <c r="L828" s="6">
        <f t="shared" si="3"/>
        <v>271</v>
      </c>
      <c r="M828" s="6">
        <f t="shared" si="4"/>
        <v>1195.741697</v>
      </c>
      <c r="N828" s="7">
        <f t="shared" si="5"/>
        <v>0.0002506796011</v>
      </c>
      <c r="O828" s="7"/>
      <c r="P828" s="4">
        <f t="shared" si="6"/>
        <v>-0.2729563988</v>
      </c>
      <c r="Q828" s="4">
        <f t="shared" si="7"/>
        <v>8</v>
      </c>
      <c r="R828" s="4">
        <f t="shared" si="8"/>
        <v>0</v>
      </c>
      <c r="S828" s="4">
        <f t="shared" si="9"/>
        <v>-0.2729563988</v>
      </c>
      <c r="T828" s="4">
        <f t="shared" si="10"/>
        <v>41</v>
      </c>
      <c r="U828" s="4">
        <f t="shared" si="1"/>
        <v>-0.2729563988</v>
      </c>
      <c r="V828" s="4"/>
    </row>
    <row r="829">
      <c r="A829" s="1" t="s">
        <v>16298</v>
      </c>
      <c r="B829" s="1" t="s">
        <v>16299</v>
      </c>
      <c r="C829" s="1" t="s">
        <v>16300</v>
      </c>
      <c r="D829" s="1" t="s">
        <v>16221</v>
      </c>
      <c r="E829" s="1" t="s">
        <v>16222</v>
      </c>
      <c r="F829" s="1">
        <v>74022.0</v>
      </c>
      <c r="G829" s="1">
        <v>3128.0</v>
      </c>
      <c r="H829" s="1">
        <v>188.0</v>
      </c>
      <c r="I829" s="1">
        <v>4770000.0</v>
      </c>
      <c r="J829" s="1" t="s">
        <v>2468</v>
      </c>
      <c r="K829" s="5">
        <f t="shared" si="2"/>
        <v>0.01551823899</v>
      </c>
      <c r="L829" s="6">
        <f t="shared" si="3"/>
        <v>276</v>
      </c>
      <c r="M829" s="6">
        <f t="shared" si="4"/>
        <v>268.1956522</v>
      </c>
      <c r="N829" s="7">
        <f t="shared" si="5"/>
        <v>0.0000562255036</v>
      </c>
      <c r="O829" s="7"/>
      <c r="P829" s="4">
        <f t="shared" si="6"/>
        <v>-0.4099227533</v>
      </c>
      <c r="Q829" s="4">
        <f t="shared" si="7"/>
        <v>5</v>
      </c>
      <c r="R829" s="4">
        <f t="shared" si="8"/>
        <v>0</v>
      </c>
      <c r="S829" s="4">
        <f t="shared" si="9"/>
        <v>-0.4099227533</v>
      </c>
      <c r="T829" s="4">
        <f t="shared" si="10"/>
        <v>35</v>
      </c>
      <c r="U829" s="4">
        <f t="shared" si="1"/>
        <v>-0.4099227533</v>
      </c>
      <c r="V829" s="4"/>
    </row>
    <row r="830">
      <c r="A830" s="1" t="s">
        <v>16301</v>
      </c>
      <c r="B830" s="1" t="s">
        <v>16302</v>
      </c>
      <c r="C830" s="1" t="s">
        <v>16303</v>
      </c>
      <c r="D830" s="1" t="s">
        <v>16221</v>
      </c>
      <c r="E830" s="1" t="s">
        <v>16222</v>
      </c>
      <c r="F830" s="1">
        <v>123446.0</v>
      </c>
      <c r="G830" s="1">
        <v>4539.0</v>
      </c>
      <c r="H830" s="1">
        <v>280.0</v>
      </c>
      <c r="I830" s="1">
        <v>4770000.0</v>
      </c>
      <c r="J830" s="1" t="s">
        <v>2468</v>
      </c>
      <c r="K830" s="5">
        <f t="shared" si="2"/>
        <v>0.02587966457</v>
      </c>
      <c r="L830" s="6">
        <f t="shared" si="3"/>
        <v>280</v>
      </c>
      <c r="M830" s="6">
        <f t="shared" si="4"/>
        <v>440.8785714</v>
      </c>
      <c r="N830" s="7">
        <f t="shared" si="5"/>
        <v>0.00009242737347</v>
      </c>
      <c r="O830" s="7"/>
      <c r="P830" s="4">
        <f t="shared" si="6"/>
        <v>-0.3844234802</v>
      </c>
      <c r="Q830" s="4">
        <f t="shared" si="7"/>
        <v>6</v>
      </c>
      <c r="R830" s="4">
        <f t="shared" si="8"/>
        <v>0</v>
      </c>
      <c r="S830" s="4">
        <f t="shared" si="9"/>
        <v>-0.3844234802</v>
      </c>
      <c r="T830" s="4">
        <f t="shared" si="10"/>
        <v>43</v>
      </c>
      <c r="U830" s="4">
        <f t="shared" si="1"/>
        <v>-0.3844234802</v>
      </c>
      <c r="V830" s="4"/>
    </row>
    <row r="831">
      <c r="A831" s="1" t="s">
        <v>16304</v>
      </c>
      <c r="B831" s="1" t="s">
        <v>16305</v>
      </c>
      <c r="C831" s="1" t="s">
        <v>16306</v>
      </c>
      <c r="D831" s="1" t="s">
        <v>16221</v>
      </c>
      <c r="E831" s="1" t="s">
        <v>16222</v>
      </c>
      <c r="F831" s="1">
        <v>86724.0</v>
      </c>
      <c r="G831" s="1">
        <v>3521.0</v>
      </c>
      <c r="H831" s="1">
        <v>432.0</v>
      </c>
      <c r="I831" s="1">
        <v>4770000.0</v>
      </c>
      <c r="J831" s="1" t="s">
        <v>2468</v>
      </c>
      <c r="K831" s="5">
        <f t="shared" si="2"/>
        <v>0.01818113208</v>
      </c>
      <c r="L831" s="6">
        <f t="shared" si="3"/>
        <v>288</v>
      </c>
      <c r="M831" s="6">
        <f t="shared" si="4"/>
        <v>301.125</v>
      </c>
      <c r="N831" s="7">
        <f t="shared" si="5"/>
        <v>0.00006312893082</v>
      </c>
      <c r="O831" s="7"/>
      <c r="P831" s="4">
        <f t="shared" si="6"/>
        <v>-0.4050602317</v>
      </c>
      <c r="Q831" s="4">
        <f t="shared" si="7"/>
        <v>7</v>
      </c>
      <c r="R831" s="4">
        <f t="shared" si="8"/>
        <v>0</v>
      </c>
      <c r="S831" s="4">
        <f t="shared" si="9"/>
        <v>-0.4050602317</v>
      </c>
      <c r="T831" s="4">
        <f t="shared" si="10"/>
        <v>40</v>
      </c>
      <c r="U831" s="4">
        <f t="shared" si="1"/>
        <v>-0.4050602317</v>
      </c>
      <c r="V831" s="4"/>
    </row>
    <row r="832">
      <c r="A832" s="1" t="s">
        <v>16307</v>
      </c>
      <c r="B832" s="1" t="s">
        <v>16308</v>
      </c>
      <c r="C832" s="1" t="s">
        <v>16309</v>
      </c>
      <c r="D832" s="1" t="s">
        <v>16221</v>
      </c>
      <c r="E832" s="1" t="s">
        <v>16222</v>
      </c>
      <c r="F832" s="1">
        <v>218325.0</v>
      </c>
      <c r="G832" s="1">
        <v>10780.0</v>
      </c>
      <c r="H832" s="1">
        <v>1109.0</v>
      </c>
      <c r="I832" s="1">
        <v>4770000.0</v>
      </c>
      <c r="J832" s="1" t="s">
        <v>2468</v>
      </c>
      <c r="K832" s="5">
        <f t="shared" si="2"/>
        <v>0.04577044025</v>
      </c>
      <c r="L832" s="6">
        <f t="shared" si="3"/>
        <v>297</v>
      </c>
      <c r="M832" s="6">
        <f t="shared" si="4"/>
        <v>735.1010101</v>
      </c>
      <c r="N832" s="7">
        <f t="shared" si="5"/>
        <v>0.0001541092264</v>
      </c>
      <c r="O832" s="7"/>
      <c r="P832" s="4">
        <f t="shared" si="6"/>
        <v>-0.3409770389</v>
      </c>
      <c r="Q832" s="4">
        <f t="shared" si="7"/>
        <v>7</v>
      </c>
      <c r="R832" s="4">
        <f t="shared" si="8"/>
        <v>0</v>
      </c>
      <c r="S832" s="4">
        <f t="shared" si="9"/>
        <v>-0.3409770389</v>
      </c>
      <c r="T832" s="4">
        <f t="shared" si="10"/>
        <v>33</v>
      </c>
      <c r="U832" s="4">
        <f t="shared" si="1"/>
        <v>-0.3409770389</v>
      </c>
      <c r="V832" s="4"/>
    </row>
    <row r="833">
      <c r="A833" s="1" t="s">
        <v>16310</v>
      </c>
      <c r="B833" s="1" t="s">
        <v>16311</v>
      </c>
      <c r="C833" s="1" t="s">
        <v>16312</v>
      </c>
      <c r="D833" s="1" t="s">
        <v>16221</v>
      </c>
      <c r="E833" s="1" t="s">
        <v>16222</v>
      </c>
      <c r="F833" s="1">
        <v>180817.0</v>
      </c>
      <c r="G833" s="1">
        <v>6371.0</v>
      </c>
      <c r="H833" s="1">
        <v>635.0</v>
      </c>
      <c r="I833" s="1">
        <v>4770000.0</v>
      </c>
      <c r="J833" s="1" t="s">
        <v>2468</v>
      </c>
      <c r="K833" s="5">
        <f t="shared" si="2"/>
        <v>0.03790712788</v>
      </c>
      <c r="L833" s="6">
        <f t="shared" si="3"/>
        <v>304</v>
      </c>
      <c r="M833" s="6">
        <f t="shared" si="4"/>
        <v>594.7927632</v>
      </c>
      <c r="N833" s="7">
        <f t="shared" si="5"/>
        <v>0.0001246944996</v>
      </c>
      <c r="O833" s="7"/>
      <c r="P833" s="4">
        <f t="shared" si="6"/>
        <v>-0.3616956967</v>
      </c>
      <c r="Q833" s="4">
        <f t="shared" si="7"/>
        <v>8</v>
      </c>
      <c r="R833" s="4">
        <f t="shared" si="8"/>
        <v>0</v>
      </c>
      <c r="S833" s="4">
        <f t="shared" si="9"/>
        <v>-0.3616956967</v>
      </c>
      <c r="T833" s="4">
        <f t="shared" si="10"/>
        <v>47</v>
      </c>
      <c r="U833" s="4">
        <f t="shared" si="1"/>
        <v>-0.3616956967</v>
      </c>
      <c r="V833" s="4"/>
    </row>
    <row r="834">
      <c r="A834" s="1" t="s">
        <v>16313</v>
      </c>
      <c r="B834" s="1" t="s">
        <v>16314</v>
      </c>
      <c r="C834" s="1" t="s">
        <v>16315</v>
      </c>
      <c r="D834" s="1" t="s">
        <v>16221</v>
      </c>
      <c r="E834" s="1" t="s">
        <v>16222</v>
      </c>
      <c r="F834" s="1">
        <v>124715.0</v>
      </c>
      <c r="G834" s="1">
        <v>4133.0</v>
      </c>
      <c r="H834" s="1">
        <v>703.0</v>
      </c>
      <c r="I834" s="1">
        <v>4770000.0</v>
      </c>
      <c r="J834" s="1" t="s">
        <v>2468</v>
      </c>
      <c r="K834" s="5">
        <f t="shared" si="2"/>
        <v>0.02614570231</v>
      </c>
      <c r="L834" s="6">
        <f t="shared" si="3"/>
        <v>316</v>
      </c>
      <c r="M834" s="6">
        <f t="shared" si="4"/>
        <v>394.6677215</v>
      </c>
      <c r="N834" s="7">
        <f t="shared" si="5"/>
        <v>0.00008273956426</v>
      </c>
      <c r="O834" s="7"/>
      <c r="P834" s="4">
        <f t="shared" si="6"/>
        <v>-0.3912472187</v>
      </c>
      <c r="Q834" s="4">
        <f t="shared" si="7"/>
        <v>4</v>
      </c>
      <c r="R834" s="4">
        <f t="shared" si="8"/>
        <v>0</v>
      </c>
      <c r="S834" s="4">
        <f t="shared" si="9"/>
        <v>-0.3912472187</v>
      </c>
      <c r="T834" s="4">
        <f t="shared" si="10"/>
        <v>25</v>
      </c>
      <c r="U834" s="4">
        <f t="shared" si="1"/>
        <v>-0.3912472187</v>
      </c>
      <c r="V834" s="4"/>
    </row>
    <row r="835">
      <c r="A835" s="1" t="s">
        <v>16316</v>
      </c>
      <c r="B835" s="1" t="s">
        <v>16317</v>
      </c>
      <c r="C835" s="1" t="s">
        <v>16318</v>
      </c>
      <c r="D835" s="1" t="s">
        <v>16221</v>
      </c>
      <c r="E835" s="1" t="s">
        <v>16222</v>
      </c>
      <c r="F835" s="1">
        <v>168717.0</v>
      </c>
      <c r="G835" s="1">
        <v>5577.0</v>
      </c>
      <c r="H835" s="1">
        <v>299.0</v>
      </c>
      <c r="I835" s="1">
        <v>4770000.0</v>
      </c>
      <c r="J835" s="1" t="s">
        <v>2468</v>
      </c>
      <c r="K835" s="5">
        <f t="shared" si="2"/>
        <v>0.03537044025</v>
      </c>
      <c r="L835" s="6">
        <f t="shared" si="3"/>
        <v>323</v>
      </c>
      <c r="M835" s="6">
        <f t="shared" si="4"/>
        <v>522.3436533</v>
      </c>
      <c r="N835" s="7">
        <f t="shared" si="5"/>
        <v>0.000109506007</v>
      </c>
      <c r="O835" s="7"/>
      <c r="P835" s="4">
        <f t="shared" si="6"/>
        <v>-0.3723939154</v>
      </c>
      <c r="Q835" s="4">
        <f t="shared" si="7"/>
        <v>6</v>
      </c>
      <c r="R835" s="4">
        <f t="shared" si="8"/>
        <v>0</v>
      </c>
      <c r="S835" s="4">
        <f t="shared" si="9"/>
        <v>-0.3723939154</v>
      </c>
      <c r="T835" s="4">
        <f t="shared" si="10"/>
        <v>37</v>
      </c>
      <c r="U835" s="4">
        <f t="shared" si="1"/>
        <v>-0.3723939154</v>
      </c>
      <c r="V835" s="4"/>
    </row>
    <row r="836">
      <c r="A836" s="1" t="s">
        <v>16319</v>
      </c>
      <c r="B836" s="1" t="s">
        <v>16320</v>
      </c>
      <c r="C836" s="1" t="s">
        <v>16321</v>
      </c>
      <c r="D836" s="1" t="s">
        <v>16221</v>
      </c>
      <c r="E836" s="1" t="s">
        <v>16222</v>
      </c>
      <c r="F836" s="1">
        <v>110779.0</v>
      </c>
      <c r="G836" s="1">
        <v>3513.0</v>
      </c>
      <c r="H836" s="1">
        <v>460.0</v>
      </c>
      <c r="I836" s="1">
        <v>4770000.0</v>
      </c>
      <c r="J836" s="1" t="s">
        <v>2468</v>
      </c>
      <c r="K836" s="5">
        <f t="shared" si="2"/>
        <v>0.02322410901</v>
      </c>
      <c r="L836" s="6">
        <f t="shared" si="3"/>
        <v>336</v>
      </c>
      <c r="M836" s="6">
        <f t="shared" si="4"/>
        <v>329.6994048</v>
      </c>
      <c r="N836" s="7">
        <f t="shared" si="5"/>
        <v>0.00006911937207</v>
      </c>
      <c r="O836" s="7"/>
      <c r="P836" s="4">
        <f t="shared" si="6"/>
        <v>-0.400840784</v>
      </c>
      <c r="Q836" s="4">
        <f t="shared" si="7"/>
        <v>10</v>
      </c>
      <c r="R836" s="4">
        <f t="shared" si="8"/>
        <v>0</v>
      </c>
      <c r="S836" s="4">
        <f t="shared" si="9"/>
        <v>-0.400840784</v>
      </c>
      <c r="T836" s="4">
        <f t="shared" si="10"/>
        <v>50</v>
      </c>
      <c r="U836" s="4">
        <f t="shared" si="1"/>
        <v>-0.400840784</v>
      </c>
      <c r="V836" s="4"/>
    </row>
    <row r="837">
      <c r="A837" s="1" t="s">
        <v>16322</v>
      </c>
      <c r="B837" s="1" t="s">
        <v>16323</v>
      </c>
      <c r="C837" s="1" t="s">
        <v>16324</v>
      </c>
      <c r="D837" s="1" t="s">
        <v>16221</v>
      </c>
      <c r="E837" s="1" t="s">
        <v>16222</v>
      </c>
      <c r="F837" s="1">
        <v>140941.0</v>
      </c>
      <c r="G837" s="1">
        <v>5205.0</v>
      </c>
      <c r="H837" s="1">
        <v>843.0</v>
      </c>
      <c r="I837" s="1">
        <v>4770000.0</v>
      </c>
      <c r="J837" s="1" t="s">
        <v>2468</v>
      </c>
      <c r="K837" s="5">
        <f t="shared" si="2"/>
        <v>0.02954737945</v>
      </c>
      <c r="L837" s="6">
        <f t="shared" si="3"/>
        <v>344</v>
      </c>
      <c r="M837" s="6">
        <f t="shared" si="4"/>
        <v>409.7122093</v>
      </c>
      <c r="N837" s="7">
        <f t="shared" si="5"/>
        <v>0.00008589354493</v>
      </c>
      <c r="O837" s="7"/>
      <c r="P837" s="4">
        <f t="shared" si="6"/>
        <v>-0.3890256701</v>
      </c>
      <c r="Q837" s="4">
        <f t="shared" si="7"/>
        <v>3</v>
      </c>
      <c r="R837" s="4">
        <f t="shared" si="8"/>
        <v>0</v>
      </c>
      <c r="S837" s="4">
        <f t="shared" si="9"/>
        <v>-0.3890256701</v>
      </c>
      <c r="T837" s="4">
        <f t="shared" si="10"/>
        <v>33</v>
      </c>
      <c r="U837" s="4">
        <f t="shared" si="1"/>
        <v>-0.3890256701</v>
      </c>
      <c r="V837" s="4"/>
    </row>
    <row r="838">
      <c r="A838" s="1" t="s">
        <v>16325</v>
      </c>
      <c r="B838" s="1" t="s">
        <v>16326</v>
      </c>
      <c r="C838" s="1" t="s">
        <v>16327</v>
      </c>
      <c r="D838" s="1" t="s">
        <v>16221</v>
      </c>
      <c r="E838" s="1" t="s">
        <v>16222</v>
      </c>
      <c r="F838" s="1">
        <v>103856.0</v>
      </c>
      <c r="G838" s="1">
        <v>3422.0</v>
      </c>
      <c r="H838" s="1">
        <v>394.0</v>
      </c>
      <c r="I838" s="1">
        <v>4770000.0</v>
      </c>
      <c r="J838" s="1" t="s">
        <v>2468</v>
      </c>
      <c r="K838" s="5">
        <f t="shared" si="2"/>
        <v>0.02177274633</v>
      </c>
      <c r="L838" s="6">
        <f t="shared" si="3"/>
        <v>358</v>
      </c>
      <c r="M838" s="6">
        <f t="shared" si="4"/>
        <v>290.1005587</v>
      </c>
      <c r="N838" s="7">
        <f t="shared" si="5"/>
        <v>0.00006081772718</v>
      </c>
      <c r="O838" s="7"/>
      <c r="P838" s="4">
        <f t="shared" si="6"/>
        <v>-0.406688159</v>
      </c>
      <c r="Q838" s="4">
        <f t="shared" si="7"/>
        <v>7</v>
      </c>
      <c r="R838" s="4">
        <f t="shared" si="8"/>
        <v>0</v>
      </c>
      <c r="S838" s="4">
        <f t="shared" si="9"/>
        <v>-0.406688159</v>
      </c>
      <c r="T838" s="4">
        <f t="shared" si="10"/>
        <v>36</v>
      </c>
      <c r="U838" s="4">
        <f t="shared" si="1"/>
        <v>-0.406688159</v>
      </c>
      <c r="V838" s="4"/>
    </row>
    <row r="839">
      <c r="A839" s="1" t="s">
        <v>16328</v>
      </c>
      <c r="B839" s="1" t="s">
        <v>16329</v>
      </c>
      <c r="C839" s="1" t="s">
        <v>16330</v>
      </c>
      <c r="D839" s="1" t="s">
        <v>16221</v>
      </c>
      <c r="E839" s="1" t="s">
        <v>16222</v>
      </c>
      <c r="F839" s="1">
        <v>126634.0</v>
      </c>
      <c r="G839" s="1">
        <v>4606.0</v>
      </c>
      <c r="H839" s="1">
        <v>530.0</v>
      </c>
      <c r="I839" s="1">
        <v>4770000.0</v>
      </c>
      <c r="J839" s="1" t="s">
        <v>2468</v>
      </c>
      <c r="K839" s="5">
        <f t="shared" si="2"/>
        <v>0.02654800839</v>
      </c>
      <c r="L839" s="6">
        <f t="shared" si="3"/>
        <v>378</v>
      </c>
      <c r="M839" s="6">
        <f t="shared" si="4"/>
        <v>335.010582</v>
      </c>
      <c r="N839" s="7">
        <f t="shared" si="5"/>
        <v>0.00007023282642</v>
      </c>
      <c r="O839" s="7"/>
      <c r="P839" s="4">
        <f t="shared" si="6"/>
        <v>-0.4000565074</v>
      </c>
      <c r="Q839" s="4">
        <f t="shared" si="7"/>
        <v>6</v>
      </c>
      <c r="R839" s="4">
        <f t="shared" si="8"/>
        <v>0</v>
      </c>
      <c r="S839" s="4">
        <f t="shared" si="9"/>
        <v>-0.4000565074</v>
      </c>
      <c r="T839" s="4">
        <f t="shared" si="10"/>
        <v>38</v>
      </c>
      <c r="U839" s="4">
        <f t="shared" si="1"/>
        <v>-0.4000565074</v>
      </c>
      <c r="V839" s="4"/>
    </row>
    <row r="840">
      <c r="A840" s="1" t="s">
        <v>16331</v>
      </c>
      <c r="B840" s="1" t="s">
        <v>16332</v>
      </c>
      <c r="C840" s="1" t="s">
        <v>16333</v>
      </c>
      <c r="D840" s="1" t="s">
        <v>16221</v>
      </c>
      <c r="E840" s="1" t="s">
        <v>16222</v>
      </c>
      <c r="F840" s="1">
        <v>147926.0</v>
      </c>
      <c r="G840" s="1">
        <v>5544.0</v>
      </c>
      <c r="H840" s="1">
        <v>339.0</v>
      </c>
      <c r="I840" s="1">
        <v>4770000.0</v>
      </c>
      <c r="J840" s="1" t="s">
        <v>2468</v>
      </c>
      <c r="K840" s="5">
        <f t="shared" si="2"/>
        <v>0.03101174004</v>
      </c>
      <c r="L840" s="6">
        <f t="shared" si="3"/>
        <v>399</v>
      </c>
      <c r="M840" s="6">
        <f t="shared" si="4"/>
        <v>370.7418546</v>
      </c>
      <c r="N840" s="7">
        <f t="shared" si="5"/>
        <v>0.00007772365925</v>
      </c>
      <c r="O840" s="7"/>
      <c r="P840" s="4">
        <f t="shared" si="6"/>
        <v>-0.3947802387</v>
      </c>
      <c r="Q840" s="4">
        <f t="shared" si="7"/>
        <v>8</v>
      </c>
      <c r="R840" s="4">
        <f t="shared" si="8"/>
        <v>0</v>
      </c>
      <c r="S840" s="4">
        <f t="shared" si="9"/>
        <v>-0.3947802387</v>
      </c>
      <c r="T840" s="4">
        <f t="shared" si="10"/>
        <v>40</v>
      </c>
      <c r="U840" s="4">
        <f t="shared" si="1"/>
        <v>-0.3947802387</v>
      </c>
      <c r="V840" s="4"/>
    </row>
    <row r="841">
      <c r="A841" s="1" t="s">
        <v>16334</v>
      </c>
      <c r="B841" s="1" t="s">
        <v>16335</v>
      </c>
      <c r="C841" s="1" t="s">
        <v>16336</v>
      </c>
      <c r="D841" s="1" t="s">
        <v>16221</v>
      </c>
      <c r="E841" s="1" t="s">
        <v>16222</v>
      </c>
      <c r="F841" s="1">
        <v>79706.0</v>
      </c>
      <c r="G841" s="1">
        <v>3008.0</v>
      </c>
      <c r="H841" s="1">
        <v>280.0</v>
      </c>
      <c r="I841" s="1">
        <v>4770000.0</v>
      </c>
      <c r="J841" s="1" t="s">
        <v>2468</v>
      </c>
      <c r="K841" s="5">
        <f t="shared" si="2"/>
        <v>0.01670985325</v>
      </c>
      <c r="L841" s="6">
        <f t="shared" si="3"/>
        <v>403</v>
      </c>
      <c r="M841" s="6">
        <f t="shared" si="4"/>
        <v>197.7816377</v>
      </c>
      <c r="N841" s="7">
        <f t="shared" si="5"/>
        <v>0.00004146365571</v>
      </c>
      <c r="O841" s="7"/>
      <c r="P841" s="4">
        <f t="shared" si="6"/>
        <v>-0.4203204591</v>
      </c>
      <c r="Q841" s="4">
        <f t="shared" si="7"/>
        <v>10</v>
      </c>
      <c r="R841" s="4">
        <f t="shared" si="8"/>
        <v>0</v>
      </c>
      <c r="S841" s="4">
        <f t="shared" si="9"/>
        <v>-0.4203204591</v>
      </c>
      <c r="T841" s="4">
        <f t="shared" si="10"/>
        <v>56</v>
      </c>
      <c r="U841" s="4">
        <f t="shared" si="1"/>
        <v>-0.4203204591</v>
      </c>
      <c r="V841" s="4"/>
    </row>
    <row r="842">
      <c r="A842" s="1" t="s">
        <v>16337</v>
      </c>
      <c r="B842" s="1" t="s">
        <v>16338</v>
      </c>
      <c r="C842" s="1" t="s">
        <v>16339</v>
      </c>
      <c r="D842" s="1" t="s">
        <v>16221</v>
      </c>
      <c r="E842" s="1" t="s">
        <v>16222</v>
      </c>
      <c r="F842" s="1">
        <v>226180.0</v>
      </c>
      <c r="G842" s="1">
        <v>6757.0</v>
      </c>
      <c r="H842" s="1">
        <v>758.0</v>
      </c>
      <c r="I842" s="1">
        <v>4770000.0</v>
      </c>
      <c r="J842" s="1" t="s">
        <v>2468</v>
      </c>
      <c r="K842" s="5">
        <f t="shared" si="2"/>
        <v>0.04741719078</v>
      </c>
      <c r="L842" s="6">
        <f t="shared" si="3"/>
        <v>408</v>
      </c>
      <c r="M842" s="6">
        <f t="shared" si="4"/>
        <v>554.3627451</v>
      </c>
      <c r="N842" s="7">
        <f t="shared" si="5"/>
        <v>0.0001162186048</v>
      </c>
      <c r="O842" s="7"/>
      <c r="P842" s="4">
        <f t="shared" si="6"/>
        <v>-0.367665807</v>
      </c>
      <c r="Q842" s="4">
        <f t="shared" si="7"/>
        <v>6</v>
      </c>
      <c r="R842" s="4">
        <f t="shared" si="8"/>
        <v>0</v>
      </c>
      <c r="S842" s="4">
        <f t="shared" si="9"/>
        <v>-0.367665807</v>
      </c>
      <c r="T842" s="4">
        <f t="shared" si="10"/>
        <v>33</v>
      </c>
      <c r="U842" s="4">
        <f t="shared" si="1"/>
        <v>-0.367665807</v>
      </c>
      <c r="V842" s="4"/>
    </row>
    <row r="843">
      <c r="A843" s="1" t="s">
        <v>16340</v>
      </c>
      <c r="B843" s="1" t="s">
        <v>16341</v>
      </c>
      <c r="C843" s="1" t="s">
        <v>16342</v>
      </c>
      <c r="D843" s="1" t="s">
        <v>16221</v>
      </c>
      <c r="E843" s="1" t="s">
        <v>16222</v>
      </c>
      <c r="F843" s="1">
        <v>241669.0</v>
      </c>
      <c r="G843" s="1">
        <v>9604.0</v>
      </c>
      <c r="H843" s="1">
        <v>715.0</v>
      </c>
      <c r="I843" s="1">
        <v>4770000.0</v>
      </c>
      <c r="J843" s="1" t="s">
        <v>2468</v>
      </c>
      <c r="K843" s="5">
        <f t="shared" si="2"/>
        <v>0.05066436059</v>
      </c>
      <c r="L843" s="6">
        <f t="shared" si="3"/>
        <v>421</v>
      </c>
      <c r="M843" s="6">
        <f t="shared" si="4"/>
        <v>574.0356295</v>
      </c>
      <c r="N843" s="7">
        <f t="shared" si="5"/>
        <v>0.0001203428993</v>
      </c>
      <c r="O843" s="7"/>
      <c r="P843" s="4">
        <f t="shared" si="6"/>
        <v>-0.3647608048</v>
      </c>
      <c r="Q843" s="4">
        <f t="shared" si="7"/>
        <v>8</v>
      </c>
      <c r="R843" s="4">
        <f t="shared" si="8"/>
        <v>0</v>
      </c>
      <c r="S843" s="4">
        <f t="shared" si="9"/>
        <v>-0.3647608048</v>
      </c>
      <c r="T843" s="4">
        <f t="shared" si="10"/>
        <v>41</v>
      </c>
      <c r="U843" s="4">
        <f t="shared" si="1"/>
        <v>-0.3647608048</v>
      </c>
      <c r="V843" s="4"/>
    </row>
    <row r="844">
      <c r="A844" s="1" t="s">
        <v>16343</v>
      </c>
      <c r="B844" s="1" t="s">
        <v>16344</v>
      </c>
      <c r="C844" s="1" t="s">
        <v>16345</v>
      </c>
      <c r="D844" s="1" t="s">
        <v>16221</v>
      </c>
      <c r="E844" s="1" t="s">
        <v>16222</v>
      </c>
      <c r="F844" s="1">
        <v>321194.0</v>
      </c>
      <c r="G844" s="1">
        <v>8350.0</v>
      </c>
      <c r="H844" s="1">
        <v>689.0</v>
      </c>
      <c r="I844" s="1">
        <v>4770000.0</v>
      </c>
      <c r="J844" s="1" t="s">
        <v>2468</v>
      </c>
      <c r="K844" s="5">
        <f t="shared" si="2"/>
        <v>0.06733626834</v>
      </c>
      <c r="L844" s="6">
        <f t="shared" si="3"/>
        <v>428</v>
      </c>
      <c r="M844" s="6">
        <f t="shared" si="4"/>
        <v>750.453271</v>
      </c>
      <c r="N844" s="7">
        <f t="shared" si="5"/>
        <v>0.0001573277298</v>
      </c>
      <c r="O844" s="7"/>
      <c r="P844" s="4">
        <f t="shared" si="6"/>
        <v>-0.3387100428</v>
      </c>
      <c r="Q844" s="4">
        <f t="shared" si="7"/>
        <v>5</v>
      </c>
      <c r="R844" s="4">
        <f t="shared" si="8"/>
        <v>0</v>
      </c>
      <c r="S844" s="4">
        <f t="shared" si="9"/>
        <v>-0.3387100428</v>
      </c>
      <c r="T844" s="4">
        <f t="shared" si="10"/>
        <v>26</v>
      </c>
      <c r="U844" s="4">
        <f t="shared" si="1"/>
        <v>-0.3387100428</v>
      </c>
      <c r="V844" s="4"/>
    </row>
    <row r="845">
      <c r="A845" s="1" t="s">
        <v>16346</v>
      </c>
      <c r="B845" s="1" t="s">
        <v>16347</v>
      </c>
      <c r="C845" s="1" t="s">
        <v>16348</v>
      </c>
      <c r="D845" s="1" t="s">
        <v>16221</v>
      </c>
      <c r="E845" s="1" t="s">
        <v>16222</v>
      </c>
      <c r="F845" s="1">
        <v>134879.0</v>
      </c>
      <c r="G845" s="1">
        <v>5014.0</v>
      </c>
      <c r="H845" s="1">
        <v>391.0</v>
      </c>
      <c r="I845" s="1">
        <v>4770000.0</v>
      </c>
      <c r="J845" s="1" t="s">
        <v>2468</v>
      </c>
      <c r="K845" s="5">
        <f t="shared" si="2"/>
        <v>0.02827651992</v>
      </c>
      <c r="L845" s="6">
        <f t="shared" si="3"/>
        <v>438</v>
      </c>
      <c r="M845" s="6">
        <f t="shared" si="4"/>
        <v>307.9429224</v>
      </c>
      <c r="N845" s="7">
        <f t="shared" si="5"/>
        <v>0.00006455826465</v>
      </c>
      <c r="O845" s="7"/>
      <c r="P845" s="4">
        <f t="shared" si="6"/>
        <v>-0.4040534612</v>
      </c>
      <c r="Q845" s="4">
        <f t="shared" si="7"/>
        <v>5</v>
      </c>
      <c r="R845" s="4">
        <f t="shared" si="8"/>
        <v>0</v>
      </c>
      <c r="S845" s="4">
        <f t="shared" si="9"/>
        <v>-0.4040534612</v>
      </c>
      <c r="T845" s="4">
        <f t="shared" si="10"/>
        <v>32</v>
      </c>
      <c r="U845" s="4">
        <f t="shared" si="1"/>
        <v>-0.4040534612</v>
      </c>
      <c r="V845" s="4"/>
    </row>
    <row r="846">
      <c r="A846" s="1" t="s">
        <v>16349</v>
      </c>
      <c r="B846" s="1" t="s">
        <v>16350</v>
      </c>
      <c r="C846" s="1" t="s">
        <v>16351</v>
      </c>
      <c r="D846" s="1" t="s">
        <v>16221</v>
      </c>
      <c r="E846" s="1" t="s">
        <v>16222</v>
      </c>
      <c r="F846" s="1">
        <v>442405.0</v>
      </c>
      <c r="G846" s="1">
        <v>13650.0</v>
      </c>
      <c r="H846" s="1">
        <v>782.0</v>
      </c>
      <c r="I846" s="1">
        <v>4770000.0</v>
      </c>
      <c r="J846" s="1" t="s">
        <v>2468</v>
      </c>
      <c r="K846" s="5">
        <f t="shared" si="2"/>
        <v>0.09274737945</v>
      </c>
      <c r="L846" s="6">
        <f t="shared" si="3"/>
        <v>443</v>
      </c>
      <c r="M846" s="6">
        <f t="shared" si="4"/>
        <v>998.6568849</v>
      </c>
      <c r="N846" s="7">
        <f t="shared" si="5"/>
        <v>0.0002093620304</v>
      </c>
      <c r="O846" s="7"/>
      <c r="P846" s="4">
        <f t="shared" si="6"/>
        <v>-0.3020589846</v>
      </c>
      <c r="Q846" s="4">
        <f t="shared" si="7"/>
        <v>8</v>
      </c>
      <c r="R846" s="4">
        <f t="shared" si="8"/>
        <v>0</v>
      </c>
      <c r="S846" s="4">
        <f t="shared" si="9"/>
        <v>-0.3020589846</v>
      </c>
      <c r="T846" s="4">
        <f t="shared" si="10"/>
        <v>44</v>
      </c>
      <c r="U846" s="4">
        <f t="shared" si="1"/>
        <v>-0.3020589846</v>
      </c>
      <c r="V846" s="4"/>
    </row>
    <row r="847">
      <c r="A847" s="1" t="s">
        <v>16352</v>
      </c>
      <c r="B847" s="1" t="s">
        <v>16353</v>
      </c>
      <c r="C847" s="1" t="s">
        <v>16354</v>
      </c>
      <c r="D847" s="1" t="s">
        <v>16221</v>
      </c>
      <c r="E847" s="1" t="s">
        <v>16222</v>
      </c>
      <c r="F847" s="1">
        <v>251365.0</v>
      </c>
      <c r="G847" s="1">
        <v>7567.0</v>
      </c>
      <c r="H847" s="1">
        <v>953.0</v>
      </c>
      <c r="I847" s="1">
        <v>4770000.0</v>
      </c>
      <c r="J847" s="1" t="s">
        <v>2468</v>
      </c>
      <c r="K847" s="5">
        <f t="shared" si="2"/>
        <v>0.05269706499</v>
      </c>
      <c r="L847" s="6">
        <f t="shared" si="3"/>
        <v>475</v>
      </c>
      <c r="M847" s="6">
        <f t="shared" si="4"/>
        <v>529.1894737</v>
      </c>
      <c r="N847" s="7">
        <f t="shared" si="5"/>
        <v>0.0001109411895</v>
      </c>
      <c r="O847" s="7"/>
      <c r="P847" s="4">
        <f t="shared" si="6"/>
        <v>-0.3713830253</v>
      </c>
      <c r="Q847" s="4">
        <f t="shared" si="7"/>
        <v>8</v>
      </c>
      <c r="R847" s="4">
        <f t="shared" si="8"/>
        <v>0</v>
      </c>
      <c r="S847" s="4">
        <f t="shared" si="9"/>
        <v>-0.3713830253</v>
      </c>
      <c r="T847" s="4">
        <f t="shared" si="10"/>
        <v>40</v>
      </c>
      <c r="U847" s="4">
        <f t="shared" si="1"/>
        <v>-0.3713830253</v>
      </c>
      <c r="V847" s="4"/>
    </row>
    <row r="848">
      <c r="A848" s="1" t="s">
        <v>16355</v>
      </c>
      <c r="B848" s="1" t="s">
        <v>16356</v>
      </c>
      <c r="C848" s="1" t="s">
        <v>16357</v>
      </c>
      <c r="D848" s="1" t="s">
        <v>16221</v>
      </c>
      <c r="E848" s="1" t="s">
        <v>16222</v>
      </c>
      <c r="F848" s="1">
        <v>168931.0</v>
      </c>
      <c r="G848" s="1">
        <v>5812.0</v>
      </c>
      <c r="H848" s="1">
        <v>282.0</v>
      </c>
      <c r="I848" s="1">
        <v>4770000.0</v>
      </c>
      <c r="J848" s="1" t="s">
        <v>2468</v>
      </c>
      <c r="K848" s="5">
        <f t="shared" si="2"/>
        <v>0.03541530398</v>
      </c>
      <c r="L848" s="6">
        <f t="shared" si="3"/>
        <v>501</v>
      </c>
      <c r="M848" s="6">
        <f t="shared" si="4"/>
        <v>337.1876248</v>
      </c>
      <c r="N848" s="7">
        <f t="shared" si="5"/>
        <v>0.00007068922951</v>
      </c>
      <c r="O848" s="7"/>
      <c r="P848" s="4">
        <f t="shared" si="6"/>
        <v>-0.3997350338</v>
      </c>
      <c r="Q848" s="4">
        <f t="shared" si="7"/>
        <v>6</v>
      </c>
      <c r="R848" s="4">
        <f t="shared" si="8"/>
        <v>0</v>
      </c>
      <c r="S848" s="4">
        <f t="shared" si="9"/>
        <v>-0.3997350338</v>
      </c>
      <c r="T848" s="4">
        <f t="shared" si="10"/>
        <v>32</v>
      </c>
      <c r="U848" s="4">
        <f t="shared" si="1"/>
        <v>-0.3997350338</v>
      </c>
      <c r="V848" s="4"/>
    </row>
    <row r="849">
      <c r="A849" s="1" t="s">
        <v>16358</v>
      </c>
      <c r="B849" s="1" t="s">
        <v>16359</v>
      </c>
      <c r="C849" s="1" t="s">
        <v>16360</v>
      </c>
      <c r="D849" s="1" t="s">
        <v>16221</v>
      </c>
      <c r="E849" s="1" t="s">
        <v>16222</v>
      </c>
      <c r="F849" s="1">
        <v>229846.0</v>
      </c>
      <c r="G849" s="1">
        <v>5618.0</v>
      </c>
      <c r="H849" s="1">
        <v>353.0</v>
      </c>
      <c r="I849" s="1">
        <v>4770000.0</v>
      </c>
      <c r="J849" s="1" t="s">
        <v>2468</v>
      </c>
      <c r="K849" s="5">
        <f t="shared" si="2"/>
        <v>0.04818574423</v>
      </c>
      <c r="L849" s="6">
        <f t="shared" si="3"/>
        <v>506</v>
      </c>
      <c r="M849" s="6">
        <f t="shared" si="4"/>
        <v>454.2411067</v>
      </c>
      <c r="N849" s="7">
        <f t="shared" si="5"/>
        <v>0.00009522874355</v>
      </c>
      <c r="O849" s="7"/>
      <c r="P849" s="4">
        <f t="shared" si="6"/>
        <v>-0.3824502976</v>
      </c>
      <c r="Q849" s="4">
        <f t="shared" si="7"/>
        <v>6</v>
      </c>
      <c r="R849" s="4">
        <f t="shared" si="8"/>
        <v>0</v>
      </c>
      <c r="S849" s="4">
        <f t="shared" si="9"/>
        <v>-0.3824502976</v>
      </c>
      <c r="T849" s="4">
        <f t="shared" si="10"/>
        <v>31</v>
      </c>
      <c r="U849" s="4">
        <f t="shared" si="1"/>
        <v>-0.3824502976</v>
      </c>
      <c r="V849" s="4"/>
    </row>
    <row r="850">
      <c r="A850" s="1" t="s">
        <v>16361</v>
      </c>
      <c r="B850" s="1" t="s">
        <v>16362</v>
      </c>
      <c r="C850" s="1" t="s">
        <v>16363</v>
      </c>
      <c r="D850" s="1" t="s">
        <v>16221</v>
      </c>
      <c r="E850" s="1" t="s">
        <v>16222</v>
      </c>
      <c r="F850" s="1">
        <v>93090.0</v>
      </c>
      <c r="G850" s="1">
        <v>3903.0</v>
      </c>
      <c r="H850" s="1">
        <v>285.0</v>
      </c>
      <c r="I850" s="1">
        <v>4770000.0</v>
      </c>
      <c r="J850" s="1" t="s">
        <v>2468</v>
      </c>
      <c r="K850" s="5">
        <f t="shared" si="2"/>
        <v>0.01951572327</v>
      </c>
      <c r="L850" s="6">
        <f t="shared" si="3"/>
        <v>510</v>
      </c>
      <c r="M850" s="6">
        <f t="shared" si="4"/>
        <v>182.5294118</v>
      </c>
      <c r="N850" s="7">
        <f t="shared" si="5"/>
        <v>0.00003826612406</v>
      </c>
      <c r="O850" s="7"/>
      <c r="P850" s="4">
        <f t="shared" si="6"/>
        <v>-0.4225726834</v>
      </c>
      <c r="Q850" s="4">
        <f t="shared" si="7"/>
        <v>7</v>
      </c>
      <c r="R850" s="4">
        <f t="shared" si="8"/>
        <v>0</v>
      </c>
      <c r="S850" s="4">
        <f t="shared" si="9"/>
        <v>-0.4225726834</v>
      </c>
      <c r="T850" s="4">
        <f t="shared" si="10"/>
        <v>39</v>
      </c>
      <c r="U850" s="4">
        <f t="shared" si="1"/>
        <v>-0.4225726834</v>
      </c>
      <c r="V850" s="4"/>
    </row>
    <row r="851">
      <c r="A851" s="1" t="s">
        <v>16364</v>
      </c>
      <c r="B851" s="1" t="s">
        <v>16365</v>
      </c>
      <c r="C851" s="1" t="s">
        <v>16366</v>
      </c>
      <c r="D851" s="1" t="s">
        <v>16221</v>
      </c>
      <c r="E851" s="1" t="s">
        <v>16222</v>
      </c>
      <c r="F851" s="1">
        <v>475913.0</v>
      </c>
      <c r="G851" s="1">
        <v>11816.0</v>
      </c>
      <c r="H851" s="1">
        <v>1303.0</v>
      </c>
      <c r="I851" s="1">
        <v>4770000.0</v>
      </c>
      <c r="J851" s="1" t="s">
        <v>2468</v>
      </c>
      <c r="K851" s="5">
        <f t="shared" si="2"/>
        <v>0.0997721174</v>
      </c>
      <c r="L851" s="6">
        <f t="shared" si="3"/>
        <v>538</v>
      </c>
      <c r="M851" s="6">
        <f t="shared" si="4"/>
        <v>884.5966543</v>
      </c>
      <c r="N851" s="7">
        <f t="shared" si="5"/>
        <v>0.0001854500323</v>
      </c>
      <c r="O851" s="7"/>
      <c r="P851" s="4">
        <f t="shared" si="6"/>
        <v>-0.3189017214</v>
      </c>
      <c r="Q851" s="4">
        <f t="shared" si="7"/>
        <v>9</v>
      </c>
      <c r="R851" s="4">
        <f t="shared" si="8"/>
        <v>0</v>
      </c>
      <c r="S851" s="4">
        <f t="shared" si="9"/>
        <v>-0.3189017214</v>
      </c>
      <c r="T851" s="4">
        <f t="shared" si="10"/>
        <v>45</v>
      </c>
      <c r="U851" s="4">
        <f t="shared" si="1"/>
        <v>-0.3189017214</v>
      </c>
      <c r="V851" s="4"/>
    </row>
    <row r="852">
      <c r="A852" s="1" t="s">
        <v>16367</v>
      </c>
      <c r="B852" s="1" t="s">
        <v>16368</v>
      </c>
      <c r="C852" s="1" t="s">
        <v>16369</v>
      </c>
      <c r="D852" s="1" t="s">
        <v>16221</v>
      </c>
      <c r="E852" s="1" t="s">
        <v>16222</v>
      </c>
      <c r="F852" s="1">
        <v>679708.0</v>
      </c>
      <c r="G852" s="1">
        <v>25476.0</v>
      </c>
      <c r="H852" s="1">
        <v>1648.0</v>
      </c>
      <c r="I852" s="1">
        <v>4770000.0</v>
      </c>
      <c r="J852" s="1" t="s">
        <v>2468</v>
      </c>
      <c r="K852" s="5">
        <f t="shared" si="2"/>
        <v>0.1424964361</v>
      </c>
      <c r="L852" s="6">
        <f t="shared" si="3"/>
        <v>545</v>
      </c>
      <c r="M852" s="6">
        <f t="shared" si="4"/>
        <v>1247.170642</v>
      </c>
      <c r="N852" s="7">
        <f t="shared" si="5"/>
        <v>0.0002614613506</v>
      </c>
      <c r="O852" s="7"/>
      <c r="P852" s="4">
        <f t="shared" si="6"/>
        <v>-0.2653621289</v>
      </c>
      <c r="Q852" s="4">
        <f t="shared" si="7"/>
        <v>5</v>
      </c>
      <c r="R852" s="4">
        <f t="shared" si="8"/>
        <v>0</v>
      </c>
      <c r="S852" s="4">
        <f t="shared" si="9"/>
        <v>-0.2653621289</v>
      </c>
      <c r="T852" s="4">
        <f t="shared" si="10"/>
        <v>34</v>
      </c>
      <c r="U852" s="4">
        <f t="shared" si="1"/>
        <v>-0.2653621289</v>
      </c>
      <c r="V852" s="4"/>
    </row>
    <row r="853">
      <c r="A853" s="1" t="s">
        <v>16370</v>
      </c>
      <c r="B853" s="1" t="s">
        <v>16371</v>
      </c>
      <c r="C853" s="1" t="s">
        <v>16372</v>
      </c>
      <c r="D853" s="1" t="s">
        <v>16221</v>
      </c>
      <c r="E853" s="1" t="s">
        <v>16222</v>
      </c>
      <c r="F853" s="1">
        <v>382612.0</v>
      </c>
      <c r="G853" s="1">
        <v>12831.0</v>
      </c>
      <c r="H853" s="1">
        <v>787.0</v>
      </c>
      <c r="I853" s="1">
        <v>4770000.0</v>
      </c>
      <c r="J853" s="1" t="s">
        <v>2468</v>
      </c>
      <c r="K853" s="5">
        <f t="shared" si="2"/>
        <v>0.08021215933</v>
      </c>
      <c r="L853" s="6">
        <f t="shared" si="3"/>
        <v>571</v>
      </c>
      <c r="M853" s="6">
        <f t="shared" si="4"/>
        <v>670.0735552</v>
      </c>
      <c r="N853" s="7">
        <f t="shared" si="5"/>
        <v>0.0001404766363</v>
      </c>
      <c r="O853" s="7"/>
      <c r="P853" s="4">
        <f t="shared" si="6"/>
        <v>-0.3505793368</v>
      </c>
      <c r="Q853" s="4">
        <f t="shared" si="7"/>
        <v>6</v>
      </c>
      <c r="R853" s="4">
        <f t="shared" si="8"/>
        <v>0</v>
      </c>
      <c r="S853" s="4">
        <f t="shared" si="9"/>
        <v>-0.3505793368</v>
      </c>
      <c r="T853" s="4">
        <f t="shared" si="10"/>
        <v>35</v>
      </c>
      <c r="U853" s="4">
        <f t="shared" si="1"/>
        <v>-0.3505793368</v>
      </c>
      <c r="V853" s="4"/>
    </row>
    <row r="854">
      <c r="A854" s="1" t="s">
        <v>16373</v>
      </c>
      <c r="B854" s="1" t="s">
        <v>16374</v>
      </c>
      <c r="C854" s="1" t="s">
        <v>16375</v>
      </c>
      <c r="D854" s="1" t="s">
        <v>16221</v>
      </c>
      <c r="E854" s="1" t="s">
        <v>16222</v>
      </c>
      <c r="F854" s="1">
        <v>83808.0</v>
      </c>
      <c r="G854" s="1">
        <v>2909.0</v>
      </c>
      <c r="H854" s="1">
        <v>199.0</v>
      </c>
      <c r="I854" s="1">
        <v>4770000.0</v>
      </c>
      <c r="J854" s="1" t="s">
        <v>2468</v>
      </c>
      <c r="K854" s="5">
        <f t="shared" si="2"/>
        <v>0.01756981132</v>
      </c>
      <c r="L854" s="6">
        <f t="shared" si="3"/>
        <v>575</v>
      </c>
      <c r="M854" s="6">
        <f t="shared" si="4"/>
        <v>145.7530435</v>
      </c>
      <c r="N854" s="7">
        <f t="shared" si="5"/>
        <v>0.0000305561936</v>
      </c>
      <c r="O854" s="7"/>
      <c r="P854" s="4">
        <f t="shared" si="6"/>
        <v>-0.4280032765</v>
      </c>
      <c r="Q854" s="4">
        <f t="shared" si="7"/>
        <v>6</v>
      </c>
      <c r="R854" s="4">
        <f t="shared" si="8"/>
        <v>0</v>
      </c>
      <c r="S854" s="4">
        <f t="shared" si="9"/>
        <v>-0.4280032765</v>
      </c>
      <c r="T854" s="4">
        <f t="shared" si="10"/>
        <v>45</v>
      </c>
      <c r="U854" s="4">
        <f t="shared" si="1"/>
        <v>-0.4280032765</v>
      </c>
      <c r="V854" s="4"/>
    </row>
    <row r="855">
      <c r="A855" s="1" t="s">
        <v>16376</v>
      </c>
      <c r="B855" s="1" t="s">
        <v>16377</v>
      </c>
      <c r="C855" s="1" t="s">
        <v>16378</v>
      </c>
      <c r="D855" s="1" t="s">
        <v>16221</v>
      </c>
      <c r="E855" s="1" t="s">
        <v>16222</v>
      </c>
      <c r="F855" s="1">
        <v>85020.0</v>
      </c>
      <c r="G855" s="1">
        <v>3131.0</v>
      </c>
      <c r="H855" s="1">
        <v>127.0</v>
      </c>
      <c r="I855" s="1">
        <v>4770000.0</v>
      </c>
      <c r="J855" s="1" t="s">
        <v>2468</v>
      </c>
      <c r="K855" s="5">
        <f t="shared" si="2"/>
        <v>0.01782389937</v>
      </c>
      <c r="L855" s="6">
        <f t="shared" si="3"/>
        <v>585</v>
      </c>
      <c r="M855" s="6">
        <f t="shared" si="4"/>
        <v>145.3333333</v>
      </c>
      <c r="N855" s="7">
        <f t="shared" si="5"/>
        <v>0.00003046820405</v>
      </c>
      <c r="O855" s="7"/>
      <c r="P855" s="4">
        <f t="shared" si="6"/>
        <v>-0.4280652531</v>
      </c>
      <c r="Q855" s="4">
        <f t="shared" si="7"/>
        <v>9</v>
      </c>
      <c r="R855" s="4">
        <f t="shared" si="8"/>
        <v>0</v>
      </c>
      <c r="S855" s="4">
        <f t="shared" si="9"/>
        <v>-0.4280652531</v>
      </c>
      <c r="T855" s="4">
        <f t="shared" si="10"/>
        <v>53</v>
      </c>
      <c r="U855" s="4">
        <f t="shared" si="1"/>
        <v>-0.4280652531</v>
      </c>
      <c r="V855" s="4"/>
    </row>
    <row r="856">
      <c r="A856" s="1" t="s">
        <v>16379</v>
      </c>
      <c r="B856" s="1" t="s">
        <v>16380</v>
      </c>
      <c r="C856" s="1" t="s">
        <v>16381</v>
      </c>
      <c r="D856" s="1" t="s">
        <v>16221</v>
      </c>
      <c r="E856" s="1" t="s">
        <v>16222</v>
      </c>
      <c r="F856" s="1">
        <v>126522.0</v>
      </c>
      <c r="G856" s="1">
        <v>3971.0</v>
      </c>
      <c r="H856" s="1">
        <v>287.0</v>
      </c>
      <c r="I856" s="1">
        <v>4770000.0</v>
      </c>
      <c r="J856" s="1" t="s">
        <v>2468</v>
      </c>
      <c r="K856" s="5">
        <f t="shared" si="2"/>
        <v>0.0265245283</v>
      </c>
      <c r="L856" s="6">
        <f t="shared" si="3"/>
        <v>591</v>
      </c>
      <c r="M856" s="6">
        <f t="shared" si="4"/>
        <v>214.0812183</v>
      </c>
      <c r="N856" s="7">
        <f t="shared" si="5"/>
        <v>0.00004488075855</v>
      </c>
      <c r="O856" s="7"/>
      <c r="P856" s="4">
        <f t="shared" si="6"/>
        <v>-0.4179135768</v>
      </c>
      <c r="Q856" s="4">
        <f t="shared" si="7"/>
        <v>8</v>
      </c>
      <c r="R856" s="4">
        <f t="shared" si="8"/>
        <v>0</v>
      </c>
      <c r="S856" s="4">
        <f t="shared" si="9"/>
        <v>-0.4179135768</v>
      </c>
      <c r="T856" s="4">
        <f t="shared" si="10"/>
        <v>56</v>
      </c>
      <c r="U856" s="4">
        <f t="shared" si="1"/>
        <v>-0.4179135768</v>
      </c>
      <c r="V856" s="4"/>
    </row>
    <row r="857">
      <c r="A857" s="1" t="s">
        <v>16382</v>
      </c>
      <c r="B857" s="1" t="s">
        <v>16383</v>
      </c>
      <c r="C857" s="1" t="s">
        <v>16384</v>
      </c>
      <c r="D857" s="1" t="s">
        <v>16221</v>
      </c>
      <c r="E857" s="1" t="s">
        <v>16222</v>
      </c>
      <c r="F857" s="1">
        <v>177751.0</v>
      </c>
      <c r="G857" s="1">
        <v>5300.0</v>
      </c>
      <c r="H857" s="1">
        <v>299.0</v>
      </c>
      <c r="I857" s="1">
        <v>4770000.0</v>
      </c>
      <c r="J857" s="1" t="s">
        <v>2468</v>
      </c>
      <c r="K857" s="5">
        <f t="shared" si="2"/>
        <v>0.03726436059</v>
      </c>
      <c r="L857" s="6">
        <f t="shared" si="3"/>
        <v>601</v>
      </c>
      <c r="M857" s="6">
        <f t="shared" si="4"/>
        <v>295.7587354</v>
      </c>
      <c r="N857" s="7">
        <f t="shared" si="5"/>
        <v>0.00006200392777</v>
      </c>
      <c r="O857" s="7"/>
      <c r="P857" s="4">
        <f t="shared" si="6"/>
        <v>-0.4058526427</v>
      </c>
      <c r="Q857" s="4">
        <f t="shared" si="7"/>
        <v>8</v>
      </c>
      <c r="R857" s="4">
        <f t="shared" si="8"/>
        <v>0</v>
      </c>
      <c r="S857" s="4">
        <f t="shared" si="9"/>
        <v>-0.4058526427</v>
      </c>
      <c r="T857" s="4">
        <f t="shared" si="10"/>
        <v>54</v>
      </c>
      <c r="U857" s="4">
        <f t="shared" si="1"/>
        <v>-0.4058526427</v>
      </c>
      <c r="V857" s="4"/>
    </row>
    <row r="858">
      <c r="A858" s="1" t="s">
        <v>16385</v>
      </c>
      <c r="B858" s="1" t="s">
        <v>16386</v>
      </c>
      <c r="C858" s="1" t="s">
        <v>16387</v>
      </c>
      <c r="D858" s="1" t="s">
        <v>16221</v>
      </c>
      <c r="E858" s="1" t="s">
        <v>16222</v>
      </c>
      <c r="F858" s="1">
        <v>164594.0</v>
      </c>
      <c r="G858" s="1">
        <v>5128.0</v>
      </c>
      <c r="H858" s="1">
        <v>414.0</v>
      </c>
      <c r="I858" s="1">
        <v>4770000.0</v>
      </c>
      <c r="J858" s="1" t="s">
        <v>2468</v>
      </c>
      <c r="K858" s="5">
        <f t="shared" si="2"/>
        <v>0.03450607966</v>
      </c>
      <c r="L858" s="6">
        <f t="shared" si="3"/>
        <v>619</v>
      </c>
      <c r="M858" s="6">
        <f t="shared" si="4"/>
        <v>265.9030695</v>
      </c>
      <c r="N858" s="7">
        <f t="shared" si="5"/>
        <v>0.00005574487829</v>
      </c>
      <c r="O858" s="7"/>
      <c r="P858" s="4">
        <f t="shared" si="6"/>
        <v>-0.4102612882</v>
      </c>
      <c r="Q858" s="4">
        <f t="shared" si="7"/>
        <v>7</v>
      </c>
      <c r="R858" s="4">
        <f t="shared" si="8"/>
        <v>0</v>
      </c>
      <c r="S858" s="4">
        <f t="shared" si="9"/>
        <v>-0.4102612882</v>
      </c>
      <c r="T858" s="4">
        <f t="shared" si="10"/>
        <v>41</v>
      </c>
      <c r="U858" s="4">
        <f t="shared" si="1"/>
        <v>-0.4102612882</v>
      </c>
      <c r="V858" s="4"/>
    </row>
    <row r="859">
      <c r="A859" s="1" t="s">
        <v>16388</v>
      </c>
      <c r="B859" s="1" t="s">
        <v>16389</v>
      </c>
      <c r="C859" s="1" t="s">
        <v>16390</v>
      </c>
      <c r="D859" s="1" t="s">
        <v>16221</v>
      </c>
      <c r="E859" s="1" t="s">
        <v>16222</v>
      </c>
      <c r="F859" s="1">
        <v>144907.0</v>
      </c>
      <c r="G859" s="1">
        <v>5930.0</v>
      </c>
      <c r="H859" s="1">
        <v>524.0</v>
      </c>
      <c r="I859" s="1">
        <v>4770000.0</v>
      </c>
      <c r="J859" s="1" t="s">
        <v>2468</v>
      </c>
      <c r="K859" s="5">
        <f t="shared" si="2"/>
        <v>0.030378826</v>
      </c>
      <c r="L859" s="6">
        <f t="shared" si="3"/>
        <v>625</v>
      </c>
      <c r="M859" s="6">
        <f t="shared" si="4"/>
        <v>231.8512</v>
      </c>
      <c r="N859" s="7">
        <f t="shared" si="5"/>
        <v>0.00004860612159</v>
      </c>
      <c r="O859" s="7"/>
      <c r="P859" s="4">
        <f t="shared" si="6"/>
        <v>-0.4152895674</v>
      </c>
      <c r="Q859" s="4">
        <f t="shared" si="7"/>
        <v>5</v>
      </c>
      <c r="R859" s="4">
        <f t="shared" si="8"/>
        <v>0</v>
      </c>
      <c r="S859" s="4">
        <f t="shared" si="9"/>
        <v>-0.4152895674</v>
      </c>
      <c r="T859" s="4">
        <f t="shared" si="10"/>
        <v>31</v>
      </c>
      <c r="U859" s="4">
        <f t="shared" si="1"/>
        <v>-0.4152895674</v>
      </c>
      <c r="V859" s="4"/>
    </row>
    <row r="860">
      <c r="A860" s="1" t="s">
        <v>16391</v>
      </c>
      <c r="B860" s="1" t="s">
        <v>16392</v>
      </c>
      <c r="C860" s="1" t="s">
        <v>16393</v>
      </c>
      <c r="D860" s="1" t="s">
        <v>16221</v>
      </c>
      <c r="E860" s="1" t="s">
        <v>16222</v>
      </c>
      <c r="F860" s="1">
        <v>248482.0</v>
      </c>
      <c r="G860" s="1">
        <v>9173.0</v>
      </c>
      <c r="H860" s="1">
        <v>510.0</v>
      </c>
      <c r="I860" s="1">
        <v>4770000.0</v>
      </c>
      <c r="J860" s="1" t="s">
        <v>2468</v>
      </c>
      <c r="K860" s="5">
        <f t="shared" si="2"/>
        <v>0.05209266247</v>
      </c>
      <c r="L860" s="6">
        <f t="shared" si="3"/>
        <v>630</v>
      </c>
      <c r="M860" s="6">
        <f t="shared" si="4"/>
        <v>394.415873</v>
      </c>
      <c r="N860" s="7">
        <f t="shared" si="5"/>
        <v>0.00008268676583</v>
      </c>
      <c r="O860" s="7"/>
      <c r="P860" s="4">
        <f t="shared" si="6"/>
        <v>-0.391284408</v>
      </c>
      <c r="Q860" s="4">
        <f t="shared" si="7"/>
        <v>10</v>
      </c>
      <c r="R860" s="4">
        <f t="shared" si="8"/>
        <v>0</v>
      </c>
      <c r="S860" s="4">
        <f t="shared" si="9"/>
        <v>-0.391284408</v>
      </c>
      <c r="T860" s="4">
        <f t="shared" si="10"/>
        <v>37</v>
      </c>
      <c r="U860" s="4">
        <f t="shared" si="1"/>
        <v>-0.391284408</v>
      </c>
      <c r="V860" s="4"/>
    </row>
    <row r="861">
      <c r="A861" s="1" t="s">
        <v>16394</v>
      </c>
      <c r="B861" s="1" t="s">
        <v>16395</v>
      </c>
      <c r="C861" s="1" t="s">
        <v>16396</v>
      </c>
      <c r="D861" s="1" t="s">
        <v>16221</v>
      </c>
      <c r="E861" s="1" t="s">
        <v>16222</v>
      </c>
      <c r="F861" s="1">
        <v>153575.0</v>
      </c>
      <c r="G861" s="1">
        <v>6665.0</v>
      </c>
      <c r="H861" s="1">
        <v>373.0</v>
      </c>
      <c r="I861" s="1">
        <v>4770000.0</v>
      </c>
      <c r="J861" s="1" t="s">
        <v>2468</v>
      </c>
      <c r="K861" s="5">
        <f t="shared" si="2"/>
        <v>0.03219601677</v>
      </c>
      <c r="L861" s="6">
        <f t="shared" si="3"/>
        <v>637</v>
      </c>
      <c r="M861" s="6">
        <f t="shared" si="4"/>
        <v>241.0910518</v>
      </c>
      <c r="N861" s="7">
        <f t="shared" si="5"/>
        <v>0.00005054319744</v>
      </c>
      <c r="O861" s="7"/>
      <c r="P861" s="4">
        <f t="shared" si="6"/>
        <v>-0.413925162</v>
      </c>
      <c r="Q861" s="4">
        <f t="shared" si="7"/>
        <v>5</v>
      </c>
      <c r="R861" s="4">
        <f t="shared" si="8"/>
        <v>0</v>
      </c>
      <c r="S861" s="4">
        <f t="shared" si="9"/>
        <v>-0.413925162</v>
      </c>
      <c r="T861" s="4">
        <f t="shared" si="10"/>
        <v>27</v>
      </c>
      <c r="U861" s="4">
        <f t="shared" si="1"/>
        <v>-0.413925162</v>
      </c>
      <c r="V861" s="4"/>
    </row>
    <row r="862">
      <c r="A862" s="1" t="s">
        <v>16397</v>
      </c>
      <c r="B862" s="1" t="s">
        <v>16398</v>
      </c>
      <c r="C862" s="1" t="s">
        <v>16399</v>
      </c>
      <c r="D862" s="1" t="s">
        <v>16221</v>
      </c>
      <c r="E862" s="1" t="s">
        <v>16222</v>
      </c>
      <c r="F862" s="1">
        <v>81966.0</v>
      </c>
      <c r="G862" s="1">
        <v>2517.0</v>
      </c>
      <c r="H862" s="1">
        <v>123.0</v>
      </c>
      <c r="I862" s="1">
        <v>4770000.0</v>
      </c>
      <c r="J862" s="1" t="s">
        <v>2468</v>
      </c>
      <c r="K862" s="5">
        <f t="shared" si="2"/>
        <v>0.0171836478</v>
      </c>
      <c r="L862" s="6">
        <f t="shared" si="3"/>
        <v>639</v>
      </c>
      <c r="M862" s="6">
        <f t="shared" si="4"/>
        <v>128.2723005</v>
      </c>
      <c r="N862" s="7">
        <f t="shared" si="5"/>
        <v>0.0000268914676</v>
      </c>
      <c r="O862" s="7"/>
      <c r="P862" s="4">
        <f t="shared" si="6"/>
        <v>-0.4305845754</v>
      </c>
      <c r="Q862" s="4">
        <f t="shared" si="7"/>
        <v>7</v>
      </c>
      <c r="R862" s="4">
        <f t="shared" si="8"/>
        <v>0</v>
      </c>
      <c r="S862" s="4">
        <f t="shared" si="9"/>
        <v>-0.4305845754</v>
      </c>
      <c r="T862" s="4">
        <f t="shared" si="10"/>
        <v>43</v>
      </c>
      <c r="U862" s="4">
        <f t="shared" si="1"/>
        <v>-0.4305845754</v>
      </c>
      <c r="V862" s="4"/>
    </row>
    <row r="863">
      <c r="A863" s="1" t="s">
        <v>16400</v>
      </c>
      <c r="B863" s="1" t="s">
        <v>16401</v>
      </c>
      <c r="C863" s="1" t="s">
        <v>16402</v>
      </c>
      <c r="D863" s="1" t="s">
        <v>16221</v>
      </c>
      <c r="E863" s="1" t="s">
        <v>16222</v>
      </c>
      <c r="F863" s="1">
        <v>362818.0</v>
      </c>
      <c r="G863" s="1">
        <v>10290.0</v>
      </c>
      <c r="H863" s="1">
        <v>1090.0</v>
      </c>
      <c r="I863" s="1">
        <v>4770000.0</v>
      </c>
      <c r="J863" s="1" t="s">
        <v>2468</v>
      </c>
      <c r="K863" s="5">
        <f t="shared" si="2"/>
        <v>0.07606247379</v>
      </c>
      <c r="L863" s="6">
        <f t="shared" si="3"/>
        <v>646</v>
      </c>
      <c r="M863" s="6">
        <f t="shared" si="4"/>
        <v>561.6377709</v>
      </c>
      <c r="N863" s="7">
        <f t="shared" si="5"/>
        <v>0.0001177437675</v>
      </c>
      <c r="O863" s="7"/>
      <c r="P863" s="4">
        <f t="shared" si="6"/>
        <v>-0.3665915382</v>
      </c>
      <c r="Q863" s="4">
        <f t="shared" si="7"/>
        <v>9</v>
      </c>
      <c r="R863" s="4">
        <f t="shared" si="8"/>
        <v>0</v>
      </c>
      <c r="S863" s="4">
        <f t="shared" si="9"/>
        <v>-0.3665915382</v>
      </c>
      <c r="T863" s="4">
        <f t="shared" si="10"/>
        <v>57</v>
      </c>
      <c r="U863" s="4">
        <f t="shared" si="1"/>
        <v>-0.3665915382</v>
      </c>
      <c r="V863" s="4"/>
    </row>
    <row r="864">
      <c r="A864" s="1" t="s">
        <v>16403</v>
      </c>
      <c r="B864" s="1" t="s">
        <v>16404</v>
      </c>
      <c r="C864" s="1" t="s">
        <v>16405</v>
      </c>
      <c r="D864" s="1" t="s">
        <v>16221</v>
      </c>
      <c r="E864" s="1" t="s">
        <v>16222</v>
      </c>
      <c r="F864" s="1">
        <v>93604.0</v>
      </c>
      <c r="G864" s="1">
        <v>3762.0</v>
      </c>
      <c r="H864" s="1">
        <v>195.0</v>
      </c>
      <c r="I864" s="1">
        <v>4770000.0</v>
      </c>
      <c r="J864" s="1" t="s">
        <v>2468</v>
      </c>
      <c r="K864" s="5">
        <f t="shared" si="2"/>
        <v>0.01962348008</v>
      </c>
      <c r="L864" s="6">
        <f t="shared" si="3"/>
        <v>657</v>
      </c>
      <c r="M864" s="6">
        <f t="shared" si="4"/>
        <v>142.4718417</v>
      </c>
      <c r="N864" s="7">
        <f t="shared" si="5"/>
        <v>0.00002986831063</v>
      </c>
      <c r="O864" s="7"/>
      <c r="P864" s="4">
        <f t="shared" si="6"/>
        <v>-0.4284877961</v>
      </c>
      <c r="Q864" s="4">
        <f t="shared" si="7"/>
        <v>4</v>
      </c>
      <c r="R864" s="4">
        <f t="shared" si="8"/>
        <v>0</v>
      </c>
      <c r="S864" s="4">
        <f t="shared" si="9"/>
        <v>-0.4284877961</v>
      </c>
      <c r="T864" s="4">
        <f t="shared" si="10"/>
        <v>23</v>
      </c>
      <c r="U864" s="4">
        <f t="shared" si="1"/>
        <v>-0.4284877961</v>
      </c>
      <c r="V864" s="4"/>
    </row>
    <row r="865">
      <c r="A865" s="1" t="s">
        <v>16406</v>
      </c>
      <c r="B865" s="1" t="s">
        <v>16407</v>
      </c>
      <c r="C865" s="1" t="s">
        <v>16408</v>
      </c>
      <c r="D865" s="1" t="s">
        <v>16221</v>
      </c>
      <c r="E865" s="1" t="s">
        <v>16222</v>
      </c>
      <c r="F865" s="1">
        <v>310732.0</v>
      </c>
      <c r="G865" s="1">
        <v>11262.0</v>
      </c>
      <c r="H865" s="1">
        <v>665.0</v>
      </c>
      <c r="I865" s="1">
        <v>4770000.0</v>
      </c>
      <c r="J865" s="1" t="s">
        <v>2468</v>
      </c>
      <c r="K865" s="5">
        <f t="shared" si="2"/>
        <v>0.06514297694</v>
      </c>
      <c r="L865" s="6">
        <f t="shared" si="3"/>
        <v>665</v>
      </c>
      <c r="M865" s="6">
        <f t="shared" si="4"/>
        <v>467.2661654</v>
      </c>
      <c r="N865" s="7">
        <f t="shared" si="5"/>
        <v>0.00009795936382</v>
      </c>
      <c r="O865" s="7"/>
      <c r="P865" s="4">
        <f t="shared" si="6"/>
        <v>-0.3805269485</v>
      </c>
      <c r="Q865" s="4">
        <f t="shared" si="7"/>
        <v>7</v>
      </c>
      <c r="R865" s="4">
        <f t="shared" si="8"/>
        <v>0</v>
      </c>
      <c r="S865" s="4">
        <f t="shared" si="9"/>
        <v>-0.3805269485</v>
      </c>
      <c r="T865" s="4">
        <f t="shared" si="10"/>
        <v>37</v>
      </c>
      <c r="U865" s="4">
        <f t="shared" si="1"/>
        <v>-0.3805269485</v>
      </c>
      <c r="V865" s="4"/>
    </row>
    <row r="866">
      <c r="A866" s="1" t="s">
        <v>16409</v>
      </c>
      <c r="B866" s="1" t="s">
        <v>16410</v>
      </c>
      <c r="C866" s="1" t="s">
        <v>16411</v>
      </c>
      <c r="D866" s="1" t="s">
        <v>16221</v>
      </c>
      <c r="E866" s="1" t="s">
        <v>16222</v>
      </c>
      <c r="F866" s="1">
        <v>207786.0</v>
      </c>
      <c r="G866" s="1">
        <v>6291.0</v>
      </c>
      <c r="H866" s="1">
        <v>469.0</v>
      </c>
      <c r="I866" s="1">
        <v>4770000.0</v>
      </c>
      <c r="J866" s="1" t="s">
        <v>2468</v>
      </c>
      <c r="K866" s="5">
        <f t="shared" si="2"/>
        <v>0.04356100629</v>
      </c>
      <c r="L866" s="6">
        <f t="shared" si="3"/>
        <v>670</v>
      </c>
      <c r="M866" s="6">
        <f t="shared" si="4"/>
        <v>310.1283582</v>
      </c>
      <c r="N866" s="7">
        <f t="shared" si="5"/>
        <v>0.0000650164273</v>
      </c>
      <c r="O866" s="7"/>
      <c r="P866" s="4">
        <f t="shared" si="6"/>
        <v>-0.4037307482</v>
      </c>
      <c r="Q866" s="4">
        <f t="shared" si="7"/>
        <v>6</v>
      </c>
      <c r="R866" s="4">
        <f t="shared" si="8"/>
        <v>0</v>
      </c>
      <c r="S866" s="4">
        <f t="shared" si="9"/>
        <v>-0.4037307482</v>
      </c>
      <c r="T866" s="4">
        <f t="shared" si="10"/>
        <v>30</v>
      </c>
      <c r="U866" s="4">
        <f t="shared" si="1"/>
        <v>-0.4037307482</v>
      </c>
      <c r="V866" s="4"/>
    </row>
    <row r="867">
      <c r="A867" s="1" t="s">
        <v>16412</v>
      </c>
      <c r="B867" s="1" t="s">
        <v>16413</v>
      </c>
      <c r="C867" s="1" t="s">
        <v>16414</v>
      </c>
      <c r="D867" s="1" t="s">
        <v>16221</v>
      </c>
      <c r="E867" s="1" t="s">
        <v>16222</v>
      </c>
      <c r="F867" s="1">
        <v>153019.0</v>
      </c>
      <c r="G867" s="1">
        <v>5034.0</v>
      </c>
      <c r="H867" s="1">
        <v>553.0</v>
      </c>
      <c r="I867" s="1">
        <v>4770000.0</v>
      </c>
      <c r="J867" s="1" t="s">
        <v>2468</v>
      </c>
      <c r="K867" s="5">
        <f t="shared" si="2"/>
        <v>0.03207945493</v>
      </c>
      <c r="L867" s="6">
        <f t="shared" si="3"/>
        <v>675</v>
      </c>
      <c r="M867" s="6">
        <f t="shared" si="4"/>
        <v>226.6948148</v>
      </c>
      <c r="N867" s="7">
        <f t="shared" si="5"/>
        <v>0.00004752511841</v>
      </c>
      <c r="O867" s="7"/>
      <c r="P867" s="4">
        <f t="shared" si="6"/>
        <v>-0.4160509865</v>
      </c>
      <c r="Q867" s="4">
        <f t="shared" si="7"/>
        <v>4</v>
      </c>
      <c r="R867" s="4">
        <f t="shared" si="8"/>
        <v>0</v>
      </c>
      <c r="S867" s="4">
        <f t="shared" si="9"/>
        <v>-0.4160509865</v>
      </c>
      <c r="T867" s="4">
        <f t="shared" si="10"/>
        <v>26</v>
      </c>
      <c r="U867" s="4">
        <f t="shared" si="1"/>
        <v>-0.4160509865</v>
      </c>
      <c r="V867" s="4"/>
    </row>
    <row r="868">
      <c r="A868" s="1" t="s">
        <v>16415</v>
      </c>
      <c r="B868" s="1" t="s">
        <v>16416</v>
      </c>
      <c r="C868" s="1" t="s">
        <v>16417</v>
      </c>
      <c r="D868" s="1" t="s">
        <v>16221</v>
      </c>
      <c r="E868" s="1" t="s">
        <v>16222</v>
      </c>
      <c r="F868" s="1">
        <v>152974.0</v>
      </c>
      <c r="G868" s="1">
        <v>7291.0</v>
      </c>
      <c r="H868" s="1">
        <v>715.0</v>
      </c>
      <c r="I868" s="1">
        <v>4770000.0</v>
      </c>
      <c r="J868" s="1" t="s">
        <v>2468</v>
      </c>
      <c r="K868" s="5">
        <f t="shared" si="2"/>
        <v>0.03207002096</v>
      </c>
      <c r="L868" s="6">
        <f t="shared" si="3"/>
        <v>678</v>
      </c>
      <c r="M868" s="6">
        <f t="shared" si="4"/>
        <v>225.6253687</v>
      </c>
      <c r="N868" s="7">
        <f t="shared" si="5"/>
        <v>0.00004730091588</v>
      </c>
      <c r="O868" s="7"/>
      <c r="P868" s="4">
        <f t="shared" si="6"/>
        <v>-0.4162089065</v>
      </c>
      <c r="Q868" s="4">
        <f t="shared" si="7"/>
        <v>4</v>
      </c>
      <c r="R868" s="4">
        <f t="shared" si="8"/>
        <v>0</v>
      </c>
      <c r="S868" s="4">
        <f t="shared" si="9"/>
        <v>-0.4162089065</v>
      </c>
      <c r="T868" s="4">
        <f t="shared" si="10"/>
        <v>19</v>
      </c>
      <c r="U868" s="4">
        <f t="shared" si="1"/>
        <v>-0.4162089065</v>
      </c>
      <c r="V868" s="4"/>
    </row>
    <row r="869">
      <c r="A869" s="1" t="s">
        <v>16418</v>
      </c>
      <c r="B869" s="1" t="s">
        <v>16419</v>
      </c>
      <c r="C869" s="1" t="s">
        <v>16420</v>
      </c>
      <c r="D869" s="1" t="s">
        <v>16221</v>
      </c>
      <c r="E869" s="1" t="s">
        <v>16222</v>
      </c>
      <c r="F869" s="1">
        <v>213875.0</v>
      </c>
      <c r="G869" s="1">
        <v>6964.0</v>
      </c>
      <c r="H869" s="1">
        <v>827.0</v>
      </c>
      <c r="I869" s="1">
        <v>4770000.0</v>
      </c>
      <c r="J869" s="1" t="s">
        <v>2468</v>
      </c>
      <c r="K869" s="5">
        <f t="shared" si="2"/>
        <v>0.04483752621</v>
      </c>
      <c r="L869" s="6">
        <f t="shared" si="3"/>
        <v>681</v>
      </c>
      <c r="M869" s="6">
        <f t="shared" si="4"/>
        <v>314.0602056</v>
      </c>
      <c r="N869" s="7">
        <f t="shared" si="5"/>
        <v>0.00006584071396</v>
      </c>
      <c r="O869" s="7"/>
      <c r="P869" s="4">
        <f t="shared" si="6"/>
        <v>-0.4031501508</v>
      </c>
      <c r="Q869" s="4">
        <f t="shared" si="7"/>
        <v>10</v>
      </c>
      <c r="R869" s="4">
        <f t="shared" si="8"/>
        <v>0</v>
      </c>
      <c r="S869" s="4">
        <f t="shared" si="9"/>
        <v>-0.4031501508</v>
      </c>
      <c r="T869" s="4">
        <f t="shared" si="10"/>
        <v>47</v>
      </c>
      <c r="U869" s="4">
        <f t="shared" si="1"/>
        <v>-0.4031501508</v>
      </c>
      <c r="V869" s="4"/>
    </row>
    <row r="870">
      <c r="A870" s="1" t="s">
        <v>16421</v>
      </c>
      <c r="B870" s="1" t="s">
        <v>16422</v>
      </c>
      <c r="C870" s="1" t="s">
        <v>16423</v>
      </c>
      <c r="D870" s="1" t="s">
        <v>16221</v>
      </c>
      <c r="E870" s="1" t="s">
        <v>16222</v>
      </c>
      <c r="F870" s="1">
        <v>154074.0</v>
      </c>
      <c r="G870" s="1">
        <v>6015.0</v>
      </c>
      <c r="H870" s="1">
        <v>471.0</v>
      </c>
      <c r="I870" s="1">
        <v>4770000.0</v>
      </c>
      <c r="J870" s="1" t="s">
        <v>2468</v>
      </c>
      <c r="K870" s="5">
        <f t="shared" si="2"/>
        <v>0.03230062893</v>
      </c>
      <c r="L870" s="6">
        <f t="shared" si="3"/>
        <v>683</v>
      </c>
      <c r="M870" s="6">
        <f t="shared" si="4"/>
        <v>225.5841874</v>
      </c>
      <c r="N870" s="7">
        <f t="shared" si="5"/>
        <v>0.00004729228248</v>
      </c>
      <c r="O870" s="7"/>
      <c r="P870" s="4">
        <f t="shared" si="6"/>
        <v>-0.4162149876</v>
      </c>
      <c r="Q870" s="4">
        <f t="shared" si="7"/>
        <v>9</v>
      </c>
      <c r="R870" s="4">
        <f t="shared" si="8"/>
        <v>0</v>
      </c>
      <c r="S870" s="4">
        <f t="shared" si="9"/>
        <v>-0.4162149876</v>
      </c>
      <c r="T870" s="4">
        <f t="shared" si="10"/>
        <v>47</v>
      </c>
      <c r="U870" s="4">
        <f t="shared" si="1"/>
        <v>-0.4162149876</v>
      </c>
      <c r="V870" s="4"/>
    </row>
    <row r="871">
      <c r="A871" s="1" t="s">
        <v>16424</v>
      </c>
      <c r="B871" s="1" t="s">
        <v>16425</v>
      </c>
      <c r="C871" s="1" t="s">
        <v>16426</v>
      </c>
      <c r="D871" s="1" t="s">
        <v>16221</v>
      </c>
      <c r="E871" s="1" t="s">
        <v>16222</v>
      </c>
      <c r="F871" s="1">
        <v>358533.0</v>
      </c>
      <c r="G871" s="1">
        <v>12795.0</v>
      </c>
      <c r="H871" s="1">
        <v>1126.0</v>
      </c>
      <c r="I871" s="1">
        <v>4770000.0</v>
      </c>
      <c r="J871" s="1" t="s">
        <v>2468</v>
      </c>
      <c r="K871" s="5">
        <f t="shared" si="2"/>
        <v>0.07516415094</v>
      </c>
      <c r="L871" s="6">
        <f t="shared" si="3"/>
        <v>697</v>
      </c>
      <c r="M871" s="6">
        <f t="shared" si="4"/>
        <v>514.3945481</v>
      </c>
      <c r="N871" s="7">
        <f t="shared" si="5"/>
        <v>0.0001078395279</v>
      </c>
      <c r="O871" s="7"/>
      <c r="P871" s="4">
        <f t="shared" si="6"/>
        <v>-0.3735677223</v>
      </c>
      <c r="Q871" s="4">
        <f t="shared" si="7"/>
        <v>5</v>
      </c>
      <c r="R871" s="4">
        <f t="shared" si="8"/>
        <v>0</v>
      </c>
      <c r="S871" s="4">
        <f t="shared" si="9"/>
        <v>-0.3735677223</v>
      </c>
      <c r="T871" s="4">
        <f t="shared" si="10"/>
        <v>27</v>
      </c>
      <c r="U871" s="4">
        <f t="shared" si="1"/>
        <v>-0.3735677223</v>
      </c>
      <c r="V871" s="4"/>
    </row>
    <row r="872">
      <c r="A872" s="1" t="s">
        <v>16427</v>
      </c>
      <c r="B872" s="1" t="s">
        <v>16428</v>
      </c>
      <c r="C872" s="1" t="s">
        <v>16429</v>
      </c>
      <c r="D872" s="1" t="s">
        <v>16221</v>
      </c>
      <c r="E872" s="1" t="s">
        <v>16222</v>
      </c>
      <c r="F872" s="1">
        <v>461093.0</v>
      </c>
      <c r="G872" s="1">
        <v>13536.0</v>
      </c>
      <c r="H872" s="1">
        <v>837.0</v>
      </c>
      <c r="I872" s="1">
        <v>4770000.0</v>
      </c>
      <c r="J872" s="1" t="s">
        <v>2468</v>
      </c>
      <c r="K872" s="5">
        <f t="shared" si="2"/>
        <v>0.09666519916</v>
      </c>
      <c r="L872" s="6">
        <f t="shared" si="3"/>
        <v>703</v>
      </c>
      <c r="M872" s="6">
        <f t="shared" si="4"/>
        <v>655.8933144</v>
      </c>
      <c r="N872" s="7">
        <f t="shared" si="5"/>
        <v>0.0001375038395</v>
      </c>
      <c r="O872" s="7"/>
      <c r="P872" s="4">
        <f t="shared" si="6"/>
        <v>-0.3526732661</v>
      </c>
      <c r="Q872" s="4">
        <f t="shared" si="7"/>
        <v>6</v>
      </c>
      <c r="R872" s="4">
        <f t="shared" si="8"/>
        <v>0</v>
      </c>
      <c r="S872" s="4">
        <f t="shared" si="9"/>
        <v>-0.3526732661</v>
      </c>
      <c r="T872" s="4">
        <f t="shared" si="10"/>
        <v>34</v>
      </c>
      <c r="U872" s="4">
        <f t="shared" si="1"/>
        <v>-0.3526732661</v>
      </c>
      <c r="V872" s="4"/>
    </row>
    <row r="873">
      <c r="A873" s="1" t="s">
        <v>16430</v>
      </c>
      <c r="B873" s="1" t="s">
        <v>16431</v>
      </c>
      <c r="C873" s="1" t="s">
        <v>16432</v>
      </c>
      <c r="D873" s="1" t="s">
        <v>16221</v>
      </c>
      <c r="E873" s="1" t="s">
        <v>16222</v>
      </c>
      <c r="F873" s="1">
        <v>228589.0</v>
      </c>
      <c r="G873" s="1">
        <v>8597.0</v>
      </c>
      <c r="H873" s="1">
        <v>842.0</v>
      </c>
      <c r="I873" s="1">
        <v>4770000.0</v>
      </c>
      <c r="J873" s="1" t="s">
        <v>2468</v>
      </c>
      <c r="K873" s="5">
        <f t="shared" si="2"/>
        <v>0.04792222222</v>
      </c>
      <c r="L873" s="6">
        <f t="shared" si="3"/>
        <v>711</v>
      </c>
      <c r="M873" s="6">
        <f t="shared" si="4"/>
        <v>321.5035162</v>
      </c>
      <c r="N873" s="7">
        <f t="shared" si="5"/>
        <v>0.00006740115643</v>
      </c>
      <c r="O873" s="7"/>
      <c r="P873" s="4">
        <f t="shared" si="6"/>
        <v>-0.4020510322</v>
      </c>
      <c r="Q873" s="4">
        <f t="shared" si="7"/>
        <v>4</v>
      </c>
      <c r="R873" s="4">
        <f t="shared" si="8"/>
        <v>0</v>
      </c>
      <c r="S873" s="4">
        <f t="shared" si="9"/>
        <v>-0.4020510322</v>
      </c>
      <c r="T873" s="4">
        <f t="shared" si="10"/>
        <v>25</v>
      </c>
      <c r="U873" s="4">
        <f t="shared" si="1"/>
        <v>-0.4020510322</v>
      </c>
      <c r="V873" s="4"/>
    </row>
    <row r="874">
      <c r="A874" s="1" t="s">
        <v>16433</v>
      </c>
      <c r="B874" s="1" t="s">
        <v>16434</v>
      </c>
      <c r="C874" s="1" t="s">
        <v>16435</v>
      </c>
      <c r="D874" s="1" t="s">
        <v>16221</v>
      </c>
      <c r="E874" s="1" t="s">
        <v>16222</v>
      </c>
      <c r="F874" s="1">
        <v>161785.0</v>
      </c>
      <c r="G874" s="1">
        <v>5982.0</v>
      </c>
      <c r="H874" s="1">
        <v>391.0</v>
      </c>
      <c r="I874" s="1">
        <v>4770000.0</v>
      </c>
      <c r="J874" s="1" t="s">
        <v>2468</v>
      </c>
      <c r="K874" s="5">
        <f t="shared" si="2"/>
        <v>0.03391719078</v>
      </c>
      <c r="L874" s="6">
        <f t="shared" si="3"/>
        <v>719</v>
      </c>
      <c r="M874" s="6">
        <f t="shared" si="4"/>
        <v>225.0139082</v>
      </c>
      <c r="N874" s="7">
        <f t="shared" si="5"/>
        <v>0.00004717272709</v>
      </c>
      <c r="O874" s="7"/>
      <c r="P874" s="4">
        <f t="shared" si="6"/>
        <v>-0.416299198</v>
      </c>
      <c r="Q874" s="4">
        <f t="shared" si="7"/>
        <v>9</v>
      </c>
      <c r="R874" s="4">
        <f t="shared" si="8"/>
        <v>0</v>
      </c>
      <c r="S874" s="4">
        <f t="shared" si="9"/>
        <v>-0.416299198</v>
      </c>
      <c r="T874" s="4">
        <f t="shared" si="10"/>
        <v>48</v>
      </c>
      <c r="U874" s="4">
        <f t="shared" si="1"/>
        <v>-0.416299198</v>
      </c>
      <c r="V874" s="4"/>
    </row>
    <row r="875">
      <c r="A875" s="1" t="s">
        <v>16436</v>
      </c>
      <c r="B875" s="1" t="s">
        <v>16437</v>
      </c>
      <c r="C875" s="1" t="s">
        <v>16438</v>
      </c>
      <c r="D875" s="1" t="s">
        <v>16221</v>
      </c>
      <c r="E875" s="1" t="s">
        <v>16222</v>
      </c>
      <c r="F875" s="1">
        <v>313299.0</v>
      </c>
      <c r="G875" s="1">
        <v>9588.0</v>
      </c>
      <c r="H875" s="1">
        <v>776.0</v>
      </c>
      <c r="I875" s="1">
        <v>4770000.0</v>
      </c>
      <c r="J875" s="1" t="s">
        <v>2468</v>
      </c>
      <c r="K875" s="5">
        <f t="shared" si="2"/>
        <v>0.06568113208</v>
      </c>
      <c r="L875" s="6">
        <f t="shared" si="3"/>
        <v>752</v>
      </c>
      <c r="M875" s="6">
        <f t="shared" si="4"/>
        <v>416.6210106</v>
      </c>
      <c r="N875" s="7">
        <f t="shared" si="5"/>
        <v>0.00008734193095</v>
      </c>
      <c r="O875" s="7"/>
      <c r="P875" s="4">
        <f t="shared" si="6"/>
        <v>-0.3880054799</v>
      </c>
      <c r="Q875" s="4">
        <f t="shared" si="7"/>
        <v>8</v>
      </c>
      <c r="R875" s="4">
        <f t="shared" si="8"/>
        <v>0</v>
      </c>
      <c r="S875" s="4">
        <f t="shared" si="9"/>
        <v>-0.3880054799</v>
      </c>
      <c r="T875" s="4">
        <f t="shared" si="10"/>
        <v>31</v>
      </c>
      <c r="U875" s="4">
        <f t="shared" si="1"/>
        <v>-0.3880054799</v>
      </c>
      <c r="V875" s="4"/>
    </row>
    <row r="876">
      <c r="A876" s="1" t="s">
        <v>16439</v>
      </c>
      <c r="B876" s="1" t="s">
        <v>16440</v>
      </c>
      <c r="C876" s="1" t="s">
        <v>16441</v>
      </c>
      <c r="D876" s="1" t="s">
        <v>16221</v>
      </c>
      <c r="E876" s="1" t="s">
        <v>16222</v>
      </c>
      <c r="F876" s="1">
        <v>2308850.0</v>
      </c>
      <c r="G876" s="1">
        <v>63514.0</v>
      </c>
      <c r="H876" s="1">
        <v>2143.0</v>
      </c>
      <c r="I876" s="1">
        <v>4770000.0</v>
      </c>
      <c r="J876" s="1" t="s">
        <v>2468</v>
      </c>
      <c r="K876" s="5">
        <f t="shared" si="2"/>
        <v>0.4840356394</v>
      </c>
      <c r="L876" s="6">
        <f t="shared" si="3"/>
        <v>764</v>
      </c>
      <c r="M876" s="6">
        <f t="shared" si="4"/>
        <v>3022.054974</v>
      </c>
      <c r="N876" s="7">
        <f t="shared" si="5"/>
        <v>0.0006335545018</v>
      </c>
      <c r="O876" s="7"/>
      <c r="P876" s="4">
        <f t="shared" si="6"/>
        <v>-0.00327332174</v>
      </c>
      <c r="Q876" s="4">
        <f t="shared" si="7"/>
        <v>8</v>
      </c>
      <c r="R876" s="4">
        <f t="shared" si="8"/>
        <v>0</v>
      </c>
      <c r="S876" s="4">
        <f t="shared" si="9"/>
        <v>-0.00327332174</v>
      </c>
      <c r="T876" s="4">
        <f t="shared" si="10"/>
        <v>35</v>
      </c>
      <c r="U876" s="4">
        <f t="shared" si="1"/>
        <v>-0.00327332174</v>
      </c>
      <c r="V876" s="4"/>
    </row>
    <row r="877">
      <c r="A877" s="1" t="s">
        <v>16442</v>
      </c>
      <c r="B877" s="1" t="s">
        <v>16443</v>
      </c>
      <c r="C877" s="1" t="s">
        <v>16444</v>
      </c>
      <c r="D877" s="1" t="s">
        <v>16221</v>
      </c>
      <c r="E877" s="1" t="s">
        <v>16222</v>
      </c>
      <c r="F877" s="1">
        <v>124141.0</v>
      </c>
      <c r="G877" s="1">
        <v>4694.0</v>
      </c>
      <c r="H877" s="1">
        <v>261.0</v>
      </c>
      <c r="I877" s="1">
        <v>4770000.0</v>
      </c>
      <c r="J877" s="1" t="s">
        <v>2468</v>
      </c>
      <c r="K877" s="5">
        <f t="shared" si="2"/>
        <v>0.02602536688</v>
      </c>
      <c r="L877" s="6">
        <f t="shared" si="3"/>
        <v>773</v>
      </c>
      <c r="M877" s="6">
        <f t="shared" si="4"/>
        <v>160.5963777</v>
      </c>
      <c r="N877" s="7">
        <f t="shared" si="5"/>
        <v>0.00003366800372</v>
      </c>
      <c r="O877" s="7"/>
      <c r="P877" s="4">
        <f t="shared" si="6"/>
        <v>-0.4258114312</v>
      </c>
      <c r="Q877" s="4">
        <f t="shared" si="7"/>
        <v>8</v>
      </c>
      <c r="R877" s="4">
        <f t="shared" si="8"/>
        <v>0</v>
      </c>
      <c r="S877" s="4">
        <f t="shared" si="9"/>
        <v>-0.4258114312</v>
      </c>
      <c r="T877" s="4">
        <f t="shared" si="10"/>
        <v>45</v>
      </c>
      <c r="U877" s="4">
        <f t="shared" si="1"/>
        <v>-0.4258114312</v>
      </c>
      <c r="V877" s="4"/>
    </row>
    <row r="878">
      <c r="A878" s="1" t="s">
        <v>16445</v>
      </c>
      <c r="B878" s="1" t="s">
        <v>16446</v>
      </c>
      <c r="C878" s="1" t="s">
        <v>16447</v>
      </c>
      <c r="D878" s="1" t="s">
        <v>16221</v>
      </c>
      <c r="E878" s="1" t="s">
        <v>16222</v>
      </c>
      <c r="F878" s="1">
        <v>485138.0</v>
      </c>
      <c r="G878" s="1">
        <v>14988.0</v>
      </c>
      <c r="H878" s="1">
        <v>983.0</v>
      </c>
      <c r="I878" s="1">
        <v>4770000.0</v>
      </c>
      <c r="J878" s="1" t="s">
        <v>2468</v>
      </c>
      <c r="K878" s="5">
        <f t="shared" si="2"/>
        <v>0.1017060797</v>
      </c>
      <c r="L878" s="6">
        <f t="shared" si="3"/>
        <v>776</v>
      </c>
      <c r="M878" s="6">
        <f t="shared" si="4"/>
        <v>625.1778351</v>
      </c>
      <c r="N878" s="7">
        <f t="shared" si="5"/>
        <v>0.0001310645357</v>
      </c>
      <c r="O878" s="7"/>
      <c r="P878" s="4">
        <f t="shared" si="6"/>
        <v>-0.3572088763</v>
      </c>
      <c r="Q878" s="4">
        <f t="shared" si="7"/>
        <v>6</v>
      </c>
      <c r="R878" s="4">
        <f t="shared" si="8"/>
        <v>0</v>
      </c>
      <c r="S878" s="4">
        <f t="shared" si="9"/>
        <v>-0.3572088763</v>
      </c>
      <c r="T878" s="4">
        <f t="shared" si="10"/>
        <v>25</v>
      </c>
      <c r="U878" s="4">
        <f t="shared" si="1"/>
        <v>-0.3572088763</v>
      </c>
      <c r="V878" s="4"/>
    </row>
    <row r="879">
      <c r="A879" s="1" t="s">
        <v>16448</v>
      </c>
      <c r="B879" s="1" t="s">
        <v>16449</v>
      </c>
      <c r="C879" s="1" t="s">
        <v>16450</v>
      </c>
      <c r="D879" s="1" t="s">
        <v>16221</v>
      </c>
      <c r="E879" s="1" t="s">
        <v>16222</v>
      </c>
      <c r="F879" s="1">
        <v>193300.0</v>
      </c>
      <c r="G879" s="1">
        <v>5354.0</v>
      </c>
      <c r="H879" s="1">
        <v>451.0</v>
      </c>
      <c r="I879" s="1">
        <v>4770000.0</v>
      </c>
      <c r="J879" s="1" t="s">
        <v>2468</v>
      </c>
      <c r="K879" s="5">
        <f t="shared" si="2"/>
        <v>0.04052410901</v>
      </c>
      <c r="L879" s="6">
        <f t="shared" si="3"/>
        <v>779</v>
      </c>
      <c r="M879" s="6">
        <f t="shared" si="4"/>
        <v>248.1386393</v>
      </c>
      <c r="N879" s="7">
        <f t="shared" si="5"/>
        <v>0.00005202067909</v>
      </c>
      <c r="O879" s="7"/>
      <c r="P879" s="4">
        <f t="shared" si="6"/>
        <v>-0.4128844779</v>
      </c>
      <c r="Q879" s="4">
        <f t="shared" si="7"/>
        <v>8</v>
      </c>
      <c r="R879" s="4">
        <f t="shared" si="8"/>
        <v>0</v>
      </c>
      <c r="S879" s="4">
        <f t="shared" si="9"/>
        <v>-0.4128844779</v>
      </c>
      <c r="T879" s="4">
        <f t="shared" si="10"/>
        <v>46</v>
      </c>
      <c r="U879" s="4">
        <f t="shared" si="1"/>
        <v>-0.4128844779</v>
      </c>
      <c r="V879" s="4"/>
    </row>
    <row r="880">
      <c r="A880" s="1" t="s">
        <v>16451</v>
      </c>
      <c r="B880" s="1" t="s">
        <v>16452</v>
      </c>
      <c r="C880" s="1" t="s">
        <v>16453</v>
      </c>
      <c r="D880" s="1" t="s">
        <v>16221</v>
      </c>
      <c r="E880" s="1" t="s">
        <v>16222</v>
      </c>
      <c r="F880" s="1">
        <v>159385.0</v>
      </c>
      <c r="G880" s="1">
        <v>6882.0</v>
      </c>
      <c r="H880" s="1">
        <v>413.0</v>
      </c>
      <c r="I880" s="1">
        <v>4770000.0</v>
      </c>
      <c r="J880" s="1" t="s">
        <v>2468</v>
      </c>
      <c r="K880" s="5">
        <f t="shared" si="2"/>
        <v>0.03341404612</v>
      </c>
      <c r="L880" s="6">
        <f t="shared" si="3"/>
        <v>791</v>
      </c>
      <c r="M880" s="6">
        <f t="shared" si="4"/>
        <v>201.4981037</v>
      </c>
      <c r="N880" s="7">
        <f t="shared" si="5"/>
        <v>0.00004224278903</v>
      </c>
      <c r="O880" s="7"/>
      <c r="P880" s="4">
        <f t="shared" si="6"/>
        <v>-0.4197716661</v>
      </c>
      <c r="Q880" s="4">
        <f t="shared" si="7"/>
        <v>7</v>
      </c>
      <c r="R880" s="4">
        <f t="shared" si="8"/>
        <v>0</v>
      </c>
      <c r="S880" s="4">
        <f t="shared" si="9"/>
        <v>-0.4197716661</v>
      </c>
      <c r="T880" s="4">
        <f t="shared" si="10"/>
        <v>35</v>
      </c>
      <c r="U880" s="4">
        <f t="shared" si="1"/>
        <v>-0.4197716661</v>
      </c>
      <c r="V880" s="4"/>
    </row>
    <row r="881">
      <c r="A881" s="1" t="s">
        <v>16454</v>
      </c>
      <c r="B881" s="1" t="s">
        <v>16455</v>
      </c>
      <c r="C881" s="1" t="s">
        <v>16456</v>
      </c>
      <c r="D881" s="1" t="s">
        <v>16221</v>
      </c>
      <c r="E881" s="1" t="s">
        <v>16222</v>
      </c>
      <c r="F881" s="1">
        <v>134605.0</v>
      </c>
      <c r="G881" s="1">
        <v>4189.0</v>
      </c>
      <c r="H881" s="1">
        <v>264.0</v>
      </c>
      <c r="I881" s="1">
        <v>4770000.0</v>
      </c>
      <c r="J881" s="1" t="s">
        <v>2468</v>
      </c>
      <c r="K881" s="5">
        <f t="shared" si="2"/>
        <v>0.02821907757</v>
      </c>
      <c r="L881" s="6">
        <f t="shared" si="3"/>
        <v>793</v>
      </c>
      <c r="M881" s="6">
        <f t="shared" si="4"/>
        <v>169.741488</v>
      </c>
      <c r="N881" s="7">
        <f t="shared" si="5"/>
        <v>0.00003558521761</v>
      </c>
      <c r="O881" s="7"/>
      <c r="P881" s="4">
        <f t="shared" si="6"/>
        <v>-0.4244610159</v>
      </c>
      <c r="Q881" s="4">
        <f t="shared" si="7"/>
        <v>9</v>
      </c>
      <c r="R881" s="4">
        <f t="shared" si="8"/>
        <v>0</v>
      </c>
      <c r="S881" s="4">
        <f t="shared" si="9"/>
        <v>-0.4244610159</v>
      </c>
      <c r="T881" s="4">
        <f t="shared" si="10"/>
        <v>48</v>
      </c>
      <c r="U881" s="4">
        <f t="shared" si="1"/>
        <v>-0.4244610159</v>
      </c>
      <c r="V881" s="4"/>
    </row>
    <row r="882">
      <c r="A882" s="1" t="s">
        <v>16457</v>
      </c>
      <c r="B882" s="1" t="s">
        <v>16458</v>
      </c>
      <c r="C882" s="1" t="s">
        <v>16459</v>
      </c>
      <c r="D882" s="1" t="s">
        <v>16221</v>
      </c>
      <c r="E882" s="1" t="s">
        <v>16222</v>
      </c>
      <c r="F882" s="1">
        <v>218578.0</v>
      </c>
      <c r="G882" s="1">
        <v>7347.0</v>
      </c>
      <c r="H882" s="1">
        <v>412.0</v>
      </c>
      <c r="I882" s="1">
        <v>4770000.0</v>
      </c>
      <c r="J882" s="1" t="s">
        <v>2468</v>
      </c>
      <c r="K882" s="5">
        <f t="shared" si="2"/>
        <v>0.04582348008</v>
      </c>
      <c r="L882" s="6">
        <f t="shared" si="3"/>
        <v>795</v>
      </c>
      <c r="M882" s="6">
        <f t="shared" si="4"/>
        <v>274.9408805</v>
      </c>
      <c r="N882" s="7">
        <f t="shared" si="5"/>
        <v>0.00005763959759</v>
      </c>
      <c r="O882" s="7"/>
      <c r="P882" s="4">
        <f t="shared" si="6"/>
        <v>-0.4089267172</v>
      </c>
      <c r="Q882" s="4">
        <f t="shared" si="7"/>
        <v>4</v>
      </c>
      <c r="R882" s="4">
        <f t="shared" si="8"/>
        <v>0</v>
      </c>
      <c r="S882" s="4">
        <f t="shared" si="9"/>
        <v>-0.4089267172</v>
      </c>
      <c r="T882" s="4">
        <f t="shared" si="10"/>
        <v>29</v>
      </c>
      <c r="U882" s="4">
        <f t="shared" si="1"/>
        <v>-0.4089267172</v>
      </c>
      <c r="V882" s="4"/>
    </row>
    <row r="883">
      <c r="A883" s="1" t="s">
        <v>16460</v>
      </c>
      <c r="B883" s="1" t="s">
        <v>16461</v>
      </c>
      <c r="C883" s="1" t="s">
        <v>16462</v>
      </c>
      <c r="D883" s="1" t="s">
        <v>16221</v>
      </c>
      <c r="E883" s="1" t="s">
        <v>16222</v>
      </c>
      <c r="F883" s="1">
        <v>257714.0</v>
      </c>
      <c r="G883" s="1">
        <v>11148.0</v>
      </c>
      <c r="H883" s="1">
        <v>738.0</v>
      </c>
      <c r="I883" s="1">
        <v>4770000.0</v>
      </c>
      <c r="J883" s="1" t="s">
        <v>2468</v>
      </c>
      <c r="K883" s="5">
        <f t="shared" si="2"/>
        <v>0.05402809224</v>
      </c>
      <c r="L883" s="6">
        <f t="shared" si="3"/>
        <v>800</v>
      </c>
      <c r="M883" s="6">
        <f t="shared" si="4"/>
        <v>322.1425</v>
      </c>
      <c r="N883" s="7">
        <f t="shared" si="5"/>
        <v>0.0000675351153</v>
      </c>
      <c r="O883" s="7"/>
      <c r="P883" s="4">
        <f t="shared" si="6"/>
        <v>-0.4019566765</v>
      </c>
      <c r="Q883" s="4">
        <f t="shared" si="7"/>
        <v>4</v>
      </c>
      <c r="R883" s="4">
        <f t="shared" si="8"/>
        <v>0</v>
      </c>
      <c r="S883" s="4">
        <f t="shared" si="9"/>
        <v>-0.4019566765</v>
      </c>
      <c r="T883" s="4">
        <f t="shared" si="10"/>
        <v>23</v>
      </c>
      <c r="U883" s="4">
        <f t="shared" si="1"/>
        <v>-0.4019566765</v>
      </c>
      <c r="V883" s="4"/>
    </row>
    <row r="884">
      <c r="A884" s="1" t="s">
        <v>16463</v>
      </c>
      <c r="B884" s="1" t="s">
        <v>16464</v>
      </c>
      <c r="C884" s="1" t="s">
        <v>16465</v>
      </c>
      <c r="D884" s="1" t="s">
        <v>16221</v>
      </c>
      <c r="E884" s="1" t="s">
        <v>16222</v>
      </c>
      <c r="F884" s="1">
        <v>274408.0</v>
      </c>
      <c r="G884" s="1">
        <v>11346.0</v>
      </c>
      <c r="H884" s="1">
        <v>860.0</v>
      </c>
      <c r="I884" s="1">
        <v>4770000.0</v>
      </c>
      <c r="J884" s="1" t="s">
        <v>2468</v>
      </c>
      <c r="K884" s="5">
        <f t="shared" si="2"/>
        <v>0.0575278826</v>
      </c>
      <c r="L884" s="6">
        <f t="shared" si="3"/>
        <v>806</v>
      </c>
      <c r="M884" s="6">
        <f t="shared" si="4"/>
        <v>340.4565757</v>
      </c>
      <c r="N884" s="7">
        <f t="shared" si="5"/>
        <v>0.00007137454417</v>
      </c>
      <c r="O884" s="7"/>
      <c r="P884" s="4">
        <f t="shared" si="6"/>
        <v>-0.3992523232</v>
      </c>
      <c r="Q884" s="4">
        <f t="shared" si="7"/>
        <v>4</v>
      </c>
      <c r="R884" s="4">
        <f t="shared" si="8"/>
        <v>0</v>
      </c>
      <c r="S884" s="4">
        <f t="shared" si="9"/>
        <v>-0.3992523232</v>
      </c>
      <c r="T884" s="4">
        <f t="shared" si="10"/>
        <v>28</v>
      </c>
      <c r="U884" s="4">
        <f t="shared" si="1"/>
        <v>-0.3992523232</v>
      </c>
      <c r="V884" s="4"/>
    </row>
    <row r="885">
      <c r="A885" s="1" t="s">
        <v>16466</v>
      </c>
      <c r="B885" s="1" t="s">
        <v>16467</v>
      </c>
      <c r="C885" s="1" t="s">
        <v>16468</v>
      </c>
      <c r="D885" s="1" t="s">
        <v>16221</v>
      </c>
      <c r="E885" s="1" t="s">
        <v>16222</v>
      </c>
      <c r="F885" s="1">
        <v>252091.0</v>
      </c>
      <c r="G885" s="1">
        <v>11053.0</v>
      </c>
      <c r="H885" s="1">
        <v>784.0</v>
      </c>
      <c r="I885" s="1">
        <v>4770000.0</v>
      </c>
      <c r="J885" s="1" t="s">
        <v>2468</v>
      </c>
      <c r="K885" s="5">
        <f t="shared" si="2"/>
        <v>0.05284926625</v>
      </c>
      <c r="L885" s="6">
        <f t="shared" si="3"/>
        <v>807</v>
      </c>
      <c r="M885" s="6">
        <f t="shared" si="4"/>
        <v>312.3804213</v>
      </c>
      <c r="N885" s="7">
        <f t="shared" si="5"/>
        <v>0.00006548855793</v>
      </c>
      <c r="O885" s="7"/>
      <c r="P885" s="4">
        <f t="shared" si="6"/>
        <v>-0.4033981966</v>
      </c>
      <c r="Q885" s="4">
        <f t="shared" si="7"/>
        <v>4</v>
      </c>
      <c r="R885" s="4">
        <f t="shared" si="8"/>
        <v>0</v>
      </c>
      <c r="S885" s="4">
        <f t="shared" si="9"/>
        <v>-0.4033981966</v>
      </c>
      <c r="T885" s="4">
        <f t="shared" si="10"/>
        <v>25</v>
      </c>
      <c r="U885" s="4">
        <f t="shared" si="1"/>
        <v>-0.4033981966</v>
      </c>
      <c r="V885" s="4"/>
    </row>
    <row r="886">
      <c r="A886" s="1" t="s">
        <v>16469</v>
      </c>
      <c r="B886" s="1" t="s">
        <v>16470</v>
      </c>
      <c r="C886" s="1" t="s">
        <v>16471</v>
      </c>
      <c r="D886" s="1" t="s">
        <v>16221</v>
      </c>
      <c r="E886" s="1" t="s">
        <v>16222</v>
      </c>
      <c r="F886" s="1">
        <v>184998.0</v>
      </c>
      <c r="G886" s="1">
        <v>6853.0</v>
      </c>
      <c r="H886" s="1">
        <v>607.0</v>
      </c>
      <c r="I886" s="1">
        <v>4770000.0</v>
      </c>
      <c r="J886" s="1" t="s">
        <v>2468</v>
      </c>
      <c r="K886" s="5">
        <f t="shared" si="2"/>
        <v>0.0387836478</v>
      </c>
      <c r="L886" s="6">
        <f t="shared" si="3"/>
        <v>812</v>
      </c>
      <c r="M886" s="6">
        <f t="shared" si="4"/>
        <v>227.8300493</v>
      </c>
      <c r="N886" s="7">
        <f t="shared" si="5"/>
        <v>0.00004776311305</v>
      </c>
      <c r="O886" s="7"/>
      <c r="P886" s="4">
        <f t="shared" si="6"/>
        <v>-0.4158833517</v>
      </c>
      <c r="Q886" s="4">
        <f t="shared" si="7"/>
        <v>6</v>
      </c>
      <c r="R886" s="4">
        <f t="shared" si="8"/>
        <v>0</v>
      </c>
      <c r="S886" s="4">
        <f t="shared" si="9"/>
        <v>-0.4158833517</v>
      </c>
      <c r="T886" s="4">
        <f t="shared" si="10"/>
        <v>43</v>
      </c>
      <c r="U886" s="4">
        <f t="shared" si="1"/>
        <v>-0.4158833517</v>
      </c>
      <c r="V886" s="4"/>
    </row>
    <row r="887">
      <c r="A887" s="1" t="s">
        <v>16472</v>
      </c>
      <c r="B887" s="1" t="s">
        <v>16473</v>
      </c>
      <c r="C887" s="1" t="s">
        <v>16474</v>
      </c>
      <c r="D887" s="1" t="s">
        <v>16221</v>
      </c>
      <c r="E887" s="1" t="s">
        <v>16222</v>
      </c>
      <c r="F887" s="1">
        <v>147777.0</v>
      </c>
      <c r="G887" s="1">
        <v>9815.0</v>
      </c>
      <c r="H887" s="1">
        <v>388.0</v>
      </c>
      <c r="I887" s="1">
        <v>4770000.0</v>
      </c>
      <c r="J887" s="1" t="s">
        <v>2468</v>
      </c>
      <c r="K887" s="5">
        <f t="shared" si="2"/>
        <v>0.03098050314</v>
      </c>
      <c r="L887" s="6">
        <f t="shared" si="3"/>
        <v>818</v>
      </c>
      <c r="M887" s="6">
        <f t="shared" si="4"/>
        <v>180.6564792</v>
      </c>
      <c r="N887" s="7">
        <f t="shared" si="5"/>
        <v>0.00003787347573</v>
      </c>
      <c r="O887" s="7"/>
      <c r="P887" s="4">
        <f t="shared" si="6"/>
        <v>-0.4228492506</v>
      </c>
      <c r="Q887" s="4">
        <f t="shared" si="7"/>
        <v>8</v>
      </c>
      <c r="R887" s="4">
        <f t="shared" si="8"/>
        <v>0</v>
      </c>
      <c r="S887" s="4">
        <f t="shared" si="9"/>
        <v>-0.4228492506</v>
      </c>
      <c r="T887" s="4">
        <f t="shared" si="10"/>
        <v>40</v>
      </c>
      <c r="U887" s="4">
        <f t="shared" si="1"/>
        <v>-0.4228492506</v>
      </c>
      <c r="V887" s="4"/>
    </row>
    <row r="888">
      <c r="A888" s="1" t="s">
        <v>16475</v>
      </c>
      <c r="B888" s="1" t="s">
        <v>16476</v>
      </c>
      <c r="C888" s="1" t="s">
        <v>16477</v>
      </c>
      <c r="D888" s="1" t="s">
        <v>16221</v>
      </c>
      <c r="E888" s="1" t="s">
        <v>16222</v>
      </c>
      <c r="F888" s="1">
        <v>548574.0</v>
      </c>
      <c r="G888" s="1">
        <v>24846.0</v>
      </c>
      <c r="H888" s="1">
        <v>1304.0</v>
      </c>
      <c r="I888" s="1">
        <v>4770000.0</v>
      </c>
      <c r="J888" s="1" t="s">
        <v>2468</v>
      </c>
      <c r="K888" s="5">
        <f t="shared" si="2"/>
        <v>0.1150050314</v>
      </c>
      <c r="L888" s="6">
        <f t="shared" si="3"/>
        <v>828</v>
      </c>
      <c r="M888" s="6">
        <f t="shared" si="4"/>
        <v>662.5289855</v>
      </c>
      <c r="N888" s="7">
        <f t="shared" si="5"/>
        <v>0.0001388949655</v>
      </c>
      <c r="O888" s="7"/>
      <c r="P888" s="4">
        <f t="shared" si="6"/>
        <v>-0.3516934078</v>
      </c>
      <c r="Q888" s="4">
        <f t="shared" si="7"/>
        <v>6</v>
      </c>
      <c r="R888" s="4">
        <f t="shared" si="8"/>
        <v>0</v>
      </c>
      <c r="S888" s="4">
        <f t="shared" si="9"/>
        <v>-0.3516934078</v>
      </c>
      <c r="T888" s="4">
        <f t="shared" si="10"/>
        <v>27</v>
      </c>
      <c r="U888" s="4">
        <f t="shared" si="1"/>
        <v>-0.3516934078</v>
      </c>
      <c r="V888" s="4"/>
    </row>
    <row r="889">
      <c r="A889" s="1" t="s">
        <v>16478</v>
      </c>
      <c r="B889" s="1" t="s">
        <v>16479</v>
      </c>
      <c r="C889" s="1" t="s">
        <v>16480</v>
      </c>
      <c r="D889" s="1" t="s">
        <v>16221</v>
      </c>
      <c r="E889" s="1" t="s">
        <v>16222</v>
      </c>
      <c r="F889" s="1">
        <v>190705.0</v>
      </c>
      <c r="G889" s="1">
        <v>7493.0</v>
      </c>
      <c r="H889" s="1">
        <v>456.0</v>
      </c>
      <c r="I889" s="1">
        <v>4770000.0</v>
      </c>
      <c r="J889" s="1" t="s">
        <v>2468</v>
      </c>
      <c r="K889" s="5">
        <f t="shared" si="2"/>
        <v>0.03998008386</v>
      </c>
      <c r="L889" s="6">
        <f t="shared" si="3"/>
        <v>835</v>
      </c>
      <c r="M889" s="6">
        <f t="shared" si="4"/>
        <v>228.3892216</v>
      </c>
      <c r="N889" s="7">
        <f t="shared" si="5"/>
        <v>0.00004788033995</v>
      </c>
      <c r="O889" s="7"/>
      <c r="P889" s="4">
        <f t="shared" si="6"/>
        <v>-0.4158007814</v>
      </c>
      <c r="Q889" s="4">
        <f t="shared" si="7"/>
        <v>6</v>
      </c>
      <c r="R889" s="4">
        <f t="shared" si="8"/>
        <v>0</v>
      </c>
      <c r="S889" s="4">
        <f t="shared" si="9"/>
        <v>-0.4158007814</v>
      </c>
      <c r="T889" s="4">
        <f t="shared" si="10"/>
        <v>38</v>
      </c>
      <c r="U889" s="4">
        <f t="shared" si="1"/>
        <v>-0.4158007814</v>
      </c>
      <c r="V889" s="4"/>
    </row>
    <row r="890">
      <c r="A890" s="1" t="s">
        <v>16481</v>
      </c>
      <c r="B890" s="1" t="s">
        <v>16482</v>
      </c>
      <c r="C890" s="1" t="s">
        <v>16483</v>
      </c>
      <c r="D890" s="1" t="s">
        <v>16221</v>
      </c>
      <c r="E890" s="1" t="s">
        <v>16222</v>
      </c>
      <c r="F890" s="1">
        <v>703806.0</v>
      </c>
      <c r="G890" s="1">
        <v>18987.0</v>
      </c>
      <c r="H890" s="1">
        <v>990.0</v>
      </c>
      <c r="I890" s="1">
        <v>4770000.0</v>
      </c>
      <c r="J890" s="1" t="s">
        <v>2468</v>
      </c>
      <c r="K890" s="5">
        <f t="shared" si="2"/>
        <v>0.1475484277</v>
      </c>
      <c r="L890" s="6">
        <f t="shared" si="3"/>
        <v>855</v>
      </c>
      <c r="M890" s="6">
        <f t="shared" si="4"/>
        <v>823.1649123</v>
      </c>
      <c r="N890" s="7">
        <f t="shared" si="5"/>
        <v>0.0001725712604</v>
      </c>
      <c r="O890" s="7"/>
      <c r="P890" s="4">
        <f t="shared" si="6"/>
        <v>-0.3279730574</v>
      </c>
      <c r="Q890" s="4">
        <f t="shared" si="7"/>
        <v>7</v>
      </c>
      <c r="R890" s="4">
        <f t="shared" si="8"/>
        <v>0</v>
      </c>
      <c r="S890" s="4">
        <f t="shared" si="9"/>
        <v>-0.3279730574</v>
      </c>
      <c r="T890" s="4">
        <f t="shared" si="10"/>
        <v>33</v>
      </c>
      <c r="U890" s="4">
        <f t="shared" si="1"/>
        <v>-0.3279730574</v>
      </c>
      <c r="V890" s="4"/>
    </row>
    <row r="891">
      <c r="A891" s="1" t="s">
        <v>16484</v>
      </c>
      <c r="B891" s="1" t="s">
        <v>16485</v>
      </c>
      <c r="C891" s="1" t="s">
        <v>16486</v>
      </c>
      <c r="D891" s="1" t="s">
        <v>16221</v>
      </c>
      <c r="E891" s="1" t="s">
        <v>16222</v>
      </c>
      <c r="F891" s="1">
        <v>523749.0</v>
      </c>
      <c r="G891" s="1">
        <v>13404.0</v>
      </c>
      <c r="H891" s="1">
        <v>1075.0</v>
      </c>
      <c r="I891" s="1">
        <v>4770000.0</v>
      </c>
      <c r="J891" s="1" t="s">
        <v>2468</v>
      </c>
      <c r="K891" s="5">
        <f t="shared" si="2"/>
        <v>0.1098006289</v>
      </c>
      <c r="L891" s="6">
        <f t="shared" si="3"/>
        <v>868</v>
      </c>
      <c r="M891" s="6">
        <f t="shared" si="4"/>
        <v>603.3974654</v>
      </c>
      <c r="N891" s="7">
        <f t="shared" si="5"/>
        <v>0.0001264984204</v>
      </c>
      <c r="O891" s="7"/>
      <c r="P891" s="4">
        <f t="shared" si="6"/>
        <v>-0.3604250808</v>
      </c>
      <c r="Q891" s="4">
        <f t="shared" si="7"/>
        <v>5</v>
      </c>
      <c r="R891" s="4">
        <f t="shared" si="8"/>
        <v>0</v>
      </c>
      <c r="S891" s="4">
        <f t="shared" si="9"/>
        <v>-0.3604250808</v>
      </c>
      <c r="T891" s="4">
        <f t="shared" si="10"/>
        <v>23</v>
      </c>
      <c r="U891" s="4">
        <f t="shared" si="1"/>
        <v>-0.3604250808</v>
      </c>
      <c r="V891" s="4"/>
    </row>
    <row r="892">
      <c r="A892" s="1" t="s">
        <v>16487</v>
      </c>
      <c r="B892" s="1" t="s">
        <v>16488</v>
      </c>
      <c r="C892" s="1" t="s">
        <v>16489</v>
      </c>
      <c r="D892" s="1" t="s">
        <v>16221</v>
      </c>
      <c r="E892" s="1" t="s">
        <v>16222</v>
      </c>
      <c r="F892" s="1">
        <v>106126.0</v>
      </c>
      <c r="G892" s="1">
        <v>3245.0</v>
      </c>
      <c r="H892" s="1">
        <v>202.0</v>
      </c>
      <c r="I892" s="1">
        <v>4770000.0</v>
      </c>
      <c r="J892" s="1" t="s">
        <v>2468</v>
      </c>
      <c r="K892" s="5">
        <f t="shared" si="2"/>
        <v>0.02224863732</v>
      </c>
      <c r="L892" s="6">
        <f t="shared" si="3"/>
        <v>878</v>
      </c>
      <c r="M892" s="6">
        <f t="shared" si="4"/>
        <v>120.8724374</v>
      </c>
      <c r="N892" s="7">
        <f t="shared" si="5"/>
        <v>0.00002534013362</v>
      </c>
      <c r="O892" s="7"/>
      <c r="P892" s="4">
        <f t="shared" si="6"/>
        <v>-0.4316772784</v>
      </c>
      <c r="Q892" s="4">
        <f t="shared" si="7"/>
        <v>5</v>
      </c>
      <c r="R892" s="4">
        <f t="shared" si="8"/>
        <v>0</v>
      </c>
      <c r="S892" s="4">
        <f t="shared" si="9"/>
        <v>-0.4316772784</v>
      </c>
      <c r="T892" s="4">
        <f t="shared" si="10"/>
        <v>38</v>
      </c>
      <c r="U892" s="4">
        <f t="shared" si="1"/>
        <v>-0.4316772784</v>
      </c>
      <c r="V892" s="4"/>
    </row>
    <row r="893">
      <c r="A893" s="1" t="s">
        <v>16490</v>
      </c>
      <c r="B893" s="1" t="s">
        <v>16491</v>
      </c>
      <c r="C893" s="1" t="s">
        <v>16492</v>
      </c>
      <c r="D893" s="1" t="s">
        <v>16221</v>
      </c>
      <c r="E893" s="1" t="s">
        <v>16222</v>
      </c>
      <c r="F893" s="1">
        <v>124526.0</v>
      </c>
      <c r="G893" s="1">
        <v>3823.0</v>
      </c>
      <c r="H893" s="1">
        <v>208.0</v>
      </c>
      <c r="I893" s="1">
        <v>4770000.0</v>
      </c>
      <c r="J893" s="1" t="s">
        <v>2468</v>
      </c>
      <c r="K893" s="5">
        <f t="shared" si="2"/>
        <v>0.02610607966</v>
      </c>
      <c r="L893" s="6">
        <f t="shared" si="3"/>
        <v>879</v>
      </c>
      <c r="M893" s="6">
        <f t="shared" si="4"/>
        <v>141.6678043</v>
      </c>
      <c r="N893" s="7">
        <f t="shared" si="5"/>
        <v>0.00002969974933</v>
      </c>
      <c r="O893" s="7"/>
      <c r="P893" s="4">
        <f t="shared" si="6"/>
        <v>-0.4286065245</v>
      </c>
      <c r="Q893" s="4">
        <f t="shared" si="7"/>
        <v>6</v>
      </c>
      <c r="R893" s="4">
        <f t="shared" si="8"/>
        <v>0</v>
      </c>
      <c r="S893" s="4">
        <f t="shared" si="9"/>
        <v>-0.4286065245</v>
      </c>
      <c r="T893" s="4">
        <f t="shared" si="10"/>
        <v>35</v>
      </c>
      <c r="U893" s="4">
        <f t="shared" si="1"/>
        <v>-0.4286065245</v>
      </c>
      <c r="V893" s="4"/>
    </row>
    <row r="894">
      <c r="A894" s="1" t="s">
        <v>16493</v>
      </c>
      <c r="B894" s="1" t="s">
        <v>16494</v>
      </c>
      <c r="C894" s="1" t="s">
        <v>16495</v>
      </c>
      <c r="D894" s="1" t="s">
        <v>16221</v>
      </c>
      <c r="E894" s="1" t="s">
        <v>16222</v>
      </c>
      <c r="F894" s="1">
        <v>137168.0</v>
      </c>
      <c r="G894" s="1">
        <v>4948.0</v>
      </c>
      <c r="H894" s="1">
        <v>443.0</v>
      </c>
      <c r="I894" s="1">
        <v>4770000.0</v>
      </c>
      <c r="J894" s="1" t="s">
        <v>2468</v>
      </c>
      <c r="K894" s="5">
        <f t="shared" si="2"/>
        <v>0.02875639413</v>
      </c>
      <c r="L894" s="6">
        <f t="shared" si="3"/>
        <v>880</v>
      </c>
      <c r="M894" s="6">
        <f t="shared" si="4"/>
        <v>155.8727273</v>
      </c>
      <c r="N894" s="7">
        <f t="shared" si="5"/>
        <v>0.0000326777206</v>
      </c>
      <c r="O894" s="7"/>
      <c r="P894" s="4">
        <f t="shared" si="6"/>
        <v>-0.4265089505</v>
      </c>
      <c r="Q894" s="4">
        <f t="shared" si="7"/>
        <v>4</v>
      </c>
      <c r="R894" s="4">
        <f t="shared" si="8"/>
        <v>0</v>
      </c>
      <c r="S894" s="4">
        <f t="shared" si="9"/>
        <v>-0.4265089505</v>
      </c>
      <c r="T894" s="4">
        <f t="shared" si="10"/>
        <v>29</v>
      </c>
      <c r="U894" s="4">
        <f t="shared" si="1"/>
        <v>-0.4265089505</v>
      </c>
      <c r="V894" s="4"/>
    </row>
    <row r="895">
      <c r="A895" s="1" t="s">
        <v>16496</v>
      </c>
      <c r="B895" s="1" t="s">
        <v>16497</v>
      </c>
      <c r="C895" s="1" t="s">
        <v>16498</v>
      </c>
      <c r="D895" s="1" t="s">
        <v>16221</v>
      </c>
      <c r="E895" s="1" t="s">
        <v>16222</v>
      </c>
      <c r="F895" s="1">
        <v>121949.0</v>
      </c>
      <c r="G895" s="1">
        <v>4525.0</v>
      </c>
      <c r="H895" s="1">
        <v>196.0</v>
      </c>
      <c r="I895" s="1">
        <v>4770000.0</v>
      </c>
      <c r="J895" s="1" t="s">
        <v>2468</v>
      </c>
      <c r="K895" s="5">
        <f t="shared" si="2"/>
        <v>0.02556582809</v>
      </c>
      <c r="L895" s="6">
        <f t="shared" si="3"/>
        <v>885</v>
      </c>
      <c r="M895" s="6">
        <f t="shared" si="4"/>
        <v>137.7954802</v>
      </c>
      <c r="N895" s="7">
        <f t="shared" si="5"/>
        <v>0.00002888794135</v>
      </c>
      <c r="O895" s="7"/>
      <c r="P895" s="4">
        <f t="shared" si="6"/>
        <v>-0.4291783324</v>
      </c>
      <c r="Q895" s="4">
        <f t="shared" si="7"/>
        <v>9</v>
      </c>
      <c r="R895" s="4">
        <f t="shared" si="8"/>
        <v>0</v>
      </c>
      <c r="S895" s="4">
        <f t="shared" si="9"/>
        <v>-0.4291783324</v>
      </c>
      <c r="T895" s="4">
        <f t="shared" si="10"/>
        <v>47</v>
      </c>
      <c r="U895" s="4">
        <f t="shared" si="1"/>
        <v>-0.4291783324</v>
      </c>
      <c r="V895" s="4"/>
    </row>
    <row r="896">
      <c r="A896" s="1" t="s">
        <v>16499</v>
      </c>
      <c r="B896" s="1" t="s">
        <v>16500</v>
      </c>
      <c r="C896" s="1" t="s">
        <v>16501</v>
      </c>
      <c r="D896" s="1" t="s">
        <v>16221</v>
      </c>
      <c r="E896" s="1" t="s">
        <v>16222</v>
      </c>
      <c r="F896" s="1">
        <v>624857.0</v>
      </c>
      <c r="G896" s="1">
        <v>18940.0</v>
      </c>
      <c r="H896" s="1">
        <v>1694.0</v>
      </c>
      <c r="I896" s="1">
        <v>4770000.0</v>
      </c>
      <c r="J896" s="1" t="s">
        <v>2468</v>
      </c>
      <c r="K896" s="5">
        <f t="shared" si="2"/>
        <v>0.1309972746</v>
      </c>
      <c r="L896" s="6">
        <f t="shared" si="3"/>
        <v>898</v>
      </c>
      <c r="M896" s="6">
        <f t="shared" si="4"/>
        <v>695.8318486</v>
      </c>
      <c r="N896" s="7">
        <f t="shared" si="5"/>
        <v>0.0001458766978</v>
      </c>
      <c r="O896" s="7"/>
      <c r="P896" s="4">
        <f t="shared" si="6"/>
        <v>-0.346775731</v>
      </c>
      <c r="Q896" s="4">
        <f t="shared" si="7"/>
        <v>4</v>
      </c>
      <c r="R896" s="4">
        <f t="shared" si="8"/>
        <v>0</v>
      </c>
      <c r="S896" s="4">
        <f t="shared" si="9"/>
        <v>-0.346775731</v>
      </c>
      <c r="T896" s="4">
        <f t="shared" si="10"/>
        <v>27</v>
      </c>
      <c r="U896" s="4">
        <f t="shared" si="1"/>
        <v>-0.346775731</v>
      </c>
      <c r="V896" s="4"/>
    </row>
    <row r="897">
      <c r="A897" s="1" t="s">
        <v>16502</v>
      </c>
      <c r="B897" s="1" t="s">
        <v>16503</v>
      </c>
      <c r="C897" s="1" t="s">
        <v>16504</v>
      </c>
      <c r="D897" s="1" t="s">
        <v>16221</v>
      </c>
      <c r="E897" s="1" t="s">
        <v>16222</v>
      </c>
      <c r="F897" s="1">
        <v>100817.0</v>
      </c>
      <c r="G897" s="1">
        <v>4256.0</v>
      </c>
      <c r="H897" s="1">
        <v>186.0</v>
      </c>
      <c r="I897" s="1">
        <v>4770000.0</v>
      </c>
      <c r="J897" s="1" t="s">
        <v>2468</v>
      </c>
      <c r="K897" s="5">
        <f t="shared" si="2"/>
        <v>0.02113563941</v>
      </c>
      <c r="L897" s="6">
        <f t="shared" si="3"/>
        <v>900</v>
      </c>
      <c r="M897" s="6">
        <f t="shared" si="4"/>
        <v>112.0188889</v>
      </c>
      <c r="N897" s="7">
        <f t="shared" si="5"/>
        <v>0.00002348404379</v>
      </c>
      <c r="O897" s="7"/>
      <c r="P897" s="4">
        <f t="shared" si="6"/>
        <v>-0.4329846402</v>
      </c>
      <c r="Q897" s="4">
        <f t="shared" si="7"/>
        <v>6</v>
      </c>
      <c r="R897" s="4">
        <f t="shared" si="8"/>
        <v>0</v>
      </c>
      <c r="S897" s="4">
        <f t="shared" si="9"/>
        <v>-0.4329846402</v>
      </c>
      <c r="T897" s="4">
        <f t="shared" si="10"/>
        <v>31</v>
      </c>
      <c r="U897" s="4">
        <f t="shared" si="1"/>
        <v>-0.4329846402</v>
      </c>
      <c r="V897" s="4"/>
    </row>
    <row r="898">
      <c r="A898" s="1" t="s">
        <v>16505</v>
      </c>
      <c r="B898" s="1" t="s">
        <v>16506</v>
      </c>
      <c r="C898" s="1" t="s">
        <v>16507</v>
      </c>
      <c r="D898" s="1" t="s">
        <v>16221</v>
      </c>
      <c r="E898" s="1" t="s">
        <v>16222</v>
      </c>
      <c r="F898" s="1">
        <v>268650.0</v>
      </c>
      <c r="G898" s="1">
        <v>10346.0</v>
      </c>
      <c r="H898" s="1">
        <v>765.0</v>
      </c>
      <c r="I898" s="1">
        <v>4770000.0</v>
      </c>
      <c r="J898" s="1" t="s">
        <v>2468</v>
      </c>
      <c r="K898" s="5">
        <f t="shared" si="2"/>
        <v>0.05632075472</v>
      </c>
      <c r="L898" s="6">
        <f t="shared" si="3"/>
        <v>910</v>
      </c>
      <c r="M898" s="6">
        <f t="shared" si="4"/>
        <v>295.2197802</v>
      </c>
      <c r="N898" s="7">
        <f t="shared" si="5"/>
        <v>0.00006189093925</v>
      </c>
      <c r="O898" s="7"/>
      <c r="P898" s="4">
        <f t="shared" si="6"/>
        <v>-0.4059322277</v>
      </c>
      <c r="Q898" s="4">
        <f t="shared" si="7"/>
        <v>6</v>
      </c>
      <c r="R898" s="4">
        <f t="shared" si="8"/>
        <v>1</v>
      </c>
      <c r="S898" s="4">
        <f t="shared" si="9"/>
        <v>-0.4059322277</v>
      </c>
      <c r="T898" s="4">
        <f t="shared" si="10"/>
        <v>31</v>
      </c>
      <c r="U898" s="4">
        <f t="shared" si="1"/>
        <v>-0.4059322277</v>
      </c>
      <c r="V898" s="4"/>
    </row>
    <row r="899">
      <c r="A899" s="1" t="s">
        <v>16508</v>
      </c>
      <c r="B899" s="1" t="s">
        <v>16509</v>
      </c>
      <c r="C899" s="1" t="s">
        <v>16510</v>
      </c>
      <c r="D899" s="1" t="s">
        <v>16511</v>
      </c>
      <c r="E899" s="1" t="s">
        <v>16512</v>
      </c>
      <c r="F899" s="1">
        <v>298802.0</v>
      </c>
      <c r="G899" s="1">
        <v>8148.0</v>
      </c>
      <c r="H899" s="1">
        <v>362.0</v>
      </c>
      <c r="I899" s="1">
        <v>8570000.0</v>
      </c>
      <c r="J899" s="1" t="s">
        <v>2468</v>
      </c>
      <c r="K899" s="5">
        <f t="shared" si="2"/>
        <v>0.03486604434</v>
      </c>
      <c r="L899" s="6">
        <f t="shared" si="3"/>
        <v>41</v>
      </c>
      <c r="M899" s="6">
        <f t="shared" si="4"/>
        <v>7287.853659</v>
      </c>
      <c r="N899" s="7">
        <f t="shared" si="5"/>
        <v>0.0008503913254</v>
      </c>
      <c r="O899" s="7"/>
      <c r="P899" s="4">
        <f t="shared" si="6"/>
        <v>0.1494586063</v>
      </c>
      <c r="Q899" s="4">
        <f t="shared" si="7"/>
        <v>5</v>
      </c>
      <c r="R899" s="4">
        <f t="shared" si="8"/>
        <v>0</v>
      </c>
      <c r="S899" s="4">
        <f t="shared" si="9"/>
        <v>0.1494586063</v>
      </c>
      <c r="T899" s="4">
        <f t="shared" si="10"/>
        <v>20</v>
      </c>
      <c r="U899" s="4">
        <f t="shared" si="1"/>
        <v>0.1494586063</v>
      </c>
      <c r="V899" s="4"/>
    </row>
    <row r="900">
      <c r="A900" s="1" t="s">
        <v>16513</v>
      </c>
      <c r="B900" s="1" t="s">
        <v>16514</v>
      </c>
      <c r="C900" s="1" t="s">
        <v>16515</v>
      </c>
      <c r="D900" s="1" t="s">
        <v>16511</v>
      </c>
      <c r="E900" s="1" t="s">
        <v>16512</v>
      </c>
      <c r="F900" s="1">
        <v>640238.0</v>
      </c>
      <c r="G900" s="1">
        <v>20105.0</v>
      </c>
      <c r="H900" s="1">
        <v>893.0</v>
      </c>
      <c r="I900" s="1">
        <v>8570000.0</v>
      </c>
      <c r="J900" s="1" t="s">
        <v>2468</v>
      </c>
      <c r="K900" s="5">
        <f t="shared" si="2"/>
        <v>0.07470688448</v>
      </c>
      <c r="L900" s="6">
        <f t="shared" si="3"/>
        <v>49</v>
      </c>
      <c r="M900" s="6">
        <f t="shared" si="4"/>
        <v>13066.08163</v>
      </c>
      <c r="N900" s="7">
        <f t="shared" si="5"/>
        <v>0.001524630296</v>
      </c>
      <c r="O900" s="7"/>
      <c r="P900" s="4">
        <f t="shared" si="6"/>
        <v>0.6243678778</v>
      </c>
      <c r="Q900" s="4">
        <f t="shared" si="7"/>
        <v>10</v>
      </c>
      <c r="R900" s="4">
        <f t="shared" si="8"/>
        <v>1</v>
      </c>
      <c r="S900" s="4">
        <f t="shared" si="9"/>
        <v>0.6243678778</v>
      </c>
      <c r="T900" s="4">
        <f t="shared" si="10"/>
        <v>53</v>
      </c>
      <c r="U900" s="4">
        <f t="shared" si="1"/>
        <v>0.6243678778</v>
      </c>
      <c r="V900" s="4"/>
    </row>
    <row r="901">
      <c r="A901" s="1" t="s">
        <v>16516</v>
      </c>
      <c r="B901" s="1" t="s">
        <v>16517</v>
      </c>
      <c r="C901" s="1" t="s">
        <v>16518</v>
      </c>
      <c r="D901" s="1" t="s">
        <v>16511</v>
      </c>
      <c r="E901" s="1" t="s">
        <v>16512</v>
      </c>
      <c r="F901" s="1">
        <v>583916.0</v>
      </c>
      <c r="G901" s="1">
        <v>14374.0</v>
      </c>
      <c r="H901" s="1">
        <v>433.0</v>
      </c>
      <c r="I901" s="1">
        <v>8570000.0</v>
      </c>
      <c r="J901" s="1" t="s">
        <v>2468</v>
      </c>
      <c r="K901" s="5">
        <f t="shared" si="2"/>
        <v>0.06813488915</v>
      </c>
      <c r="L901" s="6">
        <f t="shared" si="3"/>
        <v>79</v>
      </c>
      <c r="M901" s="6">
        <f t="shared" si="4"/>
        <v>7391.341772</v>
      </c>
      <c r="N901" s="7">
        <f t="shared" si="5"/>
        <v>0.0008624669512</v>
      </c>
      <c r="O901" s="7"/>
      <c r="P901" s="4">
        <f t="shared" si="6"/>
        <v>0.1579642355</v>
      </c>
      <c r="Q901" s="4">
        <f t="shared" si="7"/>
        <v>6</v>
      </c>
      <c r="R901" s="4">
        <f t="shared" si="8"/>
        <v>1</v>
      </c>
      <c r="S901" s="4">
        <f t="shared" si="9"/>
        <v>0.1579642355</v>
      </c>
      <c r="T901" s="4">
        <f t="shared" si="10"/>
        <v>36</v>
      </c>
      <c r="U901" s="4">
        <f t="shared" si="1"/>
        <v>0.1579642355</v>
      </c>
      <c r="V901" s="4"/>
    </row>
    <row r="902">
      <c r="A902" s="1" t="s">
        <v>16519</v>
      </c>
      <c r="B902" s="1" t="s">
        <v>16520</v>
      </c>
      <c r="C902" s="1" t="s">
        <v>16521</v>
      </c>
      <c r="D902" s="1" t="s">
        <v>16511</v>
      </c>
      <c r="E902" s="1" t="s">
        <v>16512</v>
      </c>
      <c r="F902" s="1">
        <v>494605.0</v>
      </c>
      <c r="G902" s="1">
        <v>22432.0</v>
      </c>
      <c r="H902" s="1">
        <v>200.0</v>
      </c>
      <c r="I902" s="1">
        <v>8570000.0</v>
      </c>
      <c r="J902" s="1" t="s">
        <v>2468</v>
      </c>
      <c r="K902" s="5">
        <f t="shared" si="2"/>
        <v>0.05771353559</v>
      </c>
      <c r="L902" s="6">
        <f t="shared" si="3"/>
        <v>83</v>
      </c>
      <c r="M902" s="6">
        <f t="shared" si="4"/>
        <v>5959.096386</v>
      </c>
      <c r="N902" s="7">
        <f t="shared" si="5"/>
        <v>0.0006953438023</v>
      </c>
      <c r="O902" s="7"/>
      <c r="P902" s="4">
        <f t="shared" si="6"/>
        <v>0.04024880165</v>
      </c>
      <c r="Q902" s="4">
        <f t="shared" si="7"/>
        <v>5</v>
      </c>
      <c r="R902" s="4">
        <f t="shared" si="8"/>
        <v>0</v>
      </c>
      <c r="S902" s="4">
        <f t="shared" si="9"/>
        <v>0.04024880165</v>
      </c>
      <c r="T902" s="4">
        <f t="shared" si="10"/>
        <v>27</v>
      </c>
      <c r="U902" s="4">
        <f t="shared" si="1"/>
        <v>0.04024880165</v>
      </c>
      <c r="V902" s="4"/>
    </row>
    <row r="903">
      <c r="A903" s="1" t="s">
        <v>16522</v>
      </c>
      <c r="B903" s="1" t="s">
        <v>16523</v>
      </c>
      <c r="C903" s="1" t="s">
        <v>16524</v>
      </c>
      <c r="D903" s="1" t="s">
        <v>16511</v>
      </c>
      <c r="E903" s="1" t="s">
        <v>16512</v>
      </c>
      <c r="F903" s="1">
        <v>242274.0</v>
      </c>
      <c r="G903" s="1">
        <v>6931.0</v>
      </c>
      <c r="H903" s="1">
        <v>154.0</v>
      </c>
      <c r="I903" s="1">
        <v>8570000.0</v>
      </c>
      <c r="J903" s="1" t="s">
        <v>2468</v>
      </c>
      <c r="K903" s="5">
        <f t="shared" si="2"/>
        <v>0.02827001167</v>
      </c>
      <c r="L903" s="6">
        <f t="shared" si="3"/>
        <v>85</v>
      </c>
      <c r="M903" s="6">
        <f t="shared" si="4"/>
        <v>2850.282353</v>
      </c>
      <c r="N903" s="7">
        <f t="shared" si="5"/>
        <v>0.0003325883726</v>
      </c>
      <c r="O903" s="7"/>
      <c r="P903" s="4">
        <f t="shared" si="6"/>
        <v>-0.2152628559</v>
      </c>
      <c r="Q903" s="4">
        <f t="shared" si="7"/>
        <v>8</v>
      </c>
      <c r="R903" s="4">
        <f t="shared" si="8"/>
        <v>2</v>
      </c>
      <c r="S903" s="4">
        <f t="shared" si="9"/>
        <v>-0.2152628559</v>
      </c>
      <c r="T903" s="4">
        <f t="shared" si="10"/>
        <v>37</v>
      </c>
      <c r="U903" s="4">
        <f t="shared" si="1"/>
        <v>-0.2152628559</v>
      </c>
      <c r="V903" s="4"/>
    </row>
    <row r="904">
      <c r="A904" s="1" t="s">
        <v>16525</v>
      </c>
      <c r="B904" s="1" t="s">
        <v>16526</v>
      </c>
      <c r="C904" s="1" t="s">
        <v>16527</v>
      </c>
      <c r="D904" s="1" t="s">
        <v>16511</v>
      </c>
      <c r="E904" s="1" t="s">
        <v>16512</v>
      </c>
      <c r="F904" s="1">
        <v>1446233.0</v>
      </c>
      <c r="G904" s="1">
        <v>52925.0</v>
      </c>
      <c r="H904" s="1">
        <v>2319.0</v>
      </c>
      <c r="I904" s="1">
        <v>8570000.0</v>
      </c>
      <c r="J904" s="1" t="s">
        <v>2468</v>
      </c>
      <c r="K904" s="5">
        <f t="shared" si="2"/>
        <v>0.1687553092</v>
      </c>
      <c r="L904" s="6">
        <f t="shared" si="3"/>
        <v>88</v>
      </c>
      <c r="M904" s="6">
        <f t="shared" si="4"/>
        <v>16434.46591</v>
      </c>
      <c r="N904" s="7">
        <f t="shared" si="5"/>
        <v>0.001917673968</v>
      </c>
      <c r="O904" s="7"/>
      <c r="P904" s="4">
        <f t="shared" si="6"/>
        <v>0.9012134661</v>
      </c>
      <c r="Q904" s="4">
        <f t="shared" si="7"/>
        <v>8</v>
      </c>
      <c r="R904" s="4">
        <f t="shared" si="8"/>
        <v>0</v>
      </c>
      <c r="S904" s="4">
        <f t="shared" si="9"/>
        <v>0.9012134661</v>
      </c>
      <c r="T904" s="4">
        <f t="shared" si="10"/>
        <v>48</v>
      </c>
      <c r="U904" s="4">
        <f t="shared" si="1"/>
        <v>0.9012134661</v>
      </c>
      <c r="V904" s="4"/>
    </row>
    <row r="905">
      <c r="A905" s="1" t="s">
        <v>16528</v>
      </c>
      <c r="B905" s="1" t="s">
        <v>16529</v>
      </c>
      <c r="C905" s="1" t="s">
        <v>16530</v>
      </c>
      <c r="D905" s="1" t="s">
        <v>16511</v>
      </c>
      <c r="E905" s="1" t="s">
        <v>16512</v>
      </c>
      <c r="F905" s="1">
        <v>525679.0</v>
      </c>
      <c r="G905" s="1">
        <v>18107.0</v>
      </c>
      <c r="H905" s="1">
        <v>920.0</v>
      </c>
      <c r="I905" s="1">
        <v>8570000.0</v>
      </c>
      <c r="J905" s="1" t="s">
        <v>2468</v>
      </c>
      <c r="K905" s="5">
        <f t="shared" si="2"/>
        <v>0.06133943991</v>
      </c>
      <c r="L905" s="6">
        <f t="shared" si="3"/>
        <v>105</v>
      </c>
      <c r="M905" s="6">
        <f t="shared" si="4"/>
        <v>5006.466667</v>
      </c>
      <c r="N905" s="7">
        <f t="shared" si="5"/>
        <v>0.000584185142</v>
      </c>
      <c r="O905" s="7"/>
      <c r="P905" s="4">
        <f t="shared" si="6"/>
        <v>-0.03804729324</v>
      </c>
      <c r="Q905" s="4">
        <f t="shared" si="7"/>
        <v>6</v>
      </c>
      <c r="R905" s="4">
        <f t="shared" si="8"/>
        <v>1</v>
      </c>
      <c r="S905" s="4">
        <f t="shared" si="9"/>
        <v>-0.03804729324</v>
      </c>
      <c r="T905" s="4">
        <f t="shared" si="10"/>
        <v>26</v>
      </c>
      <c r="U905" s="4">
        <f t="shared" si="1"/>
        <v>-0.03804729324</v>
      </c>
      <c r="V905" s="4"/>
    </row>
    <row r="906">
      <c r="A906" s="1" t="s">
        <v>16531</v>
      </c>
      <c r="B906" s="1" t="s">
        <v>16532</v>
      </c>
      <c r="C906" s="1" t="s">
        <v>16533</v>
      </c>
      <c r="D906" s="1" t="s">
        <v>16511</v>
      </c>
      <c r="E906" s="1" t="s">
        <v>16512</v>
      </c>
      <c r="F906" s="1">
        <v>816773.0</v>
      </c>
      <c r="G906" s="1">
        <v>19269.0</v>
      </c>
      <c r="H906" s="1">
        <v>1836.0</v>
      </c>
      <c r="I906" s="1">
        <v>8570000.0</v>
      </c>
      <c r="J906" s="1" t="s">
        <v>2468</v>
      </c>
      <c r="K906" s="5">
        <f t="shared" si="2"/>
        <v>0.09530606768</v>
      </c>
      <c r="L906" s="6">
        <f t="shared" si="3"/>
        <v>140</v>
      </c>
      <c r="M906" s="6">
        <f t="shared" si="4"/>
        <v>5834.092857</v>
      </c>
      <c r="N906" s="7">
        <f t="shared" si="5"/>
        <v>0.0006807576263</v>
      </c>
      <c r="O906" s="7"/>
      <c r="P906" s="4">
        <f t="shared" si="6"/>
        <v>0.02997483273</v>
      </c>
      <c r="Q906" s="4">
        <f t="shared" si="7"/>
        <v>7</v>
      </c>
      <c r="R906" s="4">
        <f t="shared" si="8"/>
        <v>0</v>
      </c>
      <c r="S906" s="4">
        <f t="shared" si="9"/>
        <v>0.02997483273</v>
      </c>
      <c r="T906" s="4">
        <f t="shared" si="10"/>
        <v>42</v>
      </c>
      <c r="U906" s="4">
        <f t="shared" si="1"/>
        <v>0.02997483273</v>
      </c>
      <c r="V906" s="4"/>
    </row>
    <row r="907">
      <c r="A907" s="1" t="s">
        <v>16534</v>
      </c>
      <c r="B907" s="1" t="s">
        <v>16535</v>
      </c>
      <c r="C907" s="1" t="s">
        <v>16536</v>
      </c>
      <c r="D907" s="1" t="s">
        <v>16511</v>
      </c>
      <c r="E907" s="1" t="s">
        <v>16512</v>
      </c>
      <c r="F907" s="1">
        <v>349127.0</v>
      </c>
      <c r="G907" s="1">
        <v>10750.0</v>
      </c>
      <c r="H907" s="1">
        <v>78.0</v>
      </c>
      <c r="I907" s="1">
        <v>8570000.0</v>
      </c>
      <c r="J907" s="1" t="s">
        <v>2468</v>
      </c>
      <c r="K907" s="5">
        <f t="shared" si="2"/>
        <v>0.04073827305</v>
      </c>
      <c r="L907" s="6">
        <f t="shared" si="3"/>
        <v>160</v>
      </c>
      <c r="M907" s="6">
        <f t="shared" si="4"/>
        <v>2182.04375</v>
      </c>
      <c r="N907" s="7">
        <f t="shared" si="5"/>
        <v>0.0002546142065</v>
      </c>
      <c r="O907" s="7"/>
      <c r="P907" s="4">
        <f t="shared" si="6"/>
        <v>-0.2701850067</v>
      </c>
      <c r="Q907" s="4">
        <f t="shared" si="7"/>
        <v>4</v>
      </c>
      <c r="R907" s="4">
        <f t="shared" si="8"/>
        <v>0</v>
      </c>
      <c r="S907" s="4">
        <f t="shared" si="9"/>
        <v>-0.2701850067</v>
      </c>
      <c r="T907" s="4">
        <f t="shared" si="10"/>
        <v>28</v>
      </c>
      <c r="U907" s="4">
        <f t="shared" si="1"/>
        <v>-0.2701850067</v>
      </c>
      <c r="V907" s="4"/>
    </row>
    <row r="908">
      <c r="A908" s="1" t="s">
        <v>16537</v>
      </c>
      <c r="B908" s="1" t="s">
        <v>16538</v>
      </c>
      <c r="C908" s="1" t="s">
        <v>16539</v>
      </c>
      <c r="D908" s="1" t="s">
        <v>16511</v>
      </c>
      <c r="E908" s="1" t="s">
        <v>16512</v>
      </c>
      <c r="F908" s="1">
        <v>425759.0</v>
      </c>
      <c r="G908" s="1">
        <v>10980.0</v>
      </c>
      <c r="H908" s="1">
        <v>691.0</v>
      </c>
      <c r="I908" s="1">
        <v>8570000.0</v>
      </c>
      <c r="J908" s="1" t="s">
        <v>2468</v>
      </c>
      <c r="K908" s="5">
        <f t="shared" si="2"/>
        <v>0.04968016336</v>
      </c>
      <c r="L908" s="6">
        <f t="shared" si="3"/>
        <v>162</v>
      </c>
      <c r="M908" s="6">
        <f t="shared" si="4"/>
        <v>2628.141975</v>
      </c>
      <c r="N908" s="7">
        <f t="shared" si="5"/>
        <v>0.0003066676751</v>
      </c>
      <c r="O908" s="7"/>
      <c r="P908" s="4">
        <f t="shared" si="6"/>
        <v>-0.2335204472</v>
      </c>
      <c r="Q908" s="4">
        <f t="shared" si="7"/>
        <v>4</v>
      </c>
      <c r="R908" s="4">
        <f t="shared" si="8"/>
        <v>0</v>
      </c>
      <c r="S908" s="4">
        <f t="shared" si="9"/>
        <v>-0.2335204472</v>
      </c>
      <c r="T908" s="4">
        <f t="shared" si="10"/>
        <v>17</v>
      </c>
      <c r="U908" s="4">
        <f t="shared" si="1"/>
        <v>-0.2335204472</v>
      </c>
      <c r="V908" s="4"/>
    </row>
    <row r="909">
      <c r="A909" s="1" t="s">
        <v>16540</v>
      </c>
      <c r="B909" s="1" t="s">
        <v>16541</v>
      </c>
      <c r="C909" s="1" t="s">
        <v>16542</v>
      </c>
      <c r="D909" s="1" t="s">
        <v>16511</v>
      </c>
      <c r="E909" s="1" t="s">
        <v>16512</v>
      </c>
      <c r="F909" s="1">
        <v>2018631.0</v>
      </c>
      <c r="G909" s="1">
        <v>80219.0</v>
      </c>
      <c r="H909" s="1">
        <v>3616.0</v>
      </c>
      <c r="I909" s="1">
        <v>8570000.0</v>
      </c>
      <c r="J909" s="1" t="s">
        <v>2468</v>
      </c>
      <c r="K909" s="5">
        <f t="shared" si="2"/>
        <v>0.2355462077</v>
      </c>
      <c r="L909" s="6">
        <f t="shared" si="3"/>
        <v>165</v>
      </c>
      <c r="M909" s="6">
        <f t="shared" si="4"/>
        <v>12234.12727</v>
      </c>
      <c r="N909" s="7">
        <f t="shared" si="5"/>
        <v>0.001427552774</v>
      </c>
      <c r="O909" s="7"/>
      <c r="P909" s="4">
        <f t="shared" si="6"/>
        <v>0.5559900221</v>
      </c>
      <c r="Q909" s="4">
        <f t="shared" si="7"/>
        <v>10</v>
      </c>
      <c r="R909" s="4">
        <f t="shared" si="8"/>
        <v>0</v>
      </c>
      <c r="S909" s="4">
        <f t="shared" si="9"/>
        <v>0.5559900221</v>
      </c>
      <c r="T909" s="4">
        <f t="shared" si="10"/>
        <v>35</v>
      </c>
      <c r="U909" s="4">
        <f t="shared" si="1"/>
        <v>0.5559900221</v>
      </c>
      <c r="V909" s="4"/>
    </row>
    <row r="910">
      <c r="A910" s="1" t="s">
        <v>16543</v>
      </c>
      <c r="B910" s="1" t="s">
        <v>16544</v>
      </c>
      <c r="C910" s="1" t="s">
        <v>16545</v>
      </c>
      <c r="D910" s="1" t="s">
        <v>16511</v>
      </c>
      <c r="E910" s="1" t="s">
        <v>16512</v>
      </c>
      <c r="F910" s="1">
        <v>1174888.0</v>
      </c>
      <c r="G910" s="1">
        <v>37378.0</v>
      </c>
      <c r="H910" s="1">
        <v>501.0</v>
      </c>
      <c r="I910" s="1">
        <v>8570000.0</v>
      </c>
      <c r="J910" s="1" t="s">
        <v>2468</v>
      </c>
      <c r="K910" s="5">
        <f t="shared" si="2"/>
        <v>0.1370931155</v>
      </c>
      <c r="L910" s="6">
        <f t="shared" si="3"/>
        <v>166</v>
      </c>
      <c r="M910" s="6">
        <f t="shared" si="4"/>
        <v>7077.638554</v>
      </c>
      <c r="N910" s="7">
        <f t="shared" si="5"/>
        <v>0.0008258621417</v>
      </c>
      <c r="O910" s="7"/>
      <c r="P910" s="4">
        <f t="shared" si="6"/>
        <v>0.1321811464</v>
      </c>
      <c r="Q910" s="4">
        <f t="shared" si="7"/>
        <v>4</v>
      </c>
      <c r="R910" s="4">
        <f t="shared" si="8"/>
        <v>0</v>
      </c>
      <c r="S910" s="4">
        <f t="shared" si="9"/>
        <v>0.1321811464</v>
      </c>
      <c r="T910" s="4">
        <f t="shared" si="10"/>
        <v>25</v>
      </c>
      <c r="U910" s="4">
        <f t="shared" si="1"/>
        <v>0.1321811464</v>
      </c>
      <c r="V910" s="4"/>
    </row>
    <row r="911">
      <c r="A911" s="1" t="s">
        <v>16546</v>
      </c>
      <c r="B911" s="1" t="s">
        <v>16547</v>
      </c>
      <c r="C911" s="1" t="s">
        <v>16548</v>
      </c>
      <c r="D911" s="1" t="s">
        <v>16511</v>
      </c>
      <c r="E911" s="1" t="s">
        <v>16512</v>
      </c>
      <c r="F911" s="1">
        <v>1338360.0</v>
      </c>
      <c r="G911" s="1">
        <v>43786.0</v>
      </c>
      <c r="H911" s="1">
        <v>2499.0</v>
      </c>
      <c r="I911" s="1">
        <v>8570000.0</v>
      </c>
      <c r="J911" s="1" t="s">
        <v>2468</v>
      </c>
      <c r="K911" s="5">
        <f t="shared" si="2"/>
        <v>0.156168028</v>
      </c>
      <c r="L911" s="6">
        <f t="shared" si="3"/>
        <v>188</v>
      </c>
      <c r="M911" s="6">
        <f t="shared" si="4"/>
        <v>7118.93617</v>
      </c>
      <c r="N911" s="7">
        <f t="shared" si="5"/>
        <v>0.000830681</v>
      </c>
      <c r="O911" s="7"/>
      <c r="P911" s="4">
        <f t="shared" si="6"/>
        <v>0.135575374</v>
      </c>
      <c r="Q911" s="4">
        <f t="shared" si="7"/>
        <v>8</v>
      </c>
      <c r="R911" s="4">
        <f t="shared" si="8"/>
        <v>0</v>
      </c>
      <c r="S911" s="4">
        <f t="shared" si="9"/>
        <v>0.135575374</v>
      </c>
      <c r="T911" s="4">
        <f t="shared" si="10"/>
        <v>47</v>
      </c>
      <c r="U911" s="4">
        <f t="shared" si="1"/>
        <v>0.135575374</v>
      </c>
      <c r="V911" s="4"/>
    </row>
    <row r="912">
      <c r="A912" s="1" t="s">
        <v>16549</v>
      </c>
      <c r="B912" s="1" t="s">
        <v>16550</v>
      </c>
      <c r="C912" s="1" t="s">
        <v>16551</v>
      </c>
      <c r="D912" s="1" t="s">
        <v>16511</v>
      </c>
      <c r="E912" s="1" t="s">
        <v>16512</v>
      </c>
      <c r="F912" s="1">
        <v>834669.0</v>
      </c>
      <c r="G912" s="1">
        <v>24865.0</v>
      </c>
      <c r="H912" s="1">
        <v>867.0</v>
      </c>
      <c r="I912" s="1">
        <v>8570000.0</v>
      </c>
      <c r="J912" s="1" t="s">
        <v>2468</v>
      </c>
      <c r="K912" s="5">
        <f t="shared" si="2"/>
        <v>0.09739428238</v>
      </c>
      <c r="L912" s="6">
        <f t="shared" si="3"/>
        <v>197</v>
      </c>
      <c r="M912" s="6">
        <f t="shared" si="4"/>
        <v>4236.898477</v>
      </c>
      <c r="N912" s="7">
        <f t="shared" si="5"/>
        <v>0.0004943872202</v>
      </c>
      <c r="O912" s="7"/>
      <c r="P912" s="4">
        <f t="shared" si="6"/>
        <v>-0.1012976651</v>
      </c>
      <c r="Q912" s="4">
        <f t="shared" si="7"/>
        <v>4</v>
      </c>
      <c r="R912" s="4">
        <f t="shared" si="8"/>
        <v>0</v>
      </c>
      <c r="S912" s="4">
        <f t="shared" si="9"/>
        <v>-0.1012976651</v>
      </c>
      <c r="T912" s="4">
        <f t="shared" si="10"/>
        <v>23</v>
      </c>
      <c r="U912" s="4">
        <f t="shared" si="1"/>
        <v>-0.1012976651</v>
      </c>
      <c r="V912" s="4"/>
    </row>
    <row r="913">
      <c r="A913" s="1" t="s">
        <v>16552</v>
      </c>
      <c r="B913" s="1" t="s">
        <v>16553</v>
      </c>
      <c r="C913" s="1" t="s">
        <v>16554</v>
      </c>
      <c r="D913" s="1" t="s">
        <v>16511</v>
      </c>
      <c r="E913" s="1" t="s">
        <v>16512</v>
      </c>
      <c r="F913" s="1">
        <v>1058516.0</v>
      </c>
      <c r="G913" s="1">
        <v>28638.0</v>
      </c>
      <c r="H913" s="1">
        <v>575.0</v>
      </c>
      <c r="I913" s="1">
        <v>8570000.0</v>
      </c>
      <c r="J913" s="1" t="s">
        <v>2468</v>
      </c>
      <c r="K913" s="5">
        <f t="shared" si="2"/>
        <v>0.123514119</v>
      </c>
      <c r="L913" s="6">
        <f t="shared" si="3"/>
        <v>199</v>
      </c>
      <c r="M913" s="6">
        <f t="shared" si="4"/>
        <v>5319.175879</v>
      </c>
      <c r="N913" s="7">
        <f t="shared" si="5"/>
        <v>0.0006206739649</v>
      </c>
      <c r="O913" s="7"/>
      <c r="P913" s="4">
        <f t="shared" si="6"/>
        <v>-0.01234590087</v>
      </c>
      <c r="Q913" s="4">
        <f t="shared" si="7"/>
        <v>6</v>
      </c>
      <c r="R913" s="4">
        <f t="shared" si="8"/>
        <v>0</v>
      </c>
      <c r="S913" s="4">
        <f t="shared" si="9"/>
        <v>-0.01234590087</v>
      </c>
      <c r="T913" s="4">
        <f t="shared" si="10"/>
        <v>30</v>
      </c>
      <c r="U913" s="4">
        <f t="shared" si="1"/>
        <v>-0.01234590087</v>
      </c>
      <c r="V913" s="4"/>
    </row>
    <row r="914">
      <c r="A914" s="1" t="s">
        <v>16555</v>
      </c>
      <c r="B914" s="1" t="s">
        <v>16556</v>
      </c>
      <c r="C914" s="1" t="s">
        <v>16557</v>
      </c>
      <c r="D914" s="1" t="s">
        <v>16511</v>
      </c>
      <c r="E914" s="1" t="s">
        <v>16512</v>
      </c>
      <c r="F914" s="1">
        <v>3328824.0</v>
      </c>
      <c r="G914" s="1">
        <v>92976.0</v>
      </c>
      <c r="H914" s="1">
        <v>4033.0</v>
      </c>
      <c r="I914" s="1">
        <v>8570000.0</v>
      </c>
      <c r="J914" s="1" t="s">
        <v>2468</v>
      </c>
      <c r="K914" s="5">
        <f t="shared" si="2"/>
        <v>0.3884275379</v>
      </c>
      <c r="L914" s="6">
        <f t="shared" si="3"/>
        <v>215</v>
      </c>
      <c r="M914" s="6">
        <f t="shared" si="4"/>
        <v>15482.90233</v>
      </c>
      <c r="N914" s="7">
        <f t="shared" si="5"/>
        <v>0.001806639711</v>
      </c>
      <c r="O914" s="7"/>
      <c r="P914" s="4">
        <f t="shared" si="6"/>
        <v>0.8230049963</v>
      </c>
      <c r="Q914" s="4">
        <f t="shared" si="7"/>
        <v>11</v>
      </c>
      <c r="R914" s="4">
        <f t="shared" si="8"/>
        <v>0</v>
      </c>
      <c r="S914" s="4">
        <f t="shared" si="9"/>
        <v>0.8230049963</v>
      </c>
      <c r="T914" s="4">
        <f t="shared" si="10"/>
        <v>37</v>
      </c>
      <c r="U914" s="4">
        <f t="shared" si="1"/>
        <v>0.8230049963</v>
      </c>
      <c r="V914" s="4"/>
    </row>
    <row r="915">
      <c r="A915" s="1" t="s">
        <v>16558</v>
      </c>
      <c r="B915" s="1" t="s">
        <v>16559</v>
      </c>
      <c r="C915" s="1" t="s">
        <v>16560</v>
      </c>
      <c r="D915" s="1" t="s">
        <v>16511</v>
      </c>
      <c r="E915" s="1" t="s">
        <v>16512</v>
      </c>
      <c r="F915" s="1">
        <v>753541.0</v>
      </c>
      <c r="G915" s="1">
        <v>16949.0</v>
      </c>
      <c r="H915" s="1">
        <v>1170.0</v>
      </c>
      <c r="I915" s="1">
        <v>8570000.0</v>
      </c>
      <c r="J915" s="1" t="s">
        <v>2468</v>
      </c>
      <c r="K915" s="5">
        <f t="shared" si="2"/>
        <v>0.0879277713</v>
      </c>
      <c r="L915" s="6">
        <f t="shared" si="3"/>
        <v>230</v>
      </c>
      <c r="M915" s="6">
        <f t="shared" si="4"/>
        <v>3276.265217</v>
      </c>
      <c r="N915" s="7">
        <f t="shared" si="5"/>
        <v>0.0003822946578</v>
      </c>
      <c r="O915" s="7"/>
      <c r="P915" s="4">
        <f t="shared" si="6"/>
        <v>-0.1802515665</v>
      </c>
      <c r="Q915" s="4">
        <f t="shared" si="7"/>
        <v>4</v>
      </c>
      <c r="R915" s="4">
        <f t="shared" si="8"/>
        <v>0</v>
      </c>
      <c r="S915" s="4">
        <f t="shared" si="9"/>
        <v>-0.1802515665</v>
      </c>
      <c r="T915" s="4">
        <f t="shared" si="10"/>
        <v>20</v>
      </c>
      <c r="U915" s="4">
        <f t="shared" si="1"/>
        <v>-0.1802515665</v>
      </c>
      <c r="V915" s="4"/>
    </row>
    <row r="916">
      <c r="A916" s="1" t="s">
        <v>16561</v>
      </c>
      <c r="B916" s="1" t="s">
        <v>16562</v>
      </c>
      <c r="C916" s="1" t="s">
        <v>16563</v>
      </c>
      <c r="D916" s="1" t="s">
        <v>16511</v>
      </c>
      <c r="E916" s="1" t="s">
        <v>16512</v>
      </c>
      <c r="F916" s="1">
        <v>796724.0</v>
      </c>
      <c r="G916" s="1">
        <v>24697.0</v>
      </c>
      <c r="H916" s="1">
        <v>889.0</v>
      </c>
      <c r="I916" s="1">
        <v>8570000.0</v>
      </c>
      <c r="J916" s="1" t="s">
        <v>2468</v>
      </c>
      <c r="K916" s="5">
        <f t="shared" si="2"/>
        <v>0.09296662777</v>
      </c>
      <c r="L916" s="6">
        <f t="shared" si="3"/>
        <v>302</v>
      </c>
      <c r="M916" s="6">
        <f t="shared" si="4"/>
        <v>2638.15894</v>
      </c>
      <c r="N916" s="7">
        <f t="shared" si="5"/>
        <v>0.0003078365158</v>
      </c>
      <c r="O916" s="7"/>
      <c r="P916" s="4">
        <f t="shared" si="6"/>
        <v>-0.2326971586</v>
      </c>
      <c r="Q916" s="4">
        <f t="shared" si="7"/>
        <v>6</v>
      </c>
      <c r="R916" s="4">
        <f t="shared" si="8"/>
        <v>0</v>
      </c>
      <c r="S916" s="4">
        <f t="shared" si="9"/>
        <v>-0.2326971586</v>
      </c>
      <c r="T916" s="4">
        <f t="shared" si="10"/>
        <v>30</v>
      </c>
      <c r="U916" s="4">
        <f t="shared" si="1"/>
        <v>-0.2326971586</v>
      </c>
      <c r="V916" s="4"/>
    </row>
    <row r="917">
      <c r="A917" s="1" t="s">
        <v>16564</v>
      </c>
      <c r="B917" s="1" t="s">
        <v>16565</v>
      </c>
      <c r="C917" s="1" t="s">
        <v>16566</v>
      </c>
      <c r="D917" s="1" t="s">
        <v>16511</v>
      </c>
      <c r="E917" s="1" t="s">
        <v>16512</v>
      </c>
      <c r="F917" s="1">
        <v>1331190.0</v>
      </c>
      <c r="G917" s="1">
        <v>47304.0</v>
      </c>
      <c r="H917" s="1">
        <v>508.0</v>
      </c>
      <c r="I917" s="1">
        <v>8570000.0</v>
      </c>
      <c r="J917" s="1" t="s">
        <v>2468</v>
      </c>
      <c r="K917" s="5">
        <f t="shared" si="2"/>
        <v>0.1553313886</v>
      </c>
      <c r="L917" s="6">
        <f t="shared" si="3"/>
        <v>326</v>
      </c>
      <c r="M917" s="6">
        <f t="shared" si="4"/>
        <v>4083.404908</v>
      </c>
      <c r="N917" s="7">
        <f t="shared" si="5"/>
        <v>0.000476476652</v>
      </c>
      <c r="O917" s="7"/>
      <c r="P917" s="4">
        <f t="shared" si="6"/>
        <v>-0.1139132143</v>
      </c>
      <c r="Q917" s="4">
        <f t="shared" si="7"/>
        <v>4</v>
      </c>
      <c r="R917" s="4">
        <f t="shared" si="8"/>
        <v>0</v>
      </c>
      <c r="S917" s="4">
        <f t="shared" si="9"/>
        <v>-0.1139132143</v>
      </c>
      <c r="T917" s="4">
        <f t="shared" si="10"/>
        <v>18</v>
      </c>
      <c r="U917" s="4">
        <f t="shared" si="1"/>
        <v>-0.1139132143</v>
      </c>
      <c r="V917" s="4"/>
    </row>
    <row r="918">
      <c r="A918" s="1" t="s">
        <v>16567</v>
      </c>
      <c r="B918" s="1" t="s">
        <v>16568</v>
      </c>
      <c r="C918" s="1" t="s">
        <v>16569</v>
      </c>
      <c r="D918" s="1" t="s">
        <v>16511</v>
      </c>
      <c r="E918" s="1" t="s">
        <v>16512</v>
      </c>
      <c r="F918" s="1">
        <v>1856042.0</v>
      </c>
      <c r="G918" s="1">
        <v>55012.0</v>
      </c>
      <c r="H918" s="1">
        <v>1803.0</v>
      </c>
      <c r="I918" s="1">
        <v>8570000.0</v>
      </c>
      <c r="J918" s="1" t="s">
        <v>2468</v>
      </c>
      <c r="K918" s="5">
        <f t="shared" si="2"/>
        <v>0.2165743291</v>
      </c>
      <c r="L918" s="6">
        <f t="shared" si="3"/>
        <v>326</v>
      </c>
      <c r="M918" s="6">
        <f t="shared" si="4"/>
        <v>5693.380368</v>
      </c>
      <c r="N918" s="7">
        <f t="shared" si="5"/>
        <v>0.0006643384327</v>
      </c>
      <c r="O918" s="7"/>
      <c r="P918" s="4">
        <f t="shared" si="6"/>
        <v>0.01840975327</v>
      </c>
      <c r="Q918" s="4">
        <f t="shared" si="7"/>
        <v>6</v>
      </c>
      <c r="R918" s="4">
        <f t="shared" si="8"/>
        <v>1</v>
      </c>
      <c r="S918" s="4">
        <f t="shared" si="9"/>
        <v>0.01840975327</v>
      </c>
      <c r="T918" s="4">
        <f t="shared" si="10"/>
        <v>26</v>
      </c>
      <c r="U918" s="4">
        <f t="shared" si="1"/>
        <v>0.01840975327</v>
      </c>
      <c r="V918" s="4"/>
    </row>
    <row r="919">
      <c r="A919" s="1" t="s">
        <v>16570</v>
      </c>
      <c r="B919" s="1" t="s">
        <v>16571</v>
      </c>
      <c r="C919" s="1" t="s">
        <v>16572</v>
      </c>
      <c r="D919" s="1" t="s">
        <v>16511</v>
      </c>
      <c r="E919" s="1" t="s">
        <v>16512</v>
      </c>
      <c r="F919" s="1">
        <v>1124624.0</v>
      </c>
      <c r="G919" s="1">
        <v>40585.0</v>
      </c>
      <c r="H919" s="1">
        <v>1366.0</v>
      </c>
      <c r="I919" s="1">
        <v>8570000.0</v>
      </c>
      <c r="J919" s="1" t="s">
        <v>2468</v>
      </c>
      <c r="K919" s="5">
        <f t="shared" si="2"/>
        <v>0.1312280047</v>
      </c>
      <c r="L919" s="6">
        <f t="shared" si="3"/>
        <v>333</v>
      </c>
      <c r="M919" s="6">
        <f t="shared" si="4"/>
        <v>3377.249249</v>
      </c>
      <c r="N919" s="7">
        <f t="shared" si="5"/>
        <v>0.0003940780921</v>
      </c>
      <c r="O919" s="7"/>
      <c r="P919" s="4">
        <f t="shared" si="6"/>
        <v>-0.1719517464</v>
      </c>
      <c r="Q919" s="4">
        <f t="shared" si="7"/>
        <v>9</v>
      </c>
      <c r="R919" s="4">
        <f t="shared" si="8"/>
        <v>0</v>
      </c>
      <c r="S919" s="4">
        <f t="shared" si="9"/>
        <v>-0.1719517464</v>
      </c>
      <c r="T919" s="4">
        <f t="shared" si="10"/>
        <v>49</v>
      </c>
      <c r="U919" s="4">
        <f t="shared" si="1"/>
        <v>-0.1719517464</v>
      </c>
      <c r="V919" s="4"/>
    </row>
    <row r="920">
      <c r="A920" s="1" t="s">
        <v>16573</v>
      </c>
      <c r="B920" s="1" t="s">
        <v>16574</v>
      </c>
      <c r="C920" s="1" t="s">
        <v>16575</v>
      </c>
      <c r="D920" s="1" t="s">
        <v>16511</v>
      </c>
      <c r="E920" s="1" t="s">
        <v>16512</v>
      </c>
      <c r="F920" s="1">
        <v>778984.0</v>
      </c>
      <c r="G920" s="1">
        <v>26382.0</v>
      </c>
      <c r="H920" s="1">
        <v>1385.0</v>
      </c>
      <c r="I920" s="1">
        <v>8570000.0</v>
      </c>
      <c r="J920" s="1" t="s">
        <v>2468</v>
      </c>
      <c r="K920" s="5">
        <f t="shared" si="2"/>
        <v>0.0908966161</v>
      </c>
      <c r="L920" s="6">
        <f t="shared" si="3"/>
        <v>350</v>
      </c>
      <c r="M920" s="6">
        <f t="shared" si="4"/>
        <v>2225.668571</v>
      </c>
      <c r="N920" s="7">
        <f t="shared" si="5"/>
        <v>0.0002597046174</v>
      </c>
      <c r="O920" s="7"/>
      <c r="P920" s="4">
        <f t="shared" si="6"/>
        <v>-0.2665995074</v>
      </c>
      <c r="Q920" s="4">
        <f t="shared" si="7"/>
        <v>11</v>
      </c>
      <c r="R920" s="4">
        <f t="shared" si="8"/>
        <v>1</v>
      </c>
      <c r="S920" s="4">
        <f t="shared" si="9"/>
        <v>-0.2665995074</v>
      </c>
      <c r="T920" s="4">
        <f t="shared" si="10"/>
        <v>48</v>
      </c>
      <c r="U920" s="4">
        <f t="shared" si="1"/>
        <v>-0.2665995074</v>
      </c>
      <c r="V920" s="4"/>
    </row>
    <row r="921">
      <c r="A921" s="1" t="s">
        <v>16576</v>
      </c>
      <c r="B921" s="1" t="s">
        <v>16577</v>
      </c>
      <c r="C921" s="1" t="s">
        <v>16578</v>
      </c>
      <c r="D921" s="1" t="s">
        <v>16511</v>
      </c>
      <c r="E921" s="1" t="s">
        <v>16512</v>
      </c>
      <c r="F921" s="1">
        <v>249310.0</v>
      </c>
      <c r="G921" s="1">
        <v>9405.0</v>
      </c>
      <c r="H921" s="1">
        <v>98.0</v>
      </c>
      <c r="I921" s="1">
        <v>8570000.0</v>
      </c>
      <c r="J921" s="1" t="s">
        <v>2468</v>
      </c>
      <c r="K921" s="5">
        <f t="shared" si="2"/>
        <v>0.02909101517</v>
      </c>
      <c r="L921" s="6">
        <f t="shared" si="3"/>
        <v>361</v>
      </c>
      <c r="M921" s="6">
        <f t="shared" si="4"/>
        <v>690.6094183</v>
      </c>
      <c r="N921" s="7">
        <f t="shared" si="5"/>
        <v>0.00008058452955</v>
      </c>
      <c r="O921" s="7"/>
      <c r="P921" s="4">
        <f t="shared" si="6"/>
        <v>-0.3927651463</v>
      </c>
      <c r="Q921" s="4">
        <f t="shared" si="7"/>
        <v>3</v>
      </c>
      <c r="R921" s="4">
        <f t="shared" si="8"/>
        <v>0</v>
      </c>
      <c r="S921" s="4">
        <f t="shared" si="9"/>
        <v>-0.3927651463</v>
      </c>
      <c r="T921" s="4">
        <f t="shared" si="10"/>
        <v>18</v>
      </c>
      <c r="U921" s="4">
        <f t="shared" si="1"/>
        <v>-0.3927651463</v>
      </c>
      <c r="V921" s="4"/>
    </row>
    <row r="922">
      <c r="A922" s="1" t="s">
        <v>16579</v>
      </c>
      <c r="B922" s="1" t="s">
        <v>16580</v>
      </c>
      <c r="C922" s="1" t="s">
        <v>16581</v>
      </c>
      <c r="D922" s="1" t="s">
        <v>16511</v>
      </c>
      <c r="E922" s="1" t="s">
        <v>16512</v>
      </c>
      <c r="F922" s="1">
        <v>509536.0</v>
      </c>
      <c r="G922" s="1">
        <v>19654.0</v>
      </c>
      <c r="H922" s="1">
        <v>1038.0</v>
      </c>
      <c r="I922" s="1">
        <v>8570000.0</v>
      </c>
      <c r="J922" s="1" t="s">
        <v>2468</v>
      </c>
      <c r="K922" s="5">
        <f t="shared" si="2"/>
        <v>0.05945577596</v>
      </c>
      <c r="L922" s="6">
        <f t="shared" si="3"/>
        <v>361</v>
      </c>
      <c r="M922" s="6">
        <f t="shared" si="4"/>
        <v>1411.457064</v>
      </c>
      <c r="N922" s="7">
        <f t="shared" si="5"/>
        <v>0.0001646974403</v>
      </c>
      <c r="O922" s="7"/>
      <c r="P922" s="4">
        <f t="shared" si="6"/>
        <v>-0.3335190883</v>
      </c>
      <c r="Q922" s="4">
        <f t="shared" si="7"/>
        <v>9</v>
      </c>
      <c r="R922" s="4">
        <f t="shared" si="8"/>
        <v>0</v>
      </c>
      <c r="S922" s="4">
        <f t="shared" si="9"/>
        <v>-0.3335190883</v>
      </c>
      <c r="T922" s="4">
        <f t="shared" si="10"/>
        <v>44</v>
      </c>
      <c r="U922" s="4">
        <f t="shared" si="1"/>
        <v>-0.3335190883</v>
      </c>
      <c r="V922" s="4"/>
    </row>
    <row r="923">
      <c r="A923" s="1" t="s">
        <v>16582</v>
      </c>
      <c r="B923" s="1" t="s">
        <v>16583</v>
      </c>
      <c r="C923" s="1" t="s">
        <v>16584</v>
      </c>
      <c r="D923" s="1" t="s">
        <v>16511</v>
      </c>
      <c r="E923" s="1" t="s">
        <v>16512</v>
      </c>
      <c r="F923" s="1">
        <v>462968.0</v>
      </c>
      <c r="G923" s="1">
        <v>16294.0</v>
      </c>
      <c r="H923" s="1">
        <v>566.0</v>
      </c>
      <c r="I923" s="1">
        <v>8570000.0</v>
      </c>
      <c r="J923" s="1" t="s">
        <v>2468</v>
      </c>
      <c r="K923" s="5">
        <f t="shared" si="2"/>
        <v>0.05402193699</v>
      </c>
      <c r="L923" s="6">
        <f t="shared" si="3"/>
        <v>371</v>
      </c>
      <c r="M923" s="6">
        <f t="shared" si="4"/>
        <v>1247.892183</v>
      </c>
      <c r="N923" s="7">
        <f t="shared" si="5"/>
        <v>0.00014561169</v>
      </c>
      <c r="O923" s="7"/>
      <c r="P923" s="4">
        <f t="shared" si="6"/>
        <v>-0.3469623928</v>
      </c>
      <c r="Q923" s="4">
        <f t="shared" si="7"/>
        <v>11</v>
      </c>
      <c r="R923" s="4">
        <f t="shared" si="8"/>
        <v>0</v>
      </c>
      <c r="S923" s="4">
        <f t="shared" si="9"/>
        <v>-0.3469623928</v>
      </c>
      <c r="T923" s="4">
        <f t="shared" si="10"/>
        <v>62</v>
      </c>
      <c r="U923" s="4">
        <f t="shared" si="1"/>
        <v>-0.3469623928</v>
      </c>
      <c r="V923" s="4"/>
    </row>
    <row r="924">
      <c r="A924" s="1" t="s">
        <v>16585</v>
      </c>
      <c r="B924" s="1" t="s">
        <v>16586</v>
      </c>
      <c r="C924" s="1" t="s">
        <v>16587</v>
      </c>
      <c r="D924" s="1" t="s">
        <v>16511</v>
      </c>
      <c r="E924" s="1" t="s">
        <v>16512</v>
      </c>
      <c r="F924" s="1">
        <v>122601.0</v>
      </c>
      <c r="G924" s="1">
        <v>3806.0</v>
      </c>
      <c r="H924" s="1">
        <v>42.0</v>
      </c>
      <c r="I924" s="1">
        <v>8570000.0</v>
      </c>
      <c r="J924" s="1" t="s">
        <v>2468</v>
      </c>
      <c r="K924" s="5">
        <f t="shared" si="2"/>
        <v>0.01430583431</v>
      </c>
      <c r="L924" s="6">
        <f t="shared" si="3"/>
        <v>378</v>
      </c>
      <c r="M924" s="6">
        <f t="shared" si="4"/>
        <v>324.3412698</v>
      </c>
      <c r="N924" s="7">
        <f t="shared" si="5"/>
        <v>0.0000378461225</v>
      </c>
      <c r="O924" s="7"/>
      <c r="P924" s="4">
        <f t="shared" si="6"/>
        <v>-0.4228685172</v>
      </c>
      <c r="Q924" s="4">
        <f t="shared" si="7"/>
        <v>6</v>
      </c>
      <c r="R924" s="4">
        <f t="shared" si="8"/>
        <v>0</v>
      </c>
      <c r="S924" s="4">
        <f t="shared" si="9"/>
        <v>-0.4228685172</v>
      </c>
      <c r="T924" s="4">
        <f t="shared" si="10"/>
        <v>25</v>
      </c>
      <c r="U924" s="4">
        <f t="shared" si="1"/>
        <v>-0.4228685172</v>
      </c>
      <c r="V924" s="4"/>
    </row>
    <row r="925">
      <c r="A925" s="1" t="s">
        <v>16588</v>
      </c>
      <c r="B925" s="1" t="s">
        <v>16589</v>
      </c>
      <c r="C925" s="1" t="s">
        <v>16590</v>
      </c>
      <c r="D925" s="1" t="s">
        <v>16511</v>
      </c>
      <c r="E925" s="1" t="s">
        <v>16512</v>
      </c>
      <c r="F925" s="1">
        <v>406557.0</v>
      </c>
      <c r="G925" s="1">
        <v>21673.0</v>
      </c>
      <c r="H925" s="1">
        <v>970.0</v>
      </c>
      <c r="I925" s="1">
        <v>8570000.0</v>
      </c>
      <c r="J925" s="1" t="s">
        <v>2468</v>
      </c>
      <c r="K925" s="5">
        <f t="shared" si="2"/>
        <v>0.04743955659</v>
      </c>
      <c r="L925" s="6">
        <f t="shared" si="3"/>
        <v>382</v>
      </c>
      <c r="M925" s="6">
        <f t="shared" si="4"/>
        <v>1064.28534</v>
      </c>
      <c r="N925" s="7">
        <f t="shared" si="5"/>
        <v>0.0001241873209</v>
      </c>
      <c r="O925" s="7"/>
      <c r="P925" s="4">
        <f t="shared" si="6"/>
        <v>-0.3620529348</v>
      </c>
      <c r="Q925" s="4">
        <f t="shared" si="7"/>
        <v>12</v>
      </c>
      <c r="R925" s="4">
        <f t="shared" si="8"/>
        <v>0</v>
      </c>
      <c r="S925" s="4">
        <f t="shared" si="9"/>
        <v>-0.3620529348</v>
      </c>
      <c r="T925" s="4">
        <f t="shared" si="10"/>
        <v>53</v>
      </c>
      <c r="U925" s="4">
        <f t="shared" si="1"/>
        <v>-0.3620529348</v>
      </c>
      <c r="V925" s="4"/>
    </row>
    <row r="926">
      <c r="A926" s="1" t="s">
        <v>16591</v>
      </c>
      <c r="B926" s="1" t="s">
        <v>16592</v>
      </c>
      <c r="C926" s="1" t="s">
        <v>16593</v>
      </c>
      <c r="D926" s="1" t="s">
        <v>16511</v>
      </c>
      <c r="E926" s="1" t="s">
        <v>16512</v>
      </c>
      <c r="F926" s="1">
        <v>2012150.0</v>
      </c>
      <c r="G926" s="1">
        <v>62530.0</v>
      </c>
      <c r="H926" s="1">
        <v>1993.0</v>
      </c>
      <c r="I926" s="1">
        <v>8570000.0</v>
      </c>
      <c r="J926" s="1" t="s">
        <v>2468</v>
      </c>
      <c r="K926" s="5">
        <f t="shared" si="2"/>
        <v>0.234789965</v>
      </c>
      <c r="L926" s="6">
        <f t="shared" si="3"/>
        <v>405</v>
      </c>
      <c r="M926" s="6">
        <f t="shared" si="4"/>
        <v>4968.271605</v>
      </c>
      <c r="N926" s="7">
        <f t="shared" si="5"/>
        <v>0.0005797283086</v>
      </c>
      <c r="O926" s="7"/>
      <c r="P926" s="4">
        <f t="shared" si="6"/>
        <v>-0.04118652365</v>
      </c>
      <c r="Q926" s="4">
        <f t="shared" si="7"/>
        <v>15</v>
      </c>
      <c r="R926" s="4">
        <f t="shared" si="8"/>
        <v>1</v>
      </c>
      <c r="S926" s="4">
        <f t="shared" si="9"/>
        <v>-0.04118652365</v>
      </c>
      <c r="T926" s="4">
        <f t="shared" si="10"/>
        <v>59</v>
      </c>
      <c r="U926" s="4">
        <f t="shared" si="1"/>
        <v>-0.04118652365</v>
      </c>
      <c r="V926" s="4"/>
    </row>
    <row r="927">
      <c r="A927" s="1" t="s">
        <v>16594</v>
      </c>
      <c r="B927" s="1" t="s">
        <v>16595</v>
      </c>
      <c r="C927" s="1" t="s">
        <v>16596</v>
      </c>
      <c r="D927" s="1" t="s">
        <v>16511</v>
      </c>
      <c r="E927" s="1" t="s">
        <v>16512</v>
      </c>
      <c r="F927" s="1">
        <v>672445.0</v>
      </c>
      <c r="G927" s="1">
        <v>26226.0</v>
      </c>
      <c r="H927" s="1">
        <v>1964.0</v>
      </c>
      <c r="I927" s="1">
        <v>8570000.0</v>
      </c>
      <c r="J927" s="1" t="s">
        <v>2468</v>
      </c>
      <c r="K927" s="5">
        <f t="shared" si="2"/>
        <v>0.07846499417</v>
      </c>
      <c r="L927" s="6">
        <f t="shared" si="3"/>
        <v>487</v>
      </c>
      <c r="M927" s="6">
        <f t="shared" si="4"/>
        <v>1380.790554</v>
      </c>
      <c r="N927" s="7">
        <f t="shared" si="5"/>
        <v>0.0001611190845</v>
      </c>
      <c r="O927" s="7"/>
      <c r="P927" s="4">
        <f t="shared" si="6"/>
        <v>-0.3360395512</v>
      </c>
      <c r="Q927" s="4">
        <f t="shared" si="7"/>
        <v>7</v>
      </c>
      <c r="R927" s="4">
        <f t="shared" si="8"/>
        <v>0</v>
      </c>
      <c r="S927" s="4">
        <f t="shared" si="9"/>
        <v>-0.3360395512</v>
      </c>
      <c r="T927" s="4">
        <f t="shared" si="10"/>
        <v>42</v>
      </c>
      <c r="U927" s="4">
        <f t="shared" si="1"/>
        <v>-0.3360395512</v>
      </c>
      <c r="V927" s="4"/>
    </row>
    <row r="928">
      <c r="A928" s="1" t="s">
        <v>16597</v>
      </c>
      <c r="B928" s="1" t="s">
        <v>16598</v>
      </c>
      <c r="C928" s="1" t="s">
        <v>16599</v>
      </c>
      <c r="D928" s="1" t="s">
        <v>16511</v>
      </c>
      <c r="E928" s="1" t="s">
        <v>16512</v>
      </c>
      <c r="F928" s="1">
        <v>3904534.0</v>
      </c>
      <c r="G928" s="1">
        <v>93454.0</v>
      </c>
      <c r="H928" s="1">
        <v>3749.0</v>
      </c>
      <c r="I928" s="1">
        <v>8570000.0</v>
      </c>
      <c r="J928" s="1" t="s">
        <v>2468</v>
      </c>
      <c r="K928" s="5">
        <f t="shared" si="2"/>
        <v>0.4556049008</v>
      </c>
      <c r="L928" s="6">
        <f t="shared" si="3"/>
        <v>491</v>
      </c>
      <c r="M928" s="6">
        <f t="shared" si="4"/>
        <v>7952.207739</v>
      </c>
      <c r="N928" s="7">
        <f t="shared" si="5"/>
        <v>0.0009279122216</v>
      </c>
      <c r="O928" s="7"/>
      <c r="P928" s="4">
        <f t="shared" si="6"/>
        <v>0.2040614905</v>
      </c>
      <c r="Q928" s="4">
        <f t="shared" si="7"/>
        <v>8</v>
      </c>
      <c r="R928" s="4">
        <f t="shared" si="8"/>
        <v>1</v>
      </c>
      <c r="S928" s="4">
        <f t="shared" si="9"/>
        <v>0.2040614905</v>
      </c>
      <c r="T928" s="4">
        <f t="shared" si="10"/>
        <v>44</v>
      </c>
      <c r="U928" s="4">
        <f t="shared" si="1"/>
        <v>0.2040614905</v>
      </c>
      <c r="V928" s="4"/>
    </row>
    <row r="929">
      <c r="A929" s="1" t="s">
        <v>16600</v>
      </c>
      <c r="B929" s="1" t="s">
        <v>16601</v>
      </c>
      <c r="C929" s="1" t="s">
        <v>16602</v>
      </c>
      <c r="D929" s="1" t="s">
        <v>16511</v>
      </c>
      <c r="E929" s="1" t="s">
        <v>16512</v>
      </c>
      <c r="F929" s="1">
        <v>1425597.0</v>
      </c>
      <c r="G929" s="1">
        <v>38392.0</v>
      </c>
      <c r="H929" s="1">
        <v>438.0</v>
      </c>
      <c r="I929" s="1">
        <v>8570000.0</v>
      </c>
      <c r="J929" s="1" t="s">
        <v>2468</v>
      </c>
      <c r="K929" s="5">
        <f t="shared" si="2"/>
        <v>0.1663473746</v>
      </c>
      <c r="L929" s="6">
        <f t="shared" si="3"/>
        <v>491</v>
      </c>
      <c r="M929" s="6">
        <f t="shared" si="4"/>
        <v>2903.456212</v>
      </c>
      <c r="N929" s="7">
        <f t="shared" si="5"/>
        <v>0.0003387930235</v>
      </c>
      <c r="O929" s="7"/>
      <c r="P929" s="4">
        <f t="shared" si="6"/>
        <v>-0.2108925267</v>
      </c>
      <c r="Q929" s="4">
        <f t="shared" si="7"/>
        <v>6</v>
      </c>
      <c r="R929" s="4">
        <f t="shared" si="8"/>
        <v>0</v>
      </c>
      <c r="S929" s="4">
        <f t="shared" si="9"/>
        <v>-0.2108925267</v>
      </c>
      <c r="T929" s="4">
        <f t="shared" si="10"/>
        <v>38</v>
      </c>
      <c r="U929" s="4">
        <f t="shared" si="1"/>
        <v>-0.2108925267</v>
      </c>
      <c r="V929" s="4"/>
    </row>
    <row r="930">
      <c r="A930" s="1" t="s">
        <v>16603</v>
      </c>
      <c r="B930" s="1" t="s">
        <v>16604</v>
      </c>
      <c r="C930" s="1" t="s">
        <v>16605</v>
      </c>
      <c r="D930" s="1" t="s">
        <v>16511</v>
      </c>
      <c r="E930" s="1" t="s">
        <v>16512</v>
      </c>
      <c r="F930" s="1">
        <v>187250.0</v>
      </c>
      <c r="G930" s="1">
        <v>4527.0</v>
      </c>
      <c r="H930" s="1">
        <v>54.0</v>
      </c>
      <c r="I930" s="1">
        <v>8570000.0</v>
      </c>
      <c r="J930" s="1" t="s">
        <v>2468</v>
      </c>
      <c r="K930" s="5">
        <f t="shared" si="2"/>
        <v>0.02184947491</v>
      </c>
      <c r="L930" s="6">
        <f t="shared" si="3"/>
        <v>501</v>
      </c>
      <c r="M930" s="6">
        <f t="shared" si="4"/>
        <v>373.752495</v>
      </c>
      <c r="N930" s="7">
        <f t="shared" si="5"/>
        <v>0.00004361172637</v>
      </c>
      <c r="O930" s="7"/>
      <c r="P930" s="4">
        <f t="shared" si="6"/>
        <v>-0.4188074367</v>
      </c>
      <c r="Q930" s="4">
        <f t="shared" si="7"/>
        <v>5</v>
      </c>
      <c r="R930" s="4">
        <f t="shared" si="8"/>
        <v>0</v>
      </c>
      <c r="S930" s="4">
        <f t="shared" si="9"/>
        <v>-0.4188074367</v>
      </c>
      <c r="T930" s="4">
        <f t="shared" si="10"/>
        <v>25</v>
      </c>
      <c r="U930" s="4">
        <f t="shared" si="1"/>
        <v>-0.4188074367</v>
      </c>
      <c r="V930" s="4"/>
    </row>
    <row r="931">
      <c r="A931" s="1" t="s">
        <v>16606</v>
      </c>
      <c r="B931" s="1" t="s">
        <v>16607</v>
      </c>
      <c r="C931" s="1" t="s">
        <v>16608</v>
      </c>
      <c r="D931" s="1" t="s">
        <v>16511</v>
      </c>
      <c r="E931" s="1" t="s">
        <v>16512</v>
      </c>
      <c r="F931" s="1">
        <v>418674.0</v>
      </c>
      <c r="G931" s="1">
        <v>19566.0</v>
      </c>
      <c r="H931" s="1">
        <v>242.0</v>
      </c>
      <c r="I931" s="1">
        <v>8570000.0</v>
      </c>
      <c r="J931" s="1" t="s">
        <v>2468</v>
      </c>
      <c r="K931" s="5">
        <f t="shared" si="2"/>
        <v>0.04885344224</v>
      </c>
      <c r="L931" s="6">
        <f t="shared" si="3"/>
        <v>513</v>
      </c>
      <c r="M931" s="6">
        <f t="shared" si="4"/>
        <v>816.128655</v>
      </c>
      <c r="N931" s="7">
        <f t="shared" si="5"/>
        <v>0.00009523088156</v>
      </c>
      <c r="O931" s="7"/>
      <c r="P931" s="4">
        <f t="shared" si="6"/>
        <v>-0.3824487916</v>
      </c>
      <c r="Q931" s="4">
        <f t="shared" si="7"/>
        <v>7</v>
      </c>
      <c r="R931" s="4">
        <f t="shared" si="8"/>
        <v>0</v>
      </c>
      <c r="S931" s="4">
        <f t="shared" si="9"/>
        <v>-0.3824487916</v>
      </c>
      <c r="T931" s="4">
        <f t="shared" si="10"/>
        <v>38</v>
      </c>
      <c r="U931" s="4">
        <f t="shared" si="1"/>
        <v>-0.3824487916</v>
      </c>
      <c r="V931" s="4"/>
    </row>
    <row r="932">
      <c r="A932" s="1" t="s">
        <v>16609</v>
      </c>
      <c r="B932" s="1" t="s">
        <v>16610</v>
      </c>
      <c r="C932" s="1" t="s">
        <v>16611</v>
      </c>
      <c r="D932" s="1" t="s">
        <v>16511</v>
      </c>
      <c r="E932" s="1" t="s">
        <v>16512</v>
      </c>
      <c r="F932" s="1">
        <v>2315295.0</v>
      </c>
      <c r="G932" s="1">
        <v>96304.0</v>
      </c>
      <c r="H932" s="1">
        <v>920.0</v>
      </c>
      <c r="I932" s="1">
        <v>8570000.0</v>
      </c>
      <c r="J932" s="1" t="s">
        <v>2468</v>
      </c>
      <c r="K932" s="5">
        <f t="shared" si="2"/>
        <v>0.2701627771</v>
      </c>
      <c r="L932" s="6">
        <f t="shared" si="3"/>
        <v>514</v>
      </c>
      <c r="M932" s="6">
        <f t="shared" si="4"/>
        <v>4504.464981</v>
      </c>
      <c r="N932" s="7">
        <f t="shared" si="5"/>
        <v>0.0005256085158</v>
      </c>
      <c r="O932" s="7"/>
      <c r="P932" s="4">
        <f t="shared" si="6"/>
        <v>-0.07930652637</v>
      </c>
      <c r="Q932" s="4">
        <f t="shared" si="7"/>
        <v>8</v>
      </c>
      <c r="R932" s="4">
        <f t="shared" si="8"/>
        <v>0</v>
      </c>
      <c r="S932" s="4">
        <f t="shared" si="9"/>
        <v>-0.07930652637</v>
      </c>
      <c r="T932" s="4">
        <f t="shared" si="10"/>
        <v>42</v>
      </c>
      <c r="U932" s="4">
        <f t="shared" si="1"/>
        <v>-0.07930652637</v>
      </c>
      <c r="V932" s="4"/>
    </row>
    <row r="933">
      <c r="A933" s="1" t="s">
        <v>16612</v>
      </c>
      <c r="B933" s="1" t="s">
        <v>16613</v>
      </c>
      <c r="C933" s="1" t="s">
        <v>16614</v>
      </c>
      <c r="D933" s="1" t="s">
        <v>16511</v>
      </c>
      <c r="E933" s="1" t="s">
        <v>16512</v>
      </c>
      <c r="F933" s="1">
        <v>295260.0</v>
      </c>
      <c r="G933" s="1">
        <v>12328.0</v>
      </c>
      <c r="H933" s="1">
        <v>199.0</v>
      </c>
      <c r="I933" s="1">
        <v>8570000.0</v>
      </c>
      <c r="J933" s="1" t="s">
        <v>2468</v>
      </c>
      <c r="K933" s="5">
        <f t="shared" si="2"/>
        <v>0.03445274212</v>
      </c>
      <c r="L933" s="6">
        <f t="shared" si="3"/>
        <v>525</v>
      </c>
      <c r="M933" s="6">
        <f t="shared" si="4"/>
        <v>562.4</v>
      </c>
      <c r="N933" s="7">
        <f t="shared" si="5"/>
        <v>0.00006562427071</v>
      </c>
      <c r="O933" s="7"/>
      <c r="P933" s="4">
        <f t="shared" si="6"/>
        <v>-0.4033026055</v>
      </c>
      <c r="Q933" s="4">
        <f t="shared" si="7"/>
        <v>7</v>
      </c>
      <c r="R933" s="4">
        <f t="shared" si="8"/>
        <v>0</v>
      </c>
      <c r="S933" s="4">
        <f t="shared" si="9"/>
        <v>-0.4033026055</v>
      </c>
      <c r="T933" s="4">
        <f t="shared" si="10"/>
        <v>31</v>
      </c>
      <c r="U933" s="4">
        <f t="shared" si="1"/>
        <v>-0.4033026055</v>
      </c>
      <c r="V933" s="4"/>
    </row>
    <row r="934">
      <c r="A934" s="1" t="s">
        <v>16615</v>
      </c>
      <c r="B934" s="1" t="s">
        <v>16616</v>
      </c>
      <c r="C934" s="1" t="s">
        <v>16617</v>
      </c>
      <c r="D934" s="1" t="s">
        <v>16511</v>
      </c>
      <c r="E934" s="1" t="s">
        <v>16512</v>
      </c>
      <c r="F934" s="1">
        <v>2688746.0</v>
      </c>
      <c r="G934" s="1">
        <v>155694.0</v>
      </c>
      <c r="H934" s="1">
        <v>2145.0</v>
      </c>
      <c r="I934" s="1">
        <v>8570000.0</v>
      </c>
      <c r="J934" s="1" t="s">
        <v>2468</v>
      </c>
      <c r="K934" s="5">
        <f t="shared" si="2"/>
        <v>0.3137393232</v>
      </c>
      <c r="L934" s="6">
        <f t="shared" si="3"/>
        <v>526</v>
      </c>
      <c r="M934" s="6">
        <f t="shared" si="4"/>
        <v>5111.684411</v>
      </c>
      <c r="N934" s="7">
        <f t="shared" si="5"/>
        <v>0.0005964625917</v>
      </c>
      <c r="O934" s="7"/>
      <c r="P934" s="4">
        <f t="shared" si="6"/>
        <v>-0.0293995067</v>
      </c>
      <c r="Q934" s="4">
        <f t="shared" si="7"/>
        <v>6</v>
      </c>
      <c r="R934" s="4">
        <f t="shared" si="8"/>
        <v>0</v>
      </c>
      <c r="S934" s="4">
        <f t="shared" si="9"/>
        <v>-0.0293995067</v>
      </c>
      <c r="T934" s="4">
        <f t="shared" si="10"/>
        <v>21</v>
      </c>
      <c r="U934" s="4">
        <f t="shared" si="1"/>
        <v>-0.0293995067</v>
      </c>
      <c r="V934" s="4"/>
    </row>
    <row r="935">
      <c r="A935" s="1" t="s">
        <v>16618</v>
      </c>
      <c r="B935" s="1" t="s">
        <v>16619</v>
      </c>
      <c r="C935" s="1" t="s">
        <v>16620</v>
      </c>
      <c r="D935" s="1" t="s">
        <v>16511</v>
      </c>
      <c r="E935" s="1" t="s">
        <v>16512</v>
      </c>
      <c r="F935" s="1">
        <v>6322535.0</v>
      </c>
      <c r="G935" s="1">
        <v>124400.0</v>
      </c>
      <c r="H935" s="1">
        <v>3131.0</v>
      </c>
      <c r="I935" s="1">
        <v>8570000.0</v>
      </c>
      <c r="J935" s="1" t="s">
        <v>2468</v>
      </c>
      <c r="K935" s="5">
        <f t="shared" si="2"/>
        <v>0.737752042</v>
      </c>
      <c r="L935" s="6">
        <f t="shared" si="3"/>
        <v>539</v>
      </c>
      <c r="M935" s="6">
        <f t="shared" si="4"/>
        <v>11730.12059</v>
      </c>
      <c r="N935" s="7">
        <f t="shared" si="5"/>
        <v>0.001368742193</v>
      </c>
      <c r="O935" s="7"/>
      <c r="P935" s="4">
        <f t="shared" si="6"/>
        <v>0.5145659997</v>
      </c>
      <c r="Q935" s="4">
        <f t="shared" si="7"/>
        <v>5</v>
      </c>
      <c r="R935" s="4">
        <f t="shared" si="8"/>
        <v>0</v>
      </c>
      <c r="S935" s="4">
        <f t="shared" si="9"/>
        <v>0.5145659997</v>
      </c>
      <c r="T935" s="4">
        <f t="shared" si="10"/>
        <v>26</v>
      </c>
      <c r="U935" s="4">
        <f t="shared" si="1"/>
        <v>0.5145659997</v>
      </c>
      <c r="V935" s="4"/>
    </row>
    <row r="936">
      <c r="A936" s="1" t="s">
        <v>16621</v>
      </c>
      <c r="B936" s="1" t="s">
        <v>16622</v>
      </c>
      <c r="C936" s="1" t="s">
        <v>16623</v>
      </c>
      <c r="D936" s="1" t="s">
        <v>16511</v>
      </c>
      <c r="E936" s="1" t="s">
        <v>16512</v>
      </c>
      <c r="F936" s="1">
        <v>2381191.0</v>
      </c>
      <c r="G936" s="1">
        <v>141549.0</v>
      </c>
      <c r="H936" s="1">
        <v>762.0</v>
      </c>
      <c r="I936" s="1">
        <v>8570000.0</v>
      </c>
      <c r="J936" s="1" t="s">
        <v>2468</v>
      </c>
      <c r="K936" s="5">
        <f t="shared" si="2"/>
        <v>0.2778519253</v>
      </c>
      <c r="L936" s="6">
        <f t="shared" si="3"/>
        <v>552</v>
      </c>
      <c r="M936" s="6">
        <f t="shared" si="4"/>
        <v>4313.751812</v>
      </c>
      <c r="N936" s="7">
        <f t="shared" si="5"/>
        <v>0.0005033549372</v>
      </c>
      <c r="O936" s="7"/>
      <c r="P936" s="4">
        <f t="shared" si="6"/>
        <v>-0.09498113328</v>
      </c>
      <c r="Q936" s="4">
        <f t="shared" si="7"/>
        <v>7</v>
      </c>
      <c r="R936" s="4">
        <f t="shared" si="8"/>
        <v>0</v>
      </c>
      <c r="S936" s="4">
        <f t="shared" si="9"/>
        <v>-0.09498113328</v>
      </c>
      <c r="T936" s="4">
        <f t="shared" si="10"/>
        <v>40</v>
      </c>
      <c r="U936" s="4">
        <f t="shared" si="1"/>
        <v>-0.09498113328</v>
      </c>
      <c r="V936" s="4"/>
    </row>
    <row r="937">
      <c r="A937" s="1" t="s">
        <v>16624</v>
      </c>
      <c r="B937" s="1" t="s">
        <v>16625</v>
      </c>
      <c r="C937" s="1" t="s">
        <v>16626</v>
      </c>
      <c r="D937" s="1" t="s">
        <v>16511</v>
      </c>
      <c r="E937" s="1" t="s">
        <v>16512</v>
      </c>
      <c r="F937" s="1">
        <v>1322275.0</v>
      </c>
      <c r="G937" s="1">
        <v>93479.0</v>
      </c>
      <c r="H937" s="1">
        <v>1928.0</v>
      </c>
      <c r="I937" s="1">
        <v>8570000.0</v>
      </c>
      <c r="J937" s="1" t="s">
        <v>2468</v>
      </c>
      <c r="K937" s="5">
        <f t="shared" si="2"/>
        <v>0.1542911319</v>
      </c>
      <c r="L937" s="6">
        <f t="shared" si="3"/>
        <v>553</v>
      </c>
      <c r="M937" s="6">
        <f t="shared" si="4"/>
        <v>2391.094033</v>
      </c>
      <c r="N937" s="7">
        <f t="shared" si="5"/>
        <v>0.0002790074717</v>
      </c>
      <c r="O937" s="7"/>
      <c r="P937" s="4">
        <f t="shared" si="6"/>
        <v>-0.2530032828</v>
      </c>
      <c r="Q937" s="4">
        <f t="shared" si="7"/>
        <v>6</v>
      </c>
      <c r="R937" s="4">
        <f t="shared" si="8"/>
        <v>0</v>
      </c>
      <c r="S937" s="4">
        <f t="shared" si="9"/>
        <v>-0.2530032828</v>
      </c>
      <c r="T937" s="4">
        <f t="shared" si="10"/>
        <v>39</v>
      </c>
      <c r="U937" s="4">
        <f t="shared" si="1"/>
        <v>-0.2530032828</v>
      </c>
      <c r="V937" s="4"/>
    </row>
    <row r="938">
      <c r="A938" s="1" t="s">
        <v>16627</v>
      </c>
      <c r="B938" s="1" t="s">
        <v>16628</v>
      </c>
      <c r="C938" s="1" t="s">
        <v>16629</v>
      </c>
      <c r="D938" s="1" t="s">
        <v>16511</v>
      </c>
      <c r="E938" s="1" t="s">
        <v>16512</v>
      </c>
      <c r="F938" s="1">
        <v>1406722.0</v>
      </c>
      <c r="G938" s="1">
        <v>75851.0</v>
      </c>
      <c r="H938" s="1">
        <v>1010.0</v>
      </c>
      <c r="I938" s="1">
        <v>8570000.0</v>
      </c>
      <c r="J938" s="1" t="s">
        <v>2468</v>
      </c>
      <c r="K938" s="5">
        <f t="shared" si="2"/>
        <v>0.1641449242</v>
      </c>
      <c r="L938" s="6">
        <f t="shared" si="3"/>
        <v>554</v>
      </c>
      <c r="M938" s="6">
        <f t="shared" si="4"/>
        <v>2539.209386</v>
      </c>
      <c r="N938" s="7">
        <f t="shared" si="5"/>
        <v>0.0002962904768</v>
      </c>
      <c r="O938" s="7"/>
      <c r="P938" s="4">
        <f t="shared" si="6"/>
        <v>-0.2408297661</v>
      </c>
      <c r="Q938" s="4">
        <f t="shared" si="7"/>
        <v>8</v>
      </c>
      <c r="R938" s="4">
        <f t="shared" si="8"/>
        <v>0</v>
      </c>
      <c r="S938" s="4">
        <f t="shared" si="9"/>
        <v>-0.2408297661</v>
      </c>
      <c r="T938" s="4">
        <f t="shared" si="10"/>
        <v>31</v>
      </c>
      <c r="U938" s="4">
        <f t="shared" si="1"/>
        <v>-0.2408297661</v>
      </c>
      <c r="V938" s="4"/>
    </row>
    <row r="939">
      <c r="A939" s="1" t="s">
        <v>16630</v>
      </c>
      <c r="B939" s="1" t="s">
        <v>16631</v>
      </c>
      <c r="C939" s="1" t="s">
        <v>16632</v>
      </c>
      <c r="D939" s="1" t="s">
        <v>16511</v>
      </c>
      <c r="E939" s="1" t="s">
        <v>16512</v>
      </c>
      <c r="F939" s="1">
        <v>140152.0</v>
      </c>
      <c r="G939" s="1">
        <v>7674.0</v>
      </c>
      <c r="H939" s="1">
        <v>112.0</v>
      </c>
      <c r="I939" s="1">
        <v>8570000.0</v>
      </c>
      <c r="J939" s="1" t="s">
        <v>2468</v>
      </c>
      <c r="K939" s="5">
        <f t="shared" si="2"/>
        <v>0.0163537923</v>
      </c>
      <c r="L939" s="6">
        <f t="shared" si="3"/>
        <v>555</v>
      </c>
      <c r="M939" s="6">
        <f t="shared" si="4"/>
        <v>252.5261261</v>
      </c>
      <c r="N939" s="7">
        <f t="shared" si="5"/>
        <v>0.00002946629243</v>
      </c>
      <c r="O939" s="7"/>
      <c r="P939" s="4">
        <f t="shared" si="6"/>
        <v>-0.428770963</v>
      </c>
      <c r="Q939" s="4">
        <f t="shared" si="7"/>
        <v>8</v>
      </c>
      <c r="R939" s="4">
        <f t="shared" si="8"/>
        <v>0</v>
      </c>
      <c r="S939" s="4">
        <f t="shared" si="9"/>
        <v>-0.428770963</v>
      </c>
      <c r="T939" s="4">
        <f t="shared" si="10"/>
        <v>40</v>
      </c>
      <c r="U939" s="4">
        <f t="shared" si="1"/>
        <v>-0.428770963</v>
      </c>
      <c r="V939" s="4"/>
    </row>
    <row r="940">
      <c r="A940" s="1" t="s">
        <v>16633</v>
      </c>
      <c r="B940" s="1" t="s">
        <v>16634</v>
      </c>
      <c r="C940" s="1" t="s">
        <v>16635</v>
      </c>
      <c r="D940" s="1" t="s">
        <v>16511</v>
      </c>
      <c r="E940" s="1" t="s">
        <v>16512</v>
      </c>
      <c r="F940" s="1">
        <v>1596029.0</v>
      </c>
      <c r="G940" s="1">
        <v>58321.0</v>
      </c>
      <c r="H940" s="1">
        <v>2030.0</v>
      </c>
      <c r="I940" s="1">
        <v>8570000.0</v>
      </c>
      <c r="J940" s="1" t="s">
        <v>2468</v>
      </c>
      <c r="K940" s="5">
        <f t="shared" si="2"/>
        <v>0.1862344224</v>
      </c>
      <c r="L940" s="6">
        <f t="shared" si="3"/>
        <v>557</v>
      </c>
      <c r="M940" s="6">
        <f t="shared" si="4"/>
        <v>2865.402154</v>
      </c>
      <c r="N940" s="7">
        <f t="shared" si="5"/>
        <v>0.0003343526435</v>
      </c>
      <c r="O940" s="7"/>
      <c r="P940" s="4">
        <f t="shared" si="6"/>
        <v>-0.214020168</v>
      </c>
      <c r="Q940" s="4">
        <f t="shared" si="7"/>
        <v>7</v>
      </c>
      <c r="R940" s="4">
        <f t="shared" si="8"/>
        <v>0</v>
      </c>
      <c r="S940" s="4">
        <f t="shared" si="9"/>
        <v>-0.214020168</v>
      </c>
      <c r="T940" s="4">
        <f t="shared" si="10"/>
        <v>61</v>
      </c>
      <c r="U940" s="4">
        <f t="shared" si="1"/>
        <v>-0.214020168</v>
      </c>
      <c r="V940" s="4"/>
    </row>
    <row r="941">
      <c r="A941" s="1" t="s">
        <v>16636</v>
      </c>
      <c r="B941" s="1" t="s">
        <v>16637</v>
      </c>
      <c r="C941" s="1" t="s">
        <v>16638</v>
      </c>
      <c r="D941" s="1" t="s">
        <v>16511</v>
      </c>
      <c r="E941" s="1" t="s">
        <v>16512</v>
      </c>
      <c r="F941" s="1">
        <v>287079.0</v>
      </c>
      <c r="G941" s="1">
        <v>10861.0</v>
      </c>
      <c r="H941" s="1">
        <v>281.0</v>
      </c>
      <c r="I941" s="1">
        <v>8570000.0</v>
      </c>
      <c r="J941" s="1" t="s">
        <v>2468</v>
      </c>
      <c r="K941" s="5">
        <f t="shared" si="2"/>
        <v>0.03349813302</v>
      </c>
      <c r="L941" s="6">
        <f t="shared" si="3"/>
        <v>568</v>
      </c>
      <c r="M941" s="6">
        <f t="shared" si="4"/>
        <v>505.4207746</v>
      </c>
      <c r="N941" s="7">
        <f t="shared" si="5"/>
        <v>0.00005897558631</v>
      </c>
      <c r="O941" s="7"/>
      <c r="P941" s="4">
        <f t="shared" si="6"/>
        <v>-0.4079856957</v>
      </c>
      <c r="Q941" s="4">
        <f t="shared" si="7"/>
        <v>7</v>
      </c>
      <c r="R941" s="4">
        <f t="shared" si="8"/>
        <v>0</v>
      </c>
      <c r="S941" s="4">
        <f t="shared" si="9"/>
        <v>-0.4079856957</v>
      </c>
      <c r="T941" s="4">
        <f t="shared" si="10"/>
        <v>38</v>
      </c>
      <c r="U941" s="4">
        <f t="shared" si="1"/>
        <v>-0.4079856957</v>
      </c>
      <c r="V941" s="4"/>
    </row>
    <row r="942">
      <c r="A942" s="1" t="s">
        <v>16639</v>
      </c>
      <c r="B942" s="1" t="s">
        <v>16640</v>
      </c>
      <c r="C942" s="1" t="s">
        <v>16641</v>
      </c>
      <c r="D942" s="1" t="s">
        <v>16511</v>
      </c>
      <c r="E942" s="1" t="s">
        <v>16512</v>
      </c>
      <c r="F942" s="1">
        <v>5922158.0</v>
      </c>
      <c r="G942" s="1">
        <v>141376.0</v>
      </c>
      <c r="H942" s="1">
        <v>4325.0</v>
      </c>
      <c r="I942" s="1">
        <v>8570000.0</v>
      </c>
      <c r="J942" s="1" t="s">
        <v>2468</v>
      </c>
      <c r="K942" s="5">
        <f t="shared" si="2"/>
        <v>0.6910336056</v>
      </c>
      <c r="L942" s="6">
        <f t="shared" si="3"/>
        <v>572</v>
      </c>
      <c r="M942" s="6">
        <f t="shared" si="4"/>
        <v>10353.42308</v>
      </c>
      <c r="N942" s="7">
        <f t="shared" si="5"/>
        <v>0.001208100709</v>
      </c>
      <c r="O942" s="7"/>
      <c r="P942" s="4">
        <f t="shared" si="6"/>
        <v>0.4014160136</v>
      </c>
      <c r="Q942" s="4">
        <f t="shared" si="7"/>
        <v>7</v>
      </c>
      <c r="R942" s="4">
        <f t="shared" si="8"/>
        <v>0</v>
      </c>
      <c r="S942" s="4">
        <f t="shared" si="9"/>
        <v>0.4014160136</v>
      </c>
      <c r="T942" s="4">
        <f t="shared" si="10"/>
        <v>34</v>
      </c>
      <c r="U942" s="4">
        <f t="shared" si="1"/>
        <v>0.4014160136</v>
      </c>
      <c r="V942" s="4"/>
    </row>
    <row r="943">
      <c r="A943" s="1" t="s">
        <v>16642</v>
      </c>
      <c r="B943" s="1" t="s">
        <v>16643</v>
      </c>
      <c r="C943" s="1" t="s">
        <v>16644</v>
      </c>
      <c r="D943" s="1" t="s">
        <v>16511</v>
      </c>
      <c r="E943" s="1" t="s">
        <v>16512</v>
      </c>
      <c r="F943" s="1">
        <v>802352.0</v>
      </c>
      <c r="G943" s="1">
        <v>42317.0</v>
      </c>
      <c r="H943" s="1">
        <v>602.0</v>
      </c>
      <c r="I943" s="1">
        <v>8570000.0</v>
      </c>
      <c r="J943" s="1" t="s">
        <v>2468</v>
      </c>
      <c r="K943" s="5">
        <f t="shared" si="2"/>
        <v>0.09362333722</v>
      </c>
      <c r="L943" s="6">
        <f t="shared" si="3"/>
        <v>572</v>
      </c>
      <c r="M943" s="6">
        <f t="shared" si="4"/>
        <v>1402.713287</v>
      </c>
      <c r="N943" s="7">
        <f t="shared" si="5"/>
        <v>0.000163677163</v>
      </c>
      <c r="O943" s="7"/>
      <c r="P943" s="4">
        <f t="shared" si="6"/>
        <v>-0.3342377343</v>
      </c>
      <c r="Q943" s="4">
        <f t="shared" si="7"/>
        <v>6</v>
      </c>
      <c r="R943" s="4">
        <f t="shared" si="8"/>
        <v>0</v>
      </c>
      <c r="S943" s="4">
        <f t="shared" si="9"/>
        <v>-0.3342377343</v>
      </c>
      <c r="T943" s="4">
        <f t="shared" si="10"/>
        <v>30</v>
      </c>
      <c r="U943" s="4">
        <f t="shared" si="1"/>
        <v>-0.3342377343</v>
      </c>
      <c r="V943" s="4"/>
    </row>
    <row r="944">
      <c r="A944" s="1" t="s">
        <v>16645</v>
      </c>
      <c r="B944" s="1" t="s">
        <v>16646</v>
      </c>
      <c r="C944" s="1" t="s">
        <v>16647</v>
      </c>
      <c r="D944" s="1" t="s">
        <v>16511</v>
      </c>
      <c r="E944" s="1" t="s">
        <v>16512</v>
      </c>
      <c r="F944" s="1">
        <v>1444099.0</v>
      </c>
      <c r="G944" s="1">
        <v>81215.0</v>
      </c>
      <c r="H944" s="1">
        <v>721.0</v>
      </c>
      <c r="I944" s="1">
        <v>8570000.0</v>
      </c>
      <c r="J944" s="1" t="s">
        <v>2468</v>
      </c>
      <c r="K944" s="5">
        <f t="shared" si="2"/>
        <v>0.1685063011</v>
      </c>
      <c r="L944" s="6">
        <f t="shared" si="3"/>
        <v>581</v>
      </c>
      <c r="M944" s="6">
        <f t="shared" si="4"/>
        <v>2485.540448</v>
      </c>
      <c r="N944" s="7">
        <f t="shared" si="5"/>
        <v>0.0002900280569</v>
      </c>
      <c r="O944" s="7"/>
      <c r="P944" s="4">
        <f t="shared" si="6"/>
        <v>-0.2452407857</v>
      </c>
      <c r="Q944" s="4">
        <f t="shared" si="7"/>
        <v>5</v>
      </c>
      <c r="R944" s="4">
        <f t="shared" si="8"/>
        <v>0</v>
      </c>
      <c r="S944" s="4">
        <f t="shared" si="9"/>
        <v>-0.2452407857</v>
      </c>
      <c r="T944" s="4">
        <f t="shared" si="10"/>
        <v>26</v>
      </c>
      <c r="U944" s="4">
        <f t="shared" si="1"/>
        <v>-0.2452407857</v>
      </c>
      <c r="V944" s="4"/>
    </row>
    <row r="945">
      <c r="A945" s="1" t="s">
        <v>16648</v>
      </c>
      <c r="B945" s="1" t="s">
        <v>16649</v>
      </c>
      <c r="C945" s="1" t="s">
        <v>16650</v>
      </c>
      <c r="D945" s="1" t="s">
        <v>16511</v>
      </c>
      <c r="E945" s="1" t="s">
        <v>16512</v>
      </c>
      <c r="F945" s="1">
        <v>899156.0</v>
      </c>
      <c r="G945" s="1">
        <v>53374.0</v>
      </c>
      <c r="H945" s="1">
        <v>534.0</v>
      </c>
      <c r="I945" s="1">
        <v>8570000.0</v>
      </c>
      <c r="J945" s="1" t="s">
        <v>2468</v>
      </c>
      <c r="K945" s="5">
        <f t="shared" si="2"/>
        <v>0.1049190198</v>
      </c>
      <c r="L945" s="6">
        <f t="shared" si="3"/>
        <v>605</v>
      </c>
      <c r="M945" s="6">
        <f t="shared" si="4"/>
        <v>1486.208264</v>
      </c>
      <c r="N945" s="7">
        <f t="shared" si="5"/>
        <v>0.0001734198675</v>
      </c>
      <c r="O945" s="7"/>
      <c r="P945" s="4">
        <f t="shared" si="6"/>
        <v>-0.3273753296</v>
      </c>
      <c r="Q945" s="4">
        <f t="shared" si="7"/>
        <v>5</v>
      </c>
      <c r="R945" s="4">
        <f t="shared" si="8"/>
        <v>0</v>
      </c>
      <c r="S945" s="4">
        <f t="shared" si="9"/>
        <v>-0.3273753296</v>
      </c>
      <c r="T945" s="4">
        <f t="shared" si="10"/>
        <v>26</v>
      </c>
      <c r="U945" s="4">
        <f t="shared" si="1"/>
        <v>-0.3273753296</v>
      </c>
      <c r="V945" s="4"/>
    </row>
    <row r="946">
      <c r="A946" s="1" t="s">
        <v>16651</v>
      </c>
      <c r="B946" s="1" t="s">
        <v>16652</v>
      </c>
      <c r="C946" s="1" t="s">
        <v>16653</v>
      </c>
      <c r="D946" s="1" t="s">
        <v>16511</v>
      </c>
      <c r="E946" s="1" t="s">
        <v>16512</v>
      </c>
      <c r="F946" s="1">
        <v>2396242.0</v>
      </c>
      <c r="G946" s="1">
        <v>113874.0</v>
      </c>
      <c r="H946" s="1">
        <v>499.0</v>
      </c>
      <c r="I946" s="1">
        <v>8570000.0</v>
      </c>
      <c r="J946" s="1" t="s">
        <v>2468</v>
      </c>
      <c r="K946" s="5">
        <f t="shared" si="2"/>
        <v>0.279608168</v>
      </c>
      <c r="L946" s="6">
        <f t="shared" si="3"/>
        <v>613</v>
      </c>
      <c r="M946" s="6">
        <f t="shared" si="4"/>
        <v>3909.040783</v>
      </c>
      <c r="N946" s="7">
        <f t="shared" si="5"/>
        <v>0.0004561307798</v>
      </c>
      <c r="O946" s="7"/>
      <c r="P946" s="4">
        <f t="shared" si="6"/>
        <v>-0.1282441026</v>
      </c>
      <c r="Q946" s="4">
        <f t="shared" si="7"/>
        <v>2</v>
      </c>
      <c r="R946" s="4">
        <f t="shared" si="8"/>
        <v>0</v>
      </c>
      <c r="S946" s="4">
        <f t="shared" si="9"/>
        <v>-0.1282441026</v>
      </c>
      <c r="T946" s="4">
        <f t="shared" si="10"/>
        <v>13</v>
      </c>
      <c r="U946" s="4">
        <f t="shared" si="1"/>
        <v>-0.1282441026</v>
      </c>
      <c r="V946" s="4"/>
    </row>
    <row r="947">
      <c r="A947" s="1" t="s">
        <v>16654</v>
      </c>
      <c r="B947" s="1" t="s">
        <v>16655</v>
      </c>
      <c r="C947" s="1" t="s">
        <v>16656</v>
      </c>
      <c r="D947" s="1" t="s">
        <v>16511</v>
      </c>
      <c r="E947" s="1" t="s">
        <v>16512</v>
      </c>
      <c r="F947" s="1">
        <v>614025.0</v>
      </c>
      <c r="G947" s="1">
        <v>34026.0</v>
      </c>
      <c r="H947" s="1">
        <v>325.0</v>
      </c>
      <c r="I947" s="1">
        <v>8570000.0</v>
      </c>
      <c r="J947" s="1" t="s">
        <v>2468</v>
      </c>
      <c r="K947" s="5">
        <f t="shared" si="2"/>
        <v>0.07164819137</v>
      </c>
      <c r="L947" s="6">
        <f t="shared" si="3"/>
        <v>616</v>
      </c>
      <c r="M947" s="6">
        <f t="shared" si="4"/>
        <v>996.7938312</v>
      </c>
      <c r="N947" s="7">
        <f t="shared" si="5"/>
        <v>0.000116311999</v>
      </c>
      <c r="O947" s="7"/>
      <c r="P947" s="4">
        <f t="shared" si="6"/>
        <v>-0.3676000235</v>
      </c>
      <c r="Q947" s="4">
        <f t="shared" si="7"/>
        <v>4</v>
      </c>
      <c r="R947" s="4">
        <f t="shared" si="8"/>
        <v>0</v>
      </c>
      <c r="S947" s="4">
        <f t="shared" si="9"/>
        <v>-0.3676000235</v>
      </c>
      <c r="T947" s="4">
        <f t="shared" si="10"/>
        <v>25</v>
      </c>
      <c r="U947" s="4">
        <f t="shared" si="1"/>
        <v>-0.3676000235</v>
      </c>
      <c r="V947" s="4"/>
    </row>
    <row r="948">
      <c r="A948" s="1" t="s">
        <v>16657</v>
      </c>
      <c r="B948" s="1" t="s">
        <v>16658</v>
      </c>
      <c r="C948" s="1" t="s">
        <v>16659</v>
      </c>
      <c r="D948" s="1" t="s">
        <v>16511</v>
      </c>
      <c r="E948" s="1" t="s">
        <v>16512</v>
      </c>
      <c r="F948" s="1">
        <v>4432440.0</v>
      </c>
      <c r="G948" s="1">
        <v>198171.0</v>
      </c>
      <c r="H948" s="1">
        <v>990.0</v>
      </c>
      <c r="I948" s="1">
        <v>8570000.0</v>
      </c>
      <c r="J948" s="1" t="s">
        <v>2468</v>
      </c>
      <c r="K948" s="5">
        <f t="shared" si="2"/>
        <v>0.5172042007</v>
      </c>
      <c r="L948" s="6">
        <f t="shared" si="3"/>
        <v>618</v>
      </c>
      <c r="M948" s="6">
        <f t="shared" si="4"/>
        <v>7172.23301</v>
      </c>
      <c r="N948" s="7">
        <f t="shared" si="5"/>
        <v>0.0008369000011</v>
      </c>
      <c r="O948" s="7"/>
      <c r="P948" s="4">
        <f t="shared" si="6"/>
        <v>0.139955811</v>
      </c>
      <c r="Q948" s="4">
        <f t="shared" si="7"/>
        <v>4</v>
      </c>
      <c r="R948" s="4">
        <f t="shared" si="8"/>
        <v>0</v>
      </c>
      <c r="S948" s="4">
        <f t="shared" si="9"/>
        <v>0.139955811</v>
      </c>
      <c r="T948" s="4">
        <f t="shared" si="10"/>
        <v>24</v>
      </c>
      <c r="U948" s="4">
        <f t="shared" si="1"/>
        <v>0.139955811</v>
      </c>
      <c r="V948" s="4"/>
    </row>
    <row r="949">
      <c r="A949" s="1" t="s">
        <v>16660</v>
      </c>
      <c r="B949" s="1" t="s">
        <v>16661</v>
      </c>
      <c r="C949" s="1" t="s">
        <v>16662</v>
      </c>
      <c r="D949" s="1" t="s">
        <v>16511</v>
      </c>
      <c r="E949" s="1" t="s">
        <v>16512</v>
      </c>
      <c r="F949" s="1">
        <v>2486194.0</v>
      </c>
      <c r="G949" s="1">
        <v>74177.0</v>
      </c>
      <c r="H949" s="1">
        <v>2381.0</v>
      </c>
      <c r="I949" s="1">
        <v>8570000.0</v>
      </c>
      <c r="J949" s="1" t="s">
        <v>2468</v>
      </c>
      <c r="K949" s="5">
        <f t="shared" si="2"/>
        <v>0.2901043174</v>
      </c>
      <c r="L949" s="6">
        <f t="shared" si="3"/>
        <v>618</v>
      </c>
      <c r="M949" s="6">
        <f t="shared" si="4"/>
        <v>4022.967638</v>
      </c>
      <c r="N949" s="7">
        <f t="shared" si="5"/>
        <v>0.0004694244618</v>
      </c>
      <c r="O949" s="7"/>
      <c r="P949" s="4">
        <f t="shared" si="6"/>
        <v>-0.1188805192</v>
      </c>
      <c r="Q949" s="4">
        <f t="shared" si="7"/>
        <v>8</v>
      </c>
      <c r="R949" s="4">
        <f t="shared" si="8"/>
        <v>0</v>
      </c>
      <c r="S949" s="4">
        <f t="shared" si="9"/>
        <v>-0.1188805192</v>
      </c>
      <c r="T949" s="4">
        <f t="shared" si="10"/>
        <v>36</v>
      </c>
      <c r="U949" s="4">
        <f t="shared" si="1"/>
        <v>-0.1188805192</v>
      </c>
      <c r="V949" s="4"/>
    </row>
    <row r="950">
      <c r="A950" s="1" t="s">
        <v>16663</v>
      </c>
      <c r="B950" s="1" t="s">
        <v>16664</v>
      </c>
      <c r="C950" s="1" t="s">
        <v>16665</v>
      </c>
      <c r="D950" s="1" t="s">
        <v>16511</v>
      </c>
      <c r="E950" s="1" t="s">
        <v>16512</v>
      </c>
      <c r="F950" s="1">
        <v>1075001.0</v>
      </c>
      <c r="G950" s="1">
        <v>63570.0</v>
      </c>
      <c r="H950" s="1">
        <v>437.0</v>
      </c>
      <c r="I950" s="1">
        <v>8570000.0</v>
      </c>
      <c r="J950" s="1" t="s">
        <v>2468</v>
      </c>
      <c r="K950" s="5">
        <f t="shared" si="2"/>
        <v>0.1254376896</v>
      </c>
      <c r="L950" s="6">
        <f t="shared" si="3"/>
        <v>648</v>
      </c>
      <c r="M950" s="6">
        <f t="shared" si="4"/>
        <v>1658.95216</v>
      </c>
      <c r="N950" s="7">
        <f t="shared" si="5"/>
        <v>0.0001935766815</v>
      </c>
      <c r="O950" s="7"/>
      <c r="P950" s="4">
        <f t="shared" si="6"/>
        <v>-0.313177607</v>
      </c>
      <c r="Q950" s="4">
        <f t="shared" si="7"/>
        <v>6</v>
      </c>
      <c r="R950" s="4">
        <f t="shared" si="8"/>
        <v>0</v>
      </c>
      <c r="S950" s="4">
        <f t="shared" si="9"/>
        <v>-0.313177607</v>
      </c>
      <c r="T950" s="4">
        <f t="shared" si="10"/>
        <v>31</v>
      </c>
      <c r="U950" s="4">
        <f t="shared" si="1"/>
        <v>-0.313177607</v>
      </c>
      <c r="V950" s="4"/>
    </row>
    <row r="951">
      <c r="A951" s="1" t="s">
        <v>16666</v>
      </c>
      <c r="B951" s="1" t="s">
        <v>16667</v>
      </c>
      <c r="C951" s="1" t="s">
        <v>16668</v>
      </c>
      <c r="D951" s="1" t="s">
        <v>16511</v>
      </c>
      <c r="E951" s="1" t="s">
        <v>16512</v>
      </c>
      <c r="F951" s="1">
        <v>655732.0</v>
      </c>
      <c r="G951" s="1">
        <v>26761.0</v>
      </c>
      <c r="H951" s="1">
        <v>609.0</v>
      </c>
      <c r="I951" s="1">
        <v>8570000.0</v>
      </c>
      <c r="J951" s="1" t="s">
        <v>2468</v>
      </c>
      <c r="K951" s="5">
        <f t="shared" si="2"/>
        <v>0.07651481914</v>
      </c>
      <c r="L951" s="6">
        <f t="shared" si="3"/>
        <v>652</v>
      </c>
      <c r="M951" s="6">
        <f t="shared" si="4"/>
        <v>1005.723926</v>
      </c>
      <c r="N951" s="7">
        <f t="shared" si="5"/>
        <v>0.0001173540171</v>
      </c>
      <c r="O951" s="7"/>
      <c r="P951" s="4">
        <f t="shared" si="6"/>
        <v>-0.3668660641</v>
      </c>
      <c r="Q951" s="4">
        <f t="shared" si="7"/>
        <v>5</v>
      </c>
      <c r="R951" s="4">
        <f t="shared" si="8"/>
        <v>0</v>
      </c>
      <c r="S951" s="4">
        <f t="shared" si="9"/>
        <v>-0.3668660641</v>
      </c>
      <c r="T951" s="4">
        <f t="shared" si="10"/>
        <v>21</v>
      </c>
      <c r="U951" s="4">
        <f t="shared" si="1"/>
        <v>-0.3668660641</v>
      </c>
      <c r="V951" s="4"/>
    </row>
    <row r="952">
      <c r="A952" s="1" t="s">
        <v>16669</v>
      </c>
      <c r="B952" s="1" t="s">
        <v>16670</v>
      </c>
      <c r="C952" s="1" t="s">
        <v>16671</v>
      </c>
      <c r="D952" s="1" t="s">
        <v>16511</v>
      </c>
      <c r="E952" s="1" t="s">
        <v>16512</v>
      </c>
      <c r="F952" s="1">
        <v>7244911.0</v>
      </c>
      <c r="G952" s="1">
        <v>195276.0</v>
      </c>
      <c r="H952" s="1">
        <v>2737.0</v>
      </c>
      <c r="I952" s="1">
        <v>8570000.0</v>
      </c>
      <c r="J952" s="1" t="s">
        <v>2468</v>
      </c>
      <c r="K952" s="5">
        <f t="shared" si="2"/>
        <v>0.8453805134</v>
      </c>
      <c r="L952" s="6">
        <f t="shared" si="3"/>
        <v>652</v>
      </c>
      <c r="M952" s="6">
        <f t="shared" si="4"/>
        <v>11111.82669</v>
      </c>
      <c r="N952" s="7">
        <f t="shared" si="5"/>
        <v>0.001296595879</v>
      </c>
      <c r="O952" s="7"/>
      <c r="P952" s="4">
        <f t="shared" si="6"/>
        <v>0.4637487751</v>
      </c>
      <c r="Q952" s="4">
        <f t="shared" si="7"/>
        <v>5</v>
      </c>
      <c r="R952" s="4">
        <f t="shared" si="8"/>
        <v>0</v>
      </c>
      <c r="S952" s="4">
        <f t="shared" si="9"/>
        <v>0.4637487751</v>
      </c>
      <c r="T952" s="4">
        <f t="shared" si="10"/>
        <v>34</v>
      </c>
      <c r="U952" s="4">
        <f t="shared" si="1"/>
        <v>0.4637487751</v>
      </c>
      <c r="V952" s="4"/>
    </row>
    <row r="953">
      <c r="A953" s="1" t="s">
        <v>16672</v>
      </c>
      <c r="B953" s="1" t="s">
        <v>16673</v>
      </c>
      <c r="C953" s="1" t="s">
        <v>16674</v>
      </c>
      <c r="D953" s="1" t="s">
        <v>16511</v>
      </c>
      <c r="E953" s="1" t="s">
        <v>16512</v>
      </c>
      <c r="F953" s="1">
        <v>1343551.0</v>
      </c>
      <c r="G953" s="1">
        <v>75197.0</v>
      </c>
      <c r="H953" s="1">
        <v>687.0</v>
      </c>
      <c r="I953" s="1">
        <v>8570000.0</v>
      </c>
      <c r="J953" s="1" t="s">
        <v>2468</v>
      </c>
      <c r="K953" s="5">
        <f t="shared" si="2"/>
        <v>0.1567737456</v>
      </c>
      <c r="L953" s="6">
        <f t="shared" si="3"/>
        <v>653</v>
      </c>
      <c r="M953" s="6">
        <f t="shared" si="4"/>
        <v>2057.50536</v>
      </c>
      <c r="N953" s="7">
        <f t="shared" si="5"/>
        <v>0.0002400823057</v>
      </c>
      <c r="O953" s="7"/>
      <c r="P953" s="4">
        <f t="shared" si="6"/>
        <v>-0.2804207462</v>
      </c>
      <c r="Q953" s="4">
        <f t="shared" si="7"/>
        <v>7</v>
      </c>
      <c r="R953" s="4">
        <f t="shared" si="8"/>
        <v>0</v>
      </c>
      <c r="S953" s="4">
        <f t="shared" si="9"/>
        <v>-0.2804207462</v>
      </c>
      <c r="T953" s="4">
        <f t="shared" si="10"/>
        <v>30</v>
      </c>
      <c r="U953" s="4">
        <f t="shared" si="1"/>
        <v>-0.2804207462</v>
      </c>
      <c r="V953" s="4"/>
    </row>
    <row r="954">
      <c r="A954" s="1" t="s">
        <v>16675</v>
      </c>
      <c r="B954" s="1" t="s">
        <v>16676</v>
      </c>
      <c r="C954" s="1" t="s">
        <v>16677</v>
      </c>
      <c r="D954" s="1" t="s">
        <v>16511</v>
      </c>
      <c r="E954" s="1" t="s">
        <v>16512</v>
      </c>
      <c r="F954" s="1">
        <v>1517730.0</v>
      </c>
      <c r="G954" s="1">
        <v>96287.0</v>
      </c>
      <c r="H954" s="1">
        <v>437.0</v>
      </c>
      <c r="I954" s="1">
        <v>8570000.0</v>
      </c>
      <c r="J954" s="1" t="s">
        <v>2468</v>
      </c>
      <c r="K954" s="5">
        <f t="shared" si="2"/>
        <v>0.1770980163</v>
      </c>
      <c r="L954" s="6">
        <f t="shared" si="3"/>
        <v>655</v>
      </c>
      <c r="M954" s="6">
        <f t="shared" si="4"/>
        <v>2317.145038</v>
      </c>
      <c r="N954" s="7">
        <f t="shared" si="5"/>
        <v>0.0002703786509</v>
      </c>
      <c r="O954" s="7"/>
      <c r="P954" s="4">
        <f t="shared" si="6"/>
        <v>-0.2590811086</v>
      </c>
      <c r="Q954" s="4">
        <f t="shared" si="7"/>
        <v>5</v>
      </c>
      <c r="R954" s="4">
        <f t="shared" si="8"/>
        <v>0</v>
      </c>
      <c r="S954" s="4">
        <f t="shared" si="9"/>
        <v>-0.2590811086</v>
      </c>
      <c r="T954" s="4">
        <f t="shared" si="10"/>
        <v>27</v>
      </c>
      <c r="U954" s="4">
        <f t="shared" si="1"/>
        <v>-0.2590811086</v>
      </c>
      <c r="V954" s="4"/>
    </row>
    <row r="955">
      <c r="A955" s="1" t="s">
        <v>16678</v>
      </c>
      <c r="B955" s="1" t="s">
        <v>16679</v>
      </c>
      <c r="C955" s="1" t="s">
        <v>16680</v>
      </c>
      <c r="D955" s="1" t="s">
        <v>16511</v>
      </c>
      <c r="E955" s="1" t="s">
        <v>16512</v>
      </c>
      <c r="F955" s="1">
        <v>206401.0</v>
      </c>
      <c r="G955" s="1">
        <v>13821.0</v>
      </c>
      <c r="H955" s="1">
        <v>112.0</v>
      </c>
      <c r="I955" s="1">
        <v>8570000.0</v>
      </c>
      <c r="J955" s="1" t="s">
        <v>2468</v>
      </c>
      <c r="K955" s="5">
        <f t="shared" si="2"/>
        <v>0.02408413069</v>
      </c>
      <c r="L955" s="6">
        <f t="shared" si="3"/>
        <v>656</v>
      </c>
      <c r="M955" s="6">
        <f t="shared" si="4"/>
        <v>314.6356707</v>
      </c>
      <c r="N955" s="7">
        <f t="shared" si="5"/>
        <v>0.00003671361385</v>
      </c>
      <c r="O955" s="7"/>
      <c r="P955" s="4">
        <f t="shared" si="6"/>
        <v>-0.4236662149</v>
      </c>
      <c r="Q955" s="4">
        <f t="shared" si="7"/>
        <v>4</v>
      </c>
      <c r="R955" s="4">
        <f t="shared" si="8"/>
        <v>0</v>
      </c>
      <c r="S955" s="4">
        <f t="shared" si="9"/>
        <v>-0.4236662149</v>
      </c>
      <c r="T955" s="4">
        <f t="shared" si="10"/>
        <v>25</v>
      </c>
      <c r="U955" s="4">
        <f t="shared" si="1"/>
        <v>-0.4236662149</v>
      </c>
      <c r="V955" s="4"/>
    </row>
    <row r="956">
      <c r="A956" s="1" t="s">
        <v>16681</v>
      </c>
      <c r="B956" s="1" t="s">
        <v>16682</v>
      </c>
      <c r="C956" s="1" t="s">
        <v>16683</v>
      </c>
      <c r="D956" s="1" t="s">
        <v>16511</v>
      </c>
      <c r="E956" s="1" t="s">
        <v>16512</v>
      </c>
      <c r="F956" s="1">
        <v>539281.0</v>
      </c>
      <c r="G956" s="1">
        <v>42839.0</v>
      </c>
      <c r="H956" s="1">
        <v>671.0</v>
      </c>
      <c r="I956" s="1">
        <v>8570000.0</v>
      </c>
      <c r="J956" s="1" t="s">
        <v>2468</v>
      </c>
      <c r="K956" s="5">
        <f t="shared" si="2"/>
        <v>0.06292660443</v>
      </c>
      <c r="L956" s="6">
        <f t="shared" si="3"/>
        <v>657</v>
      </c>
      <c r="M956" s="6">
        <f t="shared" si="4"/>
        <v>820.8234399</v>
      </c>
      <c r="N956" s="7">
        <f t="shared" si="5"/>
        <v>0.00009577869777</v>
      </c>
      <c r="O956" s="7"/>
      <c r="P956" s="4">
        <f t="shared" si="6"/>
        <v>-0.3820629299</v>
      </c>
      <c r="Q956" s="4">
        <f t="shared" si="7"/>
        <v>4</v>
      </c>
      <c r="R956" s="4">
        <f t="shared" si="8"/>
        <v>0</v>
      </c>
      <c r="S956" s="4">
        <f t="shared" si="9"/>
        <v>-0.3820629299</v>
      </c>
      <c r="T956" s="4">
        <f t="shared" si="10"/>
        <v>17</v>
      </c>
      <c r="U956" s="4">
        <f t="shared" si="1"/>
        <v>-0.3820629299</v>
      </c>
      <c r="V956" s="4"/>
    </row>
    <row r="957">
      <c r="A957" s="1" t="s">
        <v>16684</v>
      </c>
      <c r="B957" s="1" t="s">
        <v>16685</v>
      </c>
      <c r="C957" s="1" t="s">
        <v>16686</v>
      </c>
      <c r="D957" s="1" t="s">
        <v>16511</v>
      </c>
      <c r="E957" s="1" t="s">
        <v>16512</v>
      </c>
      <c r="F957" s="1">
        <v>259214.0</v>
      </c>
      <c r="G957" s="1">
        <v>11630.0</v>
      </c>
      <c r="H957" s="1">
        <v>105.0</v>
      </c>
      <c r="I957" s="1">
        <v>8570000.0</v>
      </c>
      <c r="J957" s="1" t="s">
        <v>2468</v>
      </c>
      <c r="K957" s="5">
        <f t="shared" si="2"/>
        <v>0.03024667445</v>
      </c>
      <c r="L957" s="6">
        <f t="shared" si="3"/>
        <v>659</v>
      </c>
      <c r="M957" s="6">
        <f t="shared" si="4"/>
        <v>393.3444613</v>
      </c>
      <c r="N957" s="7">
        <f t="shared" si="5"/>
        <v>0.00004589783679</v>
      </c>
      <c r="O957" s="7"/>
      <c r="P957" s="4">
        <f t="shared" si="6"/>
        <v>-0.4171971841</v>
      </c>
      <c r="Q957" s="4">
        <f t="shared" si="7"/>
        <v>4</v>
      </c>
      <c r="R957" s="4">
        <f t="shared" si="8"/>
        <v>0</v>
      </c>
      <c r="S957" s="4">
        <f t="shared" si="9"/>
        <v>-0.4171971841</v>
      </c>
      <c r="T957" s="4">
        <f t="shared" si="10"/>
        <v>21</v>
      </c>
      <c r="U957" s="4">
        <f t="shared" si="1"/>
        <v>-0.4171971841</v>
      </c>
      <c r="V957" s="4"/>
    </row>
    <row r="958">
      <c r="A958" s="1" t="s">
        <v>16687</v>
      </c>
      <c r="B958" s="1" t="s">
        <v>16688</v>
      </c>
      <c r="C958" s="1" t="s">
        <v>16689</v>
      </c>
      <c r="D958" s="1" t="s">
        <v>16511</v>
      </c>
      <c r="E958" s="1" t="s">
        <v>16512</v>
      </c>
      <c r="F958" s="1">
        <v>2297660.0</v>
      </c>
      <c r="G958" s="1">
        <v>154787.0</v>
      </c>
      <c r="H958" s="1">
        <v>1275.0</v>
      </c>
      <c r="I958" s="1">
        <v>8570000.0</v>
      </c>
      <c r="J958" s="1" t="s">
        <v>2468</v>
      </c>
      <c r="K958" s="5">
        <f t="shared" si="2"/>
        <v>0.2681050175</v>
      </c>
      <c r="L958" s="6">
        <f t="shared" si="3"/>
        <v>660</v>
      </c>
      <c r="M958" s="6">
        <f t="shared" si="4"/>
        <v>3481.30303</v>
      </c>
      <c r="N958" s="7">
        <f t="shared" si="5"/>
        <v>0.0004062197235</v>
      </c>
      <c r="O958" s="7"/>
      <c r="P958" s="4">
        <f t="shared" si="6"/>
        <v>-0.1633996253</v>
      </c>
      <c r="Q958" s="4">
        <f t="shared" si="7"/>
        <v>4</v>
      </c>
      <c r="R958" s="4">
        <f t="shared" si="8"/>
        <v>0</v>
      </c>
      <c r="S958" s="4">
        <f t="shared" si="9"/>
        <v>-0.1633996253</v>
      </c>
      <c r="T958" s="4">
        <f t="shared" si="10"/>
        <v>22</v>
      </c>
      <c r="U958" s="4">
        <f t="shared" si="1"/>
        <v>-0.1633996253</v>
      </c>
      <c r="V958" s="4"/>
    </row>
    <row r="959">
      <c r="A959" s="1" t="s">
        <v>16690</v>
      </c>
      <c r="B959" s="1" t="s">
        <v>16691</v>
      </c>
      <c r="C959" s="1" t="s">
        <v>16692</v>
      </c>
      <c r="D959" s="1" t="s">
        <v>16511</v>
      </c>
      <c r="E959" s="1" t="s">
        <v>16512</v>
      </c>
      <c r="F959" s="1">
        <v>1726733.0</v>
      </c>
      <c r="G959" s="1">
        <v>62068.0</v>
      </c>
      <c r="H959" s="1">
        <v>2492.0</v>
      </c>
      <c r="I959" s="1">
        <v>8570000.0</v>
      </c>
      <c r="J959" s="1" t="s">
        <v>2468</v>
      </c>
      <c r="K959" s="5">
        <f t="shared" si="2"/>
        <v>0.2014857643</v>
      </c>
      <c r="L959" s="6">
        <f t="shared" si="3"/>
        <v>664</v>
      </c>
      <c r="M959" s="6">
        <f t="shared" si="4"/>
        <v>2600.501506</v>
      </c>
      <c r="N959" s="7">
        <f t="shared" si="5"/>
        <v>0.0003034424161</v>
      </c>
      <c r="O959" s="7"/>
      <c r="P959" s="4">
        <f t="shared" si="6"/>
        <v>-0.2357922017</v>
      </c>
      <c r="Q959" s="4">
        <f t="shared" si="7"/>
        <v>6</v>
      </c>
      <c r="R959" s="4">
        <f t="shared" si="8"/>
        <v>0</v>
      </c>
      <c r="S959" s="4">
        <f t="shared" si="9"/>
        <v>-0.2357922017</v>
      </c>
      <c r="T959" s="4">
        <f t="shared" si="10"/>
        <v>32</v>
      </c>
      <c r="U959" s="4">
        <f t="shared" si="1"/>
        <v>-0.2357922017</v>
      </c>
      <c r="V959" s="4"/>
    </row>
    <row r="960">
      <c r="A960" s="1" t="s">
        <v>16693</v>
      </c>
      <c r="B960" s="1" t="s">
        <v>16694</v>
      </c>
      <c r="C960" s="1" t="s">
        <v>16695</v>
      </c>
      <c r="D960" s="1" t="s">
        <v>16511</v>
      </c>
      <c r="E960" s="1" t="s">
        <v>16512</v>
      </c>
      <c r="F960" s="1">
        <v>208129.0</v>
      </c>
      <c r="G960" s="1">
        <v>11363.0</v>
      </c>
      <c r="H960" s="1">
        <v>136.0</v>
      </c>
      <c r="I960" s="1">
        <v>8570000.0</v>
      </c>
      <c r="J960" s="1" t="s">
        <v>2468</v>
      </c>
      <c r="K960" s="5">
        <f t="shared" si="2"/>
        <v>0.02428576429</v>
      </c>
      <c r="L960" s="6">
        <f t="shared" si="3"/>
        <v>668</v>
      </c>
      <c r="M960" s="6">
        <f t="shared" si="4"/>
        <v>311.5703593</v>
      </c>
      <c r="N960" s="7">
        <f t="shared" si="5"/>
        <v>0.00003635593457</v>
      </c>
      <c r="O960" s="7"/>
      <c r="P960" s="4">
        <f t="shared" si="6"/>
        <v>-0.4239181511</v>
      </c>
      <c r="Q960" s="4">
        <f t="shared" si="7"/>
        <v>4</v>
      </c>
      <c r="R960" s="4">
        <f t="shared" si="8"/>
        <v>0</v>
      </c>
      <c r="S960" s="4">
        <f t="shared" si="9"/>
        <v>-0.4239181511</v>
      </c>
      <c r="T960" s="4">
        <f t="shared" si="10"/>
        <v>25</v>
      </c>
      <c r="U960" s="4">
        <f t="shared" si="1"/>
        <v>-0.4239181511</v>
      </c>
      <c r="V960" s="4"/>
    </row>
    <row r="961">
      <c r="A961" s="1" t="s">
        <v>16696</v>
      </c>
      <c r="B961" s="1" t="s">
        <v>16697</v>
      </c>
      <c r="C961" s="1" t="s">
        <v>16698</v>
      </c>
      <c r="D961" s="1" t="s">
        <v>16511</v>
      </c>
      <c r="E961" s="1" t="s">
        <v>16512</v>
      </c>
      <c r="F961" s="1">
        <v>3172147.0</v>
      </c>
      <c r="G961" s="1">
        <v>88936.0</v>
      </c>
      <c r="H961" s="1">
        <v>2345.0</v>
      </c>
      <c r="I961" s="1">
        <v>8570000.0</v>
      </c>
      <c r="J961" s="1" t="s">
        <v>2468</v>
      </c>
      <c r="K961" s="5">
        <f t="shared" si="2"/>
        <v>0.3701455076</v>
      </c>
      <c r="L961" s="6">
        <f t="shared" si="3"/>
        <v>691</v>
      </c>
      <c r="M961" s="6">
        <f t="shared" si="4"/>
        <v>4590.66136</v>
      </c>
      <c r="N961" s="7">
        <f t="shared" si="5"/>
        <v>0.0005356664364</v>
      </c>
      <c r="O961" s="7"/>
      <c r="P961" s="4">
        <f t="shared" si="6"/>
        <v>-0.07222209493</v>
      </c>
      <c r="Q961" s="4">
        <f t="shared" si="7"/>
        <v>11</v>
      </c>
      <c r="R961" s="4">
        <f t="shared" si="8"/>
        <v>0</v>
      </c>
      <c r="S961" s="4">
        <f t="shared" si="9"/>
        <v>-0.07222209493</v>
      </c>
      <c r="T961" s="4">
        <f t="shared" si="10"/>
        <v>45</v>
      </c>
      <c r="U961" s="4">
        <f t="shared" si="1"/>
        <v>-0.07222209493</v>
      </c>
      <c r="V961" s="4"/>
    </row>
    <row r="962">
      <c r="A962" s="1" t="s">
        <v>16699</v>
      </c>
      <c r="B962" s="1" t="s">
        <v>16700</v>
      </c>
      <c r="C962" s="1" t="s">
        <v>16701</v>
      </c>
      <c r="D962" s="1" t="s">
        <v>16511</v>
      </c>
      <c r="E962" s="1" t="s">
        <v>16512</v>
      </c>
      <c r="F962" s="1">
        <v>65820.0</v>
      </c>
      <c r="G962" s="1">
        <v>3781.0</v>
      </c>
      <c r="H962" s="1">
        <v>47.0</v>
      </c>
      <c r="I962" s="1">
        <v>8570000.0</v>
      </c>
      <c r="J962" s="1" t="s">
        <v>2468</v>
      </c>
      <c r="K962" s="5">
        <f t="shared" si="2"/>
        <v>0.007680280047</v>
      </c>
      <c r="L962" s="6">
        <f t="shared" si="3"/>
        <v>692</v>
      </c>
      <c r="M962" s="6">
        <f t="shared" si="4"/>
        <v>95.11560694</v>
      </c>
      <c r="N962" s="7">
        <f t="shared" si="5"/>
        <v>0.00001109867059</v>
      </c>
      <c r="O962" s="7"/>
      <c r="P962" s="4">
        <f t="shared" si="6"/>
        <v>-0.4417084441</v>
      </c>
      <c r="Q962" s="4">
        <f t="shared" si="7"/>
        <v>2</v>
      </c>
      <c r="R962" s="4">
        <f t="shared" si="8"/>
        <v>0</v>
      </c>
      <c r="S962" s="4">
        <f t="shared" si="9"/>
        <v>-0.4417084441</v>
      </c>
      <c r="T962" s="4">
        <f t="shared" si="10"/>
        <v>14</v>
      </c>
      <c r="U962" s="4">
        <f t="shared" si="1"/>
        <v>-0.4417084441</v>
      </c>
      <c r="V962" s="4"/>
    </row>
    <row r="963">
      <c r="A963" s="1" t="s">
        <v>16702</v>
      </c>
      <c r="B963" s="1" t="s">
        <v>16703</v>
      </c>
      <c r="C963" s="1" t="s">
        <v>16704</v>
      </c>
      <c r="D963" s="1" t="s">
        <v>16511</v>
      </c>
      <c r="E963" s="1" t="s">
        <v>16512</v>
      </c>
      <c r="F963" s="1">
        <v>2037295.0</v>
      </c>
      <c r="G963" s="1">
        <v>119273.0</v>
      </c>
      <c r="H963" s="1">
        <v>859.0</v>
      </c>
      <c r="I963" s="1">
        <v>8570000.0</v>
      </c>
      <c r="J963" s="1" t="s">
        <v>2468</v>
      </c>
      <c r="K963" s="5">
        <f t="shared" si="2"/>
        <v>0.2377240373</v>
      </c>
      <c r="L963" s="6">
        <f t="shared" si="3"/>
        <v>698</v>
      </c>
      <c r="M963" s="6">
        <f t="shared" si="4"/>
        <v>2918.760745</v>
      </c>
      <c r="N963" s="7">
        <f t="shared" si="5"/>
        <v>0.0003405788501</v>
      </c>
      <c r="O963" s="7"/>
      <c r="P963" s="4">
        <f t="shared" si="6"/>
        <v>-0.2096346558</v>
      </c>
      <c r="Q963" s="4">
        <f t="shared" si="7"/>
        <v>7</v>
      </c>
      <c r="R963" s="4">
        <f t="shared" si="8"/>
        <v>0</v>
      </c>
      <c r="S963" s="4">
        <f t="shared" si="9"/>
        <v>-0.2096346558</v>
      </c>
      <c r="T963" s="4">
        <f t="shared" si="10"/>
        <v>37</v>
      </c>
      <c r="U963" s="4">
        <f t="shared" si="1"/>
        <v>-0.2096346558</v>
      </c>
      <c r="V963" s="4"/>
    </row>
    <row r="964">
      <c r="A964" s="1" t="s">
        <v>16705</v>
      </c>
      <c r="B964" s="1" t="s">
        <v>16706</v>
      </c>
      <c r="C964" s="1" t="s">
        <v>16707</v>
      </c>
      <c r="D964" s="1" t="s">
        <v>16511</v>
      </c>
      <c r="E964" s="1" t="s">
        <v>16512</v>
      </c>
      <c r="F964" s="1">
        <v>6935056.0</v>
      </c>
      <c r="G964" s="1">
        <v>155930.0</v>
      </c>
      <c r="H964" s="1">
        <v>5565.0</v>
      </c>
      <c r="I964" s="1">
        <v>8570000.0</v>
      </c>
      <c r="J964" s="1" t="s">
        <v>2468</v>
      </c>
      <c r="K964" s="5">
        <f t="shared" si="2"/>
        <v>0.8092247375</v>
      </c>
      <c r="L964" s="6">
        <f t="shared" si="3"/>
        <v>698</v>
      </c>
      <c r="M964" s="6">
        <f t="shared" si="4"/>
        <v>9935.610315</v>
      </c>
      <c r="N964" s="7">
        <f t="shared" si="5"/>
        <v>0.001159347761</v>
      </c>
      <c r="O964" s="7"/>
      <c r="P964" s="4">
        <f t="shared" si="6"/>
        <v>0.3670762203</v>
      </c>
      <c r="Q964" s="4">
        <f t="shared" si="7"/>
        <v>4</v>
      </c>
      <c r="R964" s="4">
        <f t="shared" si="8"/>
        <v>1</v>
      </c>
      <c r="S964" s="4">
        <f t="shared" si="9"/>
        <v>0.3670762203</v>
      </c>
      <c r="T964" s="4">
        <f t="shared" si="10"/>
        <v>23</v>
      </c>
      <c r="U964" s="4">
        <f t="shared" si="1"/>
        <v>0.3670762203</v>
      </c>
      <c r="V964" s="4"/>
    </row>
    <row r="965">
      <c r="A965" s="1" t="s">
        <v>16708</v>
      </c>
      <c r="B965" s="1" t="s">
        <v>16709</v>
      </c>
      <c r="C965" s="1" t="s">
        <v>16710</v>
      </c>
      <c r="D965" s="1" t="s">
        <v>16511</v>
      </c>
      <c r="E965" s="1" t="s">
        <v>16512</v>
      </c>
      <c r="F965" s="1">
        <v>2205142.0</v>
      </c>
      <c r="G965" s="1">
        <v>52660.0</v>
      </c>
      <c r="H965" s="1">
        <v>1428.0</v>
      </c>
      <c r="I965" s="1">
        <v>8570000.0</v>
      </c>
      <c r="J965" s="1" t="s">
        <v>2468</v>
      </c>
      <c r="K965" s="5">
        <f t="shared" si="2"/>
        <v>0.2573094516</v>
      </c>
      <c r="L965" s="6">
        <f t="shared" si="3"/>
        <v>733</v>
      </c>
      <c r="M965" s="6">
        <f t="shared" si="4"/>
        <v>3008.379263</v>
      </c>
      <c r="N965" s="7">
        <f t="shared" si="5"/>
        <v>0.0003510360867</v>
      </c>
      <c r="O965" s="7"/>
      <c r="P965" s="4">
        <f t="shared" si="6"/>
        <v>-0.2022689607</v>
      </c>
      <c r="Q965" s="4">
        <f t="shared" si="7"/>
        <v>10</v>
      </c>
      <c r="R965" s="4">
        <f t="shared" si="8"/>
        <v>0</v>
      </c>
      <c r="S965" s="4">
        <f t="shared" si="9"/>
        <v>-0.2022689607</v>
      </c>
      <c r="T965" s="4">
        <f t="shared" si="10"/>
        <v>42</v>
      </c>
      <c r="U965" s="4">
        <f t="shared" si="1"/>
        <v>-0.2022689607</v>
      </c>
      <c r="V965" s="4"/>
    </row>
    <row r="966">
      <c r="A966" s="1" t="s">
        <v>16711</v>
      </c>
      <c r="B966" s="1" t="s">
        <v>16712</v>
      </c>
      <c r="C966" s="1" t="s">
        <v>16713</v>
      </c>
      <c r="D966" s="1" t="s">
        <v>16511</v>
      </c>
      <c r="E966" s="1" t="s">
        <v>16512</v>
      </c>
      <c r="F966" s="1">
        <v>383394.0</v>
      </c>
      <c r="G966" s="1">
        <v>19571.0</v>
      </c>
      <c r="H966" s="1">
        <v>125.0</v>
      </c>
      <c r="I966" s="1">
        <v>8570000.0</v>
      </c>
      <c r="J966" s="1" t="s">
        <v>2468</v>
      </c>
      <c r="K966" s="5">
        <f t="shared" si="2"/>
        <v>0.04473675613</v>
      </c>
      <c r="L966" s="6">
        <f t="shared" si="3"/>
        <v>834</v>
      </c>
      <c r="M966" s="6">
        <f t="shared" si="4"/>
        <v>459.705036</v>
      </c>
      <c r="N966" s="7">
        <f t="shared" si="5"/>
        <v>0.0000536411944</v>
      </c>
      <c r="O966" s="7"/>
      <c r="P966" s="4">
        <f t="shared" si="6"/>
        <v>-0.4117430462</v>
      </c>
      <c r="Q966" s="4">
        <f t="shared" si="7"/>
        <v>7</v>
      </c>
      <c r="R966" s="4">
        <f t="shared" si="8"/>
        <v>0</v>
      </c>
      <c r="S966" s="4">
        <f t="shared" si="9"/>
        <v>-0.4117430462</v>
      </c>
      <c r="T966" s="4">
        <f t="shared" si="10"/>
        <v>29</v>
      </c>
      <c r="U966" s="4">
        <f t="shared" si="1"/>
        <v>-0.4117430462</v>
      </c>
      <c r="V966" s="4"/>
    </row>
    <row r="967">
      <c r="A967" s="1" t="s">
        <v>16714</v>
      </c>
      <c r="B967" s="1" t="s">
        <v>16715</v>
      </c>
      <c r="C967" s="1" t="s">
        <v>16716</v>
      </c>
      <c r="D967" s="1" t="s">
        <v>16511</v>
      </c>
      <c r="E967" s="1" t="s">
        <v>16512</v>
      </c>
      <c r="F967" s="1">
        <v>1490922.0</v>
      </c>
      <c r="G967" s="1">
        <v>77424.0</v>
      </c>
      <c r="H967" s="1">
        <v>1655.0</v>
      </c>
      <c r="I967" s="1">
        <v>8570000.0</v>
      </c>
      <c r="J967" s="1" t="s">
        <v>2468</v>
      </c>
      <c r="K967" s="5">
        <f t="shared" si="2"/>
        <v>0.173969895</v>
      </c>
      <c r="L967" s="6">
        <f t="shared" si="3"/>
        <v>838</v>
      </c>
      <c r="M967" s="6">
        <f t="shared" si="4"/>
        <v>1779.143198</v>
      </c>
      <c r="N967" s="7">
        <f t="shared" si="5"/>
        <v>0.0002076013067</v>
      </c>
      <c r="O967" s="7"/>
      <c r="P967" s="4">
        <f t="shared" si="6"/>
        <v>-0.303299174</v>
      </c>
      <c r="Q967" s="4">
        <f t="shared" si="7"/>
        <v>11</v>
      </c>
      <c r="R967" s="4">
        <f t="shared" si="8"/>
        <v>0</v>
      </c>
      <c r="S967" s="4">
        <f t="shared" si="9"/>
        <v>-0.303299174</v>
      </c>
      <c r="T967" s="4">
        <f t="shared" si="10"/>
        <v>60</v>
      </c>
      <c r="U967" s="4">
        <f t="shared" si="1"/>
        <v>-0.303299174</v>
      </c>
      <c r="V967" s="4"/>
    </row>
    <row r="968">
      <c r="A968" s="1" t="s">
        <v>16717</v>
      </c>
      <c r="B968" s="1" t="s">
        <v>16718</v>
      </c>
      <c r="C968" s="1" t="s">
        <v>16719</v>
      </c>
      <c r="D968" s="1" t="s">
        <v>16511</v>
      </c>
      <c r="E968" s="1" t="s">
        <v>16512</v>
      </c>
      <c r="F968" s="1">
        <v>374507.0</v>
      </c>
      <c r="G968" s="1">
        <v>20188.0</v>
      </c>
      <c r="H968" s="1">
        <v>144.0</v>
      </c>
      <c r="I968" s="1">
        <v>8570000.0</v>
      </c>
      <c r="J968" s="1" t="s">
        <v>2468</v>
      </c>
      <c r="K968" s="5">
        <f t="shared" si="2"/>
        <v>0.04369976663</v>
      </c>
      <c r="L968" s="6">
        <f t="shared" si="3"/>
        <v>858</v>
      </c>
      <c r="M968" s="6">
        <f t="shared" si="4"/>
        <v>436.488345</v>
      </c>
      <c r="N968" s="7">
        <f t="shared" si="5"/>
        <v>0.00005093212894</v>
      </c>
      <c r="O968" s="7"/>
      <c r="P968" s="4">
        <f t="shared" si="6"/>
        <v>-0.4136512128</v>
      </c>
      <c r="Q968" s="4">
        <f t="shared" si="7"/>
        <v>3</v>
      </c>
      <c r="R968" s="4">
        <f t="shared" si="8"/>
        <v>0</v>
      </c>
      <c r="S968" s="4">
        <f t="shared" si="9"/>
        <v>-0.4136512128</v>
      </c>
      <c r="T968" s="4">
        <f t="shared" si="10"/>
        <v>16</v>
      </c>
      <c r="U968" s="4">
        <f t="shared" si="1"/>
        <v>-0.4136512128</v>
      </c>
      <c r="V968" s="4"/>
    </row>
    <row r="969">
      <c r="A969" s="1" t="s">
        <v>16720</v>
      </c>
      <c r="B969" s="1" t="s">
        <v>16721</v>
      </c>
      <c r="C969" s="1" t="s">
        <v>16722</v>
      </c>
      <c r="D969" s="1" t="s">
        <v>16511</v>
      </c>
      <c r="E969" s="1" t="s">
        <v>16512</v>
      </c>
      <c r="F969" s="1">
        <v>3432050.0</v>
      </c>
      <c r="G969" s="1">
        <v>148640.0</v>
      </c>
      <c r="H969" s="1">
        <v>1361.0</v>
      </c>
      <c r="I969" s="1">
        <v>8570000.0</v>
      </c>
      <c r="J969" s="1" t="s">
        <v>2468</v>
      </c>
      <c r="K969" s="5">
        <f t="shared" si="2"/>
        <v>0.4004725788</v>
      </c>
      <c r="L969" s="6">
        <f t="shared" si="3"/>
        <v>875</v>
      </c>
      <c r="M969" s="6">
        <f t="shared" si="4"/>
        <v>3922.342857</v>
      </c>
      <c r="N969" s="7">
        <f t="shared" si="5"/>
        <v>0.0004576829472</v>
      </c>
      <c r="O969" s="7"/>
      <c r="P969" s="4">
        <f t="shared" si="6"/>
        <v>-0.1271508127</v>
      </c>
      <c r="Q969" s="4">
        <f t="shared" si="7"/>
        <v>5</v>
      </c>
      <c r="R969" s="4">
        <f t="shared" si="8"/>
        <v>0</v>
      </c>
      <c r="S969" s="4">
        <f t="shared" si="9"/>
        <v>-0.1271508127</v>
      </c>
      <c r="T969" s="4">
        <f t="shared" si="10"/>
        <v>26</v>
      </c>
      <c r="U969" s="4">
        <f t="shared" si="1"/>
        <v>-0.1271508127</v>
      </c>
      <c r="V969" s="4"/>
    </row>
    <row r="970">
      <c r="A970" s="1" t="s">
        <v>16723</v>
      </c>
      <c r="B970" s="1" t="s">
        <v>16724</v>
      </c>
      <c r="C970" s="1" t="s">
        <v>16725</v>
      </c>
      <c r="D970" s="1" t="s">
        <v>16511</v>
      </c>
      <c r="E970" s="1" t="s">
        <v>16512</v>
      </c>
      <c r="F970" s="1">
        <v>4453251.0</v>
      </c>
      <c r="G970" s="1">
        <v>89186.0</v>
      </c>
      <c r="H970" s="1">
        <v>2434.0</v>
      </c>
      <c r="I970" s="1">
        <v>8570000.0</v>
      </c>
      <c r="J970" s="1" t="s">
        <v>2468</v>
      </c>
      <c r="K970" s="5">
        <f t="shared" si="2"/>
        <v>0.5196325554</v>
      </c>
      <c r="L970" s="6">
        <f t="shared" si="3"/>
        <v>879</v>
      </c>
      <c r="M970" s="6">
        <f t="shared" si="4"/>
        <v>5066.269625</v>
      </c>
      <c r="N970" s="7">
        <f t="shared" si="5"/>
        <v>0.0005911633168</v>
      </c>
      <c r="O970" s="7"/>
      <c r="P970" s="4">
        <f t="shared" si="6"/>
        <v>-0.03313212214</v>
      </c>
      <c r="Q970" s="4">
        <f t="shared" si="7"/>
        <v>9</v>
      </c>
      <c r="R970" s="4">
        <f t="shared" si="8"/>
        <v>0</v>
      </c>
      <c r="S970" s="4">
        <f t="shared" si="9"/>
        <v>-0.03313212214</v>
      </c>
      <c r="T970" s="4">
        <f t="shared" si="10"/>
        <v>56</v>
      </c>
      <c r="U970" s="4">
        <f t="shared" si="1"/>
        <v>-0.03313212214</v>
      </c>
      <c r="V970" s="4"/>
    </row>
    <row r="971">
      <c r="A971" s="1" t="s">
        <v>16726</v>
      </c>
      <c r="B971" s="1" t="s">
        <v>16727</v>
      </c>
      <c r="C971" s="1" t="s">
        <v>16728</v>
      </c>
      <c r="D971" s="1" t="s">
        <v>16511</v>
      </c>
      <c r="E971" s="1" t="s">
        <v>16512</v>
      </c>
      <c r="F971" s="1">
        <v>1.0971019E7</v>
      </c>
      <c r="G971" s="1">
        <v>233890.0</v>
      </c>
      <c r="H971" s="1">
        <v>4119.0</v>
      </c>
      <c r="I971" s="1">
        <v>8570000.0</v>
      </c>
      <c r="J971" s="1" t="s">
        <v>2468</v>
      </c>
      <c r="K971" s="5">
        <f t="shared" si="2"/>
        <v>1.280165578</v>
      </c>
      <c r="L971" s="6">
        <f t="shared" si="3"/>
        <v>885</v>
      </c>
      <c r="M971" s="6">
        <f t="shared" si="4"/>
        <v>12396.63164</v>
      </c>
      <c r="N971" s="7">
        <f t="shared" si="5"/>
        <v>0.001446514777</v>
      </c>
      <c r="O971" s="7"/>
      <c r="P971" s="4">
        <f t="shared" si="6"/>
        <v>0.5693461635</v>
      </c>
      <c r="Q971" s="4">
        <f t="shared" si="7"/>
        <v>10</v>
      </c>
      <c r="R971" s="4">
        <f t="shared" si="8"/>
        <v>0</v>
      </c>
      <c r="S971" s="4">
        <f t="shared" si="9"/>
        <v>0.5693461635</v>
      </c>
      <c r="T971" s="4">
        <f t="shared" si="10"/>
        <v>50</v>
      </c>
      <c r="U971" s="4">
        <f t="shared" si="1"/>
        <v>0.5693461635</v>
      </c>
      <c r="V971" s="4"/>
    </row>
    <row r="972">
      <c r="A972" s="1" t="s">
        <v>16729</v>
      </c>
      <c r="B972" s="1" t="s">
        <v>16730</v>
      </c>
      <c r="C972" s="1" t="s">
        <v>16731</v>
      </c>
      <c r="D972" s="1" t="s">
        <v>16511</v>
      </c>
      <c r="E972" s="1" t="s">
        <v>16512</v>
      </c>
      <c r="F972" s="1">
        <v>1302391.0</v>
      </c>
      <c r="G972" s="1">
        <v>75510.0</v>
      </c>
      <c r="H972" s="1">
        <v>465.0</v>
      </c>
      <c r="I972" s="1">
        <v>8570000.0</v>
      </c>
      <c r="J972" s="1" t="s">
        <v>2468</v>
      </c>
      <c r="K972" s="5">
        <f t="shared" si="2"/>
        <v>0.1519709452</v>
      </c>
      <c r="L972" s="6">
        <f t="shared" si="3"/>
        <v>951</v>
      </c>
      <c r="M972" s="6">
        <f t="shared" si="4"/>
        <v>1369.49632</v>
      </c>
      <c r="N972" s="7">
        <f t="shared" si="5"/>
        <v>0.0001598012042</v>
      </c>
      <c r="O972" s="7"/>
      <c r="P972" s="4">
        <f t="shared" si="6"/>
        <v>-0.336967818</v>
      </c>
      <c r="Q972" s="4">
        <f t="shared" si="7"/>
        <v>8</v>
      </c>
      <c r="R972" s="4">
        <f t="shared" si="8"/>
        <v>0</v>
      </c>
      <c r="S972" s="4">
        <f t="shared" si="9"/>
        <v>-0.336967818</v>
      </c>
      <c r="T972" s="4">
        <f t="shared" si="10"/>
        <v>41</v>
      </c>
      <c r="U972" s="4">
        <f t="shared" si="1"/>
        <v>-0.336967818</v>
      </c>
      <c r="V972" s="4"/>
    </row>
    <row r="973">
      <c r="A973" s="1" t="s">
        <v>16732</v>
      </c>
      <c r="B973" s="1" t="s">
        <v>16733</v>
      </c>
      <c r="C973" s="1" t="s">
        <v>16734</v>
      </c>
      <c r="D973" s="1" t="s">
        <v>16511</v>
      </c>
      <c r="E973" s="1" t="s">
        <v>16512</v>
      </c>
      <c r="F973" s="1">
        <v>968563.0</v>
      </c>
      <c r="G973" s="1">
        <v>42941.0</v>
      </c>
      <c r="H973" s="1">
        <v>235.0</v>
      </c>
      <c r="I973" s="1">
        <v>8570000.0</v>
      </c>
      <c r="J973" s="1" t="s">
        <v>2468</v>
      </c>
      <c r="K973" s="5">
        <f t="shared" si="2"/>
        <v>0.113017853</v>
      </c>
      <c r="L973" s="6">
        <f t="shared" si="3"/>
        <v>955</v>
      </c>
      <c r="M973" s="6">
        <f t="shared" si="4"/>
        <v>1014.202094</v>
      </c>
      <c r="N973" s="7">
        <f t="shared" si="5"/>
        <v>0.0001183433015</v>
      </c>
      <c r="O973" s="7"/>
      <c r="P973" s="4">
        <f t="shared" si="6"/>
        <v>-0.3661692483</v>
      </c>
      <c r="Q973" s="4">
        <f t="shared" si="7"/>
        <v>6</v>
      </c>
      <c r="R973" s="4">
        <f t="shared" si="8"/>
        <v>0</v>
      </c>
      <c r="S973" s="4">
        <f t="shared" si="9"/>
        <v>-0.3661692483</v>
      </c>
      <c r="T973" s="4">
        <f t="shared" si="10"/>
        <v>32</v>
      </c>
      <c r="U973" s="4">
        <f t="shared" si="1"/>
        <v>-0.3661692483</v>
      </c>
      <c r="V973" s="4"/>
    </row>
    <row r="974">
      <c r="A974" s="1" t="s">
        <v>16735</v>
      </c>
      <c r="B974" s="1" t="s">
        <v>16736</v>
      </c>
      <c r="C974" s="1" t="s">
        <v>16737</v>
      </c>
      <c r="D974" s="1" t="s">
        <v>16511</v>
      </c>
      <c r="E974" s="1" t="s">
        <v>16512</v>
      </c>
      <c r="F974" s="1">
        <v>62395.0</v>
      </c>
      <c r="G974" s="1">
        <v>3081.0</v>
      </c>
      <c r="H974" s="1">
        <v>21.0</v>
      </c>
      <c r="I974" s="1">
        <v>8570000.0</v>
      </c>
      <c r="J974" s="1" t="s">
        <v>2468</v>
      </c>
      <c r="K974" s="5">
        <f t="shared" si="2"/>
        <v>0.007280630105</v>
      </c>
      <c r="L974" s="6">
        <f t="shared" si="3"/>
        <v>958</v>
      </c>
      <c r="M974" s="6">
        <f t="shared" si="4"/>
        <v>65.13048017</v>
      </c>
      <c r="N974" s="7">
        <f t="shared" si="5"/>
        <v>0.000007599822657</v>
      </c>
      <c r="O974" s="7"/>
      <c r="P974" s="4">
        <f t="shared" si="6"/>
        <v>-0.4441729046</v>
      </c>
      <c r="Q974" s="4">
        <f t="shared" si="7"/>
        <v>9</v>
      </c>
      <c r="R974" s="4">
        <f t="shared" si="8"/>
        <v>1</v>
      </c>
      <c r="S974" s="4">
        <f t="shared" si="9"/>
        <v>-0.4441729046</v>
      </c>
      <c r="T974" s="4">
        <f t="shared" si="10"/>
        <v>50</v>
      </c>
      <c r="U974" s="4">
        <f t="shared" si="1"/>
        <v>-0.4441729046</v>
      </c>
      <c r="V974" s="4"/>
    </row>
    <row r="975">
      <c r="A975" s="1" t="s">
        <v>16738</v>
      </c>
      <c r="B975" s="1" t="s">
        <v>16739</v>
      </c>
      <c r="C975" s="1" t="s">
        <v>16740</v>
      </c>
      <c r="D975" s="1" t="s">
        <v>16511</v>
      </c>
      <c r="E975" s="1" t="s">
        <v>16512</v>
      </c>
      <c r="F975" s="1">
        <v>128874.0</v>
      </c>
      <c r="G975" s="1">
        <v>7539.0</v>
      </c>
      <c r="H975" s="1">
        <v>21.0</v>
      </c>
      <c r="I975" s="1">
        <v>8570000.0</v>
      </c>
      <c r="J975" s="1" t="s">
        <v>2468</v>
      </c>
      <c r="K975" s="5">
        <f t="shared" si="2"/>
        <v>0.0150378063</v>
      </c>
      <c r="L975" s="6">
        <f t="shared" si="3"/>
        <v>960</v>
      </c>
      <c r="M975" s="6">
        <f t="shared" si="4"/>
        <v>134.24375</v>
      </c>
      <c r="N975" s="7">
        <f t="shared" si="5"/>
        <v>0.00001566438156</v>
      </c>
      <c r="O975" s="7"/>
      <c r="P975" s="4">
        <f t="shared" si="6"/>
        <v>-0.4384925242</v>
      </c>
      <c r="Q975" s="4">
        <f t="shared" si="7"/>
        <v>6</v>
      </c>
      <c r="R975" s="4">
        <f t="shared" si="8"/>
        <v>0</v>
      </c>
      <c r="S975" s="4">
        <f t="shared" si="9"/>
        <v>-0.4384925242</v>
      </c>
      <c r="T975" s="4">
        <f t="shared" si="10"/>
        <v>38</v>
      </c>
      <c r="U975" s="4">
        <f t="shared" si="1"/>
        <v>-0.4384925242</v>
      </c>
      <c r="V975" s="4"/>
    </row>
    <row r="976">
      <c r="A976" s="1" t="s">
        <v>16741</v>
      </c>
      <c r="B976" s="1" t="s">
        <v>16742</v>
      </c>
      <c r="C976" s="1" t="s">
        <v>16743</v>
      </c>
      <c r="D976" s="1" t="s">
        <v>16511</v>
      </c>
      <c r="E976" s="1" t="s">
        <v>16512</v>
      </c>
      <c r="F976" s="1">
        <v>1.1012526E7</v>
      </c>
      <c r="G976" s="1">
        <v>478219.0</v>
      </c>
      <c r="H976" s="1">
        <v>3058.0</v>
      </c>
      <c r="I976" s="1">
        <v>8570000.0</v>
      </c>
      <c r="J976" s="1" t="s">
        <v>2468</v>
      </c>
      <c r="K976" s="5">
        <f t="shared" si="2"/>
        <v>1.285008868</v>
      </c>
      <c r="L976" s="6">
        <f t="shared" si="3"/>
        <v>962</v>
      </c>
      <c r="M976" s="6">
        <f t="shared" si="4"/>
        <v>11447.53222</v>
      </c>
      <c r="N976" s="7">
        <f t="shared" si="5"/>
        <v>0.001335768054</v>
      </c>
      <c r="O976" s="7"/>
      <c r="P976" s="4">
        <f t="shared" si="6"/>
        <v>0.4913402223</v>
      </c>
      <c r="Q976" s="4">
        <f t="shared" si="7"/>
        <v>6</v>
      </c>
      <c r="R976" s="4">
        <f t="shared" si="8"/>
        <v>0</v>
      </c>
      <c r="S976" s="4">
        <f t="shared" si="9"/>
        <v>0.4913402223</v>
      </c>
      <c r="T976" s="4">
        <f t="shared" si="10"/>
        <v>35</v>
      </c>
      <c r="U976" s="4">
        <f t="shared" si="1"/>
        <v>0.4913402223</v>
      </c>
      <c r="V976" s="4"/>
    </row>
    <row r="977">
      <c r="A977" s="1" t="s">
        <v>16744</v>
      </c>
      <c r="B977" s="1" t="s">
        <v>16745</v>
      </c>
      <c r="C977" s="1" t="s">
        <v>16746</v>
      </c>
      <c r="D977" s="1" t="s">
        <v>16511</v>
      </c>
      <c r="E977" s="1" t="s">
        <v>16512</v>
      </c>
      <c r="F977" s="1">
        <v>262012.0</v>
      </c>
      <c r="G977" s="1">
        <v>13237.0</v>
      </c>
      <c r="H977" s="1">
        <v>136.0</v>
      </c>
      <c r="I977" s="1">
        <v>8570000.0</v>
      </c>
      <c r="J977" s="1" t="s">
        <v>2468</v>
      </c>
      <c r="K977" s="5">
        <f t="shared" si="2"/>
        <v>0.03057316219</v>
      </c>
      <c r="L977" s="6">
        <f t="shared" si="3"/>
        <v>965</v>
      </c>
      <c r="M977" s="6">
        <f t="shared" si="4"/>
        <v>271.5150259</v>
      </c>
      <c r="N977" s="7">
        <f t="shared" si="5"/>
        <v>0.00003168203336</v>
      </c>
      <c r="O977" s="7"/>
      <c r="P977" s="4">
        <f t="shared" si="6"/>
        <v>-0.4272102761</v>
      </c>
      <c r="Q977" s="4">
        <f t="shared" si="7"/>
        <v>12</v>
      </c>
      <c r="R977" s="4">
        <f t="shared" si="8"/>
        <v>0</v>
      </c>
      <c r="S977" s="4">
        <f t="shared" si="9"/>
        <v>-0.4272102761</v>
      </c>
      <c r="T977" s="4">
        <f t="shared" si="10"/>
        <v>51</v>
      </c>
      <c r="U977" s="4">
        <f t="shared" si="1"/>
        <v>-0.4272102761</v>
      </c>
      <c r="V977" s="4"/>
    </row>
    <row r="978">
      <c r="A978" s="1" t="s">
        <v>16747</v>
      </c>
      <c r="B978" s="1" t="s">
        <v>16748</v>
      </c>
      <c r="C978" s="1" t="s">
        <v>16749</v>
      </c>
      <c r="D978" s="1" t="s">
        <v>16511</v>
      </c>
      <c r="E978" s="1" t="s">
        <v>16512</v>
      </c>
      <c r="F978" s="1">
        <v>1369055.0</v>
      </c>
      <c r="G978" s="1">
        <v>75732.0</v>
      </c>
      <c r="H978" s="1">
        <v>526.0</v>
      </c>
      <c r="I978" s="1">
        <v>8570000.0</v>
      </c>
      <c r="J978" s="1" t="s">
        <v>2468</v>
      </c>
      <c r="K978" s="5">
        <f t="shared" si="2"/>
        <v>0.1597497083</v>
      </c>
      <c r="L978" s="6">
        <f t="shared" si="3"/>
        <v>966</v>
      </c>
      <c r="M978" s="6">
        <f t="shared" si="4"/>
        <v>1417.241201</v>
      </c>
      <c r="N978" s="7">
        <f t="shared" si="5"/>
        <v>0.0001653723688</v>
      </c>
      <c r="O978" s="7"/>
      <c r="P978" s="4">
        <f t="shared" si="6"/>
        <v>-0.3330436933</v>
      </c>
      <c r="Q978" s="4">
        <f t="shared" si="7"/>
        <v>11</v>
      </c>
      <c r="R978" s="4">
        <f t="shared" si="8"/>
        <v>1</v>
      </c>
      <c r="S978" s="4">
        <f t="shared" si="9"/>
        <v>-0.3330436933</v>
      </c>
      <c r="T978" s="4">
        <f t="shared" si="10"/>
        <v>55</v>
      </c>
      <c r="U978" s="4">
        <f t="shared" si="1"/>
        <v>-0.3330436933</v>
      </c>
      <c r="V978" s="4"/>
    </row>
    <row r="979">
      <c r="A979" s="1" t="s">
        <v>16750</v>
      </c>
      <c r="B979" s="1" t="s">
        <v>16751</v>
      </c>
      <c r="C979" s="1" t="s">
        <v>16752</v>
      </c>
      <c r="D979" s="1" t="s">
        <v>16511</v>
      </c>
      <c r="E979" s="1" t="s">
        <v>16512</v>
      </c>
      <c r="F979" s="1">
        <v>2014634.0</v>
      </c>
      <c r="G979" s="1">
        <v>85726.0</v>
      </c>
      <c r="H979" s="1">
        <v>989.0</v>
      </c>
      <c r="I979" s="1">
        <v>8570000.0</v>
      </c>
      <c r="J979" s="1" t="s">
        <v>2468</v>
      </c>
      <c r="K979" s="5">
        <f t="shared" si="2"/>
        <v>0.2350798133</v>
      </c>
      <c r="L979" s="6">
        <f t="shared" si="3"/>
        <v>968</v>
      </c>
      <c r="M979" s="6">
        <f t="shared" si="4"/>
        <v>2081.233471</v>
      </c>
      <c r="N979" s="7">
        <f t="shared" si="5"/>
        <v>0.0002428510468</v>
      </c>
      <c r="O979" s="7"/>
      <c r="P979" s="4">
        <f t="shared" si="6"/>
        <v>-0.2784705462</v>
      </c>
      <c r="Q979" s="4">
        <f t="shared" si="7"/>
        <v>4</v>
      </c>
      <c r="R979" s="4">
        <f t="shared" si="8"/>
        <v>0</v>
      </c>
      <c r="S979" s="4">
        <f t="shared" si="9"/>
        <v>-0.2784705462</v>
      </c>
      <c r="T979" s="4">
        <f t="shared" si="10"/>
        <v>18</v>
      </c>
      <c r="U979" s="4">
        <f t="shared" si="1"/>
        <v>-0.2784705462</v>
      </c>
      <c r="V979" s="4"/>
    </row>
    <row r="980">
      <c r="A980" s="1" t="s">
        <v>16753</v>
      </c>
      <c r="B980" s="1" t="s">
        <v>16754</v>
      </c>
      <c r="C980" s="1" t="s">
        <v>16755</v>
      </c>
      <c r="D980" s="1" t="s">
        <v>16511</v>
      </c>
      <c r="E980" s="1" t="s">
        <v>16512</v>
      </c>
      <c r="F980" s="1">
        <v>193707.0</v>
      </c>
      <c r="G980" s="1">
        <v>13490.0</v>
      </c>
      <c r="H980" s="1">
        <v>169.0</v>
      </c>
      <c r="I980" s="1">
        <v>8570000.0</v>
      </c>
      <c r="J980" s="1" t="s">
        <v>2468</v>
      </c>
      <c r="K980" s="5">
        <f t="shared" si="2"/>
        <v>0.02260291715</v>
      </c>
      <c r="L980" s="6">
        <f t="shared" si="3"/>
        <v>969</v>
      </c>
      <c r="M980" s="6">
        <f t="shared" si="4"/>
        <v>199.9040248</v>
      </c>
      <c r="N980" s="7">
        <f t="shared" si="5"/>
        <v>0.00002332602389</v>
      </c>
      <c r="O980" s="7"/>
      <c r="P980" s="4">
        <f t="shared" si="6"/>
        <v>-0.4330959436</v>
      </c>
      <c r="Q980" s="4">
        <f t="shared" si="7"/>
        <v>10</v>
      </c>
      <c r="R980" s="4">
        <f t="shared" si="8"/>
        <v>1</v>
      </c>
      <c r="S980" s="4">
        <f t="shared" si="9"/>
        <v>-0.4330959436</v>
      </c>
      <c r="T980" s="4">
        <f t="shared" si="10"/>
        <v>41</v>
      </c>
      <c r="U980" s="4">
        <f t="shared" si="1"/>
        <v>-0.4330959436</v>
      </c>
      <c r="V980" s="4"/>
    </row>
    <row r="981">
      <c r="A981" s="1" t="s">
        <v>16756</v>
      </c>
      <c r="B981" s="1" t="s">
        <v>16757</v>
      </c>
      <c r="C981" s="1" t="s">
        <v>16758</v>
      </c>
      <c r="D981" s="1" t="s">
        <v>16511</v>
      </c>
      <c r="E981" s="1" t="s">
        <v>16512</v>
      </c>
      <c r="F981" s="1">
        <v>247459.0</v>
      </c>
      <c r="G981" s="1">
        <v>18304.0</v>
      </c>
      <c r="H981" s="1">
        <v>80.0</v>
      </c>
      <c r="I981" s="1">
        <v>8570000.0</v>
      </c>
      <c r="J981" s="1" t="s">
        <v>2468</v>
      </c>
      <c r="K981" s="5">
        <f t="shared" si="2"/>
        <v>0.02887502917</v>
      </c>
      <c r="L981" s="6">
        <f t="shared" si="3"/>
        <v>971</v>
      </c>
      <c r="M981" s="6">
        <f t="shared" si="4"/>
        <v>254.8496395</v>
      </c>
      <c r="N981" s="7">
        <f t="shared" si="5"/>
        <v>0.00002973741418</v>
      </c>
      <c r="O981" s="7"/>
      <c r="P981" s="4">
        <f t="shared" si="6"/>
        <v>-0.4285799948</v>
      </c>
      <c r="Q981" s="4">
        <f t="shared" si="7"/>
        <v>6</v>
      </c>
      <c r="R981" s="4">
        <f t="shared" si="8"/>
        <v>1</v>
      </c>
      <c r="S981" s="4">
        <f t="shared" si="9"/>
        <v>-0.4285799948</v>
      </c>
      <c r="T981" s="4">
        <f t="shared" si="10"/>
        <v>24</v>
      </c>
      <c r="U981" s="4">
        <f t="shared" si="1"/>
        <v>-0.4285799948</v>
      </c>
      <c r="V981" s="4"/>
    </row>
    <row r="982">
      <c r="A982" s="1" t="s">
        <v>16759</v>
      </c>
      <c r="B982" s="1" t="s">
        <v>16760</v>
      </c>
      <c r="C982" s="1" t="s">
        <v>16761</v>
      </c>
      <c r="D982" s="1" t="s">
        <v>16511</v>
      </c>
      <c r="E982" s="1" t="s">
        <v>16512</v>
      </c>
      <c r="F982" s="1">
        <v>2762881.0</v>
      </c>
      <c r="G982" s="1">
        <v>125423.0</v>
      </c>
      <c r="H982" s="1">
        <v>939.0</v>
      </c>
      <c r="I982" s="1">
        <v>8570000.0</v>
      </c>
      <c r="J982" s="1" t="s">
        <v>2468</v>
      </c>
      <c r="K982" s="5">
        <f t="shared" si="2"/>
        <v>0.3223898483</v>
      </c>
      <c r="L982" s="6">
        <f t="shared" si="3"/>
        <v>974</v>
      </c>
      <c r="M982" s="6">
        <f t="shared" si="4"/>
        <v>2836.63347</v>
      </c>
      <c r="N982" s="7">
        <f t="shared" si="5"/>
        <v>0.0003309957375</v>
      </c>
      <c r="O982" s="7"/>
      <c r="P982" s="4">
        <f t="shared" si="6"/>
        <v>-0.2163846498</v>
      </c>
      <c r="Q982" s="4">
        <f t="shared" si="7"/>
        <v>6</v>
      </c>
      <c r="R982" s="4">
        <f t="shared" si="8"/>
        <v>0</v>
      </c>
      <c r="S982" s="4">
        <f t="shared" si="9"/>
        <v>-0.2163846498</v>
      </c>
      <c r="T982" s="4">
        <f t="shared" si="10"/>
        <v>41</v>
      </c>
      <c r="U982" s="4">
        <f t="shared" si="1"/>
        <v>-0.2163846498</v>
      </c>
      <c r="V982" s="4"/>
    </row>
    <row r="983">
      <c r="A983" s="1" t="s">
        <v>16762</v>
      </c>
      <c r="B983" s="1" t="s">
        <v>16763</v>
      </c>
      <c r="C983" s="1" t="s">
        <v>16764</v>
      </c>
      <c r="D983" s="1" t="s">
        <v>16511</v>
      </c>
      <c r="E983" s="1" t="s">
        <v>16512</v>
      </c>
      <c r="F983" s="1">
        <v>235446.0</v>
      </c>
      <c r="G983" s="1">
        <v>13747.0</v>
      </c>
      <c r="H983" s="1">
        <v>57.0</v>
      </c>
      <c r="I983" s="1">
        <v>8570000.0</v>
      </c>
      <c r="J983" s="1" t="s">
        <v>2468</v>
      </c>
      <c r="K983" s="5">
        <f t="shared" si="2"/>
        <v>0.02747327888</v>
      </c>
      <c r="L983" s="6">
        <f t="shared" si="3"/>
        <v>975</v>
      </c>
      <c r="M983" s="6">
        <f t="shared" si="4"/>
        <v>241.4830769</v>
      </c>
      <c r="N983" s="7">
        <f t="shared" si="5"/>
        <v>0.00002817772193</v>
      </c>
      <c r="O983" s="7"/>
      <c r="P983" s="4">
        <f t="shared" si="6"/>
        <v>-0.4296785849</v>
      </c>
      <c r="Q983" s="4">
        <f t="shared" si="7"/>
        <v>7</v>
      </c>
      <c r="R983" s="4">
        <f t="shared" si="8"/>
        <v>0</v>
      </c>
      <c r="S983" s="4">
        <f t="shared" si="9"/>
        <v>-0.4296785849</v>
      </c>
      <c r="T983" s="4">
        <f t="shared" si="10"/>
        <v>37</v>
      </c>
      <c r="U983" s="4">
        <f t="shared" si="1"/>
        <v>-0.4296785849</v>
      </c>
      <c r="V983" s="4"/>
    </row>
    <row r="984">
      <c r="A984" s="1" t="s">
        <v>16765</v>
      </c>
      <c r="B984" s="1" t="s">
        <v>16766</v>
      </c>
      <c r="C984" s="1" t="s">
        <v>16767</v>
      </c>
      <c r="D984" s="1" t="s">
        <v>16511</v>
      </c>
      <c r="E984" s="1" t="s">
        <v>16512</v>
      </c>
      <c r="F984" s="1">
        <v>1.0084324E7</v>
      </c>
      <c r="G984" s="1">
        <v>500306.0</v>
      </c>
      <c r="H984" s="1">
        <v>1991.0</v>
      </c>
      <c r="I984" s="1">
        <v>8570000.0</v>
      </c>
      <c r="J984" s="1" t="s">
        <v>2468</v>
      </c>
      <c r="K984" s="5">
        <f t="shared" si="2"/>
        <v>1.176700583</v>
      </c>
      <c r="L984" s="6">
        <f t="shared" si="3"/>
        <v>979</v>
      </c>
      <c r="M984" s="6">
        <f t="shared" si="4"/>
        <v>10300.63739</v>
      </c>
      <c r="N984" s="7">
        <f t="shared" si="5"/>
        <v>0.001201941352</v>
      </c>
      <c r="O984" s="7"/>
      <c r="P984" s="4">
        <f t="shared" si="6"/>
        <v>0.3970775876</v>
      </c>
      <c r="Q984" s="4">
        <f t="shared" si="7"/>
        <v>4</v>
      </c>
      <c r="R984" s="4">
        <f t="shared" si="8"/>
        <v>0</v>
      </c>
      <c r="S984" s="4">
        <f t="shared" si="9"/>
        <v>0.3970775876</v>
      </c>
      <c r="T984" s="4">
        <f t="shared" si="10"/>
        <v>17</v>
      </c>
      <c r="U984" s="4">
        <f t="shared" si="1"/>
        <v>0.3970775876</v>
      </c>
      <c r="V984" s="4"/>
    </row>
    <row r="985">
      <c r="A985" s="1" t="s">
        <v>16768</v>
      </c>
      <c r="B985" s="1" t="s">
        <v>16769</v>
      </c>
      <c r="C985" s="1" t="s">
        <v>16770</v>
      </c>
      <c r="D985" s="1" t="s">
        <v>16511</v>
      </c>
      <c r="E985" s="1" t="s">
        <v>16512</v>
      </c>
      <c r="F985" s="1">
        <v>166323.0</v>
      </c>
      <c r="G985" s="1">
        <v>9284.0</v>
      </c>
      <c r="H985" s="1">
        <v>82.0</v>
      </c>
      <c r="I985" s="1">
        <v>8570000.0</v>
      </c>
      <c r="J985" s="1" t="s">
        <v>2468</v>
      </c>
      <c r="K985" s="5">
        <f t="shared" si="2"/>
        <v>0.0194075846</v>
      </c>
      <c r="L985" s="6">
        <f t="shared" si="3"/>
        <v>981</v>
      </c>
      <c r="M985" s="6">
        <f t="shared" si="4"/>
        <v>169.5443425</v>
      </c>
      <c r="N985" s="7">
        <f t="shared" si="5"/>
        <v>0.00001978347054</v>
      </c>
      <c r="O985" s="7"/>
      <c r="P985" s="4">
        <f t="shared" si="6"/>
        <v>-0.4355911886</v>
      </c>
      <c r="Q985" s="4">
        <f t="shared" si="7"/>
        <v>4</v>
      </c>
      <c r="R985" s="4">
        <f t="shared" si="8"/>
        <v>1</v>
      </c>
      <c r="S985" s="4">
        <f t="shared" si="9"/>
        <v>-0.4355911886</v>
      </c>
      <c r="T985" s="4">
        <f t="shared" si="10"/>
        <v>12</v>
      </c>
      <c r="U985" s="4">
        <f t="shared" si="1"/>
        <v>-0.4355911886</v>
      </c>
      <c r="V985" s="4"/>
    </row>
    <row r="986">
      <c r="A986" s="1" t="s">
        <v>16771</v>
      </c>
      <c r="B986" s="1" t="s">
        <v>16772</v>
      </c>
      <c r="C986" s="1" t="s">
        <v>16773</v>
      </c>
      <c r="D986" s="1" t="s">
        <v>16511</v>
      </c>
      <c r="E986" s="1" t="s">
        <v>16512</v>
      </c>
      <c r="F986" s="1">
        <v>1232043.0</v>
      </c>
      <c r="G986" s="1">
        <v>51812.0</v>
      </c>
      <c r="H986" s="1">
        <v>350.0</v>
      </c>
      <c r="I986" s="1">
        <v>8570000.0</v>
      </c>
      <c r="J986" s="1" t="s">
        <v>2468</v>
      </c>
      <c r="K986" s="5">
        <f t="shared" si="2"/>
        <v>0.1437623104</v>
      </c>
      <c r="L986" s="6">
        <f t="shared" si="3"/>
        <v>983</v>
      </c>
      <c r="M986" s="6">
        <f t="shared" si="4"/>
        <v>1253.349949</v>
      </c>
      <c r="N986" s="7">
        <f t="shared" si="5"/>
        <v>0.0001462485355</v>
      </c>
      <c r="O986" s="7"/>
      <c r="P986" s="4">
        <f t="shared" si="6"/>
        <v>-0.3465138221</v>
      </c>
      <c r="Q986" s="4">
        <f t="shared" si="7"/>
        <v>7</v>
      </c>
      <c r="R986" s="4">
        <f t="shared" si="8"/>
        <v>0</v>
      </c>
      <c r="S986" s="4">
        <f t="shared" si="9"/>
        <v>-0.3465138221</v>
      </c>
      <c r="T986" s="4">
        <f t="shared" si="10"/>
        <v>22</v>
      </c>
      <c r="U986" s="4">
        <f t="shared" si="1"/>
        <v>-0.3465138221</v>
      </c>
      <c r="V986" s="4"/>
    </row>
    <row r="987">
      <c r="A987" s="1" t="s">
        <v>16774</v>
      </c>
      <c r="B987" s="1" t="s">
        <v>16775</v>
      </c>
      <c r="C987" s="1" t="s">
        <v>16776</v>
      </c>
      <c r="D987" s="1" t="s">
        <v>16511</v>
      </c>
      <c r="E987" s="1" t="s">
        <v>16512</v>
      </c>
      <c r="F987" s="1">
        <v>2031134.0</v>
      </c>
      <c r="G987" s="1">
        <v>78972.0</v>
      </c>
      <c r="H987" s="1">
        <v>610.0</v>
      </c>
      <c r="I987" s="1">
        <v>8570000.0</v>
      </c>
      <c r="J987" s="1" t="s">
        <v>2468</v>
      </c>
      <c r="K987" s="5">
        <f t="shared" si="2"/>
        <v>0.2370051342</v>
      </c>
      <c r="L987" s="6">
        <f t="shared" si="3"/>
        <v>985</v>
      </c>
      <c r="M987" s="6">
        <f t="shared" si="4"/>
        <v>2062.064975</v>
      </c>
      <c r="N987" s="7">
        <f t="shared" si="5"/>
        <v>0.0002406143494</v>
      </c>
      <c r="O987" s="7"/>
      <c r="P987" s="4">
        <f t="shared" si="6"/>
        <v>-0.280045994</v>
      </c>
      <c r="Q987" s="4">
        <f t="shared" si="7"/>
        <v>5</v>
      </c>
      <c r="R987" s="4">
        <f t="shared" si="8"/>
        <v>0</v>
      </c>
      <c r="S987" s="4">
        <f t="shared" si="9"/>
        <v>-0.280045994</v>
      </c>
      <c r="T987" s="4">
        <f t="shared" si="10"/>
        <v>26</v>
      </c>
      <c r="U987" s="4">
        <f t="shared" si="1"/>
        <v>-0.280045994</v>
      </c>
      <c r="V987" s="4"/>
    </row>
    <row r="988">
      <c r="A988" s="1" t="s">
        <v>16777</v>
      </c>
      <c r="B988" s="1" t="s">
        <v>16778</v>
      </c>
      <c r="C988" s="1" t="s">
        <v>16779</v>
      </c>
      <c r="D988" s="1" t="s">
        <v>16511</v>
      </c>
      <c r="E988" s="1" t="s">
        <v>16512</v>
      </c>
      <c r="F988" s="1">
        <v>250911.0</v>
      </c>
      <c r="G988" s="1">
        <v>18899.0</v>
      </c>
      <c r="H988" s="1">
        <v>515.0</v>
      </c>
      <c r="I988" s="1">
        <v>8570000.0</v>
      </c>
      <c r="J988" s="1" t="s">
        <v>2468</v>
      </c>
      <c r="K988" s="5">
        <f t="shared" si="2"/>
        <v>0.02927782964</v>
      </c>
      <c r="L988" s="6">
        <f t="shared" si="3"/>
        <v>987</v>
      </c>
      <c r="M988" s="6">
        <f t="shared" si="4"/>
        <v>254.2158055</v>
      </c>
      <c r="N988" s="7">
        <f t="shared" si="5"/>
        <v>0.00002966345455</v>
      </c>
      <c r="O988" s="7"/>
      <c r="P988" s="4">
        <f t="shared" si="6"/>
        <v>-0.4286320892</v>
      </c>
      <c r="Q988" s="4">
        <f t="shared" si="7"/>
        <v>11</v>
      </c>
      <c r="R988" s="4">
        <f t="shared" si="8"/>
        <v>0</v>
      </c>
      <c r="S988" s="4">
        <f t="shared" si="9"/>
        <v>-0.4286320892</v>
      </c>
      <c r="T988" s="4">
        <f t="shared" si="10"/>
        <v>43</v>
      </c>
      <c r="U988" s="4">
        <f t="shared" si="1"/>
        <v>-0.4286320892</v>
      </c>
      <c r="V988" s="4"/>
    </row>
    <row r="989">
      <c r="A989" s="1" t="s">
        <v>16780</v>
      </c>
      <c r="B989" s="1" t="s">
        <v>16781</v>
      </c>
      <c r="C989" s="1" t="s">
        <v>16782</v>
      </c>
      <c r="D989" s="1" t="s">
        <v>16511</v>
      </c>
      <c r="E989" s="1" t="s">
        <v>16512</v>
      </c>
      <c r="F989" s="1">
        <v>2093708.0</v>
      </c>
      <c r="G989" s="1">
        <v>131776.0</v>
      </c>
      <c r="H989" s="1">
        <v>633.0</v>
      </c>
      <c r="I989" s="1">
        <v>8570000.0</v>
      </c>
      <c r="J989" s="1" t="s">
        <v>2468</v>
      </c>
      <c r="K989" s="5">
        <f t="shared" si="2"/>
        <v>0.2443066511</v>
      </c>
      <c r="L989" s="6">
        <f t="shared" si="3"/>
        <v>987</v>
      </c>
      <c r="M989" s="6">
        <f t="shared" si="4"/>
        <v>2121.284701</v>
      </c>
      <c r="N989" s="7">
        <f t="shared" si="5"/>
        <v>0.0002475244692</v>
      </c>
      <c r="O989" s="7"/>
      <c r="P989" s="4">
        <f t="shared" si="6"/>
        <v>-0.2751787584</v>
      </c>
      <c r="Q989" s="4">
        <f t="shared" si="7"/>
        <v>4</v>
      </c>
      <c r="R989" s="4">
        <f t="shared" si="8"/>
        <v>0</v>
      </c>
      <c r="S989" s="4">
        <f t="shared" si="9"/>
        <v>-0.2751787584</v>
      </c>
      <c r="T989" s="4">
        <f t="shared" si="10"/>
        <v>22</v>
      </c>
      <c r="U989" s="4">
        <f t="shared" si="1"/>
        <v>-0.2751787584</v>
      </c>
      <c r="V989" s="4"/>
    </row>
    <row r="990">
      <c r="A990" s="1" t="s">
        <v>16783</v>
      </c>
      <c r="B990" s="1" t="s">
        <v>16784</v>
      </c>
      <c r="C990" s="1" t="s">
        <v>16785</v>
      </c>
      <c r="D990" s="1" t="s">
        <v>16511</v>
      </c>
      <c r="E990" s="1" t="s">
        <v>16512</v>
      </c>
      <c r="F990" s="1">
        <v>2352765.0</v>
      </c>
      <c r="G990" s="1">
        <v>119321.0</v>
      </c>
      <c r="H990" s="1">
        <v>1124.0</v>
      </c>
      <c r="I990" s="1">
        <v>8570000.0</v>
      </c>
      <c r="J990" s="1" t="s">
        <v>2468</v>
      </c>
      <c r="K990" s="5">
        <f t="shared" si="2"/>
        <v>0.2745350058</v>
      </c>
      <c r="L990" s="6">
        <f t="shared" si="3"/>
        <v>992</v>
      </c>
      <c r="M990" s="6">
        <f t="shared" si="4"/>
        <v>2371.738911</v>
      </c>
      <c r="N990" s="7">
        <f t="shared" si="5"/>
        <v>0.0002767489978</v>
      </c>
      <c r="O990" s="7"/>
      <c r="P990" s="4">
        <f t="shared" si="6"/>
        <v>-0.2545940693</v>
      </c>
      <c r="Q990" s="4">
        <f t="shared" si="7"/>
        <v>5</v>
      </c>
      <c r="R990" s="4">
        <f t="shared" si="8"/>
        <v>1</v>
      </c>
      <c r="S990" s="4">
        <f t="shared" si="9"/>
        <v>-0.2545940693</v>
      </c>
      <c r="T990" s="4">
        <f t="shared" si="10"/>
        <v>22</v>
      </c>
      <c r="U990" s="4">
        <f t="shared" si="1"/>
        <v>-0.2545940693</v>
      </c>
      <c r="V990" s="4"/>
    </row>
    <row r="991">
      <c r="A991" s="1" t="s">
        <v>16786</v>
      </c>
      <c r="B991" s="1" t="s">
        <v>16787</v>
      </c>
      <c r="C991" s="1" t="s">
        <v>16788</v>
      </c>
      <c r="D991" s="1" t="s">
        <v>16511</v>
      </c>
      <c r="E991" s="1" t="s">
        <v>16512</v>
      </c>
      <c r="F991" s="1">
        <v>1.37986E7</v>
      </c>
      <c r="G991" s="1">
        <v>356879.0</v>
      </c>
      <c r="H991" s="1">
        <v>2037.0</v>
      </c>
      <c r="I991" s="1">
        <v>8570000.0</v>
      </c>
      <c r="J991" s="1" t="s">
        <v>2468</v>
      </c>
      <c r="K991" s="5">
        <f t="shared" si="2"/>
        <v>1.610105018</v>
      </c>
      <c r="L991" s="6">
        <f t="shared" si="3"/>
        <v>993</v>
      </c>
      <c r="M991" s="6">
        <f t="shared" si="4"/>
        <v>13895.8711</v>
      </c>
      <c r="N991" s="7">
        <f t="shared" si="5"/>
        <v>0.001621455204</v>
      </c>
      <c r="O991" s="7"/>
      <c r="P991" s="4">
        <f t="shared" si="6"/>
        <v>0.6925678021</v>
      </c>
      <c r="Q991" s="4">
        <f t="shared" si="7"/>
        <v>3</v>
      </c>
      <c r="R991" s="4">
        <f t="shared" si="8"/>
        <v>0</v>
      </c>
      <c r="S991" s="4">
        <f t="shared" si="9"/>
        <v>0.6925678021</v>
      </c>
      <c r="T991" s="4">
        <f t="shared" si="10"/>
        <v>13</v>
      </c>
      <c r="U991" s="4">
        <f t="shared" si="1"/>
        <v>0.6925678021</v>
      </c>
      <c r="V991" s="4"/>
    </row>
    <row r="992">
      <c r="A992" s="1" t="s">
        <v>16789</v>
      </c>
      <c r="B992" s="1" t="s">
        <v>16790</v>
      </c>
      <c r="C992" s="1" t="s">
        <v>16791</v>
      </c>
      <c r="D992" s="1" t="s">
        <v>16511</v>
      </c>
      <c r="E992" s="1" t="s">
        <v>16512</v>
      </c>
      <c r="F992" s="1">
        <v>815533.0</v>
      </c>
      <c r="G992" s="1">
        <v>71110.0</v>
      </c>
      <c r="H992" s="1">
        <v>943.0</v>
      </c>
      <c r="I992" s="1">
        <v>8570000.0</v>
      </c>
      <c r="J992" s="1" t="s">
        <v>2468</v>
      </c>
      <c r="K992" s="5">
        <f t="shared" si="2"/>
        <v>0.0951613769</v>
      </c>
      <c r="L992" s="6">
        <f t="shared" si="3"/>
        <v>995</v>
      </c>
      <c r="M992" s="6">
        <f t="shared" si="4"/>
        <v>819.6311558</v>
      </c>
      <c r="N992" s="7">
        <f t="shared" si="5"/>
        <v>0.00009563957477</v>
      </c>
      <c r="O992" s="7"/>
      <c r="P992" s="4">
        <f t="shared" si="6"/>
        <v>-0.3821609231</v>
      </c>
      <c r="Q992" s="4">
        <f t="shared" si="7"/>
        <v>4</v>
      </c>
      <c r="R992" s="4">
        <f t="shared" si="8"/>
        <v>0</v>
      </c>
      <c r="S992" s="4">
        <f t="shared" si="9"/>
        <v>-0.3821609231</v>
      </c>
      <c r="T992" s="4">
        <f t="shared" si="10"/>
        <v>13</v>
      </c>
      <c r="U992" s="4">
        <f t="shared" si="1"/>
        <v>-0.3821609231</v>
      </c>
      <c r="V992" s="4"/>
    </row>
    <row r="993">
      <c r="A993" s="1" t="s">
        <v>16792</v>
      </c>
      <c r="B993" s="1" t="s">
        <v>16793</v>
      </c>
      <c r="C993" s="1" t="s">
        <v>16794</v>
      </c>
      <c r="D993" s="1" t="s">
        <v>16511</v>
      </c>
      <c r="E993" s="1" t="s">
        <v>16512</v>
      </c>
      <c r="F993" s="1">
        <v>833920.0</v>
      </c>
      <c r="G993" s="1">
        <v>47693.0</v>
      </c>
      <c r="H993" s="1">
        <v>239.0</v>
      </c>
      <c r="I993" s="1">
        <v>8570000.0</v>
      </c>
      <c r="J993" s="1" t="s">
        <v>2468</v>
      </c>
      <c r="K993" s="5">
        <f t="shared" si="2"/>
        <v>0.09730688448</v>
      </c>
      <c r="L993" s="6">
        <f t="shared" si="3"/>
        <v>996</v>
      </c>
      <c r="M993" s="6">
        <f t="shared" si="4"/>
        <v>837.2690763</v>
      </c>
      <c r="N993" s="7">
        <f t="shared" si="5"/>
        <v>0.00009769767518</v>
      </c>
      <c r="O993" s="7"/>
      <c r="P993" s="4">
        <f t="shared" si="6"/>
        <v>-0.3807112724</v>
      </c>
      <c r="Q993" s="4">
        <f t="shared" si="7"/>
        <v>7</v>
      </c>
      <c r="R993" s="4">
        <f t="shared" si="8"/>
        <v>0</v>
      </c>
      <c r="S993" s="4">
        <f t="shared" si="9"/>
        <v>-0.3807112724</v>
      </c>
      <c r="T993" s="4">
        <f t="shared" si="10"/>
        <v>26</v>
      </c>
      <c r="U993" s="4">
        <f t="shared" si="1"/>
        <v>-0.3807112724</v>
      </c>
      <c r="V993" s="4"/>
    </row>
    <row r="994">
      <c r="A994" s="1" t="s">
        <v>16795</v>
      </c>
      <c r="B994" s="1" t="s">
        <v>16796</v>
      </c>
      <c r="C994" s="1" t="s">
        <v>16797</v>
      </c>
      <c r="D994" s="1" t="s">
        <v>16511</v>
      </c>
      <c r="E994" s="1" t="s">
        <v>16512</v>
      </c>
      <c r="F994" s="1">
        <v>1064691.0</v>
      </c>
      <c r="G994" s="1">
        <v>48115.0</v>
      </c>
      <c r="H994" s="1">
        <v>243.0</v>
      </c>
      <c r="I994" s="1">
        <v>8570000.0</v>
      </c>
      <c r="J994" s="1" t="s">
        <v>2468</v>
      </c>
      <c r="K994" s="5">
        <f t="shared" si="2"/>
        <v>0.1242346558</v>
      </c>
      <c r="L994" s="6">
        <f t="shared" si="3"/>
        <v>996</v>
      </c>
      <c r="M994" s="6">
        <f t="shared" si="4"/>
        <v>1068.966867</v>
      </c>
      <c r="N994" s="7">
        <f t="shared" si="5"/>
        <v>0.0001247335901</v>
      </c>
      <c r="O994" s="7"/>
      <c r="P994" s="4">
        <f t="shared" si="6"/>
        <v>-0.3616681627</v>
      </c>
      <c r="Q994" s="4">
        <f t="shared" si="7"/>
        <v>4</v>
      </c>
      <c r="R994" s="4">
        <f t="shared" si="8"/>
        <v>0</v>
      </c>
      <c r="S994" s="4">
        <f t="shared" si="9"/>
        <v>-0.3616681627</v>
      </c>
      <c r="T994" s="4">
        <f t="shared" si="10"/>
        <v>22</v>
      </c>
      <c r="U994" s="4">
        <f t="shared" si="1"/>
        <v>-0.3616681627</v>
      </c>
      <c r="V994" s="4"/>
    </row>
    <row r="995">
      <c r="A995" s="1" t="s">
        <v>16798</v>
      </c>
      <c r="B995" s="1" t="s">
        <v>16799</v>
      </c>
      <c r="C995" s="1" t="s">
        <v>16800</v>
      </c>
      <c r="D995" s="1" t="s">
        <v>16511</v>
      </c>
      <c r="E995" s="1" t="s">
        <v>16512</v>
      </c>
      <c r="F995" s="1">
        <v>831734.0</v>
      </c>
      <c r="G995" s="1">
        <v>45312.0</v>
      </c>
      <c r="H995" s="1">
        <v>292.0</v>
      </c>
      <c r="I995" s="1">
        <v>8570000.0</v>
      </c>
      <c r="J995" s="1" t="s">
        <v>2468</v>
      </c>
      <c r="K995" s="5">
        <f t="shared" si="2"/>
        <v>0.09705180863</v>
      </c>
      <c r="L995" s="6">
        <f t="shared" si="3"/>
        <v>997</v>
      </c>
      <c r="M995" s="6">
        <f t="shared" si="4"/>
        <v>834.2367101</v>
      </c>
      <c r="N995" s="7">
        <f t="shared" si="5"/>
        <v>0.00009734384016</v>
      </c>
      <c r="O995" s="7"/>
      <c r="P995" s="4">
        <f t="shared" si="6"/>
        <v>-0.3809605009</v>
      </c>
      <c r="Q995" s="4">
        <f t="shared" si="7"/>
        <v>6</v>
      </c>
      <c r="R995" s="4">
        <f t="shared" si="8"/>
        <v>0</v>
      </c>
      <c r="S995" s="4">
        <f t="shared" si="9"/>
        <v>-0.3809605009</v>
      </c>
      <c r="T995" s="4">
        <f t="shared" si="10"/>
        <v>31</v>
      </c>
      <c r="U995" s="4">
        <f t="shared" si="1"/>
        <v>-0.3809605009</v>
      </c>
      <c r="V995" s="4"/>
    </row>
    <row r="996">
      <c r="A996" s="1" t="s">
        <v>16801</v>
      </c>
      <c r="B996" s="1" t="s">
        <v>16802</v>
      </c>
      <c r="C996" s="1" t="s">
        <v>16803</v>
      </c>
      <c r="D996" s="1" t="s">
        <v>16511</v>
      </c>
      <c r="E996" s="1" t="s">
        <v>16512</v>
      </c>
      <c r="F996" s="1">
        <v>348870.0</v>
      </c>
      <c r="G996" s="1">
        <v>21348.0</v>
      </c>
      <c r="H996" s="1">
        <v>155.0</v>
      </c>
      <c r="I996" s="1">
        <v>8570000.0</v>
      </c>
      <c r="J996" s="1" t="s">
        <v>2468</v>
      </c>
      <c r="K996" s="5">
        <f t="shared" si="2"/>
        <v>0.04070828471</v>
      </c>
      <c r="L996" s="6">
        <f t="shared" si="3"/>
        <v>997</v>
      </c>
      <c r="M996" s="6">
        <f t="shared" si="4"/>
        <v>349.9197593</v>
      </c>
      <c r="N996" s="7">
        <f t="shared" si="5"/>
        <v>0.00004083077705</v>
      </c>
      <c r="O996" s="7"/>
      <c r="P996" s="4">
        <f t="shared" si="6"/>
        <v>-0.4207662357</v>
      </c>
      <c r="Q996" s="4">
        <f t="shared" si="7"/>
        <v>9</v>
      </c>
      <c r="R996" s="4">
        <f t="shared" si="8"/>
        <v>0</v>
      </c>
      <c r="S996" s="4">
        <f t="shared" si="9"/>
        <v>-0.4207662357</v>
      </c>
      <c r="T996" s="4">
        <f t="shared" si="10"/>
        <v>55</v>
      </c>
      <c r="U996" s="4">
        <f t="shared" si="1"/>
        <v>-0.4207662357</v>
      </c>
      <c r="V996" s="4"/>
    </row>
    <row r="997">
      <c r="A997" s="1" t="s">
        <v>16804</v>
      </c>
      <c r="B997" s="1" t="s">
        <v>16805</v>
      </c>
      <c r="C997" s="1" t="s">
        <v>16806</v>
      </c>
      <c r="D997" s="1" t="s">
        <v>16511</v>
      </c>
      <c r="E997" s="1" t="s">
        <v>16512</v>
      </c>
      <c r="F997" s="1">
        <v>5469848.0</v>
      </c>
      <c r="G997" s="1">
        <v>264270.0</v>
      </c>
      <c r="H997" s="1">
        <v>925.0</v>
      </c>
      <c r="I997" s="1">
        <v>8570000.0</v>
      </c>
      <c r="J997" s="1" t="s">
        <v>2468</v>
      </c>
      <c r="K997" s="5">
        <f t="shared" si="2"/>
        <v>0.6382553092</v>
      </c>
      <c r="L997" s="6">
        <f t="shared" si="3"/>
        <v>998</v>
      </c>
      <c r="M997" s="6">
        <f t="shared" si="4"/>
        <v>5480.809619</v>
      </c>
      <c r="N997" s="7">
        <f t="shared" si="5"/>
        <v>0.000639534378</v>
      </c>
      <c r="O997" s="7"/>
      <c r="P997" s="4">
        <f t="shared" si="6"/>
        <v>0.0009386842987</v>
      </c>
      <c r="Q997" s="4">
        <f t="shared" si="7"/>
        <v>4</v>
      </c>
      <c r="R997" s="4">
        <f t="shared" si="8"/>
        <v>0</v>
      </c>
      <c r="S997" s="4">
        <f t="shared" si="9"/>
        <v>0.0009386842987</v>
      </c>
      <c r="T997" s="4">
        <f t="shared" si="10"/>
        <v>26</v>
      </c>
      <c r="U997" s="4">
        <f t="shared" si="1"/>
        <v>0.0009386842987</v>
      </c>
      <c r="V997" s="4"/>
    </row>
    <row r="998">
      <c r="A998" s="1" t="s">
        <v>16807</v>
      </c>
      <c r="B998" s="1" t="s">
        <v>16808</v>
      </c>
      <c r="C998" s="1" t="s">
        <v>16809</v>
      </c>
      <c r="D998" s="1" t="s">
        <v>16810</v>
      </c>
      <c r="E998" s="1" t="s">
        <v>16811</v>
      </c>
      <c r="F998" s="1">
        <v>83828.0</v>
      </c>
      <c r="G998" s="1">
        <v>2873.0</v>
      </c>
      <c r="H998" s="1">
        <v>266.0</v>
      </c>
      <c r="I998" s="1">
        <v>1.08E7</v>
      </c>
      <c r="J998" s="1" t="s">
        <v>2468</v>
      </c>
      <c r="K998" s="5">
        <f t="shared" si="2"/>
        <v>0.007761851852</v>
      </c>
      <c r="L998" s="6">
        <f t="shared" si="3"/>
        <v>44</v>
      </c>
      <c r="M998" s="6">
        <f t="shared" si="4"/>
        <v>1905.181818</v>
      </c>
      <c r="N998" s="7">
        <f t="shared" si="5"/>
        <v>0.0001764057239</v>
      </c>
      <c r="O998" s="7"/>
      <c r="P998" s="4">
        <f t="shared" si="6"/>
        <v>-0.3252722015</v>
      </c>
      <c r="Q998" s="4">
        <f t="shared" si="7"/>
        <v>5</v>
      </c>
      <c r="R998" s="4">
        <f t="shared" si="8"/>
        <v>1</v>
      </c>
      <c r="S998" s="4">
        <f t="shared" si="9"/>
        <v>-0.3252722015</v>
      </c>
      <c r="T998" s="4">
        <f t="shared" si="10"/>
        <v>18</v>
      </c>
      <c r="U998" s="4">
        <f t="shared" si="1"/>
        <v>-0.3252722015</v>
      </c>
      <c r="V998" s="4"/>
    </row>
    <row r="999">
      <c r="A999" s="1" t="s">
        <v>16812</v>
      </c>
      <c r="B999" s="1" t="s">
        <v>16813</v>
      </c>
      <c r="C999" s="1" t="s">
        <v>16814</v>
      </c>
      <c r="D999" s="1" t="s">
        <v>16810</v>
      </c>
      <c r="E999" s="1" t="s">
        <v>16811</v>
      </c>
      <c r="F999" s="1">
        <v>431005.0</v>
      </c>
      <c r="G999" s="1">
        <v>16697.0</v>
      </c>
      <c r="H999" s="1">
        <v>2239.0</v>
      </c>
      <c r="I999" s="1">
        <v>1.08E7</v>
      </c>
      <c r="J999" s="1" t="s">
        <v>2468</v>
      </c>
      <c r="K999" s="5">
        <f t="shared" si="2"/>
        <v>0.03990787037</v>
      </c>
      <c r="L999" s="6">
        <f t="shared" si="3"/>
        <v>49</v>
      </c>
      <c r="M999" s="6">
        <f t="shared" si="4"/>
        <v>8796.020408</v>
      </c>
      <c r="N999" s="7">
        <f t="shared" si="5"/>
        <v>0.0008144463341</v>
      </c>
      <c r="O999" s="7"/>
      <c r="P999" s="4">
        <f t="shared" si="6"/>
        <v>0.1241402691</v>
      </c>
      <c r="Q999" s="4">
        <f t="shared" si="7"/>
        <v>4</v>
      </c>
      <c r="R999" s="4">
        <f t="shared" si="8"/>
        <v>1</v>
      </c>
      <c r="S999" s="4">
        <f t="shared" si="9"/>
        <v>0.1241402691</v>
      </c>
      <c r="T999" s="4">
        <f t="shared" si="10"/>
        <v>10</v>
      </c>
      <c r="U999" s="4">
        <f t="shared" si="1"/>
        <v>0.1241402691</v>
      </c>
      <c r="V999" s="4"/>
    </row>
    <row r="1000">
      <c r="A1000" s="1" t="s">
        <v>16815</v>
      </c>
      <c r="B1000" s="1" t="s">
        <v>16816</v>
      </c>
      <c r="C1000" s="1" t="s">
        <v>16817</v>
      </c>
      <c r="D1000" s="1" t="s">
        <v>16810</v>
      </c>
      <c r="E1000" s="1" t="s">
        <v>16811</v>
      </c>
      <c r="F1000" s="1">
        <v>209216.0</v>
      </c>
      <c r="G1000" s="1">
        <v>10166.0</v>
      </c>
      <c r="H1000" s="1">
        <v>1195.0</v>
      </c>
      <c r="I1000" s="1">
        <v>1.08E7</v>
      </c>
      <c r="J1000" s="1" t="s">
        <v>2468</v>
      </c>
      <c r="K1000" s="5">
        <f t="shared" si="2"/>
        <v>0.01937185185</v>
      </c>
      <c r="L1000" s="6">
        <f t="shared" si="3"/>
        <v>65</v>
      </c>
      <c r="M1000" s="6">
        <f t="shared" si="4"/>
        <v>3218.707692</v>
      </c>
      <c r="N1000" s="7">
        <f t="shared" si="5"/>
        <v>0.00029802849</v>
      </c>
      <c r="O1000" s="7"/>
      <c r="P1000" s="4">
        <f t="shared" si="6"/>
        <v>-0.2396055732</v>
      </c>
      <c r="Q1000" s="4">
        <f t="shared" si="7"/>
        <v>6</v>
      </c>
      <c r="R1000" s="4">
        <f t="shared" si="8"/>
        <v>0</v>
      </c>
      <c r="S1000" s="4">
        <f t="shared" si="9"/>
        <v>-0.2396055732</v>
      </c>
      <c r="T1000" s="4">
        <f t="shared" si="10"/>
        <v>28</v>
      </c>
      <c r="U1000" s="4">
        <f t="shared" si="1"/>
        <v>-0.2396055732</v>
      </c>
      <c r="V1000" s="4"/>
    </row>
    <row r="1001">
      <c r="A1001" s="1" t="s">
        <v>16818</v>
      </c>
      <c r="B1001" s="1" t="s">
        <v>16819</v>
      </c>
      <c r="C1001" s="1" t="s">
        <v>16820</v>
      </c>
      <c r="D1001" s="1" t="s">
        <v>16810</v>
      </c>
      <c r="E1001" s="1" t="s">
        <v>16811</v>
      </c>
      <c r="F1001" s="1">
        <v>188937.0</v>
      </c>
      <c r="G1001" s="1">
        <v>7422.0</v>
      </c>
      <c r="H1001" s="1">
        <v>451.0</v>
      </c>
      <c r="I1001" s="1">
        <v>1.08E7</v>
      </c>
      <c r="J1001" s="1" t="s">
        <v>2468</v>
      </c>
      <c r="K1001" s="5">
        <f t="shared" si="2"/>
        <v>0.01749416667</v>
      </c>
      <c r="L1001" s="6">
        <f t="shared" si="3"/>
        <v>91</v>
      </c>
      <c r="M1001" s="6">
        <f t="shared" si="4"/>
        <v>2076.230769</v>
      </c>
      <c r="N1001" s="7">
        <f t="shared" si="5"/>
        <v>0.0001922435897</v>
      </c>
      <c r="O1001" s="7"/>
      <c r="P1001" s="4">
        <f t="shared" si="6"/>
        <v>-0.3141165881</v>
      </c>
      <c r="Q1001" s="4">
        <f t="shared" si="7"/>
        <v>7</v>
      </c>
      <c r="R1001" s="4">
        <f t="shared" si="8"/>
        <v>0</v>
      </c>
      <c r="S1001" s="4">
        <f t="shared" si="9"/>
        <v>-0.3141165881</v>
      </c>
      <c r="T1001" s="4">
        <f t="shared" si="10"/>
        <v>41</v>
      </c>
      <c r="U1001" s="4">
        <f t="shared" si="1"/>
        <v>-0.3141165881</v>
      </c>
      <c r="V1001" s="4"/>
    </row>
    <row r="1002">
      <c r="A1002" s="1" t="s">
        <v>16821</v>
      </c>
      <c r="B1002" s="1" t="s">
        <v>16822</v>
      </c>
      <c r="C1002" s="1" t="s">
        <v>16823</v>
      </c>
      <c r="D1002" s="1" t="s">
        <v>16810</v>
      </c>
      <c r="E1002" s="1" t="s">
        <v>16811</v>
      </c>
      <c r="F1002" s="1">
        <v>162345.0</v>
      </c>
      <c r="G1002" s="1">
        <v>7819.0</v>
      </c>
      <c r="H1002" s="1">
        <v>265.0</v>
      </c>
      <c r="I1002" s="1">
        <v>1.08E7</v>
      </c>
      <c r="J1002" s="1" t="s">
        <v>2468</v>
      </c>
      <c r="K1002" s="5">
        <f t="shared" si="2"/>
        <v>0.01503194444</v>
      </c>
      <c r="L1002" s="6">
        <f t="shared" si="3"/>
        <v>105</v>
      </c>
      <c r="M1002" s="6">
        <f t="shared" si="4"/>
        <v>1546.142857</v>
      </c>
      <c r="N1002" s="7">
        <f t="shared" si="5"/>
        <v>0.0001431613757</v>
      </c>
      <c r="O1002" s="7"/>
      <c r="P1002" s="4">
        <f t="shared" si="6"/>
        <v>-0.3486883046</v>
      </c>
      <c r="Q1002" s="4">
        <f t="shared" si="7"/>
        <v>4</v>
      </c>
      <c r="R1002" s="4">
        <f t="shared" si="8"/>
        <v>2</v>
      </c>
      <c r="S1002" s="4">
        <f t="shared" si="9"/>
        <v>-0.3486883046</v>
      </c>
      <c r="T1002" s="4">
        <f t="shared" si="10"/>
        <v>17</v>
      </c>
      <c r="U1002" s="4">
        <f t="shared" si="1"/>
        <v>-0.3486883046</v>
      </c>
      <c r="V1002" s="4"/>
    </row>
    <row r="1003">
      <c r="A1003" s="1" t="s">
        <v>16824</v>
      </c>
      <c r="B1003" s="1" t="s">
        <v>16825</v>
      </c>
      <c r="C1003" s="1" t="s">
        <v>16826</v>
      </c>
      <c r="D1003" s="1" t="s">
        <v>16810</v>
      </c>
      <c r="E1003" s="1" t="s">
        <v>16811</v>
      </c>
      <c r="F1003" s="1">
        <v>82707.0</v>
      </c>
      <c r="G1003" s="1">
        <v>4381.0</v>
      </c>
      <c r="H1003" s="1">
        <v>266.0</v>
      </c>
      <c r="I1003" s="1">
        <v>1.08E7</v>
      </c>
      <c r="J1003" s="1" t="s">
        <v>2468</v>
      </c>
      <c r="K1003" s="5">
        <f t="shared" si="2"/>
        <v>0.007658055556</v>
      </c>
      <c r="L1003" s="6">
        <f t="shared" si="3"/>
        <v>114</v>
      </c>
      <c r="M1003" s="6">
        <f t="shared" si="4"/>
        <v>725.5</v>
      </c>
      <c r="N1003" s="7">
        <f t="shared" si="5"/>
        <v>0.00006717592593</v>
      </c>
      <c r="O1003" s="7"/>
      <c r="P1003" s="4">
        <f t="shared" si="6"/>
        <v>-0.4022096763</v>
      </c>
      <c r="Q1003" s="4">
        <f t="shared" si="7"/>
        <v>6</v>
      </c>
      <c r="R1003" s="4">
        <f t="shared" si="8"/>
        <v>0</v>
      </c>
      <c r="S1003" s="4">
        <f t="shared" si="9"/>
        <v>-0.4022096763</v>
      </c>
      <c r="T1003" s="4">
        <f t="shared" si="10"/>
        <v>40</v>
      </c>
      <c r="U1003" s="4">
        <f t="shared" si="1"/>
        <v>-0.4022096763</v>
      </c>
      <c r="V1003" s="4"/>
    </row>
    <row r="1004">
      <c r="A1004" s="1" t="s">
        <v>16827</v>
      </c>
      <c r="B1004" s="1" t="s">
        <v>16828</v>
      </c>
      <c r="C1004" s="1" t="s">
        <v>16829</v>
      </c>
      <c r="D1004" s="1" t="s">
        <v>16810</v>
      </c>
      <c r="E1004" s="1" t="s">
        <v>16811</v>
      </c>
      <c r="F1004" s="1">
        <v>62469.0</v>
      </c>
      <c r="G1004" s="1">
        <v>1787.0</v>
      </c>
      <c r="H1004" s="1">
        <v>279.0</v>
      </c>
      <c r="I1004" s="1">
        <v>1.08E7</v>
      </c>
      <c r="J1004" s="1" t="s">
        <v>2468</v>
      </c>
      <c r="K1004" s="5">
        <f t="shared" si="2"/>
        <v>0.005784166667</v>
      </c>
      <c r="L1004" s="6">
        <f t="shared" si="3"/>
        <v>121</v>
      </c>
      <c r="M1004" s="6">
        <f t="shared" si="4"/>
        <v>516.2727273</v>
      </c>
      <c r="N1004" s="7">
        <f t="shared" si="5"/>
        <v>0.0000478030303</v>
      </c>
      <c r="O1004" s="7"/>
      <c r="P1004" s="4">
        <f t="shared" si="6"/>
        <v>-0.4158552355</v>
      </c>
      <c r="Q1004" s="4">
        <f t="shared" si="7"/>
        <v>7</v>
      </c>
      <c r="R1004" s="4">
        <f t="shared" si="8"/>
        <v>0</v>
      </c>
      <c r="S1004" s="4">
        <f t="shared" si="9"/>
        <v>-0.4158552355</v>
      </c>
      <c r="T1004" s="4">
        <f t="shared" si="10"/>
        <v>20</v>
      </c>
      <c r="U1004" s="4">
        <f t="shared" si="1"/>
        <v>-0.4158552355</v>
      </c>
      <c r="V1004" s="4"/>
    </row>
    <row r="1005">
      <c r="A1005" s="1" t="s">
        <v>16830</v>
      </c>
      <c r="B1005" s="1" t="s">
        <v>16831</v>
      </c>
      <c r="C1005" s="1" t="s">
        <v>16832</v>
      </c>
      <c r="D1005" s="1" t="s">
        <v>16810</v>
      </c>
      <c r="E1005" s="1" t="s">
        <v>16811</v>
      </c>
      <c r="F1005" s="1">
        <v>1561595.0</v>
      </c>
      <c r="G1005" s="1">
        <v>63877.0</v>
      </c>
      <c r="H1005" s="1">
        <v>719.0</v>
      </c>
      <c r="I1005" s="1">
        <v>1.08E7</v>
      </c>
      <c r="J1005" s="1" t="s">
        <v>2468</v>
      </c>
      <c r="K1005" s="5">
        <f t="shared" si="2"/>
        <v>0.1445921296</v>
      </c>
      <c r="L1005" s="6">
        <f t="shared" si="3"/>
        <v>122</v>
      </c>
      <c r="M1005" s="6">
        <f t="shared" si="4"/>
        <v>12799.95902</v>
      </c>
      <c r="N1005" s="7">
        <f t="shared" si="5"/>
        <v>0.00118518139</v>
      </c>
      <c r="O1005" s="7"/>
      <c r="P1005" s="4">
        <f t="shared" si="6"/>
        <v>0.3852724838</v>
      </c>
      <c r="Q1005" s="4">
        <f t="shared" si="7"/>
        <v>8</v>
      </c>
      <c r="R1005" s="4">
        <f t="shared" si="8"/>
        <v>0</v>
      </c>
      <c r="S1005" s="4">
        <f t="shared" si="9"/>
        <v>0.3852724838</v>
      </c>
      <c r="T1005" s="4">
        <f t="shared" si="10"/>
        <v>32</v>
      </c>
      <c r="U1005" s="4">
        <f t="shared" si="1"/>
        <v>0.3852724838</v>
      </c>
      <c r="V1005" s="4"/>
    </row>
    <row r="1006">
      <c r="A1006" s="1" t="s">
        <v>16833</v>
      </c>
      <c r="B1006" s="1" t="s">
        <v>16834</v>
      </c>
      <c r="C1006" s="1" t="s">
        <v>16835</v>
      </c>
      <c r="D1006" s="1" t="s">
        <v>16810</v>
      </c>
      <c r="E1006" s="1" t="s">
        <v>16811</v>
      </c>
      <c r="F1006" s="1">
        <v>49641.0</v>
      </c>
      <c r="G1006" s="1">
        <v>1592.0</v>
      </c>
      <c r="H1006" s="1">
        <v>112.0</v>
      </c>
      <c r="I1006" s="1">
        <v>1.08E7</v>
      </c>
      <c r="J1006" s="1" t="s">
        <v>2468</v>
      </c>
      <c r="K1006" s="5">
        <f t="shared" si="2"/>
        <v>0.004596388889</v>
      </c>
      <c r="L1006" s="6">
        <f t="shared" si="3"/>
        <v>126</v>
      </c>
      <c r="M1006" s="6">
        <f t="shared" si="4"/>
        <v>393.9761905</v>
      </c>
      <c r="N1006" s="7">
        <f t="shared" si="5"/>
        <v>0.0000364792769</v>
      </c>
      <c r="O1006" s="7"/>
      <c r="P1006" s="4">
        <f t="shared" si="6"/>
        <v>-0.4238312732</v>
      </c>
      <c r="Q1006" s="4">
        <f t="shared" si="7"/>
        <v>6</v>
      </c>
      <c r="R1006" s="4">
        <f t="shared" si="8"/>
        <v>0</v>
      </c>
      <c r="S1006" s="4">
        <f t="shared" si="9"/>
        <v>-0.4238312732</v>
      </c>
      <c r="T1006" s="4">
        <f t="shared" si="10"/>
        <v>45</v>
      </c>
      <c r="U1006" s="4">
        <f t="shared" si="1"/>
        <v>-0.4238312732</v>
      </c>
      <c r="V1006" s="4"/>
    </row>
    <row r="1007">
      <c r="A1007" s="1" t="s">
        <v>16836</v>
      </c>
      <c r="B1007" s="1" t="s">
        <v>16837</v>
      </c>
      <c r="C1007" s="1" t="s">
        <v>16838</v>
      </c>
      <c r="D1007" s="1" t="s">
        <v>16810</v>
      </c>
      <c r="E1007" s="1" t="s">
        <v>16811</v>
      </c>
      <c r="F1007" s="1">
        <v>355334.0</v>
      </c>
      <c r="G1007" s="1">
        <v>17951.0</v>
      </c>
      <c r="H1007" s="1">
        <v>1215.0</v>
      </c>
      <c r="I1007" s="1">
        <v>1.08E7</v>
      </c>
      <c r="J1007" s="1" t="s">
        <v>2468</v>
      </c>
      <c r="K1007" s="5">
        <f t="shared" si="2"/>
        <v>0.0329012963</v>
      </c>
      <c r="L1007" s="6">
        <f t="shared" si="3"/>
        <v>127</v>
      </c>
      <c r="M1007" s="6">
        <f t="shared" si="4"/>
        <v>2797.905512</v>
      </c>
      <c r="N1007" s="7">
        <f t="shared" si="5"/>
        <v>0.0002590653252</v>
      </c>
      <c r="O1007" s="7"/>
      <c r="P1007" s="4">
        <f t="shared" si="6"/>
        <v>-0.2670498015</v>
      </c>
      <c r="Q1007" s="4">
        <f t="shared" si="7"/>
        <v>10</v>
      </c>
      <c r="R1007" s="4">
        <f t="shared" si="8"/>
        <v>0</v>
      </c>
      <c r="S1007" s="4">
        <f t="shared" si="9"/>
        <v>-0.2670498015</v>
      </c>
      <c r="T1007" s="4">
        <f t="shared" si="10"/>
        <v>39</v>
      </c>
      <c r="U1007" s="4">
        <f t="shared" si="1"/>
        <v>-0.2670498015</v>
      </c>
      <c r="V1007" s="4"/>
    </row>
    <row r="1008">
      <c r="A1008" s="1" t="s">
        <v>16839</v>
      </c>
      <c r="B1008" s="1" t="s">
        <v>16840</v>
      </c>
      <c r="C1008" s="1" t="s">
        <v>16841</v>
      </c>
      <c r="D1008" s="1" t="s">
        <v>16810</v>
      </c>
      <c r="E1008" s="1" t="s">
        <v>16811</v>
      </c>
      <c r="F1008" s="1">
        <v>68671.0</v>
      </c>
      <c r="G1008" s="1">
        <v>3071.0</v>
      </c>
      <c r="H1008" s="1">
        <v>133.0</v>
      </c>
      <c r="I1008" s="1">
        <v>1.08E7</v>
      </c>
      <c r="J1008" s="1" t="s">
        <v>2468</v>
      </c>
      <c r="K1008" s="5">
        <f t="shared" si="2"/>
        <v>0.006358425926</v>
      </c>
      <c r="L1008" s="6">
        <f t="shared" si="3"/>
        <v>162</v>
      </c>
      <c r="M1008" s="6">
        <f t="shared" si="4"/>
        <v>423.8950617</v>
      </c>
      <c r="N1008" s="7">
        <f t="shared" si="5"/>
        <v>0.00003924954275</v>
      </c>
      <c r="O1008" s="7"/>
      <c r="P1008" s="4">
        <f t="shared" si="6"/>
        <v>-0.4218799993</v>
      </c>
      <c r="Q1008" s="4">
        <f t="shared" si="7"/>
        <v>10</v>
      </c>
      <c r="R1008" s="4">
        <f t="shared" si="8"/>
        <v>1</v>
      </c>
      <c r="S1008" s="4">
        <f t="shared" si="9"/>
        <v>-0.4218799993</v>
      </c>
      <c r="T1008" s="4">
        <f t="shared" si="10"/>
        <v>38</v>
      </c>
      <c r="U1008" s="4">
        <f t="shared" si="1"/>
        <v>-0.4218799993</v>
      </c>
      <c r="V1008" s="4"/>
    </row>
    <row r="1009">
      <c r="A1009" s="1" t="s">
        <v>16842</v>
      </c>
      <c r="B1009" s="1" t="s">
        <v>16843</v>
      </c>
      <c r="C1009" s="1" t="s">
        <v>16844</v>
      </c>
      <c r="D1009" s="1" t="s">
        <v>16810</v>
      </c>
      <c r="E1009" s="1" t="s">
        <v>16811</v>
      </c>
      <c r="F1009" s="1">
        <v>1733109.0</v>
      </c>
      <c r="G1009" s="1">
        <v>41754.0</v>
      </c>
      <c r="H1009" s="1">
        <v>6776.0</v>
      </c>
      <c r="I1009" s="1">
        <v>1.08E7</v>
      </c>
      <c r="J1009" s="1" t="s">
        <v>2468</v>
      </c>
      <c r="K1009" s="5">
        <f t="shared" si="2"/>
        <v>0.1604730556</v>
      </c>
      <c r="L1009" s="6">
        <f t="shared" si="3"/>
        <v>174</v>
      </c>
      <c r="M1009" s="6">
        <f t="shared" si="4"/>
        <v>9960.396552</v>
      </c>
      <c r="N1009" s="7">
        <f t="shared" si="5"/>
        <v>0.00092225894</v>
      </c>
      <c r="O1009" s="7"/>
      <c r="P1009" s="4">
        <f t="shared" si="6"/>
        <v>0.2000795256</v>
      </c>
      <c r="Q1009" s="4">
        <f t="shared" si="7"/>
        <v>9</v>
      </c>
      <c r="R1009" s="4">
        <f t="shared" si="8"/>
        <v>0</v>
      </c>
      <c r="S1009" s="4">
        <f t="shared" si="9"/>
        <v>0.2000795256</v>
      </c>
      <c r="T1009" s="4">
        <f t="shared" si="10"/>
        <v>33</v>
      </c>
      <c r="U1009" s="4">
        <f t="shared" si="1"/>
        <v>0.2000795256</v>
      </c>
      <c r="V1009" s="4"/>
    </row>
    <row r="1010">
      <c r="A1010" s="1" t="s">
        <v>16845</v>
      </c>
      <c r="B1010" s="1" t="s">
        <v>16846</v>
      </c>
      <c r="C1010" s="1" t="s">
        <v>16847</v>
      </c>
      <c r="D1010" s="1" t="s">
        <v>16810</v>
      </c>
      <c r="E1010" s="1" t="s">
        <v>16811</v>
      </c>
      <c r="F1010" s="1">
        <v>154567.0</v>
      </c>
      <c r="G1010" s="1">
        <v>5164.0</v>
      </c>
      <c r="H1010" s="1">
        <v>123.0</v>
      </c>
      <c r="I1010" s="1">
        <v>1.08E7</v>
      </c>
      <c r="J1010" s="1" t="s">
        <v>2468</v>
      </c>
      <c r="K1010" s="5">
        <f t="shared" si="2"/>
        <v>0.01431175926</v>
      </c>
      <c r="L1010" s="6">
        <f t="shared" si="3"/>
        <v>197</v>
      </c>
      <c r="M1010" s="6">
        <f t="shared" si="4"/>
        <v>784.6040609</v>
      </c>
      <c r="N1010" s="7">
        <f t="shared" si="5"/>
        <v>0.00007264852416</v>
      </c>
      <c r="O1010" s="7"/>
      <c r="P1010" s="4">
        <f t="shared" si="6"/>
        <v>-0.3983549783</v>
      </c>
      <c r="Q1010" s="4">
        <f t="shared" si="7"/>
        <v>8</v>
      </c>
      <c r="R1010" s="4">
        <f t="shared" si="8"/>
        <v>0</v>
      </c>
      <c r="S1010" s="4">
        <f t="shared" si="9"/>
        <v>-0.3983549783</v>
      </c>
      <c r="T1010" s="4">
        <f t="shared" si="10"/>
        <v>30</v>
      </c>
      <c r="U1010" s="4">
        <f t="shared" si="1"/>
        <v>-0.3983549783</v>
      </c>
      <c r="V1010" s="4"/>
    </row>
    <row r="1011">
      <c r="A1011" s="1" t="s">
        <v>16848</v>
      </c>
      <c r="B1011" s="1" t="s">
        <v>16849</v>
      </c>
      <c r="C1011" s="1" t="s">
        <v>16850</v>
      </c>
      <c r="D1011" s="1" t="s">
        <v>16810</v>
      </c>
      <c r="E1011" s="1" t="s">
        <v>16811</v>
      </c>
      <c r="F1011" s="1">
        <v>127418.0</v>
      </c>
      <c r="G1011" s="1">
        <v>3961.0</v>
      </c>
      <c r="H1011" s="1">
        <v>145.0</v>
      </c>
      <c r="I1011" s="1">
        <v>1.08E7</v>
      </c>
      <c r="J1011" s="1" t="s">
        <v>2468</v>
      </c>
      <c r="K1011" s="5">
        <f t="shared" si="2"/>
        <v>0.01179796296</v>
      </c>
      <c r="L1011" s="6">
        <f t="shared" si="3"/>
        <v>213</v>
      </c>
      <c r="M1011" s="6">
        <f t="shared" si="4"/>
        <v>598.2065728</v>
      </c>
      <c r="N1011" s="7">
        <f t="shared" si="5"/>
        <v>0.00005538949748</v>
      </c>
      <c r="O1011" s="7"/>
      <c r="P1011" s="4">
        <f t="shared" si="6"/>
        <v>-0.4105116055</v>
      </c>
      <c r="Q1011" s="4">
        <f t="shared" si="7"/>
        <v>4</v>
      </c>
      <c r="R1011" s="4">
        <f t="shared" si="8"/>
        <v>0</v>
      </c>
      <c r="S1011" s="4">
        <f t="shared" si="9"/>
        <v>-0.4105116055</v>
      </c>
      <c r="T1011" s="4">
        <f t="shared" si="10"/>
        <v>16</v>
      </c>
      <c r="U1011" s="4">
        <f t="shared" si="1"/>
        <v>-0.4105116055</v>
      </c>
      <c r="V1011" s="4"/>
    </row>
    <row r="1012">
      <c r="A1012" s="1" t="s">
        <v>16851</v>
      </c>
      <c r="B1012" s="1" t="s">
        <v>16852</v>
      </c>
      <c r="C1012" s="1" t="s">
        <v>16853</v>
      </c>
      <c r="D1012" s="1" t="s">
        <v>16810</v>
      </c>
      <c r="E1012" s="1" t="s">
        <v>16811</v>
      </c>
      <c r="F1012" s="1">
        <v>73981.0</v>
      </c>
      <c r="G1012" s="1">
        <v>2915.0</v>
      </c>
      <c r="H1012" s="1">
        <v>72.0</v>
      </c>
      <c r="I1012" s="1">
        <v>1.08E7</v>
      </c>
      <c r="J1012" s="1" t="s">
        <v>2468</v>
      </c>
      <c r="K1012" s="5">
        <f t="shared" si="2"/>
        <v>0.006850092593</v>
      </c>
      <c r="L1012" s="6">
        <f t="shared" si="3"/>
        <v>223</v>
      </c>
      <c r="M1012" s="6">
        <f t="shared" si="4"/>
        <v>331.7533632</v>
      </c>
      <c r="N1012" s="7">
        <f t="shared" si="5"/>
        <v>0.000030717904</v>
      </c>
      <c r="O1012" s="7"/>
      <c r="P1012" s="4">
        <f t="shared" si="6"/>
        <v>-0.4278893736</v>
      </c>
      <c r="Q1012" s="4">
        <f t="shared" si="7"/>
        <v>9</v>
      </c>
      <c r="R1012" s="4">
        <f t="shared" si="8"/>
        <v>0</v>
      </c>
      <c r="S1012" s="4">
        <f t="shared" si="9"/>
        <v>-0.4278893736</v>
      </c>
      <c r="T1012" s="4">
        <f t="shared" si="10"/>
        <v>32</v>
      </c>
      <c r="U1012" s="4">
        <f t="shared" si="1"/>
        <v>-0.4278893736</v>
      </c>
      <c r="V1012" s="4"/>
    </row>
    <row r="1013">
      <c r="A1013" s="1" t="s">
        <v>16854</v>
      </c>
      <c r="B1013" s="1" t="s">
        <v>16855</v>
      </c>
      <c r="C1013" s="1" t="s">
        <v>16856</v>
      </c>
      <c r="D1013" s="1" t="s">
        <v>16810</v>
      </c>
      <c r="E1013" s="1" t="s">
        <v>16811</v>
      </c>
      <c r="F1013" s="1">
        <v>652194.0</v>
      </c>
      <c r="G1013" s="1">
        <v>40528.0</v>
      </c>
      <c r="H1013" s="1">
        <v>1491.0</v>
      </c>
      <c r="I1013" s="1">
        <v>1.08E7</v>
      </c>
      <c r="J1013" s="1" t="s">
        <v>2468</v>
      </c>
      <c r="K1013" s="5">
        <f t="shared" si="2"/>
        <v>0.06038833333</v>
      </c>
      <c r="L1013" s="6">
        <f t="shared" si="3"/>
        <v>241</v>
      </c>
      <c r="M1013" s="6">
        <f t="shared" si="4"/>
        <v>2706.19917</v>
      </c>
      <c r="N1013" s="7">
        <f t="shared" si="5"/>
        <v>0.0002505739972</v>
      </c>
      <c r="O1013" s="7"/>
      <c r="P1013" s="4">
        <f t="shared" si="6"/>
        <v>-0.2730307824</v>
      </c>
      <c r="Q1013" s="4">
        <f t="shared" si="7"/>
        <v>9</v>
      </c>
      <c r="R1013" s="4">
        <f t="shared" si="8"/>
        <v>0</v>
      </c>
      <c r="S1013" s="4">
        <f t="shared" si="9"/>
        <v>-0.2730307824</v>
      </c>
      <c r="T1013" s="4">
        <f t="shared" si="10"/>
        <v>31</v>
      </c>
      <c r="U1013" s="4">
        <f t="shared" si="1"/>
        <v>-0.2730307824</v>
      </c>
      <c r="V1013" s="4"/>
    </row>
    <row r="1014">
      <c r="A1014" s="1" t="s">
        <v>16857</v>
      </c>
      <c r="B1014" s="1" t="s">
        <v>16858</v>
      </c>
      <c r="C1014" s="1" t="s">
        <v>16859</v>
      </c>
      <c r="D1014" s="1" t="s">
        <v>16810</v>
      </c>
      <c r="E1014" s="1" t="s">
        <v>16811</v>
      </c>
      <c r="F1014" s="1">
        <v>413880.0</v>
      </c>
      <c r="G1014" s="1">
        <v>15550.0</v>
      </c>
      <c r="H1014" s="1">
        <v>1368.0</v>
      </c>
      <c r="I1014" s="1">
        <v>1.08E7</v>
      </c>
      <c r="J1014" s="1" t="s">
        <v>2468</v>
      </c>
      <c r="K1014" s="5">
        <f t="shared" si="2"/>
        <v>0.03832222222</v>
      </c>
      <c r="L1014" s="6">
        <f t="shared" si="3"/>
        <v>273</v>
      </c>
      <c r="M1014" s="6">
        <f t="shared" si="4"/>
        <v>1516.043956</v>
      </c>
      <c r="N1014" s="7">
        <f t="shared" si="5"/>
        <v>0.0001403744404</v>
      </c>
      <c r="O1014" s="7"/>
      <c r="P1014" s="4">
        <f t="shared" si="6"/>
        <v>-0.3506513199</v>
      </c>
      <c r="Q1014" s="4">
        <f t="shared" si="7"/>
        <v>8</v>
      </c>
      <c r="R1014" s="4">
        <f t="shared" si="8"/>
        <v>1</v>
      </c>
      <c r="S1014" s="4">
        <f t="shared" si="9"/>
        <v>-0.3506513199</v>
      </c>
      <c r="T1014" s="4">
        <f t="shared" si="10"/>
        <v>36</v>
      </c>
      <c r="U1014" s="4">
        <f t="shared" si="1"/>
        <v>-0.3506513199</v>
      </c>
      <c r="V1014" s="4"/>
    </row>
    <row r="1015">
      <c r="A1015" s="1" t="s">
        <v>16860</v>
      </c>
      <c r="B1015" s="1" t="s">
        <v>16861</v>
      </c>
      <c r="C1015" s="1" t="s">
        <v>16862</v>
      </c>
      <c r="D1015" s="1" t="s">
        <v>16810</v>
      </c>
      <c r="E1015" s="1" t="s">
        <v>16811</v>
      </c>
      <c r="F1015" s="1">
        <v>101722.0</v>
      </c>
      <c r="G1015" s="1">
        <v>3684.0</v>
      </c>
      <c r="H1015" s="1">
        <v>144.0</v>
      </c>
      <c r="I1015" s="1">
        <v>1.08E7</v>
      </c>
      <c r="J1015" s="1" t="s">
        <v>2468</v>
      </c>
      <c r="K1015" s="5">
        <f t="shared" si="2"/>
        <v>0.009418703704</v>
      </c>
      <c r="L1015" s="6">
        <f t="shared" si="3"/>
        <v>294</v>
      </c>
      <c r="M1015" s="6">
        <f t="shared" si="4"/>
        <v>345.9931973</v>
      </c>
      <c r="N1015" s="7">
        <f t="shared" si="5"/>
        <v>0.00003203640716</v>
      </c>
      <c r="O1015" s="7"/>
      <c r="P1015" s="4">
        <f t="shared" si="6"/>
        <v>-0.4269606682</v>
      </c>
      <c r="Q1015" s="4">
        <f t="shared" si="7"/>
        <v>3</v>
      </c>
      <c r="R1015" s="4">
        <f t="shared" si="8"/>
        <v>0</v>
      </c>
      <c r="S1015" s="4">
        <f t="shared" si="9"/>
        <v>-0.4269606682</v>
      </c>
      <c r="T1015" s="4">
        <f t="shared" si="10"/>
        <v>9</v>
      </c>
      <c r="U1015" s="4">
        <f t="shared" si="1"/>
        <v>-0.4269606682</v>
      </c>
      <c r="V1015" s="4"/>
    </row>
    <row r="1016">
      <c r="A1016" s="1" t="s">
        <v>16863</v>
      </c>
      <c r="B1016" s="1" t="s">
        <v>16864</v>
      </c>
      <c r="C1016" s="1" t="s">
        <v>16865</v>
      </c>
      <c r="D1016" s="1" t="s">
        <v>16810</v>
      </c>
      <c r="E1016" s="1" t="s">
        <v>16811</v>
      </c>
      <c r="F1016" s="1">
        <v>67455.0</v>
      </c>
      <c r="G1016" s="1">
        <v>3054.0</v>
      </c>
      <c r="H1016" s="1">
        <v>81.0</v>
      </c>
      <c r="I1016" s="1">
        <v>1.08E7</v>
      </c>
      <c r="J1016" s="1" t="s">
        <v>2468</v>
      </c>
      <c r="K1016" s="5">
        <f t="shared" si="2"/>
        <v>0.006245833333</v>
      </c>
      <c r="L1016" s="6">
        <f t="shared" si="3"/>
        <v>296</v>
      </c>
      <c r="M1016" s="6">
        <f t="shared" si="4"/>
        <v>227.8885135</v>
      </c>
      <c r="N1016" s="7">
        <f t="shared" si="5"/>
        <v>0.00002110078829</v>
      </c>
      <c r="O1016" s="7"/>
      <c r="P1016" s="4">
        <f t="shared" si="6"/>
        <v>-0.4346633182</v>
      </c>
      <c r="Q1016" s="4">
        <f t="shared" si="7"/>
        <v>17</v>
      </c>
      <c r="R1016" s="4">
        <f t="shared" si="8"/>
        <v>0</v>
      </c>
      <c r="S1016" s="4">
        <f t="shared" si="9"/>
        <v>-0.4346633182</v>
      </c>
      <c r="T1016" s="4">
        <f t="shared" si="10"/>
        <v>77</v>
      </c>
      <c r="U1016" s="4">
        <f t="shared" si="1"/>
        <v>-0.4346633182</v>
      </c>
      <c r="V1016" s="4"/>
    </row>
    <row r="1017">
      <c r="A1017" s="1" t="s">
        <v>16866</v>
      </c>
      <c r="B1017" s="1" t="s">
        <v>16867</v>
      </c>
      <c r="C1017" s="1" t="s">
        <v>16868</v>
      </c>
      <c r="D1017" s="1" t="s">
        <v>16810</v>
      </c>
      <c r="E1017" s="1" t="s">
        <v>16811</v>
      </c>
      <c r="F1017" s="1">
        <v>2473745.0</v>
      </c>
      <c r="G1017" s="1">
        <v>81900.0</v>
      </c>
      <c r="H1017" s="1">
        <v>9242.0</v>
      </c>
      <c r="I1017" s="1">
        <v>1.08E7</v>
      </c>
      <c r="J1017" s="1" t="s">
        <v>2468</v>
      </c>
      <c r="K1017" s="5">
        <f t="shared" si="2"/>
        <v>0.229050463</v>
      </c>
      <c r="L1017" s="6">
        <f t="shared" si="3"/>
        <v>301</v>
      </c>
      <c r="M1017" s="6">
        <f t="shared" si="4"/>
        <v>8218.421927</v>
      </c>
      <c r="N1017" s="7">
        <f t="shared" si="5"/>
        <v>0.0007609649932</v>
      </c>
      <c r="O1017" s="7"/>
      <c r="P1017" s="4">
        <f t="shared" si="6"/>
        <v>0.08646996858</v>
      </c>
      <c r="Q1017" s="4">
        <f t="shared" si="7"/>
        <v>7</v>
      </c>
      <c r="R1017" s="4">
        <f t="shared" si="8"/>
        <v>0</v>
      </c>
      <c r="S1017" s="4">
        <f t="shared" si="9"/>
        <v>0.08646996858</v>
      </c>
      <c r="T1017" s="4">
        <f t="shared" si="10"/>
        <v>27</v>
      </c>
      <c r="U1017" s="4">
        <f t="shared" si="1"/>
        <v>0.08646996858</v>
      </c>
      <c r="V1017" s="4"/>
    </row>
    <row r="1018">
      <c r="A1018" s="1" t="s">
        <v>16869</v>
      </c>
      <c r="B1018" s="1" t="s">
        <v>16870</v>
      </c>
      <c r="C1018" s="1" t="s">
        <v>16871</v>
      </c>
      <c r="D1018" s="1" t="s">
        <v>16810</v>
      </c>
      <c r="E1018" s="1" t="s">
        <v>16811</v>
      </c>
      <c r="F1018" s="1">
        <v>54926.0</v>
      </c>
      <c r="G1018" s="1">
        <v>1290.0</v>
      </c>
      <c r="H1018" s="1">
        <v>57.0</v>
      </c>
      <c r="I1018" s="1">
        <v>1.08E7</v>
      </c>
      <c r="J1018" s="1" t="s">
        <v>2468</v>
      </c>
      <c r="K1018" s="5">
        <f t="shared" si="2"/>
        <v>0.005085740741</v>
      </c>
      <c r="L1018" s="6">
        <f t="shared" si="3"/>
        <v>311</v>
      </c>
      <c r="M1018" s="6">
        <f t="shared" si="4"/>
        <v>176.6109325</v>
      </c>
      <c r="N1018" s="7">
        <f t="shared" si="5"/>
        <v>0.00001635286412</v>
      </c>
      <c r="O1018" s="7"/>
      <c r="P1018" s="4">
        <f t="shared" si="6"/>
        <v>-0.4380075823</v>
      </c>
      <c r="Q1018" s="4">
        <f t="shared" si="7"/>
        <v>8</v>
      </c>
      <c r="R1018" s="4">
        <f t="shared" si="8"/>
        <v>1</v>
      </c>
      <c r="S1018" s="4">
        <f t="shared" si="9"/>
        <v>-0.4380075823</v>
      </c>
      <c r="T1018" s="4">
        <f t="shared" si="10"/>
        <v>39</v>
      </c>
      <c r="U1018" s="4">
        <f t="shared" si="1"/>
        <v>-0.4380075823</v>
      </c>
      <c r="V1018" s="4"/>
    </row>
    <row r="1019">
      <c r="A1019" s="1" t="s">
        <v>16872</v>
      </c>
      <c r="B1019" s="1" t="s">
        <v>16873</v>
      </c>
      <c r="C1019" s="1" t="s">
        <v>16874</v>
      </c>
      <c r="D1019" s="1" t="s">
        <v>16810</v>
      </c>
      <c r="E1019" s="1" t="s">
        <v>16811</v>
      </c>
      <c r="F1019" s="1">
        <v>105068.0</v>
      </c>
      <c r="G1019" s="1">
        <v>3201.0</v>
      </c>
      <c r="H1019" s="1">
        <v>353.0</v>
      </c>
      <c r="I1019" s="1">
        <v>1.08E7</v>
      </c>
      <c r="J1019" s="1" t="s">
        <v>2468</v>
      </c>
      <c r="K1019" s="5">
        <f t="shared" si="2"/>
        <v>0.009728518519</v>
      </c>
      <c r="L1019" s="6">
        <f t="shared" si="3"/>
        <v>314</v>
      </c>
      <c r="M1019" s="6">
        <f t="shared" si="4"/>
        <v>334.611465</v>
      </c>
      <c r="N1019" s="7">
        <f t="shared" si="5"/>
        <v>0.00003098254305</v>
      </c>
      <c r="O1019" s="7"/>
      <c r="P1019" s="4">
        <f t="shared" si="6"/>
        <v>-0.4277029715</v>
      </c>
      <c r="Q1019" s="4">
        <f t="shared" si="7"/>
        <v>5</v>
      </c>
      <c r="R1019" s="4">
        <f t="shared" si="8"/>
        <v>0</v>
      </c>
      <c r="S1019" s="4">
        <f t="shared" si="9"/>
        <v>-0.4277029715</v>
      </c>
      <c r="T1019" s="4">
        <f t="shared" si="10"/>
        <v>23</v>
      </c>
      <c r="U1019" s="4">
        <f t="shared" si="1"/>
        <v>-0.4277029715</v>
      </c>
      <c r="V1019" s="4"/>
    </row>
    <row r="1020">
      <c r="A1020" s="1" t="s">
        <v>16875</v>
      </c>
      <c r="B1020" s="1" t="s">
        <v>16876</v>
      </c>
      <c r="C1020" s="1" t="s">
        <v>16877</v>
      </c>
      <c r="D1020" s="1" t="s">
        <v>16810</v>
      </c>
      <c r="E1020" s="1" t="s">
        <v>16811</v>
      </c>
      <c r="F1020" s="1">
        <v>96152.0</v>
      </c>
      <c r="G1020" s="1">
        <v>1721.0</v>
      </c>
      <c r="H1020" s="1">
        <v>470.0</v>
      </c>
      <c r="I1020" s="1">
        <v>1.08E7</v>
      </c>
      <c r="J1020" s="1" t="s">
        <v>2468</v>
      </c>
      <c r="K1020" s="5">
        <f t="shared" si="2"/>
        <v>0.008902962963</v>
      </c>
      <c r="L1020" s="6">
        <f t="shared" si="3"/>
        <v>318</v>
      </c>
      <c r="M1020" s="6">
        <f t="shared" si="4"/>
        <v>302.3647799</v>
      </c>
      <c r="N1020" s="7">
        <f t="shared" si="5"/>
        <v>0.00002799673888</v>
      </c>
      <c r="O1020" s="7"/>
      <c r="P1020" s="4">
        <f t="shared" si="6"/>
        <v>-0.4298060628</v>
      </c>
      <c r="Q1020" s="4">
        <f t="shared" si="7"/>
        <v>5</v>
      </c>
      <c r="R1020" s="4">
        <f t="shared" si="8"/>
        <v>1</v>
      </c>
      <c r="S1020" s="4">
        <f t="shared" si="9"/>
        <v>-0.4298060628</v>
      </c>
      <c r="T1020" s="4">
        <f t="shared" si="10"/>
        <v>19</v>
      </c>
      <c r="U1020" s="4">
        <f t="shared" si="1"/>
        <v>-0.4298060628</v>
      </c>
      <c r="V1020" s="4"/>
    </row>
    <row r="1021">
      <c r="A1021" s="1" t="s">
        <v>16878</v>
      </c>
      <c r="B1021" s="1" t="s">
        <v>16879</v>
      </c>
      <c r="C1021" s="1" t="s">
        <v>16880</v>
      </c>
      <c r="D1021" s="1" t="s">
        <v>16810</v>
      </c>
      <c r="E1021" s="1" t="s">
        <v>16811</v>
      </c>
      <c r="F1021" s="1">
        <v>308390.0</v>
      </c>
      <c r="G1021" s="1">
        <v>13021.0</v>
      </c>
      <c r="H1021" s="1">
        <v>699.0</v>
      </c>
      <c r="I1021" s="1">
        <v>1.08E7</v>
      </c>
      <c r="J1021" s="1" t="s">
        <v>2468</v>
      </c>
      <c r="K1021" s="5">
        <f t="shared" si="2"/>
        <v>0.02855462963</v>
      </c>
      <c r="L1021" s="6">
        <f t="shared" si="3"/>
        <v>321</v>
      </c>
      <c r="M1021" s="6">
        <f t="shared" si="4"/>
        <v>960.7165109</v>
      </c>
      <c r="N1021" s="7">
        <f t="shared" si="5"/>
        <v>0.00008895523249</v>
      </c>
      <c r="O1021" s="7"/>
      <c r="P1021" s="4">
        <f t="shared" si="6"/>
        <v>-0.3868691293</v>
      </c>
      <c r="Q1021" s="4">
        <f t="shared" si="7"/>
        <v>9</v>
      </c>
      <c r="R1021" s="4">
        <f t="shared" si="8"/>
        <v>0</v>
      </c>
      <c r="S1021" s="4">
        <f t="shared" si="9"/>
        <v>-0.3868691293</v>
      </c>
      <c r="T1021" s="4">
        <f t="shared" si="10"/>
        <v>39</v>
      </c>
      <c r="U1021" s="4">
        <f t="shared" si="1"/>
        <v>-0.3868691293</v>
      </c>
      <c r="V1021" s="4"/>
    </row>
    <row r="1022">
      <c r="A1022" s="1" t="s">
        <v>16881</v>
      </c>
      <c r="B1022" s="1" t="s">
        <v>16882</v>
      </c>
      <c r="C1022" s="1" t="s">
        <v>16883</v>
      </c>
      <c r="D1022" s="1" t="s">
        <v>16810</v>
      </c>
      <c r="E1022" s="1" t="s">
        <v>16811</v>
      </c>
      <c r="F1022" s="1">
        <v>40445.0</v>
      </c>
      <c r="G1022" s="1">
        <v>1559.0</v>
      </c>
      <c r="H1022" s="1">
        <v>103.0</v>
      </c>
      <c r="I1022" s="1">
        <v>1.08E7</v>
      </c>
      <c r="J1022" s="1" t="s">
        <v>2468</v>
      </c>
      <c r="K1022" s="5">
        <f t="shared" si="2"/>
        <v>0.003744907407</v>
      </c>
      <c r="L1022" s="6">
        <f t="shared" si="3"/>
        <v>323</v>
      </c>
      <c r="M1022" s="6">
        <f t="shared" si="4"/>
        <v>125.2167183</v>
      </c>
      <c r="N1022" s="7">
        <f t="shared" si="5"/>
        <v>0.00001159414058</v>
      </c>
      <c r="O1022" s="7"/>
      <c r="P1022" s="4">
        <f t="shared" si="6"/>
        <v>-0.4413594531</v>
      </c>
      <c r="Q1022" s="4">
        <f t="shared" si="7"/>
        <v>10</v>
      </c>
      <c r="R1022" s="4">
        <f t="shared" si="8"/>
        <v>1</v>
      </c>
      <c r="S1022" s="4">
        <f t="shared" si="9"/>
        <v>-0.4413594531</v>
      </c>
      <c r="T1022" s="4">
        <f t="shared" si="10"/>
        <v>53</v>
      </c>
      <c r="U1022" s="4">
        <f t="shared" si="1"/>
        <v>-0.4413594531</v>
      </c>
      <c r="V1022" s="4"/>
    </row>
    <row r="1023">
      <c r="A1023" s="1" t="s">
        <v>16884</v>
      </c>
      <c r="B1023" s="1" t="s">
        <v>16885</v>
      </c>
      <c r="C1023" s="1" t="s">
        <v>16886</v>
      </c>
      <c r="D1023" s="1" t="s">
        <v>16810</v>
      </c>
      <c r="E1023" s="1" t="s">
        <v>16811</v>
      </c>
      <c r="F1023" s="1">
        <v>59900.0</v>
      </c>
      <c r="G1023" s="1">
        <v>2500.0</v>
      </c>
      <c r="H1023" s="1">
        <v>130.0</v>
      </c>
      <c r="I1023" s="1">
        <v>1.08E7</v>
      </c>
      <c r="J1023" s="1" t="s">
        <v>2468</v>
      </c>
      <c r="K1023" s="5">
        <f t="shared" si="2"/>
        <v>0.005546296296</v>
      </c>
      <c r="L1023" s="6">
        <f t="shared" si="3"/>
        <v>324</v>
      </c>
      <c r="M1023" s="6">
        <f t="shared" si="4"/>
        <v>184.8765432</v>
      </c>
      <c r="N1023" s="7">
        <f t="shared" si="5"/>
        <v>0.00001711819845</v>
      </c>
      <c r="O1023" s="7"/>
      <c r="P1023" s="4">
        <f t="shared" si="6"/>
        <v>-0.4374685088</v>
      </c>
      <c r="Q1023" s="4">
        <f t="shared" si="7"/>
        <v>8</v>
      </c>
      <c r="R1023" s="4">
        <f t="shared" si="8"/>
        <v>0</v>
      </c>
      <c r="S1023" s="4">
        <f t="shared" si="9"/>
        <v>-0.4374685088</v>
      </c>
      <c r="T1023" s="4">
        <f t="shared" si="10"/>
        <v>49</v>
      </c>
      <c r="U1023" s="4">
        <f t="shared" si="1"/>
        <v>-0.4374685088</v>
      </c>
      <c r="V1023" s="4"/>
    </row>
    <row r="1024">
      <c r="A1024" s="1" t="s">
        <v>16887</v>
      </c>
      <c r="B1024" s="1" t="s">
        <v>16888</v>
      </c>
      <c r="C1024" s="1" t="s">
        <v>16889</v>
      </c>
      <c r="D1024" s="1" t="s">
        <v>16810</v>
      </c>
      <c r="E1024" s="1" t="s">
        <v>16811</v>
      </c>
      <c r="F1024" s="1">
        <v>57182.0</v>
      </c>
      <c r="G1024" s="1">
        <v>2827.0</v>
      </c>
      <c r="H1024" s="1">
        <v>75.0</v>
      </c>
      <c r="I1024" s="1">
        <v>1.08E7</v>
      </c>
      <c r="J1024" s="1" t="s">
        <v>2468</v>
      </c>
      <c r="K1024" s="5">
        <f t="shared" si="2"/>
        <v>0.00529462963</v>
      </c>
      <c r="L1024" s="6">
        <f t="shared" si="3"/>
        <v>329</v>
      </c>
      <c r="M1024" s="6">
        <f t="shared" si="4"/>
        <v>173.8054711</v>
      </c>
      <c r="N1024" s="7">
        <f t="shared" si="5"/>
        <v>0.00001609309918</v>
      </c>
      <c r="O1024" s="7"/>
      <c r="P1024" s="4">
        <f t="shared" si="6"/>
        <v>-0.4381905512</v>
      </c>
      <c r="Q1024" s="4">
        <f t="shared" si="7"/>
        <v>13</v>
      </c>
      <c r="R1024" s="4">
        <f t="shared" si="8"/>
        <v>0</v>
      </c>
      <c r="S1024" s="4">
        <f t="shared" si="9"/>
        <v>-0.4381905512</v>
      </c>
      <c r="T1024" s="4">
        <f t="shared" si="10"/>
        <v>66</v>
      </c>
      <c r="U1024" s="4">
        <f t="shared" si="1"/>
        <v>-0.4381905512</v>
      </c>
      <c r="V1024" s="4"/>
    </row>
    <row r="1025">
      <c r="A1025" s="1" t="s">
        <v>16890</v>
      </c>
      <c r="B1025" s="1" t="s">
        <v>16891</v>
      </c>
      <c r="C1025" s="1" t="s">
        <v>16892</v>
      </c>
      <c r="D1025" s="1" t="s">
        <v>16810</v>
      </c>
      <c r="E1025" s="1" t="s">
        <v>16811</v>
      </c>
      <c r="F1025" s="1">
        <v>62068.0</v>
      </c>
      <c r="G1025" s="1">
        <v>2105.0</v>
      </c>
      <c r="H1025" s="1">
        <v>107.0</v>
      </c>
      <c r="I1025" s="1">
        <v>1.08E7</v>
      </c>
      <c r="J1025" s="1" t="s">
        <v>2468</v>
      </c>
      <c r="K1025" s="5">
        <f t="shared" si="2"/>
        <v>0.005747037037</v>
      </c>
      <c r="L1025" s="6">
        <f t="shared" si="3"/>
        <v>330</v>
      </c>
      <c r="M1025" s="6">
        <f t="shared" si="4"/>
        <v>188.0848485</v>
      </c>
      <c r="N1025" s="7">
        <f t="shared" si="5"/>
        <v>0.00001741526375</v>
      </c>
      <c r="O1025" s="7"/>
      <c r="P1025" s="4">
        <f t="shared" si="6"/>
        <v>-0.4372592669</v>
      </c>
      <c r="Q1025" s="4">
        <f t="shared" si="7"/>
        <v>5</v>
      </c>
      <c r="R1025" s="4">
        <f t="shared" si="8"/>
        <v>0</v>
      </c>
      <c r="S1025" s="4">
        <f t="shared" si="9"/>
        <v>-0.4372592669</v>
      </c>
      <c r="T1025" s="4">
        <f t="shared" si="10"/>
        <v>17</v>
      </c>
      <c r="U1025" s="4">
        <f t="shared" si="1"/>
        <v>-0.4372592669</v>
      </c>
      <c r="V1025" s="4"/>
    </row>
    <row r="1026">
      <c r="A1026" s="1" t="s">
        <v>16893</v>
      </c>
      <c r="B1026" s="1" t="s">
        <v>16894</v>
      </c>
      <c r="C1026" s="1" t="s">
        <v>16895</v>
      </c>
      <c r="D1026" s="1" t="s">
        <v>16810</v>
      </c>
      <c r="E1026" s="1" t="s">
        <v>16811</v>
      </c>
      <c r="F1026" s="1">
        <v>51288.0</v>
      </c>
      <c r="G1026" s="1">
        <v>2226.0</v>
      </c>
      <c r="H1026" s="1">
        <v>250.0</v>
      </c>
      <c r="I1026" s="1">
        <v>1.08E7</v>
      </c>
      <c r="J1026" s="1" t="s">
        <v>2468</v>
      </c>
      <c r="K1026" s="5">
        <f t="shared" si="2"/>
        <v>0.004748888889</v>
      </c>
      <c r="L1026" s="6">
        <f t="shared" si="3"/>
        <v>339</v>
      </c>
      <c r="M1026" s="6">
        <f t="shared" si="4"/>
        <v>151.2920354</v>
      </c>
      <c r="N1026" s="7">
        <f t="shared" si="5"/>
        <v>0.0000140085218</v>
      </c>
      <c r="O1026" s="7"/>
      <c r="P1026" s="4">
        <f t="shared" si="6"/>
        <v>-0.4396588513</v>
      </c>
      <c r="Q1026" s="4">
        <f t="shared" si="7"/>
        <v>9</v>
      </c>
      <c r="R1026" s="4">
        <f t="shared" si="8"/>
        <v>1</v>
      </c>
      <c r="S1026" s="4">
        <f t="shared" si="9"/>
        <v>-0.4396588513</v>
      </c>
      <c r="T1026" s="4">
        <f t="shared" si="10"/>
        <v>55</v>
      </c>
      <c r="U1026" s="4">
        <f t="shared" si="1"/>
        <v>-0.4396588513</v>
      </c>
      <c r="V1026" s="4"/>
    </row>
    <row r="1027">
      <c r="A1027" s="1" t="s">
        <v>16896</v>
      </c>
      <c r="B1027" s="1" t="s">
        <v>16897</v>
      </c>
      <c r="C1027" s="1" t="s">
        <v>16898</v>
      </c>
      <c r="D1027" s="1" t="s">
        <v>16810</v>
      </c>
      <c r="E1027" s="1" t="s">
        <v>16811</v>
      </c>
      <c r="F1027" s="1">
        <v>52246.0</v>
      </c>
      <c r="G1027" s="1">
        <v>1674.0</v>
      </c>
      <c r="H1027" s="1">
        <v>161.0</v>
      </c>
      <c r="I1027" s="1">
        <v>1.08E7</v>
      </c>
      <c r="J1027" s="1" t="s">
        <v>2468</v>
      </c>
      <c r="K1027" s="5">
        <f t="shared" si="2"/>
        <v>0.004837592593</v>
      </c>
      <c r="L1027" s="6">
        <f t="shared" si="3"/>
        <v>342</v>
      </c>
      <c r="M1027" s="6">
        <f t="shared" si="4"/>
        <v>152.7660819</v>
      </c>
      <c r="N1027" s="7">
        <f t="shared" si="5"/>
        <v>0.00001414500758</v>
      </c>
      <c r="O1027" s="7"/>
      <c r="P1027" s="4">
        <f t="shared" si="6"/>
        <v>-0.4395627157</v>
      </c>
      <c r="Q1027" s="4">
        <f t="shared" si="7"/>
        <v>4</v>
      </c>
      <c r="R1027" s="4">
        <f t="shared" si="8"/>
        <v>0</v>
      </c>
      <c r="S1027" s="4">
        <f t="shared" si="9"/>
        <v>-0.4395627157</v>
      </c>
      <c r="T1027" s="4">
        <f t="shared" si="10"/>
        <v>16</v>
      </c>
      <c r="U1027" s="4">
        <f t="shared" si="1"/>
        <v>-0.4395627157</v>
      </c>
      <c r="V1027" s="4"/>
    </row>
    <row r="1028">
      <c r="A1028" s="1" t="s">
        <v>16899</v>
      </c>
      <c r="B1028" s="1" t="s">
        <v>16900</v>
      </c>
      <c r="C1028" s="1" t="s">
        <v>16901</v>
      </c>
      <c r="D1028" s="1" t="s">
        <v>16810</v>
      </c>
      <c r="E1028" s="1" t="s">
        <v>16811</v>
      </c>
      <c r="F1028" s="1">
        <v>236055.0</v>
      </c>
      <c r="G1028" s="1">
        <v>14278.0</v>
      </c>
      <c r="H1028" s="1">
        <v>1878.0</v>
      </c>
      <c r="I1028" s="1">
        <v>1.08E7</v>
      </c>
      <c r="J1028" s="1" t="s">
        <v>2468</v>
      </c>
      <c r="K1028" s="5">
        <f t="shared" si="2"/>
        <v>0.02185694444</v>
      </c>
      <c r="L1028" s="6">
        <f t="shared" si="3"/>
        <v>345</v>
      </c>
      <c r="M1028" s="6">
        <f t="shared" si="4"/>
        <v>684.2173913</v>
      </c>
      <c r="N1028" s="7">
        <f t="shared" si="5"/>
        <v>0.00006335346216</v>
      </c>
      <c r="O1028" s="7"/>
      <c r="P1028" s="4">
        <f t="shared" si="6"/>
        <v>-0.40490208</v>
      </c>
      <c r="Q1028" s="4">
        <f t="shared" si="7"/>
        <v>5</v>
      </c>
      <c r="R1028" s="4">
        <f t="shared" si="8"/>
        <v>1</v>
      </c>
      <c r="S1028" s="4">
        <f t="shared" si="9"/>
        <v>-0.40490208</v>
      </c>
      <c r="T1028" s="4">
        <f t="shared" si="10"/>
        <v>35</v>
      </c>
      <c r="U1028" s="4">
        <f t="shared" si="1"/>
        <v>-0.40490208</v>
      </c>
      <c r="V1028" s="4"/>
    </row>
    <row r="1029">
      <c r="A1029" s="1" t="s">
        <v>16902</v>
      </c>
      <c r="B1029" s="1" t="s">
        <v>16903</v>
      </c>
      <c r="C1029" s="1" t="s">
        <v>16904</v>
      </c>
      <c r="D1029" s="1" t="s">
        <v>16810</v>
      </c>
      <c r="E1029" s="1" t="s">
        <v>16811</v>
      </c>
      <c r="F1029" s="1">
        <v>47388.0</v>
      </c>
      <c r="G1029" s="1">
        <v>2599.0</v>
      </c>
      <c r="H1029" s="1">
        <v>185.0</v>
      </c>
      <c r="I1029" s="1">
        <v>1.08E7</v>
      </c>
      <c r="J1029" s="1" t="s">
        <v>2468</v>
      </c>
      <c r="K1029" s="5">
        <f t="shared" si="2"/>
        <v>0.004387777778</v>
      </c>
      <c r="L1029" s="6">
        <f t="shared" si="3"/>
        <v>349</v>
      </c>
      <c r="M1029" s="6">
        <f t="shared" si="4"/>
        <v>135.782235</v>
      </c>
      <c r="N1029" s="7">
        <f t="shared" si="5"/>
        <v>0.00001257242916</v>
      </c>
      <c r="O1029" s="7"/>
      <c r="P1029" s="4">
        <f t="shared" si="6"/>
        <v>-0.4406703824</v>
      </c>
      <c r="Q1029" s="4">
        <f t="shared" si="7"/>
        <v>4</v>
      </c>
      <c r="R1029" s="4">
        <f t="shared" si="8"/>
        <v>1</v>
      </c>
      <c r="S1029" s="4">
        <f t="shared" si="9"/>
        <v>-0.4406703824</v>
      </c>
      <c r="T1029" s="4">
        <f t="shared" si="10"/>
        <v>14</v>
      </c>
      <c r="U1029" s="4">
        <f t="shared" si="1"/>
        <v>-0.4406703824</v>
      </c>
      <c r="V1029" s="4"/>
    </row>
    <row r="1030">
      <c r="A1030" s="1" t="s">
        <v>16905</v>
      </c>
      <c r="B1030" s="1" t="s">
        <v>16906</v>
      </c>
      <c r="C1030" s="1" t="s">
        <v>16907</v>
      </c>
      <c r="D1030" s="1" t="s">
        <v>16810</v>
      </c>
      <c r="E1030" s="1" t="s">
        <v>16811</v>
      </c>
      <c r="F1030" s="1">
        <v>291992.0</v>
      </c>
      <c r="G1030" s="1">
        <v>18124.0</v>
      </c>
      <c r="H1030" s="1">
        <v>3590.0</v>
      </c>
      <c r="I1030" s="1">
        <v>1.08E7</v>
      </c>
      <c r="J1030" s="1" t="s">
        <v>2468</v>
      </c>
      <c r="K1030" s="5">
        <f t="shared" si="2"/>
        <v>0.0270362963</v>
      </c>
      <c r="L1030" s="6">
        <f t="shared" si="3"/>
        <v>353</v>
      </c>
      <c r="M1030" s="6">
        <f t="shared" si="4"/>
        <v>827.1728045</v>
      </c>
      <c r="N1030" s="7">
        <f t="shared" si="5"/>
        <v>0.00007659007449</v>
      </c>
      <c r="O1030" s="7"/>
      <c r="P1030" s="4">
        <f t="shared" si="6"/>
        <v>-0.3955786944</v>
      </c>
      <c r="Q1030" s="4">
        <f t="shared" si="7"/>
        <v>3</v>
      </c>
      <c r="R1030" s="4">
        <f t="shared" si="8"/>
        <v>0</v>
      </c>
      <c r="S1030" s="4">
        <f t="shared" si="9"/>
        <v>-0.3955786944</v>
      </c>
      <c r="T1030" s="4">
        <f t="shared" si="10"/>
        <v>19</v>
      </c>
      <c r="U1030" s="4">
        <f t="shared" si="1"/>
        <v>-0.3955786944</v>
      </c>
      <c r="V1030" s="4"/>
    </row>
    <row r="1031">
      <c r="A1031" s="1" t="s">
        <v>16908</v>
      </c>
      <c r="B1031" s="1" t="s">
        <v>16909</v>
      </c>
      <c r="C1031" s="1" t="s">
        <v>16910</v>
      </c>
      <c r="D1031" s="1" t="s">
        <v>16810</v>
      </c>
      <c r="E1031" s="1" t="s">
        <v>16811</v>
      </c>
      <c r="F1031" s="1">
        <v>51835.0</v>
      </c>
      <c r="G1031" s="1">
        <v>2089.0</v>
      </c>
      <c r="H1031" s="1">
        <v>70.0</v>
      </c>
      <c r="I1031" s="1">
        <v>1.08E7</v>
      </c>
      <c r="J1031" s="1" t="s">
        <v>2468</v>
      </c>
      <c r="K1031" s="5">
        <f t="shared" si="2"/>
        <v>0.004799537037</v>
      </c>
      <c r="L1031" s="6">
        <f t="shared" si="3"/>
        <v>409</v>
      </c>
      <c r="M1031" s="6">
        <f t="shared" si="4"/>
        <v>126.7359413</v>
      </c>
      <c r="N1031" s="7">
        <f t="shared" si="5"/>
        <v>0.00001173480938</v>
      </c>
      <c r="O1031" s="7"/>
      <c r="P1031" s="4">
        <f t="shared" si="6"/>
        <v>-0.4412603712</v>
      </c>
      <c r="Q1031" s="4">
        <f t="shared" si="7"/>
        <v>10</v>
      </c>
      <c r="R1031" s="4">
        <f t="shared" si="8"/>
        <v>0</v>
      </c>
      <c r="S1031" s="4">
        <f t="shared" si="9"/>
        <v>-0.4412603712</v>
      </c>
      <c r="T1031" s="4">
        <f t="shared" si="10"/>
        <v>34</v>
      </c>
      <c r="U1031" s="4">
        <f t="shared" si="1"/>
        <v>-0.4412603712</v>
      </c>
      <c r="V1031" s="4"/>
    </row>
    <row r="1032">
      <c r="A1032" s="1" t="s">
        <v>16911</v>
      </c>
      <c r="B1032" s="1" t="s">
        <v>16912</v>
      </c>
      <c r="C1032" s="1" t="s">
        <v>16913</v>
      </c>
      <c r="D1032" s="1" t="s">
        <v>16810</v>
      </c>
      <c r="E1032" s="1" t="s">
        <v>16811</v>
      </c>
      <c r="F1032" s="1">
        <v>95899.0</v>
      </c>
      <c r="G1032" s="1">
        <v>4265.0</v>
      </c>
      <c r="H1032" s="1">
        <v>138.0</v>
      </c>
      <c r="I1032" s="1">
        <v>1.08E7</v>
      </c>
      <c r="J1032" s="1" t="s">
        <v>2468</v>
      </c>
      <c r="K1032" s="5">
        <f t="shared" si="2"/>
        <v>0.008879537037</v>
      </c>
      <c r="L1032" s="6">
        <f t="shared" si="3"/>
        <v>412</v>
      </c>
      <c r="M1032" s="6">
        <f t="shared" si="4"/>
        <v>232.7645631</v>
      </c>
      <c r="N1032" s="7">
        <f t="shared" si="5"/>
        <v>0.00002155227436</v>
      </c>
      <c r="O1032" s="7"/>
      <c r="P1032" s="4">
        <f t="shared" si="6"/>
        <v>-0.4343453079</v>
      </c>
      <c r="Q1032" s="4">
        <f t="shared" si="7"/>
        <v>5</v>
      </c>
      <c r="R1032" s="4">
        <f t="shared" si="8"/>
        <v>0</v>
      </c>
      <c r="S1032" s="4">
        <f t="shared" si="9"/>
        <v>-0.4343453079</v>
      </c>
      <c r="T1032" s="4">
        <f t="shared" si="10"/>
        <v>25</v>
      </c>
      <c r="U1032" s="4">
        <f t="shared" si="1"/>
        <v>-0.4343453079</v>
      </c>
      <c r="V1032" s="4"/>
    </row>
    <row r="1033">
      <c r="A1033" s="1" t="s">
        <v>16914</v>
      </c>
      <c r="B1033" s="1" t="s">
        <v>16915</v>
      </c>
      <c r="C1033" s="1" t="s">
        <v>16916</v>
      </c>
      <c r="D1033" s="1" t="s">
        <v>16810</v>
      </c>
      <c r="E1033" s="1" t="s">
        <v>16811</v>
      </c>
      <c r="F1033" s="1">
        <v>430778.0</v>
      </c>
      <c r="G1033" s="1">
        <v>17513.0</v>
      </c>
      <c r="H1033" s="1">
        <v>1476.0</v>
      </c>
      <c r="I1033" s="1">
        <v>1.08E7</v>
      </c>
      <c r="J1033" s="1" t="s">
        <v>2468</v>
      </c>
      <c r="K1033" s="5">
        <f t="shared" si="2"/>
        <v>0.03988685185</v>
      </c>
      <c r="L1033" s="6">
        <f t="shared" si="3"/>
        <v>413</v>
      </c>
      <c r="M1033" s="6">
        <f t="shared" si="4"/>
        <v>1043.046005</v>
      </c>
      <c r="N1033" s="7">
        <f t="shared" si="5"/>
        <v>0.00009657833378</v>
      </c>
      <c r="O1033" s="7"/>
      <c r="P1033" s="4">
        <f t="shared" si="6"/>
        <v>-0.3814996956</v>
      </c>
      <c r="Q1033" s="4">
        <f t="shared" si="7"/>
        <v>5</v>
      </c>
      <c r="R1033" s="4">
        <f t="shared" si="8"/>
        <v>0</v>
      </c>
      <c r="S1033" s="4">
        <f t="shared" si="9"/>
        <v>-0.3814996956</v>
      </c>
      <c r="T1033" s="4">
        <f t="shared" si="10"/>
        <v>17</v>
      </c>
      <c r="U1033" s="4">
        <f t="shared" si="1"/>
        <v>-0.3814996956</v>
      </c>
      <c r="V1033" s="4"/>
    </row>
    <row r="1034">
      <c r="A1034" s="1" t="s">
        <v>16917</v>
      </c>
      <c r="B1034" s="1" t="s">
        <v>16918</v>
      </c>
      <c r="C1034" s="1" t="s">
        <v>16919</v>
      </c>
      <c r="D1034" s="1" t="s">
        <v>16810</v>
      </c>
      <c r="E1034" s="1" t="s">
        <v>16811</v>
      </c>
      <c r="F1034" s="1">
        <v>101739.0</v>
      </c>
      <c r="G1034" s="1">
        <v>1758.0</v>
      </c>
      <c r="H1034" s="1">
        <v>123.0</v>
      </c>
      <c r="I1034" s="1">
        <v>1.08E7</v>
      </c>
      <c r="J1034" s="1" t="s">
        <v>2468</v>
      </c>
      <c r="K1034" s="5">
        <f t="shared" si="2"/>
        <v>0.009420277778</v>
      </c>
      <c r="L1034" s="6">
        <f t="shared" si="3"/>
        <v>421</v>
      </c>
      <c r="M1034" s="6">
        <f t="shared" si="4"/>
        <v>241.6603325</v>
      </c>
      <c r="N1034" s="7">
        <f t="shared" si="5"/>
        <v>0.00002237595672</v>
      </c>
      <c r="O1034" s="7"/>
      <c r="P1034" s="4">
        <f t="shared" si="6"/>
        <v>-0.4337651362</v>
      </c>
      <c r="Q1034" s="4">
        <f t="shared" si="7"/>
        <v>6</v>
      </c>
      <c r="R1034" s="4">
        <f t="shared" si="8"/>
        <v>0</v>
      </c>
      <c r="S1034" s="4">
        <f t="shared" si="9"/>
        <v>-0.4337651362</v>
      </c>
      <c r="T1034" s="4">
        <f t="shared" si="10"/>
        <v>29</v>
      </c>
      <c r="U1034" s="4">
        <f t="shared" si="1"/>
        <v>-0.4337651362</v>
      </c>
      <c r="V1034" s="4"/>
    </row>
    <row r="1035">
      <c r="A1035" s="1" t="s">
        <v>16920</v>
      </c>
      <c r="B1035" s="1" t="s">
        <v>16921</v>
      </c>
      <c r="C1035" s="1" t="s">
        <v>16922</v>
      </c>
      <c r="D1035" s="1" t="s">
        <v>16810</v>
      </c>
      <c r="E1035" s="1" t="s">
        <v>16811</v>
      </c>
      <c r="F1035" s="1">
        <v>88178.0</v>
      </c>
      <c r="G1035" s="1">
        <v>4172.0</v>
      </c>
      <c r="H1035" s="1">
        <v>402.0</v>
      </c>
      <c r="I1035" s="1">
        <v>1.08E7</v>
      </c>
      <c r="J1035" s="1" t="s">
        <v>2468</v>
      </c>
      <c r="K1035" s="5">
        <f t="shared" si="2"/>
        <v>0.00816462963</v>
      </c>
      <c r="L1035" s="6">
        <f t="shared" si="3"/>
        <v>422</v>
      </c>
      <c r="M1035" s="6">
        <f t="shared" si="4"/>
        <v>208.9526066</v>
      </c>
      <c r="N1035" s="7">
        <f t="shared" si="5"/>
        <v>0.00001934746358</v>
      </c>
      <c r="O1035" s="7"/>
      <c r="P1035" s="4">
        <f t="shared" si="6"/>
        <v>-0.435898296</v>
      </c>
      <c r="Q1035" s="4">
        <f t="shared" si="7"/>
        <v>5</v>
      </c>
      <c r="R1035" s="4">
        <f t="shared" si="8"/>
        <v>0</v>
      </c>
      <c r="S1035" s="4">
        <f t="shared" si="9"/>
        <v>-0.435898296</v>
      </c>
      <c r="T1035" s="4">
        <f t="shared" si="10"/>
        <v>21</v>
      </c>
      <c r="U1035" s="4">
        <f t="shared" si="1"/>
        <v>-0.435898296</v>
      </c>
      <c r="V1035" s="4"/>
    </row>
    <row r="1036">
      <c r="A1036" s="1" t="s">
        <v>16923</v>
      </c>
      <c r="B1036" s="1" t="s">
        <v>16924</v>
      </c>
      <c r="C1036" s="1" t="s">
        <v>16925</v>
      </c>
      <c r="D1036" s="1" t="s">
        <v>16810</v>
      </c>
      <c r="E1036" s="1" t="s">
        <v>16811</v>
      </c>
      <c r="F1036" s="1">
        <v>119831.0</v>
      </c>
      <c r="G1036" s="1">
        <v>4392.0</v>
      </c>
      <c r="H1036" s="1">
        <v>300.0</v>
      </c>
      <c r="I1036" s="1">
        <v>1.08E7</v>
      </c>
      <c r="J1036" s="1" t="s">
        <v>2468</v>
      </c>
      <c r="K1036" s="5">
        <f t="shared" si="2"/>
        <v>0.01109546296</v>
      </c>
      <c r="L1036" s="6">
        <f t="shared" si="3"/>
        <v>427</v>
      </c>
      <c r="M1036" s="6">
        <f t="shared" si="4"/>
        <v>280.6346604</v>
      </c>
      <c r="N1036" s="7">
        <f t="shared" si="5"/>
        <v>0.00002598469078</v>
      </c>
      <c r="O1036" s="7"/>
      <c r="P1036" s="4">
        <f t="shared" si="6"/>
        <v>-0.4312232759</v>
      </c>
      <c r="Q1036" s="4">
        <f t="shared" si="7"/>
        <v>8</v>
      </c>
      <c r="R1036" s="4">
        <f t="shared" si="8"/>
        <v>0</v>
      </c>
      <c r="S1036" s="4">
        <f t="shared" si="9"/>
        <v>-0.4312232759</v>
      </c>
      <c r="T1036" s="4">
        <f t="shared" si="10"/>
        <v>29</v>
      </c>
      <c r="U1036" s="4">
        <f t="shared" si="1"/>
        <v>-0.4312232759</v>
      </c>
      <c r="V1036" s="4"/>
    </row>
    <row r="1037">
      <c r="A1037" s="1" t="s">
        <v>16926</v>
      </c>
      <c r="B1037" s="1" t="s">
        <v>16927</v>
      </c>
      <c r="C1037" s="1" t="s">
        <v>16928</v>
      </c>
      <c r="D1037" s="1" t="s">
        <v>16810</v>
      </c>
      <c r="E1037" s="1" t="s">
        <v>16811</v>
      </c>
      <c r="F1037" s="1">
        <v>798935.0</v>
      </c>
      <c r="G1037" s="1">
        <v>37106.0</v>
      </c>
      <c r="H1037" s="1">
        <v>7142.0</v>
      </c>
      <c r="I1037" s="1">
        <v>1.08E7</v>
      </c>
      <c r="J1037" s="1" t="s">
        <v>2468</v>
      </c>
      <c r="K1037" s="5">
        <f t="shared" si="2"/>
        <v>0.07397546296</v>
      </c>
      <c r="L1037" s="6">
        <f t="shared" si="3"/>
        <v>433</v>
      </c>
      <c r="M1037" s="6">
        <f t="shared" si="4"/>
        <v>1845.115473</v>
      </c>
      <c r="N1037" s="7">
        <f t="shared" si="5"/>
        <v>0.0001708440253</v>
      </c>
      <c r="O1037" s="7"/>
      <c r="P1037" s="4">
        <f t="shared" si="6"/>
        <v>-0.3291896586</v>
      </c>
      <c r="Q1037" s="4">
        <f t="shared" si="7"/>
        <v>6</v>
      </c>
      <c r="R1037" s="4">
        <f t="shared" si="8"/>
        <v>0</v>
      </c>
      <c r="S1037" s="4">
        <f t="shared" si="9"/>
        <v>-0.3291896586</v>
      </c>
      <c r="T1037" s="4">
        <f t="shared" si="10"/>
        <v>31</v>
      </c>
      <c r="U1037" s="4">
        <f t="shared" si="1"/>
        <v>-0.3291896586</v>
      </c>
      <c r="V1037" s="4"/>
    </row>
    <row r="1038">
      <c r="A1038" s="1" t="s">
        <v>16929</v>
      </c>
      <c r="B1038" s="1" t="s">
        <v>16930</v>
      </c>
      <c r="C1038" s="1" t="s">
        <v>16931</v>
      </c>
      <c r="D1038" s="1" t="s">
        <v>16810</v>
      </c>
      <c r="E1038" s="1" t="s">
        <v>16811</v>
      </c>
      <c r="F1038" s="1">
        <v>98692.0</v>
      </c>
      <c r="G1038" s="1">
        <v>5152.0</v>
      </c>
      <c r="H1038" s="1">
        <v>158.0</v>
      </c>
      <c r="I1038" s="1">
        <v>1.08E7</v>
      </c>
      <c r="J1038" s="1" t="s">
        <v>2468</v>
      </c>
      <c r="K1038" s="5">
        <f t="shared" si="2"/>
        <v>0.009138148148</v>
      </c>
      <c r="L1038" s="6">
        <f t="shared" si="3"/>
        <v>442</v>
      </c>
      <c r="M1038" s="6">
        <f t="shared" si="4"/>
        <v>223.2850679</v>
      </c>
      <c r="N1038" s="7">
        <f t="shared" si="5"/>
        <v>0.00002067454332</v>
      </c>
      <c r="O1038" s="7"/>
      <c r="P1038" s="4">
        <f t="shared" si="6"/>
        <v>-0.4349635495</v>
      </c>
      <c r="Q1038" s="4">
        <f t="shared" si="7"/>
        <v>5</v>
      </c>
      <c r="R1038" s="4">
        <f t="shared" si="8"/>
        <v>1</v>
      </c>
      <c r="S1038" s="4">
        <f t="shared" si="9"/>
        <v>-0.4349635495</v>
      </c>
      <c r="T1038" s="4">
        <f t="shared" si="10"/>
        <v>25</v>
      </c>
      <c r="U1038" s="4">
        <f t="shared" si="1"/>
        <v>-0.4349635495</v>
      </c>
      <c r="V1038" s="4"/>
    </row>
    <row r="1039">
      <c r="A1039" s="1" t="s">
        <v>16932</v>
      </c>
      <c r="B1039" s="1" t="s">
        <v>16933</v>
      </c>
      <c r="C1039" s="1" t="s">
        <v>16934</v>
      </c>
      <c r="D1039" s="1" t="s">
        <v>16810</v>
      </c>
      <c r="E1039" s="1" t="s">
        <v>16811</v>
      </c>
      <c r="F1039" s="1">
        <v>75774.0</v>
      </c>
      <c r="G1039" s="1">
        <v>5530.0</v>
      </c>
      <c r="H1039" s="1">
        <v>142.0</v>
      </c>
      <c r="I1039" s="1">
        <v>1.08E7</v>
      </c>
      <c r="J1039" s="1" t="s">
        <v>2468</v>
      </c>
      <c r="K1039" s="5">
        <f t="shared" si="2"/>
        <v>0.007016111111</v>
      </c>
      <c r="L1039" s="6">
        <f t="shared" si="3"/>
        <v>444</v>
      </c>
      <c r="M1039" s="6">
        <f t="shared" si="4"/>
        <v>170.6621622</v>
      </c>
      <c r="N1039" s="7">
        <f t="shared" si="5"/>
        <v>0.00001580205205</v>
      </c>
      <c r="O1039" s="7"/>
      <c r="P1039" s="4">
        <f t="shared" si="6"/>
        <v>-0.4383955542</v>
      </c>
      <c r="Q1039" s="4">
        <f t="shared" si="7"/>
        <v>8</v>
      </c>
      <c r="R1039" s="4">
        <f t="shared" si="8"/>
        <v>0</v>
      </c>
      <c r="S1039" s="4">
        <f t="shared" si="9"/>
        <v>-0.4383955542</v>
      </c>
      <c r="T1039" s="4">
        <f t="shared" si="10"/>
        <v>42</v>
      </c>
      <c r="U1039" s="4">
        <f t="shared" si="1"/>
        <v>-0.4383955542</v>
      </c>
      <c r="V1039" s="4"/>
    </row>
    <row r="1040">
      <c r="A1040" s="1" t="s">
        <v>16935</v>
      </c>
      <c r="B1040" s="1" t="s">
        <v>16936</v>
      </c>
      <c r="C1040" s="1" t="s">
        <v>16937</v>
      </c>
      <c r="D1040" s="1" t="s">
        <v>16810</v>
      </c>
      <c r="E1040" s="1" t="s">
        <v>16811</v>
      </c>
      <c r="F1040" s="1">
        <v>185326.0</v>
      </c>
      <c r="G1040" s="1">
        <v>10841.0</v>
      </c>
      <c r="H1040" s="1">
        <v>251.0</v>
      </c>
      <c r="I1040" s="1">
        <v>1.08E7</v>
      </c>
      <c r="J1040" s="1" t="s">
        <v>2468</v>
      </c>
      <c r="K1040" s="5">
        <f t="shared" si="2"/>
        <v>0.01715981481</v>
      </c>
      <c r="L1040" s="6">
        <f t="shared" si="3"/>
        <v>451</v>
      </c>
      <c r="M1040" s="6">
        <f t="shared" si="4"/>
        <v>410.9223947</v>
      </c>
      <c r="N1040" s="7">
        <f t="shared" si="5"/>
        <v>0.00003804836988</v>
      </c>
      <c r="O1040" s="7"/>
      <c r="P1040" s="4">
        <f t="shared" si="6"/>
        <v>-0.4227260615</v>
      </c>
      <c r="Q1040" s="4">
        <f t="shared" si="7"/>
        <v>7</v>
      </c>
      <c r="R1040" s="4">
        <f t="shared" si="8"/>
        <v>3</v>
      </c>
      <c r="S1040" s="4">
        <f t="shared" si="9"/>
        <v>-0.4227260615</v>
      </c>
      <c r="T1040" s="4">
        <f t="shared" si="10"/>
        <v>32</v>
      </c>
      <c r="U1040" s="4">
        <f t="shared" si="1"/>
        <v>-0.4227260615</v>
      </c>
      <c r="V1040" s="4"/>
    </row>
    <row r="1041">
      <c r="A1041" s="1" t="s">
        <v>16938</v>
      </c>
      <c r="B1041" s="1" t="s">
        <v>16939</v>
      </c>
      <c r="C1041" s="1" t="s">
        <v>16940</v>
      </c>
      <c r="D1041" s="1" t="s">
        <v>16810</v>
      </c>
      <c r="E1041" s="1" t="s">
        <v>16811</v>
      </c>
      <c r="F1041" s="1">
        <v>787922.0</v>
      </c>
      <c r="G1041" s="1">
        <v>17929.0</v>
      </c>
      <c r="H1041" s="1">
        <v>1123.0</v>
      </c>
      <c r="I1041" s="1">
        <v>1.08E7</v>
      </c>
      <c r="J1041" s="1" t="s">
        <v>2468</v>
      </c>
      <c r="K1041" s="5">
        <f t="shared" si="2"/>
        <v>0.07295574074</v>
      </c>
      <c r="L1041" s="6">
        <f t="shared" si="3"/>
        <v>455</v>
      </c>
      <c r="M1041" s="6">
        <f t="shared" si="4"/>
        <v>1731.696703</v>
      </c>
      <c r="N1041" s="7">
        <f t="shared" si="5"/>
        <v>0.0001603422873</v>
      </c>
      <c r="O1041" s="7"/>
      <c r="P1041" s="4">
        <f t="shared" si="6"/>
        <v>-0.3365866987</v>
      </c>
      <c r="Q1041" s="4">
        <f t="shared" si="7"/>
        <v>6</v>
      </c>
      <c r="R1041" s="4">
        <f t="shared" si="8"/>
        <v>0</v>
      </c>
      <c r="S1041" s="4">
        <f t="shared" si="9"/>
        <v>-0.3365866987</v>
      </c>
      <c r="T1041" s="4">
        <f t="shared" si="10"/>
        <v>32</v>
      </c>
      <c r="U1041" s="4">
        <f t="shared" si="1"/>
        <v>-0.3365866987</v>
      </c>
      <c r="V1041" s="4"/>
    </row>
    <row r="1042">
      <c r="A1042" s="1" t="s">
        <v>16941</v>
      </c>
      <c r="B1042" s="1" t="s">
        <v>16942</v>
      </c>
      <c r="C1042" s="1" t="s">
        <v>16943</v>
      </c>
      <c r="D1042" s="1" t="s">
        <v>16810</v>
      </c>
      <c r="E1042" s="1" t="s">
        <v>16811</v>
      </c>
      <c r="F1042" s="1">
        <v>64375.0</v>
      </c>
      <c r="G1042" s="1">
        <v>2329.0</v>
      </c>
      <c r="H1042" s="1">
        <v>42.0</v>
      </c>
      <c r="I1042" s="1">
        <v>1.08E7</v>
      </c>
      <c r="J1042" s="1" t="s">
        <v>2468</v>
      </c>
      <c r="K1042" s="5">
        <f t="shared" si="2"/>
        <v>0.005960648148</v>
      </c>
      <c r="L1042" s="6">
        <f t="shared" si="3"/>
        <v>455</v>
      </c>
      <c r="M1042" s="6">
        <f t="shared" si="4"/>
        <v>141.4835165</v>
      </c>
      <c r="N1042" s="7">
        <f t="shared" si="5"/>
        <v>0.0000131003256</v>
      </c>
      <c r="O1042" s="7"/>
      <c r="P1042" s="4">
        <f t="shared" si="6"/>
        <v>-0.4402985515</v>
      </c>
      <c r="Q1042" s="4">
        <f t="shared" si="7"/>
        <v>2</v>
      </c>
      <c r="R1042" s="4">
        <f t="shared" si="8"/>
        <v>0</v>
      </c>
      <c r="S1042" s="4">
        <f t="shared" si="9"/>
        <v>-0.4402985515</v>
      </c>
      <c r="T1042" s="4">
        <f t="shared" si="10"/>
        <v>11</v>
      </c>
      <c r="U1042" s="4">
        <f t="shared" si="1"/>
        <v>-0.4402985515</v>
      </c>
      <c r="V1042" s="4"/>
    </row>
    <row r="1043">
      <c r="A1043" s="1" t="s">
        <v>16944</v>
      </c>
      <c r="B1043" s="1" t="s">
        <v>16945</v>
      </c>
      <c r="C1043" s="1" t="s">
        <v>16946</v>
      </c>
      <c r="D1043" s="1" t="s">
        <v>16810</v>
      </c>
      <c r="E1043" s="1" t="s">
        <v>16811</v>
      </c>
      <c r="F1043" s="1">
        <v>68075.0</v>
      </c>
      <c r="G1043" s="1">
        <v>2075.0</v>
      </c>
      <c r="H1043" s="1">
        <v>198.0</v>
      </c>
      <c r="I1043" s="1">
        <v>1.08E7</v>
      </c>
      <c r="J1043" s="1" t="s">
        <v>2468</v>
      </c>
      <c r="K1043" s="5">
        <f t="shared" si="2"/>
        <v>0.006303240741</v>
      </c>
      <c r="L1043" s="6">
        <f t="shared" si="3"/>
        <v>458</v>
      </c>
      <c r="M1043" s="6">
        <f t="shared" si="4"/>
        <v>148.6353712</v>
      </c>
      <c r="N1043" s="7">
        <f t="shared" si="5"/>
        <v>0.00001376253437</v>
      </c>
      <c r="O1043" s="7"/>
      <c r="P1043" s="4">
        <f t="shared" si="6"/>
        <v>-0.4398321159</v>
      </c>
      <c r="Q1043" s="4">
        <f t="shared" si="7"/>
        <v>11</v>
      </c>
      <c r="R1043" s="4">
        <f t="shared" si="8"/>
        <v>0</v>
      </c>
      <c r="S1043" s="4">
        <f t="shared" si="9"/>
        <v>-0.4398321159</v>
      </c>
      <c r="T1043" s="4">
        <f t="shared" si="10"/>
        <v>46</v>
      </c>
      <c r="U1043" s="4">
        <f t="shared" si="1"/>
        <v>-0.4398321159</v>
      </c>
      <c r="V1043" s="4"/>
    </row>
    <row r="1044">
      <c r="A1044" s="1" t="s">
        <v>16947</v>
      </c>
      <c r="B1044" s="1" t="s">
        <v>16948</v>
      </c>
      <c r="C1044" s="1" t="s">
        <v>16949</v>
      </c>
      <c r="D1044" s="1" t="s">
        <v>16810</v>
      </c>
      <c r="E1044" s="1" t="s">
        <v>16811</v>
      </c>
      <c r="F1044" s="1">
        <v>1728175.0</v>
      </c>
      <c r="G1044" s="1">
        <v>66178.0</v>
      </c>
      <c r="H1044" s="1">
        <v>1531.0</v>
      </c>
      <c r="I1044" s="1">
        <v>1.08E7</v>
      </c>
      <c r="J1044" s="1" t="s">
        <v>2468</v>
      </c>
      <c r="K1044" s="5">
        <f t="shared" si="2"/>
        <v>0.1600162037</v>
      </c>
      <c r="L1044" s="6">
        <f t="shared" si="3"/>
        <v>462</v>
      </c>
      <c r="M1044" s="6">
        <f t="shared" si="4"/>
        <v>3740.638528</v>
      </c>
      <c r="N1044" s="7">
        <f t="shared" si="5"/>
        <v>0.0003463554193</v>
      </c>
      <c r="O1044" s="7"/>
      <c r="P1044" s="4">
        <f t="shared" si="6"/>
        <v>-0.2055658517</v>
      </c>
      <c r="Q1044" s="4">
        <f t="shared" si="7"/>
        <v>4</v>
      </c>
      <c r="R1044" s="4">
        <f t="shared" si="8"/>
        <v>0</v>
      </c>
      <c r="S1044" s="4">
        <f t="shared" si="9"/>
        <v>-0.2055658517</v>
      </c>
      <c r="T1044" s="4">
        <f t="shared" si="10"/>
        <v>16</v>
      </c>
      <c r="U1044" s="4">
        <f t="shared" si="1"/>
        <v>-0.2055658517</v>
      </c>
      <c r="V1044" s="4"/>
    </row>
    <row r="1045">
      <c r="A1045" s="1" t="s">
        <v>16950</v>
      </c>
      <c r="B1045" s="1" t="s">
        <v>16951</v>
      </c>
      <c r="C1045" s="1" t="s">
        <v>16952</v>
      </c>
      <c r="D1045" s="1" t="s">
        <v>16810</v>
      </c>
      <c r="E1045" s="1" t="s">
        <v>16811</v>
      </c>
      <c r="F1045" s="1">
        <v>86464.0</v>
      </c>
      <c r="G1045" s="1">
        <v>3478.0</v>
      </c>
      <c r="H1045" s="1">
        <v>174.0</v>
      </c>
      <c r="I1045" s="1">
        <v>1.08E7</v>
      </c>
      <c r="J1045" s="1" t="s">
        <v>2468</v>
      </c>
      <c r="K1045" s="5">
        <f t="shared" si="2"/>
        <v>0.008005925926</v>
      </c>
      <c r="L1045" s="6">
        <f t="shared" si="3"/>
        <v>464</v>
      </c>
      <c r="M1045" s="6">
        <f t="shared" si="4"/>
        <v>186.3448276</v>
      </c>
      <c r="N1045" s="7">
        <f t="shared" si="5"/>
        <v>0.0000172541507</v>
      </c>
      <c r="O1045" s="7"/>
      <c r="P1045" s="4">
        <f t="shared" si="6"/>
        <v>-0.437372749</v>
      </c>
      <c r="Q1045" s="4">
        <f t="shared" si="7"/>
        <v>10</v>
      </c>
      <c r="R1045" s="4">
        <f t="shared" si="8"/>
        <v>0</v>
      </c>
      <c r="S1045" s="4">
        <f t="shared" si="9"/>
        <v>-0.437372749</v>
      </c>
      <c r="T1045" s="4">
        <f t="shared" si="10"/>
        <v>39</v>
      </c>
      <c r="U1045" s="4">
        <f t="shared" si="1"/>
        <v>-0.437372749</v>
      </c>
      <c r="V1045" s="4"/>
    </row>
    <row r="1046">
      <c r="A1046" s="1" t="s">
        <v>16953</v>
      </c>
      <c r="B1046" s="1" t="s">
        <v>16954</v>
      </c>
      <c r="C1046" s="1" t="s">
        <v>16955</v>
      </c>
      <c r="D1046" s="1" t="s">
        <v>16810</v>
      </c>
      <c r="E1046" s="1" t="s">
        <v>16811</v>
      </c>
      <c r="F1046" s="1">
        <v>83784.0</v>
      </c>
      <c r="G1046" s="1">
        <v>2767.0</v>
      </c>
      <c r="H1046" s="1">
        <v>32.0</v>
      </c>
      <c r="I1046" s="1">
        <v>1.08E7</v>
      </c>
      <c r="J1046" s="1" t="s">
        <v>2468</v>
      </c>
      <c r="K1046" s="5">
        <f t="shared" si="2"/>
        <v>0.007757777778</v>
      </c>
      <c r="L1046" s="6">
        <f t="shared" si="3"/>
        <v>465</v>
      </c>
      <c r="M1046" s="6">
        <f t="shared" si="4"/>
        <v>180.1806452</v>
      </c>
      <c r="N1046" s="7">
        <f t="shared" si="5"/>
        <v>0.00001668339307</v>
      </c>
      <c r="O1046" s="7"/>
      <c r="P1046" s="4">
        <f t="shared" si="6"/>
        <v>-0.4377747698</v>
      </c>
      <c r="Q1046" s="4">
        <f t="shared" si="7"/>
        <v>10</v>
      </c>
      <c r="R1046" s="4">
        <f t="shared" si="8"/>
        <v>0</v>
      </c>
      <c r="S1046" s="4">
        <f t="shared" si="9"/>
        <v>-0.4377747698</v>
      </c>
      <c r="T1046" s="4">
        <f t="shared" si="10"/>
        <v>36</v>
      </c>
      <c r="U1046" s="4">
        <f t="shared" si="1"/>
        <v>-0.4377747698</v>
      </c>
      <c r="V1046" s="4"/>
    </row>
    <row r="1047">
      <c r="A1047" s="1" t="s">
        <v>16956</v>
      </c>
      <c r="B1047" s="1" t="s">
        <v>16957</v>
      </c>
      <c r="C1047" s="1" t="s">
        <v>16958</v>
      </c>
      <c r="D1047" s="1" t="s">
        <v>16810</v>
      </c>
      <c r="E1047" s="1" t="s">
        <v>16811</v>
      </c>
      <c r="F1047" s="1">
        <v>122925.0</v>
      </c>
      <c r="G1047" s="1">
        <v>2951.0</v>
      </c>
      <c r="H1047" s="1">
        <v>189.0</v>
      </c>
      <c r="I1047" s="1">
        <v>1.08E7</v>
      </c>
      <c r="J1047" s="1" t="s">
        <v>2468</v>
      </c>
      <c r="K1047" s="5">
        <f t="shared" si="2"/>
        <v>0.01138194444</v>
      </c>
      <c r="L1047" s="6">
        <f t="shared" si="3"/>
        <v>467</v>
      </c>
      <c r="M1047" s="6">
        <f t="shared" si="4"/>
        <v>263.2226981</v>
      </c>
      <c r="N1047" s="7">
        <f t="shared" si="5"/>
        <v>0.00002437247204</v>
      </c>
      <c r="O1047" s="7"/>
      <c r="P1047" s="4">
        <f t="shared" si="6"/>
        <v>-0.4323588638</v>
      </c>
      <c r="Q1047" s="4">
        <f t="shared" si="7"/>
        <v>8</v>
      </c>
      <c r="R1047" s="4">
        <f t="shared" si="8"/>
        <v>2</v>
      </c>
      <c r="S1047" s="4">
        <f t="shared" si="9"/>
        <v>-0.4323588638</v>
      </c>
      <c r="T1047" s="4">
        <f t="shared" si="10"/>
        <v>36</v>
      </c>
      <c r="U1047" s="4">
        <f t="shared" si="1"/>
        <v>-0.4323588638</v>
      </c>
      <c r="V1047" s="4"/>
    </row>
    <row r="1048">
      <c r="A1048" s="1" t="s">
        <v>16959</v>
      </c>
      <c r="B1048" s="1" t="s">
        <v>16960</v>
      </c>
      <c r="C1048" s="1" t="s">
        <v>16961</v>
      </c>
      <c r="D1048" s="1" t="s">
        <v>16810</v>
      </c>
      <c r="E1048" s="1" t="s">
        <v>16811</v>
      </c>
      <c r="F1048" s="1">
        <v>65323.0</v>
      </c>
      <c r="G1048" s="1">
        <v>3355.0</v>
      </c>
      <c r="H1048" s="1">
        <v>465.0</v>
      </c>
      <c r="I1048" s="1">
        <v>1.08E7</v>
      </c>
      <c r="J1048" s="1" t="s">
        <v>2468</v>
      </c>
      <c r="K1048" s="5">
        <f t="shared" si="2"/>
        <v>0.006048425926</v>
      </c>
      <c r="L1048" s="6">
        <f t="shared" si="3"/>
        <v>470</v>
      </c>
      <c r="M1048" s="6">
        <f t="shared" si="4"/>
        <v>138.9851064</v>
      </c>
      <c r="N1048" s="7">
        <f t="shared" si="5"/>
        <v>0.00001286899133</v>
      </c>
      <c r="O1048" s="7"/>
      <c r="P1048" s="4">
        <f t="shared" si="6"/>
        <v>-0.4404614949</v>
      </c>
      <c r="Q1048" s="4">
        <f t="shared" si="7"/>
        <v>7</v>
      </c>
      <c r="R1048" s="4">
        <f t="shared" si="8"/>
        <v>1</v>
      </c>
      <c r="S1048" s="4">
        <f t="shared" si="9"/>
        <v>-0.4404614949</v>
      </c>
      <c r="T1048" s="4">
        <f t="shared" si="10"/>
        <v>24</v>
      </c>
      <c r="U1048" s="4">
        <f t="shared" si="1"/>
        <v>-0.4404614949</v>
      </c>
      <c r="V1048" s="4"/>
    </row>
    <row r="1049">
      <c r="A1049" s="1" t="s">
        <v>16962</v>
      </c>
      <c r="B1049" s="1" t="s">
        <v>16963</v>
      </c>
      <c r="C1049" s="1" t="s">
        <v>16964</v>
      </c>
      <c r="D1049" s="1" t="s">
        <v>16810</v>
      </c>
      <c r="E1049" s="1" t="s">
        <v>16811</v>
      </c>
      <c r="F1049" s="1">
        <v>1685836.0</v>
      </c>
      <c r="G1049" s="1">
        <v>43228.0</v>
      </c>
      <c r="H1049" s="1">
        <v>2386.0</v>
      </c>
      <c r="I1049" s="1">
        <v>1.08E7</v>
      </c>
      <c r="J1049" s="1" t="s">
        <v>2468</v>
      </c>
      <c r="K1049" s="5">
        <f t="shared" si="2"/>
        <v>0.1560959259</v>
      </c>
      <c r="L1049" s="6">
        <f t="shared" si="3"/>
        <v>483</v>
      </c>
      <c r="M1049" s="6">
        <f t="shared" si="4"/>
        <v>3490.343685</v>
      </c>
      <c r="N1049" s="7">
        <f t="shared" si="5"/>
        <v>0.0003231799709</v>
      </c>
      <c r="O1049" s="7"/>
      <c r="P1049" s="4">
        <f t="shared" si="6"/>
        <v>-0.22188979</v>
      </c>
      <c r="Q1049" s="4">
        <f t="shared" si="7"/>
        <v>9</v>
      </c>
      <c r="R1049" s="4">
        <f t="shared" si="8"/>
        <v>0</v>
      </c>
      <c r="S1049" s="4">
        <f t="shared" si="9"/>
        <v>-0.22188979</v>
      </c>
      <c r="T1049" s="4">
        <f t="shared" si="10"/>
        <v>33</v>
      </c>
      <c r="U1049" s="4">
        <f t="shared" si="1"/>
        <v>-0.22188979</v>
      </c>
      <c r="V1049" s="4"/>
    </row>
    <row r="1050">
      <c r="A1050" s="1" t="s">
        <v>16965</v>
      </c>
      <c r="B1050" s="1" t="s">
        <v>16966</v>
      </c>
      <c r="C1050" s="1" t="s">
        <v>16967</v>
      </c>
      <c r="D1050" s="1" t="s">
        <v>16810</v>
      </c>
      <c r="E1050" s="1" t="s">
        <v>16811</v>
      </c>
      <c r="F1050" s="1">
        <v>332875.0</v>
      </c>
      <c r="G1050" s="1">
        <v>17055.0</v>
      </c>
      <c r="H1050" s="1">
        <v>749.0</v>
      </c>
      <c r="I1050" s="1">
        <v>1.08E7</v>
      </c>
      <c r="J1050" s="1" t="s">
        <v>2468</v>
      </c>
      <c r="K1050" s="5">
        <f t="shared" si="2"/>
        <v>0.03082175926</v>
      </c>
      <c r="L1050" s="6">
        <f t="shared" si="3"/>
        <v>484</v>
      </c>
      <c r="M1050" s="6">
        <f t="shared" si="4"/>
        <v>687.7582645</v>
      </c>
      <c r="N1050" s="7">
        <f t="shared" si="5"/>
        <v>0.00006368132078</v>
      </c>
      <c r="O1050" s="7"/>
      <c r="P1050" s="4">
        <f t="shared" si="6"/>
        <v>-0.4046711484</v>
      </c>
      <c r="Q1050" s="4">
        <f t="shared" si="7"/>
        <v>14</v>
      </c>
      <c r="R1050" s="4">
        <f t="shared" si="8"/>
        <v>0</v>
      </c>
      <c r="S1050" s="4">
        <f t="shared" si="9"/>
        <v>-0.4046711484</v>
      </c>
      <c r="T1050" s="4">
        <f t="shared" si="10"/>
        <v>51</v>
      </c>
      <c r="U1050" s="4">
        <f t="shared" si="1"/>
        <v>-0.4046711484</v>
      </c>
      <c r="V1050" s="4"/>
    </row>
    <row r="1051">
      <c r="A1051" s="1" t="s">
        <v>16968</v>
      </c>
      <c r="B1051" s="1" t="s">
        <v>16969</v>
      </c>
      <c r="C1051" s="1" t="s">
        <v>16970</v>
      </c>
      <c r="D1051" s="1" t="s">
        <v>16810</v>
      </c>
      <c r="E1051" s="1" t="s">
        <v>16811</v>
      </c>
      <c r="F1051" s="1">
        <v>71770.0</v>
      </c>
      <c r="G1051" s="1">
        <v>3041.0</v>
      </c>
      <c r="H1051" s="1">
        <v>226.0</v>
      </c>
      <c r="I1051" s="1">
        <v>1.08E7</v>
      </c>
      <c r="J1051" s="1" t="s">
        <v>2468</v>
      </c>
      <c r="K1051" s="5">
        <f t="shared" si="2"/>
        <v>0.00664537037</v>
      </c>
      <c r="L1051" s="6">
        <f t="shared" si="3"/>
        <v>496</v>
      </c>
      <c r="M1051" s="6">
        <f t="shared" si="4"/>
        <v>144.6975806</v>
      </c>
      <c r="N1051" s="7">
        <f t="shared" si="5"/>
        <v>0.00001339792413</v>
      </c>
      <c r="O1051" s="7"/>
      <c r="P1051" s="4">
        <f t="shared" si="6"/>
        <v>-0.440088934</v>
      </c>
      <c r="Q1051" s="4">
        <f t="shared" si="7"/>
        <v>4</v>
      </c>
      <c r="R1051" s="4">
        <f t="shared" si="8"/>
        <v>0</v>
      </c>
      <c r="S1051" s="4">
        <f t="shared" si="9"/>
        <v>-0.440088934</v>
      </c>
      <c r="T1051" s="4">
        <f t="shared" si="10"/>
        <v>19</v>
      </c>
      <c r="U1051" s="4">
        <f t="shared" si="1"/>
        <v>-0.440088934</v>
      </c>
      <c r="V1051" s="4"/>
    </row>
    <row r="1052">
      <c r="A1052" s="1" t="s">
        <v>16971</v>
      </c>
      <c r="B1052" s="1" t="s">
        <v>16972</v>
      </c>
      <c r="C1052" s="1" t="s">
        <v>16973</v>
      </c>
      <c r="D1052" s="1" t="s">
        <v>16810</v>
      </c>
      <c r="E1052" s="1" t="s">
        <v>16811</v>
      </c>
      <c r="F1052" s="1">
        <v>56553.0</v>
      </c>
      <c r="G1052" s="1">
        <v>1747.0</v>
      </c>
      <c r="H1052" s="1">
        <v>62.0</v>
      </c>
      <c r="I1052" s="1">
        <v>1.08E7</v>
      </c>
      <c r="J1052" s="1" t="s">
        <v>2468</v>
      </c>
      <c r="K1052" s="5">
        <f t="shared" si="2"/>
        <v>0.005236388889</v>
      </c>
      <c r="L1052" s="6">
        <f t="shared" si="3"/>
        <v>498</v>
      </c>
      <c r="M1052" s="6">
        <f t="shared" si="4"/>
        <v>113.560241</v>
      </c>
      <c r="N1052" s="7">
        <f t="shared" si="5"/>
        <v>0.00001051483713</v>
      </c>
      <c r="O1052" s="7"/>
      <c r="P1052" s="4">
        <f t="shared" si="6"/>
        <v>-0.442119675</v>
      </c>
      <c r="Q1052" s="4">
        <f t="shared" si="7"/>
        <v>10</v>
      </c>
      <c r="R1052" s="4">
        <f t="shared" si="8"/>
        <v>0</v>
      </c>
      <c r="S1052" s="4">
        <f t="shared" si="9"/>
        <v>-0.442119675</v>
      </c>
      <c r="T1052" s="4">
        <f t="shared" si="10"/>
        <v>39</v>
      </c>
      <c r="U1052" s="4">
        <f t="shared" si="1"/>
        <v>-0.442119675</v>
      </c>
      <c r="V1052" s="4"/>
    </row>
    <row r="1053">
      <c r="A1053" s="1" t="s">
        <v>16974</v>
      </c>
      <c r="B1053" s="1" t="s">
        <v>16975</v>
      </c>
      <c r="C1053" s="1" t="s">
        <v>16976</v>
      </c>
      <c r="D1053" s="1" t="s">
        <v>16810</v>
      </c>
      <c r="E1053" s="1" t="s">
        <v>16811</v>
      </c>
      <c r="F1053" s="1">
        <v>234107.0</v>
      </c>
      <c r="G1053" s="1">
        <v>7310.0</v>
      </c>
      <c r="H1053" s="1">
        <v>339.0</v>
      </c>
      <c r="I1053" s="1">
        <v>1.08E7</v>
      </c>
      <c r="J1053" s="1" t="s">
        <v>2468</v>
      </c>
      <c r="K1053" s="5">
        <f t="shared" si="2"/>
        <v>0.02167657407</v>
      </c>
      <c r="L1053" s="6">
        <f t="shared" si="3"/>
        <v>504</v>
      </c>
      <c r="M1053" s="6">
        <f t="shared" si="4"/>
        <v>464.4980159</v>
      </c>
      <c r="N1053" s="7">
        <f t="shared" si="5"/>
        <v>0.00004300907554</v>
      </c>
      <c r="O1053" s="7"/>
      <c r="P1053" s="4">
        <f t="shared" si="6"/>
        <v>-0.4192319219</v>
      </c>
      <c r="Q1053" s="4">
        <f t="shared" si="7"/>
        <v>6</v>
      </c>
      <c r="R1053" s="4">
        <f t="shared" si="8"/>
        <v>1</v>
      </c>
      <c r="S1053" s="4">
        <f t="shared" si="9"/>
        <v>-0.4192319219</v>
      </c>
      <c r="T1053" s="4">
        <f t="shared" si="10"/>
        <v>22</v>
      </c>
      <c r="U1053" s="4">
        <f t="shared" si="1"/>
        <v>-0.4192319219</v>
      </c>
      <c r="V1053" s="4"/>
    </row>
    <row r="1054">
      <c r="A1054" s="1" t="s">
        <v>16977</v>
      </c>
      <c r="B1054" s="1" t="s">
        <v>16978</v>
      </c>
      <c r="C1054" s="1" t="s">
        <v>16979</v>
      </c>
      <c r="D1054" s="1" t="s">
        <v>16810</v>
      </c>
      <c r="E1054" s="1" t="s">
        <v>16811</v>
      </c>
      <c r="F1054" s="1">
        <v>134557.0</v>
      </c>
      <c r="G1054" s="1">
        <v>5337.0</v>
      </c>
      <c r="H1054" s="1">
        <v>112.0</v>
      </c>
      <c r="I1054" s="1">
        <v>1.08E7</v>
      </c>
      <c r="J1054" s="1" t="s">
        <v>2468</v>
      </c>
      <c r="K1054" s="5">
        <f t="shared" si="2"/>
        <v>0.01245898148</v>
      </c>
      <c r="L1054" s="6">
        <f t="shared" si="3"/>
        <v>516</v>
      </c>
      <c r="M1054" s="6">
        <f t="shared" si="4"/>
        <v>260.7693798</v>
      </c>
      <c r="N1054" s="7">
        <f t="shared" si="5"/>
        <v>0.00002414531295</v>
      </c>
      <c r="O1054" s="7"/>
      <c r="P1054" s="4">
        <f t="shared" si="6"/>
        <v>-0.4325188664</v>
      </c>
      <c r="Q1054" s="4">
        <f t="shared" si="7"/>
        <v>10</v>
      </c>
      <c r="R1054" s="4">
        <f t="shared" si="8"/>
        <v>1</v>
      </c>
      <c r="S1054" s="4">
        <f t="shared" si="9"/>
        <v>-0.4325188664</v>
      </c>
      <c r="T1054" s="4">
        <f t="shared" si="10"/>
        <v>38</v>
      </c>
      <c r="U1054" s="4">
        <f t="shared" si="1"/>
        <v>-0.4325188664</v>
      </c>
      <c r="V1054" s="4"/>
    </row>
    <row r="1055">
      <c r="A1055" s="1" t="s">
        <v>16980</v>
      </c>
      <c r="B1055" s="1" t="s">
        <v>16981</v>
      </c>
      <c r="C1055" s="1" t="s">
        <v>16982</v>
      </c>
      <c r="D1055" s="1" t="s">
        <v>16810</v>
      </c>
      <c r="E1055" s="1" t="s">
        <v>16811</v>
      </c>
      <c r="F1055" s="1">
        <v>824453.0</v>
      </c>
      <c r="G1055" s="1">
        <v>29728.0</v>
      </c>
      <c r="H1055" s="1">
        <v>2067.0</v>
      </c>
      <c r="I1055" s="1">
        <v>1.08E7</v>
      </c>
      <c r="J1055" s="1" t="s">
        <v>2468</v>
      </c>
      <c r="K1055" s="5">
        <f t="shared" si="2"/>
        <v>0.07633824074</v>
      </c>
      <c r="L1055" s="6">
        <f t="shared" si="3"/>
        <v>525</v>
      </c>
      <c r="M1055" s="6">
        <f t="shared" si="4"/>
        <v>1570.386667</v>
      </c>
      <c r="N1055" s="7">
        <f t="shared" si="5"/>
        <v>0.0001454061728</v>
      </c>
      <c r="O1055" s="7"/>
      <c r="P1055" s="4">
        <f t="shared" si="6"/>
        <v>-0.3471071515</v>
      </c>
      <c r="Q1055" s="4">
        <f t="shared" si="7"/>
        <v>6</v>
      </c>
      <c r="R1055" s="4">
        <f t="shared" si="8"/>
        <v>0</v>
      </c>
      <c r="S1055" s="4">
        <f t="shared" si="9"/>
        <v>-0.3471071515</v>
      </c>
      <c r="T1055" s="4">
        <f t="shared" si="10"/>
        <v>29</v>
      </c>
      <c r="U1055" s="4">
        <f t="shared" si="1"/>
        <v>-0.3471071515</v>
      </c>
      <c r="V1055" s="4"/>
    </row>
    <row r="1056">
      <c r="A1056" s="1" t="s">
        <v>16983</v>
      </c>
      <c r="B1056" s="1" t="s">
        <v>16984</v>
      </c>
      <c r="C1056" s="1" t="s">
        <v>16985</v>
      </c>
      <c r="D1056" s="1" t="s">
        <v>16810</v>
      </c>
      <c r="E1056" s="1" t="s">
        <v>16811</v>
      </c>
      <c r="F1056" s="1">
        <v>50472.0</v>
      </c>
      <c r="G1056" s="1">
        <v>3035.0</v>
      </c>
      <c r="H1056" s="1">
        <v>59.0</v>
      </c>
      <c r="I1056" s="1">
        <v>1.08E7</v>
      </c>
      <c r="J1056" s="1" t="s">
        <v>2468</v>
      </c>
      <c r="K1056" s="5">
        <f t="shared" si="2"/>
        <v>0.004673333333</v>
      </c>
      <c r="L1056" s="6">
        <f t="shared" si="3"/>
        <v>528</v>
      </c>
      <c r="M1056" s="6">
        <f t="shared" si="4"/>
        <v>95.59090909</v>
      </c>
      <c r="N1056" s="7">
        <f t="shared" si="5"/>
        <v>0.000008851010101</v>
      </c>
      <c r="O1056" s="7"/>
      <c r="P1056" s="4">
        <f t="shared" si="6"/>
        <v>-0.4432916139</v>
      </c>
      <c r="Q1056" s="4">
        <f t="shared" si="7"/>
        <v>8</v>
      </c>
      <c r="R1056" s="4">
        <f t="shared" si="8"/>
        <v>0</v>
      </c>
      <c r="S1056" s="4">
        <f t="shared" si="9"/>
        <v>-0.4432916139</v>
      </c>
      <c r="T1056" s="4">
        <f t="shared" si="10"/>
        <v>36</v>
      </c>
      <c r="U1056" s="4">
        <f t="shared" si="1"/>
        <v>-0.4432916139</v>
      </c>
      <c r="V1056" s="4"/>
    </row>
    <row r="1057">
      <c r="A1057" s="1" t="s">
        <v>16986</v>
      </c>
      <c r="B1057" s="1" t="s">
        <v>16987</v>
      </c>
      <c r="C1057" s="1" t="s">
        <v>16988</v>
      </c>
      <c r="D1057" s="1" t="s">
        <v>16810</v>
      </c>
      <c r="E1057" s="1" t="s">
        <v>16811</v>
      </c>
      <c r="F1057" s="1">
        <v>43834.0</v>
      </c>
      <c r="G1057" s="1">
        <v>2857.0</v>
      </c>
      <c r="H1057" s="1">
        <v>115.0</v>
      </c>
      <c r="I1057" s="1">
        <v>1.08E7</v>
      </c>
      <c r="J1057" s="1" t="s">
        <v>2468</v>
      </c>
      <c r="K1057" s="5">
        <f t="shared" si="2"/>
        <v>0.004058703704</v>
      </c>
      <c r="L1057" s="6">
        <f t="shared" si="3"/>
        <v>531</v>
      </c>
      <c r="M1057" s="6">
        <f t="shared" si="4"/>
        <v>82.54990584</v>
      </c>
      <c r="N1057" s="7">
        <f t="shared" si="5"/>
        <v>0.0000076435098</v>
      </c>
      <c r="O1057" s="7"/>
      <c r="P1057" s="4">
        <f t="shared" si="6"/>
        <v>-0.444142133</v>
      </c>
      <c r="Q1057" s="4">
        <f t="shared" si="7"/>
        <v>9</v>
      </c>
      <c r="R1057" s="4">
        <f t="shared" si="8"/>
        <v>0</v>
      </c>
      <c r="S1057" s="4">
        <f t="shared" si="9"/>
        <v>-0.444142133</v>
      </c>
      <c r="T1057" s="4">
        <f t="shared" si="10"/>
        <v>48</v>
      </c>
      <c r="U1057" s="4">
        <f t="shared" si="1"/>
        <v>-0.444142133</v>
      </c>
      <c r="V1057" s="4"/>
    </row>
    <row r="1058">
      <c r="A1058" s="1" t="s">
        <v>16989</v>
      </c>
      <c r="B1058" s="1" t="s">
        <v>16990</v>
      </c>
      <c r="C1058" s="1" t="s">
        <v>16991</v>
      </c>
      <c r="D1058" s="1" t="s">
        <v>16810</v>
      </c>
      <c r="E1058" s="1" t="s">
        <v>16811</v>
      </c>
      <c r="F1058" s="1">
        <v>4814822.0</v>
      </c>
      <c r="G1058" s="1">
        <v>62244.0</v>
      </c>
      <c r="H1058" s="1">
        <v>7089.0</v>
      </c>
      <c r="I1058" s="1">
        <v>1.08E7</v>
      </c>
      <c r="J1058" s="1" t="s">
        <v>2468</v>
      </c>
      <c r="K1058" s="5">
        <f t="shared" si="2"/>
        <v>0.4458168519</v>
      </c>
      <c r="L1058" s="6">
        <f t="shared" si="3"/>
        <v>539</v>
      </c>
      <c r="M1058" s="6">
        <f t="shared" si="4"/>
        <v>8932.879406</v>
      </c>
      <c r="N1058" s="7">
        <f t="shared" si="5"/>
        <v>0.0008271184635</v>
      </c>
      <c r="O1058" s="7"/>
      <c r="P1058" s="4">
        <f t="shared" si="6"/>
        <v>0.1330660536</v>
      </c>
      <c r="Q1058" s="4">
        <f t="shared" si="7"/>
        <v>9</v>
      </c>
      <c r="R1058" s="4">
        <f t="shared" si="8"/>
        <v>0</v>
      </c>
      <c r="S1058" s="4">
        <f t="shared" si="9"/>
        <v>0.1330660536</v>
      </c>
      <c r="T1058" s="4">
        <f t="shared" si="10"/>
        <v>33</v>
      </c>
      <c r="U1058" s="4">
        <f t="shared" si="1"/>
        <v>0.1330660536</v>
      </c>
      <c r="V1058" s="4"/>
    </row>
    <row r="1059">
      <c r="A1059" s="1" t="s">
        <v>16992</v>
      </c>
      <c r="B1059" s="1" t="s">
        <v>16993</v>
      </c>
      <c r="C1059" s="1" t="s">
        <v>16994</v>
      </c>
      <c r="D1059" s="1" t="s">
        <v>16810</v>
      </c>
      <c r="E1059" s="1" t="s">
        <v>16811</v>
      </c>
      <c r="F1059" s="1">
        <v>129165.0</v>
      </c>
      <c r="G1059" s="1">
        <v>7821.0</v>
      </c>
      <c r="H1059" s="1">
        <v>489.0</v>
      </c>
      <c r="I1059" s="1">
        <v>1.08E7</v>
      </c>
      <c r="J1059" s="1" t="s">
        <v>2468</v>
      </c>
      <c r="K1059" s="5">
        <f t="shared" si="2"/>
        <v>0.01195972222</v>
      </c>
      <c r="L1059" s="6">
        <f t="shared" si="3"/>
        <v>574</v>
      </c>
      <c r="M1059" s="6">
        <f t="shared" si="4"/>
        <v>225.0261324</v>
      </c>
      <c r="N1059" s="7">
        <f t="shared" si="5"/>
        <v>0.000020835753</v>
      </c>
      <c r="O1059" s="7"/>
      <c r="P1059" s="4">
        <f t="shared" si="6"/>
        <v>-0.4348499993</v>
      </c>
      <c r="Q1059" s="4">
        <f t="shared" si="7"/>
        <v>10</v>
      </c>
      <c r="R1059" s="4">
        <f t="shared" si="8"/>
        <v>0</v>
      </c>
      <c r="S1059" s="4">
        <f t="shared" si="9"/>
        <v>-0.4348499993</v>
      </c>
      <c r="T1059" s="4">
        <f t="shared" si="10"/>
        <v>46</v>
      </c>
      <c r="U1059" s="4">
        <f t="shared" si="1"/>
        <v>-0.4348499993</v>
      </c>
      <c r="V1059" s="4"/>
    </row>
    <row r="1060">
      <c r="A1060" s="1" t="s">
        <v>16995</v>
      </c>
      <c r="B1060" s="1" t="s">
        <v>16996</v>
      </c>
      <c r="C1060" s="1" t="s">
        <v>16997</v>
      </c>
      <c r="D1060" s="1" t="s">
        <v>16810</v>
      </c>
      <c r="E1060" s="1" t="s">
        <v>16811</v>
      </c>
      <c r="F1060" s="1">
        <v>39746.0</v>
      </c>
      <c r="G1060" s="1">
        <v>2368.0</v>
      </c>
      <c r="H1060" s="1">
        <v>255.0</v>
      </c>
      <c r="I1060" s="1">
        <v>1.08E7</v>
      </c>
      <c r="J1060" s="1" t="s">
        <v>2468</v>
      </c>
      <c r="K1060" s="5">
        <f t="shared" si="2"/>
        <v>0.003680185185</v>
      </c>
      <c r="L1060" s="6">
        <f t="shared" si="3"/>
        <v>581</v>
      </c>
      <c r="M1060" s="6">
        <f t="shared" si="4"/>
        <v>68.40963855</v>
      </c>
      <c r="N1060" s="7">
        <f t="shared" si="5"/>
        <v>0.000006334225792</v>
      </c>
      <c r="O1060" s="7"/>
      <c r="P1060" s="4">
        <f t="shared" si="6"/>
        <v>-0.4450643447</v>
      </c>
      <c r="Q1060" s="4">
        <f t="shared" si="7"/>
        <v>7</v>
      </c>
      <c r="R1060" s="4">
        <f t="shared" si="8"/>
        <v>0</v>
      </c>
      <c r="S1060" s="4">
        <f t="shared" si="9"/>
        <v>-0.4450643447</v>
      </c>
      <c r="T1060" s="4">
        <f t="shared" si="10"/>
        <v>21</v>
      </c>
      <c r="U1060" s="4">
        <f t="shared" si="1"/>
        <v>-0.4450643447</v>
      </c>
      <c r="V1060" s="4"/>
    </row>
    <row r="1061">
      <c r="A1061" s="1" t="s">
        <v>16998</v>
      </c>
      <c r="B1061" s="1" t="s">
        <v>16999</v>
      </c>
      <c r="C1061" s="1" t="s">
        <v>17000</v>
      </c>
      <c r="D1061" s="1" t="s">
        <v>16810</v>
      </c>
      <c r="E1061" s="1" t="s">
        <v>16811</v>
      </c>
      <c r="F1061" s="1">
        <v>317499.0</v>
      </c>
      <c r="G1061" s="1">
        <v>10180.0</v>
      </c>
      <c r="H1061" s="1">
        <v>1228.0</v>
      </c>
      <c r="I1061" s="1">
        <v>1.08E7</v>
      </c>
      <c r="J1061" s="1" t="s">
        <v>2468</v>
      </c>
      <c r="K1061" s="5">
        <f t="shared" si="2"/>
        <v>0.02939805556</v>
      </c>
      <c r="L1061" s="6">
        <f t="shared" si="3"/>
        <v>582</v>
      </c>
      <c r="M1061" s="6">
        <f t="shared" si="4"/>
        <v>545.5309278</v>
      </c>
      <c r="N1061" s="7">
        <f t="shared" si="5"/>
        <v>0.00005051212295</v>
      </c>
      <c r="O1061" s="7"/>
      <c r="P1061" s="4">
        <f t="shared" si="6"/>
        <v>-0.4139470497</v>
      </c>
      <c r="Q1061" s="4">
        <f t="shared" si="7"/>
        <v>8</v>
      </c>
      <c r="R1061" s="4">
        <f t="shared" si="8"/>
        <v>0</v>
      </c>
      <c r="S1061" s="4">
        <f t="shared" si="9"/>
        <v>-0.4139470497</v>
      </c>
      <c r="T1061" s="4">
        <f t="shared" si="10"/>
        <v>34</v>
      </c>
      <c r="U1061" s="4">
        <f t="shared" si="1"/>
        <v>-0.4139470497</v>
      </c>
      <c r="V1061" s="4"/>
    </row>
    <row r="1062">
      <c r="A1062" s="1" t="s">
        <v>17001</v>
      </c>
      <c r="B1062" s="1" t="s">
        <v>17002</v>
      </c>
      <c r="C1062" s="1" t="s">
        <v>17003</v>
      </c>
      <c r="D1062" s="1" t="s">
        <v>16810</v>
      </c>
      <c r="E1062" s="1" t="s">
        <v>16811</v>
      </c>
      <c r="F1062" s="1">
        <v>532427.0</v>
      </c>
      <c r="G1062" s="1">
        <v>19356.0</v>
      </c>
      <c r="H1062" s="1">
        <v>1487.0</v>
      </c>
      <c r="I1062" s="1">
        <v>1.08E7</v>
      </c>
      <c r="J1062" s="1" t="s">
        <v>2468</v>
      </c>
      <c r="K1062" s="5">
        <f t="shared" si="2"/>
        <v>0.0492987963</v>
      </c>
      <c r="L1062" s="6">
        <f t="shared" si="3"/>
        <v>595</v>
      </c>
      <c r="M1062" s="6">
        <f t="shared" si="4"/>
        <v>894.8352941</v>
      </c>
      <c r="N1062" s="7">
        <f t="shared" si="5"/>
        <v>0.00008285511983</v>
      </c>
      <c r="O1062" s="7"/>
      <c r="P1062" s="4">
        <f t="shared" si="6"/>
        <v>-0.3911658256</v>
      </c>
      <c r="Q1062" s="4">
        <f t="shared" si="7"/>
        <v>3</v>
      </c>
      <c r="R1062" s="4">
        <f t="shared" si="8"/>
        <v>0</v>
      </c>
      <c r="S1062" s="4">
        <f t="shared" si="9"/>
        <v>-0.3911658256</v>
      </c>
      <c r="T1062" s="4">
        <f t="shared" si="10"/>
        <v>12</v>
      </c>
      <c r="U1062" s="4">
        <f t="shared" si="1"/>
        <v>-0.3911658256</v>
      </c>
      <c r="V1062" s="4"/>
    </row>
    <row r="1063">
      <c r="A1063" s="1" t="s">
        <v>17004</v>
      </c>
      <c r="B1063" s="1" t="s">
        <v>17005</v>
      </c>
      <c r="C1063" s="1" t="s">
        <v>17006</v>
      </c>
      <c r="D1063" s="1" t="s">
        <v>16810</v>
      </c>
      <c r="E1063" s="1" t="s">
        <v>16811</v>
      </c>
      <c r="F1063" s="1">
        <v>416737.0</v>
      </c>
      <c r="G1063" s="1">
        <v>9875.0</v>
      </c>
      <c r="H1063" s="1">
        <v>682.0</v>
      </c>
      <c r="I1063" s="1">
        <v>1.08E7</v>
      </c>
      <c r="J1063" s="1" t="s">
        <v>2468</v>
      </c>
      <c r="K1063" s="5">
        <f t="shared" si="2"/>
        <v>0.03858675926</v>
      </c>
      <c r="L1063" s="6">
        <f t="shared" si="3"/>
        <v>637</v>
      </c>
      <c r="M1063" s="6">
        <f t="shared" si="4"/>
        <v>654.2182104</v>
      </c>
      <c r="N1063" s="7">
        <f t="shared" si="5"/>
        <v>0.00006057576022</v>
      </c>
      <c r="O1063" s="7"/>
      <c r="P1063" s="4">
        <f t="shared" si="6"/>
        <v>-0.4068585917</v>
      </c>
      <c r="Q1063" s="4">
        <f t="shared" si="7"/>
        <v>8</v>
      </c>
      <c r="R1063" s="4">
        <f t="shared" si="8"/>
        <v>0</v>
      </c>
      <c r="S1063" s="4">
        <f t="shared" si="9"/>
        <v>-0.4068585917</v>
      </c>
      <c r="T1063" s="4">
        <f t="shared" si="10"/>
        <v>27</v>
      </c>
      <c r="U1063" s="4">
        <f t="shared" si="1"/>
        <v>-0.4068585917</v>
      </c>
      <c r="V1063" s="4"/>
    </row>
    <row r="1064">
      <c r="A1064" s="1" t="s">
        <v>17007</v>
      </c>
      <c r="B1064" s="1" t="s">
        <v>17008</v>
      </c>
      <c r="C1064" s="1" t="s">
        <v>17009</v>
      </c>
      <c r="D1064" s="1" t="s">
        <v>16810</v>
      </c>
      <c r="E1064" s="1" t="s">
        <v>16811</v>
      </c>
      <c r="F1064" s="1">
        <v>172692.0</v>
      </c>
      <c r="G1064" s="1">
        <v>11594.0</v>
      </c>
      <c r="H1064" s="1">
        <v>927.0</v>
      </c>
      <c r="I1064" s="1">
        <v>1.08E7</v>
      </c>
      <c r="J1064" s="1" t="s">
        <v>2468</v>
      </c>
      <c r="K1064" s="5">
        <f t="shared" si="2"/>
        <v>0.01599</v>
      </c>
      <c r="L1064" s="6">
        <f t="shared" si="3"/>
        <v>644</v>
      </c>
      <c r="M1064" s="6">
        <f t="shared" si="4"/>
        <v>268.1552795</v>
      </c>
      <c r="N1064" s="7">
        <f t="shared" si="5"/>
        <v>0.00002482919255</v>
      </c>
      <c r="O1064" s="7"/>
      <c r="P1064" s="4">
        <f t="shared" si="6"/>
        <v>-0.4320371666</v>
      </c>
      <c r="Q1064" s="4">
        <f t="shared" si="7"/>
        <v>5</v>
      </c>
      <c r="R1064" s="4">
        <f t="shared" si="8"/>
        <v>0</v>
      </c>
      <c r="S1064" s="4">
        <f t="shared" si="9"/>
        <v>-0.4320371666</v>
      </c>
      <c r="T1064" s="4">
        <f t="shared" si="10"/>
        <v>19</v>
      </c>
      <c r="U1064" s="4">
        <f t="shared" si="1"/>
        <v>-0.4320371666</v>
      </c>
      <c r="V1064" s="4"/>
    </row>
    <row r="1065">
      <c r="A1065" s="1" t="s">
        <v>17010</v>
      </c>
      <c r="B1065" s="1" t="s">
        <v>17011</v>
      </c>
      <c r="C1065" s="1" t="s">
        <v>17012</v>
      </c>
      <c r="D1065" s="1" t="s">
        <v>16810</v>
      </c>
      <c r="E1065" s="1" t="s">
        <v>16811</v>
      </c>
      <c r="F1065" s="1">
        <v>36824.0</v>
      </c>
      <c r="G1065" s="1">
        <v>2116.0</v>
      </c>
      <c r="H1065" s="1">
        <v>51.0</v>
      </c>
      <c r="I1065" s="1">
        <v>1.08E7</v>
      </c>
      <c r="J1065" s="1" t="s">
        <v>2468</v>
      </c>
      <c r="K1065" s="5">
        <f t="shared" si="2"/>
        <v>0.00340962963</v>
      </c>
      <c r="L1065" s="6">
        <f t="shared" si="3"/>
        <v>653</v>
      </c>
      <c r="M1065" s="6">
        <f t="shared" si="4"/>
        <v>56.39203675</v>
      </c>
      <c r="N1065" s="7">
        <f t="shared" si="5"/>
        <v>0.000005221484885</v>
      </c>
      <c r="O1065" s="7"/>
      <c r="P1065" s="4">
        <f t="shared" si="6"/>
        <v>-0.4458481187</v>
      </c>
      <c r="Q1065" s="4">
        <f t="shared" si="7"/>
        <v>9</v>
      </c>
      <c r="R1065" s="4">
        <f t="shared" si="8"/>
        <v>0</v>
      </c>
      <c r="S1065" s="4">
        <f t="shared" si="9"/>
        <v>-0.4458481187</v>
      </c>
      <c r="T1065" s="4">
        <f t="shared" si="10"/>
        <v>38</v>
      </c>
      <c r="U1065" s="4">
        <f t="shared" si="1"/>
        <v>-0.4458481187</v>
      </c>
      <c r="V1065" s="4"/>
    </row>
    <row r="1066">
      <c r="A1066" s="1" t="s">
        <v>17013</v>
      </c>
      <c r="B1066" s="1" t="s">
        <v>17014</v>
      </c>
      <c r="C1066" s="1" t="s">
        <v>17015</v>
      </c>
      <c r="D1066" s="1" t="s">
        <v>16810</v>
      </c>
      <c r="E1066" s="1" t="s">
        <v>16811</v>
      </c>
      <c r="F1066" s="1">
        <v>51957.0</v>
      </c>
      <c r="G1066" s="1">
        <v>2424.0</v>
      </c>
      <c r="H1066" s="1">
        <v>53.0</v>
      </c>
      <c r="I1066" s="1">
        <v>1.08E7</v>
      </c>
      <c r="J1066" s="1" t="s">
        <v>2468</v>
      </c>
      <c r="K1066" s="5">
        <f t="shared" si="2"/>
        <v>0.004810833333</v>
      </c>
      <c r="L1066" s="6">
        <f t="shared" si="3"/>
        <v>666</v>
      </c>
      <c r="M1066" s="6">
        <f t="shared" si="4"/>
        <v>78.01351351</v>
      </c>
      <c r="N1066" s="7">
        <f t="shared" si="5"/>
        <v>0.000007223473473</v>
      </c>
      <c r="O1066" s="7"/>
      <c r="P1066" s="4">
        <f t="shared" si="6"/>
        <v>-0.4444379912</v>
      </c>
      <c r="Q1066" s="4">
        <f t="shared" si="7"/>
        <v>6</v>
      </c>
      <c r="R1066" s="4">
        <f t="shared" si="8"/>
        <v>0</v>
      </c>
      <c r="S1066" s="4">
        <f t="shared" si="9"/>
        <v>-0.4444379912</v>
      </c>
      <c r="T1066" s="4">
        <f t="shared" si="10"/>
        <v>23</v>
      </c>
      <c r="U1066" s="4">
        <f t="shared" si="1"/>
        <v>-0.4444379912</v>
      </c>
      <c r="V1066" s="4"/>
    </row>
    <row r="1067">
      <c r="A1067" s="1" t="s">
        <v>17016</v>
      </c>
      <c r="B1067" s="1" t="s">
        <v>17017</v>
      </c>
      <c r="C1067" s="1" t="s">
        <v>17018</v>
      </c>
      <c r="D1067" s="1" t="s">
        <v>16810</v>
      </c>
      <c r="E1067" s="1" t="s">
        <v>16811</v>
      </c>
      <c r="F1067" s="1">
        <v>873022.0</v>
      </c>
      <c r="G1067" s="1">
        <v>34067.0</v>
      </c>
      <c r="H1067" s="1">
        <v>2159.0</v>
      </c>
      <c r="I1067" s="1">
        <v>1.08E7</v>
      </c>
      <c r="J1067" s="1" t="s">
        <v>2468</v>
      </c>
      <c r="K1067" s="5">
        <f t="shared" si="2"/>
        <v>0.08083537037</v>
      </c>
      <c r="L1067" s="6">
        <f t="shared" si="3"/>
        <v>700</v>
      </c>
      <c r="M1067" s="6">
        <f t="shared" si="4"/>
        <v>1247.174286</v>
      </c>
      <c r="N1067" s="7">
        <f t="shared" si="5"/>
        <v>0.0001154791005</v>
      </c>
      <c r="O1067" s="7"/>
      <c r="P1067" s="4">
        <f t="shared" si="6"/>
        <v>-0.3681866867</v>
      </c>
      <c r="Q1067" s="4">
        <f t="shared" si="7"/>
        <v>7</v>
      </c>
      <c r="R1067" s="4">
        <f t="shared" si="8"/>
        <v>1</v>
      </c>
      <c r="S1067" s="4">
        <f t="shared" si="9"/>
        <v>-0.3681866867</v>
      </c>
      <c r="T1067" s="4">
        <f t="shared" si="10"/>
        <v>26</v>
      </c>
      <c r="U1067" s="4">
        <f t="shared" si="1"/>
        <v>-0.3681866867</v>
      </c>
      <c r="V1067" s="4"/>
    </row>
    <row r="1068">
      <c r="A1068" s="1" t="s">
        <v>17019</v>
      </c>
      <c r="B1068" s="1" t="s">
        <v>17020</v>
      </c>
      <c r="C1068" s="1" t="s">
        <v>17021</v>
      </c>
      <c r="D1068" s="1" t="s">
        <v>16810</v>
      </c>
      <c r="E1068" s="1" t="s">
        <v>16811</v>
      </c>
      <c r="F1068" s="1">
        <v>317408.0</v>
      </c>
      <c r="G1068" s="1">
        <v>12014.0</v>
      </c>
      <c r="H1068" s="1">
        <v>1456.0</v>
      </c>
      <c r="I1068" s="1">
        <v>1.08E7</v>
      </c>
      <c r="J1068" s="1" t="s">
        <v>2468</v>
      </c>
      <c r="K1068" s="5">
        <f t="shared" si="2"/>
        <v>0.02938962963</v>
      </c>
      <c r="L1068" s="6">
        <f t="shared" si="3"/>
        <v>735</v>
      </c>
      <c r="M1068" s="6">
        <f t="shared" si="4"/>
        <v>431.847619</v>
      </c>
      <c r="N1068" s="7">
        <f t="shared" si="5"/>
        <v>0.00003998589065</v>
      </c>
      <c r="O1068" s="7"/>
      <c r="P1068" s="4">
        <f t="shared" si="6"/>
        <v>-0.4213613428</v>
      </c>
      <c r="Q1068" s="4">
        <f t="shared" si="7"/>
        <v>6</v>
      </c>
      <c r="R1068" s="4">
        <f t="shared" si="8"/>
        <v>0</v>
      </c>
      <c r="S1068" s="4">
        <f t="shared" si="9"/>
        <v>-0.4213613428</v>
      </c>
      <c r="T1068" s="4">
        <f t="shared" si="10"/>
        <v>27</v>
      </c>
      <c r="U1068" s="4">
        <f t="shared" si="1"/>
        <v>-0.4213613428</v>
      </c>
      <c r="V1068" s="4"/>
    </row>
    <row r="1069">
      <c r="A1069" s="1" t="s">
        <v>17022</v>
      </c>
      <c r="B1069" s="1" t="s">
        <v>17023</v>
      </c>
      <c r="C1069" s="1" t="s">
        <v>17024</v>
      </c>
      <c r="D1069" s="1" t="s">
        <v>16810</v>
      </c>
      <c r="E1069" s="1" t="s">
        <v>16811</v>
      </c>
      <c r="F1069" s="1">
        <v>4672077.0</v>
      </c>
      <c r="G1069" s="1">
        <v>211259.0</v>
      </c>
      <c r="H1069" s="1">
        <v>9195.0</v>
      </c>
      <c r="I1069" s="1">
        <v>1.08E7</v>
      </c>
      <c r="J1069" s="1" t="s">
        <v>2468</v>
      </c>
      <c r="K1069" s="5">
        <f t="shared" si="2"/>
        <v>0.4325997222</v>
      </c>
      <c r="L1069" s="6">
        <f t="shared" si="3"/>
        <v>804</v>
      </c>
      <c r="M1069" s="6">
        <f t="shared" si="4"/>
        <v>5811.041045</v>
      </c>
      <c r="N1069" s="7">
        <f t="shared" si="5"/>
        <v>0.000538059356</v>
      </c>
      <c r="O1069" s="7"/>
      <c r="P1069" s="4">
        <f t="shared" si="6"/>
        <v>-0.07053660991</v>
      </c>
      <c r="Q1069" s="4">
        <f t="shared" si="7"/>
        <v>7</v>
      </c>
      <c r="R1069" s="4">
        <f t="shared" si="8"/>
        <v>1</v>
      </c>
      <c r="S1069" s="4">
        <f t="shared" si="9"/>
        <v>-0.07053660991</v>
      </c>
      <c r="T1069" s="4">
        <f t="shared" si="10"/>
        <v>27</v>
      </c>
      <c r="U1069" s="4">
        <f t="shared" si="1"/>
        <v>-0.07053660991</v>
      </c>
      <c r="V1069" s="4"/>
    </row>
    <row r="1070">
      <c r="A1070" s="1" t="s">
        <v>17025</v>
      </c>
      <c r="B1070" s="1" t="s">
        <v>17026</v>
      </c>
      <c r="C1070" s="1" t="s">
        <v>17027</v>
      </c>
      <c r="D1070" s="1" t="s">
        <v>16810</v>
      </c>
      <c r="E1070" s="1" t="s">
        <v>16811</v>
      </c>
      <c r="F1070" s="1">
        <v>3849786.0</v>
      </c>
      <c r="G1070" s="1">
        <v>101501.0</v>
      </c>
      <c r="H1070" s="1">
        <v>8540.0</v>
      </c>
      <c r="I1070" s="1">
        <v>1.08E7</v>
      </c>
      <c r="J1070" s="1" t="s">
        <v>2468</v>
      </c>
      <c r="K1070" s="5">
        <f t="shared" si="2"/>
        <v>0.3564616667</v>
      </c>
      <c r="L1070" s="6">
        <f t="shared" si="3"/>
        <v>874</v>
      </c>
      <c r="M1070" s="6">
        <f t="shared" si="4"/>
        <v>4404.789474</v>
      </c>
      <c r="N1070" s="7">
        <f t="shared" si="5"/>
        <v>0.0004078508772</v>
      </c>
      <c r="O1070" s="7"/>
      <c r="P1070" s="4">
        <f t="shared" si="6"/>
        <v>-0.1622507002</v>
      </c>
      <c r="Q1070" s="4">
        <f t="shared" si="7"/>
        <v>6</v>
      </c>
      <c r="R1070" s="4">
        <f t="shared" si="8"/>
        <v>0</v>
      </c>
      <c r="S1070" s="4">
        <f t="shared" si="9"/>
        <v>-0.1622507002</v>
      </c>
      <c r="T1070" s="4">
        <f t="shared" si="10"/>
        <v>27</v>
      </c>
      <c r="U1070" s="4">
        <f t="shared" si="1"/>
        <v>-0.1622507002</v>
      </c>
      <c r="V1070" s="4"/>
    </row>
    <row r="1071">
      <c r="A1071" s="1" t="s">
        <v>17028</v>
      </c>
      <c r="B1071" s="1" t="s">
        <v>17029</v>
      </c>
      <c r="C1071" s="1" t="s">
        <v>17030</v>
      </c>
      <c r="D1071" s="1" t="s">
        <v>16810</v>
      </c>
      <c r="E1071" s="1" t="s">
        <v>16811</v>
      </c>
      <c r="F1071" s="1">
        <v>1967337.0</v>
      </c>
      <c r="G1071" s="1">
        <v>51661.0</v>
      </c>
      <c r="H1071" s="1">
        <v>1286.0</v>
      </c>
      <c r="I1071" s="1">
        <v>1.08E7</v>
      </c>
      <c r="J1071" s="1" t="s">
        <v>2468</v>
      </c>
      <c r="K1071" s="5">
        <f t="shared" si="2"/>
        <v>0.1821608333</v>
      </c>
      <c r="L1071" s="6">
        <f t="shared" si="3"/>
        <v>903</v>
      </c>
      <c r="M1071" s="6">
        <f t="shared" si="4"/>
        <v>2178.667774</v>
      </c>
      <c r="N1071" s="7">
        <f t="shared" si="5"/>
        <v>0.0002017284976</v>
      </c>
      <c r="O1071" s="7"/>
      <c r="P1071" s="4">
        <f t="shared" si="6"/>
        <v>-0.3074357659</v>
      </c>
      <c r="Q1071" s="4">
        <f t="shared" si="7"/>
        <v>6</v>
      </c>
      <c r="R1071" s="4">
        <f t="shared" si="8"/>
        <v>0</v>
      </c>
      <c r="S1071" s="4">
        <f t="shared" si="9"/>
        <v>-0.3074357659</v>
      </c>
      <c r="T1071" s="4">
        <f t="shared" si="10"/>
        <v>25</v>
      </c>
      <c r="U1071" s="4">
        <f t="shared" si="1"/>
        <v>-0.3074357659</v>
      </c>
      <c r="V1071" s="4"/>
    </row>
    <row r="1072">
      <c r="A1072" s="1" t="s">
        <v>17031</v>
      </c>
      <c r="B1072" s="1" t="s">
        <v>17032</v>
      </c>
      <c r="C1072" s="1" t="s">
        <v>17033</v>
      </c>
      <c r="D1072" s="1" t="s">
        <v>16810</v>
      </c>
      <c r="E1072" s="1" t="s">
        <v>16811</v>
      </c>
      <c r="F1072" s="1">
        <v>5322920.0</v>
      </c>
      <c r="G1072" s="1">
        <v>100456.0</v>
      </c>
      <c r="H1072" s="1">
        <v>8786.0</v>
      </c>
      <c r="I1072" s="1">
        <v>1.08E7</v>
      </c>
      <c r="J1072" s="1" t="s">
        <v>2468</v>
      </c>
      <c r="K1072" s="5">
        <f t="shared" si="2"/>
        <v>0.492862963</v>
      </c>
      <c r="L1072" s="6">
        <f t="shared" si="3"/>
        <v>910</v>
      </c>
      <c r="M1072" s="6">
        <f t="shared" si="4"/>
        <v>5849.362637</v>
      </c>
      <c r="N1072" s="7">
        <f t="shared" si="5"/>
        <v>0.0005416076516</v>
      </c>
      <c r="O1072" s="7"/>
      <c r="P1072" s="4">
        <f t="shared" si="6"/>
        <v>-0.06803732026</v>
      </c>
      <c r="Q1072" s="4">
        <f t="shared" si="7"/>
        <v>9</v>
      </c>
      <c r="R1072" s="4">
        <f t="shared" si="8"/>
        <v>0</v>
      </c>
      <c r="S1072" s="4">
        <f t="shared" si="9"/>
        <v>-0.06803732026</v>
      </c>
      <c r="T1072" s="4">
        <f t="shared" si="10"/>
        <v>33</v>
      </c>
      <c r="U1072" s="4">
        <f t="shared" si="1"/>
        <v>-0.06803732026</v>
      </c>
      <c r="V1072" s="4"/>
    </row>
    <row r="1073">
      <c r="A1073" s="1" t="s">
        <v>17034</v>
      </c>
      <c r="B1073" s="1" t="s">
        <v>17035</v>
      </c>
      <c r="C1073" s="1" t="s">
        <v>17036</v>
      </c>
      <c r="D1073" s="1" t="s">
        <v>16810</v>
      </c>
      <c r="E1073" s="1" t="s">
        <v>16811</v>
      </c>
      <c r="F1073" s="1">
        <v>223795.0</v>
      </c>
      <c r="G1073" s="1">
        <v>11957.0</v>
      </c>
      <c r="H1073" s="1">
        <v>575.0</v>
      </c>
      <c r="I1073" s="1">
        <v>1.08E7</v>
      </c>
      <c r="J1073" s="1" t="s">
        <v>2468</v>
      </c>
      <c r="K1073" s="5">
        <f t="shared" si="2"/>
        <v>0.02072175926</v>
      </c>
      <c r="L1073" s="6">
        <f t="shared" si="3"/>
        <v>929</v>
      </c>
      <c r="M1073" s="6">
        <f t="shared" si="4"/>
        <v>240.8988159</v>
      </c>
      <c r="N1073" s="7">
        <f t="shared" si="5"/>
        <v>0.00002230544592</v>
      </c>
      <c r="O1073" s="7"/>
      <c r="P1073" s="4">
        <f t="shared" si="6"/>
        <v>-0.4338148014</v>
      </c>
      <c r="Q1073" s="4">
        <f t="shared" si="7"/>
        <v>9</v>
      </c>
      <c r="R1073" s="4">
        <f t="shared" si="8"/>
        <v>0</v>
      </c>
      <c r="S1073" s="4">
        <f t="shared" si="9"/>
        <v>-0.4338148014</v>
      </c>
      <c r="T1073" s="4">
        <f t="shared" si="10"/>
        <v>35</v>
      </c>
      <c r="U1073" s="4">
        <f t="shared" si="1"/>
        <v>-0.4338148014</v>
      </c>
      <c r="V1073" s="4"/>
    </row>
    <row r="1074">
      <c r="A1074" s="1" t="s">
        <v>17037</v>
      </c>
      <c r="B1074" s="1" t="s">
        <v>17038</v>
      </c>
      <c r="C1074" s="1" t="s">
        <v>17039</v>
      </c>
      <c r="D1074" s="1" t="s">
        <v>16810</v>
      </c>
      <c r="E1074" s="1" t="s">
        <v>16811</v>
      </c>
      <c r="F1074" s="1">
        <v>1852306.0</v>
      </c>
      <c r="G1074" s="1">
        <v>60836.0</v>
      </c>
      <c r="H1074" s="1">
        <v>2389.0</v>
      </c>
      <c r="I1074" s="1">
        <v>1.08E7</v>
      </c>
      <c r="J1074" s="1" t="s">
        <v>2468</v>
      </c>
      <c r="K1074" s="5">
        <f t="shared" si="2"/>
        <v>0.1715098148</v>
      </c>
      <c r="L1074" s="6">
        <f t="shared" si="3"/>
        <v>945</v>
      </c>
      <c r="M1074" s="6">
        <f t="shared" si="4"/>
        <v>1960.112169</v>
      </c>
      <c r="N1074" s="7">
        <f t="shared" si="5"/>
        <v>0.0001814918675</v>
      </c>
      <c r="O1074" s="7"/>
      <c r="P1074" s="4">
        <f t="shared" si="6"/>
        <v>-0.321689708</v>
      </c>
      <c r="Q1074" s="4">
        <f t="shared" si="7"/>
        <v>8</v>
      </c>
      <c r="R1074" s="4">
        <f t="shared" si="8"/>
        <v>1</v>
      </c>
      <c r="S1074" s="4">
        <f t="shared" si="9"/>
        <v>-0.321689708</v>
      </c>
      <c r="T1074" s="4">
        <f t="shared" si="10"/>
        <v>34</v>
      </c>
      <c r="U1074" s="4">
        <f t="shared" si="1"/>
        <v>-0.321689708</v>
      </c>
      <c r="V1074" s="4"/>
    </row>
    <row r="1075">
      <c r="A1075" s="1" t="s">
        <v>17040</v>
      </c>
      <c r="B1075" s="1" t="s">
        <v>17041</v>
      </c>
      <c r="C1075" s="1" t="s">
        <v>17042</v>
      </c>
      <c r="D1075" s="1" t="s">
        <v>16810</v>
      </c>
      <c r="E1075" s="1" t="s">
        <v>16811</v>
      </c>
      <c r="F1075" s="1">
        <v>930987.0</v>
      </c>
      <c r="G1075" s="1">
        <v>36991.0</v>
      </c>
      <c r="H1075" s="1">
        <v>6917.0</v>
      </c>
      <c r="I1075" s="1">
        <v>1.08E7</v>
      </c>
      <c r="J1075" s="1" t="s">
        <v>2468</v>
      </c>
      <c r="K1075" s="5">
        <f t="shared" si="2"/>
        <v>0.0862025</v>
      </c>
      <c r="L1075" s="6">
        <f t="shared" si="3"/>
        <v>952</v>
      </c>
      <c r="M1075" s="6">
        <f t="shared" si="4"/>
        <v>977.927521</v>
      </c>
      <c r="N1075" s="7">
        <f t="shared" si="5"/>
        <v>0.00009054884454</v>
      </c>
      <c r="O1075" s="7"/>
      <c r="P1075" s="4">
        <f t="shared" si="6"/>
        <v>-0.3857466473</v>
      </c>
      <c r="Q1075" s="4">
        <f t="shared" si="7"/>
        <v>5</v>
      </c>
      <c r="R1075" s="4">
        <f t="shared" si="8"/>
        <v>1</v>
      </c>
      <c r="S1075" s="4">
        <f t="shared" si="9"/>
        <v>-0.3857466473</v>
      </c>
      <c r="T1075" s="4">
        <f t="shared" si="10"/>
        <v>25</v>
      </c>
      <c r="U1075" s="4">
        <f t="shared" si="1"/>
        <v>-0.3857466473</v>
      </c>
      <c r="V1075" s="4"/>
    </row>
    <row r="1076">
      <c r="A1076" s="1" t="s">
        <v>17043</v>
      </c>
      <c r="B1076" s="1" t="s">
        <v>17044</v>
      </c>
      <c r="C1076" s="1" t="s">
        <v>17045</v>
      </c>
      <c r="D1076" s="1" t="s">
        <v>16810</v>
      </c>
      <c r="E1076" s="1" t="s">
        <v>16811</v>
      </c>
      <c r="F1076" s="1">
        <v>642573.0</v>
      </c>
      <c r="G1076" s="1">
        <v>35648.0</v>
      </c>
      <c r="H1076" s="1">
        <v>414.0</v>
      </c>
      <c r="I1076" s="1">
        <v>1.08E7</v>
      </c>
      <c r="J1076" s="1" t="s">
        <v>2468</v>
      </c>
      <c r="K1076" s="5">
        <f t="shared" si="2"/>
        <v>0.0594975</v>
      </c>
      <c r="L1076" s="6">
        <f t="shared" si="3"/>
        <v>972</v>
      </c>
      <c r="M1076" s="6">
        <f t="shared" si="4"/>
        <v>661.0833333</v>
      </c>
      <c r="N1076" s="7">
        <f t="shared" si="5"/>
        <v>0.00006121141975</v>
      </c>
      <c r="O1076" s="7"/>
      <c r="P1076" s="4">
        <f t="shared" si="6"/>
        <v>-0.4064108563</v>
      </c>
      <c r="Q1076" s="4">
        <f t="shared" si="7"/>
        <v>6</v>
      </c>
      <c r="R1076" s="4">
        <f t="shared" si="8"/>
        <v>0</v>
      </c>
      <c r="S1076" s="4">
        <f t="shared" si="9"/>
        <v>-0.4064108563</v>
      </c>
      <c r="T1076" s="4">
        <f t="shared" si="10"/>
        <v>17</v>
      </c>
      <c r="U1076" s="4">
        <f t="shared" si="1"/>
        <v>-0.4064108563</v>
      </c>
      <c r="V1076" s="4"/>
    </row>
    <row r="1077">
      <c r="A1077" s="1" t="s">
        <v>17046</v>
      </c>
      <c r="B1077" s="1" t="s">
        <v>17047</v>
      </c>
      <c r="C1077" s="1" t="s">
        <v>17048</v>
      </c>
      <c r="D1077" s="1" t="s">
        <v>16810</v>
      </c>
      <c r="E1077" s="1" t="s">
        <v>16811</v>
      </c>
      <c r="F1077" s="1">
        <v>3193224.0</v>
      </c>
      <c r="G1077" s="1">
        <v>113015.0</v>
      </c>
      <c r="H1077" s="1">
        <v>4253.0</v>
      </c>
      <c r="I1077" s="1">
        <v>1.08E7</v>
      </c>
      <c r="J1077" s="1" t="s">
        <v>2468</v>
      </c>
      <c r="K1077" s="5">
        <f t="shared" si="2"/>
        <v>0.2956688889</v>
      </c>
      <c r="L1077" s="6">
        <f t="shared" si="3"/>
        <v>989</v>
      </c>
      <c r="M1077" s="6">
        <f t="shared" si="4"/>
        <v>3228.740142</v>
      </c>
      <c r="N1077" s="7">
        <f t="shared" si="5"/>
        <v>0.0002989574205</v>
      </c>
      <c r="O1077" s="7"/>
      <c r="P1077" s="4">
        <f t="shared" si="6"/>
        <v>-0.2389512685</v>
      </c>
      <c r="Q1077" s="4">
        <f t="shared" si="7"/>
        <v>8</v>
      </c>
      <c r="R1077" s="4">
        <f t="shared" si="8"/>
        <v>0</v>
      </c>
      <c r="S1077" s="4">
        <f t="shared" si="9"/>
        <v>-0.2389512685</v>
      </c>
      <c r="T1077" s="4">
        <f t="shared" si="10"/>
        <v>43</v>
      </c>
      <c r="U1077" s="4">
        <f t="shared" si="1"/>
        <v>-0.2389512685</v>
      </c>
      <c r="V1077" s="4"/>
    </row>
    <row r="1078">
      <c r="A1078" s="1" t="s">
        <v>17049</v>
      </c>
      <c r="B1078" s="1" t="s">
        <v>17050</v>
      </c>
      <c r="C1078" s="1" t="s">
        <v>17051</v>
      </c>
      <c r="D1078" s="1" t="s">
        <v>16810</v>
      </c>
      <c r="E1078" s="1" t="s">
        <v>16811</v>
      </c>
      <c r="F1078" s="1">
        <v>471860.0</v>
      </c>
      <c r="G1078" s="1">
        <v>22793.0</v>
      </c>
      <c r="H1078" s="1">
        <v>512.0</v>
      </c>
      <c r="I1078" s="1">
        <v>1.08E7</v>
      </c>
      <c r="J1078" s="1" t="s">
        <v>2468</v>
      </c>
      <c r="K1078" s="5">
        <f t="shared" si="2"/>
        <v>0.04369074074</v>
      </c>
      <c r="L1078" s="6">
        <f t="shared" si="3"/>
        <v>994</v>
      </c>
      <c r="M1078" s="6">
        <f t="shared" si="4"/>
        <v>474.7082495</v>
      </c>
      <c r="N1078" s="7">
        <f t="shared" si="5"/>
        <v>0.00004395446755</v>
      </c>
      <c r="O1078" s="7"/>
      <c r="P1078" s="4">
        <f t="shared" si="6"/>
        <v>-0.4185660223</v>
      </c>
      <c r="Q1078" s="4">
        <f t="shared" si="7"/>
        <v>8</v>
      </c>
      <c r="R1078" s="4">
        <f t="shared" si="8"/>
        <v>0</v>
      </c>
      <c r="S1078" s="4">
        <f t="shared" si="9"/>
        <v>-0.4185660223</v>
      </c>
      <c r="T1078" s="4">
        <f t="shared" si="10"/>
        <v>37</v>
      </c>
      <c r="U1078" s="4">
        <f t="shared" si="1"/>
        <v>-0.4185660223</v>
      </c>
      <c r="V1078" s="4"/>
    </row>
    <row r="1079">
      <c r="A1079" s="1" t="s">
        <v>17052</v>
      </c>
      <c r="B1079" s="1" t="s">
        <v>17053</v>
      </c>
      <c r="C1079" s="1" t="s">
        <v>17054</v>
      </c>
      <c r="D1079" s="1" t="s">
        <v>16810</v>
      </c>
      <c r="E1079" s="1" t="s">
        <v>16811</v>
      </c>
      <c r="F1079" s="1">
        <v>117219.0</v>
      </c>
      <c r="G1079" s="1">
        <v>3959.0</v>
      </c>
      <c r="H1079" s="1">
        <v>233.0</v>
      </c>
      <c r="I1079" s="1">
        <v>1.08E7</v>
      </c>
      <c r="J1079" s="1" t="s">
        <v>2468</v>
      </c>
      <c r="K1079" s="5">
        <f t="shared" si="2"/>
        <v>0.01085361111</v>
      </c>
      <c r="L1079" s="6">
        <f t="shared" si="3"/>
        <v>995</v>
      </c>
      <c r="M1079" s="6">
        <f t="shared" si="4"/>
        <v>117.8080402</v>
      </c>
      <c r="N1079" s="7">
        <f t="shared" si="5"/>
        <v>0.00001090815187</v>
      </c>
      <c r="O1079" s="7"/>
      <c r="P1079" s="4">
        <f t="shared" si="6"/>
        <v>-0.4418426385</v>
      </c>
      <c r="Q1079" s="4">
        <f t="shared" si="7"/>
        <v>5</v>
      </c>
      <c r="R1079" s="4">
        <f t="shared" si="8"/>
        <v>0</v>
      </c>
      <c r="S1079" s="4">
        <f t="shared" si="9"/>
        <v>-0.4418426385</v>
      </c>
      <c r="T1079" s="4">
        <f t="shared" si="10"/>
        <v>10</v>
      </c>
      <c r="U1079" s="4">
        <f t="shared" si="1"/>
        <v>-0.4418426385</v>
      </c>
      <c r="V1079" s="4"/>
    </row>
    <row r="1080">
      <c r="A1080" s="1" t="s">
        <v>17055</v>
      </c>
      <c r="B1080" s="1" t="s">
        <v>17056</v>
      </c>
      <c r="C1080" s="1" t="s">
        <v>1750</v>
      </c>
      <c r="D1080" s="1" t="s">
        <v>16810</v>
      </c>
      <c r="E1080" s="1" t="s">
        <v>16811</v>
      </c>
      <c r="F1080" s="1">
        <v>1913449.0</v>
      </c>
      <c r="G1080" s="1">
        <v>78943.0</v>
      </c>
      <c r="H1080" s="1">
        <v>5892.0</v>
      </c>
      <c r="I1080" s="1">
        <v>1.08E7</v>
      </c>
      <c r="J1080" s="1" t="s">
        <v>2468</v>
      </c>
      <c r="K1080" s="5">
        <f t="shared" si="2"/>
        <v>0.1771712037</v>
      </c>
      <c r="L1080" s="6">
        <f t="shared" si="3"/>
        <v>1008</v>
      </c>
      <c r="M1080" s="6">
        <f t="shared" si="4"/>
        <v>1898.262897</v>
      </c>
      <c r="N1080" s="7">
        <f t="shared" si="5"/>
        <v>0.000175765083</v>
      </c>
      <c r="O1080" s="7"/>
      <c r="P1080" s="4">
        <f t="shared" si="6"/>
        <v>-0.3257234455</v>
      </c>
      <c r="Q1080" s="4">
        <f t="shared" si="7"/>
        <v>7</v>
      </c>
      <c r="R1080" s="4">
        <f t="shared" si="8"/>
        <v>1</v>
      </c>
      <c r="S1080" s="4">
        <f t="shared" si="9"/>
        <v>-0.3257234455</v>
      </c>
      <c r="T1080" s="4">
        <f t="shared" si="10"/>
        <v>34</v>
      </c>
      <c r="U1080" s="4">
        <f t="shared" si="1"/>
        <v>-0.3257234455</v>
      </c>
      <c r="V1080" s="4"/>
    </row>
    <row r="1081">
      <c r="A1081" s="1" t="s">
        <v>17057</v>
      </c>
      <c r="B1081" s="1" t="s">
        <v>17058</v>
      </c>
      <c r="C1081" s="1" t="s">
        <v>17059</v>
      </c>
      <c r="D1081" s="1" t="s">
        <v>16810</v>
      </c>
      <c r="E1081" s="1" t="s">
        <v>16811</v>
      </c>
      <c r="F1081" s="1">
        <v>1757583.0</v>
      </c>
      <c r="G1081" s="1">
        <v>46924.0</v>
      </c>
      <c r="H1081" s="1">
        <v>3014.0</v>
      </c>
      <c r="I1081" s="1">
        <v>1.08E7</v>
      </c>
      <c r="J1081" s="1" t="s">
        <v>2468</v>
      </c>
      <c r="K1081" s="5">
        <f t="shared" si="2"/>
        <v>0.1627391667</v>
      </c>
      <c r="L1081" s="6">
        <f t="shared" si="3"/>
        <v>1036</v>
      </c>
      <c r="M1081" s="6">
        <f t="shared" si="4"/>
        <v>1696.508687</v>
      </c>
      <c r="N1081" s="7">
        <f t="shared" si="5"/>
        <v>0.0001570841377</v>
      </c>
      <c r="O1081" s="7"/>
      <c r="P1081" s="4">
        <f t="shared" si="6"/>
        <v>-0.3388816202</v>
      </c>
      <c r="Q1081" s="4">
        <f t="shared" si="7"/>
        <v>5</v>
      </c>
      <c r="R1081" s="4">
        <f t="shared" si="8"/>
        <v>1</v>
      </c>
      <c r="S1081" s="4">
        <f t="shared" si="9"/>
        <v>-0.3388816202</v>
      </c>
      <c r="T1081" s="4">
        <f t="shared" si="10"/>
        <v>24</v>
      </c>
      <c r="U1081" s="4">
        <f t="shared" si="1"/>
        <v>-0.3388816202</v>
      </c>
      <c r="V1081" s="4"/>
    </row>
    <row r="1082">
      <c r="A1082" s="1" t="s">
        <v>17060</v>
      </c>
      <c r="B1082" s="1" t="s">
        <v>17061</v>
      </c>
      <c r="C1082" s="1" t="s">
        <v>17062</v>
      </c>
      <c r="D1082" s="1" t="s">
        <v>16810</v>
      </c>
      <c r="E1082" s="1" t="s">
        <v>16811</v>
      </c>
      <c r="F1082" s="1">
        <v>5227630.0</v>
      </c>
      <c r="G1082" s="1">
        <v>114901.0</v>
      </c>
      <c r="H1082" s="1">
        <v>7483.0</v>
      </c>
      <c r="I1082" s="1">
        <v>1.08E7</v>
      </c>
      <c r="J1082" s="1" t="s">
        <v>2468</v>
      </c>
      <c r="K1082" s="5">
        <f t="shared" si="2"/>
        <v>0.4840398148</v>
      </c>
      <c r="L1082" s="6">
        <f t="shared" si="3"/>
        <v>1058</v>
      </c>
      <c r="M1082" s="6">
        <f t="shared" si="4"/>
        <v>4941.049149</v>
      </c>
      <c r="N1082" s="7">
        <f t="shared" si="5"/>
        <v>0.0004575045509</v>
      </c>
      <c r="O1082" s="7"/>
      <c r="P1082" s="4">
        <f t="shared" si="6"/>
        <v>-0.1272764685</v>
      </c>
      <c r="Q1082" s="4">
        <f t="shared" si="7"/>
        <v>6</v>
      </c>
      <c r="R1082" s="4">
        <f t="shared" si="8"/>
        <v>0</v>
      </c>
      <c r="S1082" s="4">
        <f t="shared" si="9"/>
        <v>-0.1272764685</v>
      </c>
      <c r="T1082" s="4">
        <f t="shared" si="10"/>
        <v>37</v>
      </c>
      <c r="U1082" s="4">
        <f t="shared" si="1"/>
        <v>-0.1272764685</v>
      </c>
      <c r="V1082" s="4"/>
    </row>
    <row r="1083">
      <c r="A1083" s="1" t="s">
        <v>17063</v>
      </c>
      <c r="B1083" s="1" t="s">
        <v>17064</v>
      </c>
      <c r="C1083" s="1" t="s">
        <v>17065</v>
      </c>
      <c r="D1083" s="1" t="s">
        <v>16810</v>
      </c>
      <c r="E1083" s="1" t="s">
        <v>16811</v>
      </c>
      <c r="F1083" s="1">
        <v>408528.0</v>
      </c>
      <c r="G1083" s="1">
        <v>16084.0</v>
      </c>
      <c r="H1083" s="1">
        <v>2434.0</v>
      </c>
      <c r="I1083" s="1">
        <v>1.08E7</v>
      </c>
      <c r="J1083" s="1" t="s">
        <v>2468</v>
      </c>
      <c r="K1083" s="5">
        <f t="shared" si="2"/>
        <v>0.03782666667</v>
      </c>
      <c r="L1083" s="6">
        <f t="shared" si="3"/>
        <v>1071</v>
      </c>
      <c r="M1083" s="6">
        <f t="shared" si="4"/>
        <v>381.4453782</v>
      </c>
      <c r="N1083" s="7">
        <f t="shared" si="5"/>
        <v>0.0000353190165</v>
      </c>
      <c r="O1083" s="7"/>
      <c r="P1083" s="4">
        <f t="shared" si="6"/>
        <v>-0.4246485182</v>
      </c>
      <c r="Q1083" s="4">
        <f t="shared" si="7"/>
        <v>7</v>
      </c>
      <c r="R1083" s="4">
        <f t="shared" si="8"/>
        <v>0</v>
      </c>
      <c r="S1083" s="4">
        <f t="shared" si="9"/>
        <v>-0.4246485182</v>
      </c>
      <c r="T1083" s="4">
        <f t="shared" si="10"/>
        <v>34</v>
      </c>
      <c r="U1083" s="4">
        <f t="shared" si="1"/>
        <v>-0.4246485182</v>
      </c>
      <c r="V1083" s="4"/>
    </row>
    <row r="1084">
      <c r="A1084" s="1" t="s">
        <v>17066</v>
      </c>
      <c r="B1084" s="1" t="s">
        <v>17067</v>
      </c>
      <c r="C1084" s="1" t="s">
        <v>17068</v>
      </c>
      <c r="D1084" s="1" t="s">
        <v>16810</v>
      </c>
      <c r="E1084" s="1" t="s">
        <v>16811</v>
      </c>
      <c r="F1084" s="1">
        <v>1725065.0</v>
      </c>
      <c r="G1084" s="1">
        <v>65653.0</v>
      </c>
      <c r="H1084" s="1">
        <v>2261.0</v>
      </c>
      <c r="I1084" s="1">
        <v>1.08E7</v>
      </c>
      <c r="J1084" s="1" t="s">
        <v>2468</v>
      </c>
      <c r="K1084" s="5">
        <f t="shared" si="2"/>
        <v>0.1597282407</v>
      </c>
      <c r="L1084" s="6">
        <f t="shared" si="3"/>
        <v>1106</v>
      </c>
      <c r="M1084" s="6">
        <f t="shared" si="4"/>
        <v>1559.733273</v>
      </c>
      <c r="N1084" s="7">
        <f t="shared" si="5"/>
        <v>0.0001444197475</v>
      </c>
      <c r="O1084" s="7"/>
      <c r="P1084" s="4">
        <f t="shared" si="6"/>
        <v>-0.3478019535</v>
      </c>
      <c r="Q1084" s="4">
        <f t="shared" si="7"/>
        <v>7</v>
      </c>
      <c r="R1084" s="4">
        <f t="shared" si="8"/>
        <v>0</v>
      </c>
      <c r="S1084" s="4">
        <f t="shared" si="9"/>
        <v>-0.3478019535</v>
      </c>
      <c r="T1084" s="4">
        <f t="shared" si="10"/>
        <v>25</v>
      </c>
      <c r="U1084" s="4">
        <f t="shared" si="1"/>
        <v>-0.3478019535</v>
      </c>
      <c r="V1084" s="4"/>
    </row>
    <row r="1085">
      <c r="A1085" s="1" t="s">
        <v>17069</v>
      </c>
      <c r="B1085" s="1" t="s">
        <v>17070</v>
      </c>
      <c r="C1085" s="1" t="s">
        <v>17071</v>
      </c>
      <c r="D1085" s="1" t="s">
        <v>16810</v>
      </c>
      <c r="E1085" s="1" t="s">
        <v>16811</v>
      </c>
      <c r="F1085" s="1">
        <v>2213083.0</v>
      </c>
      <c r="G1085" s="1">
        <v>25930.0</v>
      </c>
      <c r="H1085" s="1">
        <v>1148.0</v>
      </c>
      <c r="I1085" s="1">
        <v>1.08E7</v>
      </c>
      <c r="J1085" s="1" t="s">
        <v>2468</v>
      </c>
      <c r="K1085" s="5">
        <f t="shared" si="2"/>
        <v>0.2049150926</v>
      </c>
      <c r="L1085" s="6">
        <f t="shared" si="3"/>
        <v>1134</v>
      </c>
      <c r="M1085" s="6">
        <f t="shared" si="4"/>
        <v>1951.57231</v>
      </c>
      <c r="N1085" s="7">
        <f t="shared" si="5"/>
        <v>0.0001807011399</v>
      </c>
      <c r="O1085" s="7"/>
      <c r="P1085" s="4">
        <f t="shared" si="6"/>
        <v>-0.3222466676</v>
      </c>
      <c r="Q1085" s="4">
        <f t="shared" si="7"/>
        <v>8</v>
      </c>
      <c r="R1085" s="4">
        <f t="shared" si="8"/>
        <v>0</v>
      </c>
      <c r="S1085" s="4">
        <f t="shared" si="9"/>
        <v>-0.3222466676</v>
      </c>
      <c r="T1085" s="4">
        <f t="shared" si="10"/>
        <v>41</v>
      </c>
      <c r="U1085" s="4">
        <f t="shared" si="1"/>
        <v>-0.3222466676</v>
      </c>
      <c r="V1085" s="4"/>
    </row>
    <row r="1086">
      <c r="A1086" s="1" t="s">
        <v>17072</v>
      </c>
      <c r="B1086" s="1" t="s">
        <v>17073</v>
      </c>
      <c r="C1086" s="1" t="s">
        <v>17074</v>
      </c>
      <c r="D1086" s="1" t="s">
        <v>16810</v>
      </c>
      <c r="E1086" s="1" t="s">
        <v>16811</v>
      </c>
      <c r="F1086" s="1">
        <v>840991.0</v>
      </c>
      <c r="G1086" s="1">
        <v>21123.0</v>
      </c>
      <c r="H1086" s="1">
        <v>1117.0</v>
      </c>
      <c r="I1086" s="1">
        <v>1.08E7</v>
      </c>
      <c r="J1086" s="1" t="s">
        <v>2468</v>
      </c>
      <c r="K1086" s="5">
        <f t="shared" si="2"/>
        <v>0.07786953704</v>
      </c>
      <c r="L1086" s="6">
        <f t="shared" si="3"/>
        <v>1155</v>
      </c>
      <c r="M1086" s="6">
        <f t="shared" si="4"/>
        <v>728.1307359</v>
      </c>
      <c r="N1086" s="7">
        <f t="shared" si="5"/>
        <v>0.00006741951259</v>
      </c>
      <c r="O1086" s="7"/>
      <c r="P1086" s="4">
        <f t="shared" si="6"/>
        <v>-0.4020381028</v>
      </c>
      <c r="Q1086" s="4">
        <f t="shared" si="7"/>
        <v>6</v>
      </c>
      <c r="R1086" s="4">
        <f t="shared" si="8"/>
        <v>1</v>
      </c>
      <c r="S1086" s="4">
        <f t="shared" si="9"/>
        <v>-0.4020381028</v>
      </c>
      <c r="T1086" s="4">
        <f t="shared" si="10"/>
        <v>26</v>
      </c>
      <c r="U1086" s="4">
        <f t="shared" si="1"/>
        <v>-0.4020381028</v>
      </c>
      <c r="V1086" s="4"/>
    </row>
    <row r="1087">
      <c r="A1087" s="1" t="s">
        <v>17075</v>
      </c>
      <c r="B1087" s="1" t="s">
        <v>17076</v>
      </c>
      <c r="C1087" s="1" t="s">
        <v>17077</v>
      </c>
      <c r="D1087" s="1" t="s">
        <v>16810</v>
      </c>
      <c r="E1087" s="1" t="s">
        <v>16811</v>
      </c>
      <c r="F1087" s="1">
        <v>128885.0</v>
      </c>
      <c r="G1087" s="1">
        <v>6036.0</v>
      </c>
      <c r="H1087" s="1">
        <v>95.0</v>
      </c>
      <c r="I1087" s="1">
        <v>1.08E7</v>
      </c>
      <c r="J1087" s="1" t="s">
        <v>2468</v>
      </c>
      <c r="K1087" s="5">
        <f t="shared" si="2"/>
        <v>0.0119337963</v>
      </c>
      <c r="L1087" s="6">
        <f t="shared" si="3"/>
        <v>1156</v>
      </c>
      <c r="M1087" s="6">
        <f t="shared" si="4"/>
        <v>111.4922145</v>
      </c>
      <c r="N1087" s="7">
        <f t="shared" si="5"/>
        <v>0.0000103233532</v>
      </c>
      <c r="O1087" s="7"/>
      <c r="P1087" s="4">
        <f t="shared" si="6"/>
        <v>-0.4422545493</v>
      </c>
      <c r="Q1087" s="4">
        <f t="shared" si="7"/>
        <v>6</v>
      </c>
      <c r="R1087" s="4">
        <f t="shared" si="8"/>
        <v>0</v>
      </c>
      <c r="S1087" s="4">
        <f t="shared" si="9"/>
        <v>-0.4422545493</v>
      </c>
      <c r="T1087" s="4">
        <f t="shared" si="10"/>
        <v>25</v>
      </c>
      <c r="U1087" s="4">
        <f t="shared" si="1"/>
        <v>-0.4422545493</v>
      </c>
      <c r="V1087" s="4"/>
    </row>
    <row r="1088">
      <c r="A1088" s="1" t="s">
        <v>17078</v>
      </c>
      <c r="B1088" s="1" t="s">
        <v>17079</v>
      </c>
      <c r="C1088" s="1" t="s">
        <v>17080</v>
      </c>
      <c r="D1088" s="1" t="s">
        <v>16810</v>
      </c>
      <c r="E1088" s="1" t="s">
        <v>16811</v>
      </c>
      <c r="F1088" s="1">
        <v>521748.0</v>
      </c>
      <c r="G1088" s="1">
        <v>10939.0</v>
      </c>
      <c r="H1088" s="1">
        <v>1162.0</v>
      </c>
      <c r="I1088" s="1">
        <v>1.08E7</v>
      </c>
      <c r="J1088" s="1" t="s">
        <v>2468</v>
      </c>
      <c r="K1088" s="5">
        <f t="shared" si="2"/>
        <v>0.04831</v>
      </c>
      <c r="L1088" s="6">
        <f t="shared" si="3"/>
        <v>1183</v>
      </c>
      <c r="M1088" s="6">
        <f t="shared" si="4"/>
        <v>441.0380389</v>
      </c>
      <c r="N1088" s="7">
        <f t="shared" si="5"/>
        <v>0.00004083685545</v>
      </c>
      <c r="O1088" s="7"/>
      <c r="P1088" s="4">
        <f t="shared" si="6"/>
        <v>-0.4207619543</v>
      </c>
      <c r="Q1088" s="4">
        <f t="shared" si="7"/>
        <v>6</v>
      </c>
      <c r="R1088" s="4">
        <f t="shared" si="8"/>
        <v>1</v>
      </c>
      <c r="S1088" s="4">
        <f t="shared" si="9"/>
        <v>-0.4207619543</v>
      </c>
      <c r="T1088" s="4">
        <f t="shared" si="10"/>
        <v>30</v>
      </c>
      <c r="U1088" s="4">
        <f t="shared" si="1"/>
        <v>-0.4207619543</v>
      </c>
      <c r="V1088" s="4"/>
    </row>
    <row r="1089">
      <c r="A1089" s="1" t="s">
        <v>17081</v>
      </c>
      <c r="B1089" s="1" t="s">
        <v>17082</v>
      </c>
      <c r="C1089" s="1" t="s">
        <v>17083</v>
      </c>
      <c r="D1089" s="1" t="s">
        <v>16810</v>
      </c>
      <c r="E1089" s="1" t="s">
        <v>16811</v>
      </c>
      <c r="F1089" s="1">
        <v>845374.0</v>
      </c>
      <c r="G1089" s="1">
        <v>20268.0</v>
      </c>
      <c r="H1089" s="1">
        <v>1486.0</v>
      </c>
      <c r="I1089" s="1">
        <v>1.08E7</v>
      </c>
      <c r="J1089" s="1" t="s">
        <v>2468</v>
      </c>
      <c r="K1089" s="5">
        <f t="shared" si="2"/>
        <v>0.07827537037</v>
      </c>
      <c r="L1089" s="6">
        <f t="shared" si="3"/>
        <v>1197</v>
      </c>
      <c r="M1089" s="6">
        <f t="shared" si="4"/>
        <v>706.2439432</v>
      </c>
      <c r="N1089" s="7">
        <f t="shared" si="5"/>
        <v>0.0000653929577</v>
      </c>
      <c r="O1089" s="7"/>
      <c r="P1089" s="4">
        <f t="shared" si="6"/>
        <v>-0.4034655339</v>
      </c>
      <c r="Q1089" s="4">
        <f t="shared" si="7"/>
        <v>6</v>
      </c>
      <c r="R1089" s="4">
        <f t="shared" si="8"/>
        <v>1</v>
      </c>
      <c r="S1089" s="4">
        <f t="shared" si="9"/>
        <v>-0.4034655339</v>
      </c>
      <c r="T1089" s="4">
        <f t="shared" si="10"/>
        <v>34</v>
      </c>
      <c r="U1089" s="4">
        <f t="shared" si="1"/>
        <v>-0.4034655339</v>
      </c>
      <c r="V1089" s="4"/>
    </row>
    <row r="1090">
      <c r="A1090" s="1" t="s">
        <v>17084</v>
      </c>
      <c r="B1090" s="1" t="s">
        <v>17085</v>
      </c>
      <c r="C1090" s="1" t="s">
        <v>17086</v>
      </c>
      <c r="D1090" s="1" t="s">
        <v>16810</v>
      </c>
      <c r="E1090" s="1" t="s">
        <v>16811</v>
      </c>
      <c r="F1090" s="1">
        <v>520771.0</v>
      </c>
      <c r="G1090" s="1">
        <v>23004.0</v>
      </c>
      <c r="H1090" s="1">
        <v>1926.0</v>
      </c>
      <c r="I1090" s="1">
        <v>1.08E7</v>
      </c>
      <c r="J1090" s="1" t="s">
        <v>2468</v>
      </c>
      <c r="K1090" s="5">
        <f t="shared" si="2"/>
        <v>0.04821953704</v>
      </c>
      <c r="L1090" s="6">
        <f t="shared" si="3"/>
        <v>1204</v>
      </c>
      <c r="M1090" s="6">
        <f t="shared" si="4"/>
        <v>432.5340532</v>
      </c>
      <c r="N1090" s="7">
        <f t="shared" si="5"/>
        <v>0.00004004944937</v>
      </c>
      <c r="O1090" s="7"/>
      <c r="P1090" s="4">
        <f t="shared" si="6"/>
        <v>-0.4213165743</v>
      </c>
      <c r="Q1090" s="4">
        <f t="shared" si="7"/>
        <v>6</v>
      </c>
      <c r="R1090" s="4">
        <f t="shared" si="8"/>
        <v>1</v>
      </c>
      <c r="S1090" s="4">
        <f t="shared" si="9"/>
        <v>-0.4213165743</v>
      </c>
      <c r="T1090" s="4">
        <f t="shared" si="10"/>
        <v>26</v>
      </c>
      <c r="U1090" s="4">
        <f t="shared" si="1"/>
        <v>-0.4213165743</v>
      </c>
      <c r="V1090" s="4"/>
    </row>
    <row r="1091">
      <c r="A1091" s="1" t="s">
        <v>17087</v>
      </c>
      <c r="B1091" s="1" t="s">
        <v>17088</v>
      </c>
      <c r="C1091" s="1" t="s">
        <v>17089</v>
      </c>
      <c r="D1091" s="1" t="s">
        <v>16810</v>
      </c>
      <c r="E1091" s="1" t="s">
        <v>16811</v>
      </c>
      <c r="F1091" s="1">
        <v>218131.0</v>
      </c>
      <c r="G1091" s="1">
        <v>7267.0</v>
      </c>
      <c r="H1091" s="1">
        <v>328.0</v>
      </c>
      <c r="I1091" s="1">
        <v>1.08E7</v>
      </c>
      <c r="J1091" s="1" t="s">
        <v>2468</v>
      </c>
      <c r="K1091" s="5">
        <f t="shared" si="2"/>
        <v>0.02019731481</v>
      </c>
      <c r="L1091" s="6">
        <f t="shared" si="3"/>
        <v>1206</v>
      </c>
      <c r="M1091" s="6">
        <f t="shared" si="4"/>
        <v>180.871476</v>
      </c>
      <c r="N1091" s="7">
        <f t="shared" si="5"/>
        <v>0.00001674735888</v>
      </c>
      <c r="O1091" s="7"/>
      <c r="P1091" s="4">
        <f t="shared" si="6"/>
        <v>-0.4377297146</v>
      </c>
      <c r="Q1091" s="4">
        <f t="shared" si="7"/>
        <v>5</v>
      </c>
      <c r="R1091" s="4">
        <f t="shared" si="8"/>
        <v>0</v>
      </c>
      <c r="S1091" s="4">
        <f t="shared" si="9"/>
        <v>-0.4377297146</v>
      </c>
      <c r="T1091" s="4">
        <f t="shared" si="10"/>
        <v>26</v>
      </c>
      <c r="U1091" s="4">
        <f t="shared" si="1"/>
        <v>-0.4377297146</v>
      </c>
      <c r="V1091" s="4"/>
    </row>
    <row r="1092">
      <c r="A1092" s="1" t="s">
        <v>17090</v>
      </c>
      <c r="B1092" s="1" t="s">
        <v>17091</v>
      </c>
      <c r="C1092" s="1" t="s">
        <v>17092</v>
      </c>
      <c r="D1092" s="1" t="s">
        <v>16810</v>
      </c>
      <c r="E1092" s="1" t="s">
        <v>16811</v>
      </c>
      <c r="F1092" s="1">
        <v>1305536.0</v>
      </c>
      <c r="G1092" s="1">
        <v>47459.0</v>
      </c>
      <c r="H1092" s="1">
        <v>14557.0</v>
      </c>
      <c r="I1092" s="1">
        <v>1.08E7</v>
      </c>
      <c r="J1092" s="1" t="s">
        <v>2468</v>
      </c>
      <c r="K1092" s="5">
        <f t="shared" si="2"/>
        <v>0.120882963</v>
      </c>
      <c r="L1092" s="6">
        <f t="shared" si="3"/>
        <v>1211</v>
      </c>
      <c r="M1092" s="6">
        <f t="shared" si="4"/>
        <v>1078.06441</v>
      </c>
      <c r="N1092" s="7">
        <f t="shared" si="5"/>
        <v>0.00009982077866</v>
      </c>
      <c r="O1092" s="7"/>
      <c r="P1092" s="4">
        <f t="shared" si="6"/>
        <v>-0.379215836</v>
      </c>
      <c r="Q1092" s="4">
        <f t="shared" si="7"/>
        <v>5</v>
      </c>
      <c r="R1092" s="4">
        <f t="shared" si="8"/>
        <v>0</v>
      </c>
      <c r="S1092" s="4">
        <f t="shared" si="9"/>
        <v>-0.379215836</v>
      </c>
      <c r="T1092" s="4">
        <f t="shared" si="10"/>
        <v>25</v>
      </c>
      <c r="U1092" s="4">
        <f t="shared" si="1"/>
        <v>-0.379215836</v>
      </c>
      <c r="V1092" s="4"/>
    </row>
    <row r="1093">
      <c r="A1093" s="1" t="s">
        <v>17093</v>
      </c>
      <c r="B1093" s="1" t="s">
        <v>17094</v>
      </c>
      <c r="C1093" s="1" t="s">
        <v>17095</v>
      </c>
      <c r="D1093" s="1" t="s">
        <v>16810</v>
      </c>
      <c r="E1093" s="1" t="s">
        <v>16811</v>
      </c>
      <c r="F1093" s="1">
        <v>100276.0</v>
      </c>
      <c r="G1093" s="1">
        <v>4046.0</v>
      </c>
      <c r="H1093" s="1">
        <v>112.0</v>
      </c>
      <c r="I1093" s="1">
        <v>1.08E7</v>
      </c>
      <c r="J1093" s="1" t="s">
        <v>2468</v>
      </c>
      <c r="K1093" s="5">
        <f t="shared" si="2"/>
        <v>0.009284814815</v>
      </c>
      <c r="L1093" s="6">
        <f t="shared" si="3"/>
        <v>1214</v>
      </c>
      <c r="M1093" s="6">
        <f t="shared" si="4"/>
        <v>82.59967051</v>
      </c>
      <c r="N1093" s="7">
        <f t="shared" si="5"/>
        <v>0.00000764811764</v>
      </c>
      <c r="O1093" s="7"/>
      <c r="P1093" s="4">
        <f t="shared" si="6"/>
        <v>-0.4441388874</v>
      </c>
      <c r="Q1093" s="4">
        <f t="shared" si="7"/>
        <v>6</v>
      </c>
      <c r="R1093" s="4">
        <f t="shared" si="8"/>
        <v>0</v>
      </c>
      <c r="S1093" s="4">
        <f t="shared" si="9"/>
        <v>-0.4441388874</v>
      </c>
      <c r="T1093" s="4">
        <f t="shared" si="10"/>
        <v>19</v>
      </c>
      <c r="U1093" s="4">
        <f t="shared" si="1"/>
        <v>-0.4441388874</v>
      </c>
      <c r="V1093" s="4"/>
    </row>
    <row r="1094">
      <c r="A1094" s="1" t="s">
        <v>17096</v>
      </c>
      <c r="B1094" s="1" t="s">
        <v>17097</v>
      </c>
      <c r="C1094" s="1" t="s">
        <v>17098</v>
      </c>
      <c r="D1094" s="1" t="s">
        <v>17099</v>
      </c>
      <c r="E1094" s="1" t="s">
        <v>17100</v>
      </c>
      <c r="F1094" s="1">
        <v>3546828.0</v>
      </c>
      <c r="G1094" s="1">
        <v>313204.0</v>
      </c>
      <c r="H1094" s="1">
        <v>3151.0</v>
      </c>
      <c r="I1094" s="1">
        <v>2.51E7</v>
      </c>
      <c r="J1094" s="1" t="s">
        <v>2468</v>
      </c>
      <c r="K1094" s="5">
        <f t="shared" si="2"/>
        <v>0.1413078884</v>
      </c>
      <c r="L1094" s="6">
        <f t="shared" si="3"/>
        <v>40</v>
      </c>
      <c r="M1094" s="6">
        <f t="shared" si="4"/>
        <v>88670.7</v>
      </c>
      <c r="N1094" s="7">
        <f t="shared" si="5"/>
        <v>0.003532697211</v>
      </c>
      <c r="O1094" s="7"/>
      <c r="P1094" s="4">
        <f t="shared" si="6"/>
        <v>2.038776772</v>
      </c>
      <c r="Q1094" s="4">
        <f t="shared" si="7"/>
        <v>3</v>
      </c>
      <c r="R1094" s="4">
        <f t="shared" si="8"/>
        <v>0</v>
      </c>
      <c r="S1094" s="4">
        <f t="shared" si="9"/>
        <v>2.038776772</v>
      </c>
      <c r="T1094" s="4">
        <f t="shared" si="10"/>
        <v>21</v>
      </c>
      <c r="U1094" s="4">
        <f t="shared" si="1"/>
        <v>2.038776772</v>
      </c>
      <c r="V1094" s="4"/>
    </row>
    <row r="1095">
      <c r="A1095" s="1" t="s">
        <v>17101</v>
      </c>
      <c r="B1095" s="1" t="s">
        <v>17102</v>
      </c>
      <c r="C1095" s="1" t="s">
        <v>17103</v>
      </c>
      <c r="D1095" s="1" t="s">
        <v>17099</v>
      </c>
      <c r="E1095" s="1" t="s">
        <v>17100</v>
      </c>
      <c r="F1095" s="1">
        <v>1.0219606E7</v>
      </c>
      <c r="G1095" s="1">
        <v>830637.0</v>
      </c>
      <c r="H1095" s="1">
        <v>7113.0</v>
      </c>
      <c r="I1095" s="1">
        <v>2.51E7</v>
      </c>
      <c r="J1095" s="1" t="s">
        <v>2468</v>
      </c>
      <c r="K1095" s="5">
        <f t="shared" si="2"/>
        <v>0.4071556175</v>
      </c>
      <c r="L1095" s="6">
        <f t="shared" si="3"/>
        <v>42</v>
      </c>
      <c r="M1095" s="6">
        <f t="shared" si="4"/>
        <v>243323.9524</v>
      </c>
      <c r="N1095" s="7">
        <f t="shared" si="5"/>
        <v>0.00969418137</v>
      </c>
      <c r="O1095" s="7"/>
      <c r="P1095" s="4">
        <f t="shared" si="6"/>
        <v>6.378700868</v>
      </c>
      <c r="Q1095" s="4">
        <f t="shared" si="7"/>
        <v>6</v>
      </c>
      <c r="R1095" s="4">
        <f t="shared" si="8"/>
        <v>0</v>
      </c>
      <c r="S1095" s="4">
        <f t="shared" si="9"/>
        <v>6.378700868</v>
      </c>
      <c r="T1095" s="4">
        <f t="shared" si="10"/>
        <v>22</v>
      </c>
      <c r="U1095" s="4">
        <f t="shared" si="1"/>
        <v>6.378700868</v>
      </c>
      <c r="V1095" s="4"/>
    </row>
    <row r="1096">
      <c r="A1096" s="1" t="s">
        <v>17104</v>
      </c>
      <c r="B1096" s="1" t="s">
        <v>17105</v>
      </c>
      <c r="C1096" s="1" t="s">
        <v>17106</v>
      </c>
      <c r="D1096" s="1" t="s">
        <v>17099</v>
      </c>
      <c r="E1096" s="1" t="s">
        <v>17100</v>
      </c>
      <c r="F1096" s="1">
        <v>6978341.0</v>
      </c>
      <c r="G1096" s="1">
        <v>423638.0</v>
      </c>
      <c r="H1096" s="1">
        <v>4987.0</v>
      </c>
      <c r="I1096" s="1">
        <v>2.51E7</v>
      </c>
      <c r="J1096" s="1" t="s">
        <v>2468</v>
      </c>
      <c r="K1096" s="5">
        <f t="shared" si="2"/>
        <v>0.2780215538</v>
      </c>
      <c r="L1096" s="6">
        <f t="shared" si="3"/>
        <v>48</v>
      </c>
      <c r="M1096" s="6">
        <f t="shared" si="4"/>
        <v>145382.1042</v>
      </c>
      <c r="N1096" s="7">
        <f t="shared" si="5"/>
        <v>0.005792115704</v>
      </c>
      <c r="O1096" s="7"/>
      <c r="P1096" s="4">
        <f t="shared" si="6"/>
        <v>3.630228524</v>
      </c>
      <c r="Q1096" s="4">
        <f t="shared" si="7"/>
        <v>7</v>
      </c>
      <c r="R1096" s="4">
        <f t="shared" si="8"/>
        <v>0</v>
      </c>
      <c r="S1096" s="4">
        <f t="shared" si="9"/>
        <v>3.630228524</v>
      </c>
      <c r="T1096" s="4">
        <f t="shared" si="10"/>
        <v>32</v>
      </c>
      <c r="U1096" s="4">
        <f t="shared" si="1"/>
        <v>3.630228524</v>
      </c>
      <c r="V1096" s="4"/>
    </row>
    <row r="1097">
      <c r="A1097" s="1" t="s">
        <v>17107</v>
      </c>
      <c r="B1097" s="1" t="s">
        <v>17108</v>
      </c>
      <c r="C1097" s="1" t="s">
        <v>17109</v>
      </c>
      <c r="D1097" s="1" t="s">
        <v>17099</v>
      </c>
      <c r="E1097" s="1" t="s">
        <v>17100</v>
      </c>
      <c r="F1097" s="1">
        <v>3524145.0</v>
      </c>
      <c r="G1097" s="1">
        <v>267150.0</v>
      </c>
      <c r="H1097" s="1">
        <v>5586.0</v>
      </c>
      <c r="I1097" s="1">
        <v>2.51E7</v>
      </c>
      <c r="J1097" s="1" t="s">
        <v>2468</v>
      </c>
      <c r="K1097" s="5">
        <f t="shared" si="2"/>
        <v>0.1404041833</v>
      </c>
      <c r="L1097" s="6">
        <f t="shared" si="3"/>
        <v>56</v>
      </c>
      <c r="M1097" s="6">
        <f t="shared" si="4"/>
        <v>62931.16071</v>
      </c>
      <c r="N1097" s="7">
        <f t="shared" si="5"/>
        <v>0.002507217558</v>
      </c>
      <c r="O1097" s="7"/>
      <c r="P1097" s="4">
        <f t="shared" si="6"/>
        <v>1.316466409</v>
      </c>
      <c r="Q1097" s="4">
        <f t="shared" si="7"/>
        <v>6</v>
      </c>
      <c r="R1097" s="4">
        <f t="shared" si="8"/>
        <v>0</v>
      </c>
      <c r="S1097" s="4">
        <f t="shared" si="9"/>
        <v>1.316466409</v>
      </c>
      <c r="T1097" s="4">
        <f t="shared" si="10"/>
        <v>22</v>
      </c>
      <c r="U1097" s="4">
        <f t="shared" si="1"/>
        <v>1.316466409</v>
      </c>
      <c r="V1097" s="4"/>
    </row>
    <row r="1098">
      <c r="A1098" s="1" t="s">
        <v>17110</v>
      </c>
      <c r="B1098" s="1" t="s">
        <v>17111</v>
      </c>
      <c r="C1098" s="1" t="s">
        <v>17112</v>
      </c>
      <c r="D1098" s="1" t="s">
        <v>17099</v>
      </c>
      <c r="E1098" s="1" t="s">
        <v>17100</v>
      </c>
      <c r="F1098" s="1">
        <v>8208547.0</v>
      </c>
      <c r="G1098" s="1">
        <v>677993.0</v>
      </c>
      <c r="H1098" s="1">
        <v>8503.0</v>
      </c>
      <c r="I1098" s="1">
        <v>2.51E7</v>
      </c>
      <c r="J1098" s="1" t="s">
        <v>2468</v>
      </c>
      <c r="K1098" s="5">
        <f t="shared" si="2"/>
        <v>0.327033745</v>
      </c>
      <c r="L1098" s="6">
        <f t="shared" si="3"/>
        <v>58</v>
      </c>
      <c r="M1098" s="6">
        <f t="shared" si="4"/>
        <v>141526.6724</v>
      </c>
      <c r="N1098" s="7">
        <f t="shared" si="5"/>
        <v>0.005638512845</v>
      </c>
      <c r="O1098" s="7"/>
      <c r="P1098" s="4">
        <f t="shared" si="6"/>
        <v>3.522036288</v>
      </c>
      <c r="Q1098" s="4">
        <f t="shared" si="7"/>
        <v>3</v>
      </c>
      <c r="R1098" s="4">
        <f t="shared" si="8"/>
        <v>0</v>
      </c>
      <c r="S1098" s="4">
        <f t="shared" si="9"/>
        <v>3.522036288</v>
      </c>
      <c r="T1098" s="4">
        <f t="shared" si="10"/>
        <v>14</v>
      </c>
      <c r="U1098" s="4">
        <f t="shared" si="1"/>
        <v>3.522036288</v>
      </c>
      <c r="V1098" s="4"/>
    </row>
    <row r="1099">
      <c r="A1099" s="1" t="s">
        <v>17113</v>
      </c>
      <c r="B1099" s="1" t="s">
        <v>17114</v>
      </c>
      <c r="C1099" s="1" t="s">
        <v>17115</v>
      </c>
      <c r="D1099" s="1" t="s">
        <v>17099</v>
      </c>
      <c r="E1099" s="1" t="s">
        <v>17100</v>
      </c>
      <c r="F1099" s="1">
        <v>2385986.0</v>
      </c>
      <c r="G1099" s="1">
        <v>202308.0</v>
      </c>
      <c r="H1099" s="1">
        <v>4776.0</v>
      </c>
      <c r="I1099" s="1">
        <v>2.51E7</v>
      </c>
      <c r="J1099" s="1" t="s">
        <v>2468</v>
      </c>
      <c r="K1099" s="5">
        <f t="shared" si="2"/>
        <v>0.09505920319</v>
      </c>
      <c r="L1099" s="6">
        <f t="shared" si="3"/>
        <v>63</v>
      </c>
      <c r="M1099" s="6">
        <f t="shared" si="4"/>
        <v>37872.79365</v>
      </c>
      <c r="N1099" s="7">
        <f t="shared" si="5"/>
        <v>0.001508876241</v>
      </c>
      <c r="O1099" s="7"/>
      <c r="P1099" s="4">
        <f t="shared" si="6"/>
        <v>0.613271298</v>
      </c>
      <c r="Q1099" s="4">
        <f t="shared" si="7"/>
        <v>8</v>
      </c>
      <c r="R1099" s="4">
        <f t="shared" si="8"/>
        <v>1</v>
      </c>
      <c r="S1099" s="4">
        <f t="shared" si="9"/>
        <v>0.613271298</v>
      </c>
      <c r="T1099" s="4">
        <f t="shared" si="10"/>
        <v>23</v>
      </c>
      <c r="U1099" s="4">
        <f t="shared" si="1"/>
        <v>0.613271298</v>
      </c>
      <c r="V1099" s="4"/>
    </row>
    <row r="1100">
      <c r="A1100" s="1" t="s">
        <v>17116</v>
      </c>
      <c r="B1100" s="1" t="s">
        <v>17117</v>
      </c>
      <c r="C1100" s="1" t="s">
        <v>17118</v>
      </c>
      <c r="D1100" s="1" t="s">
        <v>17099</v>
      </c>
      <c r="E1100" s="1" t="s">
        <v>17100</v>
      </c>
      <c r="F1100" s="1">
        <v>2535955.0</v>
      </c>
      <c r="G1100" s="1">
        <v>233302.0</v>
      </c>
      <c r="H1100" s="1">
        <v>2850.0</v>
      </c>
      <c r="I1100" s="1">
        <v>2.51E7</v>
      </c>
      <c r="J1100" s="1" t="s">
        <v>2468</v>
      </c>
      <c r="K1100" s="5">
        <f t="shared" si="2"/>
        <v>0.1010340637</v>
      </c>
      <c r="L1100" s="6">
        <f t="shared" si="3"/>
        <v>64</v>
      </c>
      <c r="M1100" s="6">
        <f t="shared" si="4"/>
        <v>39624.29688</v>
      </c>
      <c r="N1100" s="7">
        <f t="shared" si="5"/>
        <v>0.001578657246</v>
      </c>
      <c r="O1100" s="7"/>
      <c r="P1100" s="4">
        <f t="shared" si="6"/>
        <v>0.6624224858</v>
      </c>
      <c r="Q1100" s="4">
        <f t="shared" si="7"/>
        <v>3</v>
      </c>
      <c r="R1100" s="4">
        <f t="shared" si="8"/>
        <v>0</v>
      </c>
      <c r="S1100" s="4">
        <f t="shared" si="9"/>
        <v>0.6624224858</v>
      </c>
      <c r="T1100" s="4">
        <f t="shared" si="10"/>
        <v>11</v>
      </c>
      <c r="U1100" s="4">
        <f t="shared" si="1"/>
        <v>0.6624224858</v>
      </c>
      <c r="V1100" s="4"/>
    </row>
    <row r="1101">
      <c r="A1101" s="1" t="s">
        <v>17119</v>
      </c>
      <c r="B1101" s="1" t="s">
        <v>17120</v>
      </c>
      <c r="C1101" s="1" t="s">
        <v>17121</v>
      </c>
      <c r="D1101" s="1" t="s">
        <v>17099</v>
      </c>
      <c r="E1101" s="1" t="s">
        <v>17100</v>
      </c>
      <c r="F1101" s="1">
        <v>2445146.0</v>
      </c>
      <c r="G1101" s="1">
        <v>154411.0</v>
      </c>
      <c r="H1101" s="1">
        <v>4387.0</v>
      </c>
      <c r="I1101" s="1">
        <v>2.51E7</v>
      </c>
      <c r="J1101" s="1" t="s">
        <v>2468</v>
      </c>
      <c r="K1101" s="5">
        <f t="shared" si="2"/>
        <v>0.0974161753</v>
      </c>
      <c r="L1101" s="6">
        <f t="shared" si="3"/>
        <v>139</v>
      </c>
      <c r="M1101" s="6">
        <f t="shared" si="4"/>
        <v>17590.97842</v>
      </c>
      <c r="N1101" s="7">
        <f t="shared" si="5"/>
        <v>0.0007008357935</v>
      </c>
      <c r="O1101" s="7"/>
      <c r="P1101" s="4">
        <f t="shared" si="6"/>
        <v>0.04411715942</v>
      </c>
      <c r="Q1101" s="4">
        <f t="shared" si="7"/>
        <v>2</v>
      </c>
      <c r="R1101" s="4">
        <f t="shared" si="8"/>
        <v>0</v>
      </c>
      <c r="S1101" s="4">
        <f t="shared" si="9"/>
        <v>0.04411715942</v>
      </c>
      <c r="T1101" s="4">
        <f t="shared" si="10"/>
        <v>6</v>
      </c>
      <c r="U1101" s="4">
        <f t="shared" si="1"/>
        <v>0.04411715942</v>
      </c>
      <c r="V1101" s="4"/>
    </row>
    <row r="1102">
      <c r="A1102" s="1" t="s">
        <v>17122</v>
      </c>
      <c r="B1102" s="1" t="s">
        <v>17123</v>
      </c>
      <c r="C1102" s="1" t="s">
        <v>17124</v>
      </c>
      <c r="D1102" s="1" t="s">
        <v>17099</v>
      </c>
      <c r="E1102" s="1" t="s">
        <v>17100</v>
      </c>
      <c r="F1102" s="1">
        <v>2170632.0</v>
      </c>
      <c r="G1102" s="1">
        <v>99084.0</v>
      </c>
      <c r="H1102" s="1">
        <v>2124.0</v>
      </c>
      <c r="I1102" s="1">
        <v>2.51E7</v>
      </c>
      <c r="J1102" s="1" t="s">
        <v>2468</v>
      </c>
      <c r="K1102" s="5">
        <f t="shared" si="2"/>
        <v>0.08647936255</v>
      </c>
      <c r="L1102" s="6">
        <f t="shared" si="3"/>
        <v>167</v>
      </c>
      <c r="M1102" s="6">
        <f t="shared" si="4"/>
        <v>12997.79641</v>
      </c>
      <c r="N1102" s="7">
        <f t="shared" si="5"/>
        <v>0.0005178404943</v>
      </c>
      <c r="O1102" s="7"/>
      <c r="P1102" s="4">
        <f t="shared" si="6"/>
        <v>-0.08477803662</v>
      </c>
      <c r="Q1102" s="4">
        <f t="shared" si="7"/>
        <v>6</v>
      </c>
      <c r="R1102" s="4">
        <f t="shared" si="8"/>
        <v>1</v>
      </c>
      <c r="S1102" s="4">
        <f t="shared" si="9"/>
        <v>-0.08477803662</v>
      </c>
      <c r="T1102" s="4">
        <f t="shared" si="10"/>
        <v>31</v>
      </c>
      <c r="U1102" s="4">
        <f t="shared" si="1"/>
        <v>-0.08477803662</v>
      </c>
      <c r="V1102" s="4"/>
    </row>
    <row r="1103">
      <c r="A1103" s="1" t="s">
        <v>17125</v>
      </c>
      <c r="B1103" s="1" t="s">
        <v>17126</v>
      </c>
      <c r="C1103" s="1" t="s">
        <v>17127</v>
      </c>
      <c r="D1103" s="1" t="s">
        <v>17099</v>
      </c>
      <c r="E1103" s="1" t="s">
        <v>17100</v>
      </c>
      <c r="F1103" s="1">
        <v>1.0123132E7</v>
      </c>
      <c r="G1103" s="1">
        <v>412784.0</v>
      </c>
      <c r="H1103" s="1">
        <v>8001.0</v>
      </c>
      <c r="I1103" s="1">
        <v>2.51E7</v>
      </c>
      <c r="J1103" s="1" t="s">
        <v>2468</v>
      </c>
      <c r="K1103" s="5">
        <f t="shared" si="2"/>
        <v>0.4033120319</v>
      </c>
      <c r="L1103" s="6">
        <f t="shared" si="3"/>
        <v>172</v>
      </c>
      <c r="M1103" s="6">
        <f t="shared" si="4"/>
        <v>58855.4186</v>
      </c>
      <c r="N1103" s="7">
        <f t="shared" si="5"/>
        <v>0.002344837395</v>
      </c>
      <c r="O1103" s="7"/>
      <c r="P1103" s="4">
        <f t="shared" si="6"/>
        <v>1.202091761</v>
      </c>
      <c r="Q1103" s="4">
        <f t="shared" si="7"/>
        <v>9</v>
      </c>
      <c r="R1103" s="4">
        <f t="shared" si="8"/>
        <v>0</v>
      </c>
      <c r="S1103" s="4">
        <f t="shared" si="9"/>
        <v>1.202091761</v>
      </c>
      <c r="T1103" s="4">
        <f t="shared" si="10"/>
        <v>46</v>
      </c>
      <c r="U1103" s="4">
        <f t="shared" si="1"/>
        <v>1.202091761</v>
      </c>
      <c r="V1103" s="4"/>
    </row>
    <row r="1104">
      <c r="A1104" s="1" t="s">
        <v>17128</v>
      </c>
      <c r="B1104" s="1" t="s">
        <v>17129</v>
      </c>
      <c r="C1104" s="1" t="s">
        <v>17130</v>
      </c>
      <c r="D1104" s="1" t="s">
        <v>17099</v>
      </c>
      <c r="E1104" s="1" t="s">
        <v>17100</v>
      </c>
      <c r="F1104" s="1">
        <v>5858140.0</v>
      </c>
      <c r="G1104" s="1">
        <v>380380.0</v>
      </c>
      <c r="H1104" s="1">
        <v>3143.0</v>
      </c>
      <c r="I1104" s="1">
        <v>2.51E7</v>
      </c>
      <c r="J1104" s="1" t="s">
        <v>2468</v>
      </c>
      <c r="K1104" s="5">
        <f t="shared" si="2"/>
        <v>0.2333920319</v>
      </c>
      <c r="L1104" s="6">
        <f t="shared" si="3"/>
        <v>174</v>
      </c>
      <c r="M1104" s="6">
        <f t="shared" si="4"/>
        <v>33667.47126</v>
      </c>
      <c r="N1104" s="7">
        <f t="shared" si="5"/>
        <v>0.001341333517</v>
      </c>
      <c r="O1104" s="7"/>
      <c r="P1104" s="4">
        <f t="shared" si="6"/>
        <v>0.4952603304</v>
      </c>
      <c r="Q1104" s="4">
        <f t="shared" si="7"/>
        <v>5</v>
      </c>
      <c r="R1104" s="4">
        <f t="shared" si="8"/>
        <v>0</v>
      </c>
      <c r="S1104" s="4">
        <f t="shared" si="9"/>
        <v>0.4952603304</v>
      </c>
      <c r="T1104" s="4">
        <f t="shared" si="10"/>
        <v>19</v>
      </c>
      <c r="U1104" s="4">
        <f t="shared" si="1"/>
        <v>0.4952603304</v>
      </c>
      <c r="V1104" s="4"/>
    </row>
    <row r="1105">
      <c r="A1105" s="1" t="s">
        <v>17131</v>
      </c>
      <c r="B1105" s="1" t="s">
        <v>17132</v>
      </c>
      <c r="C1105" s="1" t="s">
        <v>17133</v>
      </c>
      <c r="D1105" s="1" t="s">
        <v>17099</v>
      </c>
      <c r="E1105" s="1" t="s">
        <v>17100</v>
      </c>
      <c r="F1105" s="1">
        <v>2432038.0</v>
      </c>
      <c r="G1105" s="1">
        <v>159220.0</v>
      </c>
      <c r="H1105" s="1">
        <v>2841.0</v>
      </c>
      <c r="I1105" s="1">
        <v>2.51E7</v>
      </c>
      <c r="J1105" s="1" t="s">
        <v>2468</v>
      </c>
      <c r="K1105" s="5">
        <f t="shared" si="2"/>
        <v>0.09689394422</v>
      </c>
      <c r="L1105" s="6">
        <f t="shared" si="3"/>
        <v>178</v>
      </c>
      <c r="M1105" s="6">
        <f t="shared" si="4"/>
        <v>13663.13483</v>
      </c>
      <c r="N1105" s="7">
        <f t="shared" si="5"/>
        <v>0.0005443480013</v>
      </c>
      <c r="O1105" s="7"/>
      <c r="P1105" s="4">
        <f t="shared" si="6"/>
        <v>-0.06610711819</v>
      </c>
      <c r="Q1105" s="4">
        <f t="shared" si="7"/>
        <v>5</v>
      </c>
      <c r="R1105" s="4">
        <f t="shared" si="8"/>
        <v>0</v>
      </c>
      <c r="S1105" s="4">
        <f t="shared" si="9"/>
        <v>-0.06610711819</v>
      </c>
      <c r="T1105" s="4">
        <f t="shared" si="10"/>
        <v>18</v>
      </c>
      <c r="U1105" s="4">
        <f t="shared" si="1"/>
        <v>-0.06610711819</v>
      </c>
      <c r="V1105" s="4"/>
    </row>
    <row r="1106">
      <c r="A1106" s="1" t="s">
        <v>17134</v>
      </c>
      <c r="B1106" s="1" t="s">
        <v>17135</v>
      </c>
      <c r="C1106" s="1" t="s">
        <v>17136</v>
      </c>
      <c r="D1106" s="1" t="s">
        <v>17099</v>
      </c>
      <c r="E1106" s="1" t="s">
        <v>17100</v>
      </c>
      <c r="F1106" s="1">
        <v>3559068.0</v>
      </c>
      <c r="G1106" s="1">
        <v>182602.0</v>
      </c>
      <c r="H1106" s="1">
        <v>3011.0</v>
      </c>
      <c r="I1106" s="1">
        <v>2.51E7</v>
      </c>
      <c r="J1106" s="1" t="s">
        <v>2468</v>
      </c>
      <c r="K1106" s="5">
        <f t="shared" si="2"/>
        <v>0.1417955378</v>
      </c>
      <c r="L1106" s="6">
        <f t="shared" si="3"/>
        <v>255</v>
      </c>
      <c r="M1106" s="6">
        <f t="shared" si="4"/>
        <v>13957.12941</v>
      </c>
      <c r="N1106" s="7">
        <f t="shared" si="5"/>
        <v>0.0005560609327</v>
      </c>
      <c r="O1106" s="7"/>
      <c r="P1106" s="4">
        <f t="shared" si="6"/>
        <v>-0.05785695763</v>
      </c>
      <c r="Q1106" s="4">
        <f t="shared" si="7"/>
        <v>3</v>
      </c>
      <c r="R1106" s="4">
        <f t="shared" si="8"/>
        <v>0</v>
      </c>
      <c r="S1106" s="4">
        <f t="shared" si="9"/>
        <v>-0.05785695763</v>
      </c>
      <c r="T1106" s="4">
        <f t="shared" si="10"/>
        <v>14</v>
      </c>
      <c r="U1106" s="4">
        <f t="shared" si="1"/>
        <v>-0.05785695763</v>
      </c>
      <c r="V1106" s="4"/>
    </row>
    <row r="1107">
      <c r="A1107" s="1" t="s">
        <v>17137</v>
      </c>
      <c r="B1107" s="1" t="s">
        <v>17138</v>
      </c>
      <c r="C1107" s="1" t="s">
        <v>17139</v>
      </c>
      <c r="D1107" s="1" t="s">
        <v>17099</v>
      </c>
      <c r="E1107" s="1" t="s">
        <v>17100</v>
      </c>
      <c r="F1107" s="1">
        <v>2760170.0</v>
      </c>
      <c r="G1107" s="1">
        <v>182563.0</v>
      </c>
      <c r="H1107" s="1">
        <v>2746.0</v>
      </c>
      <c r="I1107" s="1">
        <v>2.51E7</v>
      </c>
      <c r="J1107" s="1" t="s">
        <v>2468</v>
      </c>
      <c r="K1107" s="5">
        <f t="shared" si="2"/>
        <v>0.1099669323</v>
      </c>
      <c r="L1107" s="6">
        <f t="shared" si="3"/>
        <v>258</v>
      </c>
      <c r="M1107" s="6">
        <f t="shared" si="4"/>
        <v>10698.33333</v>
      </c>
      <c r="N1107" s="7">
        <f t="shared" si="5"/>
        <v>0.0004262284197</v>
      </c>
      <c r="O1107" s="7"/>
      <c r="P1107" s="4">
        <f t="shared" si="6"/>
        <v>-0.1493062315</v>
      </c>
      <c r="Q1107" s="4">
        <f t="shared" si="7"/>
        <v>4</v>
      </c>
      <c r="R1107" s="4">
        <f t="shared" si="8"/>
        <v>0</v>
      </c>
      <c r="S1107" s="4">
        <f t="shared" si="9"/>
        <v>-0.1493062315</v>
      </c>
      <c r="T1107" s="4">
        <f t="shared" si="10"/>
        <v>27</v>
      </c>
      <c r="U1107" s="4">
        <f t="shared" si="1"/>
        <v>-0.1493062315</v>
      </c>
      <c r="V1107" s="4"/>
    </row>
    <row r="1108">
      <c r="A1108" s="1" t="s">
        <v>17140</v>
      </c>
      <c r="B1108" s="1" t="s">
        <v>17141</v>
      </c>
      <c r="C1108" s="1" t="s">
        <v>17142</v>
      </c>
      <c r="D1108" s="1" t="s">
        <v>17099</v>
      </c>
      <c r="E1108" s="1" t="s">
        <v>17100</v>
      </c>
      <c r="F1108" s="1">
        <v>6322793.0</v>
      </c>
      <c r="G1108" s="1">
        <v>393538.0</v>
      </c>
      <c r="H1108" s="1">
        <v>4157.0</v>
      </c>
      <c r="I1108" s="1">
        <v>2.51E7</v>
      </c>
      <c r="J1108" s="1" t="s">
        <v>2468</v>
      </c>
      <c r="K1108" s="5">
        <f t="shared" si="2"/>
        <v>0.2519041036</v>
      </c>
      <c r="L1108" s="6">
        <f t="shared" si="3"/>
        <v>261</v>
      </c>
      <c r="M1108" s="6">
        <f t="shared" si="4"/>
        <v>24225.26054</v>
      </c>
      <c r="N1108" s="7">
        <f t="shared" si="5"/>
        <v>0.0009651498222</v>
      </c>
      <c r="O1108" s="7"/>
      <c r="P1108" s="4">
        <f t="shared" si="6"/>
        <v>0.2302902944</v>
      </c>
      <c r="Q1108" s="4">
        <f t="shared" si="7"/>
        <v>3</v>
      </c>
      <c r="R1108" s="4">
        <f t="shared" si="8"/>
        <v>0</v>
      </c>
      <c r="S1108" s="4">
        <f t="shared" si="9"/>
        <v>0.2302902944</v>
      </c>
      <c r="T1108" s="4">
        <f t="shared" si="10"/>
        <v>13</v>
      </c>
      <c r="U1108" s="4">
        <f t="shared" si="1"/>
        <v>0.2302902944</v>
      </c>
      <c r="V1108" s="4"/>
    </row>
    <row r="1109">
      <c r="A1109" s="1" t="s">
        <v>17143</v>
      </c>
      <c r="B1109" s="1" t="s">
        <v>17144</v>
      </c>
      <c r="C1109" s="1" t="s">
        <v>17145</v>
      </c>
      <c r="D1109" s="1" t="s">
        <v>17099</v>
      </c>
      <c r="E1109" s="1" t="s">
        <v>17100</v>
      </c>
      <c r="F1109" s="1">
        <v>2966461.0</v>
      </c>
      <c r="G1109" s="1">
        <v>221577.0</v>
      </c>
      <c r="H1109" s="1">
        <v>5175.0</v>
      </c>
      <c r="I1109" s="1">
        <v>2.51E7</v>
      </c>
      <c r="J1109" s="1" t="s">
        <v>2468</v>
      </c>
      <c r="K1109" s="5">
        <f t="shared" si="2"/>
        <v>0.1181856972</v>
      </c>
      <c r="L1109" s="6">
        <f t="shared" si="3"/>
        <v>265</v>
      </c>
      <c r="M1109" s="6">
        <f t="shared" si="4"/>
        <v>11194.19245</v>
      </c>
      <c r="N1109" s="7">
        <f t="shared" si="5"/>
        <v>0.0004459837631</v>
      </c>
      <c r="O1109" s="7"/>
      <c r="P1109" s="4">
        <f t="shared" si="6"/>
        <v>-0.1353912901</v>
      </c>
      <c r="Q1109" s="4">
        <f t="shared" si="7"/>
        <v>7</v>
      </c>
      <c r="R1109" s="4">
        <f t="shared" si="8"/>
        <v>0</v>
      </c>
      <c r="S1109" s="4">
        <f t="shared" si="9"/>
        <v>-0.1353912901</v>
      </c>
      <c r="T1109" s="4">
        <f t="shared" si="10"/>
        <v>34</v>
      </c>
      <c r="U1109" s="4">
        <f t="shared" si="1"/>
        <v>-0.1353912901</v>
      </c>
      <c r="V1109" s="4"/>
    </row>
    <row r="1110">
      <c r="A1110" s="1" t="s">
        <v>17146</v>
      </c>
      <c r="B1110" s="1" t="s">
        <v>17147</v>
      </c>
      <c r="C1110" s="1" t="s">
        <v>17148</v>
      </c>
      <c r="D1110" s="1" t="s">
        <v>17099</v>
      </c>
      <c r="E1110" s="1" t="s">
        <v>17100</v>
      </c>
      <c r="F1110" s="1">
        <v>3298320.0</v>
      </c>
      <c r="G1110" s="1">
        <v>191613.0</v>
      </c>
      <c r="H1110" s="1">
        <v>2737.0</v>
      </c>
      <c r="I1110" s="1">
        <v>2.51E7</v>
      </c>
      <c r="J1110" s="1" t="s">
        <v>2468</v>
      </c>
      <c r="K1110" s="5">
        <f t="shared" si="2"/>
        <v>0.1314071713</v>
      </c>
      <c r="L1110" s="6">
        <f t="shared" si="3"/>
        <v>267</v>
      </c>
      <c r="M1110" s="6">
        <f t="shared" si="4"/>
        <v>12353.25843</v>
      </c>
      <c r="N1110" s="7">
        <f t="shared" si="5"/>
        <v>0.0004921616903</v>
      </c>
      <c r="O1110" s="7"/>
      <c r="P1110" s="4">
        <f t="shared" si="6"/>
        <v>-0.102865247</v>
      </c>
      <c r="Q1110" s="4">
        <f t="shared" si="7"/>
        <v>6</v>
      </c>
      <c r="R1110" s="4">
        <f t="shared" si="8"/>
        <v>1</v>
      </c>
      <c r="S1110" s="4">
        <f t="shared" si="9"/>
        <v>-0.102865247</v>
      </c>
      <c r="T1110" s="4">
        <f t="shared" si="10"/>
        <v>27</v>
      </c>
      <c r="U1110" s="4">
        <f t="shared" si="1"/>
        <v>-0.102865247</v>
      </c>
      <c r="V1110" s="4"/>
    </row>
    <row r="1111">
      <c r="A1111" s="1" t="s">
        <v>17149</v>
      </c>
      <c r="B1111" s="1" t="s">
        <v>17150</v>
      </c>
      <c r="C1111" s="1" t="s">
        <v>17151</v>
      </c>
      <c r="D1111" s="1" t="s">
        <v>17099</v>
      </c>
      <c r="E1111" s="1" t="s">
        <v>17100</v>
      </c>
      <c r="F1111" s="1">
        <v>9379999.0</v>
      </c>
      <c r="G1111" s="1">
        <v>444956.0</v>
      </c>
      <c r="H1111" s="1">
        <v>3726.0</v>
      </c>
      <c r="I1111" s="1">
        <v>2.51E7</v>
      </c>
      <c r="J1111" s="1" t="s">
        <v>2468</v>
      </c>
      <c r="K1111" s="5">
        <f t="shared" si="2"/>
        <v>0.3737051394</v>
      </c>
      <c r="L1111" s="6">
        <f t="shared" si="3"/>
        <v>268</v>
      </c>
      <c r="M1111" s="6">
        <f t="shared" si="4"/>
        <v>34999.99627</v>
      </c>
      <c r="N1111" s="7">
        <f t="shared" si="5"/>
        <v>0.001394422162</v>
      </c>
      <c r="O1111" s="7"/>
      <c r="P1111" s="4">
        <f t="shared" si="6"/>
        <v>0.5326540308</v>
      </c>
      <c r="Q1111" s="4">
        <f t="shared" si="7"/>
        <v>3</v>
      </c>
      <c r="R1111" s="4">
        <f t="shared" si="8"/>
        <v>0</v>
      </c>
      <c r="S1111" s="4">
        <f t="shared" si="9"/>
        <v>0.5326540308</v>
      </c>
      <c r="T1111" s="4">
        <f t="shared" si="10"/>
        <v>15</v>
      </c>
      <c r="U1111" s="4">
        <f t="shared" si="1"/>
        <v>0.5326540308</v>
      </c>
      <c r="V1111" s="4"/>
    </row>
    <row r="1112">
      <c r="A1112" s="1" t="s">
        <v>17152</v>
      </c>
      <c r="B1112" s="1" t="s">
        <v>17153</v>
      </c>
      <c r="C1112" s="1" t="s">
        <v>17154</v>
      </c>
      <c r="D1112" s="1" t="s">
        <v>17099</v>
      </c>
      <c r="E1112" s="1" t="s">
        <v>17100</v>
      </c>
      <c r="F1112" s="1">
        <v>3.1881051E7</v>
      </c>
      <c r="G1112" s="1">
        <v>1527289.0</v>
      </c>
      <c r="H1112" s="1">
        <v>15246.0</v>
      </c>
      <c r="I1112" s="1">
        <v>2.51E7</v>
      </c>
      <c r="J1112" s="1" t="s">
        <v>2468</v>
      </c>
      <c r="K1112" s="5">
        <f t="shared" si="2"/>
        <v>1.270161394</v>
      </c>
      <c r="L1112" s="6">
        <f t="shared" si="3"/>
        <v>272</v>
      </c>
      <c r="M1112" s="6">
        <f t="shared" si="4"/>
        <v>117209.7463</v>
      </c>
      <c r="N1112" s="7">
        <f t="shared" si="5"/>
        <v>0.004669711009</v>
      </c>
      <c r="O1112" s="7"/>
      <c r="P1112" s="4">
        <f t="shared" si="6"/>
        <v>2.839647707</v>
      </c>
      <c r="Q1112" s="4">
        <f t="shared" si="7"/>
        <v>3</v>
      </c>
      <c r="R1112" s="4">
        <f t="shared" si="8"/>
        <v>0</v>
      </c>
      <c r="S1112" s="4">
        <f t="shared" si="9"/>
        <v>2.839647707</v>
      </c>
      <c r="T1112" s="4">
        <f t="shared" si="10"/>
        <v>13</v>
      </c>
      <c r="U1112" s="4">
        <f t="shared" si="1"/>
        <v>2.839647707</v>
      </c>
      <c r="V1112" s="4"/>
    </row>
    <row r="1113">
      <c r="A1113" s="1" t="s">
        <v>17155</v>
      </c>
      <c r="B1113" s="1" t="s">
        <v>17156</v>
      </c>
      <c r="C1113" s="1" t="s">
        <v>17157</v>
      </c>
      <c r="D1113" s="1" t="s">
        <v>17099</v>
      </c>
      <c r="E1113" s="1" t="s">
        <v>17100</v>
      </c>
      <c r="F1113" s="1">
        <v>2448209.0</v>
      </c>
      <c r="G1113" s="1">
        <v>157405.0</v>
      </c>
      <c r="H1113" s="1">
        <v>1878.0</v>
      </c>
      <c r="I1113" s="1">
        <v>2.51E7</v>
      </c>
      <c r="J1113" s="1" t="s">
        <v>2468</v>
      </c>
      <c r="K1113" s="5">
        <f t="shared" si="2"/>
        <v>0.09753820717</v>
      </c>
      <c r="L1113" s="6">
        <f t="shared" si="3"/>
        <v>273</v>
      </c>
      <c r="M1113" s="6">
        <f t="shared" si="4"/>
        <v>8967.798535</v>
      </c>
      <c r="N1113" s="7">
        <f t="shared" si="5"/>
        <v>0.0003572828102</v>
      </c>
      <c r="O1113" s="7"/>
      <c r="P1113" s="4">
        <f t="shared" si="6"/>
        <v>-0.1978689972</v>
      </c>
      <c r="Q1113" s="4">
        <f t="shared" si="7"/>
        <v>6</v>
      </c>
      <c r="R1113" s="4">
        <f t="shared" si="8"/>
        <v>0</v>
      </c>
      <c r="S1113" s="4">
        <f t="shared" si="9"/>
        <v>-0.1978689972</v>
      </c>
      <c r="T1113" s="4">
        <f t="shared" si="10"/>
        <v>33</v>
      </c>
      <c r="U1113" s="4">
        <f t="shared" si="1"/>
        <v>-0.1978689972</v>
      </c>
      <c r="V1113" s="4"/>
    </row>
    <row r="1114">
      <c r="A1114" s="1" t="s">
        <v>17158</v>
      </c>
      <c r="B1114" s="1" t="s">
        <v>17159</v>
      </c>
      <c r="C1114" s="1" t="s">
        <v>17160</v>
      </c>
      <c r="D1114" s="1" t="s">
        <v>17099</v>
      </c>
      <c r="E1114" s="1" t="s">
        <v>17100</v>
      </c>
      <c r="F1114" s="1">
        <v>2825543.0</v>
      </c>
      <c r="G1114" s="1">
        <v>203315.0</v>
      </c>
      <c r="H1114" s="1">
        <v>6078.0</v>
      </c>
      <c r="I1114" s="1">
        <v>2.51E7</v>
      </c>
      <c r="J1114" s="1" t="s">
        <v>2468</v>
      </c>
      <c r="K1114" s="5">
        <f t="shared" si="2"/>
        <v>0.1125714343</v>
      </c>
      <c r="L1114" s="6">
        <f t="shared" si="3"/>
        <v>276</v>
      </c>
      <c r="M1114" s="6">
        <f t="shared" si="4"/>
        <v>10237.47464</v>
      </c>
      <c r="N1114" s="7">
        <f t="shared" si="5"/>
        <v>0.0004078675154</v>
      </c>
      <c r="O1114" s="7"/>
      <c r="P1114" s="4">
        <f t="shared" si="6"/>
        <v>-0.1622389809</v>
      </c>
      <c r="Q1114" s="4">
        <f t="shared" si="7"/>
        <v>7</v>
      </c>
      <c r="R1114" s="4">
        <f t="shared" si="8"/>
        <v>0</v>
      </c>
      <c r="S1114" s="4">
        <f t="shared" si="9"/>
        <v>-0.1622389809</v>
      </c>
      <c r="T1114" s="4">
        <f t="shared" si="10"/>
        <v>29</v>
      </c>
      <c r="U1114" s="4">
        <f t="shared" si="1"/>
        <v>-0.1622389809</v>
      </c>
      <c r="V1114" s="4"/>
    </row>
    <row r="1115">
      <c r="A1115" s="1" t="s">
        <v>17161</v>
      </c>
      <c r="B1115" s="1" t="s">
        <v>17162</v>
      </c>
      <c r="C1115" s="1" t="s">
        <v>17163</v>
      </c>
      <c r="D1115" s="1" t="s">
        <v>17099</v>
      </c>
      <c r="E1115" s="1" t="s">
        <v>17100</v>
      </c>
      <c r="F1115" s="1">
        <v>3251685.0</v>
      </c>
      <c r="G1115" s="1">
        <v>264823.0</v>
      </c>
      <c r="H1115" s="1">
        <v>5157.0</v>
      </c>
      <c r="I1115" s="1">
        <v>2.51E7</v>
      </c>
      <c r="J1115" s="1" t="s">
        <v>2468</v>
      </c>
      <c r="K1115" s="5">
        <f t="shared" si="2"/>
        <v>0.1295492032</v>
      </c>
      <c r="L1115" s="6">
        <f t="shared" si="3"/>
        <v>282</v>
      </c>
      <c r="M1115" s="6">
        <f t="shared" si="4"/>
        <v>11530.79787</v>
      </c>
      <c r="N1115" s="7">
        <f t="shared" si="5"/>
        <v>0.0004593943375</v>
      </c>
      <c r="O1115" s="7"/>
      <c r="P1115" s="4">
        <f t="shared" si="6"/>
        <v>-0.1259453719</v>
      </c>
      <c r="Q1115" s="4">
        <f t="shared" si="7"/>
        <v>3</v>
      </c>
      <c r="R1115" s="4">
        <f t="shared" si="8"/>
        <v>0</v>
      </c>
      <c r="S1115" s="4">
        <f t="shared" si="9"/>
        <v>-0.1259453719</v>
      </c>
      <c r="T1115" s="4">
        <f t="shared" si="10"/>
        <v>21</v>
      </c>
      <c r="U1115" s="4">
        <f t="shared" si="1"/>
        <v>-0.1259453719</v>
      </c>
      <c r="V1115" s="4"/>
    </row>
    <row r="1116">
      <c r="A1116" s="1" t="s">
        <v>17164</v>
      </c>
      <c r="B1116" s="1" t="s">
        <v>17165</v>
      </c>
      <c r="C1116" s="1" t="s">
        <v>17166</v>
      </c>
      <c r="D1116" s="1" t="s">
        <v>17099</v>
      </c>
      <c r="E1116" s="1" t="s">
        <v>17100</v>
      </c>
      <c r="F1116" s="1">
        <v>7952013.0</v>
      </c>
      <c r="G1116" s="1">
        <v>296192.0</v>
      </c>
      <c r="H1116" s="1">
        <v>4936.0</v>
      </c>
      <c r="I1116" s="1">
        <v>2.51E7</v>
      </c>
      <c r="J1116" s="1" t="s">
        <v>2468</v>
      </c>
      <c r="K1116" s="5">
        <f t="shared" si="2"/>
        <v>0.3168132669</v>
      </c>
      <c r="L1116" s="6">
        <f t="shared" si="3"/>
        <v>286</v>
      </c>
      <c r="M1116" s="6">
        <f t="shared" si="4"/>
        <v>27804.24126</v>
      </c>
      <c r="N1116" s="7">
        <f t="shared" si="5"/>
        <v>0.001107738696</v>
      </c>
      <c r="O1116" s="7"/>
      <c r="P1116" s="4">
        <f t="shared" si="6"/>
        <v>0.3307246819</v>
      </c>
      <c r="Q1116" s="4">
        <f t="shared" si="7"/>
        <v>11</v>
      </c>
      <c r="R1116" s="4">
        <f t="shared" si="8"/>
        <v>0</v>
      </c>
      <c r="S1116" s="4">
        <f t="shared" si="9"/>
        <v>0.3307246819</v>
      </c>
      <c r="T1116" s="4">
        <f t="shared" si="10"/>
        <v>33</v>
      </c>
      <c r="U1116" s="4">
        <f t="shared" si="1"/>
        <v>0.3307246819</v>
      </c>
      <c r="V1116" s="4"/>
    </row>
    <row r="1117">
      <c r="A1117" s="1" t="s">
        <v>17167</v>
      </c>
      <c r="B1117" s="1" t="s">
        <v>17168</v>
      </c>
      <c r="C1117" s="1" t="s">
        <v>17169</v>
      </c>
      <c r="D1117" s="1" t="s">
        <v>17099</v>
      </c>
      <c r="E1117" s="1" t="s">
        <v>17100</v>
      </c>
      <c r="F1117" s="1">
        <v>3744775.0</v>
      </c>
      <c r="G1117" s="1">
        <v>228066.0</v>
      </c>
      <c r="H1117" s="1">
        <v>2939.0</v>
      </c>
      <c r="I1117" s="1">
        <v>2.51E7</v>
      </c>
      <c r="J1117" s="1" t="s">
        <v>2468</v>
      </c>
      <c r="K1117" s="5">
        <f t="shared" si="2"/>
        <v>0.1491942231</v>
      </c>
      <c r="L1117" s="6">
        <f t="shared" si="3"/>
        <v>288</v>
      </c>
      <c r="M1117" s="6">
        <f t="shared" si="4"/>
        <v>13002.69097</v>
      </c>
      <c r="N1117" s="7">
        <f t="shared" si="5"/>
        <v>0.0005180354969</v>
      </c>
      <c r="O1117" s="7"/>
      <c r="P1117" s="4">
        <f t="shared" si="6"/>
        <v>-0.08464068392</v>
      </c>
      <c r="Q1117" s="4">
        <f t="shared" si="7"/>
        <v>6</v>
      </c>
      <c r="R1117" s="4">
        <f t="shared" si="8"/>
        <v>0</v>
      </c>
      <c r="S1117" s="4">
        <f t="shared" si="9"/>
        <v>-0.08464068392</v>
      </c>
      <c r="T1117" s="4">
        <f t="shared" si="10"/>
        <v>28</v>
      </c>
      <c r="U1117" s="4">
        <f t="shared" si="1"/>
        <v>-0.08464068392</v>
      </c>
      <c r="V1117" s="4"/>
    </row>
    <row r="1118">
      <c r="A1118" s="1" t="s">
        <v>17170</v>
      </c>
      <c r="B1118" s="1" t="s">
        <v>17171</v>
      </c>
      <c r="C1118" s="1" t="s">
        <v>17172</v>
      </c>
      <c r="D1118" s="1" t="s">
        <v>17099</v>
      </c>
      <c r="E1118" s="1" t="s">
        <v>17100</v>
      </c>
      <c r="F1118" s="1">
        <v>8100149.0</v>
      </c>
      <c r="G1118" s="1">
        <v>563040.0</v>
      </c>
      <c r="H1118" s="1">
        <v>8121.0</v>
      </c>
      <c r="I1118" s="1">
        <v>2.51E7</v>
      </c>
      <c r="J1118" s="1" t="s">
        <v>2468</v>
      </c>
      <c r="K1118" s="5">
        <f t="shared" si="2"/>
        <v>0.3227150996</v>
      </c>
      <c r="L1118" s="6">
        <f t="shared" si="3"/>
        <v>290</v>
      </c>
      <c r="M1118" s="6">
        <f t="shared" si="4"/>
        <v>27931.54828</v>
      </c>
      <c r="N1118" s="7">
        <f t="shared" si="5"/>
        <v>0.001112810688</v>
      </c>
      <c r="O1118" s="7"/>
      <c r="P1118" s="4">
        <f t="shared" si="6"/>
        <v>0.334297208</v>
      </c>
      <c r="Q1118" s="4">
        <f t="shared" si="7"/>
        <v>1</v>
      </c>
      <c r="R1118" s="4">
        <f t="shared" si="8"/>
        <v>0</v>
      </c>
      <c r="S1118" s="4">
        <f t="shared" si="9"/>
        <v>0.334297208</v>
      </c>
      <c r="T1118" s="4">
        <f t="shared" si="10"/>
        <v>27</v>
      </c>
      <c r="U1118" s="4">
        <f t="shared" si="1"/>
        <v>0.334297208</v>
      </c>
      <c r="V1118" s="4"/>
    </row>
    <row r="1119">
      <c r="A1119" s="1" t="s">
        <v>17173</v>
      </c>
      <c r="B1119" s="1" t="s">
        <v>17174</v>
      </c>
      <c r="C1119" s="1" t="s">
        <v>17175</v>
      </c>
      <c r="D1119" s="1" t="s">
        <v>17099</v>
      </c>
      <c r="E1119" s="1" t="s">
        <v>17100</v>
      </c>
      <c r="F1119" s="1">
        <v>2.4615635E7</v>
      </c>
      <c r="G1119" s="1">
        <v>1322572.0</v>
      </c>
      <c r="H1119" s="1">
        <v>13344.0</v>
      </c>
      <c r="I1119" s="1">
        <v>2.51E7</v>
      </c>
      <c r="J1119" s="1" t="s">
        <v>2468</v>
      </c>
      <c r="K1119" s="5">
        <f t="shared" si="2"/>
        <v>0.9807025896</v>
      </c>
      <c r="L1119" s="6">
        <f t="shared" si="3"/>
        <v>294</v>
      </c>
      <c r="M1119" s="6">
        <f t="shared" si="4"/>
        <v>83726.64966</v>
      </c>
      <c r="N1119" s="7">
        <f t="shared" si="5"/>
        <v>0.003335723094</v>
      </c>
      <c r="O1119" s="7"/>
      <c r="P1119" s="4">
        <f t="shared" si="6"/>
        <v>1.900035408</v>
      </c>
      <c r="Q1119" s="4">
        <f t="shared" si="7"/>
        <v>3</v>
      </c>
      <c r="R1119" s="4">
        <f t="shared" si="8"/>
        <v>0</v>
      </c>
      <c r="S1119" s="4">
        <f t="shared" si="9"/>
        <v>1.900035408</v>
      </c>
      <c r="T1119" s="4">
        <f t="shared" si="10"/>
        <v>17</v>
      </c>
      <c r="U1119" s="4">
        <f t="shared" si="1"/>
        <v>1.900035408</v>
      </c>
      <c r="V1119" s="4"/>
    </row>
    <row r="1120">
      <c r="A1120" s="1" t="s">
        <v>17176</v>
      </c>
      <c r="B1120" s="1" t="s">
        <v>17177</v>
      </c>
      <c r="C1120" s="1" t="s">
        <v>17178</v>
      </c>
      <c r="D1120" s="1" t="s">
        <v>17099</v>
      </c>
      <c r="E1120" s="1" t="s">
        <v>17100</v>
      </c>
      <c r="F1120" s="1">
        <v>1.4820325E7</v>
      </c>
      <c r="G1120" s="1">
        <v>624819.0</v>
      </c>
      <c r="H1120" s="1">
        <v>2953.0</v>
      </c>
      <c r="I1120" s="1">
        <v>2.51E7</v>
      </c>
      <c r="J1120" s="1" t="s">
        <v>2468</v>
      </c>
      <c r="K1120" s="5">
        <f t="shared" si="2"/>
        <v>0.5904511952</v>
      </c>
      <c r="L1120" s="6">
        <f t="shared" si="3"/>
        <v>296</v>
      </c>
      <c r="M1120" s="6">
        <f t="shared" si="4"/>
        <v>50068.66554</v>
      </c>
      <c r="N1120" s="7">
        <f t="shared" si="5"/>
        <v>0.001994767551</v>
      </c>
      <c r="O1120" s="7"/>
      <c r="P1120" s="4">
        <f t="shared" si="6"/>
        <v>0.9555153664</v>
      </c>
      <c r="Q1120" s="4">
        <f t="shared" si="7"/>
        <v>5</v>
      </c>
      <c r="R1120" s="4">
        <f t="shared" si="8"/>
        <v>1</v>
      </c>
      <c r="S1120" s="4">
        <f t="shared" si="9"/>
        <v>0.9555153664</v>
      </c>
      <c r="T1120" s="4">
        <f t="shared" si="10"/>
        <v>26</v>
      </c>
      <c r="U1120" s="4">
        <f t="shared" si="1"/>
        <v>0.9555153664</v>
      </c>
      <c r="V1120" s="4"/>
    </row>
    <row r="1121">
      <c r="A1121" s="1" t="s">
        <v>17179</v>
      </c>
      <c r="B1121" s="1" t="s">
        <v>17180</v>
      </c>
      <c r="C1121" s="1" t="s">
        <v>17181</v>
      </c>
      <c r="D1121" s="1" t="s">
        <v>17099</v>
      </c>
      <c r="E1121" s="1" t="s">
        <v>17100</v>
      </c>
      <c r="F1121" s="1">
        <v>1.0058058E7</v>
      </c>
      <c r="G1121" s="1">
        <v>493000.0</v>
      </c>
      <c r="H1121" s="1">
        <v>3732.0</v>
      </c>
      <c r="I1121" s="1">
        <v>2.51E7</v>
      </c>
      <c r="J1121" s="1" t="s">
        <v>2468</v>
      </c>
      <c r="K1121" s="5">
        <f t="shared" si="2"/>
        <v>0.4007194422</v>
      </c>
      <c r="L1121" s="6">
        <f t="shared" si="3"/>
        <v>300</v>
      </c>
      <c r="M1121" s="6">
        <f t="shared" si="4"/>
        <v>33526.86</v>
      </c>
      <c r="N1121" s="7">
        <f t="shared" si="5"/>
        <v>0.001335731474</v>
      </c>
      <c r="O1121" s="7"/>
      <c r="P1121" s="4">
        <f t="shared" si="6"/>
        <v>0.4913144566</v>
      </c>
      <c r="Q1121" s="4">
        <f t="shared" si="7"/>
        <v>3</v>
      </c>
      <c r="R1121" s="4">
        <f t="shared" si="8"/>
        <v>0</v>
      </c>
      <c r="S1121" s="4">
        <f t="shared" si="9"/>
        <v>0.4913144566</v>
      </c>
      <c r="T1121" s="4">
        <f t="shared" si="10"/>
        <v>24</v>
      </c>
      <c r="U1121" s="4">
        <f t="shared" si="1"/>
        <v>0.4913144566</v>
      </c>
      <c r="V1121" s="4"/>
    </row>
    <row r="1122">
      <c r="A1122" s="1" t="s">
        <v>17182</v>
      </c>
      <c r="B1122" s="1" t="s">
        <v>17183</v>
      </c>
      <c r="C1122" s="1" t="s">
        <v>17184</v>
      </c>
      <c r="D1122" s="1" t="s">
        <v>17099</v>
      </c>
      <c r="E1122" s="1" t="s">
        <v>17100</v>
      </c>
      <c r="F1122" s="1">
        <v>8976793.0</v>
      </c>
      <c r="G1122" s="1">
        <v>504991.0</v>
      </c>
      <c r="H1122" s="1">
        <v>5972.0</v>
      </c>
      <c r="I1122" s="1">
        <v>2.51E7</v>
      </c>
      <c r="J1122" s="1" t="s">
        <v>2468</v>
      </c>
      <c r="K1122" s="5">
        <f t="shared" si="2"/>
        <v>0.3576411554</v>
      </c>
      <c r="L1122" s="6">
        <f t="shared" si="3"/>
        <v>302</v>
      </c>
      <c r="M1122" s="6">
        <f t="shared" si="4"/>
        <v>29724.48013</v>
      </c>
      <c r="N1122" s="7">
        <f t="shared" si="5"/>
        <v>0.001184242236</v>
      </c>
      <c r="O1122" s="7"/>
      <c r="P1122" s="4">
        <f t="shared" si="6"/>
        <v>0.384610978</v>
      </c>
      <c r="Q1122" s="4">
        <f t="shared" si="7"/>
        <v>4</v>
      </c>
      <c r="R1122" s="4">
        <f t="shared" si="8"/>
        <v>1</v>
      </c>
      <c r="S1122" s="4">
        <f t="shared" si="9"/>
        <v>0.384610978</v>
      </c>
      <c r="T1122" s="4">
        <f t="shared" si="10"/>
        <v>21</v>
      </c>
      <c r="U1122" s="4">
        <f t="shared" si="1"/>
        <v>0.384610978</v>
      </c>
      <c r="V1122" s="4"/>
    </row>
    <row r="1123">
      <c r="A1123" s="1" t="s">
        <v>17185</v>
      </c>
      <c r="B1123" s="1" t="s">
        <v>17186</v>
      </c>
      <c r="C1123" s="1" t="s">
        <v>17187</v>
      </c>
      <c r="D1123" s="1" t="s">
        <v>17099</v>
      </c>
      <c r="E1123" s="1" t="s">
        <v>17100</v>
      </c>
      <c r="F1123" s="1">
        <v>3239298.0</v>
      </c>
      <c r="G1123" s="1">
        <v>204631.0</v>
      </c>
      <c r="H1123" s="1">
        <v>3400.0</v>
      </c>
      <c r="I1123" s="1">
        <v>2.51E7</v>
      </c>
      <c r="J1123" s="1" t="s">
        <v>2468</v>
      </c>
      <c r="K1123" s="5">
        <f t="shared" si="2"/>
        <v>0.1290556972</v>
      </c>
      <c r="L1123" s="6">
        <f t="shared" si="3"/>
        <v>303</v>
      </c>
      <c r="M1123" s="6">
        <f t="shared" si="4"/>
        <v>10690.75248</v>
      </c>
      <c r="N1123" s="7">
        <f t="shared" si="5"/>
        <v>0.0004259263934</v>
      </c>
      <c r="O1123" s="7"/>
      <c r="P1123" s="4">
        <f t="shared" si="6"/>
        <v>-0.1495189677</v>
      </c>
      <c r="Q1123" s="4">
        <f t="shared" si="7"/>
        <v>5</v>
      </c>
      <c r="R1123" s="4">
        <f t="shared" si="8"/>
        <v>0</v>
      </c>
      <c r="S1123" s="4">
        <f t="shared" si="9"/>
        <v>-0.1495189677</v>
      </c>
      <c r="T1123" s="4">
        <f t="shared" si="10"/>
        <v>22</v>
      </c>
      <c r="U1123" s="4">
        <f t="shared" si="1"/>
        <v>-0.1495189677</v>
      </c>
      <c r="V1123" s="4"/>
    </row>
    <row r="1124">
      <c r="A1124" s="1" t="s">
        <v>17188</v>
      </c>
      <c r="B1124" s="1" t="s">
        <v>17189</v>
      </c>
      <c r="C1124" s="1" t="s">
        <v>17190</v>
      </c>
      <c r="D1124" s="1" t="s">
        <v>17099</v>
      </c>
      <c r="E1124" s="1" t="s">
        <v>17100</v>
      </c>
      <c r="F1124" s="1">
        <v>3999298.0</v>
      </c>
      <c r="G1124" s="1">
        <v>284183.0</v>
      </c>
      <c r="H1124" s="1">
        <v>8586.0</v>
      </c>
      <c r="I1124" s="1">
        <v>2.51E7</v>
      </c>
      <c r="J1124" s="1" t="s">
        <v>2468</v>
      </c>
      <c r="K1124" s="5">
        <f t="shared" si="2"/>
        <v>0.1593345817</v>
      </c>
      <c r="L1124" s="6">
        <f t="shared" si="3"/>
        <v>309</v>
      </c>
      <c r="M1124" s="6">
        <f t="shared" si="4"/>
        <v>12942.71197</v>
      </c>
      <c r="N1124" s="7">
        <f t="shared" si="5"/>
        <v>0.0005156458954</v>
      </c>
      <c r="O1124" s="7"/>
      <c r="P1124" s="4">
        <f t="shared" si="6"/>
        <v>-0.08632383184</v>
      </c>
      <c r="Q1124" s="4">
        <f t="shared" si="7"/>
        <v>2</v>
      </c>
      <c r="R1124" s="4">
        <f t="shared" si="8"/>
        <v>0</v>
      </c>
      <c r="S1124" s="4">
        <f t="shared" si="9"/>
        <v>-0.08632383184</v>
      </c>
      <c r="T1124" s="4">
        <f t="shared" si="10"/>
        <v>10</v>
      </c>
      <c r="U1124" s="4">
        <f t="shared" si="1"/>
        <v>-0.08632383184</v>
      </c>
      <c r="V1124" s="4"/>
    </row>
    <row r="1125">
      <c r="A1125" s="1" t="s">
        <v>17191</v>
      </c>
      <c r="B1125" s="1" t="s">
        <v>17192</v>
      </c>
      <c r="C1125" s="1" t="s">
        <v>17193</v>
      </c>
      <c r="D1125" s="1" t="s">
        <v>17099</v>
      </c>
      <c r="E1125" s="1" t="s">
        <v>17100</v>
      </c>
      <c r="F1125" s="1">
        <v>4528126.0</v>
      </c>
      <c r="G1125" s="1">
        <v>234929.0</v>
      </c>
      <c r="H1125" s="1">
        <v>2835.0</v>
      </c>
      <c r="I1125" s="1">
        <v>2.51E7</v>
      </c>
      <c r="J1125" s="1" t="s">
        <v>2468</v>
      </c>
      <c r="K1125" s="5">
        <f t="shared" si="2"/>
        <v>0.1804034263</v>
      </c>
      <c r="L1125" s="6">
        <f t="shared" si="3"/>
        <v>311</v>
      </c>
      <c r="M1125" s="6">
        <f t="shared" si="4"/>
        <v>14559.89068</v>
      </c>
      <c r="N1125" s="7">
        <f t="shared" si="5"/>
        <v>0.0005800753257</v>
      </c>
      <c r="O1125" s="7"/>
      <c r="P1125" s="4">
        <f t="shared" si="6"/>
        <v>-0.04094209751</v>
      </c>
      <c r="Q1125" s="4">
        <f t="shared" si="7"/>
        <v>7</v>
      </c>
      <c r="R1125" s="4">
        <f t="shared" si="8"/>
        <v>0</v>
      </c>
      <c r="S1125" s="4">
        <f t="shared" si="9"/>
        <v>-0.04094209751</v>
      </c>
      <c r="T1125" s="4">
        <f t="shared" si="10"/>
        <v>31</v>
      </c>
      <c r="U1125" s="4">
        <f t="shared" si="1"/>
        <v>-0.04094209751</v>
      </c>
      <c r="V1125" s="4"/>
    </row>
    <row r="1126">
      <c r="A1126" s="1" t="s">
        <v>17194</v>
      </c>
      <c r="B1126" s="1" t="s">
        <v>17195</v>
      </c>
      <c r="C1126" s="1" t="s">
        <v>17196</v>
      </c>
      <c r="D1126" s="1" t="s">
        <v>17099</v>
      </c>
      <c r="E1126" s="1" t="s">
        <v>17100</v>
      </c>
      <c r="F1126" s="1">
        <v>1.7203308E7</v>
      </c>
      <c r="G1126" s="1">
        <v>927796.0</v>
      </c>
      <c r="H1126" s="1">
        <v>8474.0</v>
      </c>
      <c r="I1126" s="1">
        <v>2.51E7</v>
      </c>
      <c r="J1126" s="1" t="s">
        <v>2468</v>
      </c>
      <c r="K1126" s="5">
        <f t="shared" si="2"/>
        <v>0.685390757</v>
      </c>
      <c r="L1126" s="6">
        <f t="shared" si="3"/>
        <v>314</v>
      </c>
      <c r="M1126" s="6">
        <f t="shared" si="4"/>
        <v>54787.6051</v>
      </c>
      <c r="N1126" s="7">
        <f t="shared" si="5"/>
        <v>0.002182773111</v>
      </c>
      <c r="O1126" s="7"/>
      <c r="P1126" s="4">
        <f t="shared" si="6"/>
        <v>1.087939607</v>
      </c>
      <c r="Q1126" s="4">
        <f t="shared" si="7"/>
        <v>8</v>
      </c>
      <c r="R1126" s="4">
        <f t="shared" si="8"/>
        <v>0</v>
      </c>
      <c r="S1126" s="4">
        <f t="shared" si="9"/>
        <v>1.087939607</v>
      </c>
      <c r="T1126" s="4">
        <f t="shared" si="10"/>
        <v>33</v>
      </c>
      <c r="U1126" s="4">
        <f t="shared" si="1"/>
        <v>1.087939607</v>
      </c>
      <c r="V1126" s="4"/>
    </row>
    <row r="1127">
      <c r="A1127" s="1" t="s">
        <v>17197</v>
      </c>
      <c r="B1127" s="1" t="s">
        <v>17198</v>
      </c>
      <c r="C1127" s="1" t="s">
        <v>17199</v>
      </c>
      <c r="D1127" s="1" t="s">
        <v>17099</v>
      </c>
      <c r="E1127" s="1" t="s">
        <v>17100</v>
      </c>
      <c r="F1127" s="1">
        <v>5059279.0</v>
      </c>
      <c r="G1127" s="1">
        <v>394448.0</v>
      </c>
      <c r="H1127" s="1">
        <v>6195.0</v>
      </c>
      <c r="I1127" s="1">
        <v>2.51E7</v>
      </c>
      <c r="J1127" s="1" t="s">
        <v>2468</v>
      </c>
      <c r="K1127" s="5">
        <f t="shared" si="2"/>
        <v>0.2015649004</v>
      </c>
      <c r="L1127" s="6">
        <f t="shared" si="3"/>
        <v>317</v>
      </c>
      <c r="M1127" s="6">
        <f t="shared" si="4"/>
        <v>15959.87066</v>
      </c>
      <c r="N1127" s="7">
        <f t="shared" si="5"/>
        <v>0.0006358514208</v>
      </c>
      <c r="O1127" s="7"/>
      <c r="P1127" s="4">
        <f t="shared" si="6"/>
        <v>-0.001655456027</v>
      </c>
      <c r="Q1127" s="4">
        <f t="shared" si="7"/>
        <v>3</v>
      </c>
      <c r="R1127" s="4">
        <f t="shared" si="8"/>
        <v>1</v>
      </c>
      <c r="S1127" s="4">
        <f t="shared" si="9"/>
        <v>-0.001655456027</v>
      </c>
      <c r="T1127" s="4">
        <f t="shared" si="10"/>
        <v>14</v>
      </c>
      <c r="U1127" s="4">
        <f t="shared" si="1"/>
        <v>-0.001655456027</v>
      </c>
      <c r="V1127" s="4"/>
    </row>
    <row r="1128">
      <c r="A1128" s="1" t="s">
        <v>17200</v>
      </c>
      <c r="B1128" s="1" t="s">
        <v>17201</v>
      </c>
      <c r="C1128" s="1" t="s">
        <v>17202</v>
      </c>
      <c r="D1128" s="1" t="s">
        <v>17099</v>
      </c>
      <c r="E1128" s="1" t="s">
        <v>17100</v>
      </c>
      <c r="F1128" s="1">
        <v>5727312.0</v>
      </c>
      <c r="G1128" s="1">
        <v>388140.0</v>
      </c>
      <c r="H1128" s="1">
        <v>3336.0</v>
      </c>
      <c r="I1128" s="1">
        <v>2.51E7</v>
      </c>
      <c r="J1128" s="1" t="s">
        <v>2468</v>
      </c>
      <c r="K1128" s="5">
        <f t="shared" si="2"/>
        <v>0.228179761</v>
      </c>
      <c r="L1128" s="6">
        <f t="shared" si="3"/>
        <v>319</v>
      </c>
      <c r="M1128" s="6">
        <f t="shared" si="4"/>
        <v>17953.95611</v>
      </c>
      <c r="N1128" s="7">
        <f t="shared" si="5"/>
        <v>0.0007152970563</v>
      </c>
      <c r="O1128" s="7"/>
      <c r="P1128" s="4">
        <f t="shared" si="6"/>
        <v>0.05430314402</v>
      </c>
      <c r="Q1128" s="4">
        <f t="shared" si="7"/>
        <v>8</v>
      </c>
      <c r="R1128" s="4">
        <f t="shared" si="8"/>
        <v>0</v>
      </c>
      <c r="S1128" s="4">
        <f t="shared" si="9"/>
        <v>0.05430314402</v>
      </c>
      <c r="T1128" s="4">
        <f t="shared" si="10"/>
        <v>32</v>
      </c>
      <c r="U1128" s="4">
        <f t="shared" si="1"/>
        <v>0.05430314402</v>
      </c>
      <c r="V1128" s="4"/>
    </row>
    <row r="1129">
      <c r="A1129" s="1" t="s">
        <v>17203</v>
      </c>
      <c r="B1129" s="1" t="s">
        <v>17204</v>
      </c>
      <c r="C1129" s="1" t="s">
        <v>17205</v>
      </c>
      <c r="D1129" s="1" t="s">
        <v>17099</v>
      </c>
      <c r="E1129" s="1" t="s">
        <v>17100</v>
      </c>
      <c r="F1129" s="1">
        <v>1901267.0</v>
      </c>
      <c r="G1129" s="1">
        <v>141205.0</v>
      </c>
      <c r="H1129" s="1">
        <v>2836.0</v>
      </c>
      <c r="I1129" s="1">
        <v>2.51E7</v>
      </c>
      <c r="J1129" s="1" t="s">
        <v>2468</v>
      </c>
      <c r="K1129" s="5">
        <f t="shared" si="2"/>
        <v>0.07574768924</v>
      </c>
      <c r="L1129" s="6">
        <f t="shared" si="3"/>
        <v>322</v>
      </c>
      <c r="M1129" s="6">
        <f t="shared" si="4"/>
        <v>5904.555901</v>
      </c>
      <c r="N1129" s="7">
        <f t="shared" si="5"/>
        <v>0.0002352412709</v>
      </c>
      <c r="O1129" s="7"/>
      <c r="P1129" s="4">
        <f t="shared" si="6"/>
        <v>-0.283830594</v>
      </c>
      <c r="Q1129" s="4">
        <f t="shared" si="7"/>
        <v>1</v>
      </c>
      <c r="R1129" s="4">
        <f t="shared" si="8"/>
        <v>0</v>
      </c>
      <c r="S1129" s="4">
        <f t="shared" si="9"/>
        <v>-0.283830594</v>
      </c>
      <c r="T1129" s="4">
        <f t="shared" si="10"/>
        <v>5</v>
      </c>
      <c r="U1129" s="4">
        <f t="shared" si="1"/>
        <v>-0.283830594</v>
      </c>
      <c r="V1129" s="4"/>
    </row>
    <row r="1130">
      <c r="A1130" s="1" t="s">
        <v>17206</v>
      </c>
      <c r="B1130" s="1" t="s">
        <v>17207</v>
      </c>
      <c r="C1130" s="1" t="s">
        <v>17208</v>
      </c>
      <c r="D1130" s="1" t="s">
        <v>17099</v>
      </c>
      <c r="E1130" s="1" t="s">
        <v>17100</v>
      </c>
      <c r="F1130" s="1">
        <v>1300419.0</v>
      </c>
      <c r="G1130" s="1">
        <v>64586.0</v>
      </c>
      <c r="H1130" s="1">
        <v>1418.0</v>
      </c>
      <c r="I1130" s="1">
        <v>2.51E7</v>
      </c>
      <c r="J1130" s="1" t="s">
        <v>2468</v>
      </c>
      <c r="K1130" s="5">
        <f t="shared" si="2"/>
        <v>0.05180952191</v>
      </c>
      <c r="L1130" s="6">
        <f t="shared" si="3"/>
        <v>326</v>
      </c>
      <c r="M1130" s="6">
        <f t="shared" si="4"/>
        <v>3989.015337</v>
      </c>
      <c r="N1130" s="7">
        <f t="shared" si="5"/>
        <v>0.0001589249138</v>
      </c>
      <c r="O1130" s="7"/>
      <c r="P1130" s="4">
        <f t="shared" si="6"/>
        <v>-0.3375850448</v>
      </c>
      <c r="Q1130" s="4">
        <f t="shared" si="7"/>
        <v>5</v>
      </c>
      <c r="R1130" s="4">
        <f t="shared" si="8"/>
        <v>0</v>
      </c>
      <c r="S1130" s="4">
        <f t="shared" si="9"/>
        <v>-0.3375850448</v>
      </c>
      <c r="T1130" s="4">
        <f t="shared" si="10"/>
        <v>28</v>
      </c>
      <c r="U1130" s="4">
        <f t="shared" si="1"/>
        <v>-0.3375850448</v>
      </c>
      <c r="V1130" s="4"/>
    </row>
    <row r="1131">
      <c r="A1131" s="1" t="s">
        <v>17209</v>
      </c>
      <c r="B1131" s="1" t="s">
        <v>17210</v>
      </c>
      <c r="C1131" s="1" t="s">
        <v>17211</v>
      </c>
      <c r="D1131" s="1" t="s">
        <v>17099</v>
      </c>
      <c r="E1131" s="1" t="s">
        <v>17100</v>
      </c>
      <c r="F1131" s="1">
        <v>9954076.0</v>
      </c>
      <c r="G1131" s="1">
        <v>699869.0</v>
      </c>
      <c r="H1131" s="1">
        <v>11104.0</v>
      </c>
      <c r="I1131" s="1">
        <v>2.51E7</v>
      </c>
      <c r="J1131" s="1" t="s">
        <v>2468</v>
      </c>
      <c r="K1131" s="5">
        <f t="shared" si="2"/>
        <v>0.3965767331</v>
      </c>
      <c r="L1131" s="6">
        <f t="shared" si="3"/>
        <v>335</v>
      </c>
      <c r="M1131" s="6">
        <f t="shared" si="4"/>
        <v>29713.6597</v>
      </c>
      <c r="N1131" s="7">
        <f t="shared" si="5"/>
        <v>0.001183811143</v>
      </c>
      <c r="O1131" s="7"/>
      <c r="P1131" s="4">
        <f t="shared" si="6"/>
        <v>0.384307332</v>
      </c>
      <c r="Q1131" s="4">
        <f t="shared" si="7"/>
        <v>6</v>
      </c>
      <c r="R1131" s="4">
        <f t="shared" si="8"/>
        <v>1</v>
      </c>
      <c r="S1131" s="4">
        <f t="shared" si="9"/>
        <v>0.384307332</v>
      </c>
      <c r="T1131" s="4">
        <f t="shared" si="10"/>
        <v>29</v>
      </c>
      <c r="U1131" s="4">
        <f t="shared" si="1"/>
        <v>0.384307332</v>
      </c>
      <c r="V1131" s="4"/>
    </row>
    <row r="1132">
      <c r="A1132" s="1" t="s">
        <v>17212</v>
      </c>
      <c r="B1132" s="1" t="s">
        <v>17213</v>
      </c>
      <c r="C1132" s="1" t="s">
        <v>17214</v>
      </c>
      <c r="D1132" s="1" t="s">
        <v>17099</v>
      </c>
      <c r="E1132" s="1" t="s">
        <v>17100</v>
      </c>
      <c r="F1132" s="1">
        <v>7735134.0</v>
      </c>
      <c r="G1132" s="1">
        <v>442239.0</v>
      </c>
      <c r="H1132" s="1">
        <v>3430.0</v>
      </c>
      <c r="I1132" s="1">
        <v>2.51E7</v>
      </c>
      <c r="J1132" s="1" t="s">
        <v>2468</v>
      </c>
      <c r="K1132" s="5">
        <f t="shared" si="2"/>
        <v>0.3081726693</v>
      </c>
      <c r="L1132" s="6">
        <f t="shared" si="3"/>
        <v>336</v>
      </c>
      <c r="M1132" s="6">
        <f t="shared" si="4"/>
        <v>23021.23214</v>
      </c>
      <c r="N1132" s="7">
        <f t="shared" si="5"/>
        <v>0.0009171805635</v>
      </c>
      <c r="O1132" s="7"/>
      <c r="P1132" s="4">
        <f t="shared" si="6"/>
        <v>0.1965025029</v>
      </c>
      <c r="Q1132" s="4">
        <f t="shared" si="7"/>
        <v>3</v>
      </c>
      <c r="R1132" s="4">
        <f t="shared" si="8"/>
        <v>0</v>
      </c>
      <c r="S1132" s="4">
        <f t="shared" si="9"/>
        <v>0.1965025029</v>
      </c>
      <c r="T1132" s="4">
        <f t="shared" si="10"/>
        <v>26</v>
      </c>
      <c r="U1132" s="4">
        <f t="shared" si="1"/>
        <v>0.1965025029</v>
      </c>
      <c r="V1132" s="4"/>
    </row>
    <row r="1133">
      <c r="A1133" s="1" t="s">
        <v>17215</v>
      </c>
      <c r="B1133" s="1" t="s">
        <v>17216</v>
      </c>
      <c r="C1133" s="1" t="s">
        <v>17217</v>
      </c>
      <c r="D1133" s="1" t="s">
        <v>17099</v>
      </c>
      <c r="E1133" s="1" t="s">
        <v>17100</v>
      </c>
      <c r="F1133" s="1">
        <v>7229413.0</v>
      </c>
      <c r="G1133" s="1">
        <v>606610.0</v>
      </c>
      <c r="H1133" s="1">
        <v>47040.0</v>
      </c>
      <c r="I1133" s="1">
        <v>2.51E7</v>
      </c>
      <c r="J1133" s="1" t="s">
        <v>2468</v>
      </c>
      <c r="K1133" s="5">
        <f t="shared" si="2"/>
        <v>0.2880244223</v>
      </c>
      <c r="L1133" s="6">
        <f t="shared" si="3"/>
        <v>414</v>
      </c>
      <c r="M1133" s="6">
        <f t="shared" si="4"/>
        <v>17462.35024</v>
      </c>
      <c r="N1133" s="7">
        <f t="shared" si="5"/>
        <v>0.000695711165</v>
      </c>
      <c r="O1133" s="7"/>
      <c r="P1133" s="4">
        <f t="shared" si="6"/>
        <v>0.04050755852</v>
      </c>
      <c r="Q1133" s="4">
        <f t="shared" si="7"/>
        <v>6</v>
      </c>
      <c r="R1133" s="4">
        <f t="shared" si="8"/>
        <v>0</v>
      </c>
      <c r="S1133" s="4">
        <f t="shared" si="9"/>
        <v>0.04050755852</v>
      </c>
      <c r="T1133" s="4">
        <f t="shared" si="10"/>
        <v>20</v>
      </c>
      <c r="U1133" s="4">
        <f t="shared" si="1"/>
        <v>0.04050755852</v>
      </c>
      <c r="V1133" s="4"/>
    </row>
    <row r="1134">
      <c r="A1134" s="1" t="s">
        <v>17218</v>
      </c>
      <c r="B1134" s="1" t="s">
        <v>17219</v>
      </c>
      <c r="C1134" s="1" t="s">
        <v>17220</v>
      </c>
      <c r="D1134" s="1" t="s">
        <v>17099</v>
      </c>
      <c r="E1134" s="1" t="s">
        <v>17100</v>
      </c>
      <c r="F1134" s="1">
        <v>9481224.0</v>
      </c>
      <c r="G1134" s="1">
        <v>606490.0</v>
      </c>
      <c r="H1134" s="1">
        <v>5820.0</v>
      </c>
      <c r="I1134" s="1">
        <v>2.51E7</v>
      </c>
      <c r="J1134" s="1" t="s">
        <v>2468</v>
      </c>
      <c r="K1134" s="5">
        <f t="shared" si="2"/>
        <v>0.377738008</v>
      </c>
      <c r="L1134" s="6">
        <f t="shared" si="3"/>
        <v>430</v>
      </c>
      <c r="M1134" s="6">
        <f t="shared" si="4"/>
        <v>22049.35814</v>
      </c>
      <c r="N1134" s="7">
        <f t="shared" si="5"/>
        <v>0.0008784604836</v>
      </c>
      <c r="O1134" s="7"/>
      <c r="P1134" s="4">
        <f t="shared" si="6"/>
        <v>0.1692294948</v>
      </c>
      <c r="Q1134" s="4">
        <f t="shared" si="7"/>
        <v>3</v>
      </c>
      <c r="R1134" s="4">
        <f t="shared" si="8"/>
        <v>0</v>
      </c>
      <c r="S1134" s="4">
        <f t="shared" si="9"/>
        <v>0.1692294948</v>
      </c>
      <c r="T1134" s="4">
        <f t="shared" si="10"/>
        <v>14</v>
      </c>
      <c r="U1134" s="4">
        <f t="shared" si="1"/>
        <v>0.1692294948</v>
      </c>
      <c r="V1134" s="4"/>
    </row>
    <row r="1135">
      <c r="A1135" s="1" t="s">
        <v>17221</v>
      </c>
      <c r="B1135" s="1" t="s">
        <v>17222</v>
      </c>
      <c r="C1135" s="1" t="s">
        <v>17223</v>
      </c>
      <c r="D1135" s="1" t="s">
        <v>17099</v>
      </c>
      <c r="E1135" s="1" t="s">
        <v>17100</v>
      </c>
      <c r="F1135" s="1">
        <v>5819637.0</v>
      </c>
      <c r="G1135" s="1">
        <v>423496.0</v>
      </c>
      <c r="H1135" s="1">
        <v>5004.0</v>
      </c>
      <c r="I1135" s="1">
        <v>2.51E7</v>
      </c>
      <c r="J1135" s="1" t="s">
        <v>2468</v>
      </c>
      <c r="K1135" s="5">
        <f t="shared" si="2"/>
        <v>0.2318580478</v>
      </c>
      <c r="L1135" s="6">
        <f t="shared" si="3"/>
        <v>434</v>
      </c>
      <c r="M1135" s="6">
        <f t="shared" si="4"/>
        <v>13409.30184</v>
      </c>
      <c r="N1135" s="7">
        <f t="shared" si="5"/>
        <v>0.0005342351332</v>
      </c>
      <c r="O1135" s="7"/>
      <c r="P1135" s="4">
        <f t="shared" si="6"/>
        <v>-0.07323025259</v>
      </c>
      <c r="Q1135" s="4">
        <f t="shared" si="7"/>
        <v>4</v>
      </c>
      <c r="R1135" s="4">
        <f t="shared" si="8"/>
        <v>1</v>
      </c>
      <c r="S1135" s="4">
        <f t="shared" si="9"/>
        <v>-0.07323025259</v>
      </c>
      <c r="T1135" s="4">
        <f t="shared" si="10"/>
        <v>28</v>
      </c>
      <c r="U1135" s="4">
        <f t="shared" si="1"/>
        <v>-0.07323025259</v>
      </c>
      <c r="V1135" s="4"/>
    </row>
    <row r="1136">
      <c r="A1136" s="1" t="s">
        <v>17224</v>
      </c>
      <c r="B1136" s="1" t="s">
        <v>17225</v>
      </c>
      <c r="C1136" s="1" t="s">
        <v>17226</v>
      </c>
      <c r="D1136" s="1" t="s">
        <v>17099</v>
      </c>
      <c r="E1136" s="1" t="s">
        <v>17100</v>
      </c>
      <c r="F1136" s="1">
        <v>1.7040543E7</v>
      </c>
      <c r="G1136" s="1">
        <v>1079476.0</v>
      </c>
      <c r="H1136" s="1">
        <v>10537.0</v>
      </c>
      <c r="I1136" s="1">
        <v>2.51E7</v>
      </c>
      <c r="J1136" s="1" t="s">
        <v>2468</v>
      </c>
      <c r="K1136" s="5">
        <f t="shared" si="2"/>
        <v>0.6789060956</v>
      </c>
      <c r="L1136" s="6">
        <f t="shared" si="3"/>
        <v>436</v>
      </c>
      <c r="M1136" s="6">
        <f t="shared" si="4"/>
        <v>39083.81422</v>
      </c>
      <c r="N1136" s="7">
        <f t="shared" si="5"/>
        <v>0.001557124073</v>
      </c>
      <c r="O1136" s="7"/>
      <c r="P1136" s="4">
        <f t="shared" si="6"/>
        <v>0.6472553059</v>
      </c>
      <c r="Q1136" s="4">
        <f t="shared" si="7"/>
        <v>3</v>
      </c>
      <c r="R1136" s="4">
        <f t="shared" si="8"/>
        <v>0</v>
      </c>
      <c r="S1136" s="4">
        <f t="shared" si="9"/>
        <v>0.6472553059</v>
      </c>
      <c r="T1136" s="4">
        <f t="shared" si="10"/>
        <v>9</v>
      </c>
      <c r="U1136" s="4">
        <f t="shared" si="1"/>
        <v>0.6472553059</v>
      </c>
      <c r="V1136" s="4"/>
    </row>
    <row r="1137">
      <c r="A1137" s="1" t="s">
        <v>17227</v>
      </c>
      <c r="B1137" s="1" t="s">
        <v>17228</v>
      </c>
      <c r="C1137" s="1" t="s">
        <v>17229</v>
      </c>
      <c r="D1137" s="1" t="s">
        <v>17099</v>
      </c>
      <c r="E1137" s="1" t="s">
        <v>17100</v>
      </c>
      <c r="F1137" s="1">
        <v>2961539.0</v>
      </c>
      <c r="G1137" s="1">
        <v>188435.0</v>
      </c>
      <c r="H1137" s="1">
        <v>4233.0</v>
      </c>
      <c r="I1137" s="1">
        <v>2.51E7</v>
      </c>
      <c r="J1137" s="1" t="s">
        <v>2468</v>
      </c>
      <c r="K1137" s="5">
        <f t="shared" si="2"/>
        <v>0.1179896016</v>
      </c>
      <c r="L1137" s="6">
        <f t="shared" si="3"/>
        <v>438</v>
      </c>
      <c r="M1137" s="6">
        <f t="shared" si="4"/>
        <v>6761.504566</v>
      </c>
      <c r="N1137" s="7">
        <f t="shared" si="5"/>
        <v>0.000269382652</v>
      </c>
      <c r="O1137" s="7"/>
      <c r="P1137" s="4">
        <f t="shared" si="6"/>
        <v>-0.2597826538</v>
      </c>
      <c r="Q1137" s="4">
        <f t="shared" si="7"/>
        <v>1</v>
      </c>
      <c r="R1137" s="4">
        <f t="shared" si="8"/>
        <v>0</v>
      </c>
      <c r="S1137" s="4">
        <f t="shared" si="9"/>
        <v>-0.2597826538</v>
      </c>
      <c r="T1137" s="4">
        <f t="shared" si="10"/>
        <v>8</v>
      </c>
      <c r="U1137" s="4">
        <f t="shared" si="1"/>
        <v>-0.2597826538</v>
      </c>
      <c r="V1137" s="4"/>
    </row>
    <row r="1138">
      <c r="A1138" s="1" t="s">
        <v>17230</v>
      </c>
      <c r="B1138" s="1" t="s">
        <v>17231</v>
      </c>
      <c r="C1138" s="1" t="s">
        <v>17232</v>
      </c>
      <c r="D1138" s="1" t="s">
        <v>17099</v>
      </c>
      <c r="E1138" s="1" t="s">
        <v>17100</v>
      </c>
      <c r="F1138" s="1">
        <v>4393919.0</v>
      </c>
      <c r="G1138" s="1">
        <v>270711.0</v>
      </c>
      <c r="H1138" s="1">
        <v>2518.0</v>
      </c>
      <c r="I1138" s="1">
        <v>2.51E7</v>
      </c>
      <c r="J1138" s="1" t="s">
        <v>2468</v>
      </c>
      <c r="K1138" s="5">
        <f t="shared" si="2"/>
        <v>0.1750565339</v>
      </c>
      <c r="L1138" s="6">
        <f t="shared" si="3"/>
        <v>443</v>
      </c>
      <c r="M1138" s="6">
        <f t="shared" si="4"/>
        <v>9918.553047</v>
      </c>
      <c r="N1138" s="7">
        <f t="shared" si="5"/>
        <v>0.000395161476</v>
      </c>
      <c r="O1138" s="7"/>
      <c r="P1138" s="4">
        <f t="shared" si="6"/>
        <v>-0.1711886504</v>
      </c>
      <c r="Q1138" s="4">
        <f t="shared" si="7"/>
        <v>3</v>
      </c>
      <c r="R1138" s="4">
        <f t="shared" si="8"/>
        <v>0</v>
      </c>
      <c r="S1138" s="4">
        <f t="shared" si="9"/>
        <v>-0.1711886504</v>
      </c>
      <c r="T1138" s="4">
        <f t="shared" si="10"/>
        <v>13</v>
      </c>
      <c r="U1138" s="4">
        <f t="shared" si="1"/>
        <v>-0.1711886504</v>
      </c>
      <c r="V1138" s="4"/>
    </row>
    <row r="1139">
      <c r="A1139" s="1" t="s">
        <v>17233</v>
      </c>
      <c r="B1139" s="1" t="s">
        <v>17234</v>
      </c>
      <c r="C1139" s="1" t="s">
        <v>17235</v>
      </c>
      <c r="D1139" s="1" t="s">
        <v>17099</v>
      </c>
      <c r="E1139" s="1" t="s">
        <v>17100</v>
      </c>
      <c r="F1139" s="1">
        <v>9862445.0</v>
      </c>
      <c r="G1139" s="1">
        <v>543528.0</v>
      </c>
      <c r="H1139" s="1">
        <v>5369.0</v>
      </c>
      <c r="I1139" s="1">
        <v>2.51E7</v>
      </c>
      <c r="J1139" s="1" t="s">
        <v>2468</v>
      </c>
      <c r="K1139" s="5">
        <f t="shared" si="2"/>
        <v>0.3929260956</v>
      </c>
      <c r="L1139" s="6">
        <f t="shared" si="3"/>
        <v>446</v>
      </c>
      <c r="M1139" s="6">
        <f t="shared" si="4"/>
        <v>22113.10538</v>
      </c>
      <c r="N1139" s="7">
        <f t="shared" si="5"/>
        <v>0.0008810002144</v>
      </c>
      <c r="O1139" s="7"/>
      <c r="P1139" s="4">
        <f t="shared" si="6"/>
        <v>0.1710183883</v>
      </c>
      <c r="Q1139" s="4">
        <f t="shared" si="7"/>
        <v>4</v>
      </c>
      <c r="R1139" s="4">
        <f t="shared" si="8"/>
        <v>0</v>
      </c>
      <c r="S1139" s="4">
        <f t="shared" si="9"/>
        <v>0.1710183883</v>
      </c>
      <c r="T1139" s="4">
        <f t="shared" si="10"/>
        <v>23</v>
      </c>
      <c r="U1139" s="4">
        <f t="shared" si="1"/>
        <v>0.1710183883</v>
      </c>
      <c r="V1139" s="4"/>
    </row>
    <row r="1140">
      <c r="A1140" s="1" t="s">
        <v>17236</v>
      </c>
      <c r="B1140" s="1" t="s">
        <v>17237</v>
      </c>
      <c r="C1140" s="1" t="s">
        <v>17238</v>
      </c>
      <c r="D1140" s="1" t="s">
        <v>17099</v>
      </c>
      <c r="E1140" s="1" t="s">
        <v>17100</v>
      </c>
      <c r="F1140" s="1">
        <v>3044678.0</v>
      </c>
      <c r="G1140" s="1">
        <v>177087.0</v>
      </c>
      <c r="H1140" s="1">
        <v>3350.0</v>
      </c>
      <c r="I1140" s="1">
        <v>2.51E7</v>
      </c>
      <c r="J1140" s="1" t="s">
        <v>2468</v>
      </c>
      <c r="K1140" s="5">
        <f t="shared" si="2"/>
        <v>0.1213019124</v>
      </c>
      <c r="L1140" s="6">
        <f t="shared" si="3"/>
        <v>450</v>
      </c>
      <c r="M1140" s="6">
        <f t="shared" si="4"/>
        <v>6765.951111</v>
      </c>
      <c r="N1140" s="7">
        <f t="shared" si="5"/>
        <v>0.0002695598052</v>
      </c>
      <c r="O1140" s="7"/>
      <c r="P1140" s="4">
        <f t="shared" si="6"/>
        <v>-0.2596578736</v>
      </c>
      <c r="Q1140" s="4">
        <f t="shared" si="7"/>
        <v>2</v>
      </c>
      <c r="R1140" s="4">
        <f t="shared" si="8"/>
        <v>0</v>
      </c>
      <c r="S1140" s="4">
        <f t="shared" si="9"/>
        <v>-0.2596578736</v>
      </c>
      <c r="T1140" s="4">
        <f t="shared" si="10"/>
        <v>18</v>
      </c>
      <c r="U1140" s="4">
        <f t="shared" si="1"/>
        <v>-0.2596578736</v>
      </c>
      <c r="V1140" s="4"/>
    </row>
    <row r="1141">
      <c r="A1141" s="1" t="s">
        <v>17239</v>
      </c>
      <c r="B1141" s="1" t="s">
        <v>17240</v>
      </c>
      <c r="C1141" s="1" t="s">
        <v>17241</v>
      </c>
      <c r="D1141" s="1" t="s">
        <v>17099</v>
      </c>
      <c r="E1141" s="1" t="s">
        <v>17100</v>
      </c>
      <c r="F1141" s="1">
        <v>1.2740836E7</v>
      </c>
      <c r="G1141" s="1">
        <v>670925.0</v>
      </c>
      <c r="H1141" s="1">
        <v>5955.0</v>
      </c>
      <c r="I1141" s="1">
        <v>2.51E7</v>
      </c>
      <c r="J1141" s="1" t="s">
        <v>2468</v>
      </c>
      <c r="K1141" s="5">
        <f t="shared" si="2"/>
        <v>0.5076030279</v>
      </c>
      <c r="L1141" s="6">
        <f t="shared" si="3"/>
        <v>476</v>
      </c>
      <c r="M1141" s="6">
        <f t="shared" si="4"/>
        <v>26766.46218</v>
      </c>
      <c r="N1141" s="7">
        <f t="shared" si="5"/>
        <v>0.001066392916</v>
      </c>
      <c r="O1141" s="7"/>
      <c r="P1141" s="4">
        <f t="shared" si="6"/>
        <v>0.3016022267</v>
      </c>
      <c r="Q1141" s="4">
        <f t="shared" si="7"/>
        <v>5</v>
      </c>
      <c r="R1141" s="4">
        <f t="shared" si="8"/>
        <v>0</v>
      </c>
      <c r="S1141" s="4">
        <f t="shared" si="9"/>
        <v>0.3016022267</v>
      </c>
      <c r="T1141" s="4">
        <f t="shared" si="10"/>
        <v>27</v>
      </c>
      <c r="U1141" s="4">
        <f t="shared" si="1"/>
        <v>0.3016022267</v>
      </c>
      <c r="V1141" s="4"/>
    </row>
    <row r="1142">
      <c r="A1142" s="1" t="s">
        <v>17242</v>
      </c>
      <c r="B1142" s="1" t="s">
        <v>17243</v>
      </c>
      <c r="C1142" s="1" t="s">
        <v>17244</v>
      </c>
      <c r="D1142" s="1" t="s">
        <v>17099</v>
      </c>
      <c r="E1142" s="1" t="s">
        <v>17100</v>
      </c>
      <c r="F1142" s="1">
        <v>4804968.0</v>
      </c>
      <c r="G1142" s="1">
        <v>319096.0</v>
      </c>
      <c r="H1142" s="1">
        <v>3749.0</v>
      </c>
      <c r="I1142" s="1">
        <v>2.51E7</v>
      </c>
      <c r="J1142" s="1" t="s">
        <v>2468</v>
      </c>
      <c r="K1142" s="5">
        <f t="shared" si="2"/>
        <v>0.191432988</v>
      </c>
      <c r="L1142" s="6">
        <f t="shared" si="3"/>
        <v>554</v>
      </c>
      <c r="M1142" s="6">
        <f t="shared" si="4"/>
        <v>8673.227437</v>
      </c>
      <c r="N1142" s="7">
        <f t="shared" si="5"/>
        <v>0.0003455469098</v>
      </c>
      <c r="O1142" s="7"/>
      <c r="P1142" s="4">
        <f t="shared" si="6"/>
        <v>-0.2061353362</v>
      </c>
      <c r="Q1142" s="4">
        <f t="shared" si="7"/>
        <v>5</v>
      </c>
      <c r="R1142" s="4">
        <f t="shared" si="8"/>
        <v>0</v>
      </c>
      <c r="S1142" s="4">
        <f t="shared" si="9"/>
        <v>-0.2061353362</v>
      </c>
      <c r="T1142" s="4">
        <f t="shared" si="10"/>
        <v>18</v>
      </c>
      <c r="U1142" s="4">
        <f t="shared" si="1"/>
        <v>-0.2061353362</v>
      </c>
      <c r="V1142" s="4"/>
    </row>
    <row r="1143">
      <c r="A1143" s="1" t="s">
        <v>17245</v>
      </c>
      <c r="B1143" s="1" t="s">
        <v>17246</v>
      </c>
      <c r="C1143" s="1" t="s">
        <v>17247</v>
      </c>
      <c r="D1143" s="1" t="s">
        <v>17099</v>
      </c>
      <c r="E1143" s="1" t="s">
        <v>17100</v>
      </c>
      <c r="F1143" s="1">
        <v>3512080.0</v>
      </c>
      <c r="G1143" s="1">
        <v>168730.0</v>
      </c>
      <c r="H1143" s="1">
        <v>3621.0</v>
      </c>
      <c r="I1143" s="1">
        <v>2.51E7</v>
      </c>
      <c r="J1143" s="1" t="s">
        <v>2468</v>
      </c>
      <c r="K1143" s="5">
        <f t="shared" si="2"/>
        <v>0.139923506</v>
      </c>
      <c r="L1143" s="6">
        <f t="shared" si="3"/>
        <v>560</v>
      </c>
      <c r="M1143" s="6">
        <f t="shared" si="4"/>
        <v>6271.571429</v>
      </c>
      <c r="N1143" s="7">
        <f t="shared" si="5"/>
        <v>0.0002498634035</v>
      </c>
      <c r="O1143" s="7"/>
      <c r="P1143" s="4">
        <f t="shared" si="6"/>
        <v>-0.2735312986</v>
      </c>
      <c r="Q1143" s="4">
        <f t="shared" si="7"/>
        <v>7</v>
      </c>
      <c r="R1143" s="4">
        <f t="shared" si="8"/>
        <v>0</v>
      </c>
      <c r="S1143" s="4">
        <f t="shared" si="9"/>
        <v>-0.2735312986</v>
      </c>
      <c r="T1143" s="4">
        <f t="shared" si="10"/>
        <v>20</v>
      </c>
      <c r="U1143" s="4">
        <f t="shared" si="1"/>
        <v>-0.2735312986</v>
      </c>
      <c r="V1143" s="4"/>
    </row>
    <row r="1144">
      <c r="A1144" s="1" t="s">
        <v>17248</v>
      </c>
      <c r="B1144" s="1" t="s">
        <v>17249</v>
      </c>
      <c r="C1144" s="1" t="s">
        <v>17250</v>
      </c>
      <c r="D1144" s="1" t="s">
        <v>17099</v>
      </c>
      <c r="E1144" s="1" t="s">
        <v>17100</v>
      </c>
      <c r="F1144" s="1">
        <v>2.1895509E7</v>
      </c>
      <c r="G1144" s="1">
        <v>1344711.0</v>
      </c>
      <c r="H1144" s="1">
        <v>37313.0</v>
      </c>
      <c r="I1144" s="1">
        <v>2.51E7</v>
      </c>
      <c r="J1144" s="1" t="s">
        <v>2468</v>
      </c>
      <c r="K1144" s="5">
        <f t="shared" si="2"/>
        <v>0.8723310359</v>
      </c>
      <c r="L1144" s="6">
        <f t="shared" si="3"/>
        <v>599</v>
      </c>
      <c r="M1144" s="6">
        <f t="shared" si="4"/>
        <v>36553.4374</v>
      </c>
      <c r="N1144" s="7">
        <f t="shared" si="5"/>
        <v>0.001456312247</v>
      </c>
      <c r="O1144" s="7"/>
      <c r="P1144" s="4">
        <f t="shared" si="6"/>
        <v>0.5762471429</v>
      </c>
      <c r="Q1144" s="4">
        <f t="shared" si="7"/>
        <v>2</v>
      </c>
      <c r="R1144" s="4">
        <f t="shared" si="8"/>
        <v>0</v>
      </c>
      <c r="S1144" s="4">
        <f t="shared" si="9"/>
        <v>0.5762471429</v>
      </c>
      <c r="T1144" s="4">
        <f t="shared" si="10"/>
        <v>10</v>
      </c>
      <c r="U1144" s="4">
        <f t="shared" si="1"/>
        <v>0.5762471429</v>
      </c>
      <c r="V1144" s="4"/>
    </row>
    <row r="1145">
      <c r="A1145" s="1" t="s">
        <v>17251</v>
      </c>
      <c r="B1145" s="1" t="s">
        <v>17252</v>
      </c>
      <c r="C1145" s="1" t="s">
        <v>17253</v>
      </c>
      <c r="D1145" s="1" t="s">
        <v>17099</v>
      </c>
      <c r="E1145" s="1" t="s">
        <v>17100</v>
      </c>
      <c r="F1145" s="1">
        <v>9238161.0</v>
      </c>
      <c r="G1145" s="1">
        <v>682372.0</v>
      </c>
      <c r="H1145" s="1">
        <v>12241.0</v>
      </c>
      <c r="I1145" s="1">
        <v>2.51E7</v>
      </c>
      <c r="J1145" s="1" t="s">
        <v>2468</v>
      </c>
      <c r="K1145" s="5">
        <f t="shared" si="2"/>
        <v>0.3680542231</v>
      </c>
      <c r="L1145" s="6">
        <f t="shared" si="3"/>
        <v>602</v>
      </c>
      <c r="M1145" s="6">
        <f t="shared" si="4"/>
        <v>15345.78239</v>
      </c>
      <c r="N1145" s="7">
        <f t="shared" si="5"/>
        <v>0.0006113857527</v>
      </c>
      <c r="O1145" s="7"/>
      <c r="P1145" s="4">
        <f t="shared" si="6"/>
        <v>-0.01888817788</v>
      </c>
      <c r="Q1145" s="4">
        <f t="shared" si="7"/>
        <v>6</v>
      </c>
      <c r="R1145" s="4">
        <f t="shared" si="8"/>
        <v>1</v>
      </c>
      <c r="S1145" s="4">
        <f t="shared" si="9"/>
        <v>-0.01888817788</v>
      </c>
      <c r="T1145" s="4">
        <f t="shared" si="10"/>
        <v>25</v>
      </c>
      <c r="U1145" s="4">
        <f t="shared" si="1"/>
        <v>-0.01888817788</v>
      </c>
      <c r="V1145" s="4"/>
    </row>
    <row r="1146">
      <c r="A1146" s="1" t="s">
        <v>17254</v>
      </c>
      <c r="B1146" s="1" t="s">
        <v>17255</v>
      </c>
      <c r="C1146" s="1" t="s">
        <v>17256</v>
      </c>
      <c r="D1146" s="1" t="s">
        <v>17099</v>
      </c>
      <c r="E1146" s="1" t="s">
        <v>17100</v>
      </c>
      <c r="F1146" s="1">
        <v>7482704.0</v>
      </c>
      <c r="G1146" s="1">
        <v>653000.0</v>
      </c>
      <c r="H1146" s="1">
        <v>8738.0</v>
      </c>
      <c r="I1146" s="1">
        <v>2.51E7</v>
      </c>
      <c r="J1146" s="1" t="s">
        <v>2468</v>
      </c>
      <c r="K1146" s="5">
        <f t="shared" si="2"/>
        <v>0.2981156972</v>
      </c>
      <c r="L1146" s="6">
        <f t="shared" si="3"/>
        <v>604</v>
      </c>
      <c r="M1146" s="6">
        <f t="shared" si="4"/>
        <v>12388.58278</v>
      </c>
      <c r="N1146" s="7">
        <f t="shared" si="5"/>
        <v>0.0004935690351</v>
      </c>
      <c r="O1146" s="7"/>
      <c r="P1146" s="4">
        <f t="shared" si="6"/>
        <v>-0.1018739648</v>
      </c>
      <c r="Q1146" s="4">
        <f t="shared" si="7"/>
        <v>5</v>
      </c>
      <c r="R1146" s="4">
        <f t="shared" si="8"/>
        <v>0</v>
      </c>
      <c r="S1146" s="4">
        <f t="shared" si="9"/>
        <v>-0.1018739648</v>
      </c>
      <c r="T1146" s="4">
        <f t="shared" si="10"/>
        <v>17</v>
      </c>
      <c r="U1146" s="4">
        <f t="shared" si="1"/>
        <v>-0.1018739648</v>
      </c>
      <c r="V1146" s="4"/>
    </row>
    <row r="1147">
      <c r="A1147" s="1" t="s">
        <v>17257</v>
      </c>
      <c r="B1147" s="1" t="s">
        <v>17258</v>
      </c>
      <c r="C1147" s="1" t="s">
        <v>17259</v>
      </c>
      <c r="D1147" s="1" t="s">
        <v>17099</v>
      </c>
      <c r="E1147" s="1" t="s">
        <v>17100</v>
      </c>
      <c r="F1147" s="1">
        <v>2.2406798E7</v>
      </c>
      <c r="G1147" s="1">
        <v>1313842.0</v>
      </c>
      <c r="H1147" s="1">
        <v>11328.0</v>
      </c>
      <c r="I1147" s="1">
        <v>2.51E7</v>
      </c>
      <c r="J1147" s="1" t="s">
        <v>2468</v>
      </c>
      <c r="K1147" s="5">
        <f t="shared" si="2"/>
        <v>0.8927011155</v>
      </c>
      <c r="L1147" s="6">
        <f t="shared" si="3"/>
        <v>608</v>
      </c>
      <c r="M1147" s="6">
        <f t="shared" si="4"/>
        <v>36853.28618</v>
      </c>
      <c r="N1147" s="7">
        <f t="shared" si="5"/>
        <v>0.001468258414</v>
      </c>
      <c r="O1147" s="7"/>
      <c r="P1147" s="4">
        <f t="shared" si="6"/>
        <v>0.584661586</v>
      </c>
      <c r="Q1147" s="4">
        <f t="shared" si="7"/>
        <v>12</v>
      </c>
      <c r="R1147" s="4">
        <f t="shared" si="8"/>
        <v>1</v>
      </c>
      <c r="S1147" s="4">
        <f t="shared" si="9"/>
        <v>0.584661586</v>
      </c>
      <c r="T1147" s="4">
        <f t="shared" si="10"/>
        <v>46</v>
      </c>
      <c r="U1147" s="4">
        <f t="shared" si="1"/>
        <v>0.584661586</v>
      </c>
      <c r="V1147" s="4"/>
    </row>
    <row r="1148">
      <c r="A1148" s="1" t="s">
        <v>17260</v>
      </c>
      <c r="B1148" s="1" t="s">
        <v>17261</v>
      </c>
      <c r="C1148" s="1" t="s">
        <v>17262</v>
      </c>
      <c r="D1148" s="1" t="s">
        <v>17099</v>
      </c>
      <c r="E1148" s="1" t="s">
        <v>17100</v>
      </c>
      <c r="F1148" s="1">
        <v>8415790.0</v>
      </c>
      <c r="G1148" s="1">
        <v>515988.0</v>
      </c>
      <c r="H1148" s="1">
        <v>5223.0</v>
      </c>
      <c r="I1148" s="1">
        <v>2.51E7</v>
      </c>
      <c r="J1148" s="1" t="s">
        <v>2468</v>
      </c>
      <c r="K1148" s="5">
        <f t="shared" si="2"/>
        <v>0.3352904382</v>
      </c>
      <c r="L1148" s="6">
        <f t="shared" si="3"/>
        <v>610</v>
      </c>
      <c r="M1148" s="6">
        <f t="shared" si="4"/>
        <v>13796.37705</v>
      </c>
      <c r="N1148" s="7">
        <f t="shared" si="5"/>
        <v>0.0005496564561</v>
      </c>
      <c r="O1148" s="7"/>
      <c r="P1148" s="4">
        <f t="shared" si="6"/>
        <v>-0.06236803672</v>
      </c>
      <c r="Q1148" s="4">
        <f t="shared" si="7"/>
        <v>4</v>
      </c>
      <c r="R1148" s="4">
        <f t="shared" si="8"/>
        <v>0</v>
      </c>
      <c r="S1148" s="4">
        <f t="shared" si="9"/>
        <v>-0.06236803672</v>
      </c>
      <c r="T1148" s="4">
        <f t="shared" si="10"/>
        <v>27</v>
      </c>
      <c r="U1148" s="4">
        <f t="shared" si="1"/>
        <v>-0.06236803672</v>
      </c>
      <c r="V1148" s="4"/>
    </row>
    <row r="1149">
      <c r="A1149" s="1" t="s">
        <v>17263</v>
      </c>
      <c r="B1149" s="1" t="s">
        <v>17264</v>
      </c>
      <c r="C1149" s="1" t="s">
        <v>17265</v>
      </c>
      <c r="D1149" s="1" t="s">
        <v>17099</v>
      </c>
      <c r="E1149" s="1" t="s">
        <v>17100</v>
      </c>
      <c r="F1149" s="1">
        <v>3.7169645E7</v>
      </c>
      <c r="G1149" s="1">
        <v>1350452.0</v>
      </c>
      <c r="H1149" s="1">
        <v>0.0</v>
      </c>
      <c r="I1149" s="1">
        <v>2.51E7</v>
      </c>
      <c r="J1149" s="1" t="s">
        <v>2468</v>
      </c>
      <c r="K1149" s="5">
        <f t="shared" si="2"/>
        <v>1.480862351</v>
      </c>
      <c r="L1149" s="6">
        <f t="shared" si="3"/>
        <v>614</v>
      </c>
      <c r="M1149" s="6">
        <f t="shared" si="4"/>
        <v>60536.88111</v>
      </c>
      <c r="N1149" s="7">
        <f t="shared" si="5"/>
        <v>0.002411827933</v>
      </c>
      <c r="O1149" s="7"/>
      <c r="P1149" s="4">
        <f t="shared" si="6"/>
        <v>1.249277446</v>
      </c>
      <c r="Q1149" s="4">
        <f t="shared" si="7"/>
        <v>2</v>
      </c>
      <c r="R1149" s="4">
        <f t="shared" si="8"/>
        <v>0</v>
      </c>
      <c r="S1149" s="4">
        <f t="shared" si="9"/>
        <v>1.249277446</v>
      </c>
      <c r="T1149" s="4">
        <f t="shared" si="10"/>
        <v>17</v>
      </c>
      <c r="U1149" s="4">
        <f t="shared" si="1"/>
        <v>1.249277446</v>
      </c>
      <c r="V1149" s="4"/>
    </row>
    <row r="1150">
      <c r="A1150" s="1" t="s">
        <v>17266</v>
      </c>
      <c r="B1150" s="1" t="s">
        <v>17267</v>
      </c>
      <c r="C1150" s="1" t="s">
        <v>17268</v>
      </c>
      <c r="D1150" s="1" t="s">
        <v>17099</v>
      </c>
      <c r="E1150" s="1" t="s">
        <v>17100</v>
      </c>
      <c r="F1150" s="1">
        <v>7249286.0</v>
      </c>
      <c r="G1150" s="1">
        <v>489116.0</v>
      </c>
      <c r="H1150" s="1">
        <v>4603.0</v>
      </c>
      <c r="I1150" s="1">
        <v>2.51E7</v>
      </c>
      <c r="J1150" s="1" t="s">
        <v>2468</v>
      </c>
      <c r="K1150" s="5">
        <f t="shared" si="2"/>
        <v>0.2888161753</v>
      </c>
      <c r="L1150" s="6">
        <f t="shared" si="3"/>
        <v>619</v>
      </c>
      <c r="M1150" s="6">
        <f t="shared" si="4"/>
        <v>11711.28595</v>
      </c>
      <c r="N1150" s="7">
        <f t="shared" si="5"/>
        <v>0.0004665850974</v>
      </c>
      <c r="O1150" s="7"/>
      <c r="P1150" s="4">
        <f t="shared" si="6"/>
        <v>-0.1208804636</v>
      </c>
      <c r="Q1150" s="4">
        <f t="shared" si="7"/>
        <v>3</v>
      </c>
      <c r="R1150" s="4">
        <f t="shared" si="8"/>
        <v>0</v>
      </c>
      <c r="S1150" s="4">
        <f t="shared" si="9"/>
        <v>-0.1208804636</v>
      </c>
      <c r="T1150" s="4">
        <f t="shared" si="10"/>
        <v>24</v>
      </c>
      <c r="U1150" s="4">
        <f t="shared" si="1"/>
        <v>-0.1208804636</v>
      </c>
      <c r="V1150" s="4"/>
    </row>
    <row r="1151">
      <c r="A1151" s="1" t="s">
        <v>17269</v>
      </c>
      <c r="B1151" s="1" t="s">
        <v>17270</v>
      </c>
      <c r="C1151" s="1" t="s">
        <v>17271</v>
      </c>
      <c r="D1151" s="1" t="s">
        <v>17099</v>
      </c>
      <c r="E1151" s="1" t="s">
        <v>17100</v>
      </c>
      <c r="F1151" s="1">
        <v>3218484.0</v>
      </c>
      <c r="G1151" s="1">
        <v>214607.0</v>
      </c>
      <c r="H1151" s="1">
        <v>4205.0</v>
      </c>
      <c r="I1151" s="1">
        <v>2.51E7</v>
      </c>
      <c r="J1151" s="1" t="s">
        <v>2468</v>
      </c>
      <c r="K1151" s="5">
        <f t="shared" si="2"/>
        <v>0.1282264542</v>
      </c>
      <c r="L1151" s="6">
        <f t="shared" si="3"/>
        <v>622</v>
      </c>
      <c r="M1151" s="6">
        <f t="shared" si="4"/>
        <v>5174.411576</v>
      </c>
      <c r="N1151" s="7">
        <f t="shared" si="5"/>
        <v>0.0002061518556</v>
      </c>
      <c r="O1151" s="7"/>
      <c r="P1151" s="4">
        <f t="shared" si="6"/>
        <v>-0.3043201143</v>
      </c>
      <c r="Q1151" s="4">
        <f t="shared" si="7"/>
        <v>2</v>
      </c>
      <c r="R1151" s="4">
        <f t="shared" si="8"/>
        <v>0</v>
      </c>
      <c r="S1151" s="4">
        <f t="shared" si="9"/>
        <v>-0.3043201143</v>
      </c>
      <c r="T1151" s="4">
        <f t="shared" si="10"/>
        <v>13</v>
      </c>
      <c r="U1151" s="4">
        <f t="shared" si="1"/>
        <v>-0.3043201143</v>
      </c>
      <c r="V1151" s="4"/>
    </row>
    <row r="1152">
      <c r="A1152" s="1" t="s">
        <v>17272</v>
      </c>
      <c r="B1152" s="1" t="s">
        <v>17273</v>
      </c>
      <c r="C1152" s="1" t="s">
        <v>17274</v>
      </c>
      <c r="D1152" s="1" t="s">
        <v>17099</v>
      </c>
      <c r="E1152" s="1" t="s">
        <v>17100</v>
      </c>
      <c r="F1152" s="1">
        <v>1.2737016E7</v>
      </c>
      <c r="G1152" s="1">
        <v>971084.0</v>
      </c>
      <c r="H1152" s="1">
        <v>9130.0</v>
      </c>
      <c r="I1152" s="1">
        <v>2.51E7</v>
      </c>
      <c r="J1152" s="1" t="s">
        <v>2468</v>
      </c>
      <c r="K1152" s="5">
        <f t="shared" si="2"/>
        <v>0.5074508367</v>
      </c>
      <c r="L1152" s="6">
        <f t="shared" si="3"/>
        <v>624</v>
      </c>
      <c r="M1152" s="6">
        <f t="shared" si="4"/>
        <v>20411.88462</v>
      </c>
      <c r="N1152" s="7">
        <f t="shared" si="5"/>
        <v>0.0008132224946</v>
      </c>
      <c r="O1152" s="7"/>
      <c r="P1152" s="4">
        <f t="shared" si="6"/>
        <v>0.1232782413</v>
      </c>
      <c r="Q1152" s="4">
        <f t="shared" si="7"/>
        <v>5</v>
      </c>
      <c r="R1152" s="4">
        <f t="shared" si="8"/>
        <v>0</v>
      </c>
      <c r="S1152" s="4">
        <f t="shared" si="9"/>
        <v>0.1232782413</v>
      </c>
      <c r="T1152" s="4">
        <f t="shared" si="10"/>
        <v>24</v>
      </c>
      <c r="U1152" s="4">
        <f t="shared" si="1"/>
        <v>0.1232782413</v>
      </c>
      <c r="V1152" s="4"/>
    </row>
    <row r="1153">
      <c r="A1153" s="1" t="s">
        <v>17275</v>
      </c>
      <c r="B1153" s="1" t="s">
        <v>17276</v>
      </c>
      <c r="C1153" s="1" t="s">
        <v>17277</v>
      </c>
      <c r="D1153" s="1" t="s">
        <v>17099</v>
      </c>
      <c r="E1153" s="1" t="s">
        <v>17100</v>
      </c>
      <c r="F1153" s="1">
        <v>5743172.0</v>
      </c>
      <c r="G1153" s="1">
        <v>499617.0</v>
      </c>
      <c r="H1153" s="1">
        <v>3712.0</v>
      </c>
      <c r="I1153" s="1">
        <v>2.51E7</v>
      </c>
      <c r="J1153" s="1" t="s">
        <v>2468</v>
      </c>
      <c r="K1153" s="5">
        <f t="shared" si="2"/>
        <v>0.2288116335</v>
      </c>
      <c r="L1153" s="6">
        <f t="shared" si="3"/>
        <v>628</v>
      </c>
      <c r="M1153" s="6">
        <f t="shared" si="4"/>
        <v>9145.178344</v>
      </c>
      <c r="N1153" s="7">
        <f t="shared" si="5"/>
        <v>0.0003643497348</v>
      </c>
      <c r="O1153" s="7"/>
      <c r="P1153" s="4">
        <f t="shared" si="6"/>
        <v>-0.192891314</v>
      </c>
      <c r="Q1153" s="4">
        <f t="shared" si="7"/>
        <v>3</v>
      </c>
      <c r="R1153" s="4">
        <f t="shared" si="8"/>
        <v>0</v>
      </c>
      <c r="S1153" s="4">
        <f t="shared" si="9"/>
        <v>-0.192891314</v>
      </c>
      <c r="T1153" s="4">
        <f t="shared" si="10"/>
        <v>13</v>
      </c>
      <c r="U1153" s="4">
        <f t="shared" si="1"/>
        <v>-0.192891314</v>
      </c>
      <c r="V1153" s="4"/>
    </row>
    <row r="1154">
      <c r="A1154" s="1" t="s">
        <v>17278</v>
      </c>
      <c r="B1154" s="1" t="s">
        <v>17279</v>
      </c>
      <c r="C1154" s="1" t="s">
        <v>17280</v>
      </c>
      <c r="D1154" s="1" t="s">
        <v>17099</v>
      </c>
      <c r="E1154" s="1" t="s">
        <v>17100</v>
      </c>
      <c r="F1154" s="1">
        <v>9.6409834E7</v>
      </c>
      <c r="G1154" s="1">
        <v>4838042.0</v>
      </c>
      <c r="H1154" s="1">
        <v>46939.0</v>
      </c>
      <c r="I1154" s="1">
        <v>2.51E7</v>
      </c>
      <c r="J1154" s="1" t="s">
        <v>2468</v>
      </c>
      <c r="K1154" s="5">
        <f t="shared" si="2"/>
        <v>3.841029243</v>
      </c>
      <c r="L1154" s="6">
        <f t="shared" si="3"/>
        <v>635</v>
      </c>
      <c r="M1154" s="6">
        <f t="shared" si="4"/>
        <v>151826.5102</v>
      </c>
      <c r="N1154" s="7">
        <f t="shared" si="5"/>
        <v>0.00604886495</v>
      </c>
      <c r="O1154" s="7"/>
      <c r="P1154" s="4">
        <f t="shared" si="6"/>
        <v>3.811073302</v>
      </c>
      <c r="Q1154" s="4">
        <f t="shared" si="7"/>
        <v>5</v>
      </c>
      <c r="R1154" s="4">
        <f t="shared" si="8"/>
        <v>0</v>
      </c>
      <c r="S1154" s="4">
        <f t="shared" si="9"/>
        <v>3.811073302</v>
      </c>
      <c r="T1154" s="4">
        <f t="shared" si="10"/>
        <v>24</v>
      </c>
      <c r="U1154" s="4">
        <f t="shared" si="1"/>
        <v>3.811073302</v>
      </c>
      <c r="V1154" s="4"/>
    </row>
    <row r="1155">
      <c r="A1155" s="1" t="s">
        <v>17281</v>
      </c>
      <c r="B1155" s="1" t="s">
        <v>17282</v>
      </c>
      <c r="C1155" s="1" t="s">
        <v>17283</v>
      </c>
      <c r="D1155" s="1" t="s">
        <v>17099</v>
      </c>
      <c r="E1155" s="1" t="s">
        <v>17100</v>
      </c>
      <c r="F1155" s="1">
        <v>2.4863943E7</v>
      </c>
      <c r="G1155" s="1">
        <v>2172747.0</v>
      </c>
      <c r="H1155" s="1">
        <v>23943.0</v>
      </c>
      <c r="I1155" s="1">
        <v>2.51E7</v>
      </c>
      <c r="J1155" s="1" t="s">
        <v>2468</v>
      </c>
      <c r="K1155" s="5">
        <f t="shared" si="2"/>
        <v>0.9905953386</v>
      </c>
      <c r="L1155" s="6">
        <f t="shared" si="3"/>
        <v>640</v>
      </c>
      <c r="M1155" s="6">
        <f t="shared" si="4"/>
        <v>38849.91094</v>
      </c>
      <c r="N1155" s="7">
        <f t="shared" si="5"/>
        <v>0.001547805217</v>
      </c>
      <c r="O1155" s="7"/>
      <c r="P1155" s="4">
        <f t="shared" si="6"/>
        <v>0.6406914447</v>
      </c>
      <c r="Q1155" s="4">
        <f t="shared" si="7"/>
        <v>6</v>
      </c>
      <c r="R1155" s="4">
        <f t="shared" si="8"/>
        <v>0</v>
      </c>
      <c r="S1155" s="4">
        <f t="shared" si="9"/>
        <v>0.6406914447</v>
      </c>
      <c r="T1155" s="4">
        <f t="shared" si="10"/>
        <v>21</v>
      </c>
      <c r="U1155" s="4">
        <f t="shared" si="1"/>
        <v>0.6406914447</v>
      </c>
      <c r="V1155" s="4"/>
    </row>
    <row r="1156">
      <c r="A1156" s="1" t="s">
        <v>17284</v>
      </c>
      <c r="B1156" s="1" t="s">
        <v>17285</v>
      </c>
      <c r="C1156" s="1" t="s">
        <v>17286</v>
      </c>
      <c r="D1156" s="1" t="s">
        <v>17099</v>
      </c>
      <c r="E1156" s="1" t="s">
        <v>17100</v>
      </c>
      <c r="F1156" s="1">
        <v>1.2116511E7</v>
      </c>
      <c r="G1156" s="1">
        <v>811325.0</v>
      </c>
      <c r="H1156" s="1">
        <v>8702.0</v>
      </c>
      <c r="I1156" s="1">
        <v>2.51E7</v>
      </c>
      <c r="J1156" s="1" t="s">
        <v>2468</v>
      </c>
      <c r="K1156" s="5">
        <f t="shared" si="2"/>
        <v>0.4827295219</v>
      </c>
      <c r="L1156" s="6">
        <f t="shared" si="3"/>
        <v>644</v>
      </c>
      <c r="M1156" s="6">
        <f t="shared" si="4"/>
        <v>18814.45807</v>
      </c>
      <c r="N1156" s="7">
        <f t="shared" si="5"/>
        <v>0.000749580003</v>
      </c>
      <c r="O1156" s="7"/>
      <c r="P1156" s="4">
        <f t="shared" si="6"/>
        <v>0.07845079782</v>
      </c>
      <c r="Q1156" s="4">
        <f t="shared" si="7"/>
        <v>3</v>
      </c>
      <c r="R1156" s="4">
        <f t="shared" si="8"/>
        <v>0</v>
      </c>
      <c r="S1156" s="4">
        <f t="shared" si="9"/>
        <v>0.07845079782</v>
      </c>
      <c r="T1156" s="4">
        <f t="shared" si="10"/>
        <v>16</v>
      </c>
      <c r="U1156" s="4">
        <f t="shared" si="1"/>
        <v>0.07845079782</v>
      </c>
      <c r="V1156" s="4"/>
    </row>
    <row r="1157">
      <c r="A1157" s="1" t="s">
        <v>17287</v>
      </c>
      <c r="B1157" s="1" t="s">
        <v>17288</v>
      </c>
      <c r="C1157" s="1" t="s">
        <v>17289</v>
      </c>
      <c r="D1157" s="1" t="s">
        <v>17099</v>
      </c>
      <c r="E1157" s="1" t="s">
        <v>17100</v>
      </c>
      <c r="F1157" s="1">
        <v>2659522.0</v>
      </c>
      <c r="G1157" s="1">
        <v>134363.0</v>
      </c>
      <c r="H1157" s="1">
        <v>1550.0</v>
      </c>
      <c r="I1157" s="1">
        <v>2.51E7</v>
      </c>
      <c r="J1157" s="1" t="s">
        <v>2468</v>
      </c>
      <c r="K1157" s="5">
        <f t="shared" si="2"/>
        <v>0.1059570518</v>
      </c>
      <c r="L1157" s="6">
        <f t="shared" si="3"/>
        <v>646</v>
      </c>
      <c r="M1157" s="6">
        <f t="shared" si="4"/>
        <v>4116.907121</v>
      </c>
      <c r="N1157" s="7">
        <f t="shared" si="5"/>
        <v>0.000164020204</v>
      </c>
      <c r="O1157" s="7"/>
      <c r="P1157" s="4">
        <f t="shared" si="6"/>
        <v>-0.3339961088</v>
      </c>
      <c r="Q1157" s="4">
        <f t="shared" si="7"/>
        <v>3</v>
      </c>
      <c r="R1157" s="4">
        <f t="shared" si="8"/>
        <v>0</v>
      </c>
      <c r="S1157" s="4">
        <f t="shared" si="9"/>
        <v>-0.3339961088</v>
      </c>
      <c r="T1157" s="4">
        <f t="shared" si="10"/>
        <v>11</v>
      </c>
      <c r="U1157" s="4">
        <f t="shared" si="1"/>
        <v>-0.3339961088</v>
      </c>
      <c r="V1157" s="4"/>
    </row>
    <row r="1158">
      <c r="A1158" s="1" t="s">
        <v>17290</v>
      </c>
      <c r="B1158" s="1" t="s">
        <v>17291</v>
      </c>
      <c r="C1158" s="1" t="s">
        <v>17292</v>
      </c>
      <c r="D1158" s="1" t="s">
        <v>17099</v>
      </c>
      <c r="E1158" s="1" t="s">
        <v>17100</v>
      </c>
      <c r="F1158" s="1">
        <v>8564045.0</v>
      </c>
      <c r="G1158" s="1">
        <v>601503.0</v>
      </c>
      <c r="H1158" s="1">
        <v>4927.0</v>
      </c>
      <c r="I1158" s="1">
        <v>2.51E7</v>
      </c>
      <c r="J1158" s="1" t="s">
        <v>2468</v>
      </c>
      <c r="K1158" s="5">
        <f t="shared" si="2"/>
        <v>0.341197012</v>
      </c>
      <c r="L1158" s="6">
        <f t="shared" si="3"/>
        <v>651</v>
      </c>
      <c r="M1158" s="6">
        <f t="shared" si="4"/>
        <v>13155.21505</v>
      </c>
      <c r="N1158" s="7">
        <f t="shared" si="5"/>
        <v>0.0005241121535</v>
      </c>
      <c r="O1158" s="7"/>
      <c r="P1158" s="4">
        <f t="shared" si="6"/>
        <v>-0.08036050923</v>
      </c>
      <c r="Q1158" s="4">
        <f t="shared" si="7"/>
        <v>7</v>
      </c>
      <c r="R1158" s="4">
        <f t="shared" si="8"/>
        <v>2</v>
      </c>
      <c r="S1158" s="4">
        <f t="shared" si="9"/>
        <v>-0.08036050923</v>
      </c>
      <c r="T1158" s="4">
        <f t="shared" si="10"/>
        <v>35</v>
      </c>
      <c r="U1158" s="4">
        <f t="shared" si="1"/>
        <v>-0.08036050923</v>
      </c>
      <c r="V1158" s="4"/>
    </row>
    <row r="1159">
      <c r="A1159" s="1" t="s">
        <v>17293</v>
      </c>
      <c r="B1159" s="1" t="s">
        <v>17294</v>
      </c>
      <c r="C1159" s="1" t="s">
        <v>17295</v>
      </c>
      <c r="D1159" s="1" t="s">
        <v>17099</v>
      </c>
      <c r="E1159" s="1" t="s">
        <v>17100</v>
      </c>
      <c r="F1159" s="1">
        <v>4275684.0</v>
      </c>
      <c r="G1159" s="1">
        <v>243440.0</v>
      </c>
      <c r="H1159" s="1">
        <v>5184.0</v>
      </c>
      <c r="I1159" s="1">
        <v>2.51E7</v>
      </c>
      <c r="J1159" s="1" t="s">
        <v>2468</v>
      </c>
      <c r="K1159" s="5">
        <f t="shared" si="2"/>
        <v>0.1703459761</v>
      </c>
      <c r="L1159" s="6">
        <f t="shared" si="3"/>
        <v>652</v>
      </c>
      <c r="M1159" s="6">
        <f t="shared" si="4"/>
        <v>6557.797546</v>
      </c>
      <c r="N1159" s="7">
        <f t="shared" si="5"/>
        <v>0.0002612668345</v>
      </c>
      <c r="O1159" s="7"/>
      <c r="P1159" s="4">
        <f t="shared" si="6"/>
        <v>-0.2654991389</v>
      </c>
      <c r="Q1159" s="4">
        <f t="shared" si="7"/>
        <v>3</v>
      </c>
      <c r="R1159" s="4">
        <f t="shared" si="8"/>
        <v>0</v>
      </c>
      <c r="S1159" s="4">
        <f t="shared" si="9"/>
        <v>-0.2654991389</v>
      </c>
      <c r="T1159" s="4">
        <f t="shared" si="10"/>
        <v>15</v>
      </c>
      <c r="U1159" s="4">
        <f t="shared" si="1"/>
        <v>-0.2654991389</v>
      </c>
      <c r="V1159" s="4"/>
    </row>
    <row r="1160">
      <c r="A1160" s="1" t="s">
        <v>17296</v>
      </c>
      <c r="B1160" s="1" t="s">
        <v>17297</v>
      </c>
      <c r="C1160" s="1" t="s">
        <v>17298</v>
      </c>
      <c r="D1160" s="1" t="s">
        <v>17099</v>
      </c>
      <c r="E1160" s="1" t="s">
        <v>17100</v>
      </c>
      <c r="F1160" s="1">
        <v>2.589342E7</v>
      </c>
      <c r="G1160" s="1">
        <v>1573898.0</v>
      </c>
      <c r="H1160" s="1">
        <v>26539.0</v>
      </c>
      <c r="I1160" s="1">
        <v>2.51E7</v>
      </c>
      <c r="J1160" s="1" t="s">
        <v>2468</v>
      </c>
      <c r="K1160" s="5">
        <f t="shared" si="2"/>
        <v>1.031610359</v>
      </c>
      <c r="L1160" s="6">
        <f t="shared" si="3"/>
        <v>655</v>
      </c>
      <c r="M1160" s="6">
        <f t="shared" si="4"/>
        <v>39531.93893</v>
      </c>
      <c r="N1160" s="7">
        <f t="shared" si="5"/>
        <v>0.001574977647</v>
      </c>
      <c r="O1160" s="7"/>
      <c r="P1160" s="4">
        <f t="shared" si="6"/>
        <v>0.6598307106</v>
      </c>
      <c r="Q1160" s="4">
        <f t="shared" si="7"/>
        <v>3</v>
      </c>
      <c r="R1160" s="4">
        <f t="shared" si="8"/>
        <v>0</v>
      </c>
      <c r="S1160" s="4">
        <f t="shared" si="9"/>
        <v>0.6598307106</v>
      </c>
      <c r="T1160" s="4">
        <f t="shared" si="10"/>
        <v>20</v>
      </c>
      <c r="U1160" s="4">
        <f t="shared" si="1"/>
        <v>0.6598307106</v>
      </c>
      <c r="V1160" s="4"/>
    </row>
    <row r="1161">
      <c r="A1161" s="1" t="s">
        <v>17299</v>
      </c>
      <c r="B1161" s="1" t="s">
        <v>17300</v>
      </c>
      <c r="C1161" s="1" t="s">
        <v>17301</v>
      </c>
      <c r="D1161" s="1" t="s">
        <v>17099</v>
      </c>
      <c r="E1161" s="1" t="s">
        <v>17100</v>
      </c>
      <c r="F1161" s="1">
        <v>1.9537974E7</v>
      </c>
      <c r="G1161" s="1">
        <v>978495.0</v>
      </c>
      <c r="H1161" s="1">
        <v>5558.0</v>
      </c>
      <c r="I1161" s="1">
        <v>2.51E7</v>
      </c>
      <c r="J1161" s="1" t="s">
        <v>2468</v>
      </c>
      <c r="K1161" s="5">
        <f t="shared" si="2"/>
        <v>0.7784053386</v>
      </c>
      <c r="L1161" s="6">
        <f t="shared" si="3"/>
        <v>660</v>
      </c>
      <c r="M1161" s="6">
        <f t="shared" si="4"/>
        <v>29602.99091</v>
      </c>
      <c r="N1161" s="7">
        <f t="shared" si="5"/>
        <v>0.001179402028</v>
      </c>
      <c r="O1161" s="7"/>
      <c r="P1161" s="4">
        <f t="shared" si="6"/>
        <v>0.3812017125</v>
      </c>
      <c r="Q1161" s="4">
        <f t="shared" si="7"/>
        <v>7</v>
      </c>
      <c r="R1161" s="4">
        <f t="shared" si="8"/>
        <v>0</v>
      </c>
      <c r="S1161" s="4">
        <f t="shared" si="9"/>
        <v>0.3812017125</v>
      </c>
      <c r="T1161" s="4">
        <f t="shared" si="10"/>
        <v>34</v>
      </c>
      <c r="U1161" s="4">
        <f t="shared" si="1"/>
        <v>0.3812017125</v>
      </c>
      <c r="V1161" s="4"/>
    </row>
    <row r="1162">
      <c r="A1162" s="1" t="s">
        <v>17302</v>
      </c>
      <c r="B1162" s="1" t="s">
        <v>17303</v>
      </c>
      <c r="C1162" s="1" t="s">
        <v>17304</v>
      </c>
      <c r="D1162" s="1" t="s">
        <v>17099</v>
      </c>
      <c r="E1162" s="1" t="s">
        <v>17100</v>
      </c>
      <c r="F1162" s="1">
        <v>1.4831761E7</v>
      </c>
      <c r="G1162" s="1">
        <v>810454.0</v>
      </c>
      <c r="H1162" s="1">
        <v>4127.0</v>
      </c>
      <c r="I1162" s="1">
        <v>2.51E7</v>
      </c>
      <c r="J1162" s="1" t="s">
        <v>2468</v>
      </c>
      <c r="K1162" s="5">
        <f t="shared" si="2"/>
        <v>0.5909068127</v>
      </c>
      <c r="L1162" s="6">
        <f t="shared" si="3"/>
        <v>665</v>
      </c>
      <c r="M1162" s="6">
        <f t="shared" si="4"/>
        <v>22303.4</v>
      </c>
      <c r="N1162" s="7">
        <f t="shared" si="5"/>
        <v>0.0008885816733</v>
      </c>
      <c r="O1162" s="7"/>
      <c r="P1162" s="4">
        <f t="shared" si="6"/>
        <v>0.1763584907</v>
      </c>
      <c r="Q1162" s="4">
        <f t="shared" si="7"/>
        <v>2</v>
      </c>
      <c r="R1162" s="4">
        <f t="shared" si="8"/>
        <v>0</v>
      </c>
      <c r="S1162" s="4">
        <f t="shared" si="9"/>
        <v>0.1763584907</v>
      </c>
      <c r="T1162" s="4">
        <f t="shared" si="10"/>
        <v>11</v>
      </c>
      <c r="U1162" s="4">
        <f t="shared" si="1"/>
        <v>0.1763584907</v>
      </c>
      <c r="V1162" s="4"/>
    </row>
    <row r="1163">
      <c r="A1163" s="1" t="s">
        <v>17305</v>
      </c>
      <c r="B1163" s="1" t="s">
        <v>17306</v>
      </c>
      <c r="C1163" s="1" t="s">
        <v>17307</v>
      </c>
      <c r="D1163" s="1" t="s">
        <v>17099</v>
      </c>
      <c r="E1163" s="1" t="s">
        <v>17100</v>
      </c>
      <c r="F1163" s="1">
        <v>1.1515999E7</v>
      </c>
      <c r="G1163" s="1">
        <v>745189.0</v>
      </c>
      <c r="H1163" s="1">
        <v>5302.0</v>
      </c>
      <c r="I1163" s="1">
        <v>2.51E7</v>
      </c>
      <c r="J1163" s="1" t="s">
        <v>2468</v>
      </c>
      <c r="K1163" s="5">
        <f t="shared" si="2"/>
        <v>0.458804741</v>
      </c>
      <c r="L1163" s="6">
        <f t="shared" si="3"/>
        <v>668</v>
      </c>
      <c r="M1163" s="6">
        <f t="shared" si="4"/>
        <v>17239.51946</v>
      </c>
      <c r="N1163" s="7">
        <f t="shared" si="5"/>
        <v>0.0006868334447</v>
      </c>
      <c r="O1163" s="7"/>
      <c r="P1163" s="4">
        <f t="shared" si="6"/>
        <v>0.034254417</v>
      </c>
      <c r="Q1163" s="4">
        <f t="shared" si="7"/>
        <v>3</v>
      </c>
      <c r="R1163" s="4">
        <f t="shared" si="8"/>
        <v>0</v>
      </c>
      <c r="S1163" s="4">
        <f t="shared" si="9"/>
        <v>0.034254417</v>
      </c>
      <c r="T1163" s="4">
        <f t="shared" si="10"/>
        <v>22</v>
      </c>
      <c r="U1163" s="4">
        <f t="shared" si="1"/>
        <v>0.034254417</v>
      </c>
      <c r="V1163" s="4"/>
    </row>
    <row r="1164">
      <c r="A1164" s="1" t="s">
        <v>17308</v>
      </c>
      <c r="B1164" s="1" t="s">
        <v>17309</v>
      </c>
      <c r="C1164" s="1" t="s">
        <v>17310</v>
      </c>
      <c r="D1164" s="1" t="s">
        <v>17099</v>
      </c>
      <c r="E1164" s="1" t="s">
        <v>17100</v>
      </c>
      <c r="F1164" s="1">
        <v>9981691.0</v>
      </c>
      <c r="G1164" s="1">
        <v>572027.0</v>
      </c>
      <c r="H1164" s="1">
        <v>3213.0</v>
      </c>
      <c r="I1164" s="1">
        <v>2.51E7</v>
      </c>
      <c r="J1164" s="1" t="s">
        <v>2468</v>
      </c>
      <c r="K1164" s="5">
        <f t="shared" si="2"/>
        <v>0.3976769323</v>
      </c>
      <c r="L1164" s="6">
        <f t="shared" si="3"/>
        <v>673</v>
      </c>
      <c r="M1164" s="6">
        <f t="shared" si="4"/>
        <v>14831.63596</v>
      </c>
      <c r="N1164" s="7">
        <f t="shared" si="5"/>
        <v>0.000590901831</v>
      </c>
      <c r="O1164" s="7"/>
      <c r="P1164" s="4">
        <f t="shared" si="6"/>
        <v>-0.03331630313</v>
      </c>
      <c r="Q1164" s="4">
        <f t="shared" si="7"/>
        <v>4</v>
      </c>
      <c r="R1164" s="4">
        <f t="shared" si="8"/>
        <v>0</v>
      </c>
      <c r="S1164" s="4">
        <f t="shared" si="9"/>
        <v>-0.03331630313</v>
      </c>
      <c r="T1164" s="4">
        <f t="shared" si="10"/>
        <v>31</v>
      </c>
      <c r="U1164" s="4">
        <f t="shared" si="1"/>
        <v>-0.03331630313</v>
      </c>
      <c r="V1164" s="4"/>
    </row>
    <row r="1165">
      <c r="A1165" s="1" t="s">
        <v>17311</v>
      </c>
      <c r="B1165" s="1" t="s">
        <v>17312</v>
      </c>
      <c r="C1165" s="1" t="s">
        <v>17313</v>
      </c>
      <c r="D1165" s="1" t="s">
        <v>17099</v>
      </c>
      <c r="E1165" s="1" t="s">
        <v>17100</v>
      </c>
      <c r="F1165" s="1">
        <v>7973572.0</v>
      </c>
      <c r="G1165" s="1">
        <v>554037.0</v>
      </c>
      <c r="H1165" s="1">
        <v>5322.0</v>
      </c>
      <c r="I1165" s="1">
        <v>2.51E7</v>
      </c>
      <c r="J1165" s="1" t="s">
        <v>2468</v>
      </c>
      <c r="K1165" s="5">
        <f t="shared" si="2"/>
        <v>0.3176721912</v>
      </c>
      <c r="L1165" s="6">
        <f t="shared" si="3"/>
        <v>675</v>
      </c>
      <c r="M1165" s="6">
        <f t="shared" si="4"/>
        <v>11812.69926</v>
      </c>
      <c r="N1165" s="7">
        <f t="shared" si="5"/>
        <v>0.0004706254685</v>
      </c>
      <c r="O1165" s="7"/>
      <c r="P1165" s="4">
        <f t="shared" si="6"/>
        <v>-0.118034574</v>
      </c>
      <c r="Q1165" s="4">
        <f t="shared" si="7"/>
        <v>1</v>
      </c>
      <c r="R1165" s="4">
        <f t="shared" si="8"/>
        <v>0</v>
      </c>
      <c r="S1165" s="4">
        <f t="shared" si="9"/>
        <v>-0.118034574</v>
      </c>
      <c r="T1165" s="4">
        <f t="shared" si="10"/>
        <v>8</v>
      </c>
      <c r="U1165" s="4">
        <f t="shared" si="1"/>
        <v>-0.118034574</v>
      </c>
      <c r="V1165" s="4"/>
    </row>
    <row r="1166">
      <c r="A1166" s="1" t="s">
        <v>17314</v>
      </c>
      <c r="B1166" s="1" t="s">
        <v>17315</v>
      </c>
      <c r="C1166" s="1" t="s">
        <v>17316</v>
      </c>
      <c r="D1166" s="1" t="s">
        <v>17099</v>
      </c>
      <c r="E1166" s="1" t="s">
        <v>17100</v>
      </c>
      <c r="F1166" s="1">
        <v>1.5039704E7</v>
      </c>
      <c r="G1166" s="1">
        <v>943662.0</v>
      </c>
      <c r="H1166" s="1">
        <v>7121.0</v>
      </c>
      <c r="I1166" s="1">
        <v>2.51E7</v>
      </c>
      <c r="J1166" s="1" t="s">
        <v>2468</v>
      </c>
      <c r="K1166" s="5">
        <f t="shared" si="2"/>
        <v>0.5991913944</v>
      </c>
      <c r="L1166" s="6">
        <f t="shared" si="3"/>
        <v>679</v>
      </c>
      <c r="M1166" s="6">
        <f t="shared" si="4"/>
        <v>22149.78498</v>
      </c>
      <c r="N1166" s="7">
        <f t="shared" si="5"/>
        <v>0.0008824615529</v>
      </c>
      <c r="O1166" s="7"/>
      <c r="P1166" s="4">
        <f t="shared" si="6"/>
        <v>0.1720477017</v>
      </c>
      <c r="Q1166" s="4">
        <f t="shared" si="7"/>
        <v>4</v>
      </c>
      <c r="R1166" s="4">
        <f t="shared" si="8"/>
        <v>1</v>
      </c>
      <c r="S1166" s="4">
        <f t="shared" si="9"/>
        <v>0.1720477017</v>
      </c>
      <c r="T1166" s="4">
        <f t="shared" si="10"/>
        <v>18</v>
      </c>
      <c r="U1166" s="4">
        <f t="shared" si="1"/>
        <v>0.1720477017</v>
      </c>
      <c r="V1166" s="4"/>
    </row>
    <row r="1167">
      <c r="A1167" s="1" t="s">
        <v>17317</v>
      </c>
      <c r="B1167" s="1" t="s">
        <v>17318</v>
      </c>
      <c r="C1167" s="1" t="s">
        <v>17319</v>
      </c>
      <c r="D1167" s="1" t="s">
        <v>17099</v>
      </c>
      <c r="E1167" s="1" t="s">
        <v>17100</v>
      </c>
      <c r="F1167" s="1">
        <v>2.564301E7</v>
      </c>
      <c r="G1167" s="1">
        <v>1584734.0</v>
      </c>
      <c r="H1167" s="1">
        <v>18157.0</v>
      </c>
      <c r="I1167" s="1">
        <v>2.51E7</v>
      </c>
      <c r="J1167" s="1" t="s">
        <v>2468</v>
      </c>
      <c r="K1167" s="5">
        <f t="shared" si="2"/>
        <v>1.021633865</v>
      </c>
      <c r="L1167" s="6">
        <f t="shared" si="3"/>
        <v>687</v>
      </c>
      <c r="M1167" s="6">
        <f t="shared" si="4"/>
        <v>37326.06987</v>
      </c>
      <c r="N1167" s="7">
        <f t="shared" si="5"/>
        <v>0.001487094417</v>
      </c>
      <c r="O1167" s="7"/>
      <c r="P1167" s="4">
        <f t="shared" si="6"/>
        <v>0.5979289779</v>
      </c>
      <c r="Q1167" s="4">
        <f t="shared" si="7"/>
        <v>7</v>
      </c>
      <c r="R1167" s="4">
        <f t="shared" si="8"/>
        <v>0</v>
      </c>
      <c r="S1167" s="4">
        <f t="shared" si="9"/>
        <v>0.5979289779</v>
      </c>
      <c r="T1167" s="4">
        <f t="shared" si="10"/>
        <v>29</v>
      </c>
      <c r="U1167" s="4">
        <f t="shared" si="1"/>
        <v>0.5979289779</v>
      </c>
      <c r="V1167" s="4"/>
    </row>
    <row r="1168">
      <c r="A1168" s="1" t="s">
        <v>17320</v>
      </c>
      <c r="B1168" s="1" t="s">
        <v>17321</v>
      </c>
      <c r="C1168" s="1" t="s">
        <v>17322</v>
      </c>
      <c r="D1168" s="1" t="s">
        <v>17099</v>
      </c>
      <c r="E1168" s="1" t="s">
        <v>17100</v>
      </c>
      <c r="F1168" s="1">
        <v>1.6462371E7</v>
      </c>
      <c r="G1168" s="1">
        <v>1205071.0</v>
      </c>
      <c r="H1168" s="1">
        <v>12234.0</v>
      </c>
      <c r="I1168" s="1">
        <v>2.51E7</v>
      </c>
      <c r="J1168" s="1" t="s">
        <v>2468</v>
      </c>
      <c r="K1168" s="5">
        <f t="shared" si="2"/>
        <v>0.6558713546</v>
      </c>
      <c r="L1168" s="6">
        <f t="shared" si="3"/>
        <v>689</v>
      </c>
      <c r="M1168" s="6">
        <f t="shared" si="4"/>
        <v>23893.13643</v>
      </c>
      <c r="N1168" s="7">
        <f t="shared" si="5"/>
        <v>0.000951917786</v>
      </c>
      <c r="O1168" s="7"/>
      <c r="P1168" s="4">
        <f t="shared" si="6"/>
        <v>0.2209701321</v>
      </c>
      <c r="Q1168" s="4">
        <f t="shared" si="7"/>
        <v>2</v>
      </c>
      <c r="R1168" s="4">
        <f t="shared" si="8"/>
        <v>0</v>
      </c>
      <c r="S1168" s="4">
        <f t="shared" si="9"/>
        <v>0.2209701321</v>
      </c>
      <c r="T1168" s="4">
        <f t="shared" si="10"/>
        <v>10</v>
      </c>
      <c r="U1168" s="4">
        <f t="shared" si="1"/>
        <v>0.2209701321</v>
      </c>
      <c r="V1168" s="4"/>
    </row>
    <row r="1169">
      <c r="A1169" s="1" t="s">
        <v>17323</v>
      </c>
      <c r="B1169" s="1" t="s">
        <v>17324</v>
      </c>
      <c r="C1169" s="1" t="s">
        <v>17325</v>
      </c>
      <c r="D1169" s="1" t="s">
        <v>17099</v>
      </c>
      <c r="E1169" s="1" t="s">
        <v>17100</v>
      </c>
      <c r="F1169" s="1">
        <v>1.0554678E7</v>
      </c>
      <c r="G1169" s="1">
        <v>831681.0</v>
      </c>
      <c r="H1169" s="1">
        <v>7144.0</v>
      </c>
      <c r="I1169" s="1">
        <v>2.51E7</v>
      </c>
      <c r="J1169" s="1" t="s">
        <v>2468</v>
      </c>
      <c r="K1169" s="5">
        <f t="shared" si="2"/>
        <v>0.4205050996</v>
      </c>
      <c r="L1169" s="6">
        <f t="shared" si="3"/>
        <v>693</v>
      </c>
      <c r="M1169" s="6">
        <f t="shared" si="4"/>
        <v>15230.41558</v>
      </c>
      <c r="N1169" s="7">
        <f t="shared" si="5"/>
        <v>0.0006067894655</v>
      </c>
      <c r="O1169" s="7"/>
      <c r="P1169" s="4">
        <f t="shared" si="6"/>
        <v>-0.02212563445</v>
      </c>
      <c r="Q1169" s="4">
        <f t="shared" si="7"/>
        <v>5</v>
      </c>
      <c r="R1169" s="4">
        <f t="shared" si="8"/>
        <v>0</v>
      </c>
      <c r="S1169" s="4">
        <f t="shared" si="9"/>
        <v>-0.02212563445</v>
      </c>
      <c r="T1169" s="4">
        <f t="shared" si="10"/>
        <v>18</v>
      </c>
      <c r="U1169" s="4">
        <f t="shared" si="1"/>
        <v>-0.02212563445</v>
      </c>
      <c r="V1169" s="4"/>
    </row>
    <row r="1170">
      <c r="A1170" s="1" t="s">
        <v>17326</v>
      </c>
      <c r="B1170" s="1" t="s">
        <v>17327</v>
      </c>
      <c r="C1170" s="1" t="s">
        <v>17328</v>
      </c>
      <c r="D1170" s="1" t="s">
        <v>17099</v>
      </c>
      <c r="E1170" s="1" t="s">
        <v>17100</v>
      </c>
      <c r="F1170" s="1">
        <v>4.1180923E7</v>
      </c>
      <c r="G1170" s="1">
        <v>2345784.0</v>
      </c>
      <c r="H1170" s="1">
        <v>9147.0</v>
      </c>
      <c r="I1170" s="1">
        <v>2.51E7</v>
      </c>
      <c r="J1170" s="1" t="s">
        <v>2468</v>
      </c>
      <c r="K1170" s="5">
        <f t="shared" si="2"/>
        <v>1.640674223</v>
      </c>
      <c r="L1170" s="6">
        <f t="shared" si="3"/>
        <v>695</v>
      </c>
      <c r="M1170" s="6">
        <f t="shared" si="4"/>
        <v>59253.12662</v>
      </c>
      <c r="N1170" s="7">
        <f t="shared" si="5"/>
        <v>0.002360682335</v>
      </c>
      <c r="O1170" s="7"/>
      <c r="P1170" s="4">
        <f t="shared" si="6"/>
        <v>1.213252358</v>
      </c>
      <c r="Q1170" s="4">
        <f t="shared" si="7"/>
        <v>7</v>
      </c>
      <c r="R1170" s="4">
        <f t="shared" si="8"/>
        <v>1</v>
      </c>
      <c r="S1170" s="4">
        <f t="shared" si="9"/>
        <v>1.213252358</v>
      </c>
      <c r="T1170" s="4">
        <f t="shared" si="10"/>
        <v>25</v>
      </c>
      <c r="U1170" s="4">
        <f t="shared" si="1"/>
        <v>1.213252358</v>
      </c>
      <c r="V1170" s="4"/>
    </row>
    <row r="1171">
      <c r="A1171" s="1" t="s">
        <v>17329</v>
      </c>
      <c r="B1171" s="1" t="s">
        <v>17330</v>
      </c>
      <c r="C1171" s="1" t="s">
        <v>17331</v>
      </c>
      <c r="D1171" s="1" t="s">
        <v>17099</v>
      </c>
      <c r="E1171" s="1" t="s">
        <v>17100</v>
      </c>
      <c r="F1171" s="1">
        <v>3.4940954E7</v>
      </c>
      <c r="G1171" s="1">
        <v>1345770.0</v>
      </c>
      <c r="H1171" s="1">
        <v>42562.0</v>
      </c>
      <c r="I1171" s="1">
        <v>2.51E7</v>
      </c>
      <c r="J1171" s="1" t="s">
        <v>2468</v>
      </c>
      <c r="K1171" s="5">
        <f t="shared" si="2"/>
        <v>1.39206988</v>
      </c>
      <c r="L1171" s="6">
        <f t="shared" si="3"/>
        <v>701</v>
      </c>
      <c r="M1171" s="6">
        <f t="shared" si="4"/>
        <v>49844.44223</v>
      </c>
      <c r="N1171" s="7">
        <f t="shared" si="5"/>
        <v>0.001985834352</v>
      </c>
      <c r="O1171" s="7"/>
      <c r="P1171" s="4">
        <f t="shared" si="6"/>
        <v>0.9492231472</v>
      </c>
      <c r="Q1171" s="4">
        <f t="shared" si="7"/>
        <v>6</v>
      </c>
      <c r="R1171" s="4">
        <f t="shared" si="8"/>
        <v>1</v>
      </c>
      <c r="S1171" s="4">
        <f t="shared" si="9"/>
        <v>0.9492231472</v>
      </c>
      <c r="T1171" s="4">
        <f t="shared" si="10"/>
        <v>25</v>
      </c>
      <c r="U1171" s="4">
        <f t="shared" si="1"/>
        <v>0.9492231472</v>
      </c>
      <c r="V1171" s="4"/>
    </row>
    <row r="1172">
      <c r="A1172" s="1" t="s">
        <v>17332</v>
      </c>
      <c r="B1172" s="1" t="s">
        <v>17333</v>
      </c>
      <c r="C1172" s="1" t="s">
        <v>17334</v>
      </c>
      <c r="D1172" s="1" t="s">
        <v>17099</v>
      </c>
      <c r="E1172" s="1" t="s">
        <v>17100</v>
      </c>
      <c r="F1172" s="1">
        <v>1.4128578E7</v>
      </c>
      <c r="G1172" s="1">
        <v>908541.0</v>
      </c>
      <c r="H1172" s="1">
        <v>61427.0</v>
      </c>
      <c r="I1172" s="1">
        <v>2.51E7</v>
      </c>
      <c r="J1172" s="1" t="s">
        <v>2468</v>
      </c>
      <c r="K1172" s="5">
        <f t="shared" si="2"/>
        <v>0.5628915538</v>
      </c>
      <c r="L1172" s="6">
        <f t="shared" si="3"/>
        <v>705</v>
      </c>
      <c r="M1172" s="6">
        <f t="shared" si="4"/>
        <v>20040.53617</v>
      </c>
      <c r="N1172" s="7">
        <f t="shared" si="5"/>
        <v>0.0007984277359</v>
      </c>
      <c r="O1172" s="7"/>
      <c r="P1172" s="4">
        <f t="shared" si="6"/>
        <v>0.1128573544</v>
      </c>
      <c r="Q1172" s="4">
        <f t="shared" si="7"/>
        <v>3</v>
      </c>
      <c r="R1172" s="4">
        <f t="shared" si="8"/>
        <v>0</v>
      </c>
      <c r="S1172" s="4">
        <f t="shared" si="9"/>
        <v>0.1128573544</v>
      </c>
      <c r="T1172" s="4">
        <f t="shared" si="10"/>
        <v>14</v>
      </c>
      <c r="U1172" s="4">
        <f t="shared" si="1"/>
        <v>0.1128573544</v>
      </c>
      <c r="V1172" s="4"/>
    </row>
    <row r="1173">
      <c r="A1173" s="1" t="s">
        <v>17335</v>
      </c>
      <c r="B1173" s="1" t="s">
        <v>17336</v>
      </c>
      <c r="C1173" s="1" t="s">
        <v>17337</v>
      </c>
      <c r="D1173" s="1" t="s">
        <v>17099</v>
      </c>
      <c r="E1173" s="1" t="s">
        <v>17100</v>
      </c>
      <c r="F1173" s="1">
        <v>2.1663647E7</v>
      </c>
      <c r="G1173" s="1">
        <v>1280406.0</v>
      </c>
      <c r="H1173" s="1">
        <v>10184.0</v>
      </c>
      <c r="I1173" s="1">
        <v>2.51E7</v>
      </c>
      <c r="J1173" s="1" t="s">
        <v>2468</v>
      </c>
      <c r="K1173" s="5">
        <f t="shared" si="2"/>
        <v>0.863093506</v>
      </c>
      <c r="L1173" s="6">
        <f t="shared" si="3"/>
        <v>708</v>
      </c>
      <c r="M1173" s="6">
        <f t="shared" si="4"/>
        <v>30598.37147</v>
      </c>
      <c r="N1173" s="7">
        <f t="shared" si="5"/>
        <v>0.001219058624</v>
      </c>
      <c r="O1173" s="7"/>
      <c r="P1173" s="4">
        <f t="shared" si="6"/>
        <v>0.4091343683</v>
      </c>
      <c r="Q1173" s="4">
        <f t="shared" si="7"/>
        <v>3</v>
      </c>
      <c r="R1173" s="4">
        <f t="shared" si="8"/>
        <v>0</v>
      </c>
      <c r="S1173" s="4">
        <f t="shared" si="9"/>
        <v>0.4091343683</v>
      </c>
      <c r="T1173" s="4">
        <f t="shared" si="10"/>
        <v>10</v>
      </c>
      <c r="U1173" s="4">
        <f t="shared" si="1"/>
        <v>0.4091343683</v>
      </c>
      <c r="V1173" s="4"/>
    </row>
    <row r="1174">
      <c r="A1174" s="1" t="s">
        <v>17338</v>
      </c>
      <c r="B1174" s="1" t="s">
        <v>17339</v>
      </c>
      <c r="C1174" s="1" t="s">
        <v>17340</v>
      </c>
      <c r="D1174" s="1" t="s">
        <v>17099</v>
      </c>
      <c r="E1174" s="1" t="s">
        <v>17100</v>
      </c>
      <c r="F1174" s="1">
        <v>6883301.0</v>
      </c>
      <c r="G1174" s="1">
        <v>424006.0</v>
      </c>
      <c r="H1174" s="1">
        <v>3140.0</v>
      </c>
      <c r="I1174" s="1">
        <v>2.51E7</v>
      </c>
      <c r="J1174" s="1" t="s">
        <v>2468</v>
      </c>
      <c r="K1174" s="5">
        <f t="shared" si="2"/>
        <v>0.2742350996</v>
      </c>
      <c r="L1174" s="6">
        <f t="shared" si="3"/>
        <v>712</v>
      </c>
      <c r="M1174" s="6">
        <f t="shared" si="4"/>
        <v>9667.557584</v>
      </c>
      <c r="N1174" s="7">
        <f t="shared" si="5"/>
        <v>0.0003851616567</v>
      </c>
      <c r="O1174" s="7"/>
      <c r="P1174" s="4">
        <f t="shared" si="6"/>
        <v>-0.1782321573</v>
      </c>
      <c r="Q1174" s="4">
        <f t="shared" si="7"/>
        <v>3</v>
      </c>
      <c r="R1174" s="4">
        <f t="shared" si="8"/>
        <v>0</v>
      </c>
      <c r="S1174" s="4">
        <f t="shared" si="9"/>
        <v>-0.1782321573</v>
      </c>
      <c r="T1174" s="4">
        <f t="shared" si="10"/>
        <v>19</v>
      </c>
      <c r="U1174" s="4">
        <f t="shared" si="1"/>
        <v>-0.1782321573</v>
      </c>
      <c r="V1174" s="4"/>
    </row>
    <row r="1175">
      <c r="A1175" s="1" t="s">
        <v>17341</v>
      </c>
      <c r="B1175" s="1" t="s">
        <v>17342</v>
      </c>
      <c r="C1175" s="1" t="s">
        <v>17343</v>
      </c>
      <c r="D1175" s="1" t="s">
        <v>17099</v>
      </c>
      <c r="E1175" s="1" t="s">
        <v>17100</v>
      </c>
      <c r="F1175" s="1">
        <v>2519794.0</v>
      </c>
      <c r="G1175" s="1">
        <v>176761.0</v>
      </c>
      <c r="H1175" s="1">
        <v>1694.0</v>
      </c>
      <c r="I1175" s="1">
        <v>2.51E7</v>
      </c>
      <c r="J1175" s="1" t="s">
        <v>2468</v>
      </c>
      <c r="K1175" s="5">
        <f t="shared" si="2"/>
        <v>0.1003901992</v>
      </c>
      <c r="L1175" s="6">
        <f t="shared" si="3"/>
        <v>714</v>
      </c>
      <c r="M1175" s="6">
        <f t="shared" si="4"/>
        <v>3529.123249</v>
      </c>
      <c r="N1175" s="7">
        <f t="shared" si="5"/>
        <v>0.0001406025199</v>
      </c>
      <c r="O1175" s="7"/>
      <c r="P1175" s="4">
        <f t="shared" si="6"/>
        <v>-0.350490669</v>
      </c>
      <c r="Q1175" s="4">
        <f t="shared" si="7"/>
        <v>2</v>
      </c>
      <c r="R1175" s="4">
        <f t="shared" si="8"/>
        <v>0</v>
      </c>
      <c r="S1175" s="4">
        <f t="shared" si="9"/>
        <v>-0.350490669</v>
      </c>
      <c r="T1175" s="4">
        <f t="shared" si="10"/>
        <v>11</v>
      </c>
      <c r="U1175" s="4">
        <f t="shared" si="1"/>
        <v>-0.350490669</v>
      </c>
      <c r="V1175" s="4"/>
    </row>
    <row r="1176">
      <c r="A1176" s="1" t="s">
        <v>17344</v>
      </c>
      <c r="B1176" s="1" t="s">
        <v>17345</v>
      </c>
      <c r="C1176" s="1" t="s">
        <v>17346</v>
      </c>
      <c r="D1176" s="1" t="s">
        <v>17099</v>
      </c>
      <c r="E1176" s="1" t="s">
        <v>17100</v>
      </c>
      <c r="F1176" s="1">
        <v>1.4935862E7</v>
      </c>
      <c r="G1176" s="1">
        <v>1110185.0</v>
      </c>
      <c r="H1176" s="1">
        <v>9591.0</v>
      </c>
      <c r="I1176" s="1">
        <v>2.51E7</v>
      </c>
      <c r="J1176" s="1" t="s">
        <v>2468</v>
      </c>
      <c r="K1176" s="5">
        <f t="shared" si="2"/>
        <v>0.5950542629</v>
      </c>
      <c r="L1176" s="6">
        <f t="shared" si="3"/>
        <v>716</v>
      </c>
      <c r="M1176" s="6">
        <f t="shared" si="4"/>
        <v>20860.14246</v>
      </c>
      <c r="N1176" s="7">
        <f t="shared" si="5"/>
        <v>0.0008310813728</v>
      </c>
      <c r="O1176" s="7"/>
      <c r="P1176" s="4">
        <f t="shared" si="6"/>
        <v>0.135857382</v>
      </c>
      <c r="Q1176" s="4">
        <f t="shared" si="7"/>
        <v>7</v>
      </c>
      <c r="R1176" s="4">
        <f t="shared" si="8"/>
        <v>0</v>
      </c>
      <c r="S1176" s="4">
        <f t="shared" si="9"/>
        <v>0.135857382</v>
      </c>
      <c r="T1176" s="4">
        <f t="shared" si="10"/>
        <v>30</v>
      </c>
      <c r="U1176" s="4">
        <f t="shared" si="1"/>
        <v>0.135857382</v>
      </c>
      <c r="V1176" s="4"/>
    </row>
    <row r="1177">
      <c r="A1177" s="1" t="s">
        <v>17347</v>
      </c>
      <c r="B1177" s="1" t="s">
        <v>17348</v>
      </c>
      <c r="C1177" s="1" t="s">
        <v>17349</v>
      </c>
      <c r="D1177" s="1" t="s">
        <v>17099</v>
      </c>
      <c r="E1177" s="1" t="s">
        <v>17100</v>
      </c>
      <c r="F1177" s="1">
        <v>1.7852743E7</v>
      </c>
      <c r="G1177" s="1">
        <v>1123994.0</v>
      </c>
      <c r="H1177" s="1">
        <v>8731.0</v>
      </c>
      <c r="I1177" s="1">
        <v>2.51E7</v>
      </c>
      <c r="J1177" s="1" t="s">
        <v>2468</v>
      </c>
      <c r="K1177" s="5">
        <f t="shared" si="2"/>
        <v>0.7112646614</v>
      </c>
      <c r="L1177" s="6">
        <f t="shared" si="3"/>
        <v>723</v>
      </c>
      <c r="M1177" s="6">
        <f t="shared" si="4"/>
        <v>24692.59059</v>
      </c>
      <c r="N1177" s="7">
        <f t="shared" si="5"/>
        <v>0.0009837685496</v>
      </c>
      <c r="O1177" s="7"/>
      <c r="P1177" s="4">
        <f t="shared" si="6"/>
        <v>0.243404645</v>
      </c>
      <c r="Q1177" s="4">
        <f t="shared" si="7"/>
        <v>4</v>
      </c>
      <c r="R1177" s="4">
        <f t="shared" si="8"/>
        <v>0</v>
      </c>
      <c r="S1177" s="4">
        <f t="shared" si="9"/>
        <v>0.243404645</v>
      </c>
      <c r="T1177" s="4">
        <f t="shared" si="10"/>
        <v>23</v>
      </c>
      <c r="U1177" s="4">
        <f t="shared" si="1"/>
        <v>0.243404645</v>
      </c>
      <c r="V1177" s="4"/>
    </row>
    <row r="1178">
      <c r="A1178" s="1" t="s">
        <v>17350</v>
      </c>
      <c r="B1178" s="1" t="s">
        <v>17351</v>
      </c>
      <c r="C1178" s="1" t="s">
        <v>17352</v>
      </c>
      <c r="D1178" s="1" t="s">
        <v>17099</v>
      </c>
      <c r="E1178" s="1" t="s">
        <v>17100</v>
      </c>
      <c r="F1178" s="1">
        <v>3881287.0</v>
      </c>
      <c r="G1178" s="1">
        <v>291486.0</v>
      </c>
      <c r="H1178" s="1">
        <v>2208.0</v>
      </c>
      <c r="I1178" s="1">
        <v>2.51E7</v>
      </c>
      <c r="J1178" s="1" t="s">
        <v>2468</v>
      </c>
      <c r="K1178" s="5">
        <f t="shared" si="2"/>
        <v>0.1546329482</v>
      </c>
      <c r="L1178" s="6">
        <f t="shared" si="3"/>
        <v>725</v>
      </c>
      <c r="M1178" s="6">
        <f t="shared" si="4"/>
        <v>5353.49931</v>
      </c>
      <c r="N1178" s="7">
        <f t="shared" si="5"/>
        <v>0.0002132868251</v>
      </c>
      <c r="O1178" s="7"/>
      <c r="P1178" s="4">
        <f t="shared" si="6"/>
        <v>-0.2992945027</v>
      </c>
      <c r="Q1178" s="4">
        <f t="shared" si="7"/>
        <v>7</v>
      </c>
      <c r="R1178" s="4">
        <f t="shared" si="8"/>
        <v>0</v>
      </c>
      <c r="S1178" s="4">
        <f t="shared" si="9"/>
        <v>-0.2992945027</v>
      </c>
      <c r="T1178" s="4">
        <f t="shared" si="10"/>
        <v>21</v>
      </c>
      <c r="U1178" s="4">
        <f t="shared" si="1"/>
        <v>-0.2992945027</v>
      </c>
      <c r="V1178" s="4"/>
    </row>
    <row r="1179">
      <c r="A1179" s="1" t="s">
        <v>17353</v>
      </c>
      <c r="B1179" s="1" t="s">
        <v>17354</v>
      </c>
      <c r="C1179" s="1" t="s">
        <v>17355</v>
      </c>
      <c r="D1179" s="1" t="s">
        <v>17099</v>
      </c>
      <c r="E1179" s="1" t="s">
        <v>17100</v>
      </c>
      <c r="F1179" s="1">
        <v>2.3362264E7</v>
      </c>
      <c r="G1179" s="1">
        <v>1341602.0</v>
      </c>
      <c r="H1179" s="1">
        <v>23465.0</v>
      </c>
      <c r="I1179" s="1">
        <v>2.51E7</v>
      </c>
      <c r="J1179" s="1" t="s">
        <v>2468</v>
      </c>
      <c r="K1179" s="5">
        <f t="shared" si="2"/>
        <v>0.93076749</v>
      </c>
      <c r="L1179" s="6">
        <f t="shared" si="3"/>
        <v>732</v>
      </c>
      <c r="M1179" s="6">
        <f t="shared" si="4"/>
        <v>31915.6612</v>
      </c>
      <c r="N1179" s="7">
        <f t="shared" si="5"/>
        <v>0.001271540287</v>
      </c>
      <c r="O1179" s="7"/>
      <c r="P1179" s="4">
        <f t="shared" si="6"/>
        <v>0.4461005321</v>
      </c>
      <c r="Q1179" s="4">
        <f t="shared" si="7"/>
        <v>5</v>
      </c>
      <c r="R1179" s="4">
        <f t="shared" si="8"/>
        <v>0</v>
      </c>
      <c r="S1179" s="4">
        <f t="shared" si="9"/>
        <v>0.4461005321</v>
      </c>
      <c r="T1179" s="4">
        <f t="shared" si="10"/>
        <v>20</v>
      </c>
      <c r="U1179" s="4">
        <f t="shared" si="1"/>
        <v>0.4461005321</v>
      </c>
      <c r="V1179" s="4"/>
    </row>
    <row r="1180">
      <c r="A1180" s="1" t="s">
        <v>17356</v>
      </c>
      <c r="B1180" s="1" t="s">
        <v>17357</v>
      </c>
      <c r="C1180" s="1" t="s">
        <v>17358</v>
      </c>
      <c r="D1180" s="1" t="s">
        <v>17099</v>
      </c>
      <c r="E1180" s="1" t="s">
        <v>17100</v>
      </c>
      <c r="F1180" s="1">
        <v>4.8776871E7</v>
      </c>
      <c r="G1180" s="1">
        <v>2213269.0</v>
      </c>
      <c r="H1180" s="1">
        <v>15165.0</v>
      </c>
      <c r="I1180" s="1">
        <v>2.51E7</v>
      </c>
      <c r="J1180" s="1" t="s">
        <v>2468</v>
      </c>
      <c r="K1180" s="5">
        <f t="shared" si="2"/>
        <v>1.943301633</v>
      </c>
      <c r="L1180" s="6">
        <f t="shared" si="3"/>
        <v>735</v>
      </c>
      <c r="M1180" s="6">
        <f t="shared" si="4"/>
        <v>66363.0898</v>
      </c>
      <c r="N1180" s="7">
        <f t="shared" si="5"/>
        <v>0.002643947801</v>
      </c>
      <c r="O1180" s="7"/>
      <c r="P1180" s="4">
        <f t="shared" si="6"/>
        <v>1.412774191</v>
      </c>
      <c r="Q1180" s="4">
        <f t="shared" si="7"/>
        <v>8</v>
      </c>
      <c r="R1180" s="4">
        <f t="shared" si="8"/>
        <v>0</v>
      </c>
      <c r="S1180" s="4">
        <f t="shared" si="9"/>
        <v>1.412774191</v>
      </c>
      <c r="T1180" s="4">
        <f t="shared" si="10"/>
        <v>27</v>
      </c>
      <c r="U1180" s="4">
        <f t="shared" si="1"/>
        <v>1.412774191</v>
      </c>
      <c r="V1180" s="4"/>
    </row>
    <row r="1181">
      <c r="A1181" s="1" t="s">
        <v>17359</v>
      </c>
      <c r="B1181" s="1" t="s">
        <v>17360</v>
      </c>
      <c r="C1181" s="1" t="s">
        <v>17361</v>
      </c>
      <c r="D1181" s="1" t="s">
        <v>17099</v>
      </c>
      <c r="E1181" s="1" t="s">
        <v>17100</v>
      </c>
      <c r="F1181" s="1">
        <v>2.5316341E7</v>
      </c>
      <c r="G1181" s="1">
        <v>1734042.0</v>
      </c>
      <c r="H1181" s="1">
        <v>9382.0</v>
      </c>
      <c r="I1181" s="1">
        <v>2.51E7</v>
      </c>
      <c r="J1181" s="1" t="s">
        <v>2468</v>
      </c>
      <c r="K1181" s="5">
        <f t="shared" si="2"/>
        <v>1.008619163</v>
      </c>
      <c r="L1181" s="6">
        <f t="shared" si="3"/>
        <v>738</v>
      </c>
      <c r="M1181" s="6">
        <f t="shared" si="4"/>
        <v>34303.98509</v>
      </c>
      <c r="N1181" s="7">
        <f t="shared" si="5"/>
        <v>0.001366692633</v>
      </c>
      <c r="O1181" s="7"/>
      <c r="P1181" s="4">
        <f t="shared" si="6"/>
        <v>0.5131223648</v>
      </c>
      <c r="Q1181" s="4">
        <f t="shared" si="7"/>
        <v>6</v>
      </c>
      <c r="R1181" s="4">
        <f t="shared" si="8"/>
        <v>0</v>
      </c>
      <c r="S1181" s="4">
        <f t="shared" si="9"/>
        <v>0.5131223648</v>
      </c>
      <c r="T1181" s="4">
        <f t="shared" si="10"/>
        <v>23</v>
      </c>
      <c r="U1181" s="4">
        <f t="shared" si="1"/>
        <v>0.5131223648</v>
      </c>
      <c r="V1181" s="4"/>
    </row>
    <row r="1182">
      <c r="A1182" s="1" t="s">
        <v>17362</v>
      </c>
      <c r="B1182" s="1" t="s">
        <v>17363</v>
      </c>
      <c r="C1182" s="1" t="s">
        <v>17364</v>
      </c>
      <c r="D1182" s="1" t="s">
        <v>17099</v>
      </c>
      <c r="E1182" s="1" t="s">
        <v>17100</v>
      </c>
      <c r="F1182" s="1">
        <v>7331793.0</v>
      </c>
      <c r="G1182" s="1">
        <v>588293.0</v>
      </c>
      <c r="H1182" s="1">
        <v>2518.0</v>
      </c>
      <c r="I1182" s="1">
        <v>2.51E7</v>
      </c>
      <c r="J1182" s="1" t="s">
        <v>2468</v>
      </c>
      <c r="K1182" s="5">
        <f t="shared" si="2"/>
        <v>0.2921033068</v>
      </c>
      <c r="L1182" s="6">
        <f t="shared" si="3"/>
        <v>741</v>
      </c>
      <c r="M1182" s="6">
        <f t="shared" si="4"/>
        <v>9894.45749</v>
      </c>
      <c r="N1182" s="7">
        <f t="shared" si="5"/>
        <v>0.0003942014936</v>
      </c>
      <c r="O1182" s="7"/>
      <c r="P1182" s="4">
        <f t="shared" si="6"/>
        <v>-0.1718648268</v>
      </c>
      <c r="Q1182" s="4">
        <f t="shared" si="7"/>
        <v>9</v>
      </c>
      <c r="R1182" s="4">
        <f t="shared" si="8"/>
        <v>0</v>
      </c>
      <c r="S1182" s="4">
        <f t="shared" si="9"/>
        <v>-0.1718648268</v>
      </c>
      <c r="T1182" s="4">
        <f t="shared" si="10"/>
        <v>43</v>
      </c>
      <c r="U1182" s="4">
        <f t="shared" si="1"/>
        <v>-0.1718648268</v>
      </c>
      <c r="V1182" s="4"/>
    </row>
    <row r="1183">
      <c r="A1183" s="1" t="s">
        <v>17365</v>
      </c>
      <c r="B1183" s="1" t="s">
        <v>17366</v>
      </c>
      <c r="C1183" s="1" t="s">
        <v>17367</v>
      </c>
      <c r="D1183" s="1" t="s">
        <v>17368</v>
      </c>
      <c r="E1183" s="1" t="s">
        <v>17369</v>
      </c>
      <c r="F1183" s="1">
        <v>317789.0</v>
      </c>
      <c r="G1183" s="1">
        <v>16472.0</v>
      </c>
      <c r="H1183" s="1">
        <v>1937.0</v>
      </c>
      <c r="I1183" s="1">
        <v>8410000.0</v>
      </c>
      <c r="J1183" s="1" t="s">
        <v>2468</v>
      </c>
      <c r="K1183" s="5">
        <f t="shared" si="2"/>
        <v>0.03778703924</v>
      </c>
      <c r="L1183" s="6">
        <f t="shared" si="3"/>
        <v>38</v>
      </c>
      <c r="M1183" s="6">
        <f t="shared" si="4"/>
        <v>8362.868421</v>
      </c>
      <c r="N1183" s="7">
        <f t="shared" si="5"/>
        <v>0.0009943957694</v>
      </c>
      <c r="O1183" s="7"/>
      <c r="P1183" s="4">
        <f t="shared" si="6"/>
        <v>0.25089007</v>
      </c>
      <c r="Q1183" s="4">
        <f t="shared" si="7"/>
        <v>4</v>
      </c>
      <c r="R1183" s="4">
        <f t="shared" si="8"/>
        <v>0</v>
      </c>
      <c r="S1183" s="4">
        <f t="shared" si="9"/>
        <v>0.25089007</v>
      </c>
      <c r="T1183" s="4">
        <f t="shared" si="10"/>
        <v>30</v>
      </c>
      <c r="U1183" s="4">
        <f t="shared" si="1"/>
        <v>0.25089007</v>
      </c>
      <c r="V1183" s="4"/>
    </row>
    <row r="1184">
      <c r="A1184" s="1" t="s">
        <v>17370</v>
      </c>
      <c r="B1184" s="1" t="s">
        <v>17371</v>
      </c>
      <c r="C1184" s="1" t="s">
        <v>17372</v>
      </c>
      <c r="D1184" s="1" t="s">
        <v>17368</v>
      </c>
      <c r="E1184" s="1" t="s">
        <v>17369</v>
      </c>
      <c r="F1184" s="1">
        <v>230695.0</v>
      </c>
      <c r="G1184" s="1">
        <v>10714.0</v>
      </c>
      <c r="H1184" s="1">
        <v>862.0</v>
      </c>
      <c r="I1184" s="1">
        <v>8410000.0</v>
      </c>
      <c r="J1184" s="1" t="s">
        <v>2468</v>
      </c>
      <c r="K1184" s="5">
        <f t="shared" si="2"/>
        <v>0.02743103448</v>
      </c>
      <c r="L1184" s="6">
        <f t="shared" si="3"/>
        <v>42</v>
      </c>
      <c r="M1184" s="6">
        <f t="shared" si="4"/>
        <v>5492.738095</v>
      </c>
      <c r="N1184" s="7">
        <f t="shared" si="5"/>
        <v>0.0006531198686</v>
      </c>
      <c r="O1184" s="7"/>
      <c r="P1184" s="4">
        <f t="shared" si="6"/>
        <v>0.01050780706</v>
      </c>
      <c r="Q1184" s="4">
        <f t="shared" si="7"/>
        <v>8</v>
      </c>
      <c r="R1184" s="4">
        <f t="shared" si="8"/>
        <v>0</v>
      </c>
      <c r="S1184" s="4">
        <f t="shared" si="9"/>
        <v>0.01050780706</v>
      </c>
      <c r="T1184" s="4">
        <f t="shared" si="10"/>
        <v>37</v>
      </c>
      <c r="U1184" s="4">
        <f t="shared" si="1"/>
        <v>0.01050780706</v>
      </c>
      <c r="V1184" s="4"/>
    </row>
    <row r="1185">
      <c r="A1185" s="1" t="s">
        <v>17373</v>
      </c>
      <c r="B1185" s="1" t="s">
        <v>17374</v>
      </c>
      <c r="C1185" s="1" t="s">
        <v>17375</v>
      </c>
      <c r="D1185" s="1" t="s">
        <v>17368</v>
      </c>
      <c r="E1185" s="1" t="s">
        <v>17369</v>
      </c>
      <c r="F1185" s="1">
        <v>66455.0</v>
      </c>
      <c r="G1185" s="1">
        <v>3884.0</v>
      </c>
      <c r="H1185" s="1">
        <v>256.0</v>
      </c>
      <c r="I1185" s="1">
        <v>8410000.0</v>
      </c>
      <c r="J1185" s="1" t="s">
        <v>2468</v>
      </c>
      <c r="K1185" s="5">
        <f t="shared" si="2"/>
        <v>0.007901902497</v>
      </c>
      <c r="L1185" s="6">
        <f t="shared" si="3"/>
        <v>43</v>
      </c>
      <c r="M1185" s="6">
        <f t="shared" si="4"/>
        <v>1545.465116</v>
      </c>
      <c r="N1185" s="7">
        <f t="shared" si="5"/>
        <v>0.0001837651743</v>
      </c>
      <c r="O1185" s="7"/>
      <c r="P1185" s="4">
        <f t="shared" si="6"/>
        <v>-0.3200884738</v>
      </c>
      <c r="Q1185" s="4">
        <f t="shared" si="7"/>
        <v>6</v>
      </c>
      <c r="R1185" s="4">
        <f t="shared" si="8"/>
        <v>0</v>
      </c>
      <c r="S1185" s="4">
        <f t="shared" si="9"/>
        <v>-0.3200884738</v>
      </c>
      <c r="T1185" s="4">
        <f t="shared" si="10"/>
        <v>24</v>
      </c>
      <c r="U1185" s="4">
        <f t="shared" si="1"/>
        <v>-0.3200884738</v>
      </c>
      <c r="V1185" s="4"/>
    </row>
    <row r="1186">
      <c r="A1186" s="1" t="s">
        <v>17376</v>
      </c>
      <c r="B1186" s="1" t="s">
        <v>17377</v>
      </c>
      <c r="C1186" s="1" t="s">
        <v>17378</v>
      </c>
      <c r="D1186" s="1" t="s">
        <v>17368</v>
      </c>
      <c r="E1186" s="1" t="s">
        <v>17369</v>
      </c>
      <c r="F1186" s="1">
        <v>111258.0</v>
      </c>
      <c r="G1186" s="1">
        <v>5469.0</v>
      </c>
      <c r="H1186" s="1">
        <v>339.0</v>
      </c>
      <c r="I1186" s="1">
        <v>8410000.0</v>
      </c>
      <c r="J1186" s="1" t="s">
        <v>2468</v>
      </c>
      <c r="K1186" s="5">
        <f t="shared" si="2"/>
        <v>0.01322925089</v>
      </c>
      <c r="L1186" s="6">
        <f t="shared" si="3"/>
        <v>44</v>
      </c>
      <c r="M1186" s="6">
        <f t="shared" si="4"/>
        <v>2528.590909</v>
      </c>
      <c r="N1186" s="7">
        <f t="shared" si="5"/>
        <v>0.000300664793</v>
      </c>
      <c r="O1186" s="7"/>
      <c r="P1186" s="4">
        <f t="shared" si="6"/>
        <v>-0.2377486578</v>
      </c>
      <c r="Q1186" s="4">
        <f t="shared" si="7"/>
        <v>4</v>
      </c>
      <c r="R1186" s="4">
        <f t="shared" si="8"/>
        <v>0</v>
      </c>
      <c r="S1186" s="4">
        <f t="shared" si="9"/>
        <v>-0.2377486578</v>
      </c>
      <c r="T1186" s="4">
        <f t="shared" si="10"/>
        <v>21</v>
      </c>
      <c r="U1186" s="4">
        <f t="shared" si="1"/>
        <v>-0.2377486578</v>
      </c>
      <c r="V1186" s="4"/>
    </row>
    <row r="1187">
      <c r="A1187" s="1" t="s">
        <v>17379</v>
      </c>
      <c r="B1187" s="1" t="s">
        <v>17380</v>
      </c>
      <c r="C1187" s="1" t="s">
        <v>17381</v>
      </c>
      <c r="D1187" s="1" t="s">
        <v>17368</v>
      </c>
      <c r="E1187" s="1" t="s">
        <v>17369</v>
      </c>
      <c r="F1187" s="1">
        <v>197366.0</v>
      </c>
      <c r="G1187" s="1">
        <v>7497.0</v>
      </c>
      <c r="H1187" s="1">
        <v>642.0</v>
      </c>
      <c r="I1187" s="1">
        <v>8410000.0</v>
      </c>
      <c r="J1187" s="1" t="s">
        <v>2468</v>
      </c>
      <c r="K1187" s="5">
        <f t="shared" si="2"/>
        <v>0.02346801427</v>
      </c>
      <c r="L1187" s="6">
        <f t="shared" si="3"/>
        <v>45</v>
      </c>
      <c r="M1187" s="6">
        <f t="shared" si="4"/>
        <v>4385.911111</v>
      </c>
      <c r="N1187" s="7">
        <f t="shared" si="5"/>
        <v>0.0005215114282</v>
      </c>
      <c r="O1187" s="7"/>
      <c r="P1187" s="4">
        <f t="shared" si="6"/>
        <v>-0.08219236505</v>
      </c>
      <c r="Q1187" s="4">
        <f t="shared" si="7"/>
        <v>8</v>
      </c>
      <c r="R1187" s="4">
        <f t="shared" si="8"/>
        <v>0</v>
      </c>
      <c r="S1187" s="4">
        <f t="shared" si="9"/>
        <v>-0.08219236505</v>
      </c>
      <c r="T1187" s="4">
        <f t="shared" si="10"/>
        <v>38</v>
      </c>
      <c r="U1187" s="4">
        <f t="shared" si="1"/>
        <v>-0.08219236505</v>
      </c>
      <c r="V1187" s="4"/>
    </row>
    <row r="1188">
      <c r="A1188" s="1" t="s">
        <v>17382</v>
      </c>
      <c r="B1188" s="1" t="s">
        <v>17383</v>
      </c>
      <c r="C1188" s="1" t="s">
        <v>17384</v>
      </c>
      <c r="D1188" s="1" t="s">
        <v>17368</v>
      </c>
      <c r="E1188" s="1" t="s">
        <v>17369</v>
      </c>
      <c r="F1188" s="1">
        <v>270853.0</v>
      </c>
      <c r="G1188" s="1">
        <v>10851.0</v>
      </c>
      <c r="H1188" s="1">
        <v>804.0</v>
      </c>
      <c r="I1188" s="1">
        <v>8410000.0</v>
      </c>
      <c r="J1188" s="1" t="s">
        <v>2468</v>
      </c>
      <c r="K1188" s="5">
        <f t="shared" si="2"/>
        <v>0.03220606421</v>
      </c>
      <c r="L1188" s="6">
        <f t="shared" si="3"/>
        <v>49</v>
      </c>
      <c r="M1188" s="6">
        <f t="shared" si="4"/>
        <v>5527.612245</v>
      </c>
      <c r="N1188" s="7">
        <f t="shared" si="5"/>
        <v>0.0006572666165</v>
      </c>
      <c r="O1188" s="7"/>
      <c r="P1188" s="4">
        <f t="shared" si="6"/>
        <v>0.0134286246</v>
      </c>
      <c r="Q1188" s="4">
        <f t="shared" si="7"/>
        <v>7</v>
      </c>
      <c r="R1188" s="4">
        <f t="shared" si="8"/>
        <v>0</v>
      </c>
      <c r="S1188" s="4">
        <f t="shared" si="9"/>
        <v>0.0134286246</v>
      </c>
      <c r="T1188" s="4">
        <f t="shared" si="10"/>
        <v>26</v>
      </c>
      <c r="U1188" s="4">
        <f t="shared" si="1"/>
        <v>0.0134286246</v>
      </c>
      <c r="V1188" s="4"/>
    </row>
    <row r="1189">
      <c r="A1189" s="1" t="s">
        <v>17385</v>
      </c>
      <c r="B1189" s="1" t="s">
        <v>17386</v>
      </c>
      <c r="C1189" s="1" t="s">
        <v>17387</v>
      </c>
      <c r="D1189" s="1" t="s">
        <v>17368</v>
      </c>
      <c r="E1189" s="1" t="s">
        <v>17369</v>
      </c>
      <c r="F1189" s="1">
        <v>130997.0</v>
      </c>
      <c r="G1189" s="1">
        <v>6956.0</v>
      </c>
      <c r="H1189" s="1">
        <v>518.0</v>
      </c>
      <c r="I1189" s="1">
        <v>8410000.0</v>
      </c>
      <c r="J1189" s="1" t="s">
        <v>2468</v>
      </c>
      <c r="K1189" s="5">
        <f t="shared" si="2"/>
        <v>0.01557633769</v>
      </c>
      <c r="L1189" s="6">
        <f t="shared" si="3"/>
        <v>50</v>
      </c>
      <c r="M1189" s="6">
        <f t="shared" si="4"/>
        <v>2619.94</v>
      </c>
      <c r="N1189" s="7">
        <f t="shared" si="5"/>
        <v>0.0003115267539</v>
      </c>
      <c r="O1189" s="7"/>
      <c r="P1189" s="4">
        <f t="shared" si="6"/>
        <v>-0.2300978898</v>
      </c>
      <c r="Q1189" s="4">
        <f t="shared" si="7"/>
        <v>6</v>
      </c>
      <c r="R1189" s="4">
        <f t="shared" si="8"/>
        <v>1</v>
      </c>
      <c r="S1189" s="4">
        <f t="shared" si="9"/>
        <v>-0.2300978898</v>
      </c>
      <c r="T1189" s="4">
        <f t="shared" si="10"/>
        <v>20</v>
      </c>
      <c r="U1189" s="4">
        <f t="shared" si="1"/>
        <v>-0.2300978898</v>
      </c>
      <c r="V1189" s="4"/>
    </row>
    <row r="1190">
      <c r="A1190" s="1" t="s">
        <v>17388</v>
      </c>
      <c r="B1190" s="1" t="s">
        <v>17389</v>
      </c>
      <c r="C1190" s="1" t="s">
        <v>17390</v>
      </c>
      <c r="D1190" s="1" t="s">
        <v>17368</v>
      </c>
      <c r="E1190" s="1" t="s">
        <v>17369</v>
      </c>
      <c r="F1190" s="1">
        <v>49461.0</v>
      </c>
      <c r="G1190" s="1">
        <v>3084.0</v>
      </c>
      <c r="H1190" s="1">
        <v>155.0</v>
      </c>
      <c r="I1190" s="1">
        <v>8410000.0</v>
      </c>
      <c r="J1190" s="1" t="s">
        <v>2468</v>
      </c>
      <c r="K1190" s="5">
        <f t="shared" si="2"/>
        <v>0.005881212842</v>
      </c>
      <c r="L1190" s="6">
        <f t="shared" si="3"/>
        <v>51</v>
      </c>
      <c r="M1190" s="6">
        <f t="shared" si="4"/>
        <v>969.8235294</v>
      </c>
      <c r="N1190" s="7">
        <f t="shared" si="5"/>
        <v>0.0001153178989</v>
      </c>
      <c r="O1190" s="7"/>
      <c r="P1190" s="4">
        <f t="shared" si="6"/>
        <v>-0.3683002313</v>
      </c>
      <c r="Q1190" s="4">
        <f t="shared" si="7"/>
        <v>7</v>
      </c>
      <c r="R1190" s="4">
        <f t="shared" si="8"/>
        <v>0</v>
      </c>
      <c r="S1190" s="4">
        <f t="shared" si="9"/>
        <v>-0.3683002313</v>
      </c>
      <c r="T1190" s="4">
        <f t="shared" si="10"/>
        <v>31</v>
      </c>
      <c r="U1190" s="4">
        <f t="shared" si="1"/>
        <v>-0.3683002313</v>
      </c>
      <c r="V1190" s="4"/>
    </row>
    <row r="1191">
      <c r="A1191" s="1" t="s">
        <v>17391</v>
      </c>
      <c r="B1191" s="1" t="s">
        <v>17392</v>
      </c>
      <c r="C1191" s="1" t="s">
        <v>17393</v>
      </c>
      <c r="D1191" s="1" t="s">
        <v>17368</v>
      </c>
      <c r="E1191" s="1" t="s">
        <v>17369</v>
      </c>
      <c r="F1191" s="1">
        <v>439388.0</v>
      </c>
      <c r="G1191" s="1">
        <v>24171.0</v>
      </c>
      <c r="H1191" s="1">
        <v>3281.0</v>
      </c>
      <c r="I1191" s="1">
        <v>8410000.0</v>
      </c>
      <c r="J1191" s="1" t="s">
        <v>2468</v>
      </c>
      <c r="K1191" s="5">
        <f t="shared" si="2"/>
        <v>0.05224589774</v>
      </c>
      <c r="L1191" s="6">
        <f t="shared" si="3"/>
        <v>52</v>
      </c>
      <c r="M1191" s="6">
        <f t="shared" si="4"/>
        <v>8449.769231</v>
      </c>
      <c r="N1191" s="7">
        <f t="shared" si="5"/>
        <v>0.001004728803</v>
      </c>
      <c r="O1191" s="7"/>
      <c r="P1191" s="4">
        <f t="shared" si="6"/>
        <v>0.2581682807</v>
      </c>
      <c r="Q1191" s="4">
        <f t="shared" si="7"/>
        <v>7</v>
      </c>
      <c r="R1191" s="4">
        <f t="shared" si="8"/>
        <v>0</v>
      </c>
      <c r="S1191" s="4">
        <f t="shared" si="9"/>
        <v>0.2581682807</v>
      </c>
      <c r="T1191" s="4">
        <f t="shared" si="10"/>
        <v>37</v>
      </c>
      <c r="U1191" s="4">
        <f t="shared" si="1"/>
        <v>0.2581682807</v>
      </c>
      <c r="V1191" s="4"/>
    </row>
    <row r="1192">
      <c r="A1192" s="1" t="s">
        <v>17394</v>
      </c>
      <c r="B1192" s="1" t="s">
        <v>17395</v>
      </c>
      <c r="C1192" s="1" t="s">
        <v>17396</v>
      </c>
      <c r="D1192" s="1" t="s">
        <v>17368</v>
      </c>
      <c r="E1192" s="1" t="s">
        <v>17369</v>
      </c>
      <c r="F1192" s="1">
        <v>593451.0</v>
      </c>
      <c r="G1192" s="1">
        <v>24117.0</v>
      </c>
      <c r="H1192" s="1">
        <v>2158.0</v>
      </c>
      <c r="I1192" s="1">
        <v>8410000.0</v>
      </c>
      <c r="J1192" s="1" t="s">
        <v>2468</v>
      </c>
      <c r="K1192" s="5">
        <f t="shared" si="2"/>
        <v>0.07056492271</v>
      </c>
      <c r="L1192" s="6">
        <f t="shared" si="3"/>
        <v>56</v>
      </c>
      <c r="M1192" s="6">
        <f t="shared" si="4"/>
        <v>10597.33929</v>
      </c>
      <c r="N1192" s="7">
        <f t="shared" si="5"/>
        <v>0.001260087906</v>
      </c>
      <c r="O1192" s="7"/>
      <c r="P1192" s="4">
        <f t="shared" si="6"/>
        <v>0.4380338935</v>
      </c>
      <c r="Q1192" s="4">
        <f t="shared" si="7"/>
        <v>6</v>
      </c>
      <c r="R1192" s="4">
        <f t="shared" si="8"/>
        <v>1</v>
      </c>
      <c r="S1192" s="4">
        <f t="shared" si="9"/>
        <v>0.4380338935</v>
      </c>
      <c r="T1192" s="4">
        <f t="shared" si="10"/>
        <v>21</v>
      </c>
      <c r="U1192" s="4">
        <f t="shared" si="1"/>
        <v>0.4380338935</v>
      </c>
      <c r="V1192" s="4"/>
    </row>
    <row r="1193">
      <c r="A1193" s="1" t="s">
        <v>17397</v>
      </c>
      <c r="B1193" s="1" t="s">
        <v>17398</v>
      </c>
      <c r="C1193" s="1" t="s">
        <v>17399</v>
      </c>
      <c r="D1193" s="1" t="s">
        <v>17368</v>
      </c>
      <c r="E1193" s="1" t="s">
        <v>17369</v>
      </c>
      <c r="F1193" s="1">
        <v>247186.0</v>
      </c>
      <c r="G1193" s="1">
        <v>11243.0</v>
      </c>
      <c r="H1193" s="1">
        <v>564.0</v>
      </c>
      <c r="I1193" s="1">
        <v>8410000.0</v>
      </c>
      <c r="J1193" s="1" t="s">
        <v>2468</v>
      </c>
      <c r="K1193" s="5">
        <f t="shared" si="2"/>
        <v>0.02939191439</v>
      </c>
      <c r="L1193" s="6">
        <f t="shared" si="3"/>
        <v>57</v>
      </c>
      <c r="M1193" s="6">
        <f t="shared" si="4"/>
        <v>4336.596491</v>
      </c>
      <c r="N1193" s="7">
        <f t="shared" si="5"/>
        <v>0.0005156476208</v>
      </c>
      <c r="O1193" s="7"/>
      <c r="P1193" s="4">
        <f t="shared" si="6"/>
        <v>-0.08632261649</v>
      </c>
      <c r="Q1193" s="4">
        <f t="shared" si="7"/>
        <v>6</v>
      </c>
      <c r="R1193" s="4">
        <f t="shared" si="8"/>
        <v>0</v>
      </c>
      <c r="S1193" s="4">
        <f t="shared" si="9"/>
        <v>-0.08632261649</v>
      </c>
      <c r="T1193" s="4">
        <f t="shared" si="10"/>
        <v>28</v>
      </c>
      <c r="U1193" s="4">
        <f t="shared" si="1"/>
        <v>-0.08632261649</v>
      </c>
      <c r="V1193" s="4"/>
    </row>
    <row r="1194">
      <c r="A1194" s="1" t="s">
        <v>17400</v>
      </c>
      <c r="B1194" s="1" t="s">
        <v>17401</v>
      </c>
      <c r="C1194" s="1" t="s">
        <v>17402</v>
      </c>
      <c r="D1194" s="1" t="s">
        <v>17368</v>
      </c>
      <c r="E1194" s="1" t="s">
        <v>17369</v>
      </c>
      <c r="F1194" s="1">
        <v>206201.0</v>
      </c>
      <c r="G1194" s="1">
        <v>9058.0</v>
      </c>
      <c r="H1194" s="1">
        <v>781.0</v>
      </c>
      <c r="I1194" s="1">
        <v>8410000.0</v>
      </c>
      <c r="J1194" s="1" t="s">
        <v>2468</v>
      </c>
      <c r="K1194" s="5">
        <f t="shared" si="2"/>
        <v>0.02451854935</v>
      </c>
      <c r="L1194" s="6">
        <f t="shared" si="3"/>
        <v>58</v>
      </c>
      <c r="M1194" s="6">
        <f t="shared" si="4"/>
        <v>3555.189655</v>
      </c>
      <c r="N1194" s="7">
        <f t="shared" si="5"/>
        <v>0.0004227336094</v>
      </c>
      <c r="O1194" s="7"/>
      <c r="P1194" s="4">
        <f t="shared" si="6"/>
        <v>-0.151767848</v>
      </c>
      <c r="Q1194" s="4">
        <f t="shared" si="7"/>
        <v>7</v>
      </c>
      <c r="R1194" s="4">
        <f t="shared" si="8"/>
        <v>0</v>
      </c>
      <c r="S1194" s="4">
        <f t="shared" si="9"/>
        <v>-0.151767848</v>
      </c>
      <c r="T1194" s="4">
        <f t="shared" si="10"/>
        <v>32</v>
      </c>
      <c r="U1194" s="4">
        <f t="shared" si="1"/>
        <v>-0.151767848</v>
      </c>
      <c r="V1194" s="4"/>
    </row>
    <row r="1195">
      <c r="A1195" s="1" t="s">
        <v>17403</v>
      </c>
      <c r="B1195" s="1" t="s">
        <v>17404</v>
      </c>
      <c r="C1195" s="1" t="s">
        <v>17405</v>
      </c>
      <c r="D1195" s="1" t="s">
        <v>17368</v>
      </c>
      <c r="E1195" s="1" t="s">
        <v>17369</v>
      </c>
      <c r="F1195" s="1">
        <v>75690.0</v>
      </c>
      <c r="G1195" s="1">
        <v>4871.0</v>
      </c>
      <c r="H1195" s="1">
        <v>152.0</v>
      </c>
      <c r="I1195" s="1">
        <v>8410000.0</v>
      </c>
      <c r="J1195" s="1" t="s">
        <v>2468</v>
      </c>
      <c r="K1195" s="5">
        <f t="shared" si="2"/>
        <v>0.009</v>
      </c>
      <c r="L1195" s="6">
        <f t="shared" si="3"/>
        <v>59</v>
      </c>
      <c r="M1195" s="6">
        <f t="shared" si="4"/>
        <v>1282.881356</v>
      </c>
      <c r="N1195" s="7">
        <f t="shared" si="5"/>
        <v>0.0001525423729</v>
      </c>
      <c r="O1195" s="7"/>
      <c r="P1195" s="4">
        <f t="shared" si="6"/>
        <v>-0.3420806732</v>
      </c>
      <c r="Q1195" s="4">
        <f t="shared" si="7"/>
        <v>8</v>
      </c>
      <c r="R1195" s="4">
        <f t="shared" si="8"/>
        <v>0</v>
      </c>
      <c r="S1195" s="4">
        <f t="shared" si="9"/>
        <v>-0.3420806732</v>
      </c>
      <c r="T1195" s="4">
        <f t="shared" si="10"/>
        <v>39</v>
      </c>
      <c r="U1195" s="4">
        <f t="shared" si="1"/>
        <v>-0.3420806732</v>
      </c>
      <c r="V1195" s="4"/>
    </row>
    <row r="1196">
      <c r="A1196" s="1" t="s">
        <v>17406</v>
      </c>
      <c r="B1196" s="1" t="s">
        <v>17407</v>
      </c>
      <c r="C1196" s="1" t="s">
        <v>17408</v>
      </c>
      <c r="D1196" s="1" t="s">
        <v>17368</v>
      </c>
      <c r="E1196" s="1" t="s">
        <v>17369</v>
      </c>
      <c r="F1196" s="1">
        <v>312249.0</v>
      </c>
      <c r="G1196" s="1">
        <v>9981.0</v>
      </c>
      <c r="H1196" s="1">
        <v>572.0</v>
      </c>
      <c r="I1196" s="1">
        <v>8410000.0</v>
      </c>
      <c r="J1196" s="1" t="s">
        <v>2468</v>
      </c>
      <c r="K1196" s="5">
        <f t="shared" si="2"/>
        <v>0.03712829964</v>
      </c>
      <c r="L1196" s="6">
        <f t="shared" si="3"/>
        <v>70</v>
      </c>
      <c r="M1196" s="6">
        <f t="shared" si="4"/>
        <v>4460.7</v>
      </c>
      <c r="N1196" s="7">
        <f t="shared" si="5"/>
        <v>0.0005304042806</v>
      </c>
      <c r="O1196" s="7"/>
      <c r="P1196" s="4">
        <f t="shared" si="6"/>
        <v>-0.07592856504</v>
      </c>
      <c r="Q1196" s="4">
        <f t="shared" si="7"/>
        <v>9</v>
      </c>
      <c r="R1196" s="4">
        <f t="shared" si="8"/>
        <v>0</v>
      </c>
      <c r="S1196" s="4">
        <f t="shared" si="9"/>
        <v>-0.07592856504</v>
      </c>
      <c r="T1196" s="4">
        <f t="shared" si="10"/>
        <v>44</v>
      </c>
      <c r="U1196" s="4">
        <f t="shared" si="1"/>
        <v>-0.07592856504</v>
      </c>
      <c r="V1196" s="4"/>
    </row>
    <row r="1197">
      <c r="A1197" s="1" t="s">
        <v>17409</v>
      </c>
      <c r="B1197" s="1" t="s">
        <v>17410</v>
      </c>
      <c r="C1197" s="1" t="s">
        <v>17411</v>
      </c>
      <c r="D1197" s="1" t="s">
        <v>17368</v>
      </c>
      <c r="E1197" s="1" t="s">
        <v>17369</v>
      </c>
      <c r="F1197" s="1">
        <v>100989.0</v>
      </c>
      <c r="G1197" s="1">
        <v>5354.0</v>
      </c>
      <c r="H1197" s="1">
        <v>411.0</v>
      </c>
      <c r="I1197" s="1">
        <v>8410000.0</v>
      </c>
      <c r="J1197" s="1" t="s">
        <v>2468</v>
      </c>
      <c r="K1197" s="5">
        <f t="shared" si="2"/>
        <v>0.01200820452</v>
      </c>
      <c r="L1197" s="6">
        <f t="shared" si="3"/>
        <v>71</v>
      </c>
      <c r="M1197" s="6">
        <f t="shared" si="4"/>
        <v>1422.380282</v>
      </c>
      <c r="N1197" s="7">
        <f t="shared" si="5"/>
        <v>0.0001691296411</v>
      </c>
      <c r="O1197" s="7"/>
      <c r="P1197" s="4">
        <f t="shared" si="6"/>
        <v>-0.3303972081</v>
      </c>
      <c r="Q1197" s="4">
        <f t="shared" si="7"/>
        <v>9</v>
      </c>
      <c r="R1197" s="4">
        <f t="shared" si="8"/>
        <v>0</v>
      </c>
      <c r="S1197" s="4">
        <f t="shared" si="9"/>
        <v>-0.3303972081</v>
      </c>
      <c r="T1197" s="4">
        <f t="shared" si="10"/>
        <v>32</v>
      </c>
      <c r="U1197" s="4">
        <f t="shared" si="1"/>
        <v>-0.3303972081</v>
      </c>
      <c r="V1197" s="4"/>
    </row>
    <row r="1198">
      <c r="A1198" s="1" t="s">
        <v>17412</v>
      </c>
      <c r="B1198" s="1" t="s">
        <v>17413</v>
      </c>
      <c r="C1198" s="1" t="s">
        <v>17414</v>
      </c>
      <c r="D1198" s="1" t="s">
        <v>17368</v>
      </c>
      <c r="E1198" s="1" t="s">
        <v>17369</v>
      </c>
      <c r="F1198" s="1">
        <v>101882.0</v>
      </c>
      <c r="G1198" s="1">
        <v>5495.0</v>
      </c>
      <c r="H1198" s="1">
        <v>343.0</v>
      </c>
      <c r="I1198" s="1">
        <v>8410000.0</v>
      </c>
      <c r="J1198" s="1" t="s">
        <v>2468</v>
      </c>
      <c r="K1198" s="5">
        <f t="shared" si="2"/>
        <v>0.01211438763</v>
      </c>
      <c r="L1198" s="6">
        <f t="shared" si="3"/>
        <v>72</v>
      </c>
      <c r="M1198" s="6">
        <f t="shared" si="4"/>
        <v>1415.027778</v>
      </c>
      <c r="N1198" s="7">
        <f t="shared" si="5"/>
        <v>0.0001682553838</v>
      </c>
      <c r="O1198" s="7"/>
      <c r="P1198" s="4">
        <f t="shared" si="6"/>
        <v>-0.331013003</v>
      </c>
      <c r="Q1198" s="4">
        <f t="shared" si="7"/>
        <v>13</v>
      </c>
      <c r="R1198" s="4">
        <f t="shared" si="8"/>
        <v>0</v>
      </c>
      <c r="S1198" s="4">
        <f t="shared" si="9"/>
        <v>-0.331013003</v>
      </c>
      <c r="T1198" s="4">
        <f t="shared" si="10"/>
        <v>54</v>
      </c>
      <c r="U1198" s="4">
        <f t="shared" si="1"/>
        <v>-0.331013003</v>
      </c>
      <c r="V1198" s="4"/>
    </row>
    <row r="1199">
      <c r="A1199" s="1" t="s">
        <v>17415</v>
      </c>
      <c r="B1199" s="1" t="s">
        <v>17416</v>
      </c>
      <c r="C1199" s="1" t="s">
        <v>17417</v>
      </c>
      <c r="D1199" s="1" t="s">
        <v>17368</v>
      </c>
      <c r="E1199" s="1" t="s">
        <v>17369</v>
      </c>
      <c r="F1199" s="1">
        <v>74805.0</v>
      </c>
      <c r="G1199" s="1">
        <v>4002.0</v>
      </c>
      <c r="H1199" s="1">
        <v>200.0</v>
      </c>
      <c r="I1199" s="1">
        <v>8410000.0</v>
      </c>
      <c r="J1199" s="1" t="s">
        <v>2468</v>
      </c>
      <c r="K1199" s="5">
        <f t="shared" si="2"/>
        <v>0.008894768133</v>
      </c>
      <c r="L1199" s="6">
        <f t="shared" si="3"/>
        <v>73</v>
      </c>
      <c r="M1199" s="6">
        <f t="shared" si="4"/>
        <v>1024.726027</v>
      </c>
      <c r="N1199" s="7">
        <f t="shared" si="5"/>
        <v>0.0001218461388</v>
      </c>
      <c r="O1199" s="7"/>
      <c r="P1199" s="4">
        <f t="shared" si="6"/>
        <v>-0.3637019778</v>
      </c>
      <c r="Q1199" s="4">
        <f t="shared" si="7"/>
        <v>5</v>
      </c>
      <c r="R1199" s="4">
        <f t="shared" si="8"/>
        <v>0</v>
      </c>
      <c r="S1199" s="4">
        <f t="shared" si="9"/>
        <v>-0.3637019778</v>
      </c>
      <c r="T1199" s="4">
        <f t="shared" si="10"/>
        <v>16</v>
      </c>
      <c r="U1199" s="4">
        <f t="shared" si="1"/>
        <v>-0.3637019778</v>
      </c>
      <c r="V1199" s="4"/>
    </row>
    <row r="1200">
      <c r="A1200" s="1" t="s">
        <v>17418</v>
      </c>
      <c r="B1200" s="1" t="s">
        <v>17419</v>
      </c>
      <c r="C1200" s="1" t="s">
        <v>17420</v>
      </c>
      <c r="D1200" s="1" t="s">
        <v>17368</v>
      </c>
      <c r="E1200" s="1" t="s">
        <v>17369</v>
      </c>
      <c r="F1200" s="1">
        <v>204747.0</v>
      </c>
      <c r="G1200" s="1">
        <v>7581.0</v>
      </c>
      <c r="H1200" s="1">
        <v>285.0</v>
      </c>
      <c r="I1200" s="1">
        <v>8410000.0</v>
      </c>
      <c r="J1200" s="1" t="s">
        <v>2468</v>
      </c>
      <c r="K1200" s="5">
        <f t="shared" si="2"/>
        <v>0.02434565993</v>
      </c>
      <c r="L1200" s="6">
        <f t="shared" si="3"/>
        <v>77</v>
      </c>
      <c r="M1200" s="6">
        <f t="shared" si="4"/>
        <v>2659.051948</v>
      </c>
      <c r="N1200" s="7">
        <f t="shared" si="5"/>
        <v>0.0003161774017</v>
      </c>
      <c r="O1200" s="7"/>
      <c r="P1200" s="4">
        <f t="shared" si="6"/>
        <v>-0.2268221436</v>
      </c>
      <c r="Q1200" s="4">
        <f t="shared" si="7"/>
        <v>7</v>
      </c>
      <c r="R1200" s="4">
        <f t="shared" si="8"/>
        <v>0</v>
      </c>
      <c r="S1200" s="4">
        <f t="shared" si="9"/>
        <v>-0.2268221436</v>
      </c>
      <c r="T1200" s="4">
        <f t="shared" si="10"/>
        <v>44</v>
      </c>
      <c r="U1200" s="4">
        <f t="shared" si="1"/>
        <v>-0.2268221436</v>
      </c>
      <c r="V1200" s="4"/>
    </row>
    <row r="1201">
      <c r="A1201" s="1" t="s">
        <v>17421</v>
      </c>
      <c r="B1201" s="1" t="s">
        <v>17422</v>
      </c>
      <c r="C1201" s="1" t="s">
        <v>17423</v>
      </c>
      <c r="D1201" s="1" t="s">
        <v>17368</v>
      </c>
      <c r="E1201" s="1" t="s">
        <v>17369</v>
      </c>
      <c r="F1201" s="1">
        <v>140442.0</v>
      </c>
      <c r="G1201" s="1">
        <v>6900.0</v>
      </c>
      <c r="H1201" s="1">
        <v>590.0</v>
      </c>
      <c r="I1201" s="1">
        <v>8410000.0</v>
      </c>
      <c r="J1201" s="1" t="s">
        <v>2468</v>
      </c>
      <c r="K1201" s="5">
        <f t="shared" si="2"/>
        <v>0.01669940547</v>
      </c>
      <c r="L1201" s="6">
        <f t="shared" si="3"/>
        <v>78</v>
      </c>
      <c r="M1201" s="6">
        <f t="shared" si="4"/>
        <v>1800.538462</v>
      </c>
      <c r="N1201" s="7">
        <f t="shared" si="5"/>
        <v>0.0002140949419</v>
      </c>
      <c r="O1201" s="7"/>
      <c r="P1201" s="4">
        <f t="shared" si="6"/>
        <v>-0.2987252948</v>
      </c>
      <c r="Q1201" s="4">
        <f t="shared" si="7"/>
        <v>8</v>
      </c>
      <c r="R1201" s="4">
        <f t="shared" si="8"/>
        <v>0</v>
      </c>
      <c r="S1201" s="4">
        <f t="shared" si="9"/>
        <v>-0.2987252948</v>
      </c>
      <c r="T1201" s="4">
        <f t="shared" si="10"/>
        <v>27</v>
      </c>
      <c r="U1201" s="4">
        <f t="shared" si="1"/>
        <v>-0.2987252948</v>
      </c>
      <c r="V1201" s="4"/>
    </row>
    <row r="1202">
      <c r="A1202" s="1" t="s">
        <v>17424</v>
      </c>
      <c r="B1202" s="1" t="s">
        <v>17425</v>
      </c>
      <c r="C1202" s="1" t="s">
        <v>17426</v>
      </c>
      <c r="D1202" s="1" t="s">
        <v>17368</v>
      </c>
      <c r="E1202" s="1" t="s">
        <v>17369</v>
      </c>
      <c r="F1202" s="1">
        <v>275370.0</v>
      </c>
      <c r="G1202" s="1">
        <v>13135.0</v>
      </c>
      <c r="H1202" s="1">
        <v>1589.0</v>
      </c>
      <c r="I1202" s="1">
        <v>8410000.0</v>
      </c>
      <c r="J1202" s="1" t="s">
        <v>2468</v>
      </c>
      <c r="K1202" s="5">
        <f t="shared" si="2"/>
        <v>0.0327431629</v>
      </c>
      <c r="L1202" s="6">
        <f t="shared" si="3"/>
        <v>79</v>
      </c>
      <c r="M1202" s="6">
        <f t="shared" si="4"/>
        <v>3485.696203</v>
      </c>
      <c r="N1202" s="7">
        <f t="shared" si="5"/>
        <v>0.0004144704165</v>
      </c>
      <c r="O1202" s="7"/>
      <c r="P1202" s="4">
        <f t="shared" si="6"/>
        <v>-0.1575881389</v>
      </c>
      <c r="Q1202" s="4">
        <f t="shared" si="7"/>
        <v>6</v>
      </c>
      <c r="R1202" s="4">
        <f t="shared" si="8"/>
        <v>0</v>
      </c>
      <c r="S1202" s="4">
        <f t="shared" si="9"/>
        <v>-0.1575881389</v>
      </c>
      <c r="T1202" s="4">
        <f t="shared" si="10"/>
        <v>28</v>
      </c>
      <c r="U1202" s="4">
        <f t="shared" si="1"/>
        <v>-0.1575881389</v>
      </c>
      <c r="V1202" s="4"/>
    </row>
    <row r="1203">
      <c r="A1203" s="1" t="s">
        <v>17427</v>
      </c>
      <c r="B1203" s="1" t="s">
        <v>17428</v>
      </c>
      <c r="C1203" s="1" t="s">
        <v>17429</v>
      </c>
      <c r="D1203" s="1" t="s">
        <v>17368</v>
      </c>
      <c r="E1203" s="1" t="s">
        <v>17369</v>
      </c>
      <c r="F1203" s="1">
        <v>149738.0</v>
      </c>
      <c r="G1203" s="1">
        <v>7406.0</v>
      </c>
      <c r="H1203" s="1">
        <v>362.0</v>
      </c>
      <c r="I1203" s="1">
        <v>8410000.0</v>
      </c>
      <c r="J1203" s="1" t="s">
        <v>2468</v>
      </c>
      <c r="K1203" s="5">
        <f t="shared" si="2"/>
        <v>0.01780475624</v>
      </c>
      <c r="L1203" s="6">
        <f t="shared" si="3"/>
        <v>80</v>
      </c>
      <c r="M1203" s="6">
        <f t="shared" si="4"/>
        <v>1871.725</v>
      </c>
      <c r="N1203" s="7">
        <f t="shared" si="5"/>
        <v>0.000222559453</v>
      </c>
      <c r="O1203" s="7"/>
      <c r="P1203" s="4">
        <f t="shared" si="6"/>
        <v>-0.2927632027</v>
      </c>
      <c r="Q1203" s="4">
        <f t="shared" si="7"/>
        <v>7</v>
      </c>
      <c r="R1203" s="4">
        <f t="shared" si="8"/>
        <v>0</v>
      </c>
      <c r="S1203" s="4">
        <f t="shared" si="9"/>
        <v>-0.2927632027</v>
      </c>
      <c r="T1203" s="4">
        <f t="shared" si="10"/>
        <v>47</v>
      </c>
      <c r="U1203" s="4">
        <f t="shared" si="1"/>
        <v>-0.2927632027</v>
      </c>
      <c r="V1203" s="4"/>
    </row>
    <row r="1204">
      <c r="A1204" s="1" t="s">
        <v>17430</v>
      </c>
      <c r="B1204" s="1" t="s">
        <v>17431</v>
      </c>
      <c r="C1204" s="1" t="s">
        <v>17432</v>
      </c>
      <c r="D1204" s="1" t="s">
        <v>17368</v>
      </c>
      <c r="E1204" s="1" t="s">
        <v>17369</v>
      </c>
      <c r="F1204" s="1">
        <v>77598.0</v>
      </c>
      <c r="G1204" s="1">
        <v>3983.0</v>
      </c>
      <c r="H1204" s="1">
        <v>169.0</v>
      </c>
      <c r="I1204" s="1">
        <v>8410000.0</v>
      </c>
      <c r="J1204" s="1" t="s">
        <v>2468</v>
      </c>
      <c r="K1204" s="5">
        <f t="shared" si="2"/>
        <v>0.009226872771</v>
      </c>
      <c r="L1204" s="6">
        <f t="shared" si="3"/>
        <v>84</v>
      </c>
      <c r="M1204" s="6">
        <f t="shared" si="4"/>
        <v>923.7857143</v>
      </c>
      <c r="N1204" s="7">
        <f t="shared" si="5"/>
        <v>0.0001098437235</v>
      </c>
      <c r="O1204" s="7"/>
      <c r="P1204" s="4">
        <f t="shared" si="6"/>
        <v>-0.3721560403</v>
      </c>
      <c r="Q1204" s="4">
        <f t="shared" si="7"/>
        <v>9</v>
      </c>
      <c r="R1204" s="4">
        <f t="shared" si="8"/>
        <v>0</v>
      </c>
      <c r="S1204" s="4">
        <f t="shared" si="9"/>
        <v>-0.3721560403</v>
      </c>
      <c r="T1204" s="4">
        <f t="shared" si="10"/>
        <v>47</v>
      </c>
      <c r="U1204" s="4">
        <f t="shared" si="1"/>
        <v>-0.3721560403</v>
      </c>
      <c r="V1204" s="4"/>
    </row>
    <row r="1205">
      <c r="A1205" s="1" t="s">
        <v>17433</v>
      </c>
      <c r="B1205" s="1" t="s">
        <v>17434</v>
      </c>
      <c r="C1205" s="1" t="s">
        <v>17435</v>
      </c>
      <c r="D1205" s="1" t="s">
        <v>17368</v>
      </c>
      <c r="E1205" s="1" t="s">
        <v>17369</v>
      </c>
      <c r="F1205" s="1">
        <v>98482.0</v>
      </c>
      <c r="G1205" s="1">
        <v>5099.0</v>
      </c>
      <c r="H1205" s="1">
        <v>199.0</v>
      </c>
      <c r="I1205" s="1">
        <v>8410000.0</v>
      </c>
      <c r="J1205" s="1" t="s">
        <v>2468</v>
      </c>
      <c r="K1205" s="5">
        <f t="shared" si="2"/>
        <v>0.01171010702</v>
      </c>
      <c r="L1205" s="6">
        <f t="shared" si="3"/>
        <v>85</v>
      </c>
      <c r="M1205" s="6">
        <f t="shared" si="4"/>
        <v>1158.611765</v>
      </c>
      <c r="N1205" s="7">
        <f t="shared" si="5"/>
        <v>0.0001377659649</v>
      </c>
      <c r="O1205" s="7"/>
      <c r="P1205" s="4">
        <f t="shared" si="6"/>
        <v>-0.3524886346</v>
      </c>
      <c r="Q1205" s="4">
        <f t="shared" si="7"/>
        <v>6</v>
      </c>
      <c r="R1205" s="4">
        <f t="shared" si="8"/>
        <v>1</v>
      </c>
      <c r="S1205" s="4">
        <f t="shared" si="9"/>
        <v>-0.3524886346</v>
      </c>
      <c r="T1205" s="4">
        <f t="shared" si="10"/>
        <v>32</v>
      </c>
      <c r="U1205" s="4">
        <f t="shared" si="1"/>
        <v>-0.3524886346</v>
      </c>
      <c r="V1205" s="4"/>
    </row>
    <row r="1206">
      <c r="A1206" s="1" t="s">
        <v>17436</v>
      </c>
      <c r="B1206" s="1" t="s">
        <v>17437</v>
      </c>
      <c r="C1206" s="1" t="s">
        <v>17438</v>
      </c>
      <c r="D1206" s="1" t="s">
        <v>17368</v>
      </c>
      <c r="E1206" s="1" t="s">
        <v>17369</v>
      </c>
      <c r="F1206" s="1">
        <v>452385.0</v>
      </c>
      <c r="G1206" s="1">
        <v>16906.0</v>
      </c>
      <c r="H1206" s="1">
        <v>1108.0</v>
      </c>
      <c r="I1206" s="1">
        <v>8410000.0</v>
      </c>
      <c r="J1206" s="1" t="s">
        <v>2468</v>
      </c>
      <c r="K1206" s="5">
        <f t="shared" si="2"/>
        <v>0.05379131986</v>
      </c>
      <c r="L1206" s="6">
        <f t="shared" si="3"/>
        <v>86</v>
      </c>
      <c r="M1206" s="6">
        <f t="shared" si="4"/>
        <v>5260.290698</v>
      </c>
      <c r="N1206" s="7">
        <f t="shared" si="5"/>
        <v>0.0006254804635</v>
      </c>
      <c r="O1206" s="7"/>
      <c r="P1206" s="4">
        <f t="shared" si="6"/>
        <v>-0.00896037909</v>
      </c>
      <c r="Q1206" s="4">
        <f t="shared" si="7"/>
        <v>7</v>
      </c>
      <c r="R1206" s="4">
        <f t="shared" si="8"/>
        <v>1</v>
      </c>
      <c r="S1206" s="4">
        <f t="shared" si="9"/>
        <v>-0.00896037909</v>
      </c>
      <c r="T1206" s="4">
        <f t="shared" si="10"/>
        <v>45</v>
      </c>
      <c r="U1206" s="4">
        <f t="shared" si="1"/>
        <v>-0.00896037909</v>
      </c>
      <c r="V1206" s="4"/>
    </row>
    <row r="1207">
      <c r="A1207" s="1" t="s">
        <v>17439</v>
      </c>
      <c r="B1207" s="1" t="s">
        <v>17440</v>
      </c>
      <c r="C1207" s="1" t="s">
        <v>17441</v>
      </c>
      <c r="D1207" s="1" t="s">
        <v>17368</v>
      </c>
      <c r="E1207" s="1" t="s">
        <v>17369</v>
      </c>
      <c r="F1207" s="1">
        <v>71776.0</v>
      </c>
      <c r="G1207" s="1">
        <v>4822.0</v>
      </c>
      <c r="H1207" s="1">
        <v>291.0</v>
      </c>
      <c r="I1207" s="1">
        <v>8410000.0</v>
      </c>
      <c r="J1207" s="1" t="s">
        <v>2468</v>
      </c>
      <c r="K1207" s="5">
        <f t="shared" si="2"/>
        <v>0.008534601665</v>
      </c>
      <c r="L1207" s="6">
        <f t="shared" si="3"/>
        <v>87</v>
      </c>
      <c r="M1207" s="6">
        <f t="shared" si="4"/>
        <v>825.0114943</v>
      </c>
      <c r="N1207" s="7">
        <f t="shared" si="5"/>
        <v>0.00009809886971</v>
      </c>
      <c r="O1207" s="7"/>
      <c r="P1207" s="4">
        <f t="shared" si="6"/>
        <v>-0.3804286857</v>
      </c>
      <c r="Q1207" s="4">
        <f t="shared" si="7"/>
        <v>7</v>
      </c>
      <c r="R1207" s="4">
        <f t="shared" si="8"/>
        <v>0</v>
      </c>
      <c r="S1207" s="4">
        <f t="shared" si="9"/>
        <v>-0.3804286857</v>
      </c>
      <c r="T1207" s="4">
        <f t="shared" si="10"/>
        <v>28</v>
      </c>
      <c r="U1207" s="4">
        <f t="shared" si="1"/>
        <v>-0.3804286857</v>
      </c>
      <c r="V1207" s="4"/>
    </row>
    <row r="1208">
      <c r="A1208" s="1" t="s">
        <v>17442</v>
      </c>
      <c r="B1208" s="1" t="s">
        <v>17443</v>
      </c>
      <c r="C1208" s="1" t="s">
        <v>17444</v>
      </c>
      <c r="D1208" s="1" t="s">
        <v>17368</v>
      </c>
      <c r="E1208" s="1" t="s">
        <v>17369</v>
      </c>
      <c r="F1208" s="1">
        <v>127903.0</v>
      </c>
      <c r="G1208" s="1">
        <v>6775.0</v>
      </c>
      <c r="H1208" s="1">
        <v>377.0</v>
      </c>
      <c r="I1208" s="1">
        <v>8410000.0</v>
      </c>
      <c r="J1208" s="1" t="s">
        <v>2468</v>
      </c>
      <c r="K1208" s="5">
        <f t="shared" si="2"/>
        <v>0.01520844233</v>
      </c>
      <c r="L1208" s="6">
        <f t="shared" si="3"/>
        <v>91</v>
      </c>
      <c r="M1208" s="6">
        <f t="shared" si="4"/>
        <v>1405.527473</v>
      </c>
      <c r="N1208" s="7">
        <f t="shared" si="5"/>
        <v>0.0001671257399</v>
      </c>
      <c r="O1208" s="7"/>
      <c r="P1208" s="4">
        <f t="shared" si="6"/>
        <v>-0.3318086829</v>
      </c>
      <c r="Q1208" s="4">
        <f t="shared" si="7"/>
        <v>6</v>
      </c>
      <c r="R1208" s="4">
        <f t="shared" si="8"/>
        <v>1</v>
      </c>
      <c r="S1208" s="4">
        <f t="shared" si="9"/>
        <v>-0.3318086829</v>
      </c>
      <c r="T1208" s="4">
        <f t="shared" si="10"/>
        <v>23</v>
      </c>
      <c r="U1208" s="4">
        <f t="shared" si="1"/>
        <v>-0.3318086829</v>
      </c>
      <c r="V1208" s="4"/>
    </row>
    <row r="1209">
      <c r="A1209" s="1" t="s">
        <v>17445</v>
      </c>
      <c r="B1209" s="1" t="s">
        <v>17446</v>
      </c>
      <c r="C1209" s="1" t="s">
        <v>17447</v>
      </c>
      <c r="D1209" s="1" t="s">
        <v>17368</v>
      </c>
      <c r="E1209" s="1" t="s">
        <v>17369</v>
      </c>
      <c r="F1209" s="1">
        <v>108146.0</v>
      </c>
      <c r="G1209" s="1">
        <v>5564.0</v>
      </c>
      <c r="H1209" s="1">
        <v>492.0</v>
      </c>
      <c r="I1209" s="1">
        <v>8410000.0</v>
      </c>
      <c r="J1209" s="1" t="s">
        <v>2468</v>
      </c>
      <c r="K1209" s="5">
        <f t="shared" si="2"/>
        <v>0.01285921522</v>
      </c>
      <c r="L1209" s="6">
        <f t="shared" si="3"/>
        <v>92</v>
      </c>
      <c r="M1209" s="6">
        <f t="shared" si="4"/>
        <v>1175.5</v>
      </c>
      <c r="N1209" s="7">
        <f t="shared" si="5"/>
        <v>0.0001397740785</v>
      </c>
      <c r="O1209" s="7"/>
      <c r="P1209" s="4">
        <f t="shared" si="6"/>
        <v>-0.3510741928</v>
      </c>
      <c r="Q1209" s="4">
        <f t="shared" si="7"/>
        <v>11</v>
      </c>
      <c r="R1209" s="4">
        <f t="shared" si="8"/>
        <v>0</v>
      </c>
      <c r="S1209" s="4">
        <f t="shared" si="9"/>
        <v>-0.3510741928</v>
      </c>
      <c r="T1209" s="4">
        <f t="shared" si="10"/>
        <v>39</v>
      </c>
      <c r="U1209" s="4">
        <f t="shared" si="1"/>
        <v>-0.3510741928</v>
      </c>
      <c r="V1209" s="4"/>
    </row>
    <row r="1210">
      <c r="A1210" s="1" t="s">
        <v>17448</v>
      </c>
      <c r="B1210" s="1" t="s">
        <v>17449</v>
      </c>
      <c r="C1210" s="1" t="s">
        <v>17450</v>
      </c>
      <c r="D1210" s="1" t="s">
        <v>17368</v>
      </c>
      <c r="E1210" s="1" t="s">
        <v>17369</v>
      </c>
      <c r="F1210" s="1">
        <v>228746.0</v>
      </c>
      <c r="G1210" s="1">
        <v>9006.0</v>
      </c>
      <c r="H1210" s="1">
        <v>355.0</v>
      </c>
      <c r="I1210" s="1">
        <v>8410000.0</v>
      </c>
      <c r="J1210" s="1" t="s">
        <v>2468</v>
      </c>
      <c r="K1210" s="5">
        <f t="shared" si="2"/>
        <v>0.02719928656</v>
      </c>
      <c r="L1210" s="6">
        <f t="shared" si="3"/>
        <v>93</v>
      </c>
      <c r="M1210" s="6">
        <f t="shared" si="4"/>
        <v>2459.634409</v>
      </c>
      <c r="N1210" s="7">
        <f t="shared" si="5"/>
        <v>0.0002924654469</v>
      </c>
      <c r="O1210" s="7"/>
      <c r="P1210" s="4">
        <f t="shared" si="6"/>
        <v>-0.2435239773</v>
      </c>
      <c r="Q1210" s="4">
        <f t="shared" si="7"/>
        <v>9</v>
      </c>
      <c r="R1210" s="4">
        <f t="shared" si="8"/>
        <v>0</v>
      </c>
      <c r="S1210" s="4">
        <f t="shared" si="9"/>
        <v>-0.2435239773</v>
      </c>
      <c r="T1210" s="4">
        <f t="shared" si="10"/>
        <v>31</v>
      </c>
      <c r="U1210" s="4">
        <f t="shared" si="1"/>
        <v>-0.2435239773</v>
      </c>
      <c r="V1210" s="4"/>
    </row>
    <row r="1211">
      <c r="A1211" s="1" t="s">
        <v>17451</v>
      </c>
      <c r="B1211" s="1" t="s">
        <v>17452</v>
      </c>
      <c r="C1211" s="1" t="s">
        <v>17453</v>
      </c>
      <c r="D1211" s="1" t="s">
        <v>17368</v>
      </c>
      <c r="E1211" s="1" t="s">
        <v>17369</v>
      </c>
      <c r="F1211" s="1">
        <v>205545.0</v>
      </c>
      <c r="G1211" s="1">
        <v>9654.0</v>
      </c>
      <c r="H1211" s="1">
        <v>625.0</v>
      </c>
      <c r="I1211" s="1">
        <v>8410000.0</v>
      </c>
      <c r="J1211" s="1" t="s">
        <v>2468</v>
      </c>
      <c r="K1211" s="5">
        <f t="shared" si="2"/>
        <v>0.02444054697</v>
      </c>
      <c r="L1211" s="6">
        <f t="shared" si="3"/>
        <v>94</v>
      </c>
      <c r="M1211" s="6">
        <f t="shared" si="4"/>
        <v>2186.648936</v>
      </c>
      <c r="N1211" s="7">
        <f t="shared" si="5"/>
        <v>0.0002600058188</v>
      </c>
      <c r="O1211" s="7"/>
      <c r="P1211" s="4">
        <f t="shared" si="6"/>
        <v>-0.2663873522</v>
      </c>
      <c r="Q1211" s="4">
        <f t="shared" si="7"/>
        <v>6</v>
      </c>
      <c r="R1211" s="4">
        <f t="shared" si="8"/>
        <v>0</v>
      </c>
      <c r="S1211" s="4">
        <f t="shared" si="9"/>
        <v>-0.2663873522</v>
      </c>
      <c r="T1211" s="4">
        <f t="shared" si="10"/>
        <v>37</v>
      </c>
      <c r="U1211" s="4">
        <f t="shared" si="1"/>
        <v>-0.2663873522</v>
      </c>
      <c r="V1211" s="4"/>
    </row>
    <row r="1212">
      <c r="A1212" s="1" t="s">
        <v>17454</v>
      </c>
      <c r="B1212" s="1" t="s">
        <v>17455</v>
      </c>
      <c r="C1212" s="1" t="s">
        <v>17456</v>
      </c>
      <c r="D1212" s="1" t="s">
        <v>17368</v>
      </c>
      <c r="E1212" s="1" t="s">
        <v>17369</v>
      </c>
      <c r="F1212" s="1">
        <v>383469.0</v>
      </c>
      <c r="G1212" s="1">
        <v>9916.0</v>
      </c>
      <c r="H1212" s="1">
        <v>615.0</v>
      </c>
      <c r="I1212" s="1">
        <v>8410000.0</v>
      </c>
      <c r="J1212" s="1" t="s">
        <v>2468</v>
      </c>
      <c r="K1212" s="5">
        <f t="shared" si="2"/>
        <v>0.04559678954</v>
      </c>
      <c r="L1212" s="6">
        <f t="shared" si="3"/>
        <v>98</v>
      </c>
      <c r="M1212" s="6">
        <f t="shared" si="4"/>
        <v>3912.94898</v>
      </c>
      <c r="N1212" s="7">
        <f t="shared" si="5"/>
        <v>0.0004652733626</v>
      </c>
      <c r="O1212" s="7"/>
      <c r="P1212" s="4">
        <f t="shared" si="6"/>
        <v>-0.1218044016</v>
      </c>
      <c r="Q1212" s="4">
        <f t="shared" si="7"/>
        <v>7</v>
      </c>
      <c r="R1212" s="4">
        <f t="shared" si="8"/>
        <v>0</v>
      </c>
      <c r="S1212" s="4">
        <f t="shared" si="9"/>
        <v>-0.1218044016</v>
      </c>
      <c r="T1212" s="4">
        <f t="shared" si="10"/>
        <v>37</v>
      </c>
      <c r="U1212" s="4">
        <f t="shared" si="1"/>
        <v>-0.1218044016</v>
      </c>
      <c r="V1212" s="4"/>
    </row>
    <row r="1213">
      <c r="A1213" s="1" t="s">
        <v>17457</v>
      </c>
      <c r="B1213" s="1" t="s">
        <v>17458</v>
      </c>
      <c r="C1213" s="1" t="s">
        <v>17459</v>
      </c>
      <c r="D1213" s="1" t="s">
        <v>17368</v>
      </c>
      <c r="E1213" s="1" t="s">
        <v>17369</v>
      </c>
      <c r="F1213" s="1">
        <v>520451.0</v>
      </c>
      <c r="G1213" s="1">
        <v>18021.0</v>
      </c>
      <c r="H1213" s="1">
        <v>1665.0</v>
      </c>
      <c r="I1213" s="1">
        <v>8410000.0</v>
      </c>
      <c r="J1213" s="1" t="s">
        <v>2468</v>
      </c>
      <c r="K1213" s="5">
        <f t="shared" si="2"/>
        <v>0.06188478002</v>
      </c>
      <c r="L1213" s="6">
        <f t="shared" si="3"/>
        <v>99</v>
      </c>
      <c r="M1213" s="6">
        <f t="shared" si="4"/>
        <v>5257.080808</v>
      </c>
      <c r="N1213" s="7">
        <f t="shared" si="5"/>
        <v>0.0006250987881</v>
      </c>
      <c r="O1213" s="7"/>
      <c r="P1213" s="4">
        <f t="shared" si="6"/>
        <v>-0.009229217239</v>
      </c>
      <c r="Q1213" s="4">
        <f t="shared" si="7"/>
        <v>5</v>
      </c>
      <c r="R1213" s="4">
        <f t="shared" si="8"/>
        <v>1</v>
      </c>
      <c r="S1213" s="4">
        <f t="shared" si="9"/>
        <v>-0.009229217239</v>
      </c>
      <c r="T1213" s="4">
        <f t="shared" si="10"/>
        <v>26</v>
      </c>
      <c r="U1213" s="4">
        <f t="shared" si="1"/>
        <v>-0.009229217239</v>
      </c>
      <c r="V1213" s="4"/>
    </row>
    <row r="1214">
      <c r="A1214" s="1" t="s">
        <v>17460</v>
      </c>
      <c r="B1214" s="1" t="s">
        <v>17461</v>
      </c>
      <c r="C1214" s="1" t="s">
        <v>17462</v>
      </c>
      <c r="D1214" s="1" t="s">
        <v>17368</v>
      </c>
      <c r="E1214" s="1" t="s">
        <v>17369</v>
      </c>
      <c r="F1214" s="1">
        <v>105933.0</v>
      </c>
      <c r="G1214" s="1">
        <v>5220.0</v>
      </c>
      <c r="H1214" s="1">
        <v>98.0</v>
      </c>
      <c r="I1214" s="1">
        <v>8410000.0</v>
      </c>
      <c r="J1214" s="1" t="s">
        <v>2468</v>
      </c>
      <c r="K1214" s="5">
        <f t="shared" si="2"/>
        <v>0.0125960761</v>
      </c>
      <c r="L1214" s="6">
        <f t="shared" si="3"/>
        <v>100</v>
      </c>
      <c r="M1214" s="6">
        <f t="shared" si="4"/>
        <v>1059.33</v>
      </c>
      <c r="N1214" s="7">
        <f t="shared" si="5"/>
        <v>0.000125960761</v>
      </c>
      <c r="O1214" s="7"/>
      <c r="P1214" s="4">
        <f t="shared" si="6"/>
        <v>-0.3608037885</v>
      </c>
      <c r="Q1214" s="4">
        <f t="shared" si="7"/>
        <v>8</v>
      </c>
      <c r="R1214" s="4">
        <f t="shared" si="8"/>
        <v>0</v>
      </c>
      <c r="S1214" s="4">
        <f t="shared" si="9"/>
        <v>-0.3608037885</v>
      </c>
      <c r="T1214" s="4">
        <f t="shared" si="10"/>
        <v>41</v>
      </c>
      <c r="U1214" s="4">
        <f t="shared" si="1"/>
        <v>-0.3608037885</v>
      </c>
      <c r="V1214" s="4"/>
    </row>
    <row r="1215">
      <c r="A1215" s="1" t="s">
        <v>17463</v>
      </c>
      <c r="B1215" s="1" t="s">
        <v>17464</v>
      </c>
      <c r="C1215" s="1" t="s">
        <v>17465</v>
      </c>
      <c r="D1215" s="1" t="s">
        <v>17368</v>
      </c>
      <c r="E1215" s="1" t="s">
        <v>17369</v>
      </c>
      <c r="F1215" s="1">
        <v>87463.0</v>
      </c>
      <c r="G1215" s="1">
        <v>5637.0</v>
      </c>
      <c r="H1215" s="1">
        <v>1030.0</v>
      </c>
      <c r="I1215" s="1">
        <v>8410000.0</v>
      </c>
      <c r="J1215" s="1" t="s">
        <v>2468</v>
      </c>
      <c r="K1215" s="5">
        <f t="shared" si="2"/>
        <v>0.01039988109</v>
      </c>
      <c r="L1215" s="6">
        <f t="shared" si="3"/>
        <v>101</v>
      </c>
      <c r="M1215" s="6">
        <f t="shared" si="4"/>
        <v>865.970297</v>
      </c>
      <c r="N1215" s="7">
        <f t="shared" si="5"/>
        <v>0.0001029691197</v>
      </c>
      <c r="O1215" s="7"/>
      <c r="P1215" s="4">
        <f t="shared" si="6"/>
        <v>-0.3769982597</v>
      </c>
      <c r="Q1215" s="4">
        <f t="shared" si="7"/>
        <v>7</v>
      </c>
      <c r="R1215" s="4">
        <f t="shared" si="8"/>
        <v>0</v>
      </c>
      <c r="S1215" s="4">
        <f t="shared" si="9"/>
        <v>-0.3769982597</v>
      </c>
      <c r="T1215" s="4">
        <f t="shared" si="10"/>
        <v>30</v>
      </c>
      <c r="U1215" s="4">
        <f t="shared" si="1"/>
        <v>-0.3769982597</v>
      </c>
      <c r="V1215" s="4"/>
    </row>
    <row r="1216">
      <c r="A1216" s="1" t="s">
        <v>17466</v>
      </c>
      <c r="B1216" s="1" t="s">
        <v>17467</v>
      </c>
      <c r="C1216" s="1" t="s">
        <v>17468</v>
      </c>
      <c r="D1216" s="1" t="s">
        <v>17368</v>
      </c>
      <c r="E1216" s="1" t="s">
        <v>17369</v>
      </c>
      <c r="F1216" s="1">
        <v>259503.0</v>
      </c>
      <c r="G1216" s="1">
        <v>11828.0</v>
      </c>
      <c r="H1216" s="1">
        <v>944.0</v>
      </c>
      <c r="I1216" s="1">
        <v>8410000.0</v>
      </c>
      <c r="J1216" s="1" t="s">
        <v>2468</v>
      </c>
      <c r="K1216" s="5">
        <f t="shared" si="2"/>
        <v>0.03085648038</v>
      </c>
      <c r="L1216" s="6">
        <f t="shared" si="3"/>
        <v>105</v>
      </c>
      <c r="M1216" s="6">
        <f t="shared" si="4"/>
        <v>2471.457143</v>
      </c>
      <c r="N1216" s="7">
        <f t="shared" si="5"/>
        <v>0.0002938712417</v>
      </c>
      <c r="O1216" s="7"/>
      <c r="P1216" s="4">
        <f t="shared" si="6"/>
        <v>-0.2425337869</v>
      </c>
      <c r="Q1216" s="4">
        <f t="shared" si="7"/>
        <v>8</v>
      </c>
      <c r="R1216" s="4">
        <f t="shared" si="8"/>
        <v>0</v>
      </c>
      <c r="S1216" s="4">
        <f t="shared" si="9"/>
        <v>-0.2425337869</v>
      </c>
      <c r="T1216" s="4">
        <f t="shared" si="10"/>
        <v>49</v>
      </c>
      <c r="U1216" s="4">
        <f t="shared" si="1"/>
        <v>-0.2425337869</v>
      </c>
      <c r="V1216" s="4"/>
    </row>
    <row r="1217">
      <c r="A1217" s="1" t="s">
        <v>17469</v>
      </c>
      <c r="B1217" s="1" t="s">
        <v>17470</v>
      </c>
      <c r="C1217" s="1" t="s">
        <v>17471</v>
      </c>
      <c r="D1217" s="1" t="s">
        <v>17368</v>
      </c>
      <c r="E1217" s="1" t="s">
        <v>17369</v>
      </c>
      <c r="F1217" s="1">
        <v>96496.0</v>
      </c>
      <c r="G1217" s="1">
        <v>6190.0</v>
      </c>
      <c r="H1217" s="1">
        <v>591.0</v>
      </c>
      <c r="I1217" s="1">
        <v>8410000.0</v>
      </c>
      <c r="J1217" s="1" t="s">
        <v>2468</v>
      </c>
      <c r="K1217" s="5">
        <f t="shared" si="2"/>
        <v>0.01147395957</v>
      </c>
      <c r="L1217" s="6">
        <f t="shared" si="3"/>
        <v>106</v>
      </c>
      <c r="M1217" s="6">
        <f t="shared" si="4"/>
        <v>910.3396226</v>
      </c>
      <c r="N1217" s="7">
        <f t="shared" si="5"/>
        <v>0.0001082449016</v>
      </c>
      <c r="O1217" s="7"/>
      <c r="P1217" s="4">
        <f t="shared" si="6"/>
        <v>-0.3732821919</v>
      </c>
      <c r="Q1217" s="4">
        <f t="shared" si="7"/>
        <v>11</v>
      </c>
      <c r="R1217" s="4">
        <f t="shared" si="8"/>
        <v>0</v>
      </c>
      <c r="S1217" s="4">
        <f t="shared" si="9"/>
        <v>-0.3732821919</v>
      </c>
      <c r="T1217" s="4">
        <f t="shared" si="10"/>
        <v>44</v>
      </c>
      <c r="U1217" s="4">
        <f t="shared" si="1"/>
        <v>-0.3732821919</v>
      </c>
      <c r="V1217" s="4"/>
    </row>
    <row r="1218">
      <c r="A1218" s="1" t="s">
        <v>17472</v>
      </c>
      <c r="B1218" s="1" t="s">
        <v>17473</v>
      </c>
      <c r="C1218" s="1" t="s">
        <v>17474</v>
      </c>
      <c r="D1218" s="1" t="s">
        <v>17368</v>
      </c>
      <c r="E1218" s="1" t="s">
        <v>17369</v>
      </c>
      <c r="F1218" s="1">
        <v>92142.0</v>
      </c>
      <c r="G1218" s="1">
        <v>5070.0</v>
      </c>
      <c r="H1218" s="1">
        <v>641.0</v>
      </c>
      <c r="I1218" s="1">
        <v>8410000.0</v>
      </c>
      <c r="J1218" s="1" t="s">
        <v>2468</v>
      </c>
      <c r="K1218" s="5">
        <f t="shared" si="2"/>
        <v>0.01095624257</v>
      </c>
      <c r="L1218" s="6">
        <f t="shared" si="3"/>
        <v>107</v>
      </c>
      <c r="M1218" s="6">
        <f t="shared" si="4"/>
        <v>861.1401869</v>
      </c>
      <c r="N1218" s="7">
        <f t="shared" si="5"/>
        <v>0.0001023947904</v>
      </c>
      <c r="O1218" s="7"/>
      <c r="P1218" s="4">
        <f t="shared" si="6"/>
        <v>-0.3774027963</v>
      </c>
      <c r="Q1218" s="4">
        <f t="shared" si="7"/>
        <v>10</v>
      </c>
      <c r="R1218" s="4">
        <f t="shared" si="8"/>
        <v>1</v>
      </c>
      <c r="S1218" s="4">
        <f t="shared" si="9"/>
        <v>-0.3774027963</v>
      </c>
      <c r="T1218" s="4">
        <f t="shared" si="10"/>
        <v>46</v>
      </c>
      <c r="U1218" s="4">
        <f t="shared" si="1"/>
        <v>-0.3774027963</v>
      </c>
      <c r="V1218" s="4"/>
    </row>
    <row r="1219">
      <c r="A1219" s="1" t="s">
        <v>17475</v>
      </c>
      <c r="B1219" s="1" t="s">
        <v>17476</v>
      </c>
      <c r="C1219" s="1" t="s">
        <v>17477</v>
      </c>
      <c r="D1219" s="1" t="s">
        <v>17368</v>
      </c>
      <c r="E1219" s="1" t="s">
        <v>17369</v>
      </c>
      <c r="F1219" s="1">
        <v>107491.0</v>
      </c>
      <c r="G1219" s="1">
        <v>5123.0</v>
      </c>
      <c r="H1219" s="1">
        <v>264.0</v>
      </c>
      <c r="I1219" s="1">
        <v>8410000.0</v>
      </c>
      <c r="J1219" s="1" t="s">
        <v>2468</v>
      </c>
      <c r="K1219" s="5">
        <f t="shared" si="2"/>
        <v>0.01278133175</v>
      </c>
      <c r="L1219" s="6">
        <f t="shared" si="3"/>
        <v>108</v>
      </c>
      <c r="M1219" s="6">
        <f t="shared" si="4"/>
        <v>995.287037</v>
      </c>
      <c r="N1219" s="7">
        <f t="shared" si="5"/>
        <v>0.0001183456643</v>
      </c>
      <c r="O1219" s="7"/>
      <c r="P1219" s="4">
        <f t="shared" si="6"/>
        <v>-0.366167584</v>
      </c>
      <c r="Q1219" s="4">
        <f t="shared" si="7"/>
        <v>7</v>
      </c>
      <c r="R1219" s="4">
        <f t="shared" si="8"/>
        <v>0</v>
      </c>
      <c r="S1219" s="4">
        <f t="shared" si="9"/>
        <v>-0.366167584</v>
      </c>
      <c r="T1219" s="4">
        <f t="shared" si="10"/>
        <v>35</v>
      </c>
      <c r="U1219" s="4">
        <f t="shared" si="1"/>
        <v>-0.366167584</v>
      </c>
      <c r="V1219" s="4"/>
    </row>
    <row r="1220">
      <c r="A1220" s="1" t="s">
        <v>17478</v>
      </c>
      <c r="B1220" s="1" t="s">
        <v>17479</v>
      </c>
      <c r="C1220" s="1" t="s">
        <v>17480</v>
      </c>
      <c r="D1220" s="1" t="s">
        <v>17368</v>
      </c>
      <c r="E1220" s="1" t="s">
        <v>17369</v>
      </c>
      <c r="F1220" s="1">
        <v>261748.0</v>
      </c>
      <c r="G1220" s="1">
        <v>10454.0</v>
      </c>
      <c r="H1220" s="1">
        <v>498.0</v>
      </c>
      <c r="I1220" s="1">
        <v>8410000.0</v>
      </c>
      <c r="J1220" s="1" t="s">
        <v>2468</v>
      </c>
      <c r="K1220" s="5">
        <f t="shared" si="2"/>
        <v>0.03112342449</v>
      </c>
      <c r="L1220" s="6">
        <f t="shared" si="3"/>
        <v>112</v>
      </c>
      <c r="M1220" s="6">
        <f t="shared" si="4"/>
        <v>2337.035714</v>
      </c>
      <c r="N1220" s="7">
        <f t="shared" si="5"/>
        <v>0.0002778877187</v>
      </c>
      <c r="O1220" s="7"/>
      <c r="P1220" s="4">
        <f t="shared" si="6"/>
        <v>-0.2537919959</v>
      </c>
      <c r="Q1220" s="4">
        <f t="shared" si="7"/>
        <v>6</v>
      </c>
      <c r="R1220" s="4">
        <f t="shared" si="8"/>
        <v>0</v>
      </c>
      <c r="S1220" s="4">
        <f t="shared" si="9"/>
        <v>-0.2537919959</v>
      </c>
      <c r="T1220" s="4">
        <f t="shared" si="10"/>
        <v>30</v>
      </c>
      <c r="U1220" s="4">
        <f t="shared" si="1"/>
        <v>-0.2537919959</v>
      </c>
      <c r="V1220" s="4"/>
    </row>
    <row r="1221">
      <c r="A1221" s="1" t="s">
        <v>17481</v>
      </c>
      <c r="B1221" s="1" t="s">
        <v>17482</v>
      </c>
      <c r="C1221" s="1" t="s">
        <v>17483</v>
      </c>
      <c r="D1221" s="1" t="s">
        <v>17368</v>
      </c>
      <c r="E1221" s="1" t="s">
        <v>17369</v>
      </c>
      <c r="F1221" s="1">
        <v>89300.0</v>
      </c>
      <c r="G1221" s="1">
        <v>4872.0</v>
      </c>
      <c r="H1221" s="1">
        <v>233.0</v>
      </c>
      <c r="I1221" s="1">
        <v>8410000.0</v>
      </c>
      <c r="J1221" s="1" t="s">
        <v>2468</v>
      </c>
      <c r="K1221" s="5">
        <f t="shared" si="2"/>
        <v>0.01061831153</v>
      </c>
      <c r="L1221" s="6">
        <f t="shared" si="3"/>
        <v>113</v>
      </c>
      <c r="M1221" s="6">
        <f t="shared" si="4"/>
        <v>790.2654867</v>
      </c>
      <c r="N1221" s="7">
        <f t="shared" si="5"/>
        <v>0.00009396735871</v>
      </c>
      <c r="O1221" s="7"/>
      <c r="P1221" s="4">
        <f t="shared" si="6"/>
        <v>-0.3833387709</v>
      </c>
      <c r="Q1221" s="4">
        <f t="shared" si="7"/>
        <v>6</v>
      </c>
      <c r="R1221" s="4">
        <f t="shared" si="8"/>
        <v>0</v>
      </c>
      <c r="S1221" s="4">
        <f t="shared" si="9"/>
        <v>-0.3833387709</v>
      </c>
      <c r="T1221" s="4">
        <f t="shared" si="10"/>
        <v>30</v>
      </c>
      <c r="U1221" s="4">
        <f t="shared" si="1"/>
        <v>-0.3833387709</v>
      </c>
      <c r="V1221" s="4"/>
    </row>
    <row r="1222">
      <c r="A1222" s="1" t="s">
        <v>17484</v>
      </c>
      <c r="B1222" s="1" t="s">
        <v>17485</v>
      </c>
      <c r="C1222" s="1" t="s">
        <v>17486</v>
      </c>
      <c r="D1222" s="1" t="s">
        <v>17368</v>
      </c>
      <c r="E1222" s="1" t="s">
        <v>17369</v>
      </c>
      <c r="F1222" s="1">
        <v>414158.0</v>
      </c>
      <c r="G1222" s="1">
        <v>18103.0</v>
      </c>
      <c r="H1222" s="1">
        <v>1795.0</v>
      </c>
      <c r="I1222" s="1">
        <v>8410000.0</v>
      </c>
      <c r="J1222" s="1" t="s">
        <v>2468</v>
      </c>
      <c r="K1222" s="5">
        <f t="shared" si="2"/>
        <v>0.04924589774</v>
      </c>
      <c r="L1222" s="6">
        <f t="shared" si="3"/>
        <v>114</v>
      </c>
      <c r="M1222" s="6">
        <f t="shared" si="4"/>
        <v>3632.964912</v>
      </c>
      <c r="N1222" s="7">
        <f t="shared" si="5"/>
        <v>0.0004319815591</v>
      </c>
      <c r="O1222" s="7"/>
      <c r="P1222" s="4">
        <f t="shared" si="6"/>
        <v>-0.1452539304</v>
      </c>
      <c r="Q1222" s="4">
        <f t="shared" si="7"/>
        <v>6</v>
      </c>
      <c r="R1222" s="4">
        <f t="shared" si="8"/>
        <v>0</v>
      </c>
      <c r="S1222" s="4">
        <f t="shared" si="9"/>
        <v>-0.1452539304</v>
      </c>
      <c r="T1222" s="4">
        <f t="shared" si="10"/>
        <v>36</v>
      </c>
      <c r="U1222" s="4">
        <f t="shared" si="1"/>
        <v>-0.1452539304</v>
      </c>
      <c r="V1222" s="4"/>
    </row>
    <row r="1223">
      <c r="A1223" s="1" t="s">
        <v>17487</v>
      </c>
      <c r="B1223" s="1" t="s">
        <v>17488</v>
      </c>
      <c r="C1223" s="1" t="s">
        <v>17489</v>
      </c>
      <c r="D1223" s="1" t="s">
        <v>17368</v>
      </c>
      <c r="E1223" s="1" t="s">
        <v>17369</v>
      </c>
      <c r="F1223" s="1">
        <v>305030.0</v>
      </c>
      <c r="G1223" s="1">
        <v>12260.0</v>
      </c>
      <c r="H1223" s="1">
        <v>737.0</v>
      </c>
      <c r="I1223" s="1">
        <v>8410000.0</v>
      </c>
      <c r="J1223" s="1" t="s">
        <v>2468</v>
      </c>
      <c r="K1223" s="5">
        <f t="shared" si="2"/>
        <v>0.03626991677</v>
      </c>
      <c r="L1223" s="6">
        <f t="shared" si="3"/>
        <v>115</v>
      </c>
      <c r="M1223" s="6">
        <f t="shared" si="4"/>
        <v>2652.434783</v>
      </c>
      <c r="N1223" s="7">
        <f t="shared" si="5"/>
        <v>0.0003153905806</v>
      </c>
      <c r="O1223" s="7"/>
      <c r="P1223" s="4">
        <f t="shared" si="6"/>
        <v>-0.2273763516</v>
      </c>
      <c r="Q1223" s="4">
        <f t="shared" si="7"/>
        <v>5</v>
      </c>
      <c r="R1223" s="4">
        <f t="shared" si="8"/>
        <v>0</v>
      </c>
      <c r="S1223" s="4">
        <f t="shared" si="9"/>
        <v>-0.2273763516</v>
      </c>
      <c r="T1223" s="4">
        <f t="shared" si="10"/>
        <v>26</v>
      </c>
      <c r="U1223" s="4">
        <f t="shared" si="1"/>
        <v>-0.2273763516</v>
      </c>
      <c r="V1223" s="4"/>
    </row>
    <row r="1224">
      <c r="A1224" s="1" t="s">
        <v>17490</v>
      </c>
      <c r="B1224" s="1" t="s">
        <v>17491</v>
      </c>
      <c r="C1224" s="1" t="s">
        <v>17492</v>
      </c>
      <c r="D1224" s="1" t="s">
        <v>17368</v>
      </c>
      <c r="E1224" s="1" t="s">
        <v>17369</v>
      </c>
      <c r="F1224" s="1">
        <v>112987.0</v>
      </c>
      <c r="G1224" s="1">
        <v>5117.0</v>
      </c>
      <c r="H1224" s="1">
        <v>594.0</v>
      </c>
      <c r="I1224" s="1">
        <v>8410000.0</v>
      </c>
      <c r="J1224" s="1" t="s">
        <v>2468</v>
      </c>
      <c r="K1224" s="5">
        <f t="shared" si="2"/>
        <v>0.01343483948</v>
      </c>
      <c r="L1224" s="6">
        <f t="shared" si="3"/>
        <v>119</v>
      </c>
      <c r="M1224" s="6">
        <f t="shared" si="4"/>
        <v>949.4705882</v>
      </c>
      <c r="N1224" s="7">
        <f t="shared" si="5"/>
        <v>0.0001128978107</v>
      </c>
      <c r="O1224" s="7"/>
      <c r="P1224" s="4">
        <f t="shared" si="6"/>
        <v>-0.3700048529</v>
      </c>
      <c r="Q1224" s="4">
        <f t="shared" si="7"/>
        <v>7</v>
      </c>
      <c r="R1224" s="4">
        <f t="shared" si="8"/>
        <v>0</v>
      </c>
      <c r="S1224" s="4">
        <f t="shared" si="9"/>
        <v>-0.3700048529</v>
      </c>
      <c r="T1224" s="4">
        <f t="shared" si="10"/>
        <v>32</v>
      </c>
      <c r="U1224" s="4">
        <f t="shared" si="1"/>
        <v>-0.3700048529</v>
      </c>
      <c r="V1224" s="4"/>
    </row>
    <row r="1225">
      <c r="A1225" s="1" t="s">
        <v>17493</v>
      </c>
      <c r="B1225" s="1" t="s">
        <v>17494</v>
      </c>
      <c r="C1225" s="1" t="s">
        <v>17495</v>
      </c>
      <c r="D1225" s="1" t="s">
        <v>17368</v>
      </c>
      <c r="E1225" s="1" t="s">
        <v>17369</v>
      </c>
      <c r="F1225" s="1">
        <v>232122.0</v>
      </c>
      <c r="G1225" s="1">
        <v>10873.0</v>
      </c>
      <c r="H1225" s="1">
        <v>705.0</v>
      </c>
      <c r="I1225" s="1">
        <v>8410000.0</v>
      </c>
      <c r="J1225" s="1" t="s">
        <v>2468</v>
      </c>
      <c r="K1225" s="5">
        <f t="shared" si="2"/>
        <v>0.02760071344</v>
      </c>
      <c r="L1225" s="6">
        <f t="shared" si="3"/>
        <v>120</v>
      </c>
      <c r="M1225" s="6">
        <f t="shared" si="4"/>
        <v>1934.35</v>
      </c>
      <c r="N1225" s="7">
        <f t="shared" si="5"/>
        <v>0.0002300059453</v>
      </c>
      <c r="O1225" s="7"/>
      <c r="P1225" s="4">
        <f t="shared" si="6"/>
        <v>-0.2875181659</v>
      </c>
      <c r="Q1225" s="4">
        <f t="shared" si="7"/>
        <v>5</v>
      </c>
      <c r="R1225" s="4">
        <f t="shared" si="8"/>
        <v>0</v>
      </c>
      <c r="S1225" s="4">
        <f t="shared" si="9"/>
        <v>-0.2875181659</v>
      </c>
      <c r="T1225" s="4">
        <f t="shared" si="10"/>
        <v>24</v>
      </c>
      <c r="U1225" s="4">
        <f t="shared" si="1"/>
        <v>-0.2875181659</v>
      </c>
      <c r="V1225" s="4"/>
    </row>
    <row r="1226">
      <c r="A1226" s="1" t="s">
        <v>17496</v>
      </c>
      <c r="B1226" s="1" t="s">
        <v>17497</v>
      </c>
      <c r="C1226" s="1" t="s">
        <v>17498</v>
      </c>
      <c r="D1226" s="1" t="s">
        <v>17368</v>
      </c>
      <c r="E1226" s="1" t="s">
        <v>17369</v>
      </c>
      <c r="F1226" s="1">
        <v>138096.0</v>
      </c>
      <c r="G1226" s="1">
        <v>6127.0</v>
      </c>
      <c r="H1226" s="1">
        <v>436.0</v>
      </c>
      <c r="I1226" s="1">
        <v>8410000.0</v>
      </c>
      <c r="J1226" s="1" t="s">
        <v>2468</v>
      </c>
      <c r="K1226" s="5">
        <f t="shared" si="2"/>
        <v>0.01642045184</v>
      </c>
      <c r="L1226" s="6">
        <f t="shared" si="3"/>
        <v>121</v>
      </c>
      <c r="M1226" s="6">
        <f t="shared" si="4"/>
        <v>1141.289256</v>
      </c>
      <c r="N1226" s="7">
        <f t="shared" si="5"/>
        <v>0.0001357062136</v>
      </c>
      <c r="O1226" s="7"/>
      <c r="P1226" s="4">
        <f t="shared" si="6"/>
        <v>-0.3539394481</v>
      </c>
      <c r="Q1226" s="4">
        <f t="shared" si="7"/>
        <v>5</v>
      </c>
      <c r="R1226" s="4">
        <f t="shared" si="8"/>
        <v>0</v>
      </c>
      <c r="S1226" s="4">
        <f t="shared" si="9"/>
        <v>-0.3539394481</v>
      </c>
      <c r="T1226" s="4">
        <f t="shared" si="10"/>
        <v>27</v>
      </c>
      <c r="U1226" s="4">
        <f t="shared" si="1"/>
        <v>-0.3539394481</v>
      </c>
      <c r="V1226" s="4"/>
    </row>
    <row r="1227">
      <c r="A1227" s="1" t="s">
        <v>17499</v>
      </c>
      <c r="B1227" s="1" t="s">
        <v>17500</v>
      </c>
      <c r="C1227" s="1" t="s">
        <v>17501</v>
      </c>
      <c r="D1227" s="1" t="s">
        <v>17368</v>
      </c>
      <c r="E1227" s="1" t="s">
        <v>17369</v>
      </c>
      <c r="F1227" s="1">
        <v>104289.0</v>
      </c>
      <c r="G1227" s="1">
        <v>5340.0</v>
      </c>
      <c r="H1227" s="1">
        <v>203.0</v>
      </c>
      <c r="I1227" s="1">
        <v>8410000.0</v>
      </c>
      <c r="J1227" s="1" t="s">
        <v>2468</v>
      </c>
      <c r="K1227" s="5">
        <f t="shared" si="2"/>
        <v>0.01240059453</v>
      </c>
      <c r="L1227" s="6">
        <f t="shared" si="3"/>
        <v>122</v>
      </c>
      <c r="M1227" s="6">
        <f t="shared" si="4"/>
        <v>854.8278689</v>
      </c>
      <c r="N1227" s="7">
        <f t="shared" si="5"/>
        <v>0.0001016442175</v>
      </c>
      <c r="O1227" s="7"/>
      <c r="P1227" s="4">
        <f t="shared" si="6"/>
        <v>-0.3779314724</v>
      </c>
      <c r="Q1227" s="4">
        <f t="shared" si="7"/>
        <v>5</v>
      </c>
      <c r="R1227" s="4">
        <f t="shared" si="8"/>
        <v>0</v>
      </c>
      <c r="S1227" s="4">
        <f t="shared" si="9"/>
        <v>-0.3779314724</v>
      </c>
      <c r="T1227" s="4">
        <f t="shared" si="10"/>
        <v>30</v>
      </c>
      <c r="U1227" s="4">
        <f t="shared" si="1"/>
        <v>-0.3779314724</v>
      </c>
      <c r="V1227" s="4"/>
    </row>
    <row r="1228">
      <c r="A1228" s="1" t="s">
        <v>17502</v>
      </c>
      <c r="B1228" s="1" t="s">
        <v>17503</v>
      </c>
      <c r="C1228" s="1" t="s">
        <v>17504</v>
      </c>
      <c r="D1228" s="1" t="s">
        <v>17368</v>
      </c>
      <c r="E1228" s="1" t="s">
        <v>17369</v>
      </c>
      <c r="F1228" s="1">
        <v>267595.0</v>
      </c>
      <c r="G1228" s="1">
        <v>11148.0</v>
      </c>
      <c r="H1228" s="1">
        <v>1098.0</v>
      </c>
      <c r="I1228" s="1">
        <v>8410000.0</v>
      </c>
      <c r="J1228" s="1" t="s">
        <v>2468</v>
      </c>
      <c r="K1228" s="5">
        <f t="shared" si="2"/>
        <v>0.03181866825</v>
      </c>
      <c r="L1228" s="6">
        <f t="shared" si="3"/>
        <v>126</v>
      </c>
      <c r="M1228" s="6">
        <f t="shared" si="4"/>
        <v>2123.769841</v>
      </c>
      <c r="N1228" s="7">
        <f t="shared" si="5"/>
        <v>0.0002525291131</v>
      </c>
      <c r="O1228" s="7"/>
      <c r="P1228" s="4">
        <f t="shared" si="6"/>
        <v>-0.2716536702</v>
      </c>
      <c r="Q1228" s="4">
        <f t="shared" si="7"/>
        <v>8</v>
      </c>
      <c r="R1228" s="4">
        <f t="shared" si="8"/>
        <v>0</v>
      </c>
      <c r="S1228" s="4">
        <f t="shared" si="9"/>
        <v>-0.2716536702</v>
      </c>
      <c r="T1228" s="4">
        <f t="shared" si="10"/>
        <v>35</v>
      </c>
      <c r="U1228" s="4">
        <f t="shared" si="1"/>
        <v>-0.2716536702</v>
      </c>
      <c r="V1228" s="4"/>
    </row>
    <row r="1229">
      <c r="A1229" s="1" t="s">
        <v>17505</v>
      </c>
      <c r="B1229" s="1" t="s">
        <v>17506</v>
      </c>
      <c r="C1229" s="1" t="s">
        <v>17507</v>
      </c>
      <c r="D1229" s="1" t="s">
        <v>17368</v>
      </c>
      <c r="E1229" s="1" t="s">
        <v>17369</v>
      </c>
      <c r="F1229" s="1">
        <v>74793.0</v>
      </c>
      <c r="G1229" s="1">
        <v>4165.0</v>
      </c>
      <c r="H1229" s="1">
        <v>96.0</v>
      </c>
      <c r="I1229" s="1">
        <v>8410000.0</v>
      </c>
      <c r="J1229" s="1" t="s">
        <v>2468</v>
      </c>
      <c r="K1229" s="5">
        <f t="shared" si="2"/>
        <v>0.00889334126</v>
      </c>
      <c r="L1229" s="6">
        <f t="shared" si="3"/>
        <v>127</v>
      </c>
      <c r="M1229" s="6">
        <f t="shared" si="4"/>
        <v>588.9212598</v>
      </c>
      <c r="N1229" s="7">
        <f t="shared" si="5"/>
        <v>0.00007002630914</v>
      </c>
      <c r="O1229" s="7"/>
      <c r="P1229" s="4">
        <f t="shared" si="6"/>
        <v>-0.4002019707</v>
      </c>
      <c r="Q1229" s="4">
        <f t="shared" si="7"/>
        <v>5</v>
      </c>
      <c r="R1229" s="4">
        <f t="shared" si="8"/>
        <v>0</v>
      </c>
      <c r="S1229" s="4">
        <f t="shared" si="9"/>
        <v>-0.4002019707</v>
      </c>
      <c r="T1229" s="4">
        <f t="shared" si="10"/>
        <v>37</v>
      </c>
      <c r="U1229" s="4">
        <f t="shared" si="1"/>
        <v>-0.4002019707</v>
      </c>
      <c r="V1229" s="4"/>
    </row>
    <row r="1230">
      <c r="A1230" s="1" t="s">
        <v>17508</v>
      </c>
      <c r="B1230" s="1" t="s">
        <v>17509</v>
      </c>
      <c r="C1230" s="1" t="s">
        <v>17510</v>
      </c>
      <c r="D1230" s="1" t="s">
        <v>17368</v>
      </c>
      <c r="E1230" s="1" t="s">
        <v>17369</v>
      </c>
      <c r="F1230" s="1">
        <v>126721.0</v>
      </c>
      <c r="G1230" s="1">
        <v>6718.0</v>
      </c>
      <c r="H1230" s="1">
        <v>359.0</v>
      </c>
      <c r="I1230" s="1">
        <v>8410000.0</v>
      </c>
      <c r="J1230" s="1" t="s">
        <v>2468</v>
      </c>
      <c r="K1230" s="5">
        <f t="shared" si="2"/>
        <v>0.01506789536</v>
      </c>
      <c r="L1230" s="6">
        <f t="shared" si="3"/>
        <v>128</v>
      </c>
      <c r="M1230" s="6">
        <f t="shared" si="4"/>
        <v>990.0078125</v>
      </c>
      <c r="N1230" s="7">
        <f t="shared" si="5"/>
        <v>0.0001177179325</v>
      </c>
      <c r="O1230" s="7"/>
      <c r="P1230" s="4">
        <f t="shared" si="6"/>
        <v>-0.3666097354</v>
      </c>
      <c r="Q1230" s="4">
        <f t="shared" si="7"/>
        <v>9</v>
      </c>
      <c r="R1230" s="4">
        <f t="shared" si="8"/>
        <v>0</v>
      </c>
      <c r="S1230" s="4">
        <f t="shared" si="9"/>
        <v>-0.3666097354</v>
      </c>
      <c r="T1230" s="4">
        <f t="shared" si="10"/>
        <v>44</v>
      </c>
      <c r="U1230" s="4">
        <f t="shared" si="1"/>
        <v>-0.3666097354</v>
      </c>
      <c r="V1230" s="4"/>
    </row>
    <row r="1231">
      <c r="A1231" s="1" t="s">
        <v>17511</v>
      </c>
      <c r="B1231" s="1" t="s">
        <v>17512</v>
      </c>
      <c r="C1231" s="1" t="s">
        <v>17513</v>
      </c>
      <c r="D1231" s="1" t="s">
        <v>17368</v>
      </c>
      <c r="E1231" s="1" t="s">
        <v>17369</v>
      </c>
      <c r="F1231" s="1">
        <v>204636.0</v>
      </c>
      <c r="G1231" s="1">
        <v>8264.0</v>
      </c>
      <c r="H1231" s="1">
        <v>734.0</v>
      </c>
      <c r="I1231" s="1">
        <v>8410000.0</v>
      </c>
      <c r="J1231" s="1" t="s">
        <v>2468</v>
      </c>
      <c r="K1231" s="5">
        <f t="shared" si="2"/>
        <v>0.02433246136</v>
      </c>
      <c r="L1231" s="6">
        <f t="shared" si="3"/>
        <v>129</v>
      </c>
      <c r="M1231" s="6">
        <f t="shared" si="4"/>
        <v>1586.325581</v>
      </c>
      <c r="N1231" s="7">
        <f t="shared" si="5"/>
        <v>0.0001886237314</v>
      </c>
      <c r="O1231" s="7"/>
      <c r="P1231" s="4">
        <f t="shared" si="6"/>
        <v>-0.3166662839</v>
      </c>
      <c r="Q1231" s="4">
        <f t="shared" si="7"/>
        <v>9</v>
      </c>
      <c r="R1231" s="4">
        <f t="shared" si="8"/>
        <v>0</v>
      </c>
      <c r="S1231" s="4">
        <f t="shared" si="9"/>
        <v>-0.3166662839</v>
      </c>
      <c r="T1231" s="4">
        <f t="shared" si="10"/>
        <v>38</v>
      </c>
      <c r="U1231" s="4">
        <f t="shared" si="1"/>
        <v>-0.3166662839</v>
      </c>
      <c r="V1231" s="4"/>
    </row>
    <row r="1232">
      <c r="A1232" s="1" t="s">
        <v>17514</v>
      </c>
      <c r="B1232" s="1" t="s">
        <v>17515</v>
      </c>
      <c r="C1232" s="1" t="s">
        <v>17516</v>
      </c>
      <c r="D1232" s="1" t="s">
        <v>17368</v>
      </c>
      <c r="E1232" s="1" t="s">
        <v>17369</v>
      </c>
      <c r="F1232" s="1">
        <v>256037.0</v>
      </c>
      <c r="G1232" s="1">
        <v>10322.0</v>
      </c>
      <c r="H1232" s="1">
        <v>664.0</v>
      </c>
      <c r="I1232" s="1">
        <v>8410000.0</v>
      </c>
      <c r="J1232" s="1" t="s">
        <v>2468</v>
      </c>
      <c r="K1232" s="5">
        <f t="shared" si="2"/>
        <v>0.03044435196</v>
      </c>
      <c r="L1232" s="6">
        <f t="shared" si="3"/>
        <v>133</v>
      </c>
      <c r="M1232" s="6">
        <f t="shared" si="4"/>
        <v>1925.090226</v>
      </c>
      <c r="N1232" s="7">
        <f t="shared" si="5"/>
        <v>0.000228904902</v>
      </c>
      <c r="O1232" s="7"/>
      <c r="P1232" s="4">
        <f t="shared" si="6"/>
        <v>-0.2882937006</v>
      </c>
      <c r="Q1232" s="4">
        <f t="shared" si="7"/>
        <v>6</v>
      </c>
      <c r="R1232" s="4">
        <f t="shared" si="8"/>
        <v>0</v>
      </c>
      <c r="S1232" s="4">
        <f t="shared" si="9"/>
        <v>-0.2882937006</v>
      </c>
      <c r="T1232" s="4">
        <f t="shared" si="10"/>
        <v>34</v>
      </c>
      <c r="U1232" s="4">
        <f t="shared" si="1"/>
        <v>-0.2882937006</v>
      </c>
      <c r="V1232" s="4"/>
    </row>
    <row r="1233">
      <c r="A1233" s="1" t="s">
        <v>17517</v>
      </c>
      <c r="B1233" s="1" t="s">
        <v>17518</v>
      </c>
      <c r="C1233" s="1" t="s">
        <v>17519</v>
      </c>
      <c r="D1233" s="1" t="s">
        <v>17368</v>
      </c>
      <c r="E1233" s="1" t="s">
        <v>17369</v>
      </c>
      <c r="F1233" s="1">
        <v>543789.0</v>
      </c>
      <c r="G1233" s="1">
        <v>16753.0</v>
      </c>
      <c r="H1233" s="1">
        <v>1228.0</v>
      </c>
      <c r="I1233" s="1">
        <v>8410000.0</v>
      </c>
      <c r="J1233" s="1" t="s">
        <v>2468</v>
      </c>
      <c r="K1233" s="5">
        <f t="shared" si="2"/>
        <v>0.06465980975</v>
      </c>
      <c r="L1233" s="6">
        <f t="shared" si="3"/>
        <v>134</v>
      </c>
      <c r="M1233" s="6">
        <f t="shared" si="4"/>
        <v>4058.126866</v>
      </c>
      <c r="N1233" s="7">
        <f t="shared" si="5"/>
        <v>0.0004825358937</v>
      </c>
      <c r="O1233" s="7"/>
      <c r="P1233" s="4">
        <f t="shared" si="6"/>
        <v>-0.1096453061</v>
      </c>
      <c r="Q1233" s="4">
        <f t="shared" si="7"/>
        <v>5</v>
      </c>
      <c r="R1233" s="4">
        <f t="shared" si="8"/>
        <v>0</v>
      </c>
      <c r="S1233" s="4">
        <f t="shared" si="9"/>
        <v>-0.1096453061</v>
      </c>
      <c r="T1233" s="4">
        <f t="shared" si="10"/>
        <v>21</v>
      </c>
      <c r="U1233" s="4">
        <f t="shared" si="1"/>
        <v>-0.1096453061</v>
      </c>
      <c r="V1233" s="4"/>
    </row>
    <row r="1234">
      <c r="A1234" s="1" t="s">
        <v>17520</v>
      </c>
      <c r="B1234" s="1" t="s">
        <v>17521</v>
      </c>
      <c r="C1234" s="1" t="s">
        <v>17522</v>
      </c>
      <c r="D1234" s="1" t="s">
        <v>17368</v>
      </c>
      <c r="E1234" s="1" t="s">
        <v>17369</v>
      </c>
      <c r="F1234" s="1">
        <v>35849.0</v>
      </c>
      <c r="G1234" s="1">
        <v>2340.0</v>
      </c>
      <c r="H1234" s="1">
        <v>78.0</v>
      </c>
      <c r="I1234" s="1">
        <v>8410000.0</v>
      </c>
      <c r="J1234" s="1" t="s">
        <v>2468</v>
      </c>
      <c r="K1234" s="5">
        <f t="shared" si="2"/>
        <v>0.004262663496</v>
      </c>
      <c r="L1234" s="6">
        <f t="shared" si="3"/>
        <v>135</v>
      </c>
      <c r="M1234" s="6">
        <f t="shared" si="4"/>
        <v>265.5481481</v>
      </c>
      <c r="N1234" s="7">
        <f t="shared" si="5"/>
        <v>0.00003157528515</v>
      </c>
      <c r="O1234" s="7"/>
      <c r="P1234" s="4">
        <f t="shared" si="6"/>
        <v>-0.4272854657</v>
      </c>
      <c r="Q1234" s="4">
        <f t="shared" si="7"/>
        <v>6</v>
      </c>
      <c r="R1234" s="4">
        <f t="shared" si="8"/>
        <v>0</v>
      </c>
      <c r="S1234" s="4">
        <f t="shared" si="9"/>
        <v>-0.4272854657</v>
      </c>
      <c r="T1234" s="4">
        <f t="shared" si="10"/>
        <v>23</v>
      </c>
      <c r="U1234" s="4">
        <f t="shared" si="1"/>
        <v>-0.4272854657</v>
      </c>
      <c r="V1234" s="4"/>
    </row>
    <row r="1235">
      <c r="A1235" s="1" t="s">
        <v>17523</v>
      </c>
      <c r="B1235" s="1" t="s">
        <v>17524</v>
      </c>
      <c r="C1235" s="1" t="s">
        <v>17525</v>
      </c>
      <c r="D1235" s="1" t="s">
        <v>17368</v>
      </c>
      <c r="E1235" s="1" t="s">
        <v>17369</v>
      </c>
      <c r="F1235" s="1">
        <v>265975.0</v>
      </c>
      <c r="G1235" s="1">
        <v>12377.0</v>
      </c>
      <c r="H1235" s="1">
        <v>1716.0</v>
      </c>
      <c r="I1235" s="1">
        <v>8410000.0</v>
      </c>
      <c r="J1235" s="1" t="s">
        <v>2468</v>
      </c>
      <c r="K1235" s="5">
        <f t="shared" si="2"/>
        <v>0.03162604043</v>
      </c>
      <c r="L1235" s="6">
        <f t="shared" si="3"/>
        <v>136</v>
      </c>
      <c r="M1235" s="6">
        <f t="shared" si="4"/>
        <v>1955.698529</v>
      </c>
      <c r="N1235" s="7">
        <f t="shared" si="5"/>
        <v>0.0002325444149</v>
      </c>
      <c r="O1235" s="7"/>
      <c r="P1235" s="4">
        <f t="shared" si="6"/>
        <v>-0.2857301608</v>
      </c>
      <c r="Q1235" s="4">
        <f t="shared" si="7"/>
        <v>6</v>
      </c>
      <c r="R1235" s="4">
        <f t="shared" si="8"/>
        <v>1</v>
      </c>
      <c r="S1235" s="4">
        <f t="shared" si="9"/>
        <v>-0.2857301608</v>
      </c>
      <c r="T1235" s="4">
        <f t="shared" si="10"/>
        <v>28</v>
      </c>
      <c r="U1235" s="4">
        <f t="shared" si="1"/>
        <v>-0.2857301608</v>
      </c>
      <c r="V1235" s="4"/>
    </row>
    <row r="1236">
      <c r="A1236" s="1" t="s">
        <v>17526</v>
      </c>
      <c r="B1236" s="1" t="s">
        <v>17527</v>
      </c>
      <c r="C1236" s="1" t="s">
        <v>17528</v>
      </c>
      <c r="D1236" s="1" t="s">
        <v>17368</v>
      </c>
      <c r="E1236" s="1" t="s">
        <v>17369</v>
      </c>
      <c r="F1236" s="1">
        <v>603299.0</v>
      </c>
      <c r="G1236" s="1">
        <v>30643.0</v>
      </c>
      <c r="H1236" s="1">
        <v>2370.0</v>
      </c>
      <c r="I1236" s="1">
        <v>8410000.0</v>
      </c>
      <c r="J1236" s="1" t="s">
        <v>2468</v>
      </c>
      <c r="K1236" s="5">
        <f t="shared" si="2"/>
        <v>0.07173590963</v>
      </c>
      <c r="L1236" s="6">
        <f t="shared" si="3"/>
        <v>140</v>
      </c>
      <c r="M1236" s="6">
        <f t="shared" si="4"/>
        <v>4309.278571</v>
      </c>
      <c r="N1236" s="7">
        <f t="shared" si="5"/>
        <v>0.0005123993545</v>
      </c>
      <c r="O1236" s="7"/>
      <c r="P1236" s="4">
        <f t="shared" si="6"/>
        <v>-0.08861057649</v>
      </c>
      <c r="Q1236" s="4">
        <f t="shared" si="7"/>
        <v>9</v>
      </c>
      <c r="R1236" s="4">
        <f t="shared" si="8"/>
        <v>0</v>
      </c>
      <c r="S1236" s="4">
        <f t="shared" si="9"/>
        <v>-0.08861057649</v>
      </c>
      <c r="T1236" s="4">
        <f t="shared" si="10"/>
        <v>43</v>
      </c>
      <c r="U1236" s="4">
        <f t="shared" si="1"/>
        <v>-0.08861057649</v>
      </c>
      <c r="V1236" s="4"/>
    </row>
    <row r="1237">
      <c r="A1237" s="1" t="s">
        <v>17529</v>
      </c>
      <c r="B1237" s="1" t="s">
        <v>17530</v>
      </c>
      <c r="C1237" s="1" t="s">
        <v>17531</v>
      </c>
      <c r="D1237" s="1" t="s">
        <v>17368</v>
      </c>
      <c r="E1237" s="1" t="s">
        <v>17369</v>
      </c>
      <c r="F1237" s="1">
        <v>123272.0</v>
      </c>
      <c r="G1237" s="1">
        <v>6827.0</v>
      </c>
      <c r="H1237" s="1">
        <v>342.0</v>
      </c>
      <c r="I1237" s="1">
        <v>8410000.0</v>
      </c>
      <c r="J1237" s="1" t="s">
        <v>2468</v>
      </c>
      <c r="K1237" s="5">
        <f t="shared" si="2"/>
        <v>0.01465778835</v>
      </c>
      <c r="L1237" s="6">
        <f t="shared" si="3"/>
        <v>141</v>
      </c>
      <c r="M1237" s="6">
        <f t="shared" si="4"/>
        <v>874.2695035</v>
      </c>
      <c r="N1237" s="7">
        <f t="shared" si="5"/>
        <v>0.0001039559457</v>
      </c>
      <c r="O1237" s="7"/>
      <c r="P1237" s="4">
        <f t="shared" si="6"/>
        <v>-0.3763031756</v>
      </c>
      <c r="Q1237" s="4">
        <f t="shared" si="7"/>
        <v>6</v>
      </c>
      <c r="R1237" s="4">
        <f t="shared" si="8"/>
        <v>0</v>
      </c>
      <c r="S1237" s="4">
        <f t="shared" si="9"/>
        <v>-0.3763031756</v>
      </c>
      <c r="T1237" s="4">
        <f t="shared" si="10"/>
        <v>26</v>
      </c>
      <c r="U1237" s="4">
        <f t="shared" si="1"/>
        <v>-0.3763031756</v>
      </c>
      <c r="V1237" s="4"/>
    </row>
    <row r="1238">
      <c r="A1238" s="1" t="s">
        <v>17532</v>
      </c>
      <c r="B1238" s="1" t="s">
        <v>17533</v>
      </c>
      <c r="C1238" s="1" t="s">
        <v>17534</v>
      </c>
      <c r="D1238" s="1" t="s">
        <v>17368</v>
      </c>
      <c r="E1238" s="1" t="s">
        <v>17369</v>
      </c>
      <c r="F1238" s="1">
        <v>171677.0</v>
      </c>
      <c r="G1238" s="1">
        <v>7745.0</v>
      </c>
      <c r="H1238" s="1">
        <v>368.0</v>
      </c>
      <c r="I1238" s="1">
        <v>8410000.0</v>
      </c>
      <c r="J1238" s="1" t="s">
        <v>2468</v>
      </c>
      <c r="K1238" s="5">
        <f t="shared" si="2"/>
        <v>0.02041343639</v>
      </c>
      <c r="L1238" s="6">
        <f t="shared" si="3"/>
        <v>142</v>
      </c>
      <c r="M1238" s="6">
        <f t="shared" si="4"/>
        <v>1208.992958</v>
      </c>
      <c r="N1238" s="7">
        <f t="shared" si="5"/>
        <v>0.0001437565943</v>
      </c>
      <c r="O1238" s="7"/>
      <c r="P1238" s="4">
        <f t="shared" si="6"/>
        <v>-0.3482690544</v>
      </c>
      <c r="Q1238" s="4">
        <f t="shared" si="7"/>
        <v>8</v>
      </c>
      <c r="R1238" s="4">
        <f t="shared" si="8"/>
        <v>0</v>
      </c>
      <c r="S1238" s="4">
        <f t="shared" si="9"/>
        <v>-0.3482690544</v>
      </c>
      <c r="T1238" s="4">
        <f t="shared" si="10"/>
        <v>44</v>
      </c>
      <c r="U1238" s="4">
        <f t="shared" si="1"/>
        <v>-0.3482690544</v>
      </c>
      <c r="V1238" s="4"/>
    </row>
    <row r="1239">
      <c r="A1239" s="1" t="s">
        <v>17535</v>
      </c>
      <c r="B1239" s="1" t="s">
        <v>17536</v>
      </c>
      <c r="C1239" s="1" t="s">
        <v>17537</v>
      </c>
      <c r="D1239" s="1" t="s">
        <v>17368</v>
      </c>
      <c r="E1239" s="1" t="s">
        <v>17369</v>
      </c>
      <c r="F1239" s="1">
        <v>166695.0</v>
      </c>
      <c r="G1239" s="1">
        <v>7780.0</v>
      </c>
      <c r="H1239" s="1">
        <v>562.0</v>
      </c>
      <c r="I1239" s="1">
        <v>8410000.0</v>
      </c>
      <c r="J1239" s="1" t="s">
        <v>2468</v>
      </c>
      <c r="K1239" s="5">
        <f t="shared" si="2"/>
        <v>0.01982104637</v>
      </c>
      <c r="L1239" s="6">
        <f t="shared" si="3"/>
        <v>143</v>
      </c>
      <c r="M1239" s="6">
        <f t="shared" si="4"/>
        <v>1165.699301</v>
      </c>
      <c r="N1239" s="7">
        <f t="shared" si="5"/>
        <v>0.0001386087159</v>
      </c>
      <c r="O1239" s="7"/>
      <c r="P1239" s="4">
        <f t="shared" si="6"/>
        <v>-0.3518950316</v>
      </c>
      <c r="Q1239" s="4">
        <f t="shared" si="7"/>
        <v>6</v>
      </c>
      <c r="R1239" s="4">
        <f t="shared" si="8"/>
        <v>0</v>
      </c>
      <c r="S1239" s="4">
        <f t="shared" si="9"/>
        <v>-0.3518950316</v>
      </c>
      <c r="T1239" s="4">
        <f t="shared" si="10"/>
        <v>32</v>
      </c>
      <c r="U1239" s="4">
        <f t="shared" si="1"/>
        <v>-0.3518950316</v>
      </c>
      <c r="V1239" s="4"/>
    </row>
    <row r="1240">
      <c r="A1240" s="1" t="s">
        <v>17538</v>
      </c>
      <c r="B1240" s="1" t="s">
        <v>17539</v>
      </c>
      <c r="C1240" s="1" t="s">
        <v>17540</v>
      </c>
      <c r="D1240" s="1" t="s">
        <v>17368</v>
      </c>
      <c r="E1240" s="1" t="s">
        <v>17369</v>
      </c>
      <c r="F1240" s="1">
        <v>120897.0</v>
      </c>
      <c r="G1240" s="1">
        <v>5752.0</v>
      </c>
      <c r="H1240" s="1">
        <v>289.0</v>
      </c>
      <c r="I1240" s="1">
        <v>8410000.0</v>
      </c>
      <c r="J1240" s="1" t="s">
        <v>2468</v>
      </c>
      <c r="K1240" s="5">
        <f t="shared" si="2"/>
        <v>0.01437538644</v>
      </c>
      <c r="L1240" s="6">
        <f t="shared" si="3"/>
        <v>147</v>
      </c>
      <c r="M1240" s="6">
        <f t="shared" si="4"/>
        <v>822.4285714</v>
      </c>
      <c r="N1240" s="7">
        <f t="shared" si="5"/>
        <v>0.00009779174452</v>
      </c>
      <c r="O1240" s="7"/>
      <c r="P1240" s="4">
        <f t="shared" si="6"/>
        <v>-0.3806450134</v>
      </c>
      <c r="Q1240" s="4">
        <f t="shared" si="7"/>
        <v>11</v>
      </c>
      <c r="R1240" s="4">
        <f t="shared" si="8"/>
        <v>0</v>
      </c>
      <c r="S1240" s="4">
        <f t="shared" si="9"/>
        <v>-0.3806450134</v>
      </c>
      <c r="T1240" s="4">
        <f t="shared" si="10"/>
        <v>49</v>
      </c>
      <c r="U1240" s="4">
        <f t="shared" si="1"/>
        <v>-0.3806450134</v>
      </c>
      <c r="V1240" s="4"/>
    </row>
    <row r="1241">
      <c r="A1241" s="1" t="s">
        <v>17541</v>
      </c>
      <c r="B1241" s="1" t="s">
        <v>17542</v>
      </c>
      <c r="C1241" s="1" t="s">
        <v>17543</v>
      </c>
      <c r="D1241" s="1" t="s">
        <v>17368</v>
      </c>
      <c r="E1241" s="1" t="s">
        <v>17369</v>
      </c>
      <c r="F1241" s="1">
        <v>630731.0</v>
      </c>
      <c r="G1241" s="1">
        <v>17062.0</v>
      </c>
      <c r="H1241" s="1">
        <v>1171.0</v>
      </c>
      <c r="I1241" s="1">
        <v>8410000.0</v>
      </c>
      <c r="J1241" s="1" t="s">
        <v>2468</v>
      </c>
      <c r="K1241" s="5">
        <f t="shared" si="2"/>
        <v>0.07499774078</v>
      </c>
      <c r="L1241" s="6">
        <f t="shared" si="3"/>
        <v>148</v>
      </c>
      <c r="M1241" s="6">
        <f t="shared" si="4"/>
        <v>4261.695946</v>
      </c>
      <c r="N1241" s="7">
        <f t="shared" si="5"/>
        <v>0.0005067414918</v>
      </c>
      <c r="O1241" s="7"/>
      <c r="P1241" s="4">
        <f t="shared" si="6"/>
        <v>-0.09259576807</v>
      </c>
      <c r="Q1241" s="4">
        <f t="shared" si="7"/>
        <v>7</v>
      </c>
      <c r="R1241" s="4">
        <f t="shared" si="8"/>
        <v>0</v>
      </c>
      <c r="S1241" s="4">
        <f t="shared" si="9"/>
        <v>-0.09259576807</v>
      </c>
      <c r="T1241" s="4">
        <f t="shared" si="10"/>
        <v>43</v>
      </c>
      <c r="U1241" s="4">
        <f t="shared" si="1"/>
        <v>-0.09259576807</v>
      </c>
      <c r="V1241" s="4"/>
    </row>
    <row r="1242">
      <c r="A1242" s="1" t="s">
        <v>17544</v>
      </c>
      <c r="B1242" s="1" t="s">
        <v>17545</v>
      </c>
      <c r="C1242" s="1" t="s">
        <v>17546</v>
      </c>
      <c r="D1242" s="1" t="s">
        <v>17368</v>
      </c>
      <c r="E1242" s="1" t="s">
        <v>17369</v>
      </c>
      <c r="F1242" s="1">
        <v>66320.0</v>
      </c>
      <c r="G1242" s="1">
        <v>4041.0</v>
      </c>
      <c r="H1242" s="1">
        <v>128.0</v>
      </c>
      <c r="I1242" s="1">
        <v>8410000.0</v>
      </c>
      <c r="J1242" s="1" t="s">
        <v>2468</v>
      </c>
      <c r="K1242" s="5">
        <f t="shared" si="2"/>
        <v>0.007885850178</v>
      </c>
      <c r="L1242" s="6">
        <f t="shared" si="3"/>
        <v>149</v>
      </c>
      <c r="M1242" s="6">
        <f t="shared" si="4"/>
        <v>445.1006711</v>
      </c>
      <c r="N1242" s="7">
        <f t="shared" si="5"/>
        <v>0.00005292516898</v>
      </c>
      <c r="O1242" s="7"/>
      <c r="P1242" s="4">
        <f t="shared" si="6"/>
        <v>-0.4122473883</v>
      </c>
      <c r="Q1242" s="4">
        <f t="shared" si="7"/>
        <v>7</v>
      </c>
      <c r="R1242" s="4">
        <f t="shared" si="8"/>
        <v>0</v>
      </c>
      <c r="S1242" s="4">
        <f t="shared" si="9"/>
        <v>-0.4122473883</v>
      </c>
      <c r="T1242" s="4">
        <f t="shared" si="10"/>
        <v>43</v>
      </c>
      <c r="U1242" s="4">
        <f t="shared" si="1"/>
        <v>-0.4122473883</v>
      </c>
      <c r="V1242" s="4"/>
    </row>
    <row r="1243">
      <c r="A1243" s="1" t="s">
        <v>17547</v>
      </c>
      <c r="B1243" s="1" t="s">
        <v>17548</v>
      </c>
      <c r="C1243" s="1" t="s">
        <v>17549</v>
      </c>
      <c r="D1243" s="1" t="s">
        <v>17368</v>
      </c>
      <c r="E1243" s="1" t="s">
        <v>17369</v>
      </c>
      <c r="F1243" s="1">
        <v>482641.0</v>
      </c>
      <c r="G1243" s="1">
        <v>23818.0</v>
      </c>
      <c r="H1243" s="1">
        <v>2408.0</v>
      </c>
      <c r="I1243" s="1">
        <v>8410000.0</v>
      </c>
      <c r="J1243" s="1" t="s">
        <v>2468</v>
      </c>
      <c r="K1243" s="5">
        <f t="shared" si="2"/>
        <v>0.05738894174</v>
      </c>
      <c r="L1243" s="6">
        <f t="shared" si="3"/>
        <v>150</v>
      </c>
      <c r="M1243" s="6">
        <f t="shared" si="4"/>
        <v>3217.606667</v>
      </c>
      <c r="N1243" s="7">
        <f t="shared" si="5"/>
        <v>0.0003825929449</v>
      </c>
      <c r="O1243" s="7"/>
      <c r="P1243" s="4">
        <f t="shared" si="6"/>
        <v>-0.180041464</v>
      </c>
      <c r="Q1243" s="4">
        <f t="shared" si="7"/>
        <v>6</v>
      </c>
      <c r="R1243" s="4">
        <f t="shared" si="8"/>
        <v>0</v>
      </c>
      <c r="S1243" s="4">
        <f t="shared" si="9"/>
        <v>-0.180041464</v>
      </c>
      <c r="T1243" s="4">
        <f t="shared" si="10"/>
        <v>35</v>
      </c>
      <c r="U1243" s="4">
        <f t="shared" si="1"/>
        <v>-0.180041464</v>
      </c>
      <c r="V1243" s="4"/>
    </row>
    <row r="1244">
      <c r="A1244" s="1" t="s">
        <v>17550</v>
      </c>
      <c r="B1244" s="1" t="s">
        <v>17551</v>
      </c>
      <c r="C1244" s="1" t="s">
        <v>17552</v>
      </c>
      <c r="D1244" s="1" t="s">
        <v>17368</v>
      </c>
      <c r="E1244" s="1" t="s">
        <v>17369</v>
      </c>
      <c r="F1244" s="1">
        <v>679092.0</v>
      </c>
      <c r="G1244" s="1">
        <v>31007.0</v>
      </c>
      <c r="H1244" s="1">
        <v>2268.0</v>
      </c>
      <c r="I1244" s="1">
        <v>8410000.0</v>
      </c>
      <c r="J1244" s="1" t="s">
        <v>2468</v>
      </c>
      <c r="K1244" s="5">
        <f t="shared" si="2"/>
        <v>0.08074815696</v>
      </c>
      <c r="L1244" s="6">
        <f t="shared" si="3"/>
        <v>154</v>
      </c>
      <c r="M1244" s="6">
        <f t="shared" si="4"/>
        <v>4409.688312</v>
      </c>
      <c r="N1244" s="7">
        <f t="shared" si="5"/>
        <v>0.0005243386815</v>
      </c>
      <c r="O1244" s="7"/>
      <c r="P1244" s="4">
        <f t="shared" si="6"/>
        <v>-0.0802009512</v>
      </c>
      <c r="Q1244" s="4">
        <f t="shared" si="7"/>
        <v>10</v>
      </c>
      <c r="R1244" s="4">
        <f t="shared" si="8"/>
        <v>0</v>
      </c>
      <c r="S1244" s="4">
        <f t="shared" si="9"/>
        <v>-0.0802009512</v>
      </c>
      <c r="T1244" s="4">
        <f t="shared" si="10"/>
        <v>46</v>
      </c>
      <c r="U1244" s="4">
        <f t="shared" si="1"/>
        <v>-0.0802009512</v>
      </c>
      <c r="V1244" s="4"/>
    </row>
    <row r="1245">
      <c r="A1245" s="1" t="s">
        <v>17553</v>
      </c>
      <c r="B1245" s="1" t="s">
        <v>17554</v>
      </c>
      <c r="C1245" s="1" t="s">
        <v>10712</v>
      </c>
      <c r="D1245" s="1" t="s">
        <v>17368</v>
      </c>
      <c r="E1245" s="1" t="s">
        <v>17369</v>
      </c>
      <c r="F1245" s="1">
        <v>47754.0</v>
      </c>
      <c r="G1245" s="1">
        <v>2970.0</v>
      </c>
      <c r="H1245" s="1">
        <v>178.0</v>
      </c>
      <c r="I1245" s="1">
        <v>8410000.0</v>
      </c>
      <c r="J1245" s="1" t="s">
        <v>2468</v>
      </c>
      <c r="K1245" s="5">
        <f t="shared" si="2"/>
        <v>0.00567824019</v>
      </c>
      <c r="L1245" s="6">
        <f t="shared" si="3"/>
        <v>155</v>
      </c>
      <c r="M1245" s="6">
        <f t="shared" si="4"/>
        <v>308.0903226</v>
      </c>
      <c r="N1245" s="7">
        <f t="shared" si="5"/>
        <v>0.00003663380768</v>
      </c>
      <c r="O1245" s="7"/>
      <c r="P1245" s="4">
        <f t="shared" si="6"/>
        <v>-0.4237224274</v>
      </c>
      <c r="Q1245" s="4">
        <f t="shared" si="7"/>
        <v>5</v>
      </c>
      <c r="R1245" s="4">
        <f t="shared" si="8"/>
        <v>0</v>
      </c>
      <c r="S1245" s="4">
        <f t="shared" si="9"/>
        <v>-0.4237224274</v>
      </c>
      <c r="T1245" s="4">
        <f t="shared" si="10"/>
        <v>29</v>
      </c>
      <c r="U1245" s="4">
        <f t="shared" si="1"/>
        <v>-0.4237224274</v>
      </c>
      <c r="V1245" s="4"/>
    </row>
    <row r="1246">
      <c r="A1246" s="1" t="s">
        <v>17555</v>
      </c>
      <c r="B1246" s="1" t="s">
        <v>17556</v>
      </c>
      <c r="C1246" s="1" t="s">
        <v>17557</v>
      </c>
      <c r="D1246" s="1" t="s">
        <v>17368</v>
      </c>
      <c r="E1246" s="1" t="s">
        <v>17369</v>
      </c>
      <c r="F1246" s="1">
        <v>496927.0</v>
      </c>
      <c r="G1246" s="1">
        <v>12893.0</v>
      </c>
      <c r="H1246" s="1">
        <v>736.0</v>
      </c>
      <c r="I1246" s="1">
        <v>8410000.0</v>
      </c>
      <c r="J1246" s="1" t="s">
        <v>2468</v>
      </c>
      <c r="K1246" s="5">
        <f t="shared" si="2"/>
        <v>0.05908763377</v>
      </c>
      <c r="L1246" s="6">
        <f t="shared" si="3"/>
        <v>156</v>
      </c>
      <c r="M1246" s="6">
        <f t="shared" si="4"/>
        <v>3185.429487</v>
      </c>
      <c r="N1246" s="7">
        <f t="shared" si="5"/>
        <v>0.0003787668831</v>
      </c>
      <c r="O1246" s="7"/>
      <c r="P1246" s="4">
        <f t="shared" si="6"/>
        <v>-0.182736402</v>
      </c>
      <c r="Q1246" s="4">
        <f t="shared" si="7"/>
        <v>12</v>
      </c>
      <c r="R1246" s="4">
        <f t="shared" si="8"/>
        <v>0</v>
      </c>
      <c r="S1246" s="4">
        <f t="shared" si="9"/>
        <v>-0.182736402</v>
      </c>
      <c r="T1246" s="4">
        <f t="shared" si="10"/>
        <v>62</v>
      </c>
      <c r="U1246" s="4">
        <f t="shared" si="1"/>
        <v>-0.182736402</v>
      </c>
      <c r="V1246" s="4"/>
    </row>
    <row r="1247">
      <c r="A1247" s="1" t="s">
        <v>17558</v>
      </c>
      <c r="B1247" s="1" t="s">
        <v>17559</v>
      </c>
      <c r="C1247" s="1" t="s">
        <v>17560</v>
      </c>
      <c r="D1247" s="1" t="s">
        <v>17368</v>
      </c>
      <c r="E1247" s="1" t="s">
        <v>17369</v>
      </c>
      <c r="F1247" s="1">
        <v>49709.0</v>
      </c>
      <c r="G1247" s="1">
        <v>3320.0</v>
      </c>
      <c r="H1247" s="1">
        <v>209.0</v>
      </c>
      <c r="I1247" s="1">
        <v>8410000.0</v>
      </c>
      <c r="J1247" s="1" t="s">
        <v>2468</v>
      </c>
      <c r="K1247" s="5">
        <f t="shared" si="2"/>
        <v>0.005910701546</v>
      </c>
      <c r="L1247" s="6">
        <f t="shared" si="3"/>
        <v>157</v>
      </c>
      <c r="M1247" s="6">
        <f t="shared" si="4"/>
        <v>316.6178344</v>
      </c>
      <c r="N1247" s="7">
        <f t="shared" si="5"/>
        <v>0.00003764778055</v>
      </c>
      <c r="O1247" s="7"/>
      <c r="P1247" s="4">
        <f t="shared" si="6"/>
        <v>-0.423008222</v>
      </c>
      <c r="Q1247" s="4">
        <f t="shared" si="7"/>
        <v>5</v>
      </c>
      <c r="R1247" s="4">
        <f t="shared" si="8"/>
        <v>0</v>
      </c>
      <c r="S1247" s="4">
        <f t="shared" si="9"/>
        <v>-0.423008222</v>
      </c>
      <c r="T1247" s="4">
        <f t="shared" si="10"/>
        <v>28</v>
      </c>
      <c r="U1247" s="4">
        <f t="shared" si="1"/>
        <v>-0.423008222</v>
      </c>
      <c r="V1247" s="4"/>
    </row>
    <row r="1248">
      <c r="A1248" s="1" t="s">
        <v>17561</v>
      </c>
      <c r="B1248" s="1" t="s">
        <v>17562</v>
      </c>
      <c r="C1248" s="1" t="s">
        <v>6965</v>
      </c>
      <c r="D1248" s="1" t="s">
        <v>17368</v>
      </c>
      <c r="E1248" s="1" t="s">
        <v>17369</v>
      </c>
      <c r="F1248" s="1">
        <v>369785.0</v>
      </c>
      <c r="G1248" s="1">
        <v>14681.0</v>
      </c>
      <c r="H1248" s="1">
        <v>1095.0</v>
      </c>
      <c r="I1248" s="1">
        <v>8410000.0</v>
      </c>
      <c r="J1248" s="1" t="s">
        <v>2468</v>
      </c>
      <c r="K1248" s="5">
        <f t="shared" si="2"/>
        <v>0.04396967895</v>
      </c>
      <c r="L1248" s="6">
        <f t="shared" si="3"/>
        <v>161</v>
      </c>
      <c r="M1248" s="6">
        <f t="shared" si="4"/>
        <v>2296.801242</v>
      </c>
      <c r="N1248" s="7">
        <f t="shared" si="5"/>
        <v>0.000273103596</v>
      </c>
      <c r="O1248" s="7"/>
      <c r="P1248" s="4">
        <f t="shared" si="6"/>
        <v>-0.257161757</v>
      </c>
      <c r="Q1248" s="4">
        <f t="shared" si="7"/>
        <v>10</v>
      </c>
      <c r="R1248" s="4">
        <f t="shared" si="8"/>
        <v>0</v>
      </c>
      <c r="S1248" s="4">
        <f t="shared" si="9"/>
        <v>-0.257161757</v>
      </c>
      <c r="T1248" s="4">
        <f t="shared" si="10"/>
        <v>41</v>
      </c>
      <c r="U1248" s="4">
        <f t="shared" si="1"/>
        <v>-0.257161757</v>
      </c>
      <c r="V1248" s="4"/>
    </row>
    <row r="1249">
      <c r="A1249" s="1" t="s">
        <v>17563</v>
      </c>
      <c r="B1249" s="1" t="s">
        <v>17564</v>
      </c>
      <c r="C1249" s="1" t="s">
        <v>6968</v>
      </c>
      <c r="D1249" s="1" t="s">
        <v>17368</v>
      </c>
      <c r="E1249" s="1" t="s">
        <v>17369</v>
      </c>
      <c r="F1249" s="1">
        <v>127748.0</v>
      </c>
      <c r="G1249" s="1">
        <v>5660.0</v>
      </c>
      <c r="H1249" s="1">
        <v>466.0</v>
      </c>
      <c r="I1249" s="1">
        <v>8410000.0</v>
      </c>
      <c r="J1249" s="1" t="s">
        <v>2468</v>
      </c>
      <c r="K1249" s="5">
        <f t="shared" si="2"/>
        <v>0.01519001189</v>
      </c>
      <c r="L1249" s="6">
        <f t="shared" si="3"/>
        <v>162</v>
      </c>
      <c r="M1249" s="6">
        <f t="shared" si="4"/>
        <v>788.5679012</v>
      </c>
      <c r="N1249" s="7">
        <f t="shared" si="5"/>
        <v>0.0000937655055</v>
      </c>
      <c r="O1249" s="7"/>
      <c r="P1249" s="4">
        <f t="shared" si="6"/>
        <v>-0.383480949</v>
      </c>
      <c r="Q1249" s="4">
        <f t="shared" si="7"/>
        <v>6</v>
      </c>
      <c r="R1249" s="4">
        <f t="shared" si="8"/>
        <v>0</v>
      </c>
      <c r="S1249" s="4">
        <f t="shared" si="9"/>
        <v>-0.383480949</v>
      </c>
      <c r="T1249" s="4">
        <f t="shared" si="10"/>
        <v>37</v>
      </c>
      <c r="U1249" s="4">
        <f t="shared" si="1"/>
        <v>-0.383480949</v>
      </c>
      <c r="V1249" s="4"/>
    </row>
    <row r="1250">
      <c r="A1250" s="1" t="s">
        <v>17565</v>
      </c>
      <c r="B1250" s="1" t="s">
        <v>17566</v>
      </c>
      <c r="C1250" s="1" t="s">
        <v>17567</v>
      </c>
      <c r="D1250" s="1" t="s">
        <v>17368</v>
      </c>
      <c r="E1250" s="1" t="s">
        <v>17369</v>
      </c>
      <c r="F1250" s="1">
        <v>220102.0</v>
      </c>
      <c r="G1250" s="1">
        <v>8800.0</v>
      </c>
      <c r="H1250" s="1">
        <v>613.0</v>
      </c>
      <c r="I1250" s="1">
        <v>8410000.0</v>
      </c>
      <c r="J1250" s="1" t="s">
        <v>2468</v>
      </c>
      <c r="K1250" s="5">
        <f t="shared" si="2"/>
        <v>0.02617146254</v>
      </c>
      <c r="L1250" s="6">
        <f t="shared" si="3"/>
        <v>163</v>
      </c>
      <c r="M1250" s="6">
        <f t="shared" si="4"/>
        <v>1350.319018</v>
      </c>
      <c r="N1250" s="7">
        <f t="shared" si="5"/>
        <v>0.0001605611199</v>
      </c>
      <c r="O1250" s="7"/>
      <c r="P1250" s="4">
        <f t="shared" si="6"/>
        <v>-0.3364325611</v>
      </c>
      <c r="Q1250" s="4">
        <f t="shared" si="7"/>
        <v>9</v>
      </c>
      <c r="R1250" s="4">
        <f t="shared" si="8"/>
        <v>0</v>
      </c>
      <c r="S1250" s="4">
        <f t="shared" si="9"/>
        <v>-0.3364325611</v>
      </c>
      <c r="T1250" s="4">
        <f t="shared" si="10"/>
        <v>36</v>
      </c>
      <c r="U1250" s="4">
        <f t="shared" si="1"/>
        <v>-0.3364325611</v>
      </c>
      <c r="V1250" s="4"/>
    </row>
    <row r="1251">
      <c r="A1251" s="1" t="s">
        <v>17568</v>
      </c>
      <c r="B1251" s="1" t="s">
        <v>17569</v>
      </c>
      <c r="C1251" s="1" t="s">
        <v>17570</v>
      </c>
      <c r="D1251" s="1" t="s">
        <v>17368</v>
      </c>
      <c r="E1251" s="1" t="s">
        <v>17369</v>
      </c>
      <c r="F1251" s="1">
        <v>141258.0</v>
      </c>
      <c r="G1251" s="1">
        <v>8730.0</v>
      </c>
      <c r="H1251" s="1">
        <v>557.0</v>
      </c>
      <c r="I1251" s="1">
        <v>8410000.0</v>
      </c>
      <c r="J1251" s="1" t="s">
        <v>2468</v>
      </c>
      <c r="K1251" s="5">
        <f t="shared" si="2"/>
        <v>0.01679643282</v>
      </c>
      <c r="L1251" s="6">
        <f t="shared" si="3"/>
        <v>164</v>
      </c>
      <c r="M1251" s="6">
        <f t="shared" si="4"/>
        <v>861.3292683</v>
      </c>
      <c r="N1251" s="7">
        <f t="shared" si="5"/>
        <v>0.0001024172733</v>
      </c>
      <c r="O1251" s="7"/>
      <c r="P1251" s="4">
        <f t="shared" si="6"/>
        <v>-0.3773869601</v>
      </c>
      <c r="Q1251" s="4">
        <f t="shared" si="7"/>
        <v>6</v>
      </c>
      <c r="R1251" s="4">
        <f t="shared" si="8"/>
        <v>1</v>
      </c>
      <c r="S1251" s="4">
        <f t="shared" si="9"/>
        <v>-0.3773869601</v>
      </c>
      <c r="T1251" s="4">
        <f t="shared" si="10"/>
        <v>34</v>
      </c>
      <c r="U1251" s="4">
        <f t="shared" si="1"/>
        <v>-0.3773869601</v>
      </c>
      <c r="V1251" s="4"/>
    </row>
    <row r="1252">
      <c r="A1252" s="1" t="s">
        <v>17571</v>
      </c>
      <c r="B1252" s="1" t="s">
        <v>17572</v>
      </c>
      <c r="C1252" s="1" t="s">
        <v>17573</v>
      </c>
      <c r="D1252" s="1" t="s">
        <v>17368</v>
      </c>
      <c r="E1252" s="1" t="s">
        <v>17369</v>
      </c>
      <c r="F1252" s="1">
        <v>80555.0</v>
      </c>
      <c r="G1252" s="1">
        <v>5216.0</v>
      </c>
      <c r="H1252" s="1">
        <v>246.0</v>
      </c>
      <c r="I1252" s="1">
        <v>8410000.0</v>
      </c>
      <c r="J1252" s="1" t="s">
        <v>2468</v>
      </c>
      <c r="K1252" s="5">
        <f t="shared" si="2"/>
        <v>0.009578478002</v>
      </c>
      <c r="L1252" s="6">
        <f t="shared" si="3"/>
        <v>168</v>
      </c>
      <c r="M1252" s="6">
        <f t="shared" si="4"/>
        <v>479.4940476</v>
      </c>
      <c r="N1252" s="7">
        <f t="shared" si="5"/>
        <v>0.00005701475001</v>
      </c>
      <c r="O1252" s="7"/>
      <c r="P1252" s="4">
        <f t="shared" si="6"/>
        <v>-0.409366837</v>
      </c>
      <c r="Q1252" s="4">
        <f t="shared" si="7"/>
        <v>9</v>
      </c>
      <c r="R1252" s="4">
        <f t="shared" si="8"/>
        <v>1</v>
      </c>
      <c r="S1252" s="4">
        <f t="shared" si="9"/>
        <v>-0.409366837</v>
      </c>
      <c r="T1252" s="4">
        <f t="shared" si="10"/>
        <v>44</v>
      </c>
      <c r="U1252" s="4">
        <f t="shared" si="1"/>
        <v>-0.409366837</v>
      </c>
      <c r="V1252" s="4"/>
    </row>
    <row r="1253">
      <c r="A1253" s="1" t="s">
        <v>17574</v>
      </c>
      <c r="B1253" s="1" t="s">
        <v>17575</v>
      </c>
      <c r="C1253" s="1" t="s">
        <v>17576</v>
      </c>
      <c r="D1253" s="1" t="s">
        <v>17368</v>
      </c>
      <c r="E1253" s="1" t="s">
        <v>17369</v>
      </c>
      <c r="F1253" s="1">
        <v>87054.0</v>
      </c>
      <c r="G1253" s="1">
        <v>4753.0</v>
      </c>
      <c r="H1253" s="1">
        <v>269.0</v>
      </c>
      <c r="I1253" s="1">
        <v>8410000.0</v>
      </c>
      <c r="J1253" s="1" t="s">
        <v>2468</v>
      </c>
      <c r="K1253" s="5">
        <f t="shared" si="2"/>
        <v>0.01035124851</v>
      </c>
      <c r="L1253" s="6">
        <f t="shared" si="3"/>
        <v>169</v>
      </c>
      <c r="M1253" s="6">
        <f t="shared" si="4"/>
        <v>515.112426</v>
      </c>
      <c r="N1253" s="7">
        <f t="shared" si="5"/>
        <v>0.00006124999121</v>
      </c>
      <c r="O1253" s="7"/>
      <c r="P1253" s="4">
        <f t="shared" si="6"/>
        <v>-0.406383688</v>
      </c>
      <c r="Q1253" s="4">
        <f t="shared" si="7"/>
        <v>10</v>
      </c>
      <c r="R1253" s="4">
        <f t="shared" si="8"/>
        <v>0</v>
      </c>
      <c r="S1253" s="4">
        <f t="shared" si="9"/>
        <v>-0.406383688</v>
      </c>
      <c r="T1253" s="4">
        <f t="shared" si="10"/>
        <v>42</v>
      </c>
      <c r="U1253" s="4">
        <f t="shared" si="1"/>
        <v>-0.406383688</v>
      </c>
      <c r="V1253" s="4"/>
    </row>
    <row r="1254">
      <c r="A1254" s="1" t="s">
        <v>17577</v>
      </c>
      <c r="B1254" s="1" t="s">
        <v>17578</v>
      </c>
      <c r="C1254" s="1" t="s">
        <v>17579</v>
      </c>
      <c r="D1254" s="1" t="s">
        <v>17368</v>
      </c>
      <c r="E1254" s="1" t="s">
        <v>17369</v>
      </c>
      <c r="F1254" s="1">
        <v>338240.0</v>
      </c>
      <c r="G1254" s="1">
        <v>15227.0</v>
      </c>
      <c r="H1254" s="1">
        <v>802.0</v>
      </c>
      <c r="I1254" s="1">
        <v>8410000.0</v>
      </c>
      <c r="J1254" s="1" t="s">
        <v>2468</v>
      </c>
      <c r="K1254" s="5">
        <f t="shared" si="2"/>
        <v>0.04021878716</v>
      </c>
      <c r="L1254" s="6">
        <f t="shared" si="3"/>
        <v>170</v>
      </c>
      <c r="M1254" s="6">
        <f t="shared" si="4"/>
        <v>1989.647059</v>
      </c>
      <c r="N1254" s="7">
        <f t="shared" si="5"/>
        <v>0.0002365811009</v>
      </c>
      <c r="O1254" s="7"/>
      <c r="P1254" s="4">
        <f t="shared" si="6"/>
        <v>-0.2828868668</v>
      </c>
      <c r="Q1254" s="4">
        <f t="shared" si="7"/>
        <v>9</v>
      </c>
      <c r="R1254" s="4">
        <f t="shared" si="8"/>
        <v>0</v>
      </c>
      <c r="S1254" s="4">
        <f t="shared" si="9"/>
        <v>-0.2828868668</v>
      </c>
      <c r="T1254" s="4">
        <f t="shared" si="10"/>
        <v>43</v>
      </c>
      <c r="U1254" s="4">
        <f t="shared" si="1"/>
        <v>-0.2828868668</v>
      </c>
      <c r="V1254" s="4"/>
    </row>
    <row r="1255">
      <c r="A1255" s="1" t="s">
        <v>17580</v>
      </c>
      <c r="B1255" s="1" t="s">
        <v>17581</v>
      </c>
      <c r="C1255" s="1" t="s">
        <v>17582</v>
      </c>
      <c r="D1255" s="1" t="s">
        <v>17368</v>
      </c>
      <c r="E1255" s="1" t="s">
        <v>17369</v>
      </c>
      <c r="F1255" s="1">
        <v>256688.0</v>
      </c>
      <c r="G1255" s="1">
        <v>11273.0</v>
      </c>
      <c r="H1255" s="1">
        <v>596.0</v>
      </c>
      <c r="I1255" s="1">
        <v>8410000.0</v>
      </c>
      <c r="J1255" s="1" t="s">
        <v>2468</v>
      </c>
      <c r="K1255" s="5">
        <f t="shared" si="2"/>
        <v>0.03052175981</v>
      </c>
      <c r="L1255" s="6">
        <f t="shared" si="3"/>
        <v>171</v>
      </c>
      <c r="M1255" s="6">
        <f t="shared" si="4"/>
        <v>1501.099415</v>
      </c>
      <c r="N1255" s="7">
        <f t="shared" si="5"/>
        <v>0.0001784898234</v>
      </c>
      <c r="O1255" s="7"/>
      <c r="P1255" s="4">
        <f t="shared" si="6"/>
        <v>-0.323804238</v>
      </c>
      <c r="Q1255" s="4">
        <f t="shared" si="7"/>
        <v>9</v>
      </c>
      <c r="R1255" s="4">
        <f t="shared" si="8"/>
        <v>0</v>
      </c>
      <c r="S1255" s="4">
        <f t="shared" si="9"/>
        <v>-0.323804238</v>
      </c>
      <c r="T1255" s="4">
        <f t="shared" si="10"/>
        <v>33</v>
      </c>
      <c r="U1255" s="4">
        <f t="shared" si="1"/>
        <v>-0.323804238</v>
      </c>
      <c r="V1255" s="4"/>
    </row>
    <row r="1256">
      <c r="A1256" s="1" t="s">
        <v>17583</v>
      </c>
      <c r="B1256" s="1" t="s">
        <v>17584</v>
      </c>
      <c r="C1256" s="1" t="s">
        <v>17585</v>
      </c>
      <c r="D1256" s="1" t="s">
        <v>17368</v>
      </c>
      <c r="E1256" s="1" t="s">
        <v>17369</v>
      </c>
      <c r="F1256" s="1">
        <v>510356.0</v>
      </c>
      <c r="G1256" s="1">
        <v>21577.0</v>
      </c>
      <c r="H1256" s="1">
        <v>853.0</v>
      </c>
      <c r="I1256" s="1">
        <v>8410000.0</v>
      </c>
      <c r="J1256" s="1" t="s">
        <v>2468</v>
      </c>
      <c r="K1256" s="5">
        <f t="shared" si="2"/>
        <v>0.06068442331</v>
      </c>
      <c r="L1256" s="6">
        <f t="shared" si="3"/>
        <v>174</v>
      </c>
      <c r="M1256" s="6">
        <f t="shared" si="4"/>
        <v>2933.08046</v>
      </c>
      <c r="N1256" s="7">
        <f t="shared" si="5"/>
        <v>0.0003487610535</v>
      </c>
      <c r="O1256" s="7"/>
      <c r="P1256" s="4">
        <f t="shared" si="6"/>
        <v>-0.203871411</v>
      </c>
      <c r="Q1256" s="4">
        <f t="shared" si="7"/>
        <v>9</v>
      </c>
      <c r="R1256" s="4">
        <f t="shared" si="8"/>
        <v>0</v>
      </c>
      <c r="S1256" s="4">
        <f t="shared" si="9"/>
        <v>-0.203871411</v>
      </c>
      <c r="T1256" s="4">
        <f t="shared" si="10"/>
        <v>43</v>
      </c>
      <c r="U1256" s="4">
        <f t="shared" si="1"/>
        <v>-0.203871411</v>
      </c>
      <c r="V1256" s="4"/>
    </row>
    <row r="1257">
      <c r="A1257" s="1" t="s">
        <v>17586</v>
      </c>
      <c r="B1257" s="1" t="s">
        <v>17587</v>
      </c>
      <c r="C1257" s="1" t="s">
        <v>17588</v>
      </c>
      <c r="D1257" s="1" t="s">
        <v>17368</v>
      </c>
      <c r="E1257" s="1" t="s">
        <v>17369</v>
      </c>
      <c r="F1257" s="1">
        <v>218035.0</v>
      </c>
      <c r="G1257" s="1">
        <v>11061.0</v>
      </c>
      <c r="H1257" s="1">
        <v>629.0</v>
      </c>
      <c r="I1257" s="1">
        <v>8410000.0</v>
      </c>
      <c r="J1257" s="1" t="s">
        <v>2468</v>
      </c>
      <c r="K1257" s="5">
        <f t="shared" si="2"/>
        <v>0.02592568371</v>
      </c>
      <c r="L1257" s="6">
        <f t="shared" si="3"/>
        <v>175</v>
      </c>
      <c r="M1257" s="6">
        <f t="shared" si="4"/>
        <v>1245.914286</v>
      </c>
      <c r="N1257" s="7">
        <f t="shared" si="5"/>
        <v>0.0001481467641</v>
      </c>
      <c r="O1257" s="7"/>
      <c r="P1257" s="4">
        <f t="shared" si="6"/>
        <v>-0.3451767793</v>
      </c>
      <c r="Q1257" s="4">
        <f t="shared" si="7"/>
        <v>6</v>
      </c>
      <c r="R1257" s="4">
        <f t="shared" si="8"/>
        <v>0</v>
      </c>
      <c r="S1257" s="4">
        <f t="shared" si="9"/>
        <v>-0.3451767793</v>
      </c>
      <c r="T1257" s="4">
        <f t="shared" si="10"/>
        <v>37</v>
      </c>
      <c r="U1257" s="4">
        <f t="shared" si="1"/>
        <v>-0.3451767793</v>
      </c>
      <c r="V1257" s="4"/>
    </row>
    <row r="1258">
      <c r="A1258" s="1" t="s">
        <v>17589</v>
      </c>
      <c r="B1258" s="1" t="s">
        <v>17590</v>
      </c>
      <c r="C1258" s="1" t="s">
        <v>17591</v>
      </c>
      <c r="D1258" s="1" t="s">
        <v>17368</v>
      </c>
      <c r="E1258" s="1" t="s">
        <v>17369</v>
      </c>
      <c r="F1258" s="1">
        <v>90946.0</v>
      </c>
      <c r="G1258" s="1">
        <v>5658.0</v>
      </c>
      <c r="H1258" s="1">
        <v>386.0</v>
      </c>
      <c r="I1258" s="1">
        <v>8410000.0</v>
      </c>
      <c r="J1258" s="1" t="s">
        <v>2468</v>
      </c>
      <c r="K1258" s="5">
        <f t="shared" si="2"/>
        <v>0.01081403092</v>
      </c>
      <c r="L1258" s="6">
        <f t="shared" si="3"/>
        <v>176</v>
      </c>
      <c r="M1258" s="6">
        <f t="shared" si="4"/>
        <v>516.7386364</v>
      </c>
      <c r="N1258" s="7">
        <f t="shared" si="5"/>
        <v>0.00006144335747</v>
      </c>
      <c r="O1258" s="7"/>
      <c r="P1258" s="4">
        <f t="shared" si="6"/>
        <v>-0.4062474879</v>
      </c>
      <c r="Q1258" s="4">
        <f t="shared" si="7"/>
        <v>6</v>
      </c>
      <c r="R1258" s="4">
        <f t="shared" si="8"/>
        <v>0</v>
      </c>
      <c r="S1258" s="4">
        <f t="shared" si="9"/>
        <v>-0.4062474879</v>
      </c>
      <c r="T1258" s="4">
        <f t="shared" si="10"/>
        <v>24</v>
      </c>
      <c r="U1258" s="4">
        <f t="shared" si="1"/>
        <v>-0.4062474879</v>
      </c>
      <c r="V1258" s="4"/>
    </row>
    <row r="1259">
      <c r="A1259" s="1" t="s">
        <v>17592</v>
      </c>
      <c r="B1259" s="1" t="s">
        <v>17593</v>
      </c>
      <c r="C1259" s="1" t="s">
        <v>17594</v>
      </c>
      <c r="D1259" s="1" t="s">
        <v>17368</v>
      </c>
      <c r="E1259" s="1" t="s">
        <v>17369</v>
      </c>
      <c r="F1259" s="1">
        <v>155357.0</v>
      </c>
      <c r="G1259" s="1">
        <v>6362.0</v>
      </c>
      <c r="H1259" s="1">
        <v>480.0</v>
      </c>
      <c r="I1259" s="1">
        <v>8410000.0</v>
      </c>
      <c r="J1259" s="1" t="s">
        <v>2468</v>
      </c>
      <c r="K1259" s="5">
        <f t="shared" si="2"/>
        <v>0.01847288942</v>
      </c>
      <c r="L1259" s="6">
        <f t="shared" si="3"/>
        <v>177</v>
      </c>
      <c r="M1259" s="6">
        <f t="shared" si="4"/>
        <v>877.7231638</v>
      </c>
      <c r="N1259" s="7">
        <f t="shared" si="5"/>
        <v>0.0001043666069</v>
      </c>
      <c r="O1259" s="7"/>
      <c r="P1259" s="4">
        <f t="shared" si="6"/>
        <v>-0.3760139209</v>
      </c>
      <c r="Q1259" s="4">
        <f t="shared" si="7"/>
        <v>7</v>
      </c>
      <c r="R1259" s="4">
        <f t="shared" si="8"/>
        <v>0</v>
      </c>
      <c r="S1259" s="4">
        <f t="shared" si="9"/>
        <v>-0.3760139209</v>
      </c>
      <c r="T1259" s="4">
        <f t="shared" si="10"/>
        <v>35</v>
      </c>
      <c r="U1259" s="4">
        <f t="shared" si="1"/>
        <v>-0.3760139209</v>
      </c>
      <c r="V1259" s="4"/>
    </row>
    <row r="1260">
      <c r="A1260" s="1" t="s">
        <v>17595</v>
      </c>
      <c r="B1260" s="1" t="s">
        <v>17596</v>
      </c>
      <c r="C1260" s="1" t="s">
        <v>17597</v>
      </c>
      <c r="D1260" s="1" t="s">
        <v>17368</v>
      </c>
      <c r="E1260" s="1" t="s">
        <v>17369</v>
      </c>
      <c r="F1260" s="1">
        <v>328837.0</v>
      </c>
      <c r="G1260" s="1">
        <v>12226.0</v>
      </c>
      <c r="H1260" s="1">
        <v>593.0</v>
      </c>
      <c r="I1260" s="1">
        <v>8410000.0</v>
      </c>
      <c r="J1260" s="1" t="s">
        <v>2468</v>
      </c>
      <c r="K1260" s="5">
        <f t="shared" si="2"/>
        <v>0.03910071344</v>
      </c>
      <c r="L1260" s="6">
        <f t="shared" si="3"/>
        <v>178</v>
      </c>
      <c r="M1260" s="6">
        <f t="shared" si="4"/>
        <v>1847.398876</v>
      </c>
      <c r="N1260" s="7">
        <f t="shared" si="5"/>
        <v>0.0002196669294</v>
      </c>
      <c r="O1260" s="7"/>
      <c r="P1260" s="4">
        <f t="shared" si="6"/>
        <v>-0.2948005906</v>
      </c>
      <c r="Q1260" s="4">
        <f t="shared" si="7"/>
        <v>7</v>
      </c>
      <c r="R1260" s="4">
        <f t="shared" si="8"/>
        <v>0</v>
      </c>
      <c r="S1260" s="4">
        <f t="shared" si="9"/>
        <v>-0.2948005906</v>
      </c>
      <c r="T1260" s="4">
        <f t="shared" si="10"/>
        <v>35</v>
      </c>
      <c r="U1260" s="4">
        <f t="shared" si="1"/>
        <v>-0.2948005906</v>
      </c>
      <c r="V1260" s="4"/>
    </row>
    <row r="1261">
      <c r="A1261" s="1" t="s">
        <v>17598</v>
      </c>
      <c r="B1261" s="1" t="s">
        <v>17599</v>
      </c>
      <c r="C1261" s="1" t="s">
        <v>17600</v>
      </c>
      <c r="D1261" s="1" t="s">
        <v>17368</v>
      </c>
      <c r="E1261" s="1" t="s">
        <v>17369</v>
      </c>
      <c r="F1261" s="1">
        <v>147351.0</v>
      </c>
      <c r="G1261" s="1">
        <v>6571.0</v>
      </c>
      <c r="H1261" s="1">
        <v>288.0</v>
      </c>
      <c r="I1261" s="1">
        <v>8410000.0</v>
      </c>
      <c r="J1261" s="1" t="s">
        <v>2468</v>
      </c>
      <c r="K1261" s="5">
        <f t="shared" si="2"/>
        <v>0.01752092747</v>
      </c>
      <c r="L1261" s="6">
        <f t="shared" si="3"/>
        <v>182</v>
      </c>
      <c r="M1261" s="6">
        <f t="shared" si="4"/>
        <v>809.6208791</v>
      </c>
      <c r="N1261" s="7">
        <f t="shared" si="5"/>
        <v>0.00009626883224</v>
      </c>
      <c r="O1261" s="7"/>
      <c r="P1261" s="4">
        <f t="shared" si="6"/>
        <v>-0.3817176972</v>
      </c>
      <c r="Q1261" s="4">
        <f t="shared" si="7"/>
        <v>9</v>
      </c>
      <c r="R1261" s="4">
        <f t="shared" si="8"/>
        <v>0</v>
      </c>
      <c r="S1261" s="4">
        <f t="shared" si="9"/>
        <v>-0.3817176972</v>
      </c>
      <c r="T1261" s="4">
        <f t="shared" si="10"/>
        <v>45</v>
      </c>
      <c r="U1261" s="4">
        <f t="shared" si="1"/>
        <v>-0.3817176972</v>
      </c>
      <c r="V1261" s="4"/>
    </row>
    <row r="1262">
      <c r="A1262" s="1" t="s">
        <v>17601</v>
      </c>
      <c r="B1262" s="1" t="s">
        <v>17602</v>
      </c>
      <c r="C1262" s="1" t="s">
        <v>17603</v>
      </c>
      <c r="D1262" s="1" t="s">
        <v>17368</v>
      </c>
      <c r="E1262" s="1" t="s">
        <v>17369</v>
      </c>
      <c r="F1262" s="1">
        <v>277178.0</v>
      </c>
      <c r="G1262" s="1">
        <v>8996.0</v>
      </c>
      <c r="H1262" s="1">
        <v>726.0</v>
      </c>
      <c r="I1262" s="1">
        <v>8410000.0</v>
      </c>
      <c r="J1262" s="1" t="s">
        <v>2468</v>
      </c>
      <c r="K1262" s="5">
        <f t="shared" si="2"/>
        <v>0.03295814507</v>
      </c>
      <c r="L1262" s="6">
        <f t="shared" si="3"/>
        <v>183</v>
      </c>
      <c r="M1262" s="6">
        <f t="shared" si="4"/>
        <v>1514.63388</v>
      </c>
      <c r="N1262" s="7">
        <f t="shared" si="5"/>
        <v>0.0001800991534</v>
      </c>
      <c r="O1262" s="7"/>
      <c r="P1262" s="4">
        <f t="shared" si="6"/>
        <v>-0.3226706849</v>
      </c>
      <c r="Q1262" s="4">
        <f t="shared" si="7"/>
        <v>10</v>
      </c>
      <c r="R1262" s="4">
        <f t="shared" si="8"/>
        <v>1</v>
      </c>
      <c r="S1262" s="4">
        <f t="shared" si="9"/>
        <v>-0.3226706849</v>
      </c>
      <c r="T1262" s="4">
        <f t="shared" si="10"/>
        <v>44</v>
      </c>
      <c r="U1262" s="4">
        <f t="shared" si="1"/>
        <v>-0.3226706849</v>
      </c>
      <c r="V1262" s="4"/>
    </row>
    <row r="1263">
      <c r="A1263" s="1" t="s">
        <v>17604</v>
      </c>
      <c r="B1263" s="1" t="s">
        <v>17605</v>
      </c>
      <c r="C1263" s="1" t="s">
        <v>17606</v>
      </c>
      <c r="D1263" s="1" t="s">
        <v>17368</v>
      </c>
      <c r="E1263" s="1" t="s">
        <v>17369</v>
      </c>
      <c r="F1263" s="1">
        <v>421039.0</v>
      </c>
      <c r="G1263" s="1">
        <v>24653.0</v>
      </c>
      <c r="H1263" s="1">
        <v>2409.0</v>
      </c>
      <c r="I1263" s="1">
        <v>8410000.0</v>
      </c>
      <c r="J1263" s="1" t="s">
        <v>2468</v>
      </c>
      <c r="K1263" s="5">
        <f t="shared" si="2"/>
        <v>0.05006409037</v>
      </c>
      <c r="L1263" s="6">
        <f t="shared" si="3"/>
        <v>184</v>
      </c>
      <c r="M1263" s="6">
        <f t="shared" si="4"/>
        <v>2288.255435</v>
      </c>
      <c r="N1263" s="7">
        <f t="shared" si="5"/>
        <v>0.0002720874477</v>
      </c>
      <c r="O1263" s="7"/>
      <c r="P1263" s="4">
        <f t="shared" si="6"/>
        <v>-0.2578774947</v>
      </c>
      <c r="Q1263" s="4">
        <f t="shared" si="7"/>
        <v>5</v>
      </c>
      <c r="R1263" s="4">
        <f t="shared" si="8"/>
        <v>0</v>
      </c>
      <c r="S1263" s="4">
        <f t="shared" si="9"/>
        <v>-0.2578774947</v>
      </c>
      <c r="T1263" s="4">
        <f t="shared" si="10"/>
        <v>27</v>
      </c>
      <c r="U1263" s="4">
        <f t="shared" si="1"/>
        <v>-0.2578774947</v>
      </c>
      <c r="V1263" s="4"/>
    </row>
    <row r="1264">
      <c r="A1264" s="1" t="s">
        <v>17607</v>
      </c>
      <c r="B1264" s="1" t="s">
        <v>17608</v>
      </c>
      <c r="C1264" s="1" t="s">
        <v>17609</v>
      </c>
      <c r="D1264" s="1" t="s">
        <v>17610</v>
      </c>
      <c r="E1264" s="1" t="s">
        <v>17611</v>
      </c>
      <c r="F1264" s="1">
        <v>536653.0</v>
      </c>
      <c r="G1264" s="1">
        <v>29724.0</v>
      </c>
      <c r="H1264" s="1">
        <v>2570.0</v>
      </c>
      <c r="I1264" s="1">
        <v>3520000.0</v>
      </c>
      <c r="J1264" s="1" t="s">
        <v>2468</v>
      </c>
      <c r="K1264" s="5">
        <f t="shared" si="2"/>
        <v>0.1524582386</v>
      </c>
      <c r="L1264" s="6">
        <f t="shared" si="3"/>
        <v>49</v>
      </c>
      <c r="M1264" s="6">
        <f t="shared" si="4"/>
        <v>10952.10204</v>
      </c>
      <c r="N1264" s="7">
        <f t="shared" si="5"/>
        <v>0.003111392625</v>
      </c>
      <c r="O1264" s="7"/>
      <c r="P1264" s="4">
        <f t="shared" si="6"/>
        <v>1.74202523</v>
      </c>
      <c r="Q1264" s="4">
        <f t="shared" si="7"/>
        <v>14</v>
      </c>
      <c r="R1264" s="4">
        <f t="shared" si="8"/>
        <v>0</v>
      </c>
      <c r="S1264" s="4">
        <f t="shared" si="9"/>
        <v>1.74202523</v>
      </c>
      <c r="T1264" s="4">
        <f t="shared" si="10"/>
        <v>62</v>
      </c>
      <c r="U1264" s="4">
        <f t="shared" si="1"/>
        <v>1.74202523</v>
      </c>
      <c r="V1264" s="4"/>
    </row>
    <row r="1265">
      <c r="A1265" s="1" t="s">
        <v>17612</v>
      </c>
      <c r="B1265" s="1" t="s">
        <v>17613</v>
      </c>
      <c r="C1265" s="1" t="s">
        <v>17614</v>
      </c>
      <c r="D1265" s="1" t="s">
        <v>17610</v>
      </c>
      <c r="E1265" s="1" t="s">
        <v>17611</v>
      </c>
      <c r="F1265" s="1">
        <v>491188.0</v>
      </c>
      <c r="G1265" s="1">
        <v>26847.0</v>
      </c>
      <c r="H1265" s="1">
        <v>2395.0</v>
      </c>
      <c r="I1265" s="1">
        <v>3520000.0</v>
      </c>
      <c r="J1265" s="1" t="s">
        <v>2468</v>
      </c>
      <c r="K1265" s="5">
        <f t="shared" si="2"/>
        <v>0.1395420455</v>
      </c>
      <c r="L1265" s="6">
        <f t="shared" si="3"/>
        <v>63</v>
      </c>
      <c r="M1265" s="6">
        <f t="shared" si="4"/>
        <v>7796.634921</v>
      </c>
      <c r="N1265" s="7">
        <f t="shared" si="5"/>
        <v>0.002214953102</v>
      </c>
      <c r="O1265" s="7"/>
      <c r="P1265" s="4">
        <f t="shared" si="6"/>
        <v>1.110606016</v>
      </c>
      <c r="Q1265" s="4">
        <f t="shared" si="7"/>
        <v>6</v>
      </c>
      <c r="R1265" s="4">
        <f t="shared" si="8"/>
        <v>0</v>
      </c>
      <c r="S1265" s="4">
        <f t="shared" si="9"/>
        <v>1.110606016</v>
      </c>
      <c r="T1265" s="4">
        <f t="shared" si="10"/>
        <v>33</v>
      </c>
      <c r="U1265" s="4">
        <f t="shared" si="1"/>
        <v>1.110606016</v>
      </c>
      <c r="V1265" s="4"/>
    </row>
    <row r="1266">
      <c r="A1266" s="1" t="s">
        <v>17615</v>
      </c>
      <c r="B1266" s="1" t="s">
        <v>17616</v>
      </c>
      <c r="C1266" s="1" t="s">
        <v>17617</v>
      </c>
      <c r="D1266" s="1" t="s">
        <v>17610</v>
      </c>
      <c r="E1266" s="1" t="s">
        <v>17611</v>
      </c>
      <c r="F1266" s="1">
        <v>927217.0</v>
      </c>
      <c r="G1266" s="1">
        <v>45270.0</v>
      </c>
      <c r="H1266" s="1">
        <v>4033.0</v>
      </c>
      <c r="I1266" s="1">
        <v>3520000.0</v>
      </c>
      <c r="J1266" s="1" t="s">
        <v>2468</v>
      </c>
      <c r="K1266" s="5">
        <f t="shared" si="2"/>
        <v>0.2634139205</v>
      </c>
      <c r="L1266" s="6">
        <f t="shared" si="3"/>
        <v>77</v>
      </c>
      <c r="M1266" s="6">
        <f t="shared" si="4"/>
        <v>12041.77922</v>
      </c>
      <c r="N1266" s="7">
        <f t="shared" si="5"/>
        <v>0.003420960006</v>
      </c>
      <c r="O1266" s="7"/>
      <c r="P1266" s="4">
        <f t="shared" si="6"/>
        <v>1.960073171</v>
      </c>
      <c r="Q1266" s="4">
        <f t="shared" si="7"/>
        <v>12</v>
      </c>
      <c r="R1266" s="4">
        <f t="shared" si="8"/>
        <v>0</v>
      </c>
      <c r="S1266" s="4">
        <f t="shared" si="9"/>
        <v>1.960073171</v>
      </c>
      <c r="T1266" s="4">
        <f t="shared" si="10"/>
        <v>59</v>
      </c>
      <c r="U1266" s="4">
        <f t="shared" si="1"/>
        <v>1.960073171</v>
      </c>
      <c r="V1266" s="4"/>
    </row>
    <row r="1267">
      <c r="A1267" s="1" t="s">
        <v>17618</v>
      </c>
      <c r="B1267" s="1" t="s">
        <v>17619</v>
      </c>
      <c r="C1267" s="1" t="s">
        <v>17620</v>
      </c>
      <c r="D1267" s="1" t="s">
        <v>17610</v>
      </c>
      <c r="E1267" s="1" t="s">
        <v>17611</v>
      </c>
      <c r="F1267" s="1">
        <v>769800.0</v>
      </c>
      <c r="G1267" s="1">
        <v>38218.0</v>
      </c>
      <c r="H1267" s="1">
        <v>3807.0</v>
      </c>
      <c r="I1267" s="1">
        <v>3520000.0</v>
      </c>
      <c r="J1267" s="1" t="s">
        <v>2468</v>
      </c>
      <c r="K1267" s="5">
        <f t="shared" si="2"/>
        <v>0.2186931818</v>
      </c>
      <c r="L1267" s="6">
        <f t="shared" si="3"/>
        <v>91</v>
      </c>
      <c r="M1267" s="6">
        <f t="shared" si="4"/>
        <v>8459.340659</v>
      </c>
      <c r="N1267" s="7">
        <f t="shared" si="5"/>
        <v>0.002403221778</v>
      </c>
      <c r="O1267" s="7"/>
      <c r="P1267" s="4">
        <f t="shared" si="6"/>
        <v>1.243215585</v>
      </c>
      <c r="Q1267" s="4">
        <f t="shared" si="7"/>
        <v>15</v>
      </c>
      <c r="R1267" s="4">
        <f t="shared" si="8"/>
        <v>0</v>
      </c>
      <c r="S1267" s="4">
        <f t="shared" si="9"/>
        <v>1.243215585</v>
      </c>
      <c r="T1267" s="4">
        <f t="shared" si="10"/>
        <v>63</v>
      </c>
      <c r="U1267" s="4">
        <f t="shared" si="1"/>
        <v>1.243215585</v>
      </c>
      <c r="V1267" s="4"/>
    </row>
    <row r="1268">
      <c r="A1268" s="1" t="s">
        <v>17621</v>
      </c>
      <c r="B1268" s="1" t="s">
        <v>17622</v>
      </c>
      <c r="C1268" s="1" t="s">
        <v>17623</v>
      </c>
      <c r="D1268" s="1" t="s">
        <v>17610</v>
      </c>
      <c r="E1268" s="1" t="s">
        <v>17611</v>
      </c>
      <c r="F1268" s="1">
        <v>1987536.0</v>
      </c>
      <c r="G1268" s="1">
        <v>80452.0</v>
      </c>
      <c r="H1268" s="1">
        <v>6800.0</v>
      </c>
      <c r="I1268" s="1">
        <v>3520000.0</v>
      </c>
      <c r="J1268" s="1" t="s">
        <v>2468</v>
      </c>
      <c r="K1268" s="5">
        <f t="shared" si="2"/>
        <v>0.5646409091</v>
      </c>
      <c r="L1268" s="6">
        <f t="shared" si="3"/>
        <v>105</v>
      </c>
      <c r="M1268" s="6">
        <f t="shared" si="4"/>
        <v>18928.91429</v>
      </c>
      <c r="N1268" s="7">
        <f t="shared" si="5"/>
        <v>0.005377532468</v>
      </c>
      <c r="O1268" s="7"/>
      <c r="P1268" s="4">
        <f t="shared" si="6"/>
        <v>3.338211255</v>
      </c>
      <c r="Q1268" s="4">
        <f t="shared" si="7"/>
        <v>15</v>
      </c>
      <c r="R1268" s="4">
        <f t="shared" si="8"/>
        <v>0</v>
      </c>
      <c r="S1268" s="4">
        <f t="shared" si="9"/>
        <v>3.338211255</v>
      </c>
      <c r="T1268" s="4">
        <f t="shared" si="10"/>
        <v>68</v>
      </c>
      <c r="U1268" s="4">
        <f t="shared" si="1"/>
        <v>3.338211255</v>
      </c>
      <c r="V1268" s="4"/>
    </row>
    <row r="1269">
      <c r="A1269" s="1" t="s">
        <v>17624</v>
      </c>
      <c r="B1269" s="1" t="s">
        <v>17625</v>
      </c>
      <c r="C1269" s="1" t="s">
        <v>17626</v>
      </c>
      <c r="D1269" s="1" t="s">
        <v>17610</v>
      </c>
      <c r="E1269" s="1" t="s">
        <v>17611</v>
      </c>
      <c r="F1269" s="1">
        <v>1457223.0</v>
      </c>
      <c r="G1269" s="1">
        <v>65770.0</v>
      </c>
      <c r="H1269" s="1">
        <v>5553.0</v>
      </c>
      <c r="I1269" s="1">
        <v>3520000.0</v>
      </c>
      <c r="J1269" s="1" t="s">
        <v>2468</v>
      </c>
      <c r="K1269" s="5">
        <f t="shared" si="2"/>
        <v>0.4139838068</v>
      </c>
      <c r="L1269" s="6">
        <f t="shared" si="3"/>
        <v>126</v>
      </c>
      <c r="M1269" s="6">
        <f t="shared" si="4"/>
        <v>11565.2619</v>
      </c>
      <c r="N1269" s="7">
        <f t="shared" si="5"/>
        <v>0.003285585768</v>
      </c>
      <c r="O1269" s="7"/>
      <c r="P1269" s="4">
        <f t="shared" si="6"/>
        <v>1.864720509</v>
      </c>
      <c r="Q1269" s="4">
        <f t="shared" si="7"/>
        <v>8</v>
      </c>
      <c r="R1269" s="4">
        <f t="shared" si="8"/>
        <v>0</v>
      </c>
      <c r="S1269" s="4">
        <f t="shared" si="9"/>
        <v>1.864720509</v>
      </c>
      <c r="T1269" s="4">
        <f t="shared" si="10"/>
        <v>34</v>
      </c>
      <c r="U1269" s="4">
        <f t="shared" si="1"/>
        <v>1.864720509</v>
      </c>
      <c r="V1269" s="4"/>
    </row>
    <row r="1270">
      <c r="A1270" s="1" t="s">
        <v>17627</v>
      </c>
      <c r="B1270" s="1" t="s">
        <v>17628</v>
      </c>
      <c r="C1270" s="1" t="s">
        <v>17629</v>
      </c>
      <c r="D1270" s="1" t="s">
        <v>17610</v>
      </c>
      <c r="E1270" s="1" t="s">
        <v>17611</v>
      </c>
      <c r="F1270" s="1">
        <v>1009306.0</v>
      </c>
      <c r="G1270" s="1">
        <v>51557.0</v>
      </c>
      <c r="H1270" s="1">
        <v>4275.0</v>
      </c>
      <c r="I1270" s="1">
        <v>3520000.0</v>
      </c>
      <c r="J1270" s="1" t="s">
        <v>2468</v>
      </c>
      <c r="K1270" s="5">
        <f t="shared" si="2"/>
        <v>0.2867346591</v>
      </c>
      <c r="L1270" s="6">
        <f t="shared" si="3"/>
        <v>140</v>
      </c>
      <c r="M1270" s="6">
        <f t="shared" si="4"/>
        <v>7209.328571</v>
      </c>
      <c r="N1270" s="7">
        <f t="shared" si="5"/>
        <v>0.002048104708</v>
      </c>
      <c r="O1270" s="7"/>
      <c r="P1270" s="4">
        <f t="shared" si="6"/>
        <v>0.9930841087</v>
      </c>
      <c r="Q1270" s="4">
        <f t="shared" si="7"/>
        <v>12</v>
      </c>
      <c r="R1270" s="4">
        <f t="shared" si="8"/>
        <v>0</v>
      </c>
      <c r="S1270" s="4">
        <f t="shared" si="9"/>
        <v>0.9930841087</v>
      </c>
      <c r="T1270" s="4">
        <f t="shared" si="10"/>
        <v>57</v>
      </c>
      <c r="U1270" s="4">
        <f t="shared" si="1"/>
        <v>0.9930841087</v>
      </c>
      <c r="V1270" s="4"/>
    </row>
    <row r="1271">
      <c r="A1271" s="1" t="s">
        <v>17630</v>
      </c>
      <c r="B1271" s="1" t="s">
        <v>17631</v>
      </c>
      <c r="C1271" s="1" t="s">
        <v>17632</v>
      </c>
      <c r="D1271" s="1" t="s">
        <v>17610</v>
      </c>
      <c r="E1271" s="1" t="s">
        <v>17611</v>
      </c>
      <c r="F1271" s="1">
        <v>1353341.0</v>
      </c>
      <c r="G1271" s="1">
        <v>66876.0</v>
      </c>
      <c r="H1271" s="1">
        <v>6737.0</v>
      </c>
      <c r="I1271" s="1">
        <v>3520000.0</v>
      </c>
      <c r="J1271" s="1" t="s">
        <v>2468</v>
      </c>
      <c r="K1271" s="5">
        <f t="shared" si="2"/>
        <v>0.384471875</v>
      </c>
      <c r="L1271" s="6">
        <f t="shared" si="3"/>
        <v>154</v>
      </c>
      <c r="M1271" s="6">
        <f t="shared" si="4"/>
        <v>8787.928571</v>
      </c>
      <c r="N1271" s="7">
        <f t="shared" si="5"/>
        <v>0.002496570617</v>
      </c>
      <c r="O1271" s="7"/>
      <c r="P1271" s="4">
        <f t="shared" si="6"/>
        <v>1.308967093</v>
      </c>
      <c r="Q1271" s="4">
        <f t="shared" si="7"/>
        <v>10</v>
      </c>
      <c r="R1271" s="4">
        <f t="shared" si="8"/>
        <v>0</v>
      </c>
      <c r="S1271" s="4">
        <f t="shared" si="9"/>
        <v>1.308967093</v>
      </c>
      <c r="T1271" s="4">
        <f t="shared" si="10"/>
        <v>63</v>
      </c>
      <c r="U1271" s="4">
        <f t="shared" si="1"/>
        <v>1.308967093</v>
      </c>
      <c r="V1271" s="4"/>
    </row>
    <row r="1272">
      <c r="A1272" s="1" t="s">
        <v>17633</v>
      </c>
      <c r="B1272" s="1" t="s">
        <v>17634</v>
      </c>
      <c r="C1272" s="1" t="s">
        <v>17635</v>
      </c>
      <c r="D1272" s="1" t="s">
        <v>17610</v>
      </c>
      <c r="E1272" s="1" t="s">
        <v>17611</v>
      </c>
      <c r="F1272" s="1">
        <v>470611.0</v>
      </c>
      <c r="G1272" s="1">
        <v>32182.0</v>
      </c>
      <c r="H1272" s="1">
        <v>3640.0</v>
      </c>
      <c r="I1272" s="1">
        <v>3520000.0</v>
      </c>
      <c r="J1272" s="1" t="s">
        <v>2468</v>
      </c>
      <c r="K1272" s="5">
        <f t="shared" si="2"/>
        <v>0.1336963068</v>
      </c>
      <c r="L1272" s="6">
        <f t="shared" si="3"/>
        <v>168</v>
      </c>
      <c r="M1272" s="6">
        <f t="shared" si="4"/>
        <v>2801.255952</v>
      </c>
      <c r="N1272" s="7">
        <f t="shared" si="5"/>
        <v>0.0007958113501</v>
      </c>
      <c r="O1272" s="7"/>
      <c r="P1272" s="4">
        <f t="shared" si="6"/>
        <v>0.1110144679</v>
      </c>
      <c r="Q1272" s="4">
        <f t="shared" si="7"/>
        <v>11</v>
      </c>
      <c r="R1272" s="4">
        <f t="shared" si="8"/>
        <v>0</v>
      </c>
      <c r="S1272" s="4">
        <f t="shared" si="9"/>
        <v>0.1110144679</v>
      </c>
      <c r="T1272" s="4">
        <f t="shared" si="10"/>
        <v>50</v>
      </c>
      <c r="U1272" s="4">
        <f t="shared" si="1"/>
        <v>0.1110144679</v>
      </c>
      <c r="V1272" s="4"/>
    </row>
    <row r="1273">
      <c r="A1273" s="1" t="s">
        <v>17636</v>
      </c>
      <c r="B1273" s="1" t="s">
        <v>17637</v>
      </c>
      <c r="C1273" s="1" t="s">
        <v>17638</v>
      </c>
      <c r="D1273" s="1" t="s">
        <v>17610</v>
      </c>
      <c r="E1273" s="1" t="s">
        <v>17611</v>
      </c>
      <c r="F1273" s="1">
        <v>663782.0</v>
      </c>
      <c r="G1273" s="1">
        <v>42638.0</v>
      </c>
      <c r="H1273" s="1">
        <v>4966.0</v>
      </c>
      <c r="I1273" s="1">
        <v>3520000.0</v>
      </c>
      <c r="J1273" s="1" t="s">
        <v>2468</v>
      </c>
      <c r="K1273" s="5">
        <f t="shared" si="2"/>
        <v>0.1885744318</v>
      </c>
      <c r="L1273" s="6">
        <f t="shared" si="3"/>
        <v>182</v>
      </c>
      <c r="M1273" s="6">
        <f t="shared" si="4"/>
        <v>3647.153846</v>
      </c>
      <c r="N1273" s="7">
        <f t="shared" si="5"/>
        <v>0.001036123252</v>
      </c>
      <c r="O1273" s="7"/>
      <c r="P1273" s="4">
        <f t="shared" si="6"/>
        <v>0.2802813825</v>
      </c>
      <c r="Q1273" s="4">
        <f t="shared" si="7"/>
        <v>13</v>
      </c>
      <c r="R1273" s="4">
        <f t="shared" si="8"/>
        <v>0</v>
      </c>
      <c r="S1273" s="4">
        <f t="shared" si="9"/>
        <v>0.2802813825</v>
      </c>
      <c r="T1273" s="4">
        <f t="shared" si="10"/>
        <v>54</v>
      </c>
      <c r="U1273" s="4">
        <f t="shared" si="1"/>
        <v>0.2802813825</v>
      </c>
      <c r="V1273" s="4"/>
    </row>
    <row r="1274">
      <c r="A1274" s="1" t="s">
        <v>17639</v>
      </c>
      <c r="B1274" s="1" t="s">
        <v>17640</v>
      </c>
      <c r="C1274" s="1" t="s">
        <v>17641</v>
      </c>
      <c r="D1274" s="1" t="s">
        <v>17610</v>
      </c>
      <c r="E1274" s="1" t="s">
        <v>17611</v>
      </c>
      <c r="F1274" s="1">
        <v>1036395.0</v>
      </c>
      <c r="G1274" s="1">
        <v>59009.0</v>
      </c>
      <c r="H1274" s="1">
        <v>6112.0</v>
      </c>
      <c r="I1274" s="1">
        <v>3520000.0</v>
      </c>
      <c r="J1274" s="1" t="s">
        <v>2468</v>
      </c>
      <c r="K1274" s="5">
        <f t="shared" si="2"/>
        <v>0.2944303977</v>
      </c>
      <c r="L1274" s="6">
        <f t="shared" si="3"/>
        <v>196</v>
      </c>
      <c r="M1274" s="6">
        <f t="shared" si="4"/>
        <v>5287.729592</v>
      </c>
      <c r="N1274" s="7">
        <f t="shared" si="5"/>
        <v>0.001502195907</v>
      </c>
      <c r="O1274" s="7"/>
      <c r="P1274" s="4">
        <f t="shared" si="6"/>
        <v>0.6085659149</v>
      </c>
      <c r="Q1274" s="4">
        <f t="shared" si="7"/>
        <v>10</v>
      </c>
      <c r="R1274" s="4">
        <f t="shared" si="8"/>
        <v>0</v>
      </c>
      <c r="S1274" s="4">
        <f t="shared" si="9"/>
        <v>0.6085659149</v>
      </c>
      <c r="T1274" s="4">
        <f t="shared" si="10"/>
        <v>44</v>
      </c>
      <c r="U1274" s="4">
        <f t="shared" si="1"/>
        <v>0.6085659149</v>
      </c>
      <c r="V1274" s="4"/>
    </row>
    <row r="1275">
      <c r="A1275" s="1" t="s">
        <v>17642</v>
      </c>
      <c r="B1275" s="1" t="s">
        <v>17643</v>
      </c>
      <c r="C1275" s="1" t="s">
        <v>17644</v>
      </c>
      <c r="D1275" s="1" t="s">
        <v>17610</v>
      </c>
      <c r="E1275" s="1" t="s">
        <v>17611</v>
      </c>
      <c r="F1275" s="1">
        <v>1272391.0</v>
      </c>
      <c r="G1275" s="1">
        <v>71320.0</v>
      </c>
      <c r="H1275" s="1">
        <v>7785.0</v>
      </c>
      <c r="I1275" s="1">
        <v>3520000.0</v>
      </c>
      <c r="J1275" s="1" t="s">
        <v>2468</v>
      </c>
      <c r="K1275" s="5">
        <f t="shared" si="2"/>
        <v>0.3614747159</v>
      </c>
      <c r="L1275" s="6">
        <f t="shared" si="3"/>
        <v>210</v>
      </c>
      <c r="M1275" s="6">
        <f t="shared" si="4"/>
        <v>6059.004762</v>
      </c>
      <c r="N1275" s="7">
        <f t="shared" si="5"/>
        <v>0.001721308171</v>
      </c>
      <c r="O1275" s="7"/>
      <c r="P1275" s="4">
        <f t="shared" si="6"/>
        <v>0.7629005802</v>
      </c>
      <c r="Q1275" s="4">
        <f t="shared" si="7"/>
        <v>12</v>
      </c>
      <c r="R1275" s="4">
        <f t="shared" si="8"/>
        <v>0</v>
      </c>
      <c r="S1275" s="4">
        <f t="shared" si="9"/>
        <v>0.7629005802</v>
      </c>
      <c r="T1275" s="4">
        <f t="shared" si="10"/>
        <v>65</v>
      </c>
      <c r="U1275" s="4">
        <f t="shared" si="1"/>
        <v>0.7629005802</v>
      </c>
      <c r="V1275" s="4"/>
    </row>
    <row r="1276">
      <c r="A1276" s="1" t="s">
        <v>17645</v>
      </c>
      <c r="B1276" s="1" t="s">
        <v>17646</v>
      </c>
      <c r="C1276" s="1" t="s">
        <v>17647</v>
      </c>
      <c r="D1276" s="1" t="s">
        <v>17610</v>
      </c>
      <c r="E1276" s="1" t="s">
        <v>17611</v>
      </c>
      <c r="F1276" s="1">
        <v>869353.0</v>
      </c>
      <c r="G1276" s="1">
        <v>53650.0</v>
      </c>
      <c r="H1276" s="1">
        <v>5059.0</v>
      </c>
      <c r="I1276" s="1">
        <v>3520000.0</v>
      </c>
      <c r="J1276" s="1" t="s">
        <v>2468</v>
      </c>
      <c r="K1276" s="5">
        <f t="shared" si="2"/>
        <v>0.2469752841</v>
      </c>
      <c r="L1276" s="6">
        <f t="shared" si="3"/>
        <v>224</v>
      </c>
      <c r="M1276" s="6">
        <f t="shared" si="4"/>
        <v>3881.040179</v>
      </c>
      <c r="N1276" s="7">
        <f t="shared" si="5"/>
        <v>0.001102568233</v>
      </c>
      <c r="O1276" s="7"/>
      <c r="P1276" s="4">
        <f t="shared" si="6"/>
        <v>0.3270827968</v>
      </c>
      <c r="Q1276" s="4">
        <f t="shared" si="7"/>
        <v>11</v>
      </c>
      <c r="R1276" s="4">
        <f t="shared" si="8"/>
        <v>0</v>
      </c>
      <c r="S1276" s="4">
        <f t="shared" si="9"/>
        <v>0.3270827968</v>
      </c>
      <c r="T1276" s="4">
        <f t="shared" si="10"/>
        <v>53</v>
      </c>
      <c r="U1276" s="4">
        <f t="shared" si="1"/>
        <v>0.3270827968</v>
      </c>
      <c r="V1276" s="4"/>
    </row>
    <row r="1277">
      <c r="A1277" s="1" t="s">
        <v>17648</v>
      </c>
      <c r="B1277" s="1" t="s">
        <v>17649</v>
      </c>
      <c r="C1277" s="1" t="s">
        <v>17650</v>
      </c>
      <c r="D1277" s="1" t="s">
        <v>17610</v>
      </c>
      <c r="E1277" s="1" t="s">
        <v>17611</v>
      </c>
      <c r="F1277" s="1">
        <v>990109.0</v>
      </c>
      <c r="G1277" s="1">
        <v>54201.0</v>
      </c>
      <c r="H1277" s="1">
        <v>6657.0</v>
      </c>
      <c r="I1277" s="1">
        <v>3520000.0</v>
      </c>
      <c r="J1277" s="1" t="s">
        <v>2468</v>
      </c>
      <c r="K1277" s="5">
        <f t="shared" si="2"/>
        <v>0.2812809659</v>
      </c>
      <c r="L1277" s="6">
        <f t="shared" si="3"/>
        <v>233</v>
      </c>
      <c r="M1277" s="6">
        <f t="shared" si="4"/>
        <v>4249.39485</v>
      </c>
      <c r="N1277" s="7">
        <f t="shared" si="5"/>
        <v>0.001207214446</v>
      </c>
      <c r="O1277" s="7"/>
      <c r="P1277" s="4">
        <f t="shared" si="6"/>
        <v>0.4007917623</v>
      </c>
      <c r="Q1277" s="4">
        <f t="shared" si="7"/>
        <v>11</v>
      </c>
      <c r="R1277" s="4">
        <f t="shared" si="8"/>
        <v>0</v>
      </c>
      <c r="S1277" s="4">
        <f t="shared" si="9"/>
        <v>0.4007917623</v>
      </c>
      <c r="T1277" s="4">
        <f t="shared" si="10"/>
        <v>53</v>
      </c>
      <c r="U1277" s="4">
        <f t="shared" si="1"/>
        <v>0.4007917623</v>
      </c>
      <c r="V1277" s="4"/>
    </row>
    <row r="1278">
      <c r="A1278" s="1" t="s">
        <v>17651</v>
      </c>
      <c r="B1278" s="1" t="s">
        <v>17652</v>
      </c>
      <c r="C1278" s="1" t="s">
        <v>17653</v>
      </c>
      <c r="D1278" s="1" t="s">
        <v>17610</v>
      </c>
      <c r="E1278" s="1" t="s">
        <v>17611</v>
      </c>
      <c r="F1278" s="1">
        <v>1163302.0</v>
      </c>
      <c r="G1278" s="1">
        <v>16745.0</v>
      </c>
      <c r="H1278" s="1">
        <v>1374.0</v>
      </c>
      <c r="I1278" s="1">
        <v>3520000.0</v>
      </c>
      <c r="J1278" s="1" t="s">
        <v>2468</v>
      </c>
      <c r="K1278" s="5">
        <f t="shared" si="2"/>
        <v>0.3304835227</v>
      </c>
      <c r="L1278" s="6">
        <f t="shared" si="3"/>
        <v>259</v>
      </c>
      <c r="M1278" s="6">
        <f t="shared" si="4"/>
        <v>4491.513514</v>
      </c>
      <c r="N1278" s="7">
        <f t="shared" si="5"/>
        <v>0.001275998157</v>
      </c>
      <c r="O1278" s="7"/>
      <c r="P1278" s="4">
        <f t="shared" si="6"/>
        <v>0.4492404929</v>
      </c>
      <c r="Q1278" s="4">
        <f t="shared" si="7"/>
        <v>6</v>
      </c>
      <c r="R1278" s="4">
        <f t="shared" si="8"/>
        <v>0</v>
      </c>
      <c r="S1278" s="4">
        <f t="shared" si="9"/>
        <v>0.4492404929</v>
      </c>
      <c r="T1278" s="4">
        <f t="shared" si="10"/>
        <v>32</v>
      </c>
      <c r="U1278" s="4">
        <f t="shared" si="1"/>
        <v>0.4492404929</v>
      </c>
      <c r="V1278" s="4"/>
    </row>
    <row r="1279">
      <c r="A1279" s="1" t="s">
        <v>17654</v>
      </c>
      <c r="B1279" s="1" t="s">
        <v>17655</v>
      </c>
      <c r="C1279" s="1" t="s">
        <v>17656</v>
      </c>
      <c r="D1279" s="1" t="s">
        <v>17610</v>
      </c>
      <c r="E1279" s="1" t="s">
        <v>17611</v>
      </c>
      <c r="F1279" s="1">
        <v>1301308.0</v>
      </c>
      <c r="G1279" s="1">
        <v>54591.0</v>
      </c>
      <c r="H1279" s="1">
        <v>5219.0</v>
      </c>
      <c r="I1279" s="1">
        <v>3520000.0</v>
      </c>
      <c r="J1279" s="1" t="s">
        <v>2468</v>
      </c>
      <c r="K1279" s="5">
        <f t="shared" si="2"/>
        <v>0.3696897727</v>
      </c>
      <c r="L1279" s="6">
        <f t="shared" si="3"/>
        <v>266</v>
      </c>
      <c r="M1279" s="6">
        <f t="shared" si="4"/>
        <v>4892.135338</v>
      </c>
      <c r="N1279" s="7">
        <f t="shared" si="5"/>
        <v>0.001389811176</v>
      </c>
      <c r="O1279" s="7"/>
      <c r="P1279" s="4">
        <f t="shared" si="6"/>
        <v>0.5294062206</v>
      </c>
      <c r="Q1279" s="4">
        <f t="shared" si="7"/>
        <v>11</v>
      </c>
      <c r="R1279" s="4">
        <f t="shared" si="8"/>
        <v>0</v>
      </c>
      <c r="S1279" s="4">
        <f t="shared" si="9"/>
        <v>0.5294062206</v>
      </c>
      <c r="T1279" s="4">
        <f t="shared" si="10"/>
        <v>51</v>
      </c>
      <c r="U1279" s="4">
        <f t="shared" si="1"/>
        <v>0.5294062206</v>
      </c>
      <c r="V1279" s="4"/>
    </row>
    <row r="1280">
      <c r="A1280" s="1" t="s">
        <v>17657</v>
      </c>
      <c r="B1280" s="1" t="s">
        <v>17658</v>
      </c>
      <c r="C1280" s="1" t="s">
        <v>17659</v>
      </c>
      <c r="D1280" s="1" t="s">
        <v>17610</v>
      </c>
      <c r="E1280" s="1" t="s">
        <v>17611</v>
      </c>
      <c r="F1280" s="1">
        <v>1621020.0</v>
      </c>
      <c r="G1280" s="1">
        <v>77037.0</v>
      </c>
      <c r="H1280" s="1">
        <v>7903.0</v>
      </c>
      <c r="I1280" s="1">
        <v>3520000.0</v>
      </c>
      <c r="J1280" s="1" t="s">
        <v>2468</v>
      </c>
      <c r="K1280" s="5">
        <f t="shared" si="2"/>
        <v>0.4605170455</v>
      </c>
      <c r="L1280" s="6">
        <f t="shared" si="3"/>
        <v>282</v>
      </c>
      <c r="M1280" s="6">
        <f t="shared" si="4"/>
        <v>5748.297872</v>
      </c>
      <c r="N1280" s="7">
        <f t="shared" si="5"/>
        <v>0.001633039168</v>
      </c>
      <c r="O1280" s="7"/>
      <c r="P1280" s="4">
        <f t="shared" si="6"/>
        <v>0.7007271229</v>
      </c>
      <c r="Q1280" s="4">
        <f t="shared" si="7"/>
        <v>16</v>
      </c>
      <c r="R1280" s="4">
        <f t="shared" si="8"/>
        <v>1</v>
      </c>
      <c r="S1280" s="4">
        <f t="shared" si="9"/>
        <v>0.7007271229</v>
      </c>
      <c r="T1280" s="4">
        <f t="shared" si="10"/>
        <v>63</v>
      </c>
      <c r="U1280" s="4">
        <f t="shared" si="1"/>
        <v>0.7007271229</v>
      </c>
      <c r="V1280" s="4"/>
    </row>
    <row r="1281">
      <c r="A1281" s="1" t="s">
        <v>17660</v>
      </c>
      <c r="B1281" s="1" t="s">
        <v>17661</v>
      </c>
      <c r="C1281" s="1" t="s">
        <v>17662</v>
      </c>
      <c r="D1281" s="1" t="s">
        <v>17610</v>
      </c>
      <c r="E1281" s="1" t="s">
        <v>17611</v>
      </c>
      <c r="F1281" s="1">
        <v>1597401.0</v>
      </c>
      <c r="G1281" s="1">
        <v>70156.0</v>
      </c>
      <c r="H1281" s="1">
        <v>6389.0</v>
      </c>
      <c r="I1281" s="1">
        <v>3520000.0</v>
      </c>
      <c r="J1281" s="1" t="s">
        <v>2468</v>
      </c>
      <c r="K1281" s="5">
        <f t="shared" si="2"/>
        <v>0.4538071023</v>
      </c>
      <c r="L1281" s="6">
        <f t="shared" si="3"/>
        <v>294</v>
      </c>
      <c r="M1281" s="6">
        <f t="shared" si="4"/>
        <v>5433.336735</v>
      </c>
      <c r="N1281" s="7">
        <f t="shared" si="5"/>
        <v>0.001543561572</v>
      </c>
      <c r="O1281" s="7"/>
      <c r="P1281" s="4">
        <f t="shared" si="6"/>
        <v>0.6377023768</v>
      </c>
      <c r="Q1281" s="4">
        <f t="shared" si="7"/>
        <v>9</v>
      </c>
      <c r="R1281" s="4">
        <f t="shared" si="8"/>
        <v>1</v>
      </c>
      <c r="S1281" s="4">
        <f t="shared" si="9"/>
        <v>0.6377023768</v>
      </c>
      <c r="T1281" s="4">
        <f t="shared" si="10"/>
        <v>41</v>
      </c>
      <c r="U1281" s="4">
        <f t="shared" si="1"/>
        <v>0.6377023768</v>
      </c>
      <c r="V1281" s="4"/>
    </row>
    <row r="1282">
      <c r="A1282" s="1" t="s">
        <v>17663</v>
      </c>
      <c r="B1282" s="1" t="s">
        <v>17664</v>
      </c>
      <c r="C1282" s="1" t="s">
        <v>17665</v>
      </c>
      <c r="D1282" s="1" t="s">
        <v>17610</v>
      </c>
      <c r="E1282" s="1" t="s">
        <v>17611</v>
      </c>
      <c r="F1282" s="1">
        <v>1371245.0</v>
      </c>
      <c r="G1282" s="1">
        <v>72864.0</v>
      </c>
      <c r="H1282" s="1">
        <v>4966.0</v>
      </c>
      <c r="I1282" s="1">
        <v>3520000.0</v>
      </c>
      <c r="J1282" s="1" t="s">
        <v>2468</v>
      </c>
      <c r="K1282" s="5">
        <f t="shared" si="2"/>
        <v>0.3895582386</v>
      </c>
      <c r="L1282" s="6">
        <f t="shared" si="3"/>
        <v>308</v>
      </c>
      <c r="M1282" s="6">
        <f t="shared" si="4"/>
        <v>4452.094156</v>
      </c>
      <c r="N1282" s="7">
        <f t="shared" si="5"/>
        <v>0.001264799476</v>
      </c>
      <c r="O1282" s="7"/>
      <c r="P1282" s="4">
        <f t="shared" si="6"/>
        <v>0.4413525515</v>
      </c>
      <c r="Q1282" s="4">
        <f t="shared" si="7"/>
        <v>8</v>
      </c>
      <c r="R1282" s="4">
        <f t="shared" si="8"/>
        <v>0</v>
      </c>
      <c r="S1282" s="4">
        <f t="shared" si="9"/>
        <v>0.4413525515</v>
      </c>
      <c r="T1282" s="4">
        <f t="shared" si="10"/>
        <v>44</v>
      </c>
      <c r="U1282" s="4">
        <f t="shared" si="1"/>
        <v>0.4413525515</v>
      </c>
      <c r="V1282" s="4"/>
    </row>
    <row r="1283">
      <c r="A1283" s="1" t="s">
        <v>17666</v>
      </c>
      <c r="B1283" s="1" t="s">
        <v>17667</v>
      </c>
      <c r="C1283" s="1" t="s">
        <v>17668</v>
      </c>
      <c r="D1283" s="1" t="s">
        <v>17610</v>
      </c>
      <c r="E1283" s="1" t="s">
        <v>17611</v>
      </c>
      <c r="F1283" s="1">
        <v>604476.0</v>
      </c>
      <c r="G1283" s="1">
        <v>40373.0</v>
      </c>
      <c r="H1283" s="1">
        <v>3689.0</v>
      </c>
      <c r="I1283" s="1">
        <v>3520000.0</v>
      </c>
      <c r="J1283" s="1" t="s">
        <v>2468</v>
      </c>
      <c r="K1283" s="5">
        <f t="shared" si="2"/>
        <v>0.1717261364</v>
      </c>
      <c r="L1283" s="6">
        <f t="shared" si="3"/>
        <v>322</v>
      </c>
      <c r="M1283" s="6">
        <f t="shared" si="4"/>
        <v>1877.254658</v>
      </c>
      <c r="N1283" s="7">
        <f t="shared" si="5"/>
        <v>0.0005333109825</v>
      </c>
      <c r="O1283" s="7"/>
      <c r="P1283" s="4">
        <f t="shared" si="6"/>
        <v>-0.07388119055</v>
      </c>
      <c r="Q1283" s="4">
        <f t="shared" si="7"/>
        <v>9</v>
      </c>
      <c r="R1283" s="4">
        <f t="shared" si="8"/>
        <v>0</v>
      </c>
      <c r="S1283" s="4">
        <f t="shared" si="9"/>
        <v>-0.07388119055</v>
      </c>
      <c r="T1283" s="4">
        <f t="shared" si="10"/>
        <v>57</v>
      </c>
      <c r="U1283" s="4">
        <f t="shared" si="1"/>
        <v>-0.07388119055</v>
      </c>
      <c r="V1283" s="4"/>
    </row>
    <row r="1284">
      <c r="A1284" s="1" t="s">
        <v>17669</v>
      </c>
      <c r="B1284" s="1" t="s">
        <v>17670</v>
      </c>
      <c r="C1284" s="1" t="s">
        <v>17671</v>
      </c>
      <c r="D1284" s="1" t="s">
        <v>17610</v>
      </c>
      <c r="E1284" s="1" t="s">
        <v>17611</v>
      </c>
      <c r="F1284" s="1">
        <v>951210.0</v>
      </c>
      <c r="G1284" s="1">
        <v>67883.0</v>
      </c>
      <c r="H1284" s="1">
        <v>11241.0</v>
      </c>
      <c r="I1284" s="1">
        <v>3520000.0</v>
      </c>
      <c r="J1284" s="1" t="s">
        <v>2468</v>
      </c>
      <c r="K1284" s="5">
        <f t="shared" si="2"/>
        <v>0.2702301136</v>
      </c>
      <c r="L1284" s="6">
        <f t="shared" si="3"/>
        <v>336</v>
      </c>
      <c r="M1284" s="6">
        <f t="shared" si="4"/>
        <v>2830.982143</v>
      </c>
      <c r="N1284" s="7">
        <f t="shared" si="5"/>
        <v>0.0008042562906</v>
      </c>
      <c r="O1284" s="7"/>
      <c r="P1284" s="4">
        <f t="shared" si="6"/>
        <v>0.1169627751</v>
      </c>
      <c r="Q1284" s="4">
        <f t="shared" si="7"/>
        <v>7</v>
      </c>
      <c r="R1284" s="4">
        <f t="shared" si="8"/>
        <v>0</v>
      </c>
      <c r="S1284" s="4">
        <f t="shared" si="9"/>
        <v>0.1169627751</v>
      </c>
      <c r="T1284" s="4">
        <f t="shared" si="10"/>
        <v>28</v>
      </c>
      <c r="U1284" s="4">
        <f t="shared" si="1"/>
        <v>0.1169627751</v>
      </c>
      <c r="V1284" s="4"/>
    </row>
    <row r="1285">
      <c r="A1285" s="1" t="s">
        <v>17672</v>
      </c>
      <c r="B1285" s="1" t="s">
        <v>17673</v>
      </c>
      <c r="C1285" s="1" t="s">
        <v>17674</v>
      </c>
      <c r="D1285" s="1" t="s">
        <v>17610</v>
      </c>
      <c r="E1285" s="1" t="s">
        <v>17611</v>
      </c>
      <c r="F1285" s="1">
        <v>912388.0</v>
      </c>
      <c r="G1285" s="1">
        <v>67317.0</v>
      </c>
      <c r="H1285" s="1">
        <v>8550.0</v>
      </c>
      <c r="I1285" s="1">
        <v>3520000.0</v>
      </c>
      <c r="J1285" s="1" t="s">
        <v>2468</v>
      </c>
      <c r="K1285" s="5">
        <f t="shared" si="2"/>
        <v>0.2592011364</v>
      </c>
      <c r="L1285" s="6">
        <f t="shared" si="3"/>
        <v>350</v>
      </c>
      <c r="M1285" s="6">
        <f t="shared" si="4"/>
        <v>2606.822857</v>
      </c>
      <c r="N1285" s="7">
        <f t="shared" si="5"/>
        <v>0.0007405746753</v>
      </c>
      <c r="O1285" s="7"/>
      <c r="P1285" s="4">
        <f t="shared" si="6"/>
        <v>0.07210777438</v>
      </c>
      <c r="Q1285" s="4">
        <f t="shared" si="7"/>
        <v>7</v>
      </c>
      <c r="R1285" s="4">
        <f t="shared" si="8"/>
        <v>1</v>
      </c>
      <c r="S1285" s="4">
        <f t="shared" si="9"/>
        <v>0.07210777438</v>
      </c>
      <c r="T1285" s="4">
        <f t="shared" si="10"/>
        <v>37</v>
      </c>
      <c r="U1285" s="4">
        <f t="shared" si="1"/>
        <v>0.07210777438</v>
      </c>
      <c r="V1285" s="4"/>
    </row>
    <row r="1286">
      <c r="A1286" s="1" t="s">
        <v>17675</v>
      </c>
      <c r="B1286" s="1" t="s">
        <v>17676</v>
      </c>
      <c r="C1286" s="1" t="s">
        <v>17677</v>
      </c>
      <c r="D1286" s="1" t="s">
        <v>17610</v>
      </c>
      <c r="E1286" s="1" t="s">
        <v>17611</v>
      </c>
      <c r="F1286" s="1">
        <v>191811.0</v>
      </c>
      <c r="G1286" s="1">
        <v>13136.0</v>
      </c>
      <c r="H1286" s="1">
        <v>1295.0</v>
      </c>
      <c r="I1286" s="1">
        <v>3520000.0</v>
      </c>
      <c r="J1286" s="1" t="s">
        <v>2468</v>
      </c>
      <c r="K1286" s="5">
        <f t="shared" si="2"/>
        <v>0.05449176136</v>
      </c>
      <c r="L1286" s="6">
        <f t="shared" si="3"/>
        <v>364</v>
      </c>
      <c r="M1286" s="6">
        <f t="shared" si="4"/>
        <v>526.9532967</v>
      </c>
      <c r="N1286" s="7">
        <f t="shared" si="5"/>
        <v>0.0001497026411</v>
      </c>
      <c r="O1286" s="7"/>
      <c r="P1286" s="4">
        <f t="shared" si="6"/>
        <v>-0.3440808764</v>
      </c>
      <c r="Q1286" s="4">
        <f t="shared" si="7"/>
        <v>9</v>
      </c>
      <c r="R1286" s="4">
        <f t="shared" si="8"/>
        <v>0</v>
      </c>
      <c r="S1286" s="4">
        <f t="shared" si="9"/>
        <v>-0.3440808764</v>
      </c>
      <c r="T1286" s="4">
        <f t="shared" si="10"/>
        <v>52</v>
      </c>
      <c r="U1286" s="4">
        <f t="shared" si="1"/>
        <v>-0.3440808764</v>
      </c>
      <c r="V1286" s="4"/>
    </row>
    <row r="1287">
      <c r="A1287" s="1" t="s">
        <v>17678</v>
      </c>
      <c r="B1287" s="1" t="s">
        <v>17679</v>
      </c>
      <c r="C1287" s="1" t="s">
        <v>17680</v>
      </c>
      <c r="D1287" s="1" t="s">
        <v>17610</v>
      </c>
      <c r="E1287" s="1" t="s">
        <v>17611</v>
      </c>
      <c r="F1287" s="1">
        <v>497267.0</v>
      </c>
      <c r="G1287" s="1">
        <v>21224.0</v>
      </c>
      <c r="H1287" s="1">
        <v>1676.0</v>
      </c>
      <c r="I1287" s="1">
        <v>3520000.0</v>
      </c>
      <c r="J1287" s="1" t="s">
        <v>2468</v>
      </c>
      <c r="K1287" s="5">
        <f t="shared" si="2"/>
        <v>0.1412690341</v>
      </c>
      <c r="L1287" s="6">
        <f t="shared" si="3"/>
        <v>385</v>
      </c>
      <c r="M1287" s="6">
        <f t="shared" si="4"/>
        <v>1291.602597</v>
      </c>
      <c r="N1287" s="7">
        <f t="shared" si="5"/>
        <v>0.0003669325561</v>
      </c>
      <c r="O1287" s="7"/>
      <c r="P1287" s="4">
        <f t="shared" si="6"/>
        <v>-0.1910720691</v>
      </c>
      <c r="Q1287" s="4">
        <f t="shared" si="7"/>
        <v>7</v>
      </c>
      <c r="R1287" s="4">
        <f t="shared" si="8"/>
        <v>1</v>
      </c>
      <c r="S1287" s="4">
        <f t="shared" si="9"/>
        <v>-0.1910720691</v>
      </c>
      <c r="T1287" s="4">
        <f t="shared" si="10"/>
        <v>33</v>
      </c>
      <c r="U1287" s="4">
        <f t="shared" si="1"/>
        <v>-0.1910720691</v>
      </c>
      <c r="V1287" s="4"/>
    </row>
    <row r="1288">
      <c r="A1288" s="1" t="s">
        <v>17681</v>
      </c>
      <c r="B1288" s="1" t="s">
        <v>17682</v>
      </c>
      <c r="C1288" s="1" t="s">
        <v>17683</v>
      </c>
      <c r="D1288" s="1" t="s">
        <v>17610</v>
      </c>
      <c r="E1288" s="1" t="s">
        <v>17611</v>
      </c>
      <c r="F1288" s="1">
        <v>714935.0</v>
      </c>
      <c r="G1288" s="1">
        <v>65163.0</v>
      </c>
      <c r="H1288" s="1">
        <v>3905.0</v>
      </c>
      <c r="I1288" s="1">
        <v>3520000.0</v>
      </c>
      <c r="J1288" s="1" t="s">
        <v>2468</v>
      </c>
      <c r="K1288" s="5">
        <f t="shared" si="2"/>
        <v>0.2031065341</v>
      </c>
      <c r="L1288" s="6">
        <f t="shared" si="3"/>
        <v>399</v>
      </c>
      <c r="M1288" s="6">
        <f t="shared" si="4"/>
        <v>1791.817043</v>
      </c>
      <c r="N1288" s="7">
        <f t="shared" si="5"/>
        <v>0.0005090389326</v>
      </c>
      <c r="O1288" s="7"/>
      <c r="P1288" s="4">
        <f t="shared" si="6"/>
        <v>-0.09097753481</v>
      </c>
      <c r="Q1288" s="4">
        <f t="shared" si="7"/>
        <v>6</v>
      </c>
      <c r="R1288" s="4">
        <f t="shared" si="8"/>
        <v>0</v>
      </c>
      <c r="S1288" s="4">
        <f t="shared" si="9"/>
        <v>-0.09097753481</v>
      </c>
      <c r="T1288" s="4">
        <f t="shared" si="10"/>
        <v>26</v>
      </c>
      <c r="U1288" s="4">
        <f t="shared" si="1"/>
        <v>-0.09097753481</v>
      </c>
      <c r="V1288" s="4"/>
    </row>
    <row r="1289">
      <c r="A1289" s="1" t="s">
        <v>17684</v>
      </c>
      <c r="B1289" s="1" t="s">
        <v>17685</v>
      </c>
      <c r="C1289" s="1" t="s">
        <v>17686</v>
      </c>
      <c r="D1289" s="1" t="s">
        <v>17610</v>
      </c>
      <c r="E1289" s="1" t="s">
        <v>17611</v>
      </c>
      <c r="F1289" s="1">
        <v>548035.0</v>
      </c>
      <c r="G1289" s="1">
        <v>59084.0</v>
      </c>
      <c r="H1289" s="1">
        <v>2586.0</v>
      </c>
      <c r="I1289" s="1">
        <v>3520000.0</v>
      </c>
      <c r="J1289" s="1" t="s">
        <v>2468</v>
      </c>
      <c r="K1289" s="5">
        <f t="shared" si="2"/>
        <v>0.1556917614</v>
      </c>
      <c r="L1289" s="6">
        <f t="shared" si="3"/>
        <v>413</v>
      </c>
      <c r="M1289" s="6">
        <f t="shared" si="4"/>
        <v>1326.961259</v>
      </c>
      <c r="N1289" s="7">
        <f t="shared" si="5"/>
        <v>0.0003769776304</v>
      </c>
      <c r="O1289" s="7"/>
      <c r="P1289" s="4">
        <f t="shared" si="6"/>
        <v>-0.1839966861</v>
      </c>
      <c r="Q1289" s="4">
        <f t="shared" si="7"/>
        <v>6</v>
      </c>
      <c r="R1289" s="4">
        <f t="shared" si="8"/>
        <v>1</v>
      </c>
      <c r="S1289" s="4">
        <f t="shared" si="9"/>
        <v>-0.1839966861</v>
      </c>
      <c r="T1289" s="4">
        <f t="shared" si="10"/>
        <v>22</v>
      </c>
      <c r="U1289" s="4">
        <f t="shared" si="1"/>
        <v>-0.1839966861</v>
      </c>
      <c r="V1289" s="4"/>
    </row>
    <row r="1290">
      <c r="A1290" s="1" t="s">
        <v>17687</v>
      </c>
      <c r="B1290" s="1" t="s">
        <v>17688</v>
      </c>
      <c r="C1290" s="1" t="s">
        <v>17689</v>
      </c>
      <c r="D1290" s="1" t="s">
        <v>17610</v>
      </c>
      <c r="E1290" s="1" t="s">
        <v>17611</v>
      </c>
      <c r="F1290" s="1">
        <v>472209.0</v>
      </c>
      <c r="G1290" s="1">
        <v>48812.0</v>
      </c>
      <c r="H1290" s="1">
        <v>2879.0</v>
      </c>
      <c r="I1290" s="1">
        <v>3520000.0</v>
      </c>
      <c r="J1290" s="1" t="s">
        <v>2468</v>
      </c>
      <c r="K1290" s="5">
        <f t="shared" si="2"/>
        <v>0.1341502841</v>
      </c>
      <c r="L1290" s="6">
        <f t="shared" si="3"/>
        <v>434</v>
      </c>
      <c r="M1290" s="6">
        <f t="shared" si="4"/>
        <v>1088.039171</v>
      </c>
      <c r="N1290" s="7">
        <f t="shared" si="5"/>
        <v>0.0003091020371</v>
      </c>
      <c r="O1290" s="7"/>
      <c r="P1290" s="4">
        <f t="shared" si="6"/>
        <v>-0.2318057717</v>
      </c>
      <c r="Q1290" s="4">
        <f t="shared" si="7"/>
        <v>10</v>
      </c>
      <c r="R1290" s="4">
        <f t="shared" si="8"/>
        <v>1</v>
      </c>
      <c r="S1290" s="4">
        <f t="shared" si="9"/>
        <v>-0.2318057717</v>
      </c>
      <c r="T1290" s="4">
        <f t="shared" si="10"/>
        <v>59</v>
      </c>
      <c r="U1290" s="4">
        <f t="shared" si="1"/>
        <v>-0.2318057717</v>
      </c>
      <c r="V1290" s="4"/>
    </row>
    <row r="1291">
      <c r="A1291" s="1" t="s">
        <v>17690</v>
      </c>
      <c r="B1291" s="1" t="s">
        <v>17691</v>
      </c>
      <c r="C1291" s="1" t="s">
        <v>17692</v>
      </c>
      <c r="D1291" s="1" t="s">
        <v>17610</v>
      </c>
      <c r="E1291" s="1" t="s">
        <v>17611</v>
      </c>
      <c r="F1291" s="1">
        <v>845392.0</v>
      </c>
      <c r="G1291" s="1">
        <v>33542.0</v>
      </c>
      <c r="H1291" s="1">
        <v>3499.0</v>
      </c>
      <c r="I1291" s="1">
        <v>3520000.0</v>
      </c>
      <c r="J1291" s="1" t="s">
        <v>2468</v>
      </c>
      <c r="K1291" s="5">
        <f t="shared" si="2"/>
        <v>0.2401681818</v>
      </c>
      <c r="L1291" s="6">
        <f t="shared" si="3"/>
        <v>448</v>
      </c>
      <c r="M1291" s="6">
        <f t="shared" si="4"/>
        <v>1887.035714</v>
      </c>
      <c r="N1291" s="7">
        <f t="shared" si="5"/>
        <v>0.0005360896916</v>
      </c>
      <c r="O1291" s="7"/>
      <c r="P1291" s="4">
        <f t="shared" si="6"/>
        <v>-0.07192396951</v>
      </c>
      <c r="Q1291" s="4">
        <f t="shared" si="7"/>
        <v>11</v>
      </c>
      <c r="R1291" s="4">
        <f t="shared" si="8"/>
        <v>1</v>
      </c>
      <c r="S1291" s="4">
        <f t="shared" si="9"/>
        <v>-0.07192396951</v>
      </c>
      <c r="T1291" s="4">
        <f t="shared" si="10"/>
        <v>48</v>
      </c>
      <c r="U1291" s="4">
        <f t="shared" si="1"/>
        <v>-0.07192396951</v>
      </c>
      <c r="V1291" s="4"/>
    </row>
    <row r="1292">
      <c r="A1292" s="1" t="s">
        <v>17693</v>
      </c>
      <c r="B1292" s="1" t="s">
        <v>17694</v>
      </c>
      <c r="C1292" s="1" t="s">
        <v>17695</v>
      </c>
      <c r="D1292" s="1" t="s">
        <v>17610</v>
      </c>
      <c r="E1292" s="1" t="s">
        <v>17611</v>
      </c>
      <c r="F1292" s="1">
        <v>599199.0</v>
      </c>
      <c r="G1292" s="1">
        <v>22205.0</v>
      </c>
      <c r="H1292" s="1">
        <v>1659.0</v>
      </c>
      <c r="I1292" s="1">
        <v>3520000.0</v>
      </c>
      <c r="J1292" s="1" t="s">
        <v>2468</v>
      </c>
      <c r="K1292" s="5">
        <f t="shared" si="2"/>
        <v>0.1702269886</v>
      </c>
      <c r="L1292" s="6">
        <f t="shared" si="3"/>
        <v>462</v>
      </c>
      <c r="M1292" s="6">
        <f t="shared" si="4"/>
        <v>1296.967532</v>
      </c>
      <c r="N1292" s="7">
        <f t="shared" si="5"/>
        <v>0.0003684566854</v>
      </c>
      <c r="O1292" s="7"/>
      <c r="P1292" s="4">
        <f t="shared" si="6"/>
        <v>-0.1899985282</v>
      </c>
      <c r="Q1292" s="4">
        <f t="shared" si="7"/>
        <v>11</v>
      </c>
      <c r="R1292" s="4">
        <f t="shared" si="8"/>
        <v>1</v>
      </c>
      <c r="S1292" s="4">
        <f t="shared" si="9"/>
        <v>-0.1899985282</v>
      </c>
      <c r="T1292" s="4">
        <f t="shared" si="10"/>
        <v>42</v>
      </c>
      <c r="U1292" s="4">
        <f t="shared" si="1"/>
        <v>-0.1899985282</v>
      </c>
      <c r="V1292" s="4"/>
    </row>
    <row r="1293">
      <c r="A1293" s="1" t="s">
        <v>17696</v>
      </c>
      <c r="B1293" s="1" t="s">
        <v>17697</v>
      </c>
      <c r="C1293" s="1" t="s">
        <v>17698</v>
      </c>
      <c r="D1293" s="1" t="s">
        <v>17610</v>
      </c>
      <c r="E1293" s="1" t="s">
        <v>17611</v>
      </c>
      <c r="F1293" s="1">
        <v>1700390.0</v>
      </c>
      <c r="G1293" s="1">
        <v>58245.0</v>
      </c>
      <c r="H1293" s="1">
        <v>6703.0</v>
      </c>
      <c r="I1293" s="1">
        <v>3520000.0</v>
      </c>
      <c r="J1293" s="1" t="s">
        <v>2468</v>
      </c>
      <c r="K1293" s="5">
        <f t="shared" si="2"/>
        <v>0.4830653409</v>
      </c>
      <c r="L1293" s="6">
        <f t="shared" si="3"/>
        <v>476</v>
      </c>
      <c r="M1293" s="6">
        <f t="shared" si="4"/>
        <v>3572.247899</v>
      </c>
      <c r="N1293" s="7">
        <f t="shared" si="5"/>
        <v>0.001014843153</v>
      </c>
      <c r="O1293" s="7"/>
      <c r="P1293" s="4">
        <f t="shared" si="6"/>
        <v>0.2652924593</v>
      </c>
      <c r="Q1293" s="4">
        <f t="shared" si="7"/>
        <v>9</v>
      </c>
      <c r="R1293" s="4">
        <f t="shared" si="8"/>
        <v>1</v>
      </c>
      <c r="S1293" s="4">
        <f t="shared" si="9"/>
        <v>0.2652924593</v>
      </c>
      <c r="T1293" s="4">
        <f t="shared" si="10"/>
        <v>39</v>
      </c>
      <c r="U1293" s="4">
        <f t="shared" si="1"/>
        <v>0.2652924593</v>
      </c>
      <c r="V1293" s="4"/>
    </row>
    <row r="1294">
      <c r="A1294" s="1" t="s">
        <v>17699</v>
      </c>
      <c r="B1294" s="1" t="s">
        <v>17700</v>
      </c>
      <c r="C1294" s="1" t="s">
        <v>17701</v>
      </c>
      <c r="D1294" s="1" t="s">
        <v>17610</v>
      </c>
      <c r="E1294" s="1" t="s">
        <v>17611</v>
      </c>
      <c r="F1294" s="1">
        <v>574906.0</v>
      </c>
      <c r="G1294" s="1">
        <v>21965.0</v>
      </c>
      <c r="H1294" s="1">
        <v>1664.0</v>
      </c>
      <c r="I1294" s="1">
        <v>3520000.0</v>
      </c>
      <c r="J1294" s="1" t="s">
        <v>2468</v>
      </c>
      <c r="K1294" s="5">
        <f t="shared" si="2"/>
        <v>0.1633255682</v>
      </c>
      <c r="L1294" s="6">
        <f t="shared" si="3"/>
        <v>490</v>
      </c>
      <c r="M1294" s="6">
        <f t="shared" si="4"/>
        <v>1173.277551</v>
      </c>
      <c r="N1294" s="7">
        <f t="shared" si="5"/>
        <v>0.0003333174861</v>
      </c>
      <c r="O1294" s="7"/>
      <c r="P1294" s="4">
        <f t="shared" si="6"/>
        <v>-0.214749295</v>
      </c>
      <c r="Q1294" s="4">
        <f t="shared" si="7"/>
        <v>11</v>
      </c>
      <c r="R1294" s="4">
        <f t="shared" si="8"/>
        <v>0</v>
      </c>
      <c r="S1294" s="4">
        <f t="shared" si="9"/>
        <v>-0.214749295</v>
      </c>
      <c r="T1294" s="4">
        <f t="shared" si="10"/>
        <v>49</v>
      </c>
      <c r="U1294" s="4">
        <f t="shared" si="1"/>
        <v>-0.214749295</v>
      </c>
      <c r="V1294" s="4"/>
    </row>
    <row r="1295">
      <c r="A1295" s="1" t="s">
        <v>17702</v>
      </c>
      <c r="B1295" s="1" t="s">
        <v>17703</v>
      </c>
      <c r="C1295" s="1" t="s">
        <v>17704</v>
      </c>
      <c r="D1295" s="1" t="s">
        <v>17610</v>
      </c>
      <c r="E1295" s="1" t="s">
        <v>17611</v>
      </c>
      <c r="F1295" s="1">
        <v>882556.0</v>
      </c>
      <c r="G1295" s="1">
        <v>30760.0</v>
      </c>
      <c r="H1295" s="1">
        <v>2217.0</v>
      </c>
      <c r="I1295" s="1">
        <v>3520000.0</v>
      </c>
      <c r="J1295" s="1" t="s">
        <v>2468</v>
      </c>
      <c r="K1295" s="5">
        <f t="shared" si="2"/>
        <v>0.2507261364</v>
      </c>
      <c r="L1295" s="6">
        <f t="shared" si="3"/>
        <v>504</v>
      </c>
      <c r="M1295" s="6">
        <f t="shared" si="4"/>
        <v>1751.103175</v>
      </c>
      <c r="N1295" s="7">
        <f t="shared" si="5"/>
        <v>0.0004974724928</v>
      </c>
      <c r="O1295" s="7"/>
      <c r="P1295" s="4">
        <f t="shared" si="6"/>
        <v>-0.09912451197</v>
      </c>
      <c r="Q1295" s="4">
        <f t="shared" si="7"/>
        <v>8</v>
      </c>
      <c r="R1295" s="4">
        <f t="shared" si="8"/>
        <v>0</v>
      </c>
      <c r="S1295" s="4">
        <f t="shared" si="9"/>
        <v>-0.09912451197</v>
      </c>
      <c r="T1295" s="4">
        <f t="shared" si="10"/>
        <v>49</v>
      </c>
      <c r="U1295" s="4">
        <f t="shared" si="1"/>
        <v>-0.09912451197</v>
      </c>
      <c r="V1295" s="4"/>
    </row>
    <row r="1296">
      <c r="A1296" s="1" t="s">
        <v>17705</v>
      </c>
      <c r="B1296" s="1" t="s">
        <v>17706</v>
      </c>
      <c r="C1296" s="1" t="s">
        <v>17707</v>
      </c>
      <c r="D1296" s="1" t="s">
        <v>17610</v>
      </c>
      <c r="E1296" s="1" t="s">
        <v>17611</v>
      </c>
      <c r="F1296" s="1">
        <v>524214.0</v>
      </c>
      <c r="G1296" s="1">
        <v>34119.0</v>
      </c>
      <c r="H1296" s="1">
        <v>3100.0</v>
      </c>
      <c r="I1296" s="1">
        <v>3520000.0</v>
      </c>
      <c r="J1296" s="1" t="s">
        <v>2468</v>
      </c>
      <c r="K1296" s="5">
        <f t="shared" si="2"/>
        <v>0.1489244318</v>
      </c>
      <c r="L1296" s="6">
        <f t="shared" si="3"/>
        <v>518</v>
      </c>
      <c r="M1296" s="6">
        <f t="shared" si="4"/>
        <v>1011.996139</v>
      </c>
      <c r="N1296" s="7">
        <f t="shared" si="5"/>
        <v>0.0002874989031</v>
      </c>
      <c r="O1296" s="7"/>
      <c r="P1296" s="4">
        <f t="shared" si="6"/>
        <v>-0.2470222291</v>
      </c>
      <c r="Q1296" s="4">
        <f t="shared" si="7"/>
        <v>9</v>
      </c>
      <c r="R1296" s="4">
        <f t="shared" si="8"/>
        <v>0</v>
      </c>
      <c r="S1296" s="4">
        <f t="shared" si="9"/>
        <v>-0.2470222291</v>
      </c>
      <c r="T1296" s="4">
        <f t="shared" si="10"/>
        <v>44</v>
      </c>
      <c r="U1296" s="4">
        <f t="shared" si="1"/>
        <v>-0.2470222291</v>
      </c>
      <c r="V1296" s="4"/>
    </row>
    <row r="1297">
      <c r="A1297" s="1" t="s">
        <v>17708</v>
      </c>
      <c r="B1297" s="1" t="s">
        <v>17709</v>
      </c>
      <c r="C1297" s="1" t="s">
        <v>17710</v>
      </c>
      <c r="D1297" s="1" t="s">
        <v>17610</v>
      </c>
      <c r="E1297" s="1" t="s">
        <v>17611</v>
      </c>
      <c r="F1297" s="1">
        <v>314017.0</v>
      </c>
      <c r="G1297" s="1">
        <v>35538.0</v>
      </c>
      <c r="H1297" s="1">
        <v>4458.0</v>
      </c>
      <c r="I1297" s="1">
        <v>3520000.0</v>
      </c>
      <c r="J1297" s="1" t="s">
        <v>2468</v>
      </c>
      <c r="K1297" s="5">
        <f t="shared" si="2"/>
        <v>0.089209375</v>
      </c>
      <c r="L1297" s="6">
        <f t="shared" si="3"/>
        <v>539</v>
      </c>
      <c r="M1297" s="6">
        <f t="shared" si="4"/>
        <v>582.5918367</v>
      </c>
      <c r="N1297" s="7">
        <f t="shared" si="5"/>
        <v>0.0001655090445</v>
      </c>
      <c r="O1297" s="7"/>
      <c r="P1297" s="4">
        <f t="shared" si="6"/>
        <v>-0.332947424</v>
      </c>
      <c r="Q1297" s="4">
        <f t="shared" si="7"/>
        <v>13</v>
      </c>
      <c r="R1297" s="4">
        <f t="shared" si="8"/>
        <v>0</v>
      </c>
      <c r="S1297" s="4">
        <f t="shared" si="9"/>
        <v>-0.332947424</v>
      </c>
      <c r="T1297" s="4">
        <f t="shared" si="10"/>
        <v>62</v>
      </c>
      <c r="U1297" s="4">
        <f t="shared" si="1"/>
        <v>-0.332947424</v>
      </c>
      <c r="V1297" s="4"/>
    </row>
    <row r="1298">
      <c r="A1298" s="1" t="s">
        <v>17711</v>
      </c>
      <c r="B1298" s="1" t="s">
        <v>17712</v>
      </c>
      <c r="C1298" s="1" t="s">
        <v>17713</v>
      </c>
      <c r="D1298" s="1" t="s">
        <v>17610</v>
      </c>
      <c r="E1298" s="1" t="s">
        <v>17611</v>
      </c>
      <c r="F1298" s="1">
        <v>774312.0</v>
      </c>
      <c r="G1298" s="1">
        <v>32812.0</v>
      </c>
      <c r="H1298" s="1">
        <v>2608.0</v>
      </c>
      <c r="I1298" s="1">
        <v>3520000.0</v>
      </c>
      <c r="J1298" s="1" t="s">
        <v>2468</v>
      </c>
      <c r="K1298" s="5">
        <f t="shared" si="2"/>
        <v>0.219975</v>
      </c>
      <c r="L1298" s="6">
        <f t="shared" si="3"/>
        <v>546</v>
      </c>
      <c r="M1298" s="6">
        <f t="shared" si="4"/>
        <v>1418.153846</v>
      </c>
      <c r="N1298" s="7">
        <f t="shared" si="5"/>
        <v>0.0004028846154</v>
      </c>
      <c r="O1298" s="7"/>
      <c r="P1298" s="4">
        <f t="shared" si="6"/>
        <v>-0.1657487534</v>
      </c>
      <c r="Q1298" s="4">
        <f t="shared" si="7"/>
        <v>8</v>
      </c>
      <c r="R1298" s="4">
        <f t="shared" si="8"/>
        <v>0</v>
      </c>
      <c r="S1298" s="4">
        <f t="shared" si="9"/>
        <v>-0.1657487534</v>
      </c>
      <c r="T1298" s="4">
        <f t="shared" si="10"/>
        <v>40</v>
      </c>
      <c r="U1298" s="4">
        <f t="shared" si="1"/>
        <v>-0.1657487534</v>
      </c>
      <c r="V1298" s="4"/>
    </row>
    <row r="1299">
      <c r="A1299" s="1" t="s">
        <v>17714</v>
      </c>
      <c r="B1299" s="1" t="s">
        <v>17715</v>
      </c>
      <c r="C1299" s="1" t="s">
        <v>17716</v>
      </c>
      <c r="D1299" s="1" t="s">
        <v>17610</v>
      </c>
      <c r="E1299" s="1" t="s">
        <v>17611</v>
      </c>
      <c r="F1299" s="1">
        <v>740244.0</v>
      </c>
      <c r="G1299" s="1">
        <v>34457.0</v>
      </c>
      <c r="H1299" s="1">
        <v>6901.0</v>
      </c>
      <c r="I1299" s="1">
        <v>3520000.0</v>
      </c>
      <c r="J1299" s="1" t="s">
        <v>2468</v>
      </c>
      <c r="K1299" s="5">
        <f t="shared" si="2"/>
        <v>0.2102965909</v>
      </c>
      <c r="L1299" s="6">
        <f t="shared" si="3"/>
        <v>560</v>
      </c>
      <c r="M1299" s="6">
        <f t="shared" si="4"/>
        <v>1321.864286</v>
      </c>
      <c r="N1299" s="7">
        <f t="shared" si="5"/>
        <v>0.0003755296266</v>
      </c>
      <c r="O1299" s="7"/>
      <c r="P1299" s="4">
        <f t="shared" si="6"/>
        <v>-0.1850166071</v>
      </c>
      <c r="Q1299" s="4">
        <f t="shared" si="7"/>
        <v>8</v>
      </c>
      <c r="R1299" s="4">
        <f t="shared" si="8"/>
        <v>1</v>
      </c>
      <c r="S1299" s="4">
        <f t="shared" si="9"/>
        <v>-0.1850166071</v>
      </c>
      <c r="T1299" s="4">
        <f t="shared" si="10"/>
        <v>35</v>
      </c>
      <c r="U1299" s="4">
        <f t="shared" si="1"/>
        <v>-0.1850166071</v>
      </c>
      <c r="V1299" s="4"/>
    </row>
    <row r="1300">
      <c r="A1300" s="1" t="s">
        <v>17717</v>
      </c>
      <c r="B1300" s="1" t="s">
        <v>17718</v>
      </c>
      <c r="C1300" s="1" t="s">
        <v>17719</v>
      </c>
      <c r="D1300" s="1" t="s">
        <v>17610</v>
      </c>
      <c r="E1300" s="1" t="s">
        <v>17611</v>
      </c>
      <c r="F1300" s="1">
        <v>4130060.0</v>
      </c>
      <c r="G1300" s="1">
        <v>241420.0</v>
      </c>
      <c r="H1300" s="1">
        <v>23942.0</v>
      </c>
      <c r="I1300" s="1">
        <v>3520000.0</v>
      </c>
      <c r="J1300" s="1" t="s">
        <v>2468</v>
      </c>
      <c r="K1300" s="5">
        <f t="shared" si="2"/>
        <v>1.1733125</v>
      </c>
      <c r="L1300" s="6">
        <f t="shared" si="3"/>
        <v>567</v>
      </c>
      <c r="M1300" s="6">
        <f t="shared" si="4"/>
        <v>7284.056437</v>
      </c>
      <c r="N1300" s="7">
        <f t="shared" si="5"/>
        <v>0.002069334215</v>
      </c>
      <c r="O1300" s="7"/>
      <c r="P1300" s="4">
        <f t="shared" si="6"/>
        <v>1.008037397</v>
      </c>
      <c r="Q1300" s="4">
        <f t="shared" si="7"/>
        <v>7</v>
      </c>
      <c r="R1300" s="4">
        <f t="shared" si="8"/>
        <v>0</v>
      </c>
      <c r="S1300" s="4">
        <f t="shared" si="9"/>
        <v>1.008037397</v>
      </c>
      <c r="T1300" s="4">
        <f t="shared" si="10"/>
        <v>38</v>
      </c>
      <c r="U1300" s="4">
        <f t="shared" si="1"/>
        <v>1.008037397</v>
      </c>
      <c r="V1300" s="4"/>
    </row>
    <row r="1301">
      <c r="A1301" s="1" t="s">
        <v>17720</v>
      </c>
      <c r="B1301" s="1" t="s">
        <v>17721</v>
      </c>
      <c r="C1301" s="1" t="s">
        <v>17722</v>
      </c>
      <c r="D1301" s="1" t="s">
        <v>17610</v>
      </c>
      <c r="E1301" s="1" t="s">
        <v>17611</v>
      </c>
      <c r="F1301" s="1">
        <v>1461748.0</v>
      </c>
      <c r="G1301" s="1">
        <v>109638.0</v>
      </c>
      <c r="H1301" s="1">
        <v>14708.0</v>
      </c>
      <c r="I1301" s="1">
        <v>3520000.0</v>
      </c>
      <c r="J1301" s="1" t="s">
        <v>2468</v>
      </c>
      <c r="K1301" s="5">
        <f t="shared" si="2"/>
        <v>0.4152693182</v>
      </c>
      <c r="L1301" s="6">
        <f t="shared" si="3"/>
        <v>581</v>
      </c>
      <c r="M1301" s="6">
        <f t="shared" si="4"/>
        <v>2515.917384</v>
      </c>
      <c r="N1301" s="7">
        <f t="shared" si="5"/>
        <v>0.0007147492568</v>
      </c>
      <c r="O1301" s="7"/>
      <c r="P1301" s="4">
        <f t="shared" si="6"/>
        <v>0.05391729407</v>
      </c>
      <c r="Q1301" s="4">
        <f t="shared" si="7"/>
        <v>11</v>
      </c>
      <c r="R1301" s="4">
        <f t="shared" si="8"/>
        <v>0</v>
      </c>
      <c r="S1301" s="4">
        <f t="shared" si="9"/>
        <v>0.05391729407</v>
      </c>
      <c r="T1301" s="4">
        <f t="shared" si="10"/>
        <v>49</v>
      </c>
      <c r="U1301" s="4">
        <f t="shared" si="1"/>
        <v>0.05391729407</v>
      </c>
      <c r="V1301" s="4"/>
    </row>
    <row r="1302">
      <c r="A1302" s="1" t="s">
        <v>17723</v>
      </c>
      <c r="B1302" s="1" t="s">
        <v>17724</v>
      </c>
      <c r="C1302" s="1" t="s">
        <v>17725</v>
      </c>
      <c r="D1302" s="1" t="s">
        <v>17610</v>
      </c>
      <c r="E1302" s="1" t="s">
        <v>17611</v>
      </c>
      <c r="F1302" s="1">
        <v>1115571.0</v>
      </c>
      <c r="G1302" s="1">
        <v>97228.0</v>
      </c>
      <c r="H1302" s="1">
        <v>14954.0</v>
      </c>
      <c r="I1302" s="1">
        <v>3520000.0</v>
      </c>
      <c r="J1302" s="1" t="s">
        <v>2468</v>
      </c>
      <c r="K1302" s="5">
        <f t="shared" si="2"/>
        <v>0.3169235795</v>
      </c>
      <c r="L1302" s="6">
        <f t="shared" si="3"/>
        <v>588</v>
      </c>
      <c r="M1302" s="6">
        <f t="shared" si="4"/>
        <v>1897.229592</v>
      </c>
      <c r="N1302" s="7">
        <f t="shared" si="5"/>
        <v>0.0005389856795</v>
      </c>
      <c r="O1302" s="7"/>
      <c r="P1302" s="4">
        <f t="shared" si="6"/>
        <v>-0.06988414152</v>
      </c>
      <c r="Q1302" s="4">
        <f t="shared" si="7"/>
        <v>6</v>
      </c>
      <c r="R1302" s="4">
        <f t="shared" si="8"/>
        <v>0</v>
      </c>
      <c r="S1302" s="4">
        <f t="shared" si="9"/>
        <v>-0.06988414152</v>
      </c>
      <c r="T1302" s="4">
        <f t="shared" si="10"/>
        <v>37</v>
      </c>
      <c r="U1302" s="4">
        <f t="shared" si="1"/>
        <v>-0.06988414152</v>
      </c>
      <c r="V1302" s="4"/>
    </row>
    <row r="1303">
      <c r="A1303" s="1" t="s">
        <v>17726</v>
      </c>
      <c r="B1303" s="1" t="s">
        <v>17727</v>
      </c>
      <c r="C1303" s="1" t="s">
        <v>17728</v>
      </c>
      <c r="D1303" s="1" t="s">
        <v>17610</v>
      </c>
      <c r="E1303" s="1" t="s">
        <v>17611</v>
      </c>
      <c r="F1303" s="1">
        <v>1061922.0</v>
      </c>
      <c r="G1303" s="1">
        <v>29622.0</v>
      </c>
      <c r="H1303" s="1">
        <v>2117.0</v>
      </c>
      <c r="I1303" s="1">
        <v>3520000.0</v>
      </c>
      <c r="J1303" s="1" t="s">
        <v>2468</v>
      </c>
      <c r="K1303" s="5">
        <f t="shared" si="2"/>
        <v>0.3016823864</v>
      </c>
      <c r="L1303" s="6">
        <f t="shared" si="3"/>
        <v>595</v>
      </c>
      <c r="M1303" s="6">
        <f t="shared" si="4"/>
        <v>1784.742857</v>
      </c>
      <c r="N1303" s="7">
        <f t="shared" si="5"/>
        <v>0.0005070292208</v>
      </c>
      <c r="O1303" s="7"/>
      <c r="P1303" s="4">
        <f t="shared" si="6"/>
        <v>-0.09239310229</v>
      </c>
      <c r="Q1303" s="4">
        <f t="shared" si="7"/>
        <v>9</v>
      </c>
      <c r="R1303" s="4">
        <f t="shared" si="8"/>
        <v>1</v>
      </c>
      <c r="S1303" s="4">
        <f t="shared" si="9"/>
        <v>-0.09239310229</v>
      </c>
      <c r="T1303" s="4">
        <f t="shared" si="10"/>
        <v>36</v>
      </c>
      <c r="U1303" s="4">
        <f t="shared" si="1"/>
        <v>-0.09239310229</v>
      </c>
      <c r="V1303" s="4"/>
    </row>
    <row r="1304">
      <c r="A1304" s="1" t="s">
        <v>17729</v>
      </c>
      <c r="B1304" s="1" t="s">
        <v>17730</v>
      </c>
      <c r="C1304" s="1" t="s">
        <v>17731</v>
      </c>
      <c r="D1304" s="1" t="s">
        <v>17610</v>
      </c>
      <c r="E1304" s="1" t="s">
        <v>17611</v>
      </c>
      <c r="F1304" s="1">
        <v>634791.0</v>
      </c>
      <c r="G1304" s="1">
        <v>19697.0</v>
      </c>
      <c r="H1304" s="1">
        <v>1484.0</v>
      </c>
      <c r="I1304" s="1">
        <v>3520000.0</v>
      </c>
      <c r="J1304" s="1" t="s">
        <v>2468</v>
      </c>
      <c r="K1304" s="5">
        <f t="shared" si="2"/>
        <v>0.1803383523</v>
      </c>
      <c r="L1304" s="6">
        <f t="shared" si="3"/>
        <v>623</v>
      </c>
      <c r="M1304" s="6">
        <f t="shared" si="4"/>
        <v>1018.926164</v>
      </c>
      <c r="N1304" s="7">
        <f t="shared" si="5"/>
        <v>0.0002894676601</v>
      </c>
      <c r="O1304" s="7"/>
      <c r="P1304" s="4">
        <f t="shared" si="6"/>
        <v>-0.2456355087</v>
      </c>
      <c r="Q1304" s="4">
        <f t="shared" si="7"/>
        <v>7</v>
      </c>
      <c r="R1304" s="4">
        <f t="shared" si="8"/>
        <v>1</v>
      </c>
      <c r="S1304" s="4">
        <f t="shared" si="9"/>
        <v>-0.2456355087</v>
      </c>
      <c r="T1304" s="4">
        <f t="shared" si="10"/>
        <v>32</v>
      </c>
      <c r="U1304" s="4">
        <f t="shared" si="1"/>
        <v>-0.2456355087</v>
      </c>
      <c r="V1304" s="4"/>
    </row>
    <row r="1305">
      <c r="A1305" s="1" t="s">
        <v>17732</v>
      </c>
      <c r="B1305" s="1" t="s">
        <v>17733</v>
      </c>
      <c r="C1305" s="1" t="s">
        <v>17734</v>
      </c>
      <c r="D1305" s="1" t="s">
        <v>17610</v>
      </c>
      <c r="E1305" s="1" t="s">
        <v>17611</v>
      </c>
      <c r="F1305" s="1">
        <v>864493.0</v>
      </c>
      <c r="G1305" s="1">
        <v>29822.0</v>
      </c>
      <c r="H1305" s="1">
        <v>1669.0</v>
      </c>
      <c r="I1305" s="1">
        <v>3520000.0</v>
      </c>
      <c r="J1305" s="1" t="s">
        <v>2468</v>
      </c>
      <c r="K1305" s="5">
        <f t="shared" si="2"/>
        <v>0.2455946023</v>
      </c>
      <c r="L1305" s="6">
        <f t="shared" si="3"/>
        <v>630</v>
      </c>
      <c r="M1305" s="6">
        <f t="shared" si="4"/>
        <v>1372.211111</v>
      </c>
      <c r="N1305" s="7">
        <f t="shared" si="5"/>
        <v>0.000389832702</v>
      </c>
      <c r="O1305" s="7"/>
      <c r="P1305" s="4">
        <f t="shared" si="6"/>
        <v>-0.1749420439</v>
      </c>
      <c r="Q1305" s="4">
        <f t="shared" si="7"/>
        <v>7</v>
      </c>
      <c r="R1305" s="4">
        <f t="shared" si="8"/>
        <v>1</v>
      </c>
      <c r="S1305" s="4">
        <f t="shared" si="9"/>
        <v>-0.1749420439</v>
      </c>
      <c r="T1305" s="4">
        <f t="shared" si="10"/>
        <v>34</v>
      </c>
      <c r="U1305" s="4">
        <f t="shared" si="1"/>
        <v>-0.1749420439</v>
      </c>
      <c r="V1305" s="4"/>
    </row>
    <row r="1306">
      <c r="A1306" s="1" t="s">
        <v>17735</v>
      </c>
      <c r="B1306" s="1" t="s">
        <v>17736</v>
      </c>
      <c r="C1306" s="1" t="s">
        <v>17737</v>
      </c>
      <c r="D1306" s="1" t="s">
        <v>17610</v>
      </c>
      <c r="E1306" s="1" t="s">
        <v>17611</v>
      </c>
      <c r="F1306" s="1">
        <v>695883.0</v>
      </c>
      <c r="G1306" s="1">
        <v>22950.0</v>
      </c>
      <c r="H1306" s="1">
        <v>1054.0</v>
      </c>
      <c r="I1306" s="1">
        <v>3520000.0</v>
      </c>
      <c r="J1306" s="1" t="s">
        <v>2468</v>
      </c>
      <c r="K1306" s="5">
        <f t="shared" si="2"/>
        <v>0.1976940341</v>
      </c>
      <c r="L1306" s="6">
        <f t="shared" si="3"/>
        <v>637</v>
      </c>
      <c r="M1306" s="6">
        <f t="shared" si="4"/>
        <v>1092.437991</v>
      </c>
      <c r="N1306" s="7">
        <f t="shared" si="5"/>
        <v>0.0003103517019</v>
      </c>
      <c r="O1306" s="7"/>
      <c r="P1306" s="4">
        <f t="shared" si="6"/>
        <v>-0.2309255535</v>
      </c>
      <c r="Q1306" s="4">
        <f t="shared" si="7"/>
        <v>8</v>
      </c>
      <c r="R1306" s="4">
        <f t="shared" si="8"/>
        <v>0</v>
      </c>
      <c r="S1306" s="4">
        <f t="shared" si="9"/>
        <v>-0.2309255535</v>
      </c>
      <c r="T1306" s="4">
        <f t="shared" si="10"/>
        <v>37</v>
      </c>
      <c r="U1306" s="4">
        <f t="shared" si="1"/>
        <v>-0.2309255535</v>
      </c>
      <c r="V1306" s="4"/>
    </row>
    <row r="1307">
      <c r="A1307" s="1" t="s">
        <v>17738</v>
      </c>
      <c r="B1307" s="1" t="s">
        <v>17739</v>
      </c>
      <c r="C1307" s="1" t="s">
        <v>17740</v>
      </c>
      <c r="D1307" s="1" t="s">
        <v>17610</v>
      </c>
      <c r="E1307" s="1" t="s">
        <v>17611</v>
      </c>
      <c r="F1307" s="1">
        <v>714031.0</v>
      </c>
      <c r="G1307" s="1">
        <v>21326.0</v>
      </c>
      <c r="H1307" s="1">
        <v>1394.0</v>
      </c>
      <c r="I1307" s="1">
        <v>3520000.0</v>
      </c>
      <c r="J1307" s="1" t="s">
        <v>2468</v>
      </c>
      <c r="K1307" s="5">
        <f t="shared" si="2"/>
        <v>0.2028497159</v>
      </c>
      <c r="L1307" s="6">
        <f t="shared" si="3"/>
        <v>651</v>
      </c>
      <c r="M1307" s="6">
        <f t="shared" si="4"/>
        <v>1096.821813</v>
      </c>
      <c r="N1307" s="7">
        <f t="shared" si="5"/>
        <v>0.0003115971059</v>
      </c>
      <c r="O1307" s="7"/>
      <c r="P1307" s="4">
        <f t="shared" si="6"/>
        <v>-0.2300483365</v>
      </c>
      <c r="Q1307" s="4">
        <f t="shared" si="7"/>
        <v>6</v>
      </c>
      <c r="R1307" s="4">
        <f t="shared" si="8"/>
        <v>1</v>
      </c>
      <c r="S1307" s="4">
        <f t="shared" si="9"/>
        <v>-0.2300483365</v>
      </c>
      <c r="T1307" s="4">
        <f t="shared" si="10"/>
        <v>30</v>
      </c>
      <c r="U1307" s="4">
        <f t="shared" si="1"/>
        <v>-0.2300483365</v>
      </c>
      <c r="V1307" s="4"/>
    </row>
    <row r="1308">
      <c r="A1308" s="1" t="s">
        <v>17741</v>
      </c>
      <c r="B1308" s="1" t="s">
        <v>17742</v>
      </c>
      <c r="C1308" s="1" t="s">
        <v>17743</v>
      </c>
      <c r="D1308" s="1" t="s">
        <v>17610</v>
      </c>
      <c r="E1308" s="1" t="s">
        <v>17611</v>
      </c>
      <c r="F1308" s="1">
        <v>405547.0</v>
      </c>
      <c r="G1308" s="1">
        <v>16663.0</v>
      </c>
      <c r="H1308" s="1">
        <v>900.0</v>
      </c>
      <c r="I1308" s="1">
        <v>3520000.0</v>
      </c>
      <c r="J1308" s="1" t="s">
        <v>2468</v>
      </c>
      <c r="K1308" s="5">
        <f t="shared" si="2"/>
        <v>0.1152122159</v>
      </c>
      <c r="L1308" s="6">
        <f t="shared" si="3"/>
        <v>658</v>
      </c>
      <c r="M1308" s="6">
        <f t="shared" si="4"/>
        <v>616.3328267</v>
      </c>
      <c r="N1308" s="7">
        <f t="shared" si="5"/>
        <v>0.0001750945531</v>
      </c>
      <c r="O1308" s="7"/>
      <c r="P1308" s="4">
        <f t="shared" si="6"/>
        <v>-0.3261957423</v>
      </c>
      <c r="Q1308" s="4">
        <f t="shared" si="7"/>
        <v>4</v>
      </c>
      <c r="R1308" s="4">
        <f t="shared" si="8"/>
        <v>1</v>
      </c>
      <c r="S1308" s="4">
        <f t="shared" si="9"/>
        <v>-0.3261957423</v>
      </c>
      <c r="T1308" s="4">
        <f t="shared" si="10"/>
        <v>20</v>
      </c>
      <c r="U1308" s="4">
        <f t="shared" si="1"/>
        <v>-0.3261957423</v>
      </c>
      <c r="V1308" s="4"/>
    </row>
    <row r="1309">
      <c r="A1309" s="1" t="s">
        <v>17744</v>
      </c>
      <c r="B1309" s="1" t="s">
        <v>17745</v>
      </c>
      <c r="C1309" s="1" t="s">
        <v>17746</v>
      </c>
      <c r="D1309" s="1" t="s">
        <v>17610</v>
      </c>
      <c r="E1309" s="1" t="s">
        <v>17611</v>
      </c>
      <c r="F1309" s="1">
        <v>913399.0</v>
      </c>
      <c r="G1309" s="1">
        <v>24692.0</v>
      </c>
      <c r="H1309" s="1">
        <v>2869.0</v>
      </c>
      <c r="I1309" s="1">
        <v>3520000.0</v>
      </c>
      <c r="J1309" s="1" t="s">
        <v>2468</v>
      </c>
      <c r="K1309" s="5">
        <f t="shared" si="2"/>
        <v>0.2594883523</v>
      </c>
      <c r="L1309" s="6">
        <f t="shared" si="3"/>
        <v>665</v>
      </c>
      <c r="M1309" s="6">
        <f t="shared" si="4"/>
        <v>1373.532331</v>
      </c>
      <c r="N1309" s="7">
        <f t="shared" si="5"/>
        <v>0.0003902080485</v>
      </c>
      <c r="O1309" s="7"/>
      <c r="P1309" s="4">
        <f t="shared" si="6"/>
        <v>-0.1746776635</v>
      </c>
      <c r="Q1309" s="4">
        <f t="shared" si="7"/>
        <v>9</v>
      </c>
      <c r="R1309" s="4">
        <f t="shared" si="8"/>
        <v>1</v>
      </c>
      <c r="S1309" s="4">
        <f t="shared" si="9"/>
        <v>-0.1746776635</v>
      </c>
      <c r="T1309" s="4">
        <f t="shared" si="10"/>
        <v>47</v>
      </c>
      <c r="U1309" s="4">
        <f t="shared" si="1"/>
        <v>-0.1746776635</v>
      </c>
      <c r="V1309" s="4"/>
    </row>
    <row r="1310">
      <c r="A1310" s="1" t="s">
        <v>17747</v>
      </c>
      <c r="B1310" s="1" t="s">
        <v>17748</v>
      </c>
      <c r="C1310" s="1" t="s">
        <v>17749</v>
      </c>
      <c r="D1310" s="1" t="s">
        <v>17610</v>
      </c>
      <c r="E1310" s="1" t="s">
        <v>17611</v>
      </c>
      <c r="F1310" s="1">
        <v>579459.0</v>
      </c>
      <c r="G1310" s="1">
        <v>21280.0</v>
      </c>
      <c r="H1310" s="1">
        <v>986.0</v>
      </c>
      <c r="I1310" s="1">
        <v>3520000.0</v>
      </c>
      <c r="J1310" s="1" t="s">
        <v>2468</v>
      </c>
      <c r="K1310" s="5">
        <f t="shared" si="2"/>
        <v>0.1646190341</v>
      </c>
      <c r="L1310" s="6">
        <f t="shared" si="3"/>
        <v>686</v>
      </c>
      <c r="M1310" s="6">
        <f t="shared" si="4"/>
        <v>844.6924198</v>
      </c>
      <c r="N1310" s="7">
        <f t="shared" si="5"/>
        <v>0.0002399694375</v>
      </c>
      <c r="O1310" s="7"/>
      <c r="P1310" s="4">
        <f t="shared" si="6"/>
        <v>-0.2805002464</v>
      </c>
      <c r="Q1310" s="4">
        <f t="shared" si="7"/>
        <v>7</v>
      </c>
      <c r="R1310" s="4">
        <f t="shared" si="8"/>
        <v>1</v>
      </c>
      <c r="S1310" s="4">
        <f t="shared" si="9"/>
        <v>-0.2805002464</v>
      </c>
      <c r="T1310" s="4">
        <f t="shared" si="10"/>
        <v>31</v>
      </c>
      <c r="U1310" s="4">
        <f t="shared" si="1"/>
        <v>-0.2805002464</v>
      </c>
      <c r="V1310" s="4"/>
    </row>
    <row r="1311">
      <c r="A1311" s="1" t="s">
        <v>17750</v>
      </c>
      <c r="B1311" s="1" t="s">
        <v>17751</v>
      </c>
      <c r="C1311" s="1" t="s">
        <v>17752</v>
      </c>
      <c r="D1311" s="1" t="s">
        <v>17610</v>
      </c>
      <c r="E1311" s="1" t="s">
        <v>17611</v>
      </c>
      <c r="F1311" s="1">
        <v>539350.0</v>
      </c>
      <c r="G1311" s="1">
        <v>21883.0</v>
      </c>
      <c r="H1311" s="1">
        <v>1137.0</v>
      </c>
      <c r="I1311" s="1">
        <v>3520000.0</v>
      </c>
      <c r="J1311" s="1" t="s">
        <v>2468</v>
      </c>
      <c r="K1311" s="5">
        <f t="shared" si="2"/>
        <v>0.1532244318</v>
      </c>
      <c r="L1311" s="6">
        <f t="shared" si="3"/>
        <v>693</v>
      </c>
      <c r="M1311" s="6">
        <f t="shared" si="4"/>
        <v>778.2828283</v>
      </c>
      <c r="N1311" s="7">
        <f t="shared" si="5"/>
        <v>0.0002211030762</v>
      </c>
      <c r="O1311" s="7"/>
      <c r="P1311" s="4">
        <f t="shared" si="6"/>
        <v>-0.2937890213</v>
      </c>
      <c r="Q1311" s="4">
        <f t="shared" si="7"/>
        <v>8</v>
      </c>
      <c r="R1311" s="4">
        <f t="shared" si="8"/>
        <v>1</v>
      </c>
      <c r="S1311" s="4">
        <f t="shared" si="9"/>
        <v>-0.2937890213</v>
      </c>
      <c r="T1311" s="4">
        <f t="shared" si="10"/>
        <v>42</v>
      </c>
      <c r="U1311" s="4">
        <f t="shared" si="1"/>
        <v>-0.2937890213</v>
      </c>
      <c r="V1311" s="4"/>
    </row>
    <row r="1312">
      <c r="A1312" s="1" t="s">
        <v>17753</v>
      </c>
      <c r="B1312" s="1" t="s">
        <v>17754</v>
      </c>
      <c r="C1312" s="1" t="s">
        <v>17755</v>
      </c>
      <c r="D1312" s="1" t="s">
        <v>17610</v>
      </c>
      <c r="E1312" s="1" t="s">
        <v>17611</v>
      </c>
      <c r="F1312" s="1">
        <v>1574366.0</v>
      </c>
      <c r="G1312" s="1">
        <v>42355.0</v>
      </c>
      <c r="H1312" s="1">
        <v>4131.0</v>
      </c>
      <c r="I1312" s="1">
        <v>3520000.0</v>
      </c>
      <c r="J1312" s="1" t="s">
        <v>2468</v>
      </c>
      <c r="K1312" s="5">
        <f t="shared" si="2"/>
        <v>0.4472630682</v>
      </c>
      <c r="L1312" s="6">
        <f t="shared" si="3"/>
        <v>707</v>
      </c>
      <c r="M1312" s="6">
        <f t="shared" si="4"/>
        <v>2226.826025</v>
      </c>
      <c r="N1312" s="7">
        <f t="shared" si="5"/>
        <v>0.00063262103</v>
      </c>
      <c r="O1312" s="7"/>
      <c r="P1312" s="4">
        <f t="shared" si="6"/>
        <v>-0.003930825199</v>
      </c>
      <c r="Q1312" s="4">
        <f t="shared" si="7"/>
        <v>11</v>
      </c>
      <c r="R1312" s="4">
        <f t="shared" si="8"/>
        <v>1</v>
      </c>
      <c r="S1312" s="4">
        <f t="shared" si="9"/>
        <v>-0.003930825199</v>
      </c>
      <c r="T1312" s="4">
        <f t="shared" si="10"/>
        <v>42</v>
      </c>
      <c r="U1312" s="4">
        <f t="shared" si="1"/>
        <v>-0.003930825199</v>
      </c>
      <c r="V1312" s="4"/>
    </row>
    <row r="1313">
      <c r="A1313" s="1" t="s">
        <v>17756</v>
      </c>
      <c r="B1313" s="1" t="s">
        <v>17757</v>
      </c>
      <c r="C1313" s="1" t="s">
        <v>17758</v>
      </c>
      <c r="D1313" s="1" t="s">
        <v>17610</v>
      </c>
      <c r="E1313" s="1" t="s">
        <v>17611</v>
      </c>
      <c r="F1313" s="1">
        <v>459237.0</v>
      </c>
      <c r="G1313" s="1">
        <v>17921.0</v>
      </c>
      <c r="H1313" s="1">
        <v>793.0</v>
      </c>
      <c r="I1313" s="1">
        <v>3520000.0</v>
      </c>
      <c r="J1313" s="1" t="s">
        <v>2468</v>
      </c>
      <c r="K1313" s="5">
        <f t="shared" si="2"/>
        <v>0.1304650568</v>
      </c>
      <c r="L1313" s="6">
        <f t="shared" si="3"/>
        <v>714</v>
      </c>
      <c r="M1313" s="6">
        <f t="shared" si="4"/>
        <v>643.1890756</v>
      </c>
      <c r="N1313" s="7">
        <f t="shared" si="5"/>
        <v>0.0001827241692</v>
      </c>
      <c r="O1313" s="7"/>
      <c r="P1313" s="4">
        <f t="shared" si="6"/>
        <v>-0.3208217197</v>
      </c>
      <c r="Q1313" s="4">
        <f t="shared" si="7"/>
        <v>13</v>
      </c>
      <c r="R1313" s="4">
        <f t="shared" si="8"/>
        <v>0</v>
      </c>
      <c r="S1313" s="4">
        <f t="shared" si="9"/>
        <v>-0.3208217197</v>
      </c>
      <c r="T1313" s="4">
        <f t="shared" si="10"/>
        <v>63</v>
      </c>
      <c r="U1313" s="4">
        <f t="shared" si="1"/>
        <v>-0.3208217197</v>
      </c>
      <c r="V1313" s="4"/>
    </row>
    <row r="1314">
      <c r="A1314" s="1" t="s">
        <v>17759</v>
      </c>
      <c r="B1314" s="1" t="s">
        <v>17760</v>
      </c>
      <c r="C1314" s="1" t="s">
        <v>17761</v>
      </c>
      <c r="D1314" s="1" t="s">
        <v>17610</v>
      </c>
      <c r="E1314" s="1" t="s">
        <v>17611</v>
      </c>
      <c r="F1314" s="1">
        <v>608098.0</v>
      </c>
      <c r="G1314" s="1">
        <v>20682.0</v>
      </c>
      <c r="H1314" s="1">
        <v>1355.0</v>
      </c>
      <c r="I1314" s="1">
        <v>3520000.0</v>
      </c>
      <c r="J1314" s="1" t="s">
        <v>2468</v>
      </c>
      <c r="K1314" s="5">
        <f t="shared" si="2"/>
        <v>0.1727551136</v>
      </c>
      <c r="L1314" s="6">
        <f t="shared" si="3"/>
        <v>721</v>
      </c>
      <c r="M1314" s="6">
        <f t="shared" si="4"/>
        <v>843.409154</v>
      </c>
      <c r="N1314" s="7">
        <f t="shared" si="5"/>
        <v>0.0002396048733</v>
      </c>
      <c r="O1314" s="7"/>
      <c r="P1314" s="4">
        <f t="shared" si="6"/>
        <v>-0.2807570321</v>
      </c>
      <c r="Q1314" s="4">
        <f t="shared" si="7"/>
        <v>8</v>
      </c>
      <c r="R1314" s="4">
        <f t="shared" si="8"/>
        <v>1</v>
      </c>
      <c r="S1314" s="4">
        <f t="shared" si="9"/>
        <v>-0.2807570321</v>
      </c>
      <c r="T1314" s="4">
        <f t="shared" si="10"/>
        <v>46</v>
      </c>
      <c r="U1314" s="4">
        <f t="shared" si="1"/>
        <v>-0.2807570321</v>
      </c>
      <c r="V1314" s="4"/>
    </row>
    <row r="1315">
      <c r="A1315" s="1" t="s">
        <v>17762</v>
      </c>
      <c r="B1315" s="1" t="s">
        <v>17763</v>
      </c>
      <c r="C1315" s="1" t="s">
        <v>17764</v>
      </c>
      <c r="D1315" s="1" t="s">
        <v>17610</v>
      </c>
      <c r="E1315" s="1" t="s">
        <v>17611</v>
      </c>
      <c r="F1315" s="1">
        <v>821614.0</v>
      </c>
      <c r="G1315" s="1">
        <v>24779.0</v>
      </c>
      <c r="H1315" s="1">
        <v>2410.0</v>
      </c>
      <c r="I1315" s="1">
        <v>3520000.0</v>
      </c>
      <c r="J1315" s="1" t="s">
        <v>2468</v>
      </c>
      <c r="K1315" s="5">
        <f t="shared" si="2"/>
        <v>0.2334130682</v>
      </c>
      <c r="L1315" s="6">
        <f t="shared" si="3"/>
        <v>742</v>
      </c>
      <c r="M1315" s="6">
        <f t="shared" si="4"/>
        <v>1107.296496</v>
      </c>
      <c r="N1315" s="7">
        <f t="shared" si="5"/>
        <v>0.0003145728682</v>
      </c>
      <c r="O1315" s="7"/>
      <c r="P1315" s="4">
        <f t="shared" si="6"/>
        <v>-0.2279523183</v>
      </c>
      <c r="Q1315" s="4">
        <f t="shared" si="7"/>
        <v>5</v>
      </c>
      <c r="R1315" s="4">
        <f t="shared" si="8"/>
        <v>1</v>
      </c>
      <c r="S1315" s="4">
        <f t="shared" si="9"/>
        <v>-0.2279523183</v>
      </c>
      <c r="T1315" s="4">
        <f t="shared" si="10"/>
        <v>25</v>
      </c>
      <c r="U1315" s="4">
        <f t="shared" si="1"/>
        <v>-0.2279523183</v>
      </c>
      <c r="V1315" s="4"/>
    </row>
    <row r="1316">
      <c r="A1316" s="1" t="s">
        <v>17765</v>
      </c>
      <c r="B1316" s="1" t="s">
        <v>17766</v>
      </c>
      <c r="C1316" s="1" t="s">
        <v>17767</v>
      </c>
      <c r="D1316" s="1" t="s">
        <v>17610</v>
      </c>
      <c r="E1316" s="1" t="s">
        <v>17611</v>
      </c>
      <c r="F1316" s="1">
        <v>1059456.0</v>
      </c>
      <c r="G1316" s="1">
        <v>29890.0</v>
      </c>
      <c r="H1316" s="1">
        <v>1366.0</v>
      </c>
      <c r="I1316" s="1">
        <v>3520000.0</v>
      </c>
      <c r="J1316" s="1" t="s">
        <v>2468</v>
      </c>
      <c r="K1316" s="5">
        <f t="shared" si="2"/>
        <v>0.3009818182</v>
      </c>
      <c r="L1316" s="6">
        <f t="shared" si="3"/>
        <v>749</v>
      </c>
      <c r="M1316" s="6">
        <f t="shared" si="4"/>
        <v>1414.493992</v>
      </c>
      <c r="N1316" s="7">
        <f t="shared" si="5"/>
        <v>0.0004018448841</v>
      </c>
      <c r="O1316" s="7"/>
      <c r="P1316" s="4">
        <f t="shared" si="6"/>
        <v>-0.1664811021</v>
      </c>
      <c r="Q1316" s="4">
        <f t="shared" si="7"/>
        <v>9</v>
      </c>
      <c r="R1316" s="4">
        <f t="shared" si="8"/>
        <v>1</v>
      </c>
      <c r="S1316" s="4">
        <f t="shared" si="9"/>
        <v>-0.1664811021</v>
      </c>
      <c r="T1316" s="4">
        <f t="shared" si="10"/>
        <v>44</v>
      </c>
      <c r="U1316" s="4">
        <f t="shared" si="1"/>
        <v>-0.1664811021</v>
      </c>
      <c r="V1316" s="4"/>
    </row>
    <row r="1317">
      <c r="A1317" s="1" t="s">
        <v>17768</v>
      </c>
      <c r="B1317" s="1" t="s">
        <v>17769</v>
      </c>
      <c r="C1317" s="1" t="s">
        <v>17770</v>
      </c>
      <c r="D1317" s="1" t="s">
        <v>17610</v>
      </c>
      <c r="E1317" s="1" t="s">
        <v>17611</v>
      </c>
      <c r="F1317" s="1">
        <v>316384.0</v>
      </c>
      <c r="G1317" s="1">
        <v>13410.0</v>
      </c>
      <c r="H1317" s="1">
        <v>655.0</v>
      </c>
      <c r="I1317" s="1">
        <v>3520000.0</v>
      </c>
      <c r="J1317" s="1" t="s">
        <v>2468</v>
      </c>
      <c r="K1317" s="5">
        <f t="shared" si="2"/>
        <v>0.08988181818</v>
      </c>
      <c r="L1317" s="6">
        <f t="shared" si="3"/>
        <v>763</v>
      </c>
      <c r="M1317" s="6">
        <f t="shared" si="4"/>
        <v>414.6579292</v>
      </c>
      <c r="N1317" s="7">
        <f t="shared" si="5"/>
        <v>0.0001178005481</v>
      </c>
      <c r="O1317" s="7"/>
      <c r="P1317" s="4">
        <f t="shared" si="6"/>
        <v>-0.366551544</v>
      </c>
      <c r="Q1317" s="4">
        <f t="shared" si="7"/>
        <v>7</v>
      </c>
      <c r="R1317" s="4">
        <f t="shared" si="8"/>
        <v>1</v>
      </c>
      <c r="S1317" s="4">
        <f t="shared" si="9"/>
        <v>-0.366551544</v>
      </c>
      <c r="T1317" s="4">
        <f t="shared" si="10"/>
        <v>25</v>
      </c>
      <c r="U1317" s="4">
        <f t="shared" si="1"/>
        <v>-0.366551544</v>
      </c>
      <c r="V1317" s="4"/>
    </row>
    <row r="1318">
      <c r="A1318" s="1" t="s">
        <v>17771</v>
      </c>
      <c r="B1318" s="1" t="s">
        <v>17772</v>
      </c>
      <c r="C1318" s="1" t="s">
        <v>17773</v>
      </c>
      <c r="D1318" s="1" t="s">
        <v>17610</v>
      </c>
      <c r="E1318" s="1" t="s">
        <v>17611</v>
      </c>
      <c r="F1318" s="1">
        <v>1073511.0</v>
      </c>
      <c r="G1318" s="1">
        <v>36997.0</v>
      </c>
      <c r="H1318" s="1">
        <v>3768.0</v>
      </c>
      <c r="I1318" s="1">
        <v>3520000.0</v>
      </c>
      <c r="J1318" s="1" t="s">
        <v>2468</v>
      </c>
      <c r="K1318" s="5">
        <f t="shared" si="2"/>
        <v>0.3049747159</v>
      </c>
      <c r="L1318" s="6">
        <f t="shared" si="3"/>
        <v>770</v>
      </c>
      <c r="M1318" s="6">
        <f t="shared" si="4"/>
        <v>1394.17013</v>
      </c>
      <c r="N1318" s="7">
        <f t="shared" si="5"/>
        <v>0.0003960710596</v>
      </c>
      <c r="O1318" s="7"/>
      <c r="P1318" s="4">
        <f t="shared" si="6"/>
        <v>-0.1705479729</v>
      </c>
      <c r="Q1318" s="4">
        <f t="shared" si="7"/>
        <v>11</v>
      </c>
      <c r="R1318" s="4">
        <f t="shared" si="8"/>
        <v>1</v>
      </c>
      <c r="S1318" s="4">
        <f t="shared" si="9"/>
        <v>-0.1705479729</v>
      </c>
      <c r="T1318" s="4">
        <f t="shared" si="10"/>
        <v>53</v>
      </c>
      <c r="U1318" s="4">
        <f t="shared" si="1"/>
        <v>-0.1705479729</v>
      </c>
      <c r="V1318" s="4"/>
    </row>
    <row r="1319">
      <c r="A1319" s="1" t="s">
        <v>17774</v>
      </c>
      <c r="B1319" s="1" t="s">
        <v>17775</v>
      </c>
      <c r="C1319" s="1" t="s">
        <v>17776</v>
      </c>
      <c r="D1319" s="1" t="s">
        <v>17610</v>
      </c>
      <c r="E1319" s="1" t="s">
        <v>17611</v>
      </c>
      <c r="F1319" s="1">
        <v>641506.0</v>
      </c>
      <c r="G1319" s="1">
        <v>22425.0</v>
      </c>
      <c r="H1319" s="1">
        <v>1437.0</v>
      </c>
      <c r="I1319" s="1">
        <v>3520000.0</v>
      </c>
      <c r="J1319" s="1" t="s">
        <v>2468</v>
      </c>
      <c r="K1319" s="5">
        <f t="shared" si="2"/>
        <v>0.1822460227</v>
      </c>
      <c r="L1319" s="6">
        <f t="shared" si="3"/>
        <v>777</v>
      </c>
      <c r="M1319" s="6">
        <f t="shared" si="4"/>
        <v>825.6190476</v>
      </c>
      <c r="N1319" s="7">
        <f t="shared" si="5"/>
        <v>0.0002345508658</v>
      </c>
      <c r="O1319" s="7"/>
      <c r="P1319" s="4">
        <f t="shared" si="6"/>
        <v>-0.2843168901</v>
      </c>
      <c r="Q1319" s="4">
        <f t="shared" si="7"/>
        <v>7</v>
      </c>
      <c r="R1319" s="4">
        <f t="shared" si="8"/>
        <v>0</v>
      </c>
      <c r="S1319" s="4">
        <f t="shared" si="9"/>
        <v>-0.2843168901</v>
      </c>
      <c r="T1319" s="4">
        <f t="shared" si="10"/>
        <v>31</v>
      </c>
      <c r="U1319" s="4">
        <f t="shared" si="1"/>
        <v>-0.2843168901</v>
      </c>
      <c r="V1319" s="4"/>
    </row>
    <row r="1320">
      <c r="A1320" s="1" t="s">
        <v>17777</v>
      </c>
      <c r="B1320" s="1" t="s">
        <v>17778</v>
      </c>
      <c r="C1320" s="1" t="s">
        <v>17779</v>
      </c>
      <c r="D1320" s="1" t="s">
        <v>17610</v>
      </c>
      <c r="E1320" s="1" t="s">
        <v>17611</v>
      </c>
      <c r="F1320" s="1">
        <v>890293.0</v>
      </c>
      <c r="G1320" s="1">
        <v>23368.0</v>
      </c>
      <c r="H1320" s="1">
        <v>1445.0</v>
      </c>
      <c r="I1320" s="1">
        <v>3520000.0</v>
      </c>
      <c r="J1320" s="1" t="s">
        <v>2468</v>
      </c>
      <c r="K1320" s="5">
        <f t="shared" si="2"/>
        <v>0.2529241477</v>
      </c>
      <c r="L1320" s="6">
        <f t="shared" si="3"/>
        <v>798</v>
      </c>
      <c r="M1320" s="6">
        <f t="shared" si="4"/>
        <v>1115.655388</v>
      </c>
      <c r="N1320" s="7">
        <f t="shared" si="5"/>
        <v>0.0003169475535</v>
      </c>
      <c r="O1320" s="7"/>
      <c r="P1320" s="4">
        <f t="shared" si="6"/>
        <v>-0.2262796768</v>
      </c>
      <c r="Q1320" s="4">
        <f t="shared" si="7"/>
        <v>8</v>
      </c>
      <c r="R1320" s="4">
        <f t="shared" si="8"/>
        <v>1</v>
      </c>
      <c r="S1320" s="4">
        <f t="shared" si="9"/>
        <v>-0.2262796768</v>
      </c>
      <c r="T1320" s="4">
        <f t="shared" si="10"/>
        <v>35</v>
      </c>
      <c r="U1320" s="4">
        <f t="shared" si="1"/>
        <v>-0.2262796768</v>
      </c>
      <c r="V1320" s="4"/>
    </row>
    <row r="1321">
      <c r="A1321" s="1" t="s">
        <v>17780</v>
      </c>
      <c r="B1321" s="1" t="s">
        <v>17781</v>
      </c>
      <c r="C1321" s="1" t="s">
        <v>17782</v>
      </c>
      <c r="D1321" s="1" t="s">
        <v>17610</v>
      </c>
      <c r="E1321" s="1" t="s">
        <v>17611</v>
      </c>
      <c r="F1321" s="1">
        <v>474201.0</v>
      </c>
      <c r="G1321" s="1">
        <v>17859.0</v>
      </c>
      <c r="H1321" s="1">
        <v>1219.0</v>
      </c>
      <c r="I1321" s="1">
        <v>3520000.0</v>
      </c>
      <c r="J1321" s="1" t="s">
        <v>2468</v>
      </c>
      <c r="K1321" s="5">
        <f t="shared" si="2"/>
        <v>0.1347161932</v>
      </c>
      <c r="L1321" s="6">
        <f t="shared" si="3"/>
        <v>805</v>
      </c>
      <c r="M1321" s="6">
        <f t="shared" si="4"/>
        <v>589.0695652</v>
      </c>
      <c r="N1321" s="7">
        <f t="shared" si="5"/>
        <v>0.0001673493083</v>
      </c>
      <c r="O1321" s="7"/>
      <c r="P1321" s="4">
        <f t="shared" si="6"/>
        <v>-0.3316512095</v>
      </c>
      <c r="Q1321" s="4">
        <f t="shared" si="7"/>
        <v>8</v>
      </c>
      <c r="R1321" s="4">
        <f t="shared" si="8"/>
        <v>1</v>
      </c>
      <c r="S1321" s="4">
        <f t="shared" si="9"/>
        <v>-0.3316512095</v>
      </c>
      <c r="T1321" s="4">
        <f t="shared" si="10"/>
        <v>37</v>
      </c>
      <c r="U1321" s="4">
        <f t="shared" si="1"/>
        <v>-0.3316512095</v>
      </c>
      <c r="V1321" s="4"/>
    </row>
    <row r="1322">
      <c r="A1322" s="1" t="s">
        <v>17783</v>
      </c>
      <c r="B1322" s="1" t="s">
        <v>17784</v>
      </c>
      <c r="C1322" s="1" t="s">
        <v>17785</v>
      </c>
      <c r="D1322" s="1" t="s">
        <v>17610</v>
      </c>
      <c r="E1322" s="1" t="s">
        <v>17611</v>
      </c>
      <c r="F1322" s="1">
        <v>533465.0</v>
      </c>
      <c r="G1322" s="1">
        <v>17462.0</v>
      </c>
      <c r="H1322" s="1">
        <v>1640.0</v>
      </c>
      <c r="I1322" s="1">
        <v>3520000.0</v>
      </c>
      <c r="J1322" s="1" t="s">
        <v>2468</v>
      </c>
      <c r="K1322" s="5">
        <f t="shared" si="2"/>
        <v>0.1515525568</v>
      </c>
      <c r="L1322" s="6">
        <f t="shared" si="3"/>
        <v>812</v>
      </c>
      <c r="M1322" s="6">
        <f t="shared" si="4"/>
        <v>656.976601</v>
      </c>
      <c r="N1322" s="7">
        <f t="shared" si="5"/>
        <v>0.0001866410798</v>
      </c>
      <c r="O1322" s="7"/>
      <c r="P1322" s="4">
        <f t="shared" si="6"/>
        <v>-0.3180627912</v>
      </c>
      <c r="Q1322" s="4">
        <f t="shared" si="7"/>
        <v>13</v>
      </c>
      <c r="R1322" s="4">
        <f t="shared" si="8"/>
        <v>1</v>
      </c>
      <c r="S1322" s="4">
        <f t="shared" si="9"/>
        <v>-0.3180627912</v>
      </c>
      <c r="T1322" s="4">
        <f t="shared" si="10"/>
        <v>61</v>
      </c>
      <c r="U1322" s="4">
        <f t="shared" si="1"/>
        <v>-0.3180627912</v>
      </c>
      <c r="V1322" s="4"/>
    </row>
    <row r="1323">
      <c r="A1323" s="1" t="s">
        <v>17786</v>
      </c>
      <c r="B1323" s="1" t="s">
        <v>17787</v>
      </c>
      <c r="C1323" s="1" t="s">
        <v>17788</v>
      </c>
      <c r="D1323" s="1" t="s">
        <v>17610</v>
      </c>
      <c r="E1323" s="1" t="s">
        <v>17611</v>
      </c>
      <c r="F1323" s="1">
        <v>298685.0</v>
      </c>
      <c r="G1323" s="1">
        <v>12627.0</v>
      </c>
      <c r="H1323" s="1">
        <v>419.0</v>
      </c>
      <c r="I1323" s="1">
        <v>3520000.0</v>
      </c>
      <c r="J1323" s="1" t="s">
        <v>2468</v>
      </c>
      <c r="K1323" s="5">
        <f t="shared" si="2"/>
        <v>0.08485369318</v>
      </c>
      <c r="L1323" s="6">
        <f t="shared" si="3"/>
        <v>826</v>
      </c>
      <c r="M1323" s="6">
        <f t="shared" si="4"/>
        <v>361.6041162</v>
      </c>
      <c r="N1323" s="7">
        <f t="shared" si="5"/>
        <v>0.0001027284421</v>
      </c>
      <c r="O1323" s="7"/>
      <c r="P1323" s="4">
        <f t="shared" si="6"/>
        <v>-0.3771677842</v>
      </c>
      <c r="Q1323" s="4">
        <f t="shared" si="7"/>
        <v>8</v>
      </c>
      <c r="R1323" s="4">
        <f t="shared" si="8"/>
        <v>0</v>
      </c>
      <c r="S1323" s="4">
        <f t="shared" si="9"/>
        <v>-0.3771677842</v>
      </c>
      <c r="T1323" s="4">
        <f t="shared" si="10"/>
        <v>54</v>
      </c>
      <c r="U1323" s="4">
        <f t="shared" si="1"/>
        <v>-0.3771677842</v>
      </c>
      <c r="V1323" s="4"/>
    </row>
    <row r="1324">
      <c r="A1324" s="1" t="s">
        <v>17789</v>
      </c>
      <c r="B1324" s="1" t="s">
        <v>17790</v>
      </c>
      <c r="C1324" s="1" t="s">
        <v>17791</v>
      </c>
      <c r="D1324" s="1" t="s">
        <v>17610</v>
      </c>
      <c r="E1324" s="1" t="s">
        <v>17611</v>
      </c>
      <c r="F1324" s="1">
        <v>509701.0</v>
      </c>
      <c r="G1324" s="1">
        <v>22611.0</v>
      </c>
      <c r="H1324" s="1">
        <v>1342.0</v>
      </c>
      <c r="I1324" s="1">
        <v>3520000.0</v>
      </c>
      <c r="J1324" s="1" t="s">
        <v>2468</v>
      </c>
      <c r="K1324" s="5">
        <f t="shared" si="2"/>
        <v>0.1448014205</v>
      </c>
      <c r="L1324" s="6">
        <f t="shared" si="3"/>
        <v>833</v>
      </c>
      <c r="M1324" s="6">
        <f t="shared" si="4"/>
        <v>611.8859544</v>
      </c>
      <c r="N1324" s="7">
        <f t="shared" si="5"/>
        <v>0.000173831237</v>
      </c>
      <c r="O1324" s="7"/>
      <c r="P1324" s="4">
        <f t="shared" si="6"/>
        <v>-0.3270855759</v>
      </c>
      <c r="Q1324" s="4">
        <f t="shared" si="7"/>
        <v>9</v>
      </c>
      <c r="R1324" s="4">
        <f t="shared" si="8"/>
        <v>1</v>
      </c>
      <c r="S1324" s="4">
        <f t="shared" si="9"/>
        <v>-0.3270855759</v>
      </c>
      <c r="T1324" s="4">
        <f t="shared" si="10"/>
        <v>52</v>
      </c>
      <c r="U1324" s="4">
        <f t="shared" si="1"/>
        <v>-0.3270855759</v>
      </c>
      <c r="V1324" s="4"/>
    </row>
    <row r="1325">
      <c r="A1325" s="1" t="s">
        <v>17792</v>
      </c>
      <c r="B1325" s="1" t="s">
        <v>17793</v>
      </c>
      <c r="C1325" s="1" t="s">
        <v>17794</v>
      </c>
      <c r="D1325" s="1" t="s">
        <v>17610</v>
      </c>
      <c r="E1325" s="1" t="s">
        <v>17611</v>
      </c>
      <c r="F1325" s="1">
        <v>1159477.0</v>
      </c>
      <c r="G1325" s="1">
        <v>37399.0</v>
      </c>
      <c r="H1325" s="1">
        <v>5123.0</v>
      </c>
      <c r="I1325" s="1">
        <v>3520000.0</v>
      </c>
      <c r="J1325" s="1" t="s">
        <v>2468</v>
      </c>
      <c r="K1325" s="5">
        <f t="shared" si="2"/>
        <v>0.329396875</v>
      </c>
      <c r="L1325" s="6">
        <f t="shared" si="3"/>
        <v>840</v>
      </c>
      <c r="M1325" s="6">
        <f t="shared" si="4"/>
        <v>1380.329762</v>
      </c>
      <c r="N1325" s="7">
        <f t="shared" si="5"/>
        <v>0.0003921391369</v>
      </c>
      <c r="O1325" s="7"/>
      <c r="P1325" s="4">
        <f t="shared" si="6"/>
        <v>-0.1733174755</v>
      </c>
      <c r="Q1325" s="4">
        <f t="shared" si="7"/>
        <v>7</v>
      </c>
      <c r="R1325" s="4">
        <f t="shared" si="8"/>
        <v>0</v>
      </c>
      <c r="S1325" s="4">
        <f t="shared" si="9"/>
        <v>-0.1733174755</v>
      </c>
      <c r="T1325" s="4">
        <f t="shared" si="10"/>
        <v>48</v>
      </c>
      <c r="U1325" s="4">
        <f t="shared" si="1"/>
        <v>-0.1733174755</v>
      </c>
      <c r="V1325" s="4"/>
    </row>
    <row r="1326">
      <c r="A1326" s="1" t="s">
        <v>17795</v>
      </c>
      <c r="B1326" s="1" t="s">
        <v>17796</v>
      </c>
      <c r="C1326" s="1" t="s">
        <v>17797</v>
      </c>
      <c r="D1326" s="1" t="s">
        <v>17610</v>
      </c>
      <c r="E1326" s="1" t="s">
        <v>17611</v>
      </c>
      <c r="F1326" s="1">
        <v>590610.0</v>
      </c>
      <c r="G1326" s="1">
        <v>22403.0</v>
      </c>
      <c r="H1326" s="1">
        <v>1871.0</v>
      </c>
      <c r="I1326" s="1">
        <v>3520000.0</v>
      </c>
      <c r="J1326" s="1" t="s">
        <v>2468</v>
      </c>
      <c r="K1326" s="5">
        <f t="shared" si="2"/>
        <v>0.1677869318</v>
      </c>
      <c r="L1326" s="6">
        <f t="shared" si="3"/>
        <v>855</v>
      </c>
      <c r="M1326" s="6">
        <f t="shared" si="4"/>
        <v>690.7719298</v>
      </c>
      <c r="N1326" s="7">
        <f t="shared" si="5"/>
        <v>0.0001962420255</v>
      </c>
      <c r="O1326" s="7"/>
      <c r="P1326" s="4">
        <f t="shared" si="6"/>
        <v>-0.3113002361</v>
      </c>
      <c r="Q1326" s="4">
        <f t="shared" si="7"/>
        <v>9</v>
      </c>
      <c r="R1326" s="4">
        <f t="shared" si="8"/>
        <v>1</v>
      </c>
      <c r="S1326" s="4">
        <f t="shared" si="9"/>
        <v>-0.3113002361</v>
      </c>
      <c r="T1326" s="4">
        <f t="shared" si="10"/>
        <v>47</v>
      </c>
      <c r="U1326" s="4">
        <f t="shared" si="1"/>
        <v>-0.3113002361</v>
      </c>
      <c r="V1326" s="4"/>
    </row>
    <row r="1327">
      <c r="A1327" s="1" t="s">
        <v>17798</v>
      </c>
      <c r="B1327" s="1" t="s">
        <v>17799</v>
      </c>
      <c r="C1327" s="1" t="s">
        <v>17800</v>
      </c>
      <c r="D1327" s="1" t="s">
        <v>17610</v>
      </c>
      <c r="E1327" s="1" t="s">
        <v>17611</v>
      </c>
      <c r="F1327" s="1">
        <v>533917.0</v>
      </c>
      <c r="G1327" s="1">
        <v>22078.0</v>
      </c>
      <c r="H1327" s="1">
        <v>1957.0</v>
      </c>
      <c r="I1327" s="1">
        <v>3520000.0</v>
      </c>
      <c r="J1327" s="1" t="s">
        <v>2468</v>
      </c>
      <c r="K1327" s="5">
        <f t="shared" si="2"/>
        <v>0.1516809659</v>
      </c>
      <c r="L1327" s="6">
        <f t="shared" si="3"/>
        <v>868</v>
      </c>
      <c r="M1327" s="6">
        <f t="shared" si="4"/>
        <v>615.1117512</v>
      </c>
      <c r="N1327" s="7">
        <f t="shared" si="5"/>
        <v>0.0001747476566</v>
      </c>
      <c r="O1327" s="7"/>
      <c r="P1327" s="4">
        <f t="shared" si="6"/>
        <v>-0.3264400835</v>
      </c>
      <c r="Q1327" s="4">
        <f t="shared" si="7"/>
        <v>9</v>
      </c>
      <c r="R1327" s="4">
        <f t="shared" si="8"/>
        <v>1</v>
      </c>
      <c r="S1327" s="4">
        <f t="shared" si="9"/>
        <v>-0.3264400835</v>
      </c>
      <c r="T1327" s="4">
        <f t="shared" si="10"/>
        <v>33</v>
      </c>
      <c r="U1327" s="4">
        <f t="shared" si="1"/>
        <v>-0.3264400835</v>
      </c>
      <c r="V1327" s="4"/>
    </row>
    <row r="1328">
      <c r="A1328" s="1" t="s">
        <v>17801</v>
      </c>
      <c r="B1328" s="1" t="s">
        <v>17802</v>
      </c>
      <c r="C1328" s="1" t="s">
        <v>17803</v>
      </c>
      <c r="D1328" s="1" t="s">
        <v>17610</v>
      </c>
      <c r="E1328" s="1" t="s">
        <v>17611</v>
      </c>
      <c r="F1328" s="1">
        <v>368869.0</v>
      </c>
      <c r="G1328" s="1">
        <v>14590.0</v>
      </c>
      <c r="H1328" s="1">
        <v>748.0</v>
      </c>
      <c r="I1328" s="1">
        <v>3520000.0</v>
      </c>
      <c r="J1328" s="1" t="s">
        <v>2468</v>
      </c>
      <c r="K1328" s="5">
        <f t="shared" si="2"/>
        <v>0.1047923295</v>
      </c>
      <c r="L1328" s="6">
        <f t="shared" si="3"/>
        <v>880</v>
      </c>
      <c r="M1328" s="6">
        <f t="shared" si="4"/>
        <v>419.1693182</v>
      </c>
      <c r="N1328" s="7">
        <f t="shared" si="5"/>
        <v>0.0001190821927</v>
      </c>
      <c r="O1328" s="7"/>
      <c r="P1328" s="4">
        <f t="shared" si="6"/>
        <v>-0.3656488004</v>
      </c>
      <c r="Q1328" s="4">
        <f t="shared" si="7"/>
        <v>6</v>
      </c>
      <c r="R1328" s="4">
        <f t="shared" si="8"/>
        <v>0</v>
      </c>
      <c r="S1328" s="4">
        <f t="shared" si="9"/>
        <v>-0.3656488004</v>
      </c>
      <c r="T1328" s="4">
        <f t="shared" si="10"/>
        <v>32</v>
      </c>
      <c r="U1328" s="4">
        <f t="shared" si="1"/>
        <v>-0.3656488004</v>
      </c>
      <c r="V1328" s="4"/>
    </row>
    <row r="1329">
      <c r="A1329" s="1" t="s">
        <v>17804</v>
      </c>
      <c r="B1329" s="1" t="s">
        <v>17805</v>
      </c>
      <c r="C1329" s="1" t="s">
        <v>17806</v>
      </c>
      <c r="D1329" s="1" t="s">
        <v>17610</v>
      </c>
      <c r="E1329" s="1" t="s">
        <v>17611</v>
      </c>
      <c r="F1329" s="1">
        <v>896382.0</v>
      </c>
      <c r="G1329" s="1">
        <v>31608.0</v>
      </c>
      <c r="H1329" s="1">
        <v>2555.0</v>
      </c>
      <c r="I1329" s="1">
        <v>3520000.0</v>
      </c>
      <c r="J1329" s="1" t="s">
        <v>2468</v>
      </c>
      <c r="K1329" s="5">
        <f t="shared" si="2"/>
        <v>0.2546539773</v>
      </c>
      <c r="L1329" s="6">
        <f t="shared" si="3"/>
        <v>889</v>
      </c>
      <c r="M1329" s="6">
        <f t="shared" si="4"/>
        <v>1008.303712</v>
      </c>
      <c r="N1329" s="7">
        <f t="shared" si="5"/>
        <v>0.0002864499182</v>
      </c>
      <c r="O1329" s="7"/>
      <c r="P1329" s="4">
        <f t="shared" si="6"/>
        <v>-0.2477610957</v>
      </c>
      <c r="Q1329" s="4">
        <f t="shared" si="7"/>
        <v>11</v>
      </c>
      <c r="R1329" s="4">
        <f t="shared" si="8"/>
        <v>1</v>
      </c>
      <c r="S1329" s="4">
        <f t="shared" si="9"/>
        <v>-0.2477610957</v>
      </c>
      <c r="T1329" s="4">
        <f t="shared" si="10"/>
        <v>51</v>
      </c>
      <c r="U1329" s="4">
        <f t="shared" si="1"/>
        <v>-0.2477610957</v>
      </c>
      <c r="V1329" s="4"/>
    </row>
    <row r="1330">
      <c r="A1330" s="1" t="s">
        <v>17807</v>
      </c>
      <c r="B1330" s="1" t="s">
        <v>17808</v>
      </c>
      <c r="C1330" s="1" t="s">
        <v>17809</v>
      </c>
      <c r="D1330" s="1" t="s">
        <v>17610</v>
      </c>
      <c r="E1330" s="1" t="s">
        <v>17611</v>
      </c>
      <c r="F1330" s="1">
        <v>804932.0</v>
      </c>
      <c r="G1330" s="1">
        <v>27492.0</v>
      </c>
      <c r="H1330" s="1">
        <v>1981.0</v>
      </c>
      <c r="I1330" s="1">
        <v>3520000.0</v>
      </c>
      <c r="J1330" s="1" t="s">
        <v>2468</v>
      </c>
      <c r="K1330" s="5">
        <f t="shared" si="2"/>
        <v>0.2286738636</v>
      </c>
      <c r="L1330" s="6">
        <f t="shared" si="3"/>
        <v>896</v>
      </c>
      <c r="M1330" s="6">
        <f t="shared" si="4"/>
        <v>898.3616071</v>
      </c>
      <c r="N1330" s="7">
        <f t="shared" si="5"/>
        <v>0.0002552163657</v>
      </c>
      <c r="O1330" s="7"/>
      <c r="P1330" s="4">
        <f t="shared" si="6"/>
        <v>-0.2697608678</v>
      </c>
      <c r="Q1330" s="4">
        <f t="shared" si="7"/>
        <v>7</v>
      </c>
      <c r="R1330" s="4">
        <f t="shared" si="8"/>
        <v>1</v>
      </c>
      <c r="S1330" s="4">
        <f t="shared" si="9"/>
        <v>-0.2697608678</v>
      </c>
      <c r="T1330" s="4">
        <f t="shared" si="10"/>
        <v>39</v>
      </c>
      <c r="U1330" s="4">
        <f t="shared" si="1"/>
        <v>-0.2697608678</v>
      </c>
      <c r="V1330" s="4"/>
    </row>
    <row r="1331">
      <c r="A1331" s="1" t="s">
        <v>17810</v>
      </c>
      <c r="B1331" s="1" t="s">
        <v>17811</v>
      </c>
      <c r="C1331" s="1" t="s">
        <v>17812</v>
      </c>
      <c r="D1331" s="1" t="s">
        <v>17610</v>
      </c>
      <c r="E1331" s="1" t="s">
        <v>17611</v>
      </c>
      <c r="F1331" s="1">
        <v>504280.0</v>
      </c>
      <c r="G1331" s="1">
        <v>21328.0</v>
      </c>
      <c r="H1331" s="1">
        <v>2955.0</v>
      </c>
      <c r="I1331" s="1">
        <v>3520000.0</v>
      </c>
      <c r="J1331" s="1" t="s">
        <v>2468</v>
      </c>
      <c r="K1331" s="5">
        <f t="shared" si="2"/>
        <v>0.1432613636</v>
      </c>
      <c r="L1331" s="6">
        <f t="shared" si="3"/>
        <v>903</v>
      </c>
      <c r="M1331" s="6">
        <f t="shared" si="4"/>
        <v>558.4496124</v>
      </c>
      <c r="N1331" s="7">
        <f t="shared" si="5"/>
        <v>0.0001586504581</v>
      </c>
      <c r="O1331" s="7"/>
      <c r="P1331" s="4">
        <f t="shared" si="6"/>
        <v>-0.3377783614</v>
      </c>
      <c r="Q1331" s="4">
        <f t="shared" si="7"/>
        <v>7</v>
      </c>
      <c r="R1331" s="4">
        <f t="shared" si="8"/>
        <v>1</v>
      </c>
      <c r="S1331" s="4">
        <f t="shared" si="9"/>
        <v>-0.3377783614</v>
      </c>
      <c r="T1331" s="4">
        <f t="shared" si="10"/>
        <v>35</v>
      </c>
      <c r="U1331" s="4">
        <f t="shared" si="1"/>
        <v>-0.3377783614</v>
      </c>
      <c r="V1331" s="4"/>
    </row>
    <row r="1332">
      <c r="A1332" s="1" t="s">
        <v>17813</v>
      </c>
      <c r="B1332" s="1" t="s">
        <v>17814</v>
      </c>
      <c r="C1332" s="1" t="s">
        <v>17815</v>
      </c>
      <c r="D1332" s="1" t="s">
        <v>17610</v>
      </c>
      <c r="E1332" s="1" t="s">
        <v>17611</v>
      </c>
      <c r="F1332" s="1">
        <v>1017629.0</v>
      </c>
      <c r="G1332" s="1">
        <v>26764.0</v>
      </c>
      <c r="H1332" s="1">
        <v>1446.0</v>
      </c>
      <c r="I1332" s="1">
        <v>3520000.0</v>
      </c>
      <c r="J1332" s="1" t="s">
        <v>2468</v>
      </c>
      <c r="K1332" s="5">
        <f t="shared" si="2"/>
        <v>0.2890991477</v>
      </c>
      <c r="L1332" s="6">
        <f t="shared" si="3"/>
        <v>917</v>
      </c>
      <c r="M1332" s="6">
        <f t="shared" si="4"/>
        <v>1109.737186</v>
      </c>
      <c r="N1332" s="7">
        <f t="shared" si="5"/>
        <v>0.0003152662462</v>
      </c>
      <c r="O1332" s="7"/>
      <c r="P1332" s="4">
        <f t="shared" si="6"/>
        <v>-0.2274639282</v>
      </c>
      <c r="Q1332" s="4">
        <f t="shared" si="7"/>
        <v>8</v>
      </c>
      <c r="R1332" s="4">
        <f t="shared" si="8"/>
        <v>0</v>
      </c>
      <c r="S1332" s="4">
        <f t="shared" si="9"/>
        <v>-0.2274639282</v>
      </c>
      <c r="T1332" s="4">
        <f t="shared" si="10"/>
        <v>45</v>
      </c>
      <c r="U1332" s="4">
        <f t="shared" si="1"/>
        <v>-0.2274639282</v>
      </c>
      <c r="V1332" s="4"/>
    </row>
    <row r="1333">
      <c r="A1333" s="1" t="s">
        <v>17816</v>
      </c>
      <c r="B1333" s="1" t="s">
        <v>17817</v>
      </c>
      <c r="C1333" s="1" t="s">
        <v>17818</v>
      </c>
      <c r="D1333" s="1" t="s">
        <v>17610</v>
      </c>
      <c r="E1333" s="1" t="s">
        <v>17611</v>
      </c>
      <c r="F1333" s="1">
        <v>2371107.0</v>
      </c>
      <c r="G1333" s="1">
        <v>67563.0</v>
      </c>
      <c r="H1333" s="1">
        <v>4572.0</v>
      </c>
      <c r="I1333" s="1">
        <v>3520000.0</v>
      </c>
      <c r="J1333" s="1" t="s">
        <v>2468</v>
      </c>
      <c r="K1333" s="5">
        <f t="shared" si="2"/>
        <v>0.6736099432</v>
      </c>
      <c r="L1333" s="6">
        <f t="shared" si="3"/>
        <v>924</v>
      </c>
      <c r="M1333" s="6">
        <f t="shared" si="4"/>
        <v>2566.133117</v>
      </c>
      <c r="N1333" s="7">
        <f t="shared" si="5"/>
        <v>0.00072901509</v>
      </c>
      <c r="O1333" s="7"/>
      <c r="P1333" s="4">
        <f t="shared" si="6"/>
        <v>0.06396562527</v>
      </c>
      <c r="Q1333" s="4">
        <f t="shared" si="7"/>
        <v>6</v>
      </c>
      <c r="R1333" s="4">
        <f t="shared" si="8"/>
        <v>1</v>
      </c>
      <c r="S1333" s="4">
        <f t="shared" si="9"/>
        <v>0.06396562527</v>
      </c>
      <c r="T1333" s="4">
        <f t="shared" si="10"/>
        <v>29</v>
      </c>
      <c r="U1333" s="4">
        <f t="shared" si="1"/>
        <v>0.06396562527</v>
      </c>
      <c r="V1333" s="4"/>
    </row>
    <row r="1334">
      <c r="A1334" s="1" t="s">
        <v>17819</v>
      </c>
      <c r="B1334" s="1" t="s">
        <v>17820</v>
      </c>
      <c r="C1334" s="1" t="s">
        <v>17821</v>
      </c>
      <c r="D1334" s="1" t="s">
        <v>17610</v>
      </c>
      <c r="E1334" s="1" t="s">
        <v>17611</v>
      </c>
      <c r="F1334" s="1">
        <v>503682.0</v>
      </c>
      <c r="G1334" s="1">
        <v>19805.0</v>
      </c>
      <c r="H1334" s="1">
        <v>957.0</v>
      </c>
      <c r="I1334" s="1">
        <v>3520000.0</v>
      </c>
      <c r="J1334" s="1" t="s">
        <v>2468</v>
      </c>
      <c r="K1334" s="5">
        <f t="shared" si="2"/>
        <v>0.1430914773</v>
      </c>
      <c r="L1334" s="6">
        <f t="shared" si="3"/>
        <v>932</v>
      </c>
      <c r="M1334" s="6">
        <f t="shared" si="4"/>
        <v>540.4313305</v>
      </c>
      <c r="N1334" s="7">
        <f t="shared" si="5"/>
        <v>0.000153531628</v>
      </c>
      <c r="O1334" s="7"/>
      <c r="P1334" s="4">
        <f t="shared" si="6"/>
        <v>-0.3413838781</v>
      </c>
      <c r="Q1334" s="4">
        <f t="shared" si="7"/>
        <v>10</v>
      </c>
      <c r="R1334" s="4">
        <f t="shared" si="8"/>
        <v>1</v>
      </c>
      <c r="S1334" s="4">
        <f t="shared" si="9"/>
        <v>-0.3413838781</v>
      </c>
      <c r="T1334" s="4">
        <f t="shared" si="10"/>
        <v>52</v>
      </c>
      <c r="U1334" s="4">
        <f t="shared" si="1"/>
        <v>-0.3413838781</v>
      </c>
      <c r="V1334" s="4"/>
    </row>
    <row r="1335">
      <c r="A1335" s="1" t="s">
        <v>17822</v>
      </c>
      <c r="B1335" s="1" t="s">
        <v>17823</v>
      </c>
      <c r="C1335" s="1" t="s">
        <v>17824</v>
      </c>
      <c r="D1335" s="1" t="s">
        <v>17610</v>
      </c>
      <c r="E1335" s="1" t="s">
        <v>17611</v>
      </c>
      <c r="F1335" s="1">
        <v>889214.0</v>
      </c>
      <c r="G1335" s="1">
        <v>29785.0</v>
      </c>
      <c r="H1335" s="1">
        <v>2288.0</v>
      </c>
      <c r="I1335" s="1">
        <v>3520000.0</v>
      </c>
      <c r="J1335" s="1" t="s">
        <v>2468</v>
      </c>
      <c r="K1335" s="5">
        <f t="shared" si="2"/>
        <v>0.2526176136</v>
      </c>
      <c r="L1335" s="6">
        <f t="shared" si="3"/>
        <v>960</v>
      </c>
      <c r="M1335" s="6">
        <f t="shared" si="4"/>
        <v>926.2645833</v>
      </c>
      <c r="N1335" s="7">
        <f t="shared" si="5"/>
        <v>0.0002631433475</v>
      </c>
      <c r="O1335" s="7"/>
      <c r="P1335" s="4">
        <f t="shared" si="6"/>
        <v>-0.2641773917</v>
      </c>
      <c r="Q1335" s="4">
        <f t="shared" si="7"/>
        <v>4</v>
      </c>
      <c r="R1335" s="4">
        <f t="shared" si="8"/>
        <v>1</v>
      </c>
      <c r="S1335" s="4">
        <f t="shared" si="9"/>
        <v>-0.2641773917</v>
      </c>
      <c r="T1335" s="4">
        <f t="shared" si="10"/>
        <v>32</v>
      </c>
      <c r="U1335" s="4">
        <f t="shared" si="1"/>
        <v>-0.2641773917</v>
      </c>
      <c r="V1335" s="4"/>
    </row>
    <row r="1336">
      <c r="A1336" s="1" t="s">
        <v>17825</v>
      </c>
      <c r="B1336" s="1" t="s">
        <v>17826</v>
      </c>
      <c r="C1336" s="1" t="s">
        <v>17827</v>
      </c>
      <c r="D1336" s="1" t="s">
        <v>17610</v>
      </c>
      <c r="E1336" s="1" t="s">
        <v>17611</v>
      </c>
      <c r="F1336" s="1">
        <v>507645.0</v>
      </c>
      <c r="G1336" s="1">
        <v>18518.0</v>
      </c>
      <c r="H1336" s="1">
        <v>1123.0</v>
      </c>
      <c r="I1336" s="1">
        <v>3520000.0</v>
      </c>
      <c r="J1336" s="1" t="s">
        <v>2468</v>
      </c>
      <c r="K1336" s="5">
        <f t="shared" si="2"/>
        <v>0.1442173295</v>
      </c>
      <c r="L1336" s="6">
        <f t="shared" si="3"/>
        <v>967</v>
      </c>
      <c r="M1336" s="6">
        <f t="shared" si="4"/>
        <v>524.9689762</v>
      </c>
      <c r="N1336" s="7">
        <f t="shared" si="5"/>
        <v>0.0001491389137</v>
      </c>
      <c r="O1336" s="7"/>
      <c r="P1336" s="4">
        <f t="shared" si="6"/>
        <v>-0.3444779454</v>
      </c>
      <c r="Q1336" s="4">
        <f t="shared" si="7"/>
        <v>10</v>
      </c>
      <c r="R1336" s="4">
        <f t="shared" si="8"/>
        <v>1</v>
      </c>
      <c r="S1336" s="4">
        <f t="shared" si="9"/>
        <v>-0.3444779454</v>
      </c>
      <c r="T1336" s="4">
        <f t="shared" si="10"/>
        <v>46</v>
      </c>
      <c r="U1336" s="4">
        <f t="shared" si="1"/>
        <v>-0.3444779454</v>
      </c>
      <c r="V1336" s="4"/>
    </row>
    <row r="1337">
      <c r="A1337" s="1" t="s">
        <v>17828</v>
      </c>
      <c r="B1337" s="1" t="s">
        <v>17829</v>
      </c>
      <c r="C1337" s="1" t="s">
        <v>17830</v>
      </c>
      <c r="D1337" s="1" t="s">
        <v>17610</v>
      </c>
      <c r="E1337" s="1" t="s">
        <v>17611</v>
      </c>
      <c r="F1337" s="1">
        <v>1095891.0</v>
      </c>
      <c r="G1337" s="1">
        <v>26351.0</v>
      </c>
      <c r="H1337" s="1">
        <v>1649.0</v>
      </c>
      <c r="I1337" s="1">
        <v>3520000.0</v>
      </c>
      <c r="J1337" s="1" t="s">
        <v>2468</v>
      </c>
      <c r="K1337" s="5">
        <f t="shared" si="2"/>
        <v>0.3113326705</v>
      </c>
      <c r="L1337" s="6">
        <f t="shared" si="3"/>
        <v>988</v>
      </c>
      <c r="M1337" s="6">
        <f t="shared" si="4"/>
        <v>1109.201417</v>
      </c>
      <c r="N1337" s="7">
        <f t="shared" si="5"/>
        <v>0.0003151140389</v>
      </c>
      <c r="O1337" s="7"/>
      <c r="P1337" s="4">
        <f t="shared" si="6"/>
        <v>-0.2275711374</v>
      </c>
      <c r="Q1337" s="4">
        <f t="shared" si="7"/>
        <v>12</v>
      </c>
      <c r="R1337" s="4">
        <f t="shared" si="8"/>
        <v>1</v>
      </c>
      <c r="S1337" s="4">
        <f t="shared" si="9"/>
        <v>-0.2275711374</v>
      </c>
      <c r="T1337" s="4">
        <f t="shared" si="10"/>
        <v>48</v>
      </c>
      <c r="U1337" s="4">
        <f t="shared" si="1"/>
        <v>-0.2275711374</v>
      </c>
      <c r="V1337" s="4"/>
    </row>
    <row r="1338">
      <c r="A1338" s="1" t="s">
        <v>17831</v>
      </c>
      <c r="B1338" s="1" t="s">
        <v>17832</v>
      </c>
      <c r="C1338" s="1" t="s">
        <v>17833</v>
      </c>
      <c r="D1338" s="1" t="s">
        <v>17610</v>
      </c>
      <c r="E1338" s="1" t="s">
        <v>17611</v>
      </c>
      <c r="F1338" s="1">
        <v>2466313.0</v>
      </c>
      <c r="G1338" s="1">
        <v>59379.0</v>
      </c>
      <c r="H1338" s="1">
        <v>5481.0</v>
      </c>
      <c r="I1338" s="1">
        <v>3520000.0</v>
      </c>
      <c r="J1338" s="1" t="s">
        <v>2468</v>
      </c>
      <c r="K1338" s="5">
        <f t="shared" si="2"/>
        <v>0.7006571023</v>
      </c>
      <c r="L1338" s="6">
        <f t="shared" si="3"/>
        <v>1001</v>
      </c>
      <c r="M1338" s="6">
        <f t="shared" si="4"/>
        <v>2463.849151</v>
      </c>
      <c r="N1338" s="7">
        <f t="shared" si="5"/>
        <v>0.0006999571451</v>
      </c>
      <c r="O1338" s="7"/>
      <c r="P1338" s="4">
        <f t="shared" si="6"/>
        <v>0.04349827163</v>
      </c>
      <c r="Q1338" s="4">
        <f t="shared" si="7"/>
        <v>11</v>
      </c>
      <c r="R1338" s="4">
        <f t="shared" si="8"/>
        <v>1</v>
      </c>
      <c r="S1338" s="4">
        <f t="shared" si="9"/>
        <v>0.04349827163</v>
      </c>
      <c r="T1338" s="4">
        <f t="shared" si="10"/>
        <v>61</v>
      </c>
      <c r="U1338" s="4">
        <f t="shared" si="1"/>
        <v>0.04349827163</v>
      </c>
      <c r="V1338" s="4"/>
    </row>
    <row r="1339">
      <c r="A1339" s="1" t="s">
        <v>17834</v>
      </c>
      <c r="B1339" s="1" t="s">
        <v>17835</v>
      </c>
      <c r="C1339" s="1" t="s">
        <v>17836</v>
      </c>
      <c r="D1339" s="1" t="s">
        <v>17610</v>
      </c>
      <c r="E1339" s="1" t="s">
        <v>17611</v>
      </c>
      <c r="F1339" s="1">
        <v>516330.0</v>
      </c>
      <c r="G1339" s="1">
        <v>17735.0</v>
      </c>
      <c r="H1339" s="1">
        <v>2313.0</v>
      </c>
      <c r="I1339" s="1">
        <v>3520000.0</v>
      </c>
      <c r="J1339" s="1" t="s">
        <v>2468</v>
      </c>
      <c r="K1339" s="5">
        <f t="shared" si="2"/>
        <v>0.1466846591</v>
      </c>
      <c r="L1339" s="6">
        <f t="shared" si="3"/>
        <v>1008</v>
      </c>
      <c r="M1339" s="6">
        <f t="shared" si="4"/>
        <v>512.2321429</v>
      </c>
      <c r="N1339" s="7">
        <f t="shared" si="5"/>
        <v>0.0001455204951</v>
      </c>
      <c r="O1339" s="7"/>
      <c r="P1339" s="4">
        <f t="shared" si="6"/>
        <v>-0.3470266271</v>
      </c>
      <c r="Q1339" s="4">
        <f t="shared" si="7"/>
        <v>6</v>
      </c>
      <c r="R1339" s="4">
        <f t="shared" si="8"/>
        <v>1</v>
      </c>
      <c r="S1339" s="4">
        <f t="shared" si="9"/>
        <v>-0.3470266271</v>
      </c>
      <c r="T1339" s="4">
        <f t="shared" si="10"/>
        <v>41</v>
      </c>
      <c r="U1339" s="4">
        <f t="shared" si="1"/>
        <v>-0.3470266271</v>
      </c>
      <c r="V1339" s="4"/>
    </row>
    <row r="1340">
      <c r="A1340" s="1" t="s">
        <v>17837</v>
      </c>
      <c r="B1340" s="1" t="s">
        <v>17838</v>
      </c>
      <c r="C1340" s="1" t="s">
        <v>17839</v>
      </c>
      <c r="D1340" s="1" t="s">
        <v>17610</v>
      </c>
      <c r="E1340" s="1" t="s">
        <v>17611</v>
      </c>
      <c r="F1340" s="1">
        <v>1929975.0</v>
      </c>
      <c r="G1340" s="1">
        <v>50383.0</v>
      </c>
      <c r="H1340" s="1">
        <v>4936.0</v>
      </c>
      <c r="I1340" s="1">
        <v>3520000.0</v>
      </c>
      <c r="J1340" s="1" t="s">
        <v>2468</v>
      </c>
      <c r="K1340" s="5">
        <f t="shared" si="2"/>
        <v>0.5482883523</v>
      </c>
      <c r="L1340" s="6">
        <f t="shared" si="3"/>
        <v>1029</v>
      </c>
      <c r="M1340" s="6">
        <f t="shared" si="4"/>
        <v>1875.58309</v>
      </c>
      <c r="N1340" s="7">
        <f t="shared" si="5"/>
        <v>0.0005328361052</v>
      </c>
      <c r="O1340" s="7"/>
      <c r="P1340" s="4">
        <f t="shared" si="6"/>
        <v>-0.07421567673</v>
      </c>
      <c r="Q1340" s="4">
        <f t="shared" si="7"/>
        <v>6</v>
      </c>
      <c r="R1340" s="4">
        <f t="shared" si="8"/>
        <v>1</v>
      </c>
      <c r="S1340" s="4">
        <f t="shared" si="9"/>
        <v>-0.07421567673</v>
      </c>
      <c r="T1340" s="4">
        <f t="shared" si="10"/>
        <v>25</v>
      </c>
      <c r="U1340" s="4">
        <f t="shared" si="1"/>
        <v>-0.07421567673</v>
      </c>
      <c r="V1340" s="4"/>
    </row>
    <row r="1341">
      <c r="A1341" s="1" t="s">
        <v>17840</v>
      </c>
      <c r="B1341" s="1" t="s">
        <v>17841</v>
      </c>
      <c r="C1341" s="1" t="s">
        <v>17842</v>
      </c>
      <c r="D1341" s="1" t="s">
        <v>17610</v>
      </c>
      <c r="E1341" s="1" t="s">
        <v>17611</v>
      </c>
      <c r="F1341" s="1">
        <v>656519.0</v>
      </c>
      <c r="G1341" s="1">
        <v>20976.0</v>
      </c>
      <c r="H1341" s="1">
        <v>1268.0</v>
      </c>
      <c r="I1341" s="1">
        <v>3520000.0</v>
      </c>
      <c r="J1341" s="1" t="s">
        <v>2468</v>
      </c>
      <c r="K1341" s="5">
        <f t="shared" si="2"/>
        <v>0.1865110795</v>
      </c>
      <c r="L1341" s="6">
        <f t="shared" si="3"/>
        <v>1036</v>
      </c>
      <c r="M1341" s="6">
        <f t="shared" si="4"/>
        <v>633.7055985</v>
      </c>
      <c r="N1341" s="7">
        <f t="shared" si="5"/>
        <v>0.0001800299996</v>
      </c>
      <c r="O1341" s="7"/>
      <c r="P1341" s="4">
        <f t="shared" si="6"/>
        <v>-0.3227193943</v>
      </c>
      <c r="Q1341" s="4">
        <f t="shared" si="7"/>
        <v>8</v>
      </c>
      <c r="R1341" s="4">
        <f t="shared" si="8"/>
        <v>1</v>
      </c>
      <c r="S1341" s="4">
        <f t="shared" si="9"/>
        <v>-0.3227193943</v>
      </c>
      <c r="T1341" s="4">
        <f t="shared" si="10"/>
        <v>38</v>
      </c>
      <c r="U1341" s="4">
        <f t="shared" si="1"/>
        <v>-0.3227193943</v>
      </c>
      <c r="V1341" s="4"/>
    </row>
    <row r="1342">
      <c r="A1342" s="1" t="s">
        <v>17843</v>
      </c>
      <c r="B1342" s="1" t="s">
        <v>17844</v>
      </c>
      <c r="C1342" s="1" t="s">
        <v>17845</v>
      </c>
      <c r="D1342" s="1" t="s">
        <v>17610</v>
      </c>
      <c r="E1342" s="1" t="s">
        <v>17611</v>
      </c>
      <c r="F1342" s="1">
        <v>773979.0</v>
      </c>
      <c r="G1342" s="1">
        <v>28300.0</v>
      </c>
      <c r="H1342" s="1">
        <v>1195.0</v>
      </c>
      <c r="I1342" s="1">
        <v>3520000.0</v>
      </c>
      <c r="J1342" s="1" t="s">
        <v>2468</v>
      </c>
      <c r="K1342" s="5">
        <f t="shared" si="2"/>
        <v>0.2198803977</v>
      </c>
      <c r="L1342" s="6">
        <f t="shared" si="3"/>
        <v>1050</v>
      </c>
      <c r="M1342" s="6">
        <f t="shared" si="4"/>
        <v>737.1228571</v>
      </c>
      <c r="N1342" s="7">
        <f t="shared" si="5"/>
        <v>0.0002094099026</v>
      </c>
      <c r="O1342" s="7"/>
      <c r="P1342" s="4">
        <f t="shared" si="6"/>
        <v>-0.3020252651</v>
      </c>
      <c r="Q1342" s="4">
        <f t="shared" si="7"/>
        <v>8</v>
      </c>
      <c r="R1342" s="4">
        <f t="shared" si="8"/>
        <v>1</v>
      </c>
      <c r="S1342" s="4">
        <f t="shared" si="9"/>
        <v>-0.3020252651</v>
      </c>
      <c r="T1342" s="4">
        <f t="shared" si="10"/>
        <v>39</v>
      </c>
      <c r="U1342" s="4">
        <f t="shared" si="1"/>
        <v>-0.3020252651</v>
      </c>
      <c r="V1342" s="4"/>
    </row>
    <row r="1343">
      <c r="A1343" s="1" t="s">
        <v>17846</v>
      </c>
      <c r="B1343" s="1" t="s">
        <v>17847</v>
      </c>
      <c r="C1343" s="1" t="s">
        <v>17848</v>
      </c>
      <c r="D1343" s="1" t="s">
        <v>17610</v>
      </c>
      <c r="E1343" s="1" t="s">
        <v>17611</v>
      </c>
      <c r="F1343" s="1">
        <v>774397.0</v>
      </c>
      <c r="G1343" s="1">
        <v>24547.0</v>
      </c>
      <c r="H1343" s="1">
        <v>1516.0</v>
      </c>
      <c r="I1343" s="1">
        <v>3520000.0</v>
      </c>
      <c r="J1343" s="1" t="s">
        <v>2468</v>
      </c>
      <c r="K1343" s="5">
        <f t="shared" si="2"/>
        <v>0.2199991477</v>
      </c>
      <c r="L1343" s="6">
        <f t="shared" si="3"/>
        <v>1057</v>
      </c>
      <c r="M1343" s="6">
        <f t="shared" si="4"/>
        <v>732.6367077</v>
      </c>
      <c r="N1343" s="7">
        <f t="shared" si="5"/>
        <v>0.0002081354283</v>
      </c>
      <c r="O1343" s="7"/>
      <c r="P1343" s="4">
        <f t="shared" si="6"/>
        <v>-0.3029229582</v>
      </c>
      <c r="Q1343" s="4">
        <f t="shared" si="7"/>
        <v>7</v>
      </c>
      <c r="R1343" s="4">
        <f t="shared" si="8"/>
        <v>0</v>
      </c>
      <c r="S1343" s="4">
        <f t="shared" si="9"/>
        <v>-0.3029229582</v>
      </c>
      <c r="T1343" s="4">
        <f t="shared" si="10"/>
        <v>37</v>
      </c>
      <c r="U1343" s="4">
        <f t="shared" si="1"/>
        <v>-0.3029229582</v>
      </c>
      <c r="V1343" s="4"/>
    </row>
    <row r="1344">
      <c r="A1344" s="1" t="s">
        <v>17849</v>
      </c>
      <c r="B1344" s="1" t="s">
        <v>17850</v>
      </c>
      <c r="C1344" s="1" t="s">
        <v>17851</v>
      </c>
      <c r="D1344" s="1" t="s">
        <v>17610</v>
      </c>
      <c r="E1344" s="1" t="s">
        <v>17611</v>
      </c>
      <c r="F1344" s="1">
        <v>489077.0</v>
      </c>
      <c r="G1344" s="1">
        <v>19694.0</v>
      </c>
      <c r="H1344" s="1">
        <v>1900.0</v>
      </c>
      <c r="I1344" s="1">
        <v>3520000.0</v>
      </c>
      <c r="J1344" s="1" t="s">
        <v>2468</v>
      </c>
      <c r="K1344" s="5">
        <f t="shared" si="2"/>
        <v>0.1389423295</v>
      </c>
      <c r="L1344" s="6">
        <f t="shared" si="3"/>
        <v>1071</v>
      </c>
      <c r="M1344" s="6">
        <f t="shared" si="4"/>
        <v>456.6545285</v>
      </c>
      <c r="N1344" s="7">
        <f t="shared" si="5"/>
        <v>0.0001297314001</v>
      </c>
      <c r="O1344" s="7"/>
      <c r="P1344" s="4">
        <f t="shared" si="6"/>
        <v>-0.3581478882</v>
      </c>
      <c r="Q1344" s="4">
        <f t="shared" si="7"/>
        <v>9</v>
      </c>
      <c r="R1344" s="4">
        <f t="shared" si="8"/>
        <v>1</v>
      </c>
      <c r="S1344" s="4">
        <f t="shared" si="9"/>
        <v>-0.3581478882</v>
      </c>
      <c r="T1344" s="4">
        <f t="shared" si="10"/>
        <v>36</v>
      </c>
      <c r="U1344" s="4">
        <f t="shared" si="1"/>
        <v>-0.3581478882</v>
      </c>
      <c r="V1344" s="4"/>
    </row>
    <row r="1345">
      <c r="A1345" s="1" t="s">
        <v>17852</v>
      </c>
      <c r="B1345" s="1" t="s">
        <v>17853</v>
      </c>
      <c r="C1345" s="1" t="s">
        <v>17854</v>
      </c>
      <c r="D1345" s="1" t="s">
        <v>17610</v>
      </c>
      <c r="E1345" s="1" t="s">
        <v>17611</v>
      </c>
      <c r="F1345" s="1">
        <v>612068.0</v>
      </c>
      <c r="G1345" s="1">
        <v>23024.0</v>
      </c>
      <c r="H1345" s="1">
        <v>1411.0</v>
      </c>
      <c r="I1345" s="1">
        <v>3520000.0</v>
      </c>
      <c r="J1345" s="1" t="s">
        <v>2468</v>
      </c>
      <c r="K1345" s="5">
        <f t="shared" si="2"/>
        <v>0.1738829545</v>
      </c>
      <c r="L1345" s="6">
        <f t="shared" si="3"/>
        <v>1079</v>
      </c>
      <c r="M1345" s="6">
        <f t="shared" si="4"/>
        <v>567.2548656</v>
      </c>
      <c r="N1345" s="7">
        <f t="shared" si="5"/>
        <v>0.0001611519505</v>
      </c>
      <c r="O1345" s="7"/>
      <c r="P1345" s="4">
        <f t="shared" si="6"/>
        <v>-0.3360164017</v>
      </c>
      <c r="Q1345" s="4">
        <f t="shared" si="7"/>
        <v>5</v>
      </c>
      <c r="R1345" s="4">
        <f t="shared" si="8"/>
        <v>1</v>
      </c>
      <c r="S1345" s="4">
        <f t="shared" si="9"/>
        <v>-0.3360164017</v>
      </c>
      <c r="T1345" s="4">
        <f t="shared" si="10"/>
        <v>43</v>
      </c>
      <c r="U1345" s="4">
        <f t="shared" si="1"/>
        <v>-0.3360164017</v>
      </c>
      <c r="V1345" s="4"/>
    </row>
    <row r="1346">
      <c r="A1346" s="1" t="s">
        <v>17855</v>
      </c>
      <c r="B1346" s="1" t="s">
        <v>17856</v>
      </c>
      <c r="C1346" s="1" t="s">
        <v>17857</v>
      </c>
      <c r="D1346" s="1" t="s">
        <v>17610</v>
      </c>
      <c r="E1346" s="1" t="s">
        <v>17611</v>
      </c>
      <c r="F1346" s="1">
        <v>437516.0</v>
      </c>
      <c r="G1346" s="1">
        <v>16970.0</v>
      </c>
      <c r="H1346" s="1">
        <v>1141.0</v>
      </c>
      <c r="I1346" s="1">
        <v>3520000.0</v>
      </c>
      <c r="J1346" s="1" t="s">
        <v>2468</v>
      </c>
      <c r="K1346" s="5">
        <f t="shared" si="2"/>
        <v>0.1242943182</v>
      </c>
      <c r="L1346" s="6">
        <f t="shared" si="3"/>
        <v>1086</v>
      </c>
      <c r="M1346" s="6">
        <f t="shared" si="4"/>
        <v>402.8692449</v>
      </c>
      <c r="N1346" s="7">
        <f t="shared" si="5"/>
        <v>0.00011445149</v>
      </c>
      <c r="O1346" s="7"/>
      <c r="P1346" s="4">
        <f t="shared" si="6"/>
        <v>-0.368910498</v>
      </c>
      <c r="Q1346" s="4">
        <f t="shared" si="7"/>
        <v>10</v>
      </c>
      <c r="R1346" s="4">
        <f t="shared" si="8"/>
        <v>1</v>
      </c>
      <c r="S1346" s="4">
        <f t="shared" si="9"/>
        <v>-0.368910498</v>
      </c>
      <c r="T1346" s="4">
        <f t="shared" si="10"/>
        <v>47</v>
      </c>
      <c r="U1346" s="4">
        <f t="shared" si="1"/>
        <v>-0.368910498</v>
      </c>
      <c r="V1346" s="4"/>
    </row>
    <row r="1347">
      <c r="A1347" s="1" t="s">
        <v>17858</v>
      </c>
      <c r="B1347" s="1" t="s">
        <v>17859</v>
      </c>
      <c r="C1347" s="1" t="s">
        <v>17860</v>
      </c>
      <c r="D1347" s="1" t="s">
        <v>17610</v>
      </c>
      <c r="E1347" s="1" t="s">
        <v>17611</v>
      </c>
      <c r="F1347" s="1">
        <v>825018.0</v>
      </c>
      <c r="G1347" s="1">
        <v>29676.0</v>
      </c>
      <c r="H1347" s="1">
        <v>1971.0</v>
      </c>
      <c r="I1347" s="1">
        <v>3520000.0</v>
      </c>
      <c r="J1347" s="1" t="s">
        <v>2468</v>
      </c>
      <c r="K1347" s="5">
        <f t="shared" si="2"/>
        <v>0.2343801136</v>
      </c>
      <c r="L1347" s="6">
        <f t="shared" si="3"/>
        <v>1106</v>
      </c>
      <c r="M1347" s="6">
        <f t="shared" si="4"/>
        <v>745.9475588</v>
      </c>
      <c r="N1347" s="7">
        <f t="shared" si="5"/>
        <v>0.0002119169201</v>
      </c>
      <c r="O1347" s="7"/>
      <c r="P1347" s="4">
        <f t="shared" si="6"/>
        <v>-0.3002594137</v>
      </c>
      <c r="Q1347" s="4">
        <f t="shared" si="7"/>
        <v>6</v>
      </c>
      <c r="R1347" s="4">
        <f t="shared" si="8"/>
        <v>1</v>
      </c>
      <c r="S1347" s="4">
        <f t="shared" si="9"/>
        <v>-0.3002594137</v>
      </c>
      <c r="T1347" s="4">
        <f t="shared" si="10"/>
        <v>21</v>
      </c>
      <c r="U1347" s="4">
        <f t="shared" si="1"/>
        <v>-0.3002594137</v>
      </c>
      <c r="V1347" s="4"/>
    </row>
    <row r="1348">
      <c r="A1348" s="1" t="s">
        <v>17861</v>
      </c>
      <c r="B1348" s="1" t="s">
        <v>17862</v>
      </c>
      <c r="C1348" s="1" t="s">
        <v>17863</v>
      </c>
      <c r="D1348" s="1" t="s">
        <v>17610</v>
      </c>
      <c r="E1348" s="1" t="s">
        <v>17611</v>
      </c>
      <c r="F1348" s="1">
        <v>1554746.0</v>
      </c>
      <c r="G1348" s="1">
        <v>41533.0</v>
      </c>
      <c r="H1348" s="1">
        <v>2777.0</v>
      </c>
      <c r="I1348" s="1">
        <v>3520000.0</v>
      </c>
      <c r="J1348" s="1" t="s">
        <v>2468</v>
      </c>
      <c r="K1348" s="5">
        <f t="shared" si="2"/>
        <v>0.4416892045</v>
      </c>
      <c r="L1348" s="6">
        <f t="shared" si="3"/>
        <v>1114</v>
      </c>
      <c r="M1348" s="6">
        <f t="shared" si="4"/>
        <v>1395.642729</v>
      </c>
      <c r="N1348" s="7">
        <f t="shared" si="5"/>
        <v>0.0003964894116</v>
      </c>
      <c r="O1348" s="7"/>
      <c r="P1348" s="4">
        <f t="shared" si="6"/>
        <v>-0.1702533011</v>
      </c>
      <c r="Q1348" s="4">
        <f t="shared" si="7"/>
        <v>6</v>
      </c>
      <c r="R1348" s="4">
        <f t="shared" si="8"/>
        <v>1</v>
      </c>
      <c r="S1348" s="4">
        <f t="shared" si="9"/>
        <v>-0.1702533011</v>
      </c>
      <c r="T1348" s="4">
        <f t="shared" si="10"/>
        <v>30</v>
      </c>
      <c r="U1348" s="4">
        <f t="shared" si="1"/>
        <v>-0.1702533011</v>
      </c>
      <c r="V1348" s="4"/>
    </row>
    <row r="1349">
      <c r="A1349" s="1" t="s">
        <v>17864</v>
      </c>
      <c r="B1349" s="1" t="s">
        <v>17865</v>
      </c>
      <c r="C1349" s="1" t="s">
        <v>17866</v>
      </c>
      <c r="D1349" s="1" t="s">
        <v>17610</v>
      </c>
      <c r="E1349" s="1" t="s">
        <v>17611</v>
      </c>
      <c r="F1349" s="1">
        <v>700493.0</v>
      </c>
      <c r="G1349" s="1">
        <v>23015.0</v>
      </c>
      <c r="H1349" s="1">
        <v>2067.0</v>
      </c>
      <c r="I1349" s="1">
        <v>3520000.0</v>
      </c>
      <c r="J1349" s="1" t="s">
        <v>2468</v>
      </c>
      <c r="K1349" s="5">
        <f t="shared" si="2"/>
        <v>0.1990036932</v>
      </c>
      <c r="L1349" s="6">
        <f t="shared" si="3"/>
        <v>1128</v>
      </c>
      <c r="M1349" s="6">
        <f t="shared" si="4"/>
        <v>621.0044326</v>
      </c>
      <c r="N1349" s="7">
        <f t="shared" si="5"/>
        <v>0.0001764217138</v>
      </c>
      <c r="O1349" s="7"/>
      <c r="P1349" s="4">
        <f t="shared" si="6"/>
        <v>-0.3252609388</v>
      </c>
      <c r="Q1349" s="4">
        <f t="shared" si="7"/>
        <v>8</v>
      </c>
      <c r="R1349" s="4">
        <f t="shared" si="8"/>
        <v>1</v>
      </c>
      <c r="S1349" s="4">
        <f t="shared" si="9"/>
        <v>-0.3252609388</v>
      </c>
      <c r="T1349" s="4">
        <f t="shared" si="10"/>
        <v>27</v>
      </c>
      <c r="U1349" s="4">
        <f t="shared" si="1"/>
        <v>-0.3252609388</v>
      </c>
      <c r="V1349" s="4"/>
    </row>
    <row r="1350">
      <c r="A1350" s="1" t="s">
        <v>17867</v>
      </c>
      <c r="B1350" s="1" t="s">
        <v>17868</v>
      </c>
      <c r="C1350" s="1" t="s">
        <v>17869</v>
      </c>
      <c r="D1350" s="1" t="s">
        <v>17610</v>
      </c>
      <c r="E1350" s="1" t="s">
        <v>17611</v>
      </c>
      <c r="F1350" s="1">
        <v>639232.0</v>
      </c>
      <c r="G1350" s="1">
        <v>21894.0</v>
      </c>
      <c r="H1350" s="1">
        <v>1419.0</v>
      </c>
      <c r="I1350" s="1">
        <v>3520000.0</v>
      </c>
      <c r="J1350" s="1" t="s">
        <v>2468</v>
      </c>
      <c r="K1350" s="5">
        <f t="shared" si="2"/>
        <v>0.1816</v>
      </c>
      <c r="L1350" s="6">
        <f t="shared" si="3"/>
        <v>1135</v>
      </c>
      <c r="M1350" s="6">
        <f t="shared" si="4"/>
        <v>563.2</v>
      </c>
      <c r="N1350" s="7">
        <f t="shared" si="5"/>
        <v>0.00016</v>
      </c>
      <c r="O1350" s="7"/>
      <c r="P1350" s="4">
        <f t="shared" si="6"/>
        <v>-0.3368277934</v>
      </c>
      <c r="Q1350" s="4">
        <f t="shared" si="7"/>
        <v>7</v>
      </c>
      <c r="R1350" s="4">
        <f t="shared" si="8"/>
        <v>2</v>
      </c>
      <c r="S1350" s="4">
        <f t="shared" si="9"/>
        <v>-0.3368277934</v>
      </c>
      <c r="T1350" s="4">
        <f t="shared" si="10"/>
        <v>52</v>
      </c>
      <c r="U1350" s="4">
        <f t="shared" si="1"/>
        <v>-0.3368277934</v>
      </c>
      <c r="V1350" s="4"/>
    </row>
    <row r="1351">
      <c r="A1351" s="1" t="s">
        <v>17870</v>
      </c>
      <c r="B1351" s="1" t="s">
        <v>17871</v>
      </c>
      <c r="C1351" s="1" t="s">
        <v>17872</v>
      </c>
      <c r="D1351" s="1" t="s">
        <v>17610</v>
      </c>
      <c r="E1351" s="1" t="s">
        <v>17611</v>
      </c>
      <c r="F1351" s="1">
        <v>1293859.0</v>
      </c>
      <c r="G1351" s="1">
        <v>30667.0</v>
      </c>
      <c r="H1351" s="1">
        <v>2818.0</v>
      </c>
      <c r="I1351" s="1">
        <v>3520000.0</v>
      </c>
      <c r="J1351" s="1" t="s">
        <v>2468</v>
      </c>
      <c r="K1351" s="5">
        <f t="shared" si="2"/>
        <v>0.3675735795</v>
      </c>
      <c r="L1351" s="6">
        <f t="shared" si="3"/>
        <v>1142</v>
      </c>
      <c r="M1351" s="6">
        <f t="shared" si="4"/>
        <v>1132.976357</v>
      </c>
      <c r="N1351" s="7">
        <f t="shared" si="5"/>
        <v>0.0003218682833</v>
      </c>
      <c r="O1351" s="7"/>
      <c r="P1351" s="4">
        <f t="shared" si="6"/>
        <v>-0.2228136947</v>
      </c>
      <c r="Q1351" s="4">
        <f t="shared" si="7"/>
        <v>9</v>
      </c>
      <c r="R1351" s="4">
        <f t="shared" si="8"/>
        <v>1</v>
      </c>
      <c r="S1351" s="4">
        <f t="shared" si="9"/>
        <v>-0.2228136947</v>
      </c>
      <c r="T1351" s="4">
        <f t="shared" si="10"/>
        <v>34</v>
      </c>
      <c r="U1351" s="4">
        <f t="shared" si="1"/>
        <v>-0.2228136947</v>
      </c>
      <c r="V1351" s="4"/>
    </row>
    <row r="1352">
      <c r="A1352" s="1" t="s">
        <v>17873</v>
      </c>
      <c r="B1352" s="1" t="s">
        <v>17874</v>
      </c>
      <c r="C1352" s="1" t="s">
        <v>17875</v>
      </c>
      <c r="D1352" s="1" t="s">
        <v>17610</v>
      </c>
      <c r="E1352" s="1" t="s">
        <v>17611</v>
      </c>
      <c r="F1352" s="1">
        <v>469698.0</v>
      </c>
      <c r="G1352" s="1">
        <v>17914.0</v>
      </c>
      <c r="H1352" s="1">
        <v>1195.0</v>
      </c>
      <c r="I1352" s="1">
        <v>3520000.0</v>
      </c>
      <c r="J1352" s="1" t="s">
        <v>2468</v>
      </c>
      <c r="K1352" s="5">
        <f t="shared" si="2"/>
        <v>0.1334369318</v>
      </c>
      <c r="L1352" s="6">
        <f t="shared" si="3"/>
        <v>1163</v>
      </c>
      <c r="M1352" s="6">
        <f t="shared" si="4"/>
        <v>403.8675838</v>
      </c>
      <c r="N1352" s="7">
        <f t="shared" si="5"/>
        <v>0.000114735109</v>
      </c>
      <c r="O1352" s="7"/>
      <c r="P1352" s="4">
        <f t="shared" si="6"/>
        <v>-0.3687107271</v>
      </c>
      <c r="Q1352" s="4">
        <f t="shared" si="7"/>
        <v>7</v>
      </c>
      <c r="R1352" s="4">
        <f t="shared" si="8"/>
        <v>1</v>
      </c>
      <c r="S1352" s="4">
        <f t="shared" si="9"/>
        <v>-0.3687107271</v>
      </c>
      <c r="T1352" s="4">
        <f t="shared" si="10"/>
        <v>41</v>
      </c>
      <c r="U1352" s="4">
        <f t="shared" si="1"/>
        <v>-0.3687107271</v>
      </c>
      <c r="V1352" s="4"/>
    </row>
    <row r="1353">
      <c r="A1353" s="1" t="s">
        <v>17876</v>
      </c>
      <c r="B1353" s="1" t="s">
        <v>17877</v>
      </c>
      <c r="C1353" s="1" t="s">
        <v>17878</v>
      </c>
      <c r="D1353" s="1" t="s">
        <v>17610</v>
      </c>
      <c r="E1353" s="1" t="s">
        <v>17611</v>
      </c>
      <c r="F1353" s="1">
        <v>2635626.0</v>
      </c>
      <c r="G1353" s="1">
        <v>67040.0</v>
      </c>
      <c r="H1353" s="1">
        <v>4312.0</v>
      </c>
      <c r="I1353" s="1">
        <v>3520000.0</v>
      </c>
      <c r="J1353" s="1" t="s">
        <v>2468</v>
      </c>
      <c r="K1353" s="5">
        <f t="shared" si="2"/>
        <v>0.7487573864</v>
      </c>
      <c r="L1353" s="6">
        <f t="shared" si="3"/>
        <v>1170</v>
      </c>
      <c r="M1353" s="6">
        <f t="shared" si="4"/>
        <v>2252.671795</v>
      </c>
      <c r="N1353" s="7">
        <f t="shared" si="5"/>
        <v>0.0006399635781</v>
      </c>
      <c r="O1353" s="7"/>
      <c r="P1353" s="4">
        <f t="shared" si="6"/>
        <v>0.001240997162</v>
      </c>
      <c r="Q1353" s="4">
        <f t="shared" si="7"/>
        <v>7</v>
      </c>
      <c r="R1353" s="4">
        <f t="shared" si="8"/>
        <v>1</v>
      </c>
      <c r="S1353" s="4">
        <f t="shared" si="9"/>
        <v>0.001240997162</v>
      </c>
      <c r="T1353" s="4">
        <f t="shared" si="10"/>
        <v>29</v>
      </c>
      <c r="U1353" s="4">
        <f t="shared" si="1"/>
        <v>0.001240997162</v>
      </c>
      <c r="V1353" s="4"/>
    </row>
    <row r="1354">
      <c r="A1354" s="1" t="s">
        <v>17879</v>
      </c>
      <c r="B1354" s="1" t="s">
        <v>17880</v>
      </c>
      <c r="C1354" s="1" t="s">
        <v>17881</v>
      </c>
      <c r="D1354" s="1" t="s">
        <v>17610</v>
      </c>
      <c r="E1354" s="1" t="s">
        <v>17611</v>
      </c>
      <c r="F1354" s="1">
        <v>1584835.0</v>
      </c>
      <c r="G1354" s="1">
        <v>36070.0</v>
      </c>
      <c r="H1354" s="1">
        <v>2038.0</v>
      </c>
      <c r="I1354" s="1">
        <v>3520000.0</v>
      </c>
      <c r="J1354" s="1" t="s">
        <v>2468</v>
      </c>
      <c r="K1354" s="5">
        <f t="shared" si="2"/>
        <v>0.4502372159</v>
      </c>
      <c r="L1354" s="6">
        <f t="shared" si="3"/>
        <v>1177</v>
      </c>
      <c r="M1354" s="6">
        <f t="shared" si="4"/>
        <v>1346.503823</v>
      </c>
      <c r="N1354" s="7">
        <f t="shared" si="5"/>
        <v>0.0003825294952</v>
      </c>
      <c r="O1354" s="7"/>
      <c r="P1354" s="4">
        <f t="shared" si="6"/>
        <v>-0.1800861556</v>
      </c>
      <c r="Q1354" s="4">
        <f t="shared" si="7"/>
        <v>7</v>
      </c>
      <c r="R1354" s="4">
        <f t="shared" si="8"/>
        <v>1</v>
      </c>
      <c r="S1354" s="4">
        <f t="shared" si="9"/>
        <v>-0.1800861556</v>
      </c>
      <c r="T1354" s="4">
        <f t="shared" si="10"/>
        <v>47</v>
      </c>
      <c r="U1354" s="4">
        <f t="shared" si="1"/>
        <v>-0.1800861556</v>
      </c>
      <c r="V1354" s="4"/>
    </row>
    <row r="1355">
      <c r="A1355" s="1" t="s">
        <v>17882</v>
      </c>
      <c r="B1355" s="1" t="s">
        <v>17883</v>
      </c>
      <c r="C1355" s="1" t="s">
        <v>17884</v>
      </c>
      <c r="D1355" s="1" t="s">
        <v>17610</v>
      </c>
      <c r="E1355" s="1" t="s">
        <v>17611</v>
      </c>
      <c r="F1355" s="1">
        <v>405374.0</v>
      </c>
      <c r="G1355" s="1">
        <v>27101.0</v>
      </c>
      <c r="H1355" s="1">
        <v>1856.0</v>
      </c>
      <c r="I1355" s="1">
        <v>3520000.0</v>
      </c>
      <c r="J1355" s="1" t="s">
        <v>2468</v>
      </c>
      <c r="K1355" s="5">
        <f t="shared" si="2"/>
        <v>0.1151630682</v>
      </c>
      <c r="L1355" s="6">
        <f t="shared" si="3"/>
        <v>1191</v>
      </c>
      <c r="M1355" s="6">
        <f t="shared" si="4"/>
        <v>340.3643997</v>
      </c>
      <c r="N1355" s="7">
        <f t="shared" si="5"/>
        <v>0.00009669443172</v>
      </c>
      <c r="O1355" s="7"/>
      <c r="P1355" s="4">
        <f t="shared" si="6"/>
        <v>-0.3814179204</v>
      </c>
      <c r="Q1355" s="4">
        <f t="shared" si="7"/>
        <v>5</v>
      </c>
      <c r="R1355" s="4">
        <f t="shared" si="8"/>
        <v>1</v>
      </c>
      <c r="S1355" s="4">
        <f t="shared" si="9"/>
        <v>-0.3814179204</v>
      </c>
      <c r="T1355" s="4">
        <f t="shared" si="10"/>
        <v>15</v>
      </c>
      <c r="U1355" s="4">
        <f t="shared" si="1"/>
        <v>-0.3814179204</v>
      </c>
      <c r="V1355" s="4"/>
    </row>
    <row r="1356">
      <c r="A1356" s="1" t="s">
        <v>17885</v>
      </c>
      <c r="B1356" s="1" t="s">
        <v>17886</v>
      </c>
      <c r="C1356" s="1" t="s">
        <v>17887</v>
      </c>
      <c r="D1356" s="1" t="s">
        <v>17610</v>
      </c>
      <c r="E1356" s="1" t="s">
        <v>17611</v>
      </c>
      <c r="F1356" s="1">
        <v>608727.0</v>
      </c>
      <c r="G1356" s="1">
        <v>25644.0</v>
      </c>
      <c r="H1356" s="1">
        <v>1407.0</v>
      </c>
      <c r="I1356" s="1">
        <v>3520000.0</v>
      </c>
      <c r="J1356" s="1" t="s">
        <v>2468</v>
      </c>
      <c r="K1356" s="5">
        <f t="shared" si="2"/>
        <v>0.1729338068</v>
      </c>
      <c r="L1356" s="6">
        <f t="shared" si="3"/>
        <v>1198</v>
      </c>
      <c r="M1356" s="6">
        <f t="shared" si="4"/>
        <v>508.1193656</v>
      </c>
      <c r="N1356" s="7">
        <f t="shared" si="5"/>
        <v>0.0001443520925</v>
      </c>
      <c r="O1356" s="7"/>
      <c r="P1356" s="4">
        <f t="shared" si="6"/>
        <v>-0.3478496072</v>
      </c>
      <c r="Q1356" s="4">
        <f t="shared" si="7"/>
        <v>6</v>
      </c>
      <c r="R1356" s="4">
        <f t="shared" si="8"/>
        <v>1</v>
      </c>
      <c r="S1356" s="4">
        <f t="shared" si="9"/>
        <v>-0.3478496072</v>
      </c>
      <c r="T1356" s="4">
        <f t="shared" si="10"/>
        <v>42</v>
      </c>
      <c r="U1356" s="4">
        <f t="shared" si="1"/>
        <v>-0.3478496072</v>
      </c>
      <c r="V1356" s="4"/>
    </row>
    <row r="1357">
      <c r="A1357" s="1" t="s">
        <v>17888</v>
      </c>
      <c r="B1357" s="1" t="s">
        <v>17889</v>
      </c>
      <c r="C1357" s="1" t="s">
        <v>17890</v>
      </c>
      <c r="D1357" s="1" t="s">
        <v>17610</v>
      </c>
      <c r="E1357" s="1" t="s">
        <v>17611</v>
      </c>
      <c r="F1357" s="1">
        <v>435138.0</v>
      </c>
      <c r="G1357" s="1">
        <v>16805.0</v>
      </c>
      <c r="H1357" s="1">
        <v>1500.0</v>
      </c>
      <c r="I1357" s="1">
        <v>3520000.0</v>
      </c>
      <c r="J1357" s="1" t="s">
        <v>2468</v>
      </c>
      <c r="K1357" s="5">
        <f t="shared" si="2"/>
        <v>0.12361875</v>
      </c>
      <c r="L1357" s="6">
        <f t="shared" si="3"/>
        <v>1205</v>
      </c>
      <c r="M1357" s="6">
        <f t="shared" si="4"/>
        <v>361.1103734</v>
      </c>
      <c r="N1357" s="7">
        <f t="shared" si="5"/>
        <v>0.0001025881743</v>
      </c>
      <c r="O1357" s="7"/>
      <c r="P1357" s="4">
        <f t="shared" si="6"/>
        <v>-0.3772665837</v>
      </c>
      <c r="Q1357" s="4">
        <f t="shared" si="7"/>
        <v>6</v>
      </c>
      <c r="R1357" s="4">
        <f t="shared" si="8"/>
        <v>1</v>
      </c>
      <c r="S1357" s="4">
        <f t="shared" si="9"/>
        <v>-0.3772665837</v>
      </c>
      <c r="T1357" s="4">
        <f t="shared" si="10"/>
        <v>35</v>
      </c>
      <c r="U1357" s="4">
        <f t="shared" si="1"/>
        <v>-0.3772665837</v>
      </c>
      <c r="V1357" s="4"/>
    </row>
    <row r="1358">
      <c r="A1358" s="1" t="s">
        <v>17891</v>
      </c>
      <c r="B1358" s="1" t="s">
        <v>17892</v>
      </c>
      <c r="C1358" s="1" t="s">
        <v>17893</v>
      </c>
      <c r="D1358" s="1" t="s">
        <v>17610</v>
      </c>
      <c r="E1358" s="1" t="s">
        <v>17611</v>
      </c>
      <c r="F1358" s="1">
        <v>445958.0</v>
      </c>
      <c r="G1358" s="1">
        <v>17457.0</v>
      </c>
      <c r="H1358" s="1">
        <v>721.0</v>
      </c>
      <c r="I1358" s="1">
        <v>3520000.0</v>
      </c>
      <c r="J1358" s="1" t="s">
        <v>2468</v>
      </c>
      <c r="K1358" s="5">
        <f t="shared" si="2"/>
        <v>0.1266926136</v>
      </c>
      <c r="L1358" s="6">
        <f t="shared" si="3"/>
        <v>1211</v>
      </c>
      <c r="M1358" s="6">
        <f t="shared" si="4"/>
        <v>368.2559868</v>
      </c>
      <c r="N1358" s="7">
        <f t="shared" si="5"/>
        <v>0.0001046181781</v>
      </c>
      <c r="O1358" s="7"/>
      <c r="P1358" s="4">
        <f t="shared" si="6"/>
        <v>-0.3758367233</v>
      </c>
      <c r="Q1358" s="4">
        <f t="shared" si="7"/>
        <v>7</v>
      </c>
      <c r="R1358" s="4">
        <f t="shared" si="8"/>
        <v>0</v>
      </c>
      <c r="S1358" s="4">
        <f t="shared" si="9"/>
        <v>-0.3758367233</v>
      </c>
      <c r="T1358" s="4">
        <f t="shared" si="10"/>
        <v>50</v>
      </c>
      <c r="U1358" s="4">
        <f t="shared" si="1"/>
        <v>-0.3758367233</v>
      </c>
      <c r="V1358" s="4"/>
    </row>
    <row r="1359">
      <c r="A1359" s="1" t="s">
        <v>17894</v>
      </c>
      <c r="B1359" s="1" t="s">
        <v>17895</v>
      </c>
      <c r="C1359" s="1" t="s">
        <v>17896</v>
      </c>
      <c r="D1359" s="1" t="s">
        <v>17610</v>
      </c>
      <c r="E1359" s="1" t="s">
        <v>17611</v>
      </c>
      <c r="F1359" s="1">
        <v>613003.0</v>
      </c>
      <c r="G1359" s="1">
        <v>21133.0</v>
      </c>
      <c r="H1359" s="1">
        <v>1099.0</v>
      </c>
      <c r="I1359" s="1">
        <v>3520000.0</v>
      </c>
      <c r="J1359" s="1" t="s">
        <v>2468</v>
      </c>
      <c r="K1359" s="5">
        <f t="shared" si="2"/>
        <v>0.1741485795</v>
      </c>
      <c r="L1359" s="6">
        <f t="shared" si="3"/>
        <v>1232</v>
      </c>
      <c r="M1359" s="6">
        <f t="shared" si="4"/>
        <v>497.5673701</v>
      </c>
      <c r="N1359" s="7">
        <f t="shared" si="5"/>
        <v>0.0001413543665</v>
      </c>
      <c r="O1359" s="7"/>
      <c r="P1359" s="4">
        <f t="shared" si="6"/>
        <v>-0.3499610957</v>
      </c>
      <c r="Q1359" s="4">
        <f t="shared" si="7"/>
        <v>7</v>
      </c>
      <c r="R1359" s="4">
        <f t="shared" si="8"/>
        <v>0</v>
      </c>
      <c r="S1359" s="4">
        <f t="shared" si="9"/>
        <v>-0.3499610957</v>
      </c>
      <c r="T1359" s="4">
        <f t="shared" si="10"/>
        <v>48</v>
      </c>
      <c r="U1359" s="4">
        <f t="shared" si="1"/>
        <v>-0.3499610957</v>
      </c>
      <c r="V1359" s="4"/>
    </row>
    <row r="1360">
      <c r="A1360" s="1" t="s">
        <v>17897</v>
      </c>
      <c r="B1360" s="1" t="s">
        <v>17898</v>
      </c>
      <c r="C1360" s="1" t="s">
        <v>17899</v>
      </c>
      <c r="D1360" s="1" t="s">
        <v>17610</v>
      </c>
      <c r="E1360" s="1" t="s">
        <v>17611</v>
      </c>
      <c r="F1360" s="1">
        <v>1220792.0</v>
      </c>
      <c r="G1360" s="1">
        <v>32359.0</v>
      </c>
      <c r="H1360" s="1">
        <v>2997.0</v>
      </c>
      <c r="I1360" s="1">
        <v>3520000.0</v>
      </c>
      <c r="J1360" s="1" t="s">
        <v>2468</v>
      </c>
      <c r="K1360" s="5">
        <f t="shared" si="2"/>
        <v>0.3468159091</v>
      </c>
      <c r="L1360" s="6">
        <f t="shared" si="3"/>
        <v>1240</v>
      </c>
      <c r="M1360" s="6">
        <f t="shared" si="4"/>
        <v>984.5096774</v>
      </c>
      <c r="N1360" s="7">
        <f t="shared" si="5"/>
        <v>0.0002796902493</v>
      </c>
      <c r="O1360" s="7"/>
      <c r="P1360" s="4">
        <f t="shared" si="6"/>
        <v>-0.2525223593</v>
      </c>
      <c r="Q1360" s="4">
        <f t="shared" si="7"/>
        <v>7</v>
      </c>
      <c r="R1360" s="4">
        <f t="shared" si="8"/>
        <v>1</v>
      </c>
      <c r="S1360" s="4">
        <f t="shared" si="9"/>
        <v>-0.2525223593</v>
      </c>
      <c r="T1360" s="4">
        <f t="shared" si="10"/>
        <v>36</v>
      </c>
      <c r="U1360" s="4">
        <f t="shared" si="1"/>
        <v>-0.2525223593</v>
      </c>
      <c r="V1360" s="4"/>
    </row>
    <row r="1361">
      <c r="A1361" s="1" t="s">
        <v>17900</v>
      </c>
      <c r="B1361" s="1" t="s">
        <v>17901</v>
      </c>
      <c r="C1361" s="1" t="s">
        <v>17902</v>
      </c>
      <c r="D1361" s="1" t="s">
        <v>17903</v>
      </c>
      <c r="E1361" s="1" t="s">
        <v>17904</v>
      </c>
      <c r="F1361" s="1">
        <v>174990.0</v>
      </c>
      <c r="G1361" s="1">
        <v>4622.0</v>
      </c>
      <c r="H1361" s="1">
        <v>933.0</v>
      </c>
      <c r="I1361" s="1">
        <v>3280000.0</v>
      </c>
      <c r="J1361" s="1" t="s">
        <v>2468</v>
      </c>
      <c r="K1361" s="5">
        <f t="shared" si="2"/>
        <v>0.05335060976</v>
      </c>
      <c r="L1361" s="6">
        <f t="shared" si="3"/>
        <v>54</v>
      </c>
      <c r="M1361" s="6">
        <f t="shared" si="4"/>
        <v>3240.555556</v>
      </c>
      <c r="N1361" s="7">
        <f t="shared" si="5"/>
        <v>0.0009879742547</v>
      </c>
      <c r="O1361" s="7"/>
      <c r="P1361" s="4">
        <f t="shared" si="6"/>
        <v>0.2463669899</v>
      </c>
      <c r="Q1361" s="4">
        <f t="shared" si="7"/>
        <v>7</v>
      </c>
      <c r="R1361" s="4">
        <f t="shared" si="8"/>
        <v>0</v>
      </c>
      <c r="S1361" s="4">
        <f t="shared" si="9"/>
        <v>0.2463669899</v>
      </c>
      <c r="T1361" s="4">
        <f t="shared" si="10"/>
        <v>36</v>
      </c>
      <c r="U1361" s="4">
        <f t="shared" si="1"/>
        <v>0.2463669899</v>
      </c>
      <c r="V1361" s="4"/>
    </row>
    <row r="1362">
      <c r="A1362" s="1" t="s">
        <v>17905</v>
      </c>
      <c r="B1362" s="1" t="s">
        <v>17906</v>
      </c>
      <c r="C1362" s="1" t="s">
        <v>17907</v>
      </c>
      <c r="D1362" s="1" t="s">
        <v>17903</v>
      </c>
      <c r="E1362" s="1" t="s">
        <v>17904</v>
      </c>
      <c r="F1362" s="1">
        <v>48120.0</v>
      </c>
      <c r="G1362" s="1">
        <v>1710.0</v>
      </c>
      <c r="H1362" s="1">
        <v>80.0</v>
      </c>
      <c r="I1362" s="1">
        <v>3280000.0</v>
      </c>
      <c r="J1362" s="1" t="s">
        <v>2468</v>
      </c>
      <c r="K1362" s="5">
        <f t="shared" si="2"/>
        <v>0.01467073171</v>
      </c>
      <c r="L1362" s="6">
        <f t="shared" si="3"/>
        <v>58</v>
      </c>
      <c r="M1362" s="6">
        <f t="shared" si="4"/>
        <v>829.6551724</v>
      </c>
      <c r="N1362" s="7">
        <f t="shared" si="5"/>
        <v>0.0002529436501</v>
      </c>
      <c r="O1362" s="7"/>
      <c r="P1362" s="4">
        <f t="shared" si="6"/>
        <v>-0.2713616855</v>
      </c>
      <c r="Q1362" s="4">
        <f t="shared" si="7"/>
        <v>11</v>
      </c>
      <c r="R1362" s="4">
        <f t="shared" si="8"/>
        <v>1</v>
      </c>
      <c r="S1362" s="4">
        <f t="shared" si="9"/>
        <v>-0.2713616855</v>
      </c>
      <c r="T1362" s="4">
        <f t="shared" si="10"/>
        <v>56</v>
      </c>
      <c r="U1362" s="4">
        <f t="shared" si="1"/>
        <v>-0.2713616855</v>
      </c>
      <c r="V1362" s="4"/>
    </row>
    <row r="1363">
      <c r="A1363" s="1" t="s">
        <v>17908</v>
      </c>
      <c r="B1363" s="1" t="s">
        <v>17909</v>
      </c>
      <c r="C1363" s="1" t="s">
        <v>17910</v>
      </c>
      <c r="D1363" s="1" t="s">
        <v>17903</v>
      </c>
      <c r="E1363" s="1" t="s">
        <v>17904</v>
      </c>
      <c r="F1363" s="1">
        <v>42559.0</v>
      </c>
      <c r="G1363" s="1">
        <v>660.0</v>
      </c>
      <c r="H1363" s="1">
        <v>30.0</v>
      </c>
      <c r="I1363" s="1">
        <v>3280000.0</v>
      </c>
      <c r="J1363" s="1" t="s">
        <v>2468</v>
      </c>
      <c r="K1363" s="5">
        <f t="shared" si="2"/>
        <v>0.01297530488</v>
      </c>
      <c r="L1363" s="6">
        <f t="shared" si="3"/>
        <v>68</v>
      </c>
      <c r="M1363" s="6">
        <f t="shared" si="4"/>
        <v>625.8676471</v>
      </c>
      <c r="N1363" s="7">
        <f t="shared" si="5"/>
        <v>0.000190813307</v>
      </c>
      <c r="O1363" s="7"/>
      <c r="P1363" s="4">
        <f t="shared" si="6"/>
        <v>-0.3151240269</v>
      </c>
      <c r="Q1363" s="4">
        <f t="shared" si="7"/>
        <v>6</v>
      </c>
      <c r="R1363" s="4">
        <f t="shared" si="8"/>
        <v>0</v>
      </c>
      <c r="S1363" s="4">
        <f t="shared" si="9"/>
        <v>-0.3151240269</v>
      </c>
      <c r="T1363" s="4">
        <f t="shared" si="10"/>
        <v>34</v>
      </c>
      <c r="U1363" s="4">
        <f t="shared" si="1"/>
        <v>-0.3151240269</v>
      </c>
      <c r="V1363" s="4"/>
    </row>
    <row r="1364">
      <c r="A1364" s="1" t="s">
        <v>17911</v>
      </c>
      <c r="B1364" s="1" t="s">
        <v>17912</v>
      </c>
      <c r="C1364" s="1" t="s">
        <v>17913</v>
      </c>
      <c r="D1364" s="1" t="s">
        <v>17903</v>
      </c>
      <c r="E1364" s="1" t="s">
        <v>17904</v>
      </c>
      <c r="F1364" s="1">
        <v>143150.0</v>
      </c>
      <c r="G1364" s="1">
        <v>3681.0</v>
      </c>
      <c r="H1364" s="1">
        <v>311.0</v>
      </c>
      <c r="I1364" s="1">
        <v>3280000.0</v>
      </c>
      <c r="J1364" s="1" t="s">
        <v>2468</v>
      </c>
      <c r="K1364" s="5">
        <f t="shared" si="2"/>
        <v>0.04364329268</v>
      </c>
      <c r="L1364" s="6">
        <f t="shared" si="3"/>
        <v>70</v>
      </c>
      <c r="M1364" s="6">
        <f t="shared" si="4"/>
        <v>2045</v>
      </c>
      <c r="N1364" s="7">
        <f t="shared" si="5"/>
        <v>0.0006234756098</v>
      </c>
      <c r="O1364" s="7"/>
      <c r="P1364" s="4">
        <f t="shared" si="6"/>
        <v>-0.01037252471</v>
      </c>
      <c r="Q1364" s="4">
        <f t="shared" si="7"/>
        <v>9</v>
      </c>
      <c r="R1364" s="4">
        <f t="shared" si="8"/>
        <v>1</v>
      </c>
      <c r="S1364" s="4">
        <f t="shared" si="9"/>
        <v>-0.01037252471</v>
      </c>
      <c r="T1364" s="4">
        <f t="shared" si="10"/>
        <v>31</v>
      </c>
      <c r="U1364" s="4">
        <f t="shared" si="1"/>
        <v>-0.01037252471</v>
      </c>
      <c r="V1364" s="4"/>
    </row>
    <row r="1365">
      <c r="A1365" s="1" t="s">
        <v>17914</v>
      </c>
      <c r="B1365" s="1" t="s">
        <v>17915</v>
      </c>
      <c r="C1365" s="1" t="s">
        <v>17916</v>
      </c>
      <c r="D1365" s="1" t="s">
        <v>17903</v>
      </c>
      <c r="E1365" s="1" t="s">
        <v>17904</v>
      </c>
      <c r="F1365" s="1">
        <v>64194.0</v>
      </c>
      <c r="G1365" s="1">
        <v>2806.0</v>
      </c>
      <c r="H1365" s="1">
        <v>615.0</v>
      </c>
      <c r="I1365" s="1">
        <v>3280000.0</v>
      </c>
      <c r="J1365" s="1" t="s">
        <v>2468</v>
      </c>
      <c r="K1365" s="5">
        <f t="shared" si="2"/>
        <v>0.01957134146</v>
      </c>
      <c r="L1365" s="6">
        <f t="shared" si="3"/>
        <v>97</v>
      </c>
      <c r="M1365" s="6">
        <f t="shared" si="4"/>
        <v>661.7938144</v>
      </c>
      <c r="N1365" s="7">
        <f t="shared" si="5"/>
        <v>0.0002017664068</v>
      </c>
      <c r="O1365" s="7"/>
      <c r="P1365" s="4">
        <f t="shared" si="6"/>
        <v>-0.307409064</v>
      </c>
      <c r="Q1365" s="4">
        <f t="shared" si="7"/>
        <v>10</v>
      </c>
      <c r="R1365" s="4">
        <f t="shared" si="8"/>
        <v>0</v>
      </c>
      <c r="S1365" s="4">
        <f t="shared" si="9"/>
        <v>-0.307409064</v>
      </c>
      <c r="T1365" s="4">
        <f t="shared" si="10"/>
        <v>54</v>
      </c>
      <c r="U1365" s="4">
        <f t="shared" si="1"/>
        <v>-0.307409064</v>
      </c>
      <c r="V1365" s="4"/>
    </row>
    <row r="1366">
      <c r="A1366" s="1" t="s">
        <v>17917</v>
      </c>
      <c r="B1366" s="1" t="s">
        <v>17918</v>
      </c>
      <c r="C1366" s="1" t="s">
        <v>17919</v>
      </c>
      <c r="D1366" s="1" t="s">
        <v>17903</v>
      </c>
      <c r="E1366" s="1" t="s">
        <v>17904</v>
      </c>
      <c r="F1366" s="1">
        <v>91449.0</v>
      </c>
      <c r="G1366" s="1">
        <v>2042.0</v>
      </c>
      <c r="H1366" s="1">
        <v>901.0</v>
      </c>
      <c r="I1366" s="1">
        <v>3280000.0</v>
      </c>
      <c r="J1366" s="1" t="s">
        <v>2468</v>
      </c>
      <c r="K1366" s="5">
        <f t="shared" si="2"/>
        <v>0.02788079268</v>
      </c>
      <c r="L1366" s="6">
        <f t="shared" si="3"/>
        <v>110</v>
      </c>
      <c r="M1366" s="6">
        <f t="shared" si="4"/>
        <v>831.3545455</v>
      </c>
      <c r="N1366" s="7">
        <f t="shared" si="5"/>
        <v>0.0002534617517</v>
      </c>
      <c r="O1366" s="7"/>
      <c r="P1366" s="4">
        <f t="shared" si="6"/>
        <v>-0.2709967538</v>
      </c>
      <c r="Q1366" s="4">
        <f t="shared" si="7"/>
        <v>8</v>
      </c>
      <c r="R1366" s="4">
        <f t="shared" si="8"/>
        <v>1</v>
      </c>
      <c r="S1366" s="4">
        <f t="shared" si="9"/>
        <v>-0.2709967538</v>
      </c>
      <c r="T1366" s="4">
        <f t="shared" si="10"/>
        <v>39</v>
      </c>
      <c r="U1366" s="4">
        <f t="shared" si="1"/>
        <v>-0.2709967538</v>
      </c>
      <c r="V1366" s="4"/>
    </row>
    <row r="1367">
      <c r="A1367" s="1" t="s">
        <v>17920</v>
      </c>
      <c r="B1367" s="1" t="s">
        <v>17921</v>
      </c>
      <c r="C1367" s="1" t="s">
        <v>17922</v>
      </c>
      <c r="D1367" s="1" t="s">
        <v>17903</v>
      </c>
      <c r="E1367" s="1" t="s">
        <v>17904</v>
      </c>
      <c r="F1367" s="1">
        <v>55811.0</v>
      </c>
      <c r="G1367" s="1">
        <v>1710.0</v>
      </c>
      <c r="H1367" s="1">
        <v>185.0</v>
      </c>
      <c r="I1367" s="1">
        <v>3280000.0</v>
      </c>
      <c r="J1367" s="1" t="s">
        <v>2468</v>
      </c>
      <c r="K1367" s="5">
        <f t="shared" si="2"/>
        <v>0.01701554878</v>
      </c>
      <c r="L1367" s="6">
        <f t="shared" si="3"/>
        <v>113</v>
      </c>
      <c r="M1367" s="6">
        <f t="shared" si="4"/>
        <v>493.9026549</v>
      </c>
      <c r="N1367" s="7">
        <f t="shared" si="5"/>
        <v>0.0001505800777</v>
      </c>
      <c r="O1367" s="7"/>
      <c r="P1367" s="4">
        <f t="shared" si="6"/>
        <v>-0.3434628422</v>
      </c>
      <c r="Q1367" s="4">
        <f t="shared" si="7"/>
        <v>7</v>
      </c>
      <c r="R1367" s="4">
        <f t="shared" si="8"/>
        <v>1</v>
      </c>
      <c r="S1367" s="4">
        <f t="shared" si="9"/>
        <v>-0.3434628422</v>
      </c>
      <c r="T1367" s="4">
        <f t="shared" si="10"/>
        <v>27</v>
      </c>
      <c r="U1367" s="4">
        <f t="shared" si="1"/>
        <v>-0.3434628422</v>
      </c>
      <c r="V1367" s="4"/>
    </row>
    <row r="1368">
      <c r="A1368" s="1" t="s">
        <v>17923</v>
      </c>
      <c r="B1368" s="1" t="s">
        <v>17924</v>
      </c>
      <c r="C1368" s="1" t="s">
        <v>17925</v>
      </c>
      <c r="D1368" s="1" t="s">
        <v>17903</v>
      </c>
      <c r="E1368" s="1" t="s">
        <v>17904</v>
      </c>
      <c r="F1368" s="1">
        <v>334574.0</v>
      </c>
      <c r="G1368" s="1">
        <v>10473.0</v>
      </c>
      <c r="H1368" s="1">
        <v>3017.0</v>
      </c>
      <c r="I1368" s="1">
        <v>3280000.0</v>
      </c>
      <c r="J1368" s="1" t="s">
        <v>2468</v>
      </c>
      <c r="K1368" s="5">
        <f t="shared" si="2"/>
        <v>0.1020042683</v>
      </c>
      <c r="L1368" s="6">
        <f t="shared" si="3"/>
        <v>118</v>
      </c>
      <c r="M1368" s="6">
        <f t="shared" si="4"/>
        <v>2835.372881</v>
      </c>
      <c r="N1368" s="7">
        <f t="shared" si="5"/>
        <v>0.0008644429516</v>
      </c>
      <c r="O1368" s="7"/>
      <c r="P1368" s="4">
        <f t="shared" si="6"/>
        <v>0.159356058</v>
      </c>
      <c r="Q1368" s="4">
        <f t="shared" si="7"/>
        <v>9</v>
      </c>
      <c r="R1368" s="4">
        <f t="shared" si="8"/>
        <v>0</v>
      </c>
      <c r="S1368" s="4">
        <f t="shared" si="9"/>
        <v>0.159356058</v>
      </c>
      <c r="T1368" s="4">
        <f t="shared" si="10"/>
        <v>46</v>
      </c>
      <c r="U1368" s="4">
        <f t="shared" si="1"/>
        <v>0.159356058</v>
      </c>
      <c r="V1368" s="4"/>
    </row>
    <row r="1369">
      <c r="A1369" s="1" t="s">
        <v>17926</v>
      </c>
      <c r="B1369" s="1" t="s">
        <v>17927</v>
      </c>
      <c r="C1369" s="1" t="s">
        <v>17928</v>
      </c>
      <c r="D1369" s="1" t="s">
        <v>17903</v>
      </c>
      <c r="E1369" s="1" t="s">
        <v>17904</v>
      </c>
      <c r="F1369" s="1">
        <v>101605.0</v>
      </c>
      <c r="G1369" s="1">
        <v>2846.0</v>
      </c>
      <c r="H1369" s="1">
        <v>3680.0</v>
      </c>
      <c r="I1369" s="1">
        <v>3280000.0</v>
      </c>
      <c r="J1369" s="1" t="s">
        <v>2468</v>
      </c>
      <c r="K1369" s="5">
        <f t="shared" si="2"/>
        <v>0.03097713415</v>
      </c>
      <c r="L1369" s="6">
        <f t="shared" si="3"/>
        <v>120</v>
      </c>
      <c r="M1369" s="6">
        <f t="shared" si="4"/>
        <v>846.7083333</v>
      </c>
      <c r="N1369" s="7">
        <f t="shared" si="5"/>
        <v>0.0002581427846</v>
      </c>
      <c r="O1369" s="7"/>
      <c r="P1369" s="4">
        <f t="shared" si="6"/>
        <v>-0.2676996054</v>
      </c>
      <c r="Q1369" s="4">
        <f t="shared" si="7"/>
        <v>10</v>
      </c>
      <c r="R1369" s="4">
        <f t="shared" si="8"/>
        <v>0</v>
      </c>
      <c r="S1369" s="4">
        <f t="shared" si="9"/>
        <v>-0.2676996054</v>
      </c>
      <c r="T1369" s="4">
        <f t="shared" si="10"/>
        <v>50</v>
      </c>
      <c r="U1369" s="4">
        <f t="shared" si="1"/>
        <v>-0.2676996054</v>
      </c>
      <c r="V1369" s="4"/>
    </row>
    <row r="1370">
      <c r="A1370" s="1" t="s">
        <v>17929</v>
      </c>
      <c r="B1370" s="1" t="s">
        <v>17930</v>
      </c>
      <c r="C1370" s="1" t="s">
        <v>17931</v>
      </c>
      <c r="D1370" s="1" t="s">
        <v>17903</v>
      </c>
      <c r="E1370" s="1" t="s">
        <v>17904</v>
      </c>
      <c r="F1370" s="1">
        <v>291669.0</v>
      </c>
      <c r="G1370" s="1">
        <v>6717.0</v>
      </c>
      <c r="H1370" s="1">
        <v>762.0</v>
      </c>
      <c r="I1370" s="1">
        <v>3280000.0</v>
      </c>
      <c r="J1370" s="1" t="s">
        <v>2468</v>
      </c>
      <c r="K1370" s="5">
        <f t="shared" si="2"/>
        <v>0.08892347561</v>
      </c>
      <c r="L1370" s="6">
        <f t="shared" si="3"/>
        <v>122</v>
      </c>
      <c r="M1370" s="6">
        <f t="shared" si="4"/>
        <v>2390.729508</v>
      </c>
      <c r="N1370" s="7">
        <f t="shared" si="5"/>
        <v>0.0007288809476</v>
      </c>
      <c r="O1370" s="7"/>
      <c r="P1370" s="4">
        <f t="shared" si="6"/>
        <v>0.06387114027</v>
      </c>
      <c r="Q1370" s="4">
        <f t="shared" si="7"/>
        <v>11</v>
      </c>
      <c r="R1370" s="4">
        <f t="shared" si="8"/>
        <v>1</v>
      </c>
      <c r="S1370" s="4">
        <f t="shared" si="9"/>
        <v>0.06387114027</v>
      </c>
      <c r="T1370" s="4">
        <f t="shared" si="10"/>
        <v>45</v>
      </c>
      <c r="U1370" s="4">
        <f t="shared" si="1"/>
        <v>0.06387114027</v>
      </c>
      <c r="V1370" s="4"/>
    </row>
    <row r="1371">
      <c r="A1371" s="1" t="s">
        <v>17932</v>
      </c>
      <c r="B1371" s="1" t="s">
        <v>17933</v>
      </c>
      <c r="C1371" s="1" t="s">
        <v>17934</v>
      </c>
      <c r="D1371" s="1" t="s">
        <v>17903</v>
      </c>
      <c r="E1371" s="1" t="s">
        <v>17904</v>
      </c>
      <c r="F1371" s="1">
        <v>47511.0</v>
      </c>
      <c r="G1371" s="1">
        <v>1517.0</v>
      </c>
      <c r="H1371" s="1">
        <v>103.0</v>
      </c>
      <c r="I1371" s="1">
        <v>3280000.0</v>
      </c>
      <c r="J1371" s="1" t="s">
        <v>2468</v>
      </c>
      <c r="K1371" s="5">
        <f t="shared" si="2"/>
        <v>0.01448506098</v>
      </c>
      <c r="L1371" s="6">
        <f t="shared" si="3"/>
        <v>126</v>
      </c>
      <c r="M1371" s="6">
        <f t="shared" si="4"/>
        <v>377.0714286</v>
      </c>
      <c r="N1371" s="7">
        <f t="shared" si="5"/>
        <v>0.0001149608014</v>
      </c>
      <c r="O1371" s="7"/>
      <c r="P1371" s="4">
        <f t="shared" si="6"/>
        <v>-0.3685517577</v>
      </c>
      <c r="Q1371" s="4">
        <f t="shared" si="7"/>
        <v>11</v>
      </c>
      <c r="R1371" s="4">
        <f t="shared" si="8"/>
        <v>1</v>
      </c>
      <c r="S1371" s="4">
        <f t="shared" si="9"/>
        <v>-0.3685517577</v>
      </c>
      <c r="T1371" s="4">
        <f t="shared" si="10"/>
        <v>54</v>
      </c>
      <c r="U1371" s="4">
        <f t="shared" si="1"/>
        <v>-0.3685517577</v>
      </c>
      <c r="V1371" s="4"/>
    </row>
    <row r="1372">
      <c r="A1372" s="1" t="s">
        <v>17935</v>
      </c>
      <c r="B1372" s="1" t="s">
        <v>17936</v>
      </c>
      <c r="C1372" s="1" t="s">
        <v>17937</v>
      </c>
      <c r="D1372" s="1" t="s">
        <v>17903</v>
      </c>
      <c r="E1372" s="1" t="s">
        <v>17904</v>
      </c>
      <c r="F1372" s="1">
        <v>28398.0</v>
      </c>
      <c r="G1372" s="1">
        <v>405.0</v>
      </c>
      <c r="H1372" s="1">
        <v>33.0</v>
      </c>
      <c r="I1372" s="1">
        <v>3280000.0</v>
      </c>
      <c r="J1372" s="1" t="s">
        <v>2468</v>
      </c>
      <c r="K1372" s="5">
        <f t="shared" si="2"/>
        <v>0.008657926829</v>
      </c>
      <c r="L1372" s="6">
        <f t="shared" si="3"/>
        <v>128</v>
      </c>
      <c r="M1372" s="6">
        <f t="shared" si="4"/>
        <v>221.859375</v>
      </c>
      <c r="N1372" s="7">
        <f t="shared" si="5"/>
        <v>0.00006764005335</v>
      </c>
      <c r="O1372" s="7"/>
      <c r="P1372" s="4">
        <f t="shared" si="6"/>
        <v>-0.401882762</v>
      </c>
      <c r="Q1372" s="4">
        <f t="shared" si="7"/>
        <v>7</v>
      </c>
      <c r="R1372" s="4">
        <f t="shared" si="8"/>
        <v>1</v>
      </c>
      <c r="S1372" s="4">
        <f t="shared" si="9"/>
        <v>-0.401882762</v>
      </c>
      <c r="T1372" s="4">
        <f t="shared" si="10"/>
        <v>35</v>
      </c>
      <c r="U1372" s="4">
        <f t="shared" si="1"/>
        <v>-0.401882762</v>
      </c>
      <c r="V1372" s="4"/>
    </row>
    <row r="1373">
      <c r="A1373" s="1" t="s">
        <v>17938</v>
      </c>
      <c r="B1373" s="1" t="s">
        <v>17939</v>
      </c>
      <c r="C1373" s="1" t="s">
        <v>17940</v>
      </c>
      <c r="D1373" s="1" t="s">
        <v>17903</v>
      </c>
      <c r="E1373" s="1" t="s">
        <v>17904</v>
      </c>
      <c r="F1373" s="1">
        <v>67173.0</v>
      </c>
      <c r="G1373" s="1">
        <v>1643.0</v>
      </c>
      <c r="H1373" s="1">
        <v>529.0</v>
      </c>
      <c r="I1373" s="1">
        <v>3280000.0</v>
      </c>
      <c r="J1373" s="1" t="s">
        <v>2468</v>
      </c>
      <c r="K1373" s="5">
        <f t="shared" si="2"/>
        <v>0.02047957317</v>
      </c>
      <c r="L1373" s="6">
        <f t="shared" si="3"/>
        <v>131</v>
      </c>
      <c r="M1373" s="6">
        <f t="shared" si="4"/>
        <v>512.7709924</v>
      </c>
      <c r="N1373" s="7">
        <f t="shared" si="5"/>
        <v>0.0001563326196</v>
      </c>
      <c r="O1373" s="7"/>
      <c r="P1373" s="4">
        <f t="shared" si="6"/>
        <v>-0.339410962</v>
      </c>
      <c r="Q1373" s="4">
        <f t="shared" si="7"/>
        <v>10</v>
      </c>
      <c r="R1373" s="4">
        <f t="shared" si="8"/>
        <v>1</v>
      </c>
      <c r="S1373" s="4">
        <f t="shared" si="9"/>
        <v>-0.339410962</v>
      </c>
      <c r="T1373" s="4">
        <f t="shared" si="10"/>
        <v>55</v>
      </c>
      <c r="U1373" s="4">
        <f t="shared" si="1"/>
        <v>-0.339410962</v>
      </c>
      <c r="V1373" s="4"/>
    </row>
    <row r="1374">
      <c r="A1374" s="1" t="s">
        <v>17941</v>
      </c>
      <c r="B1374" s="1" t="s">
        <v>17942</v>
      </c>
      <c r="C1374" s="1" t="s">
        <v>17943</v>
      </c>
      <c r="D1374" s="1" t="s">
        <v>17903</v>
      </c>
      <c r="E1374" s="1" t="s">
        <v>17904</v>
      </c>
      <c r="F1374" s="1">
        <v>33272.0</v>
      </c>
      <c r="G1374" s="1">
        <v>1348.0</v>
      </c>
      <c r="H1374" s="1">
        <v>174.0</v>
      </c>
      <c r="I1374" s="1">
        <v>3280000.0</v>
      </c>
      <c r="J1374" s="1" t="s">
        <v>2468</v>
      </c>
      <c r="K1374" s="5">
        <f t="shared" si="2"/>
        <v>0.01014390244</v>
      </c>
      <c r="L1374" s="6">
        <f t="shared" si="3"/>
        <v>133</v>
      </c>
      <c r="M1374" s="6">
        <f t="shared" si="4"/>
        <v>250.1654135</v>
      </c>
      <c r="N1374" s="7">
        <f t="shared" si="5"/>
        <v>0.00007626994315</v>
      </c>
      <c r="O1374" s="7"/>
      <c r="P1374" s="4">
        <f t="shared" si="6"/>
        <v>-0.3958041832</v>
      </c>
      <c r="Q1374" s="4">
        <f t="shared" si="7"/>
        <v>4</v>
      </c>
      <c r="R1374" s="4">
        <f t="shared" si="8"/>
        <v>0</v>
      </c>
      <c r="S1374" s="4">
        <f t="shared" si="9"/>
        <v>-0.3958041832</v>
      </c>
      <c r="T1374" s="4">
        <f t="shared" si="10"/>
        <v>26</v>
      </c>
      <c r="U1374" s="4">
        <f t="shared" si="1"/>
        <v>-0.3958041832</v>
      </c>
      <c r="V1374" s="4"/>
    </row>
    <row r="1375">
      <c r="A1375" s="1" t="s">
        <v>17944</v>
      </c>
      <c r="B1375" s="1" t="s">
        <v>17945</v>
      </c>
      <c r="C1375" s="1" t="s">
        <v>17946</v>
      </c>
      <c r="D1375" s="1" t="s">
        <v>17903</v>
      </c>
      <c r="E1375" s="1" t="s">
        <v>17904</v>
      </c>
      <c r="F1375" s="1">
        <v>127907.0</v>
      </c>
      <c r="G1375" s="1">
        <v>4307.0</v>
      </c>
      <c r="H1375" s="1">
        <v>542.0</v>
      </c>
      <c r="I1375" s="1">
        <v>3280000.0</v>
      </c>
      <c r="J1375" s="1" t="s">
        <v>2468</v>
      </c>
      <c r="K1375" s="5">
        <f t="shared" si="2"/>
        <v>0.03899603659</v>
      </c>
      <c r="L1375" s="6">
        <f t="shared" si="3"/>
        <v>136</v>
      </c>
      <c r="M1375" s="6">
        <f t="shared" si="4"/>
        <v>940.4926471</v>
      </c>
      <c r="N1375" s="7">
        <f t="shared" si="5"/>
        <v>0.0002867355631</v>
      </c>
      <c r="O1375" s="7"/>
      <c r="P1375" s="4">
        <f t="shared" si="6"/>
        <v>-0.2475598979</v>
      </c>
      <c r="Q1375" s="4">
        <f t="shared" si="7"/>
        <v>9</v>
      </c>
      <c r="R1375" s="4">
        <f t="shared" si="8"/>
        <v>1</v>
      </c>
      <c r="S1375" s="4">
        <f t="shared" si="9"/>
        <v>-0.2475598979</v>
      </c>
      <c r="T1375" s="4">
        <f t="shared" si="10"/>
        <v>35</v>
      </c>
      <c r="U1375" s="4">
        <f t="shared" si="1"/>
        <v>-0.2475598979</v>
      </c>
      <c r="V1375" s="4"/>
    </row>
    <row r="1376">
      <c r="A1376" s="1" t="s">
        <v>17947</v>
      </c>
      <c r="B1376" s="1" t="s">
        <v>17948</v>
      </c>
      <c r="C1376" s="1" t="s">
        <v>17949</v>
      </c>
      <c r="D1376" s="1" t="s">
        <v>17903</v>
      </c>
      <c r="E1376" s="1" t="s">
        <v>17904</v>
      </c>
      <c r="F1376" s="1">
        <v>103184.0</v>
      </c>
      <c r="G1376" s="1">
        <v>2308.0</v>
      </c>
      <c r="H1376" s="1">
        <v>702.0</v>
      </c>
      <c r="I1376" s="1">
        <v>3280000.0</v>
      </c>
      <c r="J1376" s="1" t="s">
        <v>2468</v>
      </c>
      <c r="K1376" s="5">
        <f t="shared" si="2"/>
        <v>0.03145853659</v>
      </c>
      <c r="L1376" s="6">
        <f t="shared" si="3"/>
        <v>138</v>
      </c>
      <c r="M1376" s="6">
        <f t="shared" si="4"/>
        <v>747.7101449</v>
      </c>
      <c r="N1376" s="7">
        <f t="shared" si="5"/>
        <v>0.00022796041</v>
      </c>
      <c r="O1376" s="7"/>
      <c r="P1376" s="4">
        <f t="shared" si="6"/>
        <v>-0.2889589661</v>
      </c>
      <c r="Q1376" s="4">
        <f t="shared" si="7"/>
        <v>12</v>
      </c>
      <c r="R1376" s="4">
        <f t="shared" si="8"/>
        <v>1</v>
      </c>
      <c r="S1376" s="4">
        <f t="shared" si="9"/>
        <v>-0.2889589661</v>
      </c>
      <c r="T1376" s="4">
        <f t="shared" si="10"/>
        <v>54</v>
      </c>
      <c r="U1376" s="4">
        <f t="shared" si="1"/>
        <v>-0.2889589661</v>
      </c>
      <c r="V1376" s="4"/>
    </row>
    <row r="1377">
      <c r="A1377" s="1" t="s">
        <v>17950</v>
      </c>
      <c r="B1377" s="1" t="s">
        <v>17951</v>
      </c>
      <c r="C1377" s="1" t="s">
        <v>17952</v>
      </c>
      <c r="D1377" s="1" t="s">
        <v>17903</v>
      </c>
      <c r="E1377" s="1" t="s">
        <v>17904</v>
      </c>
      <c r="F1377" s="1">
        <v>150153.0</v>
      </c>
      <c r="G1377" s="1">
        <v>1630.0</v>
      </c>
      <c r="H1377" s="1">
        <v>182.0</v>
      </c>
      <c r="I1377" s="1">
        <v>3280000.0</v>
      </c>
      <c r="J1377" s="1" t="s">
        <v>2468</v>
      </c>
      <c r="K1377" s="5">
        <f t="shared" si="2"/>
        <v>0.04577835366</v>
      </c>
      <c r="L1377" s="6">
        <f t="shared" si="3"/>
        <v>140</v>
      </c>
      <c r="M1377" s="6">
        <f t="shared" si="4"/>
        <v>1072.521429</v>
      </c>
      <c r="N1377" s="7">
        <f t="shared" si="5"/>
        <v>0.0003269882404</v>
      </c>
      <c r="O1377" s="7"/>
      <c r="P1377" s="4">
        <f t="shared" si="6"/>
        <v>-0.2192073842</v>
      </c>
      <c r="Q1377" s="4">
        <f t="shared" si="7"/>
        <v>5</v>
      </c>
      <c r="R1377" s="4">
        <f t="shared" si="8"/>
        <v>0</v>
      </c>
      <c r="S1377" s="4">
        <f t="shared" si="9"/>
        <v>-0.2192073842</v>
      </c>
      <c r="T1377" s="4">
        <f t="shared" si="10"/>
        <v>29</v>
      </c>
      <c r="U1377" s="4">
        <f t="shared" si="1"/>
        <v>-0.2192073842</v>
      </c>
      <c r="V1377" s="4"/>
    </row>
    <row r="1378">
      <c r="A1378" s="1" t="s">
        <v>17953</v>
      </c>
      <c r="B1378" s="1" t="s">
        <v>17954</v>
      </c>
      <c r="C1378" s="1" t="s">
        <v>17955</v>
      </c>
      <c r="D1378" s="1" t="s">
        <v>17903</v>
      </c>
      <c r="E1378" s="1" t="s">
        <v>17904</v>
      </c>
      <c r="F1378" s="1">
        <v>48802.0</v>
      </c>
      <c r="G1378" s="1">
        <v>1550.0</v>
      </c>
      <c r="H1378" s="1">
        <v>115.0</v>
      </c>
      <c r="I1378" s="1">
        <v>3280000.0</v>
      </c>
      <c r="J1378" s="1" t="s">
        <v>2468</v>
      </c>
      <c r="K1378" s="5">
        <f t="shared" si="2"/>
        <v>0.01487865854</v>
      </c>
      <c r="L1378" s="6">
        <f t="shared" si="3"/>
        <v>142</v>
      </c>
      <c r="M1378" s="6">
        <f t="shared" si="4"/>
        <v>343.6760563</v>
      </c>
      <c r="N1378" s="7">
        <f t="shared" si="5"/>
        <v>0.0001047792855</v>
      </c>
      <c r="O1378" s="7"/>
      <c r="P1378" s="4">
        <f t="shared" si="6"/>
        <v>-0.3757232452</v>
      </c>
      <c r="Q1378" s="4">
        <f t="shared" si="7"/>
        <v>10</v>
      </c>
      <c r="R1378" s="4">
        <f t="shared" si="8"/>
        <v>1</v>
      </c>
      <c r="S1378" s="4">
        <f t="shared" si="9"/>
        <v>-0.3757232452</v>
      </c>
      <c r="T1378" s="4">
        <f t="shared" si="10"/>
        <v>36</v>
      </c>
      <c r="U1378" s="4">
        <f t="shared" si="1"/>
        <v>-0.3757232452</v>
      </c>
      <c r="V1378" s="4"/>
    </row>
    <row r="1379">
      <c r="A1379" s="1" t="s">
        <v>17956</v>
      </c>
      <c r="B1379" s="1" t="s">
        <v>17957</v>
      </c>
      <c r="C1379" s="1" t="s">
        <v>17958</v>
      </c>
      <c r="D1379" s="1" t="s">
        <v>17903</v>
      </c>
      <c r="E1379" s="1" t="s">
        <v>17904</v>
      </c>
      <c r="F1379" s="1">
        <v>38367.0</v>
      </c>
      <c r="G1379" s="1">
        <v>1308.0</v>
      </c>
      <c r="H1379" s="1">
        <v>127.0</v>
      </c>
      <c r="I1379" s="1">
        <v>3280000.0</v>
      </c>
      <c r="J1379" s="1" t="s">
        <v>2468</v>
      </c>
      <c r="K1379" s="5">
        <f t="shared" si="2"/>
        <v>0.0116972561</v>
      </c>
      <c r="L1379" s="6">
        <f t="shared" si="3"/>
        <v>146</v>
      </c>
      <c r="M1379" s="6">
        <f t="shared" si="4"/>
        <v>262.7876712</v>
      </c>
      <c r="N1379" s="7">
        <f t="shared" si="5"/>
        <v>0.00008011819245</v>
      </c>
      <c r="O1379" s="7"/>
      <c r="P1379" s="4">
        <f t="shared" si="6"/>
        <v>-0.3930936171</v>
      </c>
      <c r="Q1379" s="4">
        <f t="shared" si="7"/>
        <v>8</v>
      </c>
      <c r="R1379" s="4">
        <f t="shared" si="8"/>
        <v>0</v>
      </c>
      <c r="S1379" s="4">
        <f t="shared" si="9"/>
        <v>-0.3930936171</v>
      </c>
      <c r="T1379" s="4">
        <f t="shared" si="10"/>
        <v>43</v>
      </c>
      <c r="U1379" s="4">
        <f t="shared" si="1"/>
        <v>-0.3930936171</v>
      </c>
      <c r="V1379" s="4"/>
    </row>
    <row r="1380">
      <c r="A1380" s="1" t="s">
        <v>17959</v>
      </c>
      <c r="B1380" s="1" t="s">
        <v>17960</v>
      </c>
      <c r="C1380" s="1" t="s">
        <v>17961</v>
      </c>
      <c r="D1380" s="1" t="s">
        <v>17903</v>
      </c>
      <c r="E1380" s="1" t="s">
        <v>17904</v>
      </c>
      <c r="F1380" s="1">
        <v>91858.0</v>
      </c>
      <c r="G1380" s="1">
        <v>2113.0</v>
      </c>
      <c r="H1380" s="1">
        <v>333.0</v>
      </c>
      <c r="I1380" s="1">
        <v>3280000.0</v>
      </c>
      <c r="J1380" s="1" t="s">
        <v>2468</v>
      </c>
      <c r="K1380" s="5">
        <f t="shared" si="2"/>
        <v>0.0280054878</v>
      </c>
      <c r="L1380" s="6">
        <f t="shared" si="3"/>
        <v>149</v>
      </c>
      <c r="M1380" s="6">
        <f t="shared" si="4"/>
        <v>616.4966443</v>
      </c>
      <c r="N1380" s="7">
        <f t="shared" si="5"/>
        <v>0.000187956294</v>
      </c>
      <c r="O1380" s="7"/>
      <c r="P1380" s="4">
        <f t="shared" si="6"/>
        <v>-0.3171364024</v>
      </c>
      <c r="Q1380" s="4">
        <f t="shared" si="7"/>
        <v>7</v>
      </c>
      <c r="R1380" s="4">
        <f t="shared" si="8"/>
        <v>1</v>
      </c>
      <c r="S1380" s="4">
        <f t="shared" si="9"/>
        <v>-0.3171364024</v>
      </c>
      <c r="T1380" s="4">
        <f t="shared" si="10"/>
        <v>25</v>
      </c>
      <c r="U1380" s="4">
        <f t="shared" si="1"/>
        <v>-0.3171364024</v>
      </c>
      <c r="V1380" s="4"/>
    </row>
    <row r="1381">
      <c r="A1381" s="1" t="s">
        <v>17962</v>
      </c>
      <c r="B1381" s="1" t="s">
        <v>17963</v>
      </c>
      <c r="C1381" s="1" t="s">
        <v>17964</v>
      </c>
      <c r="D1381" s="1" t="s">
        <v>17903</v>
      </c>
      <c r="E1381" s="1" t="s">
        <v>17904</v>
      </c>
      <c r="F1381" s="1">
        <v>60543.0</v>
      </c>
      <c r="G1381" s="1">
        <v>2176.0</v>
      </c>
      <c r="H1381" s="1">
        <v>481.0</v>
      </c>
      <c r="I1381" s="1">
        <v>3280000.0</v>
      </c>
      <c r="J1381" s="1" t="s">
        <v>2468</v>
      </c>
      <c r="K1381" s="5">
        <f t="shared" si="2"/>
        <v>0.01845823171</v>
      </c>
      <c r="L1381" s="6">
        <f t="shared" si="3"/>
        <v>155</v>
      </c>
      <c r="M1381" s="6">
        <f t="shared" si="4"/>
        <v>390.6</v>
      </c>
      <c r="N1381" s="7">
        <f t="shared" si="5"/>
        <v>0.0001190853659</v>
      </c>
      <c r="O1381" s="7"/>
      <c r="P1381" s="4">
        <f t="shared" si="6"/>
        <v>-0.3656465653</v>
      </c>
      <c r="Q1381" s="4">
        <f t="shared" si="7"/>
        <v>12</v>
      </c>
      <c r="R1381" s="4">
        <f t="shared" si="8"/>
        <v>1</v>
      </c>
      <c r="S1381" s="4">
        <f t="shared" si="9"/>
        <v>-0.3656465653</v>
      </c>
      <c r="T1381" s="4">
        <f t="shared" si="10"/>
        <v>55</v>
      </c>
      <c r="U1381" s="4">
        <f t="shared" si="1"/>
        <v>-0.3656465653</v>
      </c>
      <c r="V1381" s="4"/>
    </row>
    <row r="1382">
      <c r="A1382" s="1" t="s">
        <v>17965</v>
      </c>
      <c r="B1382" s="1" t="s">
        <v>17966</v>
      </c>
      <c r="C1382" s="1" t="s">
        <v>17967</v>
      </c>
      <c r="D1382" s="1" t="s">
        <v>17903</v>
      </c>
      <c r="E1382" s="1" t="s">
        <v>17904</v>
      </c>
      <c r="F1382" s="1">
        <v>67921.0</v>
      </c>
      <c r="G1382" s="1">
        <v>2082.0</v>
      </c>
      <c r="H1382" s="1">
        <v>144.0</v>
      </c>
      <c r="I1382" s="1">
        <v>3280000.0</v>
      </c>
      <c r="J1382" s="1" t="s">
        <v>2468</v>
      </c>
      <c r="K1382" s="5">
        <f t="shared" si="2"/>
        <v>0.02070762195</v>
      </c>
      <c r="L1382" s="6">
        <f t="shared" si="3"/>
        <v>156</v>
      </c>
      <c r="M1382" s="6">
        <f t="shared" si="4"/>
        <v>435.3910256</v>
      </c>
      <c r="N1382" s="7">
        <f t="shared" si="5"/>
        <v>0.0001327411664</v>
      </c>
      <c r="O1382" s="7"/>
      <c r="P1382" s="4">
        <f t="shared" si="6"/>
        <v>-0.3560279189</v>
      </c>
      <c r="Q1382" s="4">
        <f t="shared" si="7"/>
        <v>4</v>
      </c>
      <c r="R1382" s="4">
        <f t="shared" si="8"/>
        <v>1</v>
      </c>
      <c r="S1382" s="4">
        <f t="shared" si="9"/>
        <v>-0.3560279189</v>
      </c>
      <c r="T1382" s="4">
        <f t="shared" si="10"/>
        <v>13</v>
      </c>
      <c r="U1382" s="4">
        <f t="shared" si="1"/>
        <v>-0.3560279189</v>
      </c>
      <c r="V1382" s="4"/>
    </row>
    <row r="1383">
      <c r="A1383" s="1" t="s">
        <v>17968</v>
      </c>
      <c r="B1383" s="1" t="s">
        <v>17969</v>
      </c>
      <c r="C1383" s="1" t="s">
        <v>17970</v>
      </c>
      <c r="D1383" s="1" t="s">
        <v>17903</v>
      </c>
      <c r="E1383" s="1" t="s">
        <v>17904</v>
      </c>
      <c r="F1383" s="1">
        <v>43947.0</v>
      </c>
      <c r="G1383" s="1">
        <v>1306.0</v>
      </c>
      <c r="H1383" s="1">
        <v>132.0</v>
      </c>
      <c r="I1383" s="1">
        <v>3280000.0</v>
      </c>
      <c r="J1383" s="1" t="s">
        <v>2468</v>
      </c>
      <c r="K1383" s="5">
        <f t="shared" si="2"/>
        <v>0.01339847561</v>
      </c>
      <c r="L1383" s="6">
        <f t="shared" si="3"/>
        <v>160</v>
      </c>
      <c r="M1383" s="6">
        <f t="shared" si="4"/>
        <v>274.66875</v>
      </c>
      <c r="N1383" s="7">
        <f t="shared" si="5"/>
        <v>0.00008374047256</v>
      </c>
      <c r="O1383" s="7"/>
      <c r="P1383" s="4">
        <f t="shared" si="6"/>
        <v>-0.3905422155</v>
      </c>
      <c r="Q1383" s="4">
        <f t="shared" si="7"/>
        <v>11</v>
      </c>
      <c r="R1383" s="4">
        <f t="shared" si="8"/>
        <v>1</v>
      </c>
      <c r="S1383" s="4">
        <f t="shared" si="9"/>
        <v>-0.3905422155</v>
      </c>
      <c r="T1383" s="4">
        <f t="shared" si="10"/>
        <v>53</v>
      </c>
      <c r="U1383" s="4">
        <f t="shared" si="1"/>
        <v>-0.3905422155</v>
      </c>
      <c r="V1383" s="4"/>
    </row>
    <row r="1384">
      <c r="A1384" s="1" t="s">
        <v>17971</v>
      </c>
      <c r="B1384" s="1" t="s">
        <v>17972</v>
      </c>
      <c r="C1384" s="1" t="s">
        <v>17973</v>
      </c>
      <c r="D1384" s="1" t="s">
        <v>17903</v>
      </c>
      <c r="E1384" s="1" t="s">
        <v>17904</v>
      </c>
      <c r="F1384" s="1">
        <v>286276.0</v>
      </c>
      <c r="G1384" s="1">
        <v>6760.0</v>
      </c>
      <c r="H1384" s="1">
        <v>528.0</v>
      </c>
      <c r="I1384" s="1">
        <v>3280000.0</v>
      </c>
      <c r="J1384" s="1" t="s">
        <v>2468</v>
      </c>
      <c r="K1384" s="5">
        <f t="shared" si="2"/>
        <v>0.08727926829</v>
      </c>
      <c r="L1384" s="6">
        <f t="shared" si="3"/>
        <v>162</v>
      </c>
      <c r="M1384" s="6">
        <f t="shared" si="4"/>
        <v>1767.135802</v>
      </c>
      <c r="N1384" s="7">
        <f t="shared" si="5"/>
        <v>0.0005387609154</v>
      </c>
      <c r="O1384" s="7"/>
      <c r="P1384" s="4">
        <f t="shared" si="6"/>
        <v>-0.07004245714</v>
      </c>
      <c r="Q1384" s="4">
        <f t="shared" si="7"/>
        <v>9</v>
      </c>
      <c r="R1384" s="4">
        <f t="shared" si="8"/>
        <v>1</v>
      </c>
      <c r="S1384" s="4">
        <f t="shared" si="9"/>
        <v>-0.07004245714</v>
      </c>
      <c r="T1384" s="4">
        <f t="shared" si="10"/>
        <v>40</v>
      </c>
      <c r="U1384" s="4">
        <f t="shared" si="1"/>
        <v>-0.07004245714</v>
      </c>
      <c r="V1384" s="4"/>
    </row>
    <row r="1385">
      <c r="A1385" s="1" t="s">
        <v>17974</v>
      </c>
      <c r="B1385" s="1" t="s">
        <v>17975</v>
      </c>
      <c r="C1385" s="1" t="s">
        <v>17976</v>
      </c>
      <c r="D1385" s="1" t="s">
        <v>17903</v>
      </c>
      <c r="E1385" s="1" t="s">
        <v>17904</v>
      </c>
      <c r="F1385" s="1">
        <v>79627.0</v>
      </c>
      <c r="G1385" s="1">
        <v>2269.0</v>
      </c>
      <c r="H1385" s="1">
        <v>290.0</v>
      </c>
      <c r="I1385" s="1">
        <v>3280000.0</v>
      </c>
      <c r="J1385" s="1" t="s">
        <v>2468</v>
      </c>
      <c r="K1385" s="5">
        <f t="shared" si="2"/>
        <v>0.02427652439</v>
      </c>
      <c r="L1385" s="6">
        <f t="shared" si="3"/>
        <v>164</v>
      </c>
      <c r="M1385" s="6">
        <f t="shared" si="4"/>
        <v>485.5304878</v>
      </c>
      <c r="N1385" s="7">
        <f t="shared" si="5"/>
        <v>0.0001480275877</v>
      </c>
      <c r="O1385" s="7"/>
      <c r="P1385" s="4">
        <f t="shared" si="6"/>
        <v>-0.3452607228</v>
      </c>
      <c r="Q1385" s="4">
        <f t="shared" si="7"/>
        <v>6</v>
      </c>
      <c r="R1385" s="4">
        <f t="shared" si="8"/>
        <v>1</v>
      </c>
      <c r="S1385" s="4">
        <f t="shared" si="9"/>
        <v>-0.3452607228</v>
      </c>
      <c r="T1385" s="4">
        <f t="shared" si="10"/>
        <v>31</v>
      </c>
      <c r="U1385" s="4">
        <f t="shared" si="1"/>
        <v>-0.3452607228</v>
      </c>
      <c r="V1385" s="4"/>
    </row>
    <row r="1386">
      <c r="A1386" s="1" t="s">
        <v>17977</v>
      </c>
      <c r="B1386" s="1" t="s">
        <v>17978</v>
      </c>
      <c r="C1386" s="1" t="s">
        <v>17979</v>
      </c>
      <c r="D1386" s="1" t="s">
        <v>17903</v>
      </c>
      <c r="E1386" s="1" t="s">
        <v>17904</v>
      </c>
      <c r="F1386" s="1">
        <v>101555.0</v>
      </c>
      <c r="G1386" s="1">
        <v>2956.0</v>
      </c>
      <c r="H1386" s="1">
        <v>424.0</v>
      </c>
      <c r="I1386" s="1">
        <v>3280000.0</v>
      </c>
      <c r="J1386" s="1" t="s">
        <v>2468</v>
      </c>
      <c r="K1386" s="5">
        <f t="shared" si="2"/>
        <v>0.03096189024</v>
      </c>
      <c r="L1386" s="6">
        <f t="shared" si="3"/>
        <v>167</v>
      </c>
      <c r="M1386" s="6">
        <f t="shared" si="4"/>
        <v>608.1137725</v>
      </c>
      <c r="N1386" s="7">
        <f t="shared" si="5"/>
        <v>0.0001854005404</v>
      </c>
      <c r="O1386" s="7"/>
      <c r="P1386" s="4">
        <f t="shared" si="6"/>
        <v>-0.3189365818</v>
      </c>
      <c r="Q1386" s="4">
        <f t="shared" si="7"/>
        <v>12</v>
      </c>
      <c r="R1386" s="4">
        <f t="shared" si="8"/>
        <v>1</v>
      </c>
      <c r="S1386" s="4">
        <f t="shared" si="9"/>
        <v>-0.3189365818</v>
      </c>
      <c r="T1386" s="4">
        <f t="shared" si="10"/>
        <v>53</v>
      </c>
      <c r="U1386" s="4">
        <f t="shared" si="1"/>
        <v>-0.3189365818</v>
      </c>
      <c r="V1386" s="4"/>
    </row>
    <row r="1387">
      <c r="A1387" s="1" t="s">
        <v>17980</v>
      </c>
      <c r="B1387" s="1" t="s">
        <v>17981</v>
      </c>
      <c r="C1387" s="1" t="s">
        <v>17982</v>
      </c>
      <c r="D1387" s="1" t="s">
        <v>17903</v>
      </c>
      <c r="E1387" s="1" t="s">
        <v>17904</v>
      </c>
      <c r="F1387" s="1">
        <v>77477.0</v>
      </c>
      <c r="G1387" s="1">
        <v>2879.0</v>
      </c>
      <c r="H1387" s="1">
        <v>214.0</v>
      </c>
      <c r="I1387" s="1">
        <v>3280000.0</v>
      </c>
      <c r="J1387" s="1" t="s">
        <v>2468</v>
      </c>
      <c r="K1387" s="5">
        <f t="shared" si="2"/>
        <v>0.02362103659</v>
      </c>
      <c r="L1387" s="6">
        <f t="shared" si="3"/>
        <v>172</v>
      </c>
      <c r="M1387" s="6">
        <f t="shared" si="4"/>
        <v>450.4476744</v>
      </c>
      <c r="N1387" s="7">
        <f t="shared" si="5"/>
        <v>0.0001373316081</v>
      </c>
      <c r="O1387" s="7"/>
      <c r="P1387" s="4">
        <f t="shared" si="6"/>
        <v>-0.3527945797</v>
      </c>
      <c r="Q1387" s="4">
        <f t="shared" si="7"/>
        <v>7</v>
      </c>
      <c r="R1387" s="4">
        <f t="shared" si="8"/>
        <v>1</v>
      </c>
      <c r="S1387" s="4">
        <f t="shared" si="9"/>
        <v>-0.3527945797</v>
      </c>
      <c r="T1387" s="4">
        <f t="shared" si="10"/>
        <v>29</v>
      </c>
      <c r="U1387" s="4">
        <f t="shared" si="1"/>
        <v>-0.3527945797</v>
      </c>
      <c r="V1387" s="4"/>
    </row>
    <row r="1388">
      <c r="A1388" s="1" t="s">
        <v>17983</v>
      </c>
      <c r="B1388" s="1" t="s">
        <v>17984</v>
      </c>
      <c r="C1388" s="1" t="s">
        <v>17985</v>
      </c>
      <c r="D1388" s="1" t="s">
        <v>17903</v>
      </c>
      <c r="E1388" s="1" t="s">
        <v>17904</v>
      </c>
      <c r="F1388" s="1">
        <v>138427.0</v>
      </c>
      <c r="G1388" s="1">
        <v>3795.0</v>
      </c>
      <c r="H1388" s="1">
        <v>171.0</v>
      </c>
      <c r="I1388" s="1">
        <v>3280000.0</v>
      </c>
      <c r="J1388" s="1" t="s">
        <v>2468</v>
      </c>
      <c r="K1388" s="5">
        <f t="shared" si="2"/>
        <v>0.04220335366</v>
      </c>
      <c r="L1388" s="6">
        <f t="shared" si="3"/>
        <v>181</v>
      </c>
      <c r="M1388" s="6">
        <f t="shared" si="4"/>
        <v>764.7900552</v>
      </c>
      <c r="N1388" s="7">
        <f t="shared" si="5"/>
        <v>0.0002331676998</v>
      </c>
      <c r="O1388" s="7"/>
      <c r="P1388" s="4">
        <f t="shared" si="6"/>
        <v>-0.2852911417</v>
      </c>
      <c r="Q1388" s="4">
        <f t="shared" si="7"/>
        <v>4</v>
      </c>
      <c r="R1388" s="4">
        <f t="shared" si="8"/>
        <v>0</v>
      </c>
      <c r="S1388" s="4">
        <f t="shared" si="9"/>
        <v>-0.2852911417</v>
      </c>
      <c r="T1388" s="4">
        <f t="shared" si="10"/>
        <v>21</v>
      </c>
      <c r="U1388" s="4">
        <f t="shared" si="1"/>
        <v>-0.2852911417</v>
      </c>
      <c r="V1388" s="4"/>
    </row>
    <row r="1389">
      <c r="A1389" s="1" t="s">
        <v>17986</v>
      </c>
      <c r="B1389" s="1" t="s">
        <v>17987</v>
      </c>
      <c r="C1389" s="1" t="s">
        <v>17988</v>
      </c>
      <c r="D1389" s="1" t="s">
        <v>17903</v>
      </c>
      <c r="E1389" s="1" t="s">
        <v>17904</v>
      </c>
      <c r="F1389" s="1">
        <v>242777.0</v>
      </c>
      <c r="G1389" s="1">
        <v>5531.0</v>
      </c>
      <c r="H1389" s="1">
        <v>906.0</v>
      </c>
      <c r="I1389" s="1">
        <v>3280000.0</v>
      </c>
      <c r="J1389" s="1" t="s">
        <v>2468</v>
      </c>
      <c r="K1389" s="5">
        <f t="shared" si="2"/>
        <v>0.07401737805</v>
      </c>
      <c r="L1389" s="6">
        <f t="shared" si="3"/>
        <v>187</v>
      </c>
      <c r="M1389" s="6">
        <f t="shared" si="4"/>
        <v>1298.272727</v>
      </c>
      <c r="N1389" s="7">
        <f t="shared" si="5"/>
        <v>0.0003958148559</v>
      </c>
      <c r="O1389" s="7"/>
      <c r="P1389" s="4">
        <f t="shared" si="6"/>
        <v>-0.1707284335</v>
      </c>
      <c r="Q1389" s="4">
        <f t="shared" si="7"/>
        <v>7</v>
      </c>
      <c r="R1389" s="4">
        <f t="shared" si="8"/>
        <v>1</v>
      </c>
      <c r="S1389" s="4">
        <f t="shared" si="9"/>
        <v>-0.1707284335</v>
      </c>
      <c r="T1389" s="4">
        <f t="shared" si="10"/>
        <v>34</v>
      </c>
      <c r="U1389" s="4">
        <f t="shared" si="1"/>
        <v>-0.1707284335</v>
      </c>
      <c r="V1389" s="4"/>
    </row>
    <row r="1390">
      <c r="A1390" s="1" t="s">
        <v>17989</v>
      </c>
      <c r="B1390" s="1" t="s">
        <v>17990</v>
      </c>
      <c r="C1390" s="1" t="s">
        <v>17991</v>
      </c>
      <c r="D1390" s="1" t="s">
        <v>17903</v>
      </c>
      <c r="E1390" s="1" t="s">
        <v>17904</v>
      </c>
      <c r="F1390" s="1">
        <v>60449.0</v>
      </c>
      <c r="G1390" s="1">
        <v>2218.0</v>
      </c>
      <c r="H1390" s="1">
        <v>208.0</v>
      </c>
      <c r="I1390" s="1">
        <v>3280000.0</v>
      </c>
      <c r="J1390" s="1" t="s">
        <v>2468</v>
      </c>
      <c r="K1390" s="5">
        <f t="shared" si="2"/>
        <v>0.01842957317</v>
      </c>
      <c r="L1390" s="6">
        <f t="shared" si="3"/>
        <v>188</v>
      </c>
      <c r="M1390" s="6">
        <f t="shared" si="4"/>
        <v>321.537234</v>
      </c>
      <c r="N1390" s="7">
        <f t="shared" si="5"/>
        <v>0.00009802964453</v>
      </c>
      <c r="O1390" s="7"/>
      <c r="P1390" s="4">
        <f t="shared" si="6"/>
        <v>-0.3804774454</v>
      </c>
      <c r="Q1390" s="4">
        <f t="shared" si="7"/>
        <v>7</v>
      </c>
      <c r="R1390" s="4">
        <f t="shared" si="8"/>
        <v>0</v>
      </c>
      <c r="S1390" s="4">
        <f t="shared" si="9"/>
        <v>-0.3804774454</v>
      </c>
      <c r="T1390" s="4">
        <f t="shared" si="10"/>
        <v>28</v>
      </c>
      <c r="U1390" s="4">
        <f t="shared" si="1"/>
        <v>-0.3804774454</v>
      </c>
      <c r="V1390" s="4"/>
    </row>
    <row r="1391">
      <c r="A1391" s="1" t="s">
        <v>17992</v>
      </c>
      <c r="B1391" s="1" t="s">
        <v>17993</v>
      </c>
      <c r="C1391" s="1" t="s">
        <v>17994</v>
      </c>
      <c r="D1391" s="1" t="s">
        <v>17903</v>
      </c>
      <c r="E1391" s="1" t="s">
        <v>17904</v>
      </c>
      <c r="F1391" s="1">
        <v>87304.0</v>
      </c>
      <c r="G1391" s="1">
        <v>2306.0</v>
      </c>
      <c r="H1391" s="1">
        <v>458.0</v>
      </c>
      <c r="I1391" s="1">
        <v>3280000.0</v>
      </c>
      <c r="J1391" s="1" t="s">
        <v>2468</v>
      </c>
      <c r="K1391" s="5">
        <f t="shared" si="2"/>
        <v>0.02661707317</v>
      </c>
      <c r="L1391" s="6">
        <f t="shared" si="3"/>
        <v>191</v>
      </c>
      <c r="M1391" s="6">
        <f t="shared" si="4"/>
        <v>457.0890052</v>
      </c>
      <c r="N1391" s="7">
        <f t="shared" si="5"/>
        <v>0.000139356404</v>
      </c>
      <c r="O1391" s="7"/>
      <c r="P1391" s="4">
        <f t="shared" si="6"/>
        <v>-0.3513683874</v>
      </c>
      <c r="Q1391" s="4">
        <f t="shared" si="7"/>
        <v>11</v>
      </c>
      <c r="R1391" s="4">
        <f t="shared" si="8"/>
        <v>1</v>
      </c>
      <c r="S1391" s="4">
        <f t="shared" si="9"/>
        <v>-0.3513683874</v>
      </c>
      <c r="T1391" s="4">
        <f t="shared" si="10"/>
        <v>59</v>
      </c>
      <c r="U1391" s="4">
        <f t="shared" si="1"/>
        <v>-0.3513683874</v>
      </c>
      <c r="V1391" s="4"/>
    </row>
    <row r="1392">
      <c r="A1392" s="1" t="s">
        <v>17995</v>
      </c>
      <c r="B1392" s="1" t="s">
        <v>17996</v>
      </c>
      <c r="C1392" s="1" t="s">
        <v>17997</v>
      </c>
      <c r="D1392" s="1" t="s">
        <v>17903</v>
      </c>
      <c r="E1392" s="1" t="s">
        <v>17904</v>
      </c>
      <c r="F1392" s="1">
        <v>273803.0</v>
      </c>
      <c r="G1392" s="1">
        <v>7908.0</v>
      </c>
      <c r="H1392" s="1">
        <v>1074.0</v>
      </c>
      <c r="I1392" s="1">
        <v>3280000.0</v>
      </c>
      <c r="J1392" s="1" t="s">
        <v>2468</v>
      </c>
      <c r="K1392" s="5">
        <f t="shared" si="2"/>
        <v>0.08347652439</v>
      </c>
      <c r="L1392" s="6">
        <f t="shared" si="3"/>
        <v>196</v>
      </c>
      <c r="M1392" s="6">
        <f t="shared" si="4"/>
        <v>1396.954082</v>
      </c>
      <c r="N1392" s="7">
        <f t="shared" si="5"/>
        <v>0.0004259006346</v>
      </c>
      <c r="O1392" s="7"/>
      <c r="P1392" s="4">
        <f t="shared" si="6"/>
        <v>-0.1495371112</v>
      </c>
      <c r="Q1392" s="4">
        <f t="shared" si="7"/>
        <v>11</v>
      </c>
      <c r="R1392" s="4">
        <f t="shared" si="8"/>
        <v>1</v>
      </c>
      <c r="S1392" s="4">
        <f t="shared" si="9"/>
        <v>-0.1495371112</v>
      </c>
      <c r="T1392" s="4">
        <f t="shared" si="10"/>
        <v>61</v>
      </c>
      <c r="U1392" s="4">
        <f t="shared" si="1"/>
        <v>-0.1495371112</v>
      </c>
      <c r="V1392" s="4"/>
    </row>
    <row r="1393">
      <c r="A1393" s="1" t="s">
        <v>17998</v>
      </c>
      <c r="B1393" s="1" t="s">
        <v>17999</v>
      </c>
      <c r="C1393" s="1" t="s">
        <v>18000</v>
      </c>
      <c r="D1393" s="1" t="s">
        <v>17903</v>
      </c>
      <c r="E1393" s="1" t="s">
        <v>17904</v>
      </c>
      <c r="F1393" s="1">
        <v>49481.0</v>
      </c>
      <c r="G1393" s="1">
        <v>1456.0</v>
      </c>
      <c r="H1393" s="1">
        <v>132.0</v>
      </c>
      <c r="I1393" s="1">
        <v>3280000.0</v>
      </c>
      <c r="J1393" s="1" t="s">
        <v>2468</v>
      </c>
      <c r="K1393" s="5">
        <f t="shared" si="2"/>
        <v>0.01508567073</v>
      </c>
      <c r="L1393" s="6">
        <f t="shared" si="3"/>
        <v>197</v>
      </c>
      <c r="M1393" s="6">
        <f t="shared" si="4"/>
        <v>251.1725888</v>
      </c>
      <c r="N1393" s="7">
        <f t="shared" si="5"/>
        <v>0.00007657700879</v>
      </c>
      <c r="O1393" s="7"/>
      <c r="P1393" s="4">
        <f t="shared" si="6"/>
        <v>-0.3955878974</v>
      </c>
      <c r="Q1393" s="4">
        <f t="shared" si="7"/>
        <v>7</v>
      </c>
      <c r="R1393" s="4">
        <f t="shared" si="8"/>
        <v>1</v>
      </c>
      <c r="S1393" s="4">
        <f t="shared" si="9"/>
        <v>-0.3955878974</v>
      </c>
      <c r="T1393" s="4">
        <f t="shared" si="10"/>
        <v>38</v>
      </c>
      <c r="U1393" s="4">
        <f t="shared" si="1"/>
        <v>-0.3955878974</v>
      </c>
      <c r="V1393" s="4"/>
    </row>
    <row r="1394">
      <c r="A1394" s="1" t="s">
        <v>18001</v>
      </c>
      <c r="B1394" s="1" t="s">
        <v>18002</v>
      </c>
      <c r="C1394" s="1" t="s">
        <v>18003</v>
      </c>
      <c r="D1394" s="1" t="s">
        <v>17903</v>
      </c>
      <c r="E1394" s="1" t="s">
        <v>17904</v>
      </c>
      <c r="F1394" s="1">
        <v>108897.0</v>
      </c>
      <c r="G1394" s="1">
        <v>2936.0</v>
      </c>
      <c r="H1394" s="1">
        <v>272.0</v>
      </c>
      <c r="I1394" s="1">
        <v>3280000.0</v>
      </c>
      <c r="J1394" s="1" t="s">
        <v>2468</v>
      </c>
      <c r="K1394" s="5">
        <f t="shared" si="2"/>
        <v>0.03320030488</v>
      </c>
      <c r="L1394" s="6">
        <f t="shared" si="3"/>
        <v>199</v>
      </c>
      <c r="M1394" s="6">
        <f t="shared" si="4"/>
        <v>547.2211055</v>
      </c>
      <c r="N1394" s="7">
        <f t="shared" si="5"/>
        <v>0.0001668357029</v>
      </c>
      <c r="O1394" s="7"/>
      <c r="P1394" s="4">
        <f t="shared" si="6"/>
        <v>-0.3320129743</v>
      </c>
      <c r="Q1394" s="4">
        <f t="shared" si="7"/>
        <v>6</v>
      </c>
      <c r="R1394" s="4">
        <f t="shared" si="8"/>
        <v>0</v>
      </c>
      <c r="S1394" s="4">
        <f t="shared" si="9"/>
        <v>-0.3320129743</v>
      </c>
      <c r="T1394" s="4">
        <f t="shared" si="10"/>
        <v>27</v>
      </c>
      <c r="U1394" s="4">
        <f t="shared" si="1"/>
        <v>-0.3320129743</v>
      </c>
      <c r="V1394" s="4"/>
    </row>
    <row r="1395">
      <c r="A1395" s="1" t="s">
        <v>18004</v>
      </c>
      <c r="B1395" s="1" t="s">
        <v>18005</v>
      </c>
      <c r="C1395" s="1" t="s">
        <v>18006</v>
      </c>
      <c r="D1395" s="1" t="s">
        <v>17903</v>
      </c>
      <c r="E1395" s="1" t="s">
        <v>17904</v>
      </c>
      <c r="F1395" s="1">
        <v>63993.0</v>
      </c>
      <c r="G1395" s="1">
        <v>1979.0</v>
      </c>
      <c r="H1395" s="1">
        <v>174.0</v>
      </c>
      <c r="I1395" s="1">
        <v>3280000.0</v>
      </c>
      <c r="J1395" s="1" t="s">
        <v>2468</v>
      </c>
      <c r="K1395" s="5">
        <f t="shared" si="2"/>
        <v>0.01951006098</v>
      </c>
      <c r="L1395" s="6">
        <f t="shared" si="3"/>
        <v>202</v>
      </c>
      <c r="M1395" s="6">
        <f t="shared" si="4"/>
        <v>316.7970297</v>
      </c>
      <c r="N1395" s="7">
        <f t="shared" si="5"/>
        <v>0.00009658446028</v>
      </c>
      <c r="O1395" s="7"/>
      <c r="P1395" s="4">
        <f t="shared" si="6"/>
        <v>-0.3814953803</v>
      </c>
      <c r="Q1395" s="4">
        <f t="shared" si="7"/>
        <v>14</v>
      </c>
      <c r="R1395" s="4">
        <f t="shared" si="8"/>
        <v>0</v>
      </c>
      <c r="S1395" s="4">
        <f t="shared" si="9"/>
        <v>-0.3814953803</v>
      </c>
      <c r="T1395" s="4">
        <f t="shared" si="10"/>
        <v>67</v>
      </c>
      <c r="U1395" s="4">
        <f t="shared" si="1"/>
        <v>-0.3814953803</v>
      </c>
      <c r="V1395" s="4"/>
    </row>
    <row r="1396">
      <c r="A1396" s="1" t="s">
        <v>18007</v>
      </c>
      <c r="B1396" s="1" t="s">
        <v>18008</v>
      </c>
      <c r="C1396" s="1" t="s">
        <v>18009</v>
      </c>
      <c r="D1396" s="1" t="s">
        <v>17903</v>
      </c>
      <c r="E1396" s="1" t="s">
        <v>17904</v>
      </c>
      <c r="F1396" s="1">
        <v>157348.0</v>
      </c>
      <c r="G1396" s="1">
        <v>5347.0</v>
      </c>
      <c r="H1396" s="1">
        <v>877.0</v>
      </c>
      <c r="I1396" s="1">
        <v>3280000.0</v>
      </c>
      <c r="J1396" s="1" t="s">
        <v>2468</v>
      </c>
      <c r="K1396" s="5">
        <f t="shared" si="2"/>
        <v>0.04797195122</v>
      </c>
      <c r="L1396" s="6">
        <f t="shared" si="3"/>
        <v>213</v>
      </c>
      <c r="M1396" s="6">
        <f t="shared" si="4"/>
        <v>738.7230047</v>
      </c>
      <c r="N1396" s="7">
        <f t="shared" si="5"/>
        <v>0.0002252204283</v>
      </c>
      <c r="O1396" s="7"/>
      <c r="P1396" s="4">
        <f t="shared" si="6"/>
        <v>-0.2908889091</v>
      </c>
      <c r="Q1396" s="4">
        <f t="shared" si="7"/>
        <v>11</v>
      </c>
      <c r="R1396" s="4">
        <f t="shared" si="8"/>
        <v>1</v>
      </c>
      <c r="S1396" s="4">
        <f t="shared" si="9"/>
        <v>-0.2908889091</v>
      </c>
      <c r="T1396" s="4">
        <f t="shared" si="10"/>
        <v>46</v>
      </c>
      <c r="U1396" s="4">
        <f t="shared" si="1"/>
        <v>-0.2908889091</v>
      </c>
      <c r="V1396" s="4"/>
    </row>
    <row r="1397">
      <c r="A1397" s="1" t="s">
        <v>18010</v>
      </c>
      <c r="B1397" s="1" t="s">
        <v>18011</v>
      </c>
      <c r="C1397" s="1" t="s">
        <v>18012</v>
      </c>
      <c r="D1397" s="1" t="s">
        <v>17903</v>
      </c>
      <c r="E1397" s="1" t="s">
        <v>17904</v>
      </c>
      <c r="F1397" s="1">
        <v>813191.0</v>
      </c>
      <c r="G1397" s="1">
        <v>15992.0</v>
      </c>
      <c r="H1397" s="1">
        <v>1251.0</v>
      </c>
      <c r="I1397" s="1">
        <v>3280000.0</v>
      </c>
      <c r="J1397" s="1" t="s">
        <v>2468</v>
      </c>
      <c r="K1397" s="5">
        <f t="shared" si="2"/>
        <v>0.2479240854</v>
      </c>
      <c r="L1397" s="6">
        <f t="shared" si="3"/>
        <v>223</v>
      </c>
      <c r="M1397" s="6">
        <f t="shared" si="4"/>
        <v>3646.596413</v>
      </c>
      <c r="N1397" s="7">
        <f t="shared" si="5"/>
        <v>0.001111767199</v>
      </c>
      <c r="O1397" s="7"/>
      <c r="P1397" s="4">
        <f t="shared" si="6"/>
        <v>0.3335622123</v>
      </c>
      <c r="Q1397" s="4">
        <f t="shared" si="7"/>
        <v>8</v>
      </c>
      <c r="R1397" s="4">
        <f t="shared" si="8"/>
        <v>1</v>
      </c>
      <c r="S1397" s="4">
        <f t="shared" si="9"/>
        <v>0.3335622123</v>
      </c>
      <c r="T1397" s="4">
        <f t="shared" si="10"/>
        <v>46</v>
      </c>
      <c r="U1397" s="4">
        <f t="shared" si="1"/>
        <v>0.3335622123</v>
      </c>
      <c r="V1397" s="4"/>
    </row>
    <row r="1398">
      <c r="A1398" s="1" t="s">
        <v>18013</v>
      </c>
      <c r="B1398" s="1" t="s">
        <v>18014</v>
      </c>
      <c r="C1398" s="1" t="s">
        <v>18015</v>
      </c>
      <c r="D1398" s="1" t="s">
        <v>17903</v>
      </c>
      <c r="E1398" s="1" t="s">
        <v>17904</v>
      </c>
      <c r="F1398" s="1">
        <v>183735.0</v>
      </c>
      <c r="G1398" s="1">
        <v>6489.0</v>
      </c>
      <c r="H1398" s="1">
        <v>594.0</v>
      </c>
      <c r="I1398" s="1">
        <v>3280000.0</v>
      </c>
      <c r="J1398" s="1" t="s">
        <v>2468</v>
      </c>
      <c r="K1398" s="5">
        <f t="shared" si="2"/>
        <v>0.05601676829</v>
      </c>
      <c r="L1398" s="6">
        <f t="shared" si="3"/>
        <v>229</v>
      </c>
      <c r="M1398" s="6">
        <f t="shared" si="4"/>
        <v>802.3362445</v>
      </c>
      <c r="N1398" s="7">
        <f t="shared" si="5"/>
        <v>0.0002446147087</v>
      </c>
      <c r="O1398" s="7"/>
      <c r="P1398" s="4">
        <f t="shared" si="6"/>
        <v>-0.2772282873</v>
      </c>
      <c r="Q1398" s="4">
        <f t="shared" si="7"/>
        <v>11</v>
      </c>
      <c r="R1398" s="4">
        <f t="shared" si="8"/>
        <v>0</v>
      </c>
      <c r="S1398" s="4">
        <f t="shared" si="9"/>
        <v>-0.2772282873</v>
      </c>
      <c r="T1398" s="4">
        <f t="shared" si="10"/>
        <v>40</v>
      </c>
      <c r="U1398" s="4">
        <f t="shared" si="1"/>
        <v>-0.2772282873</v>
      </c>
      <c r="V1398" s="4"/>
    </row>
    <row r="1399">
      <c r="A1399" s="1" t="s">
        <v>18016</v>
      </c>
      <c r="B1399" s="1" t="s">
        <v>18017</v>
      </c>
      <c r="C1399" s="1" t="s">
        <v>18018</v>
      </c>
      <c r="D1399" s="1" t="s">
        <v>17903</v>
      </c>
      <c r="E1399" s="1" t="s">
        <v>17904</v>
      </c>
      <c r="F1399" s="1">
        <v>33177.0</v>
      </c>
      <c r="G1399" s="1">
        <v>1127.0</v>
      </c>
      <c r="H1399" s="1">
        <v>58.0</v>
      </c>
      <c r="I1399" s="1">
        <v>3280000.0</v>
      </c>
      <c r="J1399" s="1" t="s">
        <v>2468</v>
      </c>
      <c r="K1399" s="5">
        <f t="shared" si="2"/>
        <v>0.01011493902</v>
      </c>
      <c r="L1399" s="6">
        <f t="shared" si="3"/>
        <v>235</v>
      </c>
      <c r="M1399" s="6">
        <f t="shared" si="4"/>
        <v>141.1787234</v>
      </c>
      <c r="N1399" s="7">
        <f t="shared" si="5"/>
        <v>0.00004304229372</v>
      </c>
      <c r="O1399" s="7"/>
      <c r="P1399" s="4">
        <f t="shared" si="6"/>
        <v>-0.4192085242</v>
      </c>
      <c r="Q1399" s="4">
        <f t="shared" si="7"/>
        <v>6</v>
      </c>
      <c r="R1399" s="4">
        <f t="shared" si="8"/>
        <v>0</v>
      </c>
      <c r="S1399" s="4">
        <f t="shared" si="9"/>
        <v>-0.4192085242</v>
      </c>
      <c r="T1399" s="4">
        <f t="shared" si="10"/>
        <v>31</v>
      </c>
      <c r="U1399" s="4">
        <f t="shared" si="1"/>
        <v>-0.4192085242</v>
      </c>
      <c r="V1399" s="4"/>
    </row>
    <row r="1400">
      <c r="A1400" s="1" t="s">
        <v>18019</v>
      </c>
      <c r="B1400" s="1" t="s">
        <v>18020</v>
      </c>
      <c r="C1400" s="1" t="s">
        <v>18021</v>
      </c>
      <c r="D1400" s="1" t="s">
        <v>17903</v>
      </c>
      <c r="E1400" s="1" t="s">
        <v>17904</v>
      </c>
      <c r="F1400" s="1">
        <v>73606.0</v>
      </c>
      <c r="G1400" s="1">
        <v>2542.0</v>
      </c>
      <c r="H1400" s="1">
        <v>335.0</v>
      </c>
      <c r="I1400" s="1">
        <v>3280000.0</v>
      </c>
      <c r="J1400" s="1" t="s">
        <v>2468</v>
      </c>
      <c r="K1400" s="5">
        <f t="shared" si="2"/>
        <v>0.02244085366</v>
      </c>
      <c r="L1400" s="6">
        <f t="shared" si="3"/>
        <v>240</v>
      </c>
      <c r="M1400" s="6">
        <f t="shared" si="4"/>
        <v>306.6916667</v>
      </c>
      <c r="N1400" s="7">
        <f t="shared" si="5"/>
        <v>0.00009350355691</v>
      </c>
      <c r="O1400" s="7"/>
      <c r="P1400" s="4">
        <f t="shared" si="6"/>
        <v>-0.383665456</v>
      </c>
      <c r="Q1400" s="4">
        <f t="shared" si="7"/>
        <v>11</v>
      </c>
      <c r="R1400" s="4">
        <f t="shared" si="8"/>
        <v>0</v>
      </c>
      <c r="S1400" s="4">
        <f t="shared" si="9"/>
        <v>-0.383665456</v>
      </c>
      <c r="T1400" s="4">
        <f t="shared" si="10"/>
        <v>54</v>
      </c>
      <c r="U1400" s="4">
        <f t="shared" si="1"/>
        <v>-0.383665456</v>
      </c>
      <c r="V1400" s="4"/>
    </row>
    <row r="1401">
      <c r="A1401" s="1" t="s">
        <v>18022</v>
      </c>
      <c r="B1401" s="1" t="s">
        <v>18023</v>
      </c>
      <c r="C1401" s="1" t="s">
        <v>18024</v>
      </c>
      <c r="D1401" s="1" t="s">
        <v>17903</v>
      </c>
      <c r="E1401" s="1" t="s">
        <v>17904</v>
      </c>
      <c r="F1401" s="1">
        <v>40653.0</v>
      </c>
      <c r="G1401" s="1">
        <v>1425.0</v>
      </c>
      <c r="H1401" s="1">
        <v>84.0</v>
      </c>
      <c r="I1401" s="1">
        <v>3280000.0</v>
      </c>
      <c r="J1401" s="1" t="s">
        <v>2468</v>
      </c>
      <c r="K1401" s="5">
        <f t="shared" si="2"/>
        <v>0.01239420732</v>
      </c>
      <c r="L1401" s="6">
        <f t="shared" si="3"/>
        <v>243</v>
      </c>
      <c r="M1401" s="6">
        <f t="shared" si="4"/>
        <v>167.2962963</v>
      </c>
      <c r="N1401" s="7">
        <f t="shared" si="5"/>
        <v>0.00005100496838</v>
      </c>
      <c r="O1401" s="7"/>
      <c r="P1401" s="4">
        <f t="shared" si="6"/>
        <v>-0.4135999074</v>
      </c>
      <c r="Q1401" s="4">
        <f t="shared" si="7"/>
        <v>6</v>
      </c>
      <c r="R1401" s="4">
        <f t="shared" si="8"/>
        <v>0</v>
      </c>
      <c r="S1401" s="4">
        <f t="shared" si="9"/>
        <v>-0.4135999074</v>
      </c>
      <c r="T1401" s="4">
        <f t="shared" si="10"/>
        <v>34</v>
      </c>
      <c r="U1401" s="4">
        <f t="shared" si="1"/>
        <v>-0.4135999074</v>
      </c>
      <c r="V1401" s="4"/>
    </row>
    <row r="1402">
      <c r="A1402" s="1" t="s">
        <v>18025</v>
      </c>
      <c r="B1402" s="1" t="s">
        <v>18026</v>
      </c>
      <c r="C1402" s="1" t="s">
        <v>18027</v>
      </c>
      <c r="D1402" s="1" t="s">
        <v>17903</v>
      </c>
      <c r="E1402" s="1" t="s">
        <v>17904</v>
      </c>
      <c r="F1402" s="1">
        <v>622963.0</v>
      </c>
      <c r="G1402" s="1">
        <v>22722.0</v>
      </c>
      <c r="H1402" s="1">
        <v>10141.0</v>
      </c>
      <c r="I1402" s="1">
        <v>3280000.0</v>
      </c>
      <c r="J1402" s="1" t="s">
        <v>2468</v>
      </c>
      <c r="K1402" s="5">
        <f t="shared" si="2"/>
        <v>0.1899277439</v>
      </c>
      <c r="L1402" s="6">
        <f t="shared" si="3"/>
        <v>252</v>
      </c>
      <c r="M1402" s="6">
        <f t="shared" si="4"/>
        <v>2472.075397</v>
      </c>
      <c r="N1402" s="7">
        <f t="shared" si="5"/>
        <v>0.0007536815234</v>
      </c>
      <c r="O1402" s="7"/>
      <c r="P1402" s="4">
        <f t="shared" si="6"/>
        <v>0.08133975882</v>
      </c>
      <c r="Q1402" s="4">
        <f t="shared" si="7"/>
        <v>6</v>
      </c>
      <c r="R1402" s="4">
        <f t="shared" si="8"/>
        <v>0</v>
      </c>
      <c r="S1402" s="4">
        <f t="shared" si="9"/>
        <v>0.08133975882</v>
      </c>
      <c r="T1402" s="4">
        <f t="shared" si="10"/>
        <v>29</v>
      </c>
      <c r="U1402" s="4">
        <f t="shared" si="1"/>
        <v>0.08133975882</v>
      </c>
      <c r="V1402" s="4"/>
    </row>
    <row r="1403">
      <c r="A1403" s="1" t="s">
        <v>18028</v>
      </c>
      <c r="B1403" s="1" t="s">
        <v>18029</v>
      </c>
      <c r="C1403" s="1" t="s">
        <v>18030</v>
      </c>
      <c r="D1403" s="1" t="s">
        <v>17903</v>
      </c>
      <c r="E1403" s="1" t="s">
        <v>17904</v>
      </c>
      <c r="F1403" s="1">
        <v>600983.0</v>
      </c>
      <c r="G1403" s="1">
        <v>13347.0</v>
      </c>
      <c r="H1403" s="1">
        <v>3212.0</v>
      </c>
      <c r="I1403" s="1">
        <v>3280000.0</v>
      </c>
      <c r="J1403" s="1" t="s">
        <v>2468</v>
      </c>
      <c r="K1403" s="5">
        <f t="shared" si="2"/>
        <v>0.1832265244</v>
      </c>
      <c r="L1403" s="6">
        <f t="shared" si="3"/>
        <v>260</v>
      </c>
      <c r="M1403" s="6">
        <f t="shared" si="4"/>
        <v>2311.473077</v>
      </c>
      <c r="N1403" s="7">
        <f t="shared" si="5"/>
        <v>0.0007047174015</v>
      </c>
      <c r="O1403" s="7"/>
      <c r="P1403" s="4">
        <f t="shared" si="6"/>
        <v>0.04685122212</v>
      </c>
      <c r="Q1403" s="4">
        <f t="shared" si="7"/>
        <v>4</v>
      </c>
      <c r="R1403" s="4">
        <f t="shared" si="8"/>
        <v>0</v>
      </c>
      <c r="S1403" s="4">
        <f t="shared" si="9"/>
        <v>0.04685122212</v>
      </c>
      <c r="T1403" s="4">
        <f t="shared" si="10"/>
        <v>19</v>
      </c>
      <c r="U1403" s="4">
        <f t="shared" si="1"/>
        <v>0.04685122212</v>
      </c>
      <c r="V1403" s="4"/>
    </row>
    <row r="1404">
      <c r="A1404" s="1" t="s">
        <v>18031</v>
      </c>
      <c r="B1404" s="1" t="s">
        <v>18032</v>
      </c>
      <c r="C1404" s="1" t="s">
        <v>18033</v>
      </c>
      <c r="D1404" s="1" t="s">
        <v>17903</v>
      </c>
      <c r="E1404" s="1" t="s">
        <v>17904</v>
      </c>
      <c r="F1404" s="1">
        <v>43334.0</v>
      </c>
      <c r="G1404" s="1">
        <v>1340.0</v>
      </c>
      <c r="H1404" s="1">
        <v>164.0</v>
      </c>
      <c r="I1404" s="1">
        <v>3280000.0</v>
      </c>
      <c r="J1404" s="1" t="s">
        <v>2468</v>
      </c>
      <c r="K1404" s="5">
        <f t="shared" si="2"/>
        <v>0.01321158537</v>
      </c>
      <c r="L1404" s="6">
        <f t="shared" si="3"/>
        <v>272</v>
      </c>
      <c r="M1404" s="6">
        <f t="shared" si="4"/>
        <v>159.3161765</v>
      </c>
      <c r="N1404" s="7">
        <f t="shared" si="5"/>
        <v>0.00004857200502</v>
      </c>
      <c r="O1404" s="7"/>
      <c r="P1404" s="4">
        <f t="shared" si="6"/>
        <v>-0.4153135978</v>
      </c>
      <c r="Q1404" s="4">
        <f t="shared" si="7"/>
        <v>8</v>
      </c>
      <c r="R1404" s="4">
        <f t="shared" si="8"/>
        <v>0</v>
      </c>
      <c r="S1404" s="4">
        <f t="shared" si="9"/>
        <v>-0.4153135978</v>
      </c>
      <c r="T1404" s="4">
        <f t="shared" si="10"/>
        <v>61</v>
      </c>
      <c r="U1404" s="4">
        <f t="shared" si="1"/>
        <v>-0.4153135978</v>
      </c>
      <c r="V1404" s="4"/>
    </row>
    <row r="1405">
      <c r="A1405" s="1" t="s">
        <v>18034</v>
      </c>
      <c r="B1405" s="1" t="s">
        <v>18035</v>
      </c>
      <c r="C1405" s="1" t="s">
        <v>18036</v>
      </c>
      <c r="D1405" s="1" t="s">
        <v>17903</v>
      </c>
      <c r="E1405" s="1" t="s">
        <v>17904</v>
      </c>
      <c r="F1405" s="1">
        <v>220991.0</v>
      </c>
      <c r="G1405" s="1">
        <v>5122.0</v>
      </c>
      <c r="H1405" s="1">
        <v>440.0</v>
      </c>
      <c r="I1405" s="1">
        <v>3280000.0</v>
      </c>
      <c r="J1405" s="1" t="s">
        <v>2468</v>
      </c>
      <c r="K1405" s="5">
        <f t="shared" si="2"/>
        <v>0.06737530488</v>
      </c>
      <c r="L1405" s="6">
        <f t="shared" si="3"/>
        <v>276</v>
      </c>
      <c r="M1405" s="6">
        <f t="shared" si="4"/>
        <v>800.692029</v>
      </c>
      <c r="N1405" s="7">
        <f t="shared" si="5"/>
        <v>0.0002441134235</v>
      </c>
      <c r="O1405" s="7"/>
      <c r="P1405" s="4">
        <f t="shared" si="6"/>
        <v>-0.2775813742</v>
      </c>
      <c r="Q1405" s="4">
        <f t="shared" si="7"/>
        <v>6</v>
      </c>
      <c r="R1405" s="4">
        <f t="shared" si="8"/>
        <v>0</v>
      </c>
      <c r="S1405" s="4">
        <f t="shared" si="9"/>
        <v>-0.2775813742</v>
      </c>
      <c r="T1405" s="4">
        <f t="shared" si="10"/>
        <v>40</v>
      </c>
      <c r="U1405" s="4">
        <f t="shared" si="1"/>
        <v>-0.2775813742</v>
      </c>
      <c r="V1405" s="4"/>
    </row>
    <row r="1406">
      <c r="A1406" s="1" t="s">
        <v>18037</v>
      </c>
      <c r="B1406" s="1" t="s">
        <v>18038</v>
      </c>
      <c r="C1406" s="1" t="s">
        <v>18039</v>
      </c>
      <c r="D1406" s="1" t="s">
        <v>17903</v>
      </c>
      <c r="E1406" s="1" t="s">
        <v>17904</v>
      </c>
      <c r="F1406" s="1">
        <v>163509.0</v>
      </c>
      <c r="G1406" s="1">
        <v>9537.0</v>
      </c>
      <c r="H1406" s="1">
        <v>873.0</v>
      </c>
      <c r="I1406" s="1">
        <v>3280000.0</v>
      </c>
      <c r="J1406" s="1" t="s">
        <v>2468</v>
      </c>
      <c r="K1406" s="5">
        <f t="shared" si="2"/>
        <v>0.04985030488</v>
      </c>
      <c r="L1406" s="6">
        <f t="shared" si="3"/>
        <v>283</v>
      </c>
      <c r="M1406" s="6">
        <f t="shared" si="4"/>
        <v>577.770318</v>
      </c>
      <c r="N1406" s="7">
        <f t="shared" si="5"/>
        <v>0.0001761494872</v>
      </c>
      <c r="O1406" s="7"/>
      <c r="P1406" s="4">
        <f t="shared" si="6"/>
        <v>-0.3254526853</v>
      </c>
      <c r="Q1406" s="4">
        <f t="shared" si="7"/>
        <v>9</v>
      </c>
      <c r="R1406" s="4">
        <f t="shared" si="8"/>
        <v>1</v>
      </c>
      <c r="S1406" s="4">
        <f t="shared" si="9"/>
        <v>-0.3254526853</v>
      </c>
      <c r="T1406" s="4">
        <f t="shared" si="10"/>
        <v>46</v>
      </c>
      <c r="U1406" s="4">
        <f t="shared" si="1"/>
        <v>-0.3254526853</v>
      </c>
      <c r="V1406" s="4"/>
    </row>
    <row r="1407">
      <c r="A1407" s="1" t="s">
        <v>18040</v>
      </c>
      <c r="B1407" s="1" t="s">
        <v>18041</v>
      </c>
      <c r="C1407" s="1" t="s">
        <v>18042</v>
      </c>
      <c r="D1407" s="1" t="s">
        <v>17903</v>
      </c>
      <c r="E1407" s="1" t="s">
        <v>17904</v>
      </c>
      <c r="F1407" s="1">
        <v>134355.0</v>
      </c>
      <c r="G1407" s="1">
        <v>4032.0</v>
      </c>
      <c r="H1407" s="1">
        <v>210.0</v>
      </c>
      <c r="I1407" s="1">
        <v>3280000.0</v>
      </c>
      <c r="J1407" s="1" t="s">
        <v>2468</v>
      </c>
      <c r="K1407" s="5">
        <f t="shared" si="2"/>
        <v>0.04096189024</v>
      </c>
      <c r="L1407" s="6">
        <f t="shared" si="3"/>
        <v>287</v>
      </c>
      <c r="M1407" s="6">
        <f t="shared" si="4"/>
        <v>468.1358885</v>
      </c>
      <c r="N1407" s="7">
        <f t="shared" si="5"/>
        <v>0.0001427243563</v>
      </c>
      <c r="O1407" s="7"/>
      <c r="P1407" s="4">
        <f t="shared" si="6"/>
        <v>-0.3489961251</v>
      </c>
      <c r="Q1407" s="4">
        <f t="shared" si="7"/>
        <v>5</v>
      </c>
      <c r="R1407" s="4">
        <f t="shared" si="8"/>
        <v>0</v>
      </c>
      <c r="S1407" s="4">
        <f t="shared" si="9"/>
        <v>-0.3489961251</v>
      </c>
      <c r="T1407" s="4">
        <f t="shared" si="10"/>
        <v>28</v>
      </c>
      <c r="U1407" s="4">
        <f t="shared" si="1"/>
        <v>-0.3489961251</v>
      </c>
      <c r="V1407" s="4"/>
    </row>
    <row r="1408">
      <c r="A1408" s="1" t="s">
        <v>18043</v>
      </c>
      <c r="B1408" s="1" t="s">
        <v>18044</v>
      </c>
      <c r="C1408" s="1" t="s">
        <v>18045</v>
      </c>
      <c r="D1408" s="1" t="s">
        <v>17903</v>
      </c>
      <c r="E1408" s="1" t="s">
        <v>17904</v>
      </c>
      <c r="F1408" s="1">
        <v>45651.0</v>
      </c>
      <c r="G1408" s="1">
        <v>2444.0</v>
      </c>
      <c r="H1408" s="1">
        <v>161.0</v>
      </c>
      <c r="I1408" s="1">
        <v>3280000.0</v>
      </c>
      <c r="J1408" s="1" t="s">
        <v>2468</v>
      </c>
      <c r="K1408" s="5">
        <f t="shared" si="2"/>
        <v>0.0139179878</v>
      </c>
      <c r="L1408" s="6">
        <f t="shared" si="3"/>
        <v>293</v>
      </c>
      <c r="M1408" s="6">
        <f t="shared" si="4"/>
        <v>155.8054608</v>
      </c>
      <c r="N1408" s="7">
        <f t="shared" si="5"/>
        <v>0.00004750166486</v>
      </c>
      <c r="O1408" s="7"/>
      <c r="P1408" s="4">
        <f t="shared" si="6"/>
        <v>-0.4160675063</v>
      </c>
      <c r="Q1408" s="4">
        <f t="shared" si="7"/>
        <v>6</v>
      </c>
      <c r="R1408" s="4">
        <f t="shared" si="8"/>
        <v>0</v>
      </c>
      <c r="S1408" s="4">
        <f t="shared" si="9"/>
        <v>-0.4160675063</v>
      </c>
      <c r="T1408" s="4">
        <f t="shared" si="10"/>
        <v>30</v>
      </c>
      <c r="U1408" s="4">
        <f t="shared" si="1"/>
        <v>-0.4160675063</v>
      </c>
      <c r="V1408" s="4"/>
    </row>
    <row r="1409">
      <c r="A1409" s="1" t="s">
        <v>18046</v>
      </c>
      <c r="B1409" s="1" t="s">
        <v>18047</v>
      </c>
      <c r="C1409" s="1" t="s">
        <v>18048</v>
      </c>
      <c r="D1409" s="1" t="s">
        <v>17903</v>
      </c>
      <c r="E1409" s="1" t="s">
        <v>17904</v>
      </c>
      <c r="F1409" s="1">
        <v>38869.0</v>
      </c>
      <c r="G1409" s="1">
        <v>1262.0</v>
      </c>
      <c r="H1409" s="1">
        <v>106.0</v>
      </c>
      <c r="I1409" s="1">
        <v>3280000.0</v>
      </c>
      <c r="J1409" s="1" t="s">
        <v>2468</v>
      </c>
      <c r="K1409" s="5">
        <f t="shared" si="2"/>
        <v>0.01185030488</v>
      </c>
      <c r="L1409" s="6">
        <f t="shared" si="3"/>
        <v>297</v>
      </c>
      <c r="M1409" s="6">
        <f t="shared" si="4"/>
        <v>130.8720539</v>
      </c>
      <c r="N1409" s="7">
        <f t="shared" si="5"/>
        <v>0.00003990001642</v>
      </c>
      <c r="O1409" s="7"/>
      <c r="P1409" s="4">
        <f t="shared" si="6"/>
        <v>-0.4214218294</v>
      </c>
      <c r="Q1409" s="4">
        <f t="shared" si="7"/>
        <v>8</v>
      </c>
      <c r="R1409" s="4">
        <f t="shared" si="8"/>
        <v>0</v>
      </c>
      <c r="S1409" s="4">
        <f t="shared" si="9"/>
        <v>-0.4214218294</v>
      </c>
      <c r="T1409" s="4">
        <f t="shared" si="10"/>
        <v>39</v>
      </c>
      <c r="U1409" s="4">
        <f t="shared" si="1"/>
        <v>-0.4214218294</v>
      </c>
      <c r="V1409" s="4"/>
    </row>
    <row r="1410">
      <c r="A1410" s="1" t="s">
        <v>18049</v>
      </c>
      <c r="B1410" s="1" t="s">
        <v>18050</v>
      </c>
      <c r="C1410" s="1" t="s">
        <v>18051</v>
      </c>
      <c r="D1410" s="1" t="s">
        <v>17903</v>
      </c>
      <c r="E1410" s="1" t="s">
        <v>17904</v>
      </c>
      <c r="F1410" s="1">
        <v>632689.0</v>
      </c>
      <c r="G1410" s="1">
        <v>14294.0</v>
      </c>
      <c r="H1410" s="1">
        <v>1411.0</v>
      </c>
      <c r="I1410" s="1">
        <v>3280000.0</v>
      </c>
      <c r="J1410" s="1" t="s">
        <v>2468</v>
      </c>
      <c r="K1410" s="5">
        <f t="shared" si="2"/>
        <v>0.1928929878</v>
      </c>
      <c r="L1410" s="6">
        <f t="shared" si="3"/>
        <v>304</v>
      </c>
      <c r="M1410" s="6">
        <f t="shared" si="4"/>
        <v>2081.213816</v>
      </c>
      <c r="N1410" s="7">
        <f t="shared" si="5"/>
        <v>0.0006345164073</v>
      </c>
      <c r="O1410" s="7"/>
      <c r="P1410" s="4">
        <f t="shared" si="6"/>
        <v>-0.002595790754</v>
      </c>
      <c r="Q1410" s="4">
        <f t="shared" si="7"/>
        <v>9</v>
      </c>
      <c r="R1410" s="4">
        <f t="shared" si="8"/>
        <v>0</v>
      </c>
      <c r="S1410" s="4">
        <f t="shared" si="9"/>
        <v>-0.002595790754</v>
      </c>
      <c r="T1410" s="4">
        <f t="shared" si="10"/>
        <v>50</v>
      </c>
      <c r="U1410" s="4">
        <f t="shared" si="1"/>
        <v>-0.002595790754</v>
      </c>
      <c r="V1410" s="4"/>
    </row>
    <row r="1411">
      <c r="A1411" s="1" t="s">
        <v>18052</v>
      </c>
      <c r="B1411" s="1" t="s">
        <v>18053</v>
      </c>
      <c r="C1411" s="1" t="s">
        <v>18054</v>
      </c>
      <c r="D1411" s="1" t="s">
        <v>17903</v>
      </c>
      <c r="E1411" s="1" t="s">
        <v>17904</v>
      </c>
      <c r="F1411" s="1">
        <v>169807.0</v>
      </c>
      <c r="G1411" s="1">
        <v>5804.0</v>
      </c>
      <c r="H1411" s="1">
        <v>900.0</v>
      </c>
      <c r="I1411" s="1">
        <v>3280000.0</v>
      </c>
      <c r="J1411" s="1" t="s">
        <v>2468</v>
      </c>
      <c r="K1411" s="5">
        <f t="shared" si="2"/>
        <v>0.05177042683</v>
      </c>
      <c r="L1411" s="6">
        <f t="shared" si="3"/>
        <v>310</v>
      </c>
      <c r="M1411" s="6">
        <f t="shared" si="4"/>
        <v>547.7645161</v>
      </c>
      <c r="N1411" s="7">
        <f t="shared" si="5"/>
        <v>0.0001670013769</v>
      </c>
      <c r="O1411" s="7"/>
      <c r="P1411" s="4">
        <f t="shared" si="6"/>
        <v>-0.3318962796</v>
      </c>
      <c r="Q1411" s="4">
        <f t="shared" si="7"/>
        <v>5</v>
      </c>
      <c r="R1411" s="4">
        <f t="shared" si="8"/>
        <v>1</v>
      </c>
      <c r="S1411" s="4">
        <f t="shared" si="9"/>
        <v>-0.3318962796</v>
      </c>
      <c r="T1411" s="4">
        <f t="shared" si="10"/>
        <v>20</v>
      </c>
      <c r="U1411" s="4">
        <f t="shared" si="1"/>
        <v>-0.3318962796</v>
      </c>
      <c r="V1411" s="4"/>
    </row>
    <row r="1412">
      <c r="A1412" s="1" t="s">
        <v>18055</v>
      </c>
      <c r="B1412" s="1" t="s">
        <v>18056</v>
      </c>
      <c r="C1412" s="1" t="s">
        <v>18057</v>
      </c>
      <c r="D1412" s="1" t="s">
        <v>17903</v>
      </c>
      <c r="E1412" s="1" t="s">
        <v>17904</v>
      </c>
      <c r="F1412" s="1">
        <v>66986.0</v>
      </c>
      <c r="G1412" s="1">
        <v>2032.0</v>
      </c>
      <c r="H1412" s="1">
        <v>136.0</v>
      </c>
      <c r="I1412" s="1">
        <v>3280000.0</v>
      </c>
      <c r="J1412" s="1" t="s">
        <v>2468</v>
      </c>
      <c r="K1412" s="5">
        <f t="shared" si="2"/>
        <v>0.02042256098</v>
      </c>
      <c r="L1412" s="6">
        <f t="shared" si="3"/>
        <v>312</v>
      </c>
      <c r="M1412" s="6">
        <f t="shared" si="4"/>
        <v>214.6987179</v>
      </c>
      <c r="N1412" s="7">
        <f t="shared" si="5"/>
        <v>0.0000654569262</v>
      </c>
      <c r="O1412" s="7"/>
      <c r="P1412" s="4">
        <f t="shared" si="6"/>
        <v>-0.4034204769</v>
      </c>
      <c r="Q1412" s="4">
        <f t="shared" si="7"/>
        <v>9</v>
      </c>
      <c r="R1412" s="4">
        <f t="shared" si="8"/>
        <v>0</v>
      </c>
      <c r="S1412" s="4">
        <f t="shared" si="9"/>
        <v>-0.4034204769</v>
      </c>
      <c r="T1412" s="4">
        <f t="shared" si="10"/>
        <v>38</v>
      </c>
      <c r="U1412" s="4">
        <f t="shared" si="1"/>
        <v>-0.4034204769</v>
      </c>
      <c r="V1412" s="4"/>
    </row>
    <row r="1413">
      <c r="A1413" s="1" t="s">
        <v>18058</v>
      </c>
      <c r="B1413" s="1" t="s">
        <v>18059</v>
      </c>
      <c r="C1413" s="1" t="s">
        <v>18060</v>
      </c>
      <c r="D1413" s="1" t="s">
        <v>17903</v>
      </c>
      <c r="E1413" s="1" t="s">
        <v>17904</v>
      </c>
      <c r="F1413" s="1">
        <v>130350.0</v>
      </c>
      <c r="G1413" s="1">
        <v>2605.0</v>
      </c>
      <c r="H1413" s="1">
        <v>484.0</v>
      </c>
      <c r="I1413" s="1">
        <v>3280000.0</v>
      </c>
      <c r="J1413" s="1" t="s">
        <v>2468</v>
      </c>
      <c r="K1413" s="5">
        <f t="shared" si="2"/>
        <v>0.03974085366</v>
      </c>
      <c r="L1413" s="6">
        <f t="shared" si="3"/>
        <v>316</v>
      </c>
      <c r="M1413" s="6">
        <f t="shared" si="4"/>
        <v>412.5</v>
      </c>
      <c r="N1413" s="7">
        <f t="shared" si="5"/>
        <v>0.0001257621951</v>
      </c>
      <c r="O1413" s="7"/>
      <c r="P1413" s="4">
        <f t="shared" si="6"/>
        <v>-0.360943651</v>
      </c>
      <c r="Q1413" s="4">
        <f t="shared" si="7"/>
        <v>9</v>
      </c>
      <c r="R1413" s="4">
        <f t="shared" si="8"/>
        <v>1</v>
      </c>
      <c r="S1413" s="4">
        <f t="shared" si="9"/>
        <v>-0.360943651</v>
      </c>
      <c r="T1413" s="4">
        <f t="shared" si="10"/>
        <v>46</v>
      </c>
      <c r="U1413" s="4">
        <f t="shared" si="1"/>
        <v>-0.360943651</v>
      </c>
      <c r="V1413" s="4"/>
    </row>
    <row r="1414">
      <c r="A1414" s="1" t="s">
        <v>18061</v>
      </c>
      <c r="B1414" s="1" t="s">
        <v>18062</v>
      </c>
      <c r="C1414" s="1" t="s">
        <v>18063</v>
      </c>
      <c r="D1414" s="1" t="s">
        <v>17903</v>
      </c>
      <c r="E1414" s="1" t="s">
        <v>17904</v>
      </c>
      <c r="F1414" s="1">
        <v>600267.0</v>
      </c>
      <c r="G1414" s="1">
        <v>17000.0</v>
      </c>
      <c r="H1414" s="1">
        <v>1925.0</v>
      </c>
      <c r="I1414" s="1">
        <v>3280000.0</v>
      </c>
      <c r="J1414" s="1" t="s">
        <v>2468</v>
      </c>
      <c r="K1414" s="5">
        <f t="shared" si="2"/>
        <v>0.1830082317</v>
      </c>
      <c r="L1414" s="6">
        <f t="shared" si="3"/>
        <v>321</v>
      </c>
      <c r="M1414" s="6">
        <f t="shared" si="4"/>
        <v>1869.990654</v>
      </c>
      <c r="N1414" s="7">
        <f t="shared" si="5"/>
        <v>0.0005701191019</v>
      </c>
      <c r="O1414" s="7"/>
      <c r="P1414" s="4">
        <f t="shared" si="6"/>
        <v>-0.04795489743</v>
      </c>
      <c r="Q1414" s="4">
        <f t="shared" si="7"/>
        <v>13</v>
      </c>
      <c r="R1414" s="4">
        <f t="shared" si="8"/>
        <v>0</v>
      </c>
      <c r="S1414" s="4">
        <f t="shared" si="9"/>
        <v>-0.04795489743</v>
      </c>
      <c r="T1414" s="4">
        <f t="shared" si="10"/>
        <v>56</v>
      </c>
      <c r="U1414" s="4">
        <f t="shared" si="1"/>
        <v>-0.04795489743</v>
      </c>
      <c r="V1414" s="4"/>
    </row>
    <row r="1415">
      <c r="A1415" s="1" t="s">
        <v>18064</v>
      </c>
      <c r="B1415" s="1" t="s">
        <v>18065</v>
      </c>
      <c r="C1415" s="1" t="s">
        <v>18066</v>
      </c>
      <c r="D1415" s="1" t="s">
        <v>17903</v>
      </c>
      <c r="E1415" s="1" t="s">
        <v>17904</v>
      </c>
      <c r="F1415" s="1">
        <v>170489.0</v>
      </c>
      <c r="G1415" s="1">
        <v>4342.0</v>
      </c>
      <c r="H1415" s="1">
        <v>860.0</v>
      </c>
      <c r="I1415" s="1">
        <v>3280000.0</v>
      </c>
      <c r="J1415" s="1" t="s">
        <v>2468</v>
      </c>
      <c r="K1415" s="5">
        <f t="shared" si="2"/>
        <v>0.05197835366</v>
      </c>
      <c r="L1415" s="6">
        <f t="shared" si="3"/>
        <v>325</v>
      </c>
      <c r="M1415" s="6">
        <f t="shared" si="4"/>
        <v>524.5815385</v>
      </c>
      <c r="N1415" s="7">
        <f t="shared" si="5"/>
        <v>0.0001599333959</v>
      </c>
      <c r="O1415" s="7"/>
      <c r="P1415" s="4">
        <f t="shared" si="6"/>
        <v>-0.3368747069</v>
      </c>
      <c r="Q1415" s="4">
        <f t="shared" si="7"/>
        <v>7</v>
      </c>
      <c r="R1415" s="4">
        <f t="shared" si="8"/>
        <v>1</v>
      </c>
      <c r="S1415" s="4">
        <f t="shared" si="9"/>
        <v>-0.3368747069</v>
      </c>
      <c r="T1415" s="4">
        <f t="shared" si="10"/>
        <v>33</v>
      </c>
      <c r="U1415" s="4">
        <f t="shared" si="1"/>
        <v>-0.3368747069</v>
      </c>
      <c r="V1415" s="4"/>
    </row>
    <row r="1416">
      <c r="A1416" s="1" t="s">
        <v>18067</v>
      </c>
      <c r="B1416" s="1" t="s">
        <v>18068</v>
      </c>
      <c r="C1416" s="1" t="s">
        <v>18069</v>
      </c>
      <c r="D1416" s="1" t="s">
        <v>17903</v>
      </c>
      <c r="E1416" s="1" t="s">
        <v>17904</v>
      </c>
      <c r="F1416" s="1">
        <v>128810.0</v>
      </c>
      <c r="G1416" s="1">
        <v>3571.0</v>
      </c>
      <c r="H1416" s="1">
        <v>474.0</v>
      </c>
      <c r="I1416" s="1">
        <v>3280000.0</v>
      </c>
      <c r="J1416" s="1" t="s">
        <v>2468</v>
      </c>
      <c r="K1416" s="5">
        <f t="shared" si="2"/>
        <v>0.03927134146</v>
      </c>
      <c r="L1416" s="6">
        <f t="shared" si="3"/>
        <v>328</v>
      </c>
      <c r="M1416" s="6">
        <f t="shared" si="4"/>
        <v>392.7134146</v>
      </c>
      <c r="N1416" s="7">
        <f t="shared" si="5"/>
        <v>0.0001197296996</v>
      </c>
      <c r="O1416" s="7"/>
      <c r="P1416" s="4">
        <f t="shared" si="6"/>
        <v>-0.3651927202</v>
      </c>
      <c r="Q1416" s="4">
        <f t="shared" si="7"/>
        <v>5</v>
      </c>
      <c r="R1416" s="4">
        <f t="shared" si="8"/>
        <v>0</v>
      </c>
      <c r="S1416" s="4">
        <f t="shared" si="9"/>
        <v>-0.3651927202</v>
      </c>
      <c r="T1416" s="4">
        <f t="shared" si="10"/>
        <v>33</v>
      </c>
      <c r="U1416" s="4">
        <f t="shared" si="1"/>
        <v>-0.3651927202</v>
      </c>
      <c r="V1416" s="4"/>
    </row>
    <row r="1417">
      <c r="A1417" s="1" t="s">
        <v>18070</v>
      </c>
      <c r="B1417" s="1" t="s">
        <v>18071</v>
      </c>
      <c r="C1417" s="1" t="s">
        <v>18072</v>
      </c>
      <c r="D1417" s="1" t="s">
        <v>17903</v>
      </c>
      <c r="E1417" s="1" t="s">
        <v>17904</v>
      </c>
      <c r="F1417" s="1">
        <v>35668.0</v>
      </c>
      <c r="G1417" s="1">
        <v>1239.0</v>
      </c>
      <c r="H1417" s="1">
        <v>283.0</v>
      </c>
      <c r="I1417" s="1">
        <v>3280000.0</v>
      </c>
      <c r="J1417" s="1" t="s">
        <v>2468</v>
      </c>
      <c r="K1417" s="5">
        <f t="shared" si="2"/>
        <v>0.01087439024</v>
      </c>
      <c r="L1417" s="6">
        <f t="shared" si="3"/>
        <v>332</v>
      </c>
      <c r="M1417" s="6">
        <f t="shared" si="4"/>
        <v>107.4337349</v>
      </c>
      <c r="N1417" s="7">
        <f t="shared" si="5"/>
        <v>0.00003275418748</v>
      </c>
      <c r="O1417" s="7"/>
      <c r="P1417" s="4">
        <f t="shared" si="6"/>
        <v>-0.42645509</v>
      </c>
      <c r="Q1417" s="4">
        <f t="shared" si="7"/>
        <v>17</v>
      </c>
      <c r="R1417" s="4">
        <f t="shared" si="8"/>
        <v>1</v>
      </c>
      <c r="S1417" s="4">
        <f t="shared" si="9"/>
        <v>-0.42645509</v>
      </c>
      <c r="T1417" s="4">
        <f t="shared" si="10"/>
        <v>55</v>
      </c>
      <c r="U1417" s="4">
        <f t="shared" si="1"/>
        <v>-0.42645509</v>
      </c>
      <c r="V1417" s="4"/>
    </row>
    <row r="1418">
      <c r="A1418" s="1" t="s">
        <v>18073</v>
      </c>
      <c r="B1418" s="1" t="s">
        <v>18074</v>
      </c>
      <c r="C1418" s="1" t="s">
        <v>18075</v>
      </c>
      <c r="D1418" s="1" t="s">
        <v>17903</v>
      </c>
      <c r="E1418" s="1" t="s">
        <v>17904</v>
      </c>
      <c r="F1418" s="1">
        <v>87658.0</v>
      </c>
      <c r="G1418" s="1">
        <v>2467.0</v>
      </c>
      <c r="H1418" s="1">
        <v>179.0</v>
      </c>
      <c r="I1418" s="1">
        <v>3280000.0</v>
      </c>
      <c r="J1418" s="1" t="s">
        <v>2468</v>
      </c>
      <c r="K1418" s="5">
        <f t="shared" si="2"/>
        <v>0.026725</v>
      </c>
      <c r="L1418" s="6">
        <f t="shared" si="3"/>
        <v>335</v>
      </c>
      <c r="M1418" s="6">
        <f t="shared" si="4"/>
        <v>261.6656716</v>
      </c>
      <c r="N1418" s="7">
        <f t="shared" si="5"/>
        <v>0.0000797761194</v>
      </c>
      <c r="O1418" s="7"/>
      <c r="P1418" s="4">
        <f t="shared" si="6"/>
        <v>-0.3933345609</v>
      </c>
      <c r="Q1418" s="4">
        <f t="shared" si="7"/>
        <v>7</v>
      </c>
      <c r="R1418" s="4">
        <f t="shared" si="8"/>
        <v>0</v>
      </c>
      <c r="S1418" s="4">
        <f t="shared" si="9"/>
        <v>-0.3933345609</v>
      </c>
      <c r="T1418" s="4">
        <f t="shared" si="10"/>
        <v>40</v>
      </c>
      <c r="U1418" s="4">
        <f t="shared" si="1"/>
        <v>-0.3933345609</v>
      </c>
      <c r="V1418" s="4"/>
    </row>
    <row r="1419">
      <c r="A1419" s="1" t="s">
        <v>18076</v>
      </c>
      <c r="B1419" s="1" t="s">
        <v>18077</v>
      </c>
      <c r="C1419" s="1" t="s">
        <v>18078</v>
      </c>
      <c r="D1419" s="1" t="s">
        <v>17903</v>
      </c>
      <c r="E1419" s="1" t="s">
        <v>17904</v>
      </c>
      <c r="F1419" s="1">
        <v>97491.0</v>
      </c>
      <c r="G1419" s="1">
        <v>2498.0</v>
      </c>
      <c r="H1419" s="1">
        <v>235.0</v>
      </c>
      <c r="I1419" s="1">
        <v>3280000.0</v>
      </c>
      <c r="J1419" s="1" t="s">
        <v>2468</v>
      </c>
      <c r="K1419" s="5">
        <f t="shared" si="2"/>
        <v>0.02972286585</v>
      </c>
      <c r="L1419" s="6">
        <f t="shared" si="3"/>
        <v>339</v>
      </c>
      <c r="M1419" s="6">
        <f t="shared" si="4"/>
        <v>287.5840708</v>
      </c>
      <c r="N1419" s="7">
        <f t="shared" si="5"/>
        <v>0.00008767807036</v>
      </c>
      <c r="O1419" s="7"/>
      <c r="P1419" s="4">
        <f t="shared" si="6"/>
        <v>-0.3877687156</v>
      </c>
      <c r="Q1419" s="4">
        <f t="shared" si="7"/>
        <v>12</v>
      </c>
      <c r="R1419" s="4">
        <f t="shared" si="8"/>
        <v>3</v>
      </c>
      <c r="S1419" s="4">
        <f t="shared" si="9"/>
        <v>-0.3877687156</v>
      </c>
      <c r="T1419" s="4">
        <f t="shared" si="10"/>
        <v>64</v>
      </c>
      <c r="U1419" s="4">
        <f t="shared" si="1"/>
        <v>-0.3877687156</v>
      </c>
      <c r="V1419" s="4"/>
    </row>
    <row r="1420">
      <c r="A1420" s="1" t="s">
        <v>18079</v>
      </c>
      <c r="B1420" s="1" t="s">
        <v>18080</v>
      </c>
      <c r="C1420" s="1" t="s">
        <v>18081</v>
      </c>
      <c r="D1420" s="1" t="s">
        <v>17903</v>
      </c>
      <c r="E1420" s="1" t="s">
        <v>17904</v>
      </c>
      <c r="F1420" s="1">
        <v>649237.0</v>
      </c>
      <c r="G1420" s="1">
        <v>9736.0</v>
      </c>
      <c r="H1420" s="1">
        <v>2046.0</v>
      </c>
      <c r="I1420" s="1">
        <v>3280000.0</v>
      </c>
      <c r="J1420" s="1" t="s">
        <v>2468</v>
      </c>
      <c r="K1420" s="5">
        <f t="shared" si="2"/>
        <v>0.1979381098</v>
      </c>
      <c r="L1420" s="6">
        <f t="shared" si="3"/>
        <v>346</v>
      </c>
      <c r="M1420" s="6">
        <f t="shared" si="4"/>
        <v>1876.407514</v>
      </c>
      <c r="N1420" s="7">
        <f t="shared" si="5"/>
        <v>0.0005720754617</v>
      </c>
      <c r="O1420" s="7"/>
      <c r="P1420" s="4">
        <f t="shared" si="6"/>
        <v>-0.04657690912</v>
      </c>
      <c r="Q1420" s="4">
        <f t="shared" si="7"/>
        <v>6</v>
      </c>
      <c r="R1420" s="4">
        <f t="shared" si="8"/>
        <v>0</v>
      </c>
      <c r="S1420" s="4">
        <f t="shared" si="9"/>
        <v>-0.04657690912</v>
      </c>
      <c r="T1420" s="4">
        <f t="shared" si="10"/>
        <v>27</v>
      </c>
      <c r="U1420" s="4">
        <f t="shared" si="1"/>
        <v>-0.04657690912</v>
      </c>
      <c r="V1420" s="4"/>
    </row>
    <row r="1421">
      <c r="A1421" s="1" t="s">
        <v>18082</v>
      </c>
      <c r="B1421" s="1" t="s">
        <v>18083</v>
      </c>
      <c r="C1421" s="1" t="s">
        <v>18084</v>
      </c>
      <c r="D1421" s="1" t="s">
        <v>17903</v>
      </c>
      <c r="E1421" s="1" t="s">
        <v>17904</v>
      </c>
      <c r="F1421" s="1">
        <v>106930.0</v>
      </c>
      <c r="G1421" s="1">
        <v>2301.0</v>
      </c>
      <c r="H1421" s="1">
        <v>58.0</v>
      </c>
      <c r="I1421" s="1">
        <v>3280000.0</v>
      </c>
      <c r="J1421" s="1" t="s">
        <v>2468</v>
      </c>
      <c r="K1421" s="5">
        <f t="shared" si="2"/>
        <v>0.03260060976</v>
      </c>
      <c r="L1421" s="6">
        <f t="shared" si="3"/>
        <v>348</v>
      </c>
      <c r="M1421" s="6">
        <f t="shared" si="4"/>
        <v>307.2701149</v>
      </c>
      <c r="N1421" s="7">
        <f t="shared" si="5"/>
        <v>0.00009367991309</v>
      </c>
      <c r="O1421" s="7"/>
      <c r="P1421" s="4">
        <f t="shared" si="6"/>
        <v>-0.3835412371</v>
      </c>
      <c r="Q1421" s="4">
        <f t="shared" si="7"/>
        <v>3</v>
      </c>
      <c r="R1421" s="4">
        <f t="shared" si="8"/>
        <v>0</v>
      </c>
      <c r="S1421" s="4">
        <f t="shared" si="9"/>
        <v>-0.3835412371</v>
      </c>
      <c r="T1421" s="4">
        <f t="shared" si="10"/>
        <v>12</v>
      </c>
      <c r="U1421" s="4">
        <f t="shared" si="1"/>
        <v>-0.3835412371</v>
      </c>
      <c r="V1421" s="4"/>
    </row>
    <row r="1422">
      <c r="A1422" s="1" t="s">
        <v>18085</v>
      </c>
      <c r="B1422" s="1" t="s">
        <v>18086</v>
      </c>
      <c r="C1422" s="1" t="s">
        <v>18087</v>
      </c>
      <c r="D1422" s="1" t="s">
        <v>17903</v>
      </c>
      <c r="E1422" s="1" t="s">
        <v>17904</v>
      </c>
      <c r="F1422" s="1">
        <v>87901.0</v>
      </c>
      <c r="G1422" s="1">
        <v>2544.0</v>
      </c>
      <c r="H1422" s="1">
        <v>124.0</v>
      </c>
      <c r="I1422" s="1">
        <v>3280000.0</v>
      </c>
      <c r="J1422" s="1" t="s">
        <v>2468</v>
      </c>
      <c r="K1422" s="5">
        <f t="shared" si="2"/>
        <v>0.02679908537</v>
      </c>
      <c r="L1422" s="6">
        <f t="shared" si="3"/>
        <v>349</v>
      </c>
      <c r="M1422" s="6">
        <f t="shared" si="4"/>
        <v>251.8653295</v>
      </c>
      <c r="N1422" s="7">
        <f t="shared" si="5"/>
        <v>0.00007678821022</v>
      </c>
      <c r="O1422" s="7"/>
      <c r="P1422" s="4">
        <f t="shared" si="6"/>
        <v>-0.3954391348</v>
      </c>
      <c r="Q1422" s="4">
        <f t="shared" si="7"/>
        <v>6</v>
      </c>
      <c r="R1422" s="4">
        <f t="shared" si="8"/>
        <v>0</v>
      </c>
      <c r="S1422" s="4">
        <f t="shared" si="9"/>
        <v>-0.3954391348</v>
      </c>
      <c r="T1422" s="4">
        <f t="shared" si="10"/>
        <v>26</v>
      </c>
      <c r="U1422" s="4">
        <f t="shared" si="1"/>
        <v>-0.3954391348</v>
      </c>
      <c r="V1422" s="4"/>
    </row>
    <row r="1423">
      <c r="A1423" s="1" t="s">
        <v>18088</v>
      </c>
      <c r="B1423" s="1" t="s">
        <v>18089</v>
      </c>
      <c r="C1423" s="1" t="s">
        <v>18090</v>
      </c>
      <c r="D1423" s="1" t="s">
        <v>17903</v>
      </c>
      <c r="E1423" s="1" t="s">
        <v>17904</v>
      </c>
      <c r="F1423" s="1">
        <v>43049.0</v>
      </c>
      <c r="G1423" s="1">
        <v>772.0</v>
      </c>
      <c r="H1423" s="1">
        <v>13.0</v>
      </c>
      <c r="I1423" s="1">
        <v>3280000.0</v>
      </c>
      <c r="J1423" s="1" t="s">
        <v>2468</v>
      </c>
      <c r="K1423" s="5">
        <f t="shared" si="2"/>
        <v>0.01312469512</v>
      </c>
      <c r="L1423" s="6">
        <f t="shared" si="3"/>
        <v>349</v>
      </c>
      <c r="M1423" s="6">
        <f t="shared" si="4"/>
        <v>123.3495702</v>
      </c>
      <c r="N1423" s="7">
        <f t="shared" si="5"/>
        <v>0.00003760657628</v>
      </c>
      <c r="O1423" s="7"/>
      <c r="P1423" s="4">
        <f t="shared" si="6"/>
        <v>-0.4230372448</v>
      </c>
      <c r="Q1423" s="4">
        <f t="shared" si="7"/>
        <v>6</v>
      </c>
      <c r="R1423" s="4">
        <f t="shared" si="8"/>
        <v>0</v>
      </c>
      <c r="S1423" s="4">
        <f t="shared" si="9"/>
        <v>-0.4230372448</v>
      </c>
      <c r="T1423" s="4">
        <f t="shared" si="10"/>
        <v>32</v>
      </c>
      <c r="U1423" s="4">
        <f t="shared" si="1"/>
        <v>-0.4230372448</v>
      </c>
      <c r="V1423" s="4"/>
    </row>
    <row r="1424">
      <c r="A1424" s="1" t="s">
        <v>18091</v>
      </c>
      <c r="B1424" s="1" t="s">
        <v>18092</v>
      </c>
      <c r="C1424" s="1" t="s">
        <v>18093</v>
      </c>
      <c r="D1424" s="1" t="s">
        <v>17903</v>
      </c>
      <c r="E1424" s="1" t="s">
        <v>17904</v>
      </c>
      <c r="F1424" s="1">
        <v>18675.0</v>
      </c>
      <c r="G1424" s="1">
        <v>516.0</v>
      </c>
      <c r="H1424" s="1">
        <v>52.0</v>
      </c>
      <c r="I1424" s="1">
        <v>3280000.0</v>
      </c>
      <c r="J1424" s="1" t="s">
        <v>2468</v>
      </c>
      <c r="K1424" s="5">
        <f t="shared" si="2"/>
        <v>0.005693597561</v>
      </c>
      <c r="L1424" s="6">
        <f t="shared" si="3"/>
        <v>350</v>
      </c>
      <c r="M1424" s="6">
        <f t="shared" si="4"/>
        <v>53.35714286</v>
      </c>
      <c r="N1424" s="7">
        <f t="shared" si="5"/>
        <v>0.0000162674216</v>
      </c>
      <c r="O1424" s="7"/>
      <c r="P1424" s="4">
        <f t="shared" si="6"/>
        <v>-0.4380677649</v>
      </c>
      <c r="Q1424" s="4">
        <f t="shared" si="7"/>
        <v>6</v>
      </c>
      <c r="R1424" s="4">
        <f t="shared" si="8"/>
        <v>0</v>
      </c>
      <c r="S1424" s="4">
        <f t="shared" si="9"/>
        <v>-0.4380677649</v>
      </c>
      <c r="T1424" s="4">
        <f t="shared" si="10"/>
        <v>32</v>
      </c>
      <c r="U1424" s="4">
        <f t="shared" si="1"/>
        <v>-0.4380677649</v>
      </c>
      <c r="V1424" s="4"/>
    </row>
    <row r="1425">
      <c r="A1425" s="1" t="s">
        <v>18094</v>
      </c>
      <c r="B1425" s="1" t="s">
        <v>18095</v>
      </c>
      <c r="C1425" s="1" t="s">
        <v>18096</v>
      </c>
      <c r="D1425" s="1" t="s">
        <v>17903</v>
      </c>
      <c r="E1425" s="1" t="s">
        <v>17904</v>
      </c>
      <c r="F1425" s="1">
        <v>87664.0</v>
      </c>
      <c r="G1425" s="1">
        <v>2292.0</v>
      </c>
      <c r="H1425" s="1">
        <v>130.0</v>
      </c>
      <c r="I1425" s="1">
        <v>3280000.0</v>
      </c>
      <c r="J1425" s="1" t="s">
        <v>2468</v>
      </c>
      <c r="K1425" s="5">
        <f t="shared" si="2"/>
        <v>0.02672682927</v>
      </c>
      <c r="L1425" s="6">
        <f t="shared" si="3"/>
        <v>354</v>
      </c>
      <c r="M1425" s="6">
        <f t="shared" si="4"/>
        <v>247.6384181</v>
      </c>
      <c r="N1425" s="7">
        <f t="shared" si="5"/>
        <v>0.00007549951771</v>
      </c>
      <c r="O1425" s="7"/>
      <c r="P1425" s="4">
        <f t="shared" si="6"/>
        <v>-0.3963468427</v>
      </c>
      <c r="Q1425" s="4">
        <f t="shared" si="7"/>
        <v>11</v>
      </c>
      <c r="R1425" s="4">
        <f t="shared" si="8"/>
        <v>0</v>
      </c>
      <c r="S1425" s="4">
        <f t="shared" si="9"/>
        <v>-0.3963468427</v>
      </c>
      <c r="T1425" s="4">
        <f t="shared" si="10"/>
        <v>61</v>
      </c>
      <c r="U1425" s="4">
        <f t="shared" si="1"/>
        <v>-0.3963468427</v>
      </c>
      <c r="V1425" s="4"/>
    </row>
    <row r="1426">
      <c r="A1426" s="1" t="s">
        <v>18097</v>
      </c>
      <c r="B1426" s="1" t="s">
        <v>18098</v>
      </c>
      <c r="C1426" s="1" t="s">
        <v>18099</v>
      </c>
      <c r="D1426" s="1" t="s">
        <v>17903</v>
      </c>
      <c r="E1426" s="1" t="s">
        <v>17904</v>
      </c>
      <c r="F1426" s="1">
        <v>96024.0</v>
      </c>
      <c r="G1426" s="1">
        <v>2750.0</v>
      </c>
      <c r="H1426" s="1">
        <v>158.0</v>
      </c>
      <c r="I1426" s="1">
        <v>3280000.0</v>
      </c>
      <c r="J1426" s="1" t="s">
        <v>2468</v>
      </c>
      <c r="K1426" s="5">
        <f t="shared" si="2"/>
        <v>0.02927560976</v>
      </c>
      <c r="L1426" s="6">
        <f t="shared" si="3"/>
        <v>357</v>
      </c>
      <c r="M1426" s="6">
        <f t="shared" si="4"/>
        <v>268.9747899</v>
      </c>
      <c r="N1426" s="7">
        <f t="shared" si="5"/>
        <v>0.00008200450912</v>
      </c>
      <c r="O1426" s="7"/>
      <c r="P1426" s="4">
        <f t="shared" si="6"/>
        <v>-0.3917649647</v>
      </c>
      <c r="Q1426" s="4">
        <f t="shared" si="7"/>
        <v>6</v>
      </c>
      <c r="R1426" s="4">
        <f t="shared" si="8"/>
        <v>0</v>
      </c>
      <c r="S1426" s="4">
        <f t="shared" si="9"/>
        <v>-0.3917649647</v>
      </c>
      <c r="T1426" s="4">
        <f t="shared" si="10"/>
        <v>27</v>
      </c>
      <c r="U1426" s="4">
        <f t="shared" si="1"/>
        <v>-0.3917649647</v>
      </c>
      <c r="V1426" s="4"/>
    </row>
    <row r="1427">
      <c r="A1427" s="1" t="s">
        <v>18100</v>
      </c>
      <c r="B1427" s="1" t="s">
        <v>18101</v>
      </c>
      <c r="C1427" s="1" t="s">
        <v>18102</v>
      </c>
      <c r="D1427" s="1" t="s">
        <v>17903</v>
      </c>
      <c r="E1427" s="1" t="s">
        <v>17904</v>
      </c>
      <c r="F1427" s="1">
        <v>116330.0</v>
      </c>
      <c r="G1427" s="1">
        <v>4458.0</v>
      </c>
      <c r="H1427" s="1">
        <v>369.0</v>
      </c>
      <c r="I1427" s="1">
        <v>3280000.0</v>
      </c>
      <c r="J1427" s="1" t="s">
        <v>2468</v>
      </c>
      <c r="K1427" s="5">
        <f t="shared" si="2"/>
        <v>0.03546646341</v>
      </c>
      <c r="L1427" s="6">
        <f t="shared" si="3"/>
        <v>360</v>
      </c>
      <c r="M1427" s="6">
        <f t="shared" si="4"/>
        <v>323.1388889</v>
      </c>
      <c r="N1427" s="7">
        <f t="shared" si="5"/>
        <v>0.00009851795393</v>
      </c>
      <c r="O1427" s="7"/>
      <c r="P1427" s="4">
        <f t="shared" si="6"/>
        <v>-0.3801334981</v>
      </c>
      <c r="Q1427" s="4">
        <f t="shared" si="7"/>
        <v>8</v>
      </c>
      <c r="R1427" s="4">
        <f t="shared" si="8"/>
        <v>1</v>
      </c>
      <c r="S1427" s="4">
        <f t="shared" si="9"/>
        <v>-0.3801334981</v>
      </c>
      <c r="T1427" s="4">
        <f t="shared" si="10"/>
        <v>44</v>
      </c>
      <c r="U1427" s="4">
        <f t="shared" si="1"/>
        <v>-0.3801334981</v>
      </c>
      <c r="V1427" s="4"/>
    </row>
    <row r="1428">
      <c r="A1428" s="1" t="s">
        <v>18103</v>
      </c>
      <c r="B1428" s="1" t="s">
        <v>18104</v>
      </c>
      <c r="C1428" s="1" t="s">
        <v>18105</v>
      </c>
      <c r="D1428" s="1" t="s">
        <v>17903</v>
      </c>
      <c r="E1428" s="1" t="s">
        <v>17904</v>
      </c>
      <c r="F1428" s="1">
        <v>33932.0</v>
      </c>
      <c r="G1428" s="1">
        <v>1291.0</v>
      </c>
      <c r="H1428" s="1">
        <v>93.0</v>
      </c>
      <c r="I1428" s="1">
        <v>3280000.0</v>
      </c>
      <c r="J1428" s="1" t="s">
        <v>2468</v>
      </c>
      <c r="K1428" s="5">
        <f t="shared" si="2"/>
        <v>0.01034512195</v>
      </c>
      <c r="L1428" s="6">
        <f t="shared" si="3"/>
        <v>366</v>
      </c>
      <c r="M1428" s="6">
        <f t="shared" si="4"/>
        <v>92.71038251</v>
      </c>
      <c r="N1428" s="7">
        <f t="shared" si="5"/>
        <v>0.00002826536052</v>
      </c>
      <c r="O1428" s="7"/>
      <c r="P1428" s="4">
        <f t="shared" si="6"/>
        <v>-0.4296168555</v>
      </c>
      <c r="Q1428" s="4">
        <f t="shared" si="7"/>
        <v>4</v>
      </c>
      <c r="R1428" s="4">
        <f t="shared" si="8"/>
        <v>0</v>
      </c>
      <c r="S1428" s="4">
        <f t="shared" si="9"/>
        <v>-0.4296168555</v>
      </c>
      <c r="T1428" s="4">
        <f t="shared" si="10"/>
        <v>27</v>
      </c>
      <c r="U1428" s="4">
        <f t="shared" si="1"/>
        <v>-0.4296168555</v>
      </c>
      <c r="V1428" s="4"/>
    </row>
    <row r="1429">
      <c r="A1429" s="1" t="s">
        <v>18106</v>
      </c>
      <c r="B1429" s="1" t="s">
        <v>18107</v>
      </c>
      <c r="C1429" s="1" t="s">
        <v>18108</v>
      </c>
      <c r="D1429" s="1" t="s">
        <v>17903</v>
      </c>
      <c r="E1429" s="1" t="s">
        <v>17904</v>
      </c>
      <c r="F1429" s="1">
        <v>207639.0</v>
      </c>
      <c r="G1429" s="1">
        <v>3291.0</v>
      </c>
      <c r="H1429" s="1">
        <v>569.0</v>
      </c>
      <c r="I1429" s="1">
        <v>3280000.0</v>
      </c>
      <c r="J1429" s="1" t="s">
        <v>2468</v>
      </c>
      <c r="K1429" s="5">
        <f t="shared" si="2"/>
        <v>0.06330457317</v>
      </c>
      <c r="L1429" s="6">
        <f t="shared" si="3"/>
        <v>369</v>
      </c>
      <c r="M1429" s="6">
        <f t="shared" si="4"/>
        <v>562.7073171</v>
      </c>
      <c r="N1429" s="7">
        <f t="shared" si="5"/>
        <v>0.0001715571089</v>
      </c>
      <c r="O1429" s="7"/>
      <c r="P1429" s="4">
        <f t="shared" si="6"/>
        <v>-0.3286873886</v>
      </c>
      <c r="Q1429" s="4">
        <f t="shared" si="7"/>
        <v>8</v>
      </c>
      <c r="R1429" s="4">
        <f t="shared" si="8"/>
        <v>0</v>
      </c>
      <c r="S1429" s="4">
        <f t="shared" si="9"/>
        <v>-0.3286873886</v>
      </c>
      <c r="T1429" s="4">
        <f t="shared" si="10"/>
        <v>38</v>
      </c>
      <c r="U1429" s="4">
        <f t="shared" si="1"/>
        <v>-0.3286873886</v>
      </c>
      <c r="V1429" s="4"/>
    </row>
    <row r="1430">
      <c r="A1430" s="1" t="s">
        <v>18109</v>
      </c>
      <c r="B1430" s="1" t="s">
        <v>18110</v>
      </c>
      <c r="C1430" s="1" t="s">
        <v>18111</v>
      </c>
      <c r="D1430" s="1" t="s">
        <v>17903</v>
      </c>
      <c r="E1430" s="1" t="s">
        <v>17904</v>
      </c>
      <c r="F1430" s="1">
        <v>71828.0</v>
      </c>
      <c r="G1430" s="1">
        <v>2087.0</v>
      </c>
      <c r="H1430" s="1">
        <v>106.0</v>
      </c>
      <c r="I1430" s="1">
        <v>3280000.0</v>
      </c>
      <c r="J1430" s="1" t="s">
        <v>2468</v>
      </c>
      <c r="K1430" s="5">
        <f t="shared" si="2"/>
        <v>0.02189878049</v>
      </c>
      <c r="L1430" s="6">
        <f t="shared" si="3"/>
        <v>371</v>
      </c>
      <c r="M1430" s="6">
        <f t="shared" si="4"/>
        <v>193.606469</v>
      </c>
      <c r="N1430" s="7">
        <f t="shared" si="5"/>
        <v>0.0000590263625</v>
      </c>
      <c r="O1430" s="7"/>
      <c r="P1430" s="4">
        <f t="shared" si="6"/>
        <v>-0.4079499308</v>
      </c>
      <c r="Q1430" s="4">
        <f t="shared" si="7"/>
        <v>14</v>
      </c>
      <c r="R1430" s="4">
        <f t="shared" si="8"/>
        <v>1</v>
      </c>
      <c r="S1430" s="4">
        <f t="shared" si="9"/>
        <v>-0.4079499308</v>
      </c>
      <c r="T1430" s="4">
        <f t="shared" si="10"/>
        <v>60</v>
      </c>
      <c r="U1430" s="4">
        <f t="shared" si="1"/>
        <v>-0.4079499308</v>
      </c>
      <c r="V1430" s="4"/>
    </row>
    <row r="1431">
      <c r="A1431" s="1" t="s">
        <v>18112</v>
      </c>
      <c r="B1431" s="1" t="s">
        <v>18113</v>
      </c>
      <c r="C1431" s="1" t="s">
        <v>18114</v>
      </c>
      <c r="D1431" s="1" t="s">
        <v>17903</v>
      </c>
      <c r="E1431" s="1" t="s">
        <v>17904</v>
      </c>
      <c r="F1431" s="1">
        <v>50398.0</v>
      </c>
      <c r="G1431" s="1">
        <v>1474.0</v>
      </c>
      <c r="H1431" s="1">
        <v>128.0</v>
      </c>
      <c r="I1431" s="1">
        <v>3280000.0</v>
      </c>
      <c r="J1431" s="1" t="s">
        <v>2468</v>
      </c>
      <c r="K1431" s="5">
        <f t="shared" si="2"/>
        <v>0.0153652439</v>
      </c>
      <c r="L1431" s="6">
        <f t="shared" si="3"/>
        <v>372</v>
      </c>
      <c r="M1431" s="6">
        <f t="shared" si="4"/>
        <v>135.4784946</v>
      </c>
      <c r="N1431" s="7">
        <f t="shared" si="5"/>
        <v>0.00004130441909</v>
      </c>
      <c r="O1431" s="7"/>
      <c r="P1431" s="4">
        <f t="shared" si="6"/>
        <v>-0.4204326195</v>
      </c>
      <c r="Q1431" s="4">
        <f t="shared" si="7"/>
        <v>8</v>
      </c>
      <c r="R1431" s="4">
        <f t="shared" si="8"/>
        <v>0</v>
      </c>
      <c r="S1431" s="4">
        <f t="shared" si="9"/>
        <v>-0.4204326195</v>
      </c>
      <c r="T1431" s="4">
        <f t="shared" si="10"/>
        <v>37</v>
      </c>
      <c r="U1431" s="4">
        <f t="shared" si="1"/>
        <v>-0.4204326195</v>
      </c>
      <c r="V1431" s="4"/>
    </row>
    <row r="1432">
      <c r="A1432" s="1" t="s">
        <v>18115</v>
      </c>
      <c r="B1432" s="1" t="s">
        <v>18116</v>
      </c>
      <c r="C1432" s="1" t="s">
        <v>18117</v>
      </c>
      <c r="D1432" s="1" t="s">
        <v>17903</v>
      </c>
      <c r="E1432" s="1" t="s">
        <v>17904</v>
      </c>
      <c r="F1432" s="1">
        <v>183917.0</v>
      </c>
      <c r="G1432" s="1">
        <v>4585.0</v>
      </c>
      <c r="H1432" s="1">
        <v>550.0</v>
      </c>
      <c r="I1432" s="1">
        <v>3280000.0</v>
      </c>
      <c r="J1432" s="1" t="s">
        <v>2468</v>
      </c>
      <c r="K1432" s="5">
        <f t="shared" si="2"/>
        <v>0.0560722561</v>
      </c>
      <c r="L1432" s="6">
        <f t="shared" si="3"/>
        <v>376</v>
      </c>
      <c r="M1432" s="6">
        <f t="shared" si="4"/>
        <v>489.1409574</v>
      </c>
      <c r="N1432" s="7">
        <f t="shared" si="5"/>
        <v>0.0001491283407</v>
      </c>
      <c r="O1432" s="7"/>
      <c r="P1432" s="4">
        <f t="shared" si="6"/>
        <v>-0.3444853926</v>
      </c>
      <c r="Q1432" s="4">
        <f t="shared" si="7"/>
        <v>7</v>
      </c>
      <c r="R1432" s="4">
        <f t="shared" si="8"/>
        <v>0</v>
      </c>
      <c r="S1432" s="4">
        <f t="shared" si="9"/>
        <v>-0.3444853926</v>
      </c>
      <c r="T1432" s="4">
        <f t="shared" si="10"/>
        <v>34</v>
      </c>
      <c r="U1432" s="4">
        <f t="shared" si="1"/>
        <v>-0.3444853926</v>
      </c>
      <c r="V1432" s="4"/>
    </row>
    <row r="1433">
      <c r="A1433" s="1" t="s">
        <v>18118</v>
      </c>
      <c r="B1433" s="1" t="s">
        <v>18119</v>
      </c>
      <c r="C1433" s="1" t="s">
        <v>18120</v>
      </c>
      <c r="D1433" s="1" t="s">
        <v>17903</v>
      </c>
      <c r="E1433" s="1" t="s">
        <v>17904</v>
      </c>
      <c r="F1433" s="1">
        <v>380822.0</v>
      </c>
      <c r="G1433" s="1">
        <v>8115.0</v>
      </c>
      <c r="H1433" s="1">
        <v>1591.0</v>
      </c>
      <c r="I1433" s="1">
        <v>3280000.0</v>
      </c>
      <c r="J1433" s="1" t="s">
        <v>2468</v>
      </c>
      <c r="K1433" s="5">
        <f t="shared" si="2"/>
        <v>0.1161042683</v>
      </c>
      <c r="L1433" s="6">
        <f t="shared" si="3"/>
        <v>379</v>
      </c>
      <c r="M1433" s="6">
        <f t="shared" si="4"/>
        <v>1004.807388</v>
      </c>
      <c r="N1433" s="7">
        <f t="shared" si="5"/>
        <v>0.0003063437158</v>
      </c>
      <c r="O1433" s="7"/>
      <c r="P1433" s="4">
        <f t="shared" si="6"/>
        <v>-0.2337486323</v>
      </c>
      <c r="Q1433" s="4">
        <f t="shared" si="7"/>
        <v>11</v>
      </c>
      <c r="R1433" s="4">
        <f t="shared" si="8"/>
        <v>1</v>
      </c>
      <c r="S1433" s="4">
        <f t="shared" si="9"/>
        <v>-0.2337486323</v>
      </c>
      <c r="T1433" s="4">
        <f t="shared" si="10"/>
        <v>54</v>
      </c>
      <c r="U1433" s="4">
        <f t="shared" si="1"/>
        <v>-0.2337486323</v>
      </c>
      <c r="V1433" s="4"/>
    </row>
    <row r="1434">
      <c r="A1434" s="1" t="s">
        <v>18121</v>
      </c>
      <c r="B1434" s="1" t="s">
        <v>18122</v>
      </c>
      <c r="C1434" s="1" t="s">
        <v>18123</v>
      </c>
      <c r="D1434" s="1" t="s">
        <v>17903</v>
      </c>
      <c r="E1434" s="1" t="s">
        <v>17904</v>
      </c>
      <c r="F1434" s="1">
        <v>250452.0</v>
      </c>
      <c r="G1434" s="1">
        <v>4562.0</v>
      </c>
      <c r="H1434" s="1">
        <v>1260.0</v>
      </c>
      <c r="I1434" s="1">
        <v>3280000.0</v>
      </c>
      <c r="J1434" s="1" t="s">
        <v>2468</v>
      </c>
      <c r="K1434" s="5">
        <f t="shared" si="2"/>
        <v>0.07635731707</v>
      </c>
      <c r="L1434" s="6">
        <f t="shared" si="3"/>
        <v>381</v>
      </c>
      <c r="M1434" s="6">
        <f t="shared" si="4"/>
        <v>657.3543307</v>
      </c>
      <c r="N1434" s="7">
        <f t="shared" si="5"/>
        <v>0.0002004129057</v>
      </c>
      <c r="O1434" s="7"/>
      <c r="P1434" s="4">
        <f t="shared" si="6"/>
        <v>-0.3083624207</v>
      </c>
      <c r="Q1434" s="4">
        <f t="shared" si="7"/>
        <v>7</v>
      </c>
      <c r="R1434" s="4">
        <f t="shared" si="8"/>
        <v>0</v>
      </c>
      <c r="S1434" s="4">
        <f t="shared" si="9"/>
        <v>-0.3083624207</v>
      </c>
      <c r="T1434" s="4">
        <f t="shared" si="10"/>
        <v>27</v>
      </c>
      <c r="U1434" s="4">
        <f t="shared" si="1"/>
        <v>-0.3083624207</v>
      </c>
      <c r="V1434" s="4"/>
    </row>
    <row r="1435">
      <c r="A1435" s="1" t="s">
        <v>18124</v>
      </c>
      <c r="B1435" s="1" t="s">
        <v>18125</v>
      </c>
      <c r="C1435" s="1" t="s">
        <v>18126</v>
      </c>
      <c r="D1435" s="1" t="s">
        <v>17903</v>
      </c>
      <c r="E1435" s="1" t="s">
        <v>17904</v>
      </c>
      <c r="F1435" s="1">
        <v>258856.0</v>
      </c>
      <c r="G1435" s="1">
        <v>2281.0</v>
      </c>
      <c r="H1435" s="1">
        <v>1401.0</v>
      </c>
      <c r="I1435" s="1">
        <v>3280000.0</v>
      </c>
      <c r="J1435" s="1" t="s">
        <v>2468</v>
      </c>
      <c r="K1435" s="5">
        <f t="shared" si="2"/>
        <v>0.0789195122</v>
      </c>
      <c r="L1435" s="6">
        <f t="shared" si="3"/>
        <v>385</v>
      </c>
      <c r="M1435" s="6">
        <f t="shared" si="4"/>
        <v>672.3532468</v>
      </c>
      <c r="N1435" s="7">
        <f t="shared" si="5"/>
        <v>0.000204985746</v>
      </c>
      <c r="O1435" s="7"/>
      <c r="P1435" s="4">
        <f t="shared" si="6"/>
        <v>-0.3051414793</v>
      </c>
      <c r="Q1435" s="4">
        <f t="shared" si="7"/>
        <v>6</v>
      </c>
      <c r="R1435" s="4">
        <f t="shared" si="8"/>
        <v>0</v>
      </c>
      <c r="S1435" s="4">
        <f t="shared" si="9"/>
        <v>-0.3051414793</v>
      </c>
      <c r="T1435" s="4">
        <f t="shared" si="10"/>
        <v>25</v>
      </c>
      <c r="U1435" s="4">
        <f t="shared" si="1"/>
        <v>-0.3051414793</v>
      </c>
      <c r="V1435" s="4"/>
    </row>
    <row r="1436">
      <c r="A1436" s="1" t="s">
        <v>18127</v>
      </c>
      <c r="B1436" s="1" t="s">
        <v>18128</v>
      </c>
      <c r="C1436" s="1" t="s">
        <v>18129</v>
      </c>
      <c r="D1436" s="1" t="s">
        <v>17903</v>
      </c>
      <c r="E1436" s="1" t="s">
        <v>17904</v>
      </c>
      <c r="F1436" s="1">
        <v>399488.0</v>
      </c>
      <c r="G1436" s="1">
        <v>8905.0</v>
      </c>
      <c r="H1436" s="1">
        <v>1090.0</v>
      </c>
      <c r="I1436" s="1">
        <v>3280000.0</v>
      </c>
      <c r="J1436" s="1" t="s">
        <v>2468</v>
      </c>
      <c r="K1436" s="5">
        <f t="shared" si="2"/>
        <v>0.121795122</v>
      </c>
      <c r="L1436" s="6">
        <f t="shared" si="3"/>
        <v>389</v>
      </c>
      <c r="M1436" s="6">
        <f t="shared" si="4"/>
        <v>1026.96144</v>
      </c>
      <c r="N1436" s="7">
        <f t="shared" si="5"/>
        <v>0.0003130979999</v>
      </c>
      <c r="O1436" s="7"/>
      <c r="P1436" s="4">
        <f t="shared" si="6"/>
        <v>-0.2289911616</v>
      </c>
      <c r="Q1436" s="4">
        <f t="shared" si="7"/>
        <v>6</v>
      </c>
      <c r="R1436" s="4">
        <f t="shared" si="8"/>
        <v>0</v>
      </c>
      <c r="S1436" s="4">
        <f t="shared" si="9"/>
        <v>-0.2289911616</v>
      </c>
      <c r="T1436" s="4">
        <f t="shared" si="10"/>
        <v>40</v>
      </c>
      <c r="U1436" s="4">
        <f t="shared" si="1"/>
        <v>-0.2289911616</v>
      </c>
      <c r="V1436" s="4"/>
    </row>
    <row r="1437">
      <c r="A1437" s="1" t="s">
        <v>18130</v>
      </c>
      <c r="B1437" s="1" t="s">
        <v>18131</v>
      </c>
      <c r="C1437" s="1" t="s">
        <v>18132</v>
      </c>
      <c r="D1437" s="1" t="s">
        <v>17903</v>
      </c>
      <c r="E1437" s="1" t="s">
        <v>17904</v>
      </c>
      <c r="F1437" s="1">
        <v>470099.0</v>
      </c>
      <c r="G1437" s="1">
        <v>10633.0</v>
      </c>
      <c r="H1437" s="1">
        <v>1573.0</v>
      </c>
      <c r="I1437" s="1">
        <v>3280000.0</v>
      </c>
      <c r="J1437" s="1" t="s">
        <v>2468</v>
      </c>
      <c r="K1437" s="5">
        <f t="shared" si="2"/>
        <v>0.1433228659</v>
      </c>
      <c r="L1437" s="6">
        <f t="shared" si="3"/>
        <v>395</v>
      </c>
      <c r="M1437" s="6">
        <f t="shared" si="4"/>
        <v>1190.124051</v>
      </c>
      <c r="N1437" s="7">
        <f t="shared" si="5"/>
        <v>0.0003628426984</v>
      </c>
      <c r="O1437" s="7"/>
      <c r="P1437" s="4">
        <f t="shared" si="6"/>
        <v>-0.1939528153</v>
      </c>
      <c r="Q1437" s="4">
        <f t="shared" si="7"/>
        <v>7</v>
      </c>
      <c r="R1437" s="4">
        <f t="shared" si="8"/>
        <v>0</v>
      </c>
      <c r="S1437" s="4">
        <f t="shared" si="9"/>
        <v>-0.1939528153</v>
      </c>
      <c r="T1437" s="4">
        <f t="shared" si="10"/>
        <v>49</v>
      </c>
      <c r="U1437" s="4">
        <f t="shared" si="1"/>
        <v>-0.1939528153</v>
      </c>
      <c r="V1437" s="4"/>
    </row>
    <row r="1438">
      <c r="A1438" s="1" t="s">
        <v>18133</v>
      </c>
      <c r="B1438" s="1" t="s">
        <v>18134</v>
      </c>
      <c r="C1438" s="1" t="s">
        <v>18135</v>
      </c>
      <c r="D1438" s="1" t="s">
        <v>17903</v>
      </c>
      <c r="E1438" s="1" t="s">
        <v>17904</v>
      </c>
      <c r="F1438" s="1">
        <v>600364.0</v>
      </c>
      <c r="G1438" s="1">
        <v>12418.0</v>
      </c>
      <c r="H1438" s="1">
        <v>6440.0</v>
      </c>
      <c r="I1438" s="1">
        <v>3280000.0</v>
      </c>
      <c r="J1438" s="1" t="s">
        <v>2468</v>
      </c>
      <c r="K1438" s="5">
        <f t="shared" si="2"/>
        <v>0.1830378049</v>
      </c>
      <c r="L1438" s="6">
        <f t="shared" si="3"/>
        <v>399</v>
      </c>
      <c r="M1438" s="6">
        <f t="shared" si="4"/>
        <v>1504.671679</v>
      </c>
      <c r="N1438" s="7">
        <f t="shared" si="5"/>
        <v>0.0004587413656</v>
      </c>
      <c r="O1438" s="7"/>
      <c r="P1438" s="4">
        <f t="shared" si="6"/>
        <v>-0.1264053014</v>
      </c>
      <c r="Q1438" s="4">
        <f t="shared" si="7"/>
        <v>8</v>
      </c>
      <c r="R1438" s="4">
        <f t="shared" si="8"/>
        <v>0</v>
      </c>
      <c r="S1438" s="4">
        <f t="shared" si="9"/>
        <v>-0.1264053014</v>
      </c>
      <c r="T1438" s="4">
        <f t="shared" si="10"/>
        <v>35</v>
      </c>
      <c r="U1438" s="4">
        <f t="shared" si="1"/>
        <v>-0.1264053014</v>
      </c>
      <c r="V1438" s="4"/>
    </row>
    <row r="1439">
      <c r="A1439" s="1" t="s">
        <v>18136</v>
      </c>
      <c r="B1439" s="1" t="s">
        <v>18137</v>
      </c>
      <c r="C1439" s="1" t="s">
        <v>18138</v>
      </c>
      <c r="D1439" s="1" t="s">
        <v>17903</v>
      </c>
      <c r="E1439" s="1" t="s">
        <v>17904</v>
      </c>
      <c r="F1439" s="1">
        <v>267018.0</v>
      </c>
      <c r="G1439" s="1">
        <v>5804.0</v>
      </c>
      <c r="H1439" s="1">
        <v>837.0</v>
      </c>
      <c r="I1439" s="1">
        <v>3280000.0</v>
      </c>
      <c r="J1439" s="1" t="s">
        <v>2468</v>
      </c>
      <c r="K1439" s="5">
        <f t="shared" si="2"/>
        <v>0.08140792683</v>
      </c>
      <c r="L1439" s="6">
        <f t="shared" si="3"/>
        <v>402</v>
      </c>
      <c r="M1439" s="6">
        <f t="shared" si="4"/>
        <v>664.2238806</v>
      </c>
      <c r="N1439" s="7">
        <f t="shared" si="5"/>
        <v>0.0002025072807</v>
      </c>
      <c r="O1439" s="7"/>
      <c r="P1439" s="4">
        <f t="shared" si="6"/>
        <v>-0.3068872196</v>
      </c>
      <c r="Q1439" s="4">
        <f t="shared" si="7"/>
        <v>8</v>
      </c>
      <c r="R1439" s="4">
        <f t="shared" si="8"/>
        <v>0</v>
      </c>
      <c r="S1439" s="4">
        <f t="shared" si="9"/>
        <v>-0.3068872196</v>
      </c>
      <c r="T1439" s="4">
        <f t="shared" si="10"/>
        <v>42</v>
      </c>
      <c r="U1439" s="4">
        <f t="shared" si="1"/>
        <v>-0.3068872196</v>
      </c>
      <c r="V1439" s="4"/>
    </row>
    <row r="1440">
      <c r="A1440" s="1" t="s">
        <v>18139</v>
      </c>
      <c r="B1440" s="1" t="s">
        <v>18140</v>
      </c>
      <c r="C1440" s="1" t="s">
        <v>18141</v>
      </c>
      <c r="D1440" s="1" t="s">
        <v>17903</v>
      </c>
      <c r="E1440" s="1" t="s">
        <v>17904</v>
      </c>
      <c r="F1440" s="1">
        <v>224376.0</v>
      </c>
      <c r="G1440" s="1">
        <v>3348.0</v>
      </c>
      <c r="H1440" s="1">
        <v>867.0</v>
      </c>
      <c r="I1440" s="1">
        <v>3280000.0</v>
      </c>
      <c r="J1440" s="1" t="s">
        <v>2468</v>
      </c>
      <c r="K1440" s="5">
        <f t="shared" si="2"/>
        <v>0.06840731707</v>
      </c>
      <c r="L1440" s="6">
        <f t="shared" si="3"/>
        <v>406</v>
      </c>
      <c r="M1440" s="6">
        <f t="shared" si="4"/>
        <v>552.6502463</v>
      </c>
      <c r="N1440" s="7">
        <f t="shared" si="5"/>
        <v>0.0001684909288</v>
      </c>
      <c r="O1440" s="7"/>
      <c r="P1440" s="4">
        <f t="shared" si="6"/>
        <v>-0.3308470938</v>
      </c>
      <c r="Q1440" s="4">
        <f t="shared" si="7"/>
        <v>9</v>
      </c>
      <c r="R1440" s="4">
        <f t="shared" si="8"/>
        <v>1</v>
      </c>
      <c r="S1440" s="4">
        <f t="shared" si="9"/>
        <v>-0.3308470938</v>
      </c>
      <c r="T1440" s="4">
        <f t="shared" si="10"/>
        <v>50</v>
      </c>
      <c r="U1440" s="4">
        <f t="shared" si="1"/>
        <v>-0.3308470938</v>
      </c>
      <c r="V1440" s="4"/>
    </row>
    <row r="1441">
      <c r="A1441" s="1" t="s">
        <v>18142</v>
      </c>
      <c r="B1441" s="1" t="s">
        <v>18143</v>
      </c>
      <c r="C1441" s="1" t="s">
        <v>18144</v>
      </c>
      <c r="D1441" s="1" t="s">
        <v>17903</v>
      </c>
      <c r="E1441" s="1" t="s">
        <v>17904</v>
      </c>
      <c r="F1441" s="1">
        <v>86069.0</v>
      </c>
      <c r="G1441" s="1">
        <v>2410.0</v>
      </c>
      <c r="H1441" s="1">
        <v>300.0</v>
      </c>
      <c r="I1441" s="1">
        <v>3280000.0</v>
      </c>
      <c r="J1441" s="1" t="s">
        <v>2468</v>
      </c>
      <c r="K1441" s="5">
        <f t="shared" si="2"/>
        <v>0.02624054878</v>
      </c>
      <c r="L1441" s="6">
        <f t="shared" si="3"/>
        <v>407</v>
      </c>
      <c r="M1441" s="6">
        <f t="shared" si="4"/>
        <v>211.4717445</v>
      </c>
      <c r="N1441" s="7">
        <f t="shared" si="5"/>
        <v>0.00006447309283</v>
      </c>
      <c r="O1441" s="7"/>
      <c r="P1441" s="4">
        <f t="shared" si="6"/>
        <v>-0.4041134531</v>
      </c>
      <c r="Q1441" s="4">
        <f t="shared" si="7"/>
        <v>8</v>
      </c>
      <c r="R1441" s="4">
        <f t="shared" si="8"/>
        <v>0</v>
      </c>
      <c r="S1441" s="4">
        <f t="shared" si="9"/>
        <v>-0.4041134531</v>
      </c>
      <c r="T1441" s="4">
        <f t="shared" si="10"/>
        <v>39</v>
      </c>
      <c r="U1441" s="4">
        <f t="shared" si="1"/>
        <v>-0.4041134531</v>
      </c>
      <c r="V1441" s="4"/>
    </row>
    <row r="1442">
      <c r="A1442" s="1" t="s">
        <v>18145</v>
      </c>
      <c r="B1442" s="1" t="s">
        <v>18146</v>
      </c>
      <c r="C1442" s="1" t="s">
        <v>18147</v>
      </c>
      <c r="D1442" s="1" t="s">
        <v>17903</v>
      </c>
      <c r="E1442" s="1" t="s">
        <v>17904</v>
      </c>
      <c r="F1442" s="1">
        <v>42695.0</v>
      </c>
      <c r="G1442" s="1">
        <v>1143.0</v>
      </c>
      <c r="H1442" s="1">
        <v>268.0</v>
      </c>
      <c r="I1442" s="1">
        <v>3280000.0</v>
      </c>
      <c r="J1442" s="1" t="s">
        <v>2468</v>
      </c>
      <c r="K1442" s="5">
        <f t="shared" si="2"/>
        <v>0.01301676829</v>
      </c>
      <c r="L1442" s="6">
        <f t="shared" si="3"/>
        <v>413</v>
      </c>
      <c r="M1442" s="6">
        <f t="shared" si="4"/>
        <v>103.377724</v>
      </c>
      <c r="N1442" s="7">
        <f t="shared" si="5"/>
        <v>0.00003151759877</v>
      </c>
      <c r="O1442" s="7"/>
      <c r="P1442" s="4">
        <f t="shared" si="6"/>
        <v>-0.4273260978</v>
      </c>
      <c r="Q1442" s="4">
        <f t="shared" si="7"/>
        <v>11</v>
      </c>
      <c r="R1442" s="4">
        <f t="shared" si="8"/>
        <v>1</v>
      </c>
      <c r="S1442" s="4">
        <f t="shared" si="9"/>
        <v>-0.4273260978</v>
      </c>
      <c r="T1442" s="4">
        <f t="shared" si="10"/>
        <v>53</v>
      </c>
      <c r="U1442" s="4">
        <f t="shared" si="1"/>
        <v>-0.4273260978</v>
      </c>
      <c r="V1442" s="4"/>
    </row>
    <row r="1443">
      <c r="A1443" s="1" t="s">
        <v>18148</v>
      </c>
      <c r="B1443" s="1" t="s">
        <v>18149</v>
      </c>
      <c r="C1443" s="1" t="s">
        <v>18150</v>
      </c>
      <c r="D1443" s="1" t="s">
        <v>17903</v>
      </c>
      <c r="E1443" s="1" t="s">
        <v>17904</v>
      </c>
      <c r="F1443" s="1">
        <v>136828.0</v>
      </c>
      <c r="G1443" s="1">
        <v>3684.0</v>
      </c>
      <c r="H1443" s="1">
        <v>248.0</v>
      </c>
      <c r="I1443" s="1">
        <v>3280000.0</v>
      </c>
      <c r="J1443" s="1" t="s">
        <v>2468</v>
      </c>
      <c r="K1443" s="5">
        <f t="shared" si="2"/>
        <v>0.04171585366</v>
      </c>
      <c r="L1443" s="6">
        <f t="shared" si="3"/>
        <v>414</v>
      </c>
      <c r="M1443" s="6">
        <f t="shared" si="4"/>
        <v>330.5024155</v>
      </c>
      <c r="N1443" s="7">
        <f t="shared" si="5"/>
        <v>0.0001007629315</v>
      </c>
      <c r="O1443" s="7"/>
      <c r="P1443" s="4">
        <f t="shared" si="6"/>
        <v>-0.378552218</v>
      </c>
      <c r="Q1443" s="4">
        <f t="shared" si="7"/>
        <v>9</v>
      </c>
      <c r="R1443" s="4">
        <f t="shared" si="8"/>
        <v>1</v>
      </c>
      <c r="S1443" s="4">
        <f t="shared" si="9"/>
        <v>-0.378552218</v>
      </c>
      <c r="T1443" s="4">
        <f t="shared" si="10"/>
        <v>36</v>
      </c>
      <c r="U1443" s="4">
        <f t="shared" si="1"/>
        <v>-0.378552218</v>
      </c>
      <c r="V1443" s="4"/>
    </row>
    <row r="1444">
      <c r="A1444" s="1" t="s">
        <v>18151</v>
      </c>
      <c r="B1444" s="1" t="s">
        <v>18152</v>
      </c>
      <c r="C1444" s="1" t="s">
        <v>18153</v>
      </c>
      <c r="D1444" s="1" t="s">
        <v>17903</v>
      </c>
      <c r="E1444" s="1" t="s">
        <v>17904</v>
      </c>
      <c r="F1444" s="1">
        <v>144232.0</v>
      </c>
      <c r="G1444" s="1">
        <v>5163.0</v>
      </c>
      <c r="H1444" s="1">
        <v>454.0</v>
      </c>
      <c r="I1444" s="1">
        <v>3280000.0</v>
      </c>
      <c r="J1444" s="1" t="s">
        <v>2468</v>
      </c>
      <c r="K1444" s="5">
        <f t="shared" si="2"/>
        <v>0.04397317073</v>
      </c>
      <c r="L1444" s="6">
        <f t="shared" si="3"/>
        <v>418</v>
      </c>
      <c r="M1444" s="6">
        <f t="shared" si="4"/>
        <v>345.0526316</v>
      </c>
      <c r="N1444" s="7">
        <f t="shared" si="5"/>
        <v>0.000105198973</v>
      </c>
      <c r="O1444" s="7"/>
      <c r="P1444" s="4">
        <f t="shared" si="6"/>
        <v>-0.3754276326</v>
      </c>
      <c r="Q1444" s="4">
        <f t="shared" si="7"/>
        <v>10</v>
      </c>
      <c r="R1444" s="4">
        <f t="shared" si="8"/>
        <v>1</v>
      </c>
      <c r="S1444" s="4">
        <f t="shared" si="9"/>
        <v>-0.3754276326</v>
      </c>
      <c r="T1444" s="4">
        <f t="shared" si="10"/>
        <v>53</v>
      </c>
      <c r="U1444" s="4">
        <f t="shared" si="1"/>
        <v>-0.3754276326</v>
      </c>
      <c r="V1444" s="4"/>
    </row>
    <row r="1445">
      <c r="A1445" s="1" t="s">
        <v>18154</v>
      </c>
      <c r="B1445" s="1" t="s">
        <v>18155</v>
      </c>
      <c r="C1445" s="1" t="s">
        <v>18156</v>
      </c>
      <c r="D1445" s="1" t="s">
        <v>17903</v>
      </c>
      <c r="E1445" s="1" t="s">
        <v>17904</v>
      </c>
      <c r="F1445" s="1">
        <v>54076.0</v>
      </c>
      <c r="G1445" s="1">
        <v>1502.0</v>
      </c>
      <c r="H1445" s="1">
        <v>94.0</v>
      </c>
      <c r="I1445" s="1">
        <v>3280000.0</v>
      </c>
      <c r="J1445" s="1" t="s">
        <v>2468</v>
      </c>
      <c r="K1445" s="5">
        <f t="shared" si="2"/>
        <v>0.01648658537</v>
      </c>
      <c r="L1445" s="6">
        <f t="shared" si="3"/>
        <v>421</v>
      </c>
      <c r="M1445" s="6">
        <f t="shared" si="4"/>
        <v>128.4465558</v>
      </c>
      <c r="N1445" s="7">
        <f t="shared" si="5"/>
        <v>0.00003916053531</v>
      </c>
      <c r="O1445" s="7"/>
      <c r="P1445" s="4">
        <f t="shared" si="6"/>
        <v>-0.4219426929</v>
      </c>
      <c r="Q1445" s="4">
        <f t="shared" si="7"/>
        <v>7</v>
      </c>
      <c r="R1445" s="4">
        <f t="shared" si="8"/>
        <v>0</v>
      </c>
      <c r="S1445" s="4">
        <f t="shared" si="9"/>
        <v>-0.4219426929</v>
      </c>
      <c r="T1445" s="4">
        <f t="shared" si="10"/>
        <v>38</v>
      </c>
      <c r="U1445" s="4">
        <f t="shared" si="1"/>
        <v>-0.4219426929</v>
      </c>
      <c r="V1445" s="4"/>
    </row>
    <row r="1446">
      <c r="A1446" s="1" t="s">
        <v>18157</v>
      </c>
      <c r="B1446" s="1" t="s">
        <v>18158</v>
      </c>
      <c r="C1446" s="1" t="s">
        <v>18159</v>
      </c>
      <c r="D1446" s="1" t="s">
        <v>17903</v>
      </c>
      <c r="E1446" s="1" t="s">
        <v>17904</v>
      </c>
      <c r="F1446" s="1">
        <v>240941.0</v>
      </c>
      <c r="G1446" s="1">
        <v>3785.0</v>
      </c>
      <c r="H1446" s="1">
        <v>1176.0</v>
      </c>
      <c r="I1446" s="1">
        <v>3280000.0</v>
      </c>
      <c r="J1446" s="1" t="s">
        <v>2468</v>
      </c>
      <c r="K1446" s="5">
        <f t="shared" si="2"/>
        <v>0.07345762195</v>
      </c>
      <c r="L1446" s="6">
        <f t="shared" si="3"/>
        <v>428</v>
      </c>
      <c r="M1446" s="6">
        <f t="shared" si="4"/>
        <v>562.9462617</v>
      </c>
      <c r="N1446" s="7">
        <f t="shared" si="5"/>
        <v>0.0001716299578</v>
      </c>
      <c r="O1446" s="7"/>
      <c r="P1446" s="4">
        <f t="shared" si="6"/>
        <v>-0.3286360765</v>
      </c>
      <c r="Q1446" s="4">
        <f t="shared" si="7"/>
        <v>4</v>
      </c>
      <c r="R1446" s="4">
        <f t="shared" si="8"/>
        <v>0</v>
      </c>
      <c r="S1446" s="4">
        <f t="shared" si="9"/>
        <v>-0.3286360765</v>
      </c>
      <c r="T1446" s="4">
        <f t="shared" si="10"/>
        <v>18</v>
      </c>
      <c r="U1446" s="4">
        <f t="shared" si="1"/>
        <v>-0.3286360765</v>
      </c>
      <c r="V1446" s="4"/>
    </row>
    <row r="1447">
      <c r="A1447" s="1" t="s">
        <v>18160</v>
      </c>
      <c r="B1447" s="1" t="s">
        <v>18161</v>
      </c>
      <c r="C1447" s="1" t="s">
        <v>18162</v>
      </c>
      <c r="D1447" s="1" t="s">
        <v>17903</v>
      </c>
      <c r="E1447" s="1" t="s">
        <v>17904</v>
      </c>
      <c r="F1447" s="1">
        <v>146343.0</v>
      </c>
      <c r="G1447" s="1">
        <v>3434.0</v>
      </c>
      <c r="H1447" s="1">
        <v>153.0</v>
      </c>
      <c r="I1447" s="1">
        <v>3280000.0</v>
      </c>
      <c r="J1447" s="1" t="s">
        <v>2468</v>
      </c>
      <c r="K1447" s="5">
        <f t="shared" si="2"/>
        <v>0.04461676829</v>
      </c>
      <c r="L1447" s="6">
        <f t="shared" si="3"/>
        <v>435</v>
      </c>
      <c r="M1447" s="6">
        <f t="shared" si="4"/>
        <v>336.4206897</v>
      </c>
      <c r="N1447" s="7">
        <f t="shared" si="5"/>
        <v>0.0001025672834</v>
      </c>
      <c r="O1447" s="7"/>
      <c r="P1447" s="4">
        <f t="shared" si="6"/>
        <v>-0.3772812985</v>
      </c>
      <c r="Q1447" s="4">
        <f t="shared" si="7"/>
        <v>7</v>
      </c>
      <c r="R1447" s="4">
        <f t="shared" si="8"/>
        <v>1</v>
      </c>
      <c r="S1447" s="4">
        <f t="shared" si="9"/>
        <v>-0.3772812985</v>
      </c>
      <c r="T1447" s="4">
        <f t="shared" si="10"/>
        <v>39</v>
      </c>
      <c r="U1447" s="4">
        <f t="shared" si="1"/>
        <v>-0.3772812985</v>
      </c>
      <c r="V1447" s="4"/>
    </row>
    <row r="1448">
      <c r="A1448" s="1" t="s">
        <v>18163</v>
      </c>
      <c r="B1448" s="1" t="s">
        <v>18164</v>
      </c>
      <c r="C1448" s="1" t="s">
        <v>18165</v>
      </c>
      <c r="D1448" s="1" t="s">
        <v>18166</v>
      </c>
      <c r="E1448" s="1" t="s">
        <v>18167</v>
      </c>
      <c r="F1448" s="1">
        <v>222286.0</v>
      </c>
      <c r="G1448" s="1">
        <v>9942.0</v>
      </c>
      <c r="H1448" s="1">
        <v>1333.0</v>
      </c>
      <c r="I1448" s="1">
        <v>857000.0</v>
      </c>
      <c r="J1448" s="1" t="s">
        <v>2468</v>
      </c>
      <c r="K1448" s="5">
        <f t="shared" si="2"/>
        <v>0.2593768961</v>
      </c>
      <c r="L1448" s="6">
        <f t="shared" si="3"/>
        <v>77</v>
      </c>
      <c r="M1448" s="6">
        <f t="shared" si="4"/>
        <v>2886.831169</v>
      </c>
      <c r="N1448" s="7">
        <f t="shared" si="5"/>
        <v>0.003368531119</v>
      </c>
      <c r="O1448" s="7"/>
      <c r="P1448" s="4">
        <f t="shared" si="6"/>
        <v>1.92314418</v>
      </c>
      <c r="Q1448" s="4">
        <f t="shared" si="7"/>
        <v>8</v>
      </c>
      <c r="R1448" s="4">
        <f t="shared" si="8"/>
        <v>0</v>
      </c>
      <c r="S1448" s="4">
        <f t="shared" si="9"/>
        <v>1.92314418</v>
      </c>
      <c r="T1448" s="4">
        <f t="shared" si="10"/>
        <v>42</v>
      </c>
      <c r="U1448" s="4">
        <f t="shared" si="1"/>
        <v>1.92314418</v>
      </c>
      <c r="V1448" s="4"/>
    </row>
    <row r="1449">
      <c r="A1449" s="1" t="s">
        <v>18168</v>
      </c>
      <c r="B1449" s="1" t="s">
        <v>18169</v>
      </c>
      <c r="C1449" s="1" t="s">
        <v>18170</v>
      </c>
      <c r="D1449" s="1" t="s">
        <v>18166</v>
      </c>
      <c r="E1449" s="1" t="s">
        <v>18167</v>
      </c>
      <c r="F1449" s="1">
        <v>51927.0</v>
      </c>
      <c r="G1449" s="1">
        <v>4699.0</v>
      </c>
      <c r="H1449" s="1">
        <v>960.0</v>
      </c>
      <c r="I1449" s="1">
        <v>857000.0</v>
      </c>
      <c r="J1449" s="1" t="s">
        <v>2468</v>
      </c>
      <c r="K1449" s="5">
        <f t="shared" si="2"/>
        <v>0.0605915986</v>
      </c>
      <c r="L1449" s="6">
        <f t="shared" si="3"/>
        <v>128</v>
      </c>
      <c r="M1449" s="6">
        <f t="shared" si="4"/>
        <v>405.6796875</v>
      </c>
      <c r="N1449" s="7">
        <f t="shared" si="5"/>
        <v>0.0004733718641</v>
      </c>
      <c r="O1449" s="7"/>
      <c r="P1449" s="4">
        <f t="shared" si="6"/>
        <v>-0.1161001134</v>
      </c>
      <c r="Q1449" s="4">
        <f t="shared" si="7"/>
        <v>10</v>
      </c>
      <c r="R1449" s="4">
        <f t="shared" si="8"/>
        <v>1</v>
      </c>
      <c r="S1449" s="4">
        <f t="shared" si="9"/>
        <v>-0.1161001134</v>
      </c>
      <c r="T1449" s="4">
        <f t="shared" si="10"/>
        <v>58</v>
      </c>
      <c r="U1449" s="4">
        <f t="shared" si="1"/>
        <v>-0.1161001134</v>
      </c>
      <c r="V1449" s="4"/>
    </row>
    <row r="1450">
      <c r="A1450" s="1" t="s">
        <v>18171</v>
      </c>
      <c r="B1450" s="1" t="s">
        <v>18172</v>
      </c>
      <c r="C1450" s="1" t="s">
        <v>18173</v>
      </c>
      <c r="D1450" s="1" t="s">
        <v>18166</v>
      </c>
      <c r="E1450" s="1" t="s">
        <v>18167</v>
      </c>
      <c r="F1450" s="1">
        <v>995674.0</v>
      </c>
      <c r="G1450" s="1">
        <v>23563.0</v>
      </c>
      <c r="H1450" s="1">
        <v>2408.0</v>
      </c>
      <c r="I1450" s="1">
        <v>857000.0</v>
      </c>
      <c r="J1450" s="1" t="s">
        <v>2468</v>
      </c>
      <c r="K1450" s="5">
        <f t="shared" si="2"/>
        <v>1.161813302</v>
      </c>
      <c r="L1450" s="6">
        <f t="shared" si="3"/>
        <v>441</v>
      </c>
      <c r="M1450" s="6">
        <f t="shared" si="4"/>
        <v>2257.764172</v>
      </c>
      <c r="N1450" s="7">
        <f t="shared" si="5"/>
        <v>0.002634497284</v>
      </c>
      <c r="O1450" s="7"/>
      <c r="P1450" s="4">
        <f t="shared" si="6"/>
        <v>1.406117593</v>
      </c>
      <c r="Q1450" s="4">
        <f t="shared" si="7"/>
        <v>10</v>
      </c>
      <c r="R1450" s="4">
        <f t="shared" si="8"/>
        <v>0</v>
      </c>
      <c r="S1450" s="4">
        <f t="shared" si="9"/>
        <v>1.406117593</v>
      </c>
      <c r="T1450" s="4">
        <f t="shared" si="10"/>
        <v>45</v>
      </c>
      <c r="U1450" s="4">
        <f t="shared" si="1"/>
        <v>1.406117593</v>
      </c>
      <c r="V1450" s="4"/>
    </row>
    <row r="1451">
      <c r="A1451" s="1" t="s">
        <v>18174</v>
      </c>
      <c r="B1451" s="1" t="s">
        <v>18175</v>
      </c>
      <c r="C1451" s="1" t="s">
        <v>18176</v>
      </c>
      <c r="D1451" s="1" t="s">
        <v>18166</v>
      </c>
      <c r="E1451" s="1" t="s">
        <v>18167</v>
      </c>
      <c r="F1451" s="1">
        <v>333475.0</v>
      </c>
      <c r="G1451" s="1">
        <v>12750.0</v>
      </c>
      <c r="H1451" s="1">
        <v>1687.0</v>
      </c>
      <c r="I1451" s="1">
        <v>857000.0</v>
      </c>
      <c r="J1451" s="1" t="s">
        <v>2468</v>
      </c>
      <c r="K1451" s="5">
        <f t="shared" si="2"/>
        <v>0.3891190198</v>
      </c>
      <c r="L1451" s="6">
        <f t="shared" si="3"/>
        <v>512</v>
      </c>
      <c r="M1451" s="6">
        <f t="shared" si="4"/>
        <v>651.3183594</v>
      </c>
      <c r="N1451" s="7">
        <f t="shared" si="5"/>
        <v>0.0007599980856</v>
      </c>
      <c r="O1451" s="7"/>
      <c r="P1451" s="4">
        <f t="shared" si="6"/>
        <v>0.08578891422</v>
      </c>
      <c r="Q1451" s="4">
        <f t="shared" si="7"/>
        <v>9</v>
      </c>
      <c r="R1451" s="4">
        <f t="shared" si="8"/>
        <v>0</v>
      </c>
      <c r="S1451" s="4">
        <f t="shared" si="9"/>
        <v>0.08578891422</v>
      </c>
      <c r="T1451" s="4">
        <f t="shared" si="10"/>
        <v>61</v>
      </c>
      <c r="U1451" s="4">
        <f t="shared" si="1"/>
        <v>0.08578891422</v>
      </c>
      <c r="V1451" s="4"/>
    </row>
    <row r="1452">
      <c r="A1452" s="1" t="s">
        <v>18177</v>
      </c>
      <c r="B1452" s="1" t="s">
        <v>18178</v>
      </c>
      <c r="C1452" s="1" t="s">
        <v>18179</v>
      </c>
      <c r="D1452" s="1" t="s">
        <v>18166</v>
      </c>
      <c r="E1452" s="1" t="s">
        <v>18167</v>
      </c>
      <c r="F1452" s="1">
        <v>900169.0</v>
      </c>
      <c r="G1452" s="1">
        <v>39100.0</v>
      </c>
      <c r="H1452" s="1">
        <v>3662.0</v>
      </c>
      <c r="I1452" s="1">
        <v>857000.0</v>
      </c>
      <c r="J1452" s="1" t="s">
        <v>2468</v>
      </c>
      <c r="K1452" s="5">
        <f t="shared" si="2"/>
        <v>1.050372229</v>
      </c>
      <c r="L1452" s="6">
        <f t="shared" si="3"/>
        <v>538</v>
      </c>
      <c r="M1452" s="6">
        <f t="shared" si="4"/>
        <v>1673.17658</v>
      </c>
      <c r="N1452" s="7">
        <f t="shared" si="5"/>
        <v>0.001952364737</v>
      </c>
      <c r="O1452" s="7"/>
      <c r="P1452" s="4">
        <f t="shared" si="6"/>
        <v>0.925648375</v>
      </c>
      <c r="Q1452" s="4">
        <f t="shared" si="7"/>
        <v>9</v>
      </c>
      <c r="R1452" s="4">
        <f t="shared" si="8"/>
        <v>0</v>
      </c>
      <c r="S1452" s="4">
        <f t="shared" si="9"/>
        <v>0.925648375</v>
      </c>
      <c r="T1452" s="4">
        <f t="shared" si="10"/>
        <v>32</v>
      </c>
      <c r="U1452" s="4">
        <f t="shared" si="1"/>
        <v>0.925648375</v>
      </c>
      <c r="V1452" s="4"/>
    </row>
    <row r="1453">
      <c r="A1453" s="1" t="s">
        <v>18180</v>
      </c>
      <c r="B1453" s="1" t="s">
        <v>18181</v>
      </c>
      <c r="C1453" s="1" t="s">
        <v>18182</v>
      </c>
      <c r="D1453" s="1" t="s">
        <v>18166</v>
      </c>
      <c r="E1453" s="1" t="s">
        <v>18167</v>
      </c>
      <c r="F1453" s="1">
        <v>339733.0</v>
      </c>
      <c r="G1453" s="1">
        <v>9735.0</v>
      </c>
      <c r="H1453" s="1">
        <v>745.0</v>
      </c>
      <c r="I1453" s="1">
        <v>857000.0</v>
      </c>
      <c r="J1453" s="1" t="s">
        <v>2468</v>
      </c>
      <c r="K1453" s="5">
        <f t="shared" si="2"/>
        <v>0.3964212369</v>
      </c>
      <c r="L1453" s="6">
        <f t="shared" si="3"/>
        <v>575</v>
      </c>
      <c r="M1453" s="6">
        <f t="shared" si="4"/>
        <v>590.84</v>
      </c>
      <c r="N1453" s="7">
        <f t="shared" si="5"/>
        <v>0.000689428238</v>
      </c>
      <c r="O1453" s="7"/>
      <c r="P1453" s="4">
        <f t="shared" si="6"/>
        <v>0.03608209455</v>
      </c>
      <c r="Q1453" s="4">
        <f t="shared" si="7"/>
        <v>7</v>
      </c>
      <c r="R1453" s="4">
        <f t="shared" si="8"/>
        <v>0</v>
      </c>
      <c r="S1453" s="4">
        <f t="shared" si="9"/>
        <v>0.03608209455</v>
      </c>
      <c r="T1453" s="4">
        <f t="shared" si="10"/>
        <v>40</v>
      </c>
      <c r="U1453" s="4">
        <f t="shared" si="1"/>
        <v>0.03608209455</v>
      </c>
      <c r="V1453" s="4"/>
    </row>
    <row r="1454">
      <c r="A1454" s="1" t="s">
        <v>18183</v>
      </c>
      <c r="B1454" s="1" t="s">
        <v>18184</v>
      </c>
      <c r="C1454" s="1" t="s">
        <v>18185</v>
      </c>
      <c r="D1454" s="1" t="s">
        <v>18166</v>
      </c>
      <c r="E1454" s="1" t="s">
        <v>18167</v>
      </c>
      <c r="F1454" s="1">
        <v>2161925.0</v>
      </c>
      <c r="G1454" s="1">
        <v>54285.0</v>
      </c>
      <c r="H1454" s="1">
        <v>11743.0</v>
      </c>
      <c r="I1454" s="1">
        <v>857000.0</v>
      </c>
      <c r="J1454" s="1" t="s">
        <v>2468</v>
      </c>
      <c r="K1454" s="5">
        <f t="shared" si="2"/>
        <v>2.522666278</v>
      </c>
      <c r="L1454" s="6">
        <f t="shared" si="3"/>
        <v>616</v>
      </c>
      <c r="M1454" s="6">
        <f t="shared" si="4"/>
        <v>3509.618506</v>
      </c>
      <c r="N1454" s="7">
        <f t="shared" si="5"/>
        <v>0.004095237464</v>
      </c>
      <c r="O1454" s="7"/>
      <c r="P1454" s="4">
        <f t="shared" si="6"/>
        <v>2.435009552</v>
      </c>
      <c r="Q1454" s="4">
        <f t="shared" si="7"/>
        <v>8</v>
      </c>
      <c r="R1454" s="4">
        <f t="shared" si="8"/>
        <v>0</v>
      </c>
      <c r="S1454" s="4">
        <f t="shared" si="9"/>
        <v>2.435009552</v>
      </c>
      <c r="T1454" s="4">
        <f t="shared" si="10"/>
        <v>37</v>
      </c>
      <c r="U1454" s="4">
        <f t="shared" si="1"/>
        <v>2.435009552</v>
      </c>
      <c r="V1454" s="4"/>
    </row>
    <row r="1455">
      <c r="A1455" s="1" t="s">
        <v>18186</v>
      </c>
      <c r="B1455" s="1" t="s">
        <v>18187</v>
      </c>
      <c r="C1455" s="1" t="s">
        <v>18188</v>
      </c>
      <c r="D1455" s="1" t="s">
        <v>18166</v>
      </c>
      <c r="E1455" s="1" t="s">
        <v>18167</v>
      </c>
      <c r="F1455" s="1">
        <v>1007886.0</v>
      </c>
      <c r="G1455" s="1">
        <v>23112.0</v>
      </c>
      <c r="H1455" s="1">
        <v>1027.0</v>
      </c>
      <c r="I1455" s="1">
        <v>857000.0</v>
      </c>
      <c r="J1455" s="1" t="s">
        <v>2468</v>
      </c>
      <c r="K1455" s="5">
        <f t="shared" si="2"/>
        <v>1.176063011</v>
      </c>
      <c r="L1455" s="6">
        <f t="shared" si="3"/>
        <v>657</v>
      </c>
      <c r="M1455" s="6">
        <f t="shared" si="4"/>
        <v>1534.073059</v>
      </c>
      <c r="N1455" s="7">
        <f t="shared" si="5"/>
        <v>0.001790050244</v>
      </c>
      <c r="O1455" s="7"/>
      <c r="P1455" s="4">
        <f t="shared" si="6"/>
        <v>0.8113199825</v>
      </c>
      <c r="Q1455" s="4">
        <f t="shared" si="7"/>
        <v>5</v>
      </c>
      <c r="R1455" s="4">
        <f t="shared" si="8"/>
        <v>0</v>
      </c>
      <c r="S1455" s="4">
        <f t="shared" si="9"/>
        <v>0.8113199825</v>
      </c>
      <c r="T1455" s="4">
        <f t="shared" si="10"/>
        <v>27</v>
      </c>
      <c r="U1455" s="4">
        <f t="shared" si="1"/>
        <v>0.8113199825</v>
      </c>
      <c r="V1455" s="4"/>
    </row>
    <row r="1456">
      <c r="A1456" s="1" t="s">
        <v>18189</v>
      </c>
      <c r="B1456" s="1" t="s">
        <v>18190</v>
      </c>
      <c r="C1456" s="1" t="s">
        <v>18191</v>
      </c>
      <c r="D1456" s="1" t="s">
        <v>18166</v>
      </c>
      <c r="E1456" s="1" t="s">
        <v>18167</v>
      </c>
      <c r="F1456" s="1">
        <v>456701.0</v>
      </c>
      <c r="G1456" s="1">
        <v>17131.0</v>
      </c>
      <c r="H1456" s="1">
        <v>988.0</v>
      </c>
      <c r="I1456" s="1">
        <v>857000.0</v>
      </c>
      <c r="J1456" s="1" t="s">
        <v>2468</v>
      </c>
      <c r="K1456" s="5">
        <f t="shared" si="2"/>
        <v>0.5329066511</v>
      </c>
      <c r="L1456" s="6">
        <f t="shared" si="3"/>
        <v>682</v>
      </c>
      <c r="M1456" s="6">
        <f t="shared" si="4"/>
        <v>669.6495601</v>
      </c>
      <c r="N1456" s="7">
        <f t="shared" si="5"/>
        <v>0.0007813880515</v>
      </c>
      <c r="O1456" s="7"/>
      <c r="P1456" s="4">
        <f t="shared" si="6"/>
        <v>0.1008552239</v>
      </c>
      <c r="Q1456" s="4">
        <f t="shared" si="7"/>
        <v>7</v>
      </c>
      <c r="R1456" s="4">
        <f t="shared" si="8"/>
        <v>0</v>
      </c>
      <c r="S1456" s="4">
        <f t="shared" si="9"/>
        <v>0.1008552239</v>
      </c>
      <c r="T1456" s="4">
        <f t="shared" si="10"/>
        <v>44</v>
      </c>
      <c r="U1456" s="4">
        <f t="shared" si="1"/>
        <v>0.1008552239</v>
      </c>
      <c r="V1456" s="4"/>
    </row>
    <row r="1457">
      <c r="A1457" s="1" t="s">
        <v>18192</v>
      </c>
      <c r="B1457" s="1" t="s">
        <v>18193</v>
      </c>
      <c r="C1457" s="1" t="s">
        <v>18194</v>
      </c>
      <c r="D1457" s="1" t="s">
        <v>18166</v>
      </c>
      <c r="E1457" s="1" t="s">
        <v>18167</v>
      </c>
      <c r="F1457" s="1">
        <v>527209.0</v>
      </c>
      <c r="G1457" s="1">
        <v>22541.0</v>
      </c>
      <c r="H1457" s="1">
        <v>2163.0</v>
      </c>
      <c r="I1457" s="1">
        <v>857000.0</v>
      </c>
      <c r="J1457" s="1" t="s">
        <v>2468</v>
      </c>
      <c r="K1457" s="5">
        <f t="shared" si="2"/>
        <v>0.6151796966</v>
      </c>
      <c r="L1457" s="6">
        <f t="shared" si="3"/>
        <v>703</v>
      </c>
      <c r="M1457" s="6">
        <f t="shared" si="4"/>
        <v>749.9416785</v>
      </c>
      <c r="N1457" s="7">
        <f t="shared" si="5"/>
        <v>0.0008750778046</v>
      </c>
      <c r="O1457" s="7"/>
      <c r="P1457" s="4">
        <f t="shared" si="6"/>
        <v>0.1668468594</v>
      </c>
      <c r="Q1457" s="4">
        <f t="shared" si="7"/>
        <v>6</v>
      </c>
      <c r="R1457" s="4">
        <f t="shared" si="8"/>
        <v>0</v>
      </c>
      <c r="S1457" s="4">
        <f t="shared" si="9"/>
        <v>0.1668468594</v>
      </c>
      <c r="T1457" s="4">
        <f t="shared" si="10"/>
        <v>27</v>
      </c>
      <c r="U1457" s="4">
        <f t="shared" si="1"/>
        <v>0.1668468594</v>
      </c>
      <c r="V1457" s="4"/>
    </row>
    <row r="1458">
      <c r="A1458" s="1" t="s">
        <v>18195</v>
      </c>
      <c r="B1458" s="1" t="s">
        <v>18196</v>
      </c>
      <c r="C1458" s="1" t="s">
        <v>18197</v>
      </c>
      <c r="D1458" s="1" t="s">
        <v>18166</v>
      </c>
      <c r="E1458" s="1" t="s">
        <v>18167</v>
      </c>
      <c r="F1458" s="1">
        <v>896888.0</v>
      </c>
      <c r="G1458" s="1">
        <v>33246.0</v>
      </c>
      <c r="H1458" s="1">
        <v>2151.0</v>
      </c>
      <c r="I1458" s="1">
        <v>857000.0</v>
      </c>
      <c r="J1458" s="1" t="s">
        <v>2468</v>
      </c>
      <c r="K1458" s="5">
        <f t="shared" si="2"/>
        <v>1.046543757</v>
      </c>
      <c r="L1458" s="6">
        <f t="shared" si="3"/>
        <v>780</v>
      </c>
      <c r="M1458" s="6">
        <f t="shared" si="4"/>
        <v>1149.85641</v>
      </c>
      <c r="N1458" s="7">
        <f t="shared" si="5"/>
        <v>0.001341722766</v>
      </c>
      <c r="O1458" s="7"/>
      <c r="P1458" s="4">
        <f t="shared" si="6"/>
        <v>0.4955345034</v>
      </c>
      <c r="Q1458" s="4">
        <f t="shared" si="7"/>
        <v>7</v>
      </c>
      <c r="R1458" s="4">
        <f t="shared" si="8"/>
        <v>0</v>
      </c>
      <c r="S1458" s="4">
        <f t="shared" si="9"/>
        <v>0.4955345034</v>
      </c>
      <c r="T1458" s="4">
        <f t="shared" si="10"/>
        <v>31</v>
      </c>
      <c r="U1458" s="4">
        <f t="shared" si="1"/>
        <v>0.4955345034</v>
      </c>
      <c r="V1458" s="4"/>
    </row>
    <row r="1459">
      <c r="A1459" s="1" t="s">
        <v>18198</v>
      </c>
      <c r="B1459" s="1" t="s">
        <v>18199</v>
      </c>
      <c r="C1459" s="1" t="s">
        <v>18200</v>
      </c>
      <c r="D1459" s="1" t="s">
        <v>18166</v>
      </c>
      <c r="E1459" s="1" t="s">
        <v>18167</v>
      </c>
      <c r="F1459" s="1">
        <v>246756.0</v>
      </c>
      <c r="G1459" s="1">
        <v>11796.0</v>
      </c>
      <c r="H1459" s="1">
        <v>435.0</v>
      </c>
      <c r="I1459" s="1">
        <v>857000.0</v>
      </c>
      <c r="J1459" s="1" t="s">
        <v>2468</v>
      </c>
      <c r="K1459" s="5">
        <f t="shared" si="2"/>
        <v>0.2879299883</v>
      </c>
      <c r="L1459" s="6">
        <f t="shared" si="3"/>
        <v>917</v>
      </c>
      <c r="M1459" s="6">
        <f t="shared" si="4"/>
        <v>269.0905125</v>
      </c>
      <c r="N1459" s="7">
        <f t="shared" si="5"/>
        <v>0.0003139912632</v>
      </c>
      <c r="O1459" s="7"/>
      <c r="P1459" s="4">
        <f t="shared" si="6"/>
        <v>-0.2283619796</v>
      </c>
      <c r="Q1459" s="4">
        <f t="shared" si="7"/>
        <v>11</v>
      </c>
      <c r="R1459" s="4">
        <f t="shared" si="8"/>
        <v>0</v>
      </c>
      <c r="S1459" s="4">
        <f t="shared" si="9"/>
        <v>-0.2283619796</v>
      </c>
      <c r="T1459" s="4">
        <f t="shared" si="10"/>
        <v>51</v>
      </c>
      <c r="U1459" s="4">
        <f t="shared" si="1"/>
        <v>-0.2283619796</v>
      </c>
      <c r="V1459" s="4"/>
    </row>
    <row r="1460">
      <c r="A1460" s="1" t="s">
        <v>18201</v>
      </c>
      <c r="B1460" s="1" t="s">
        <v>18202</v>
      </c>
      <c r="C1460" s="1" t="s">
        <v>18203</v>
      </c>
      <c r="D1460" s="1" t="s">
        <v>18166</v>
      </c>
      <c r="E1460" s="1" t="s">
        <v>18167</v>
      </c>
      <c r="F1460" s="1">
        <v>391760.0</v>
      </c>
      <c r="G1460" s="1">
        <v>13930.0</v>
      </c>
      <c r="H1460" s="1">
        <v>1168.0</v>
      </c>
      <c r="I1460" s="1">
        <v>857000.0</v>
      </c>
      <c r="J1460" s="1" t="s">
        <v>2468</v>
      </c>
      <c r="K1460" s="5">
        <f t="shared" si="2"/>
        <v>0.4571295216</v>
      </c>
      <c r="L1460" s="6">
        <f t="shared" si="3"/>
        <v>966</v>
      </c>
      <c r="M1460" s="6">
        <f t="shared" si="4"/>
        <v>405.5486542</v>
      </c>
      <c r="N1460" s="7">
        <f t="shared" si="5"/>
        <v>0.0004732189664</v>
      </c>
      <c r="O1460" s="7"/>
      <c r="P1460" s="4">
        <f t="shared" si="6"/>
        <v>-0.1162078089</v>
      </c>
      <c r="Q1460" s="4">
        <f t="shared" si="7"/>
        <v>8</v>
      </c>
      <c r="R1460" s="4">
        <f t="shared" si="8"/>
        <v>0</v>
      </c>
      <c r="S1460" s="4">
        <f t="shared" si="9"/>
        <v>-0.1162078089</v>
      </c>
      <c r="T1460" s="4">
        <f t="shared" si="10"/>
        <v>36</v>
      </c>
      <c r="U1460" s="4">
        <f t="shared" si="1"/>
        <v>-0.1162078089</v>
      </c>
      <c r="V1460" s="4"/>
    </row>
    <row r="1461">
      <c r="A1461" s="1" t="s">
        <v>18204</v>
      </c>
      <c r="B1461" s="1" t="s">
        <v>18205</v>
      </c>
      <c r="C1461" s="1" t="s">
        <v>18206</v>
      </c>
      <c r="D1461" s="1" t="s">
        <v>18166</v>
      </c>
      <c r="E1461" s="1" t="s">
        <v>18167</v>
      </c>
      <c r="F1461" s="1">
        <v>197360.0</v>
      </c>
      <c r="G1461" s="1">
        <v>8613.0</v>
      </c>
      <c r="H1461" s="1">
        <v>816.0</v>
      </c>
      <c r="I1461" s="1">
        <v>857000.0</v>
      </c>
      <c r="J1461" s="1" t="s">
        <v>2468</v>
      </c>
      <c r="K1461" s="5">
        <f t="shared" si="2"/>
        <v>0.2302917153</v>
      </c>
      <c r="L1461" s="6">
        <f t="shared" si="3"/>
        <v>1017</v>
      </c>
      <c r="M1461" s="6">
        <f t="shared" si="4"/>
        <v>194.0609636</v>
      </c>
      <c r="N1461" s="7">
        <f t="shared" si="5"/>
        <v>0.0002264421979</v>
      </c>
      <c r="O1461" s="7"/>
      <c r="P1461" s="4">
        <f t="shared" si="6"/>
        <v>-0.2900283392</v>
      </c>
      <c r="Q1461" s="4">
        <f t="shared" si="7"/>
        <v>5</v>
      </c>
      <c r="R1461" s="4">
        <f t="shared" si="8"/>
        <v>0</v>
      </c>
      <c r="S1461" s="4">
        <f t="shared" si="9"/>
        <v>-0.2900283392</v>
      </c>
      <c r="T1461" s="4">
        <f t="shared" si="10"/>
        <v>34</v>
      </c>
      <c r="U1461" s="4">
        <f t="shared" si="1"/>
        <v>-0.2900283392</v>
      </c>
      <c r="V1461" s="4"/>
    </row>
    <row r="1462">
      <c r="A1462" s="1" t="s">
        <v>18207</v>
      </c>
      <c r="B1462" s="1" t="s">
        <v>18208</v>
      </c>
      <c r="C1462" s="1" t="s">
        <v>18209</v>
      </c>
      <c r="D1462" s="1" t="s">
        <v>18166</v>
      </c>
      <c r="E1462" s="1" t="s">
        <v>18167</v>
      </c>
      <c r="F1462" s="1">
        <v>2.7872629E7</v>
      </c>
      <c r="G1462" s="1">
        <v>1355188.0</v>
      </c>
      <c r="H1462" s="1">
        <v>14740.0</v>
      </c>
      <c r="I1462" s="1">
        <v>857000.0</v>
      </c>
      <c r="J1462" s="1" t="s">
        <v>2468</v>
      </c>
      <c r="K1462" s="5">
        <f t="shared" si="2"/>
        <v>32.52348775</v>
      </c>
      <c r="L1462" s="6">
        <f t="shared" si="3"/>
        <v>1044</v>
      </c>
      <c r="M1462" s="6">
        <f t="shared" si="4"/>
        <v>26697.9205</v>
      </c>
      <c r="N1462" s="7">
        <f t="shared" si="5"/>
        <v>0.03115276604</v>
      </c>
      <c r="O1462" s="7"/>
      <c r="P1462" s="4">
        <f t="shared" si="6"/>
        <v>21.4933431</v>
      </c>
      <c r="Q1462" s="4">
        <f t="shared" si="7"/>
        <v>3</v>
      </c>
      <c r="R1462" s="4">
        <f t="shared" si="8"/>
        <v>0</v>
      </c>
      <c r="S1462" s="4">
        <f t="shared" si="9"/>
        <v>21.4933431</v>
      </c>
      <c r="T1462" s="4">
        <f t="shared" si="10"/>
        <v>18</v>
      </c>
      <c r="U1462" s="4">
        <f t="shared" si="1"/>
        <v>21.4933431</v>
      </c>
      <c r="V1462" s="4"/>
    </row>
    <row r="1463">
      <c r="A1463" s="1" t="s">
        <v>18210</v>
      </c>
      <c r="B1463" s="1" t="s">
        <v>18211</v>
      </c>
      <c r="C1463" s="1" t="s">
        <v>18212</v>
      </c>
      <c r="D1463" s="1" t="s">
        <v>18166</v>
      </c>
      <c r="E1463" s="1" t="s">
        <v>18167</v>
      </c>
      <c r="F1463" s="1">
        <v>287003.0</v>
      </c>
      <c r="G1463" s="1">
        <v>11546.0</v>
      </c>
      <c r="H1463" s="1">
        <v>1865.0</v>
      </c>
      <c r="I1463" s="1">
        <v>857000.0</v>
      </c>
      <c r="J1463" s="1" t="s">
        <v>2468</v>
      </c>
      <c r="K1463" s="5">
        <f t="shared" si="2"/>
        <v>0.3348926488</v>
      </c>
      <c r="L1463" s="6">
        <f t="shared" si="3"/>
        <v>1056</v>
      </c>
      <c r="M1463" s="6">
        <f t="shared" si="4"/>
        <v>271.7831439</v>
      </c>
      <c r="N1463" s="7">
        <f t="shared" si="5"/>
        <v>0.0003171331901</v>
      </c>
      <c r="O1463" s="7"/>
      <c r="P1463" s="4">
        <f t="shared" si="6"/>
        <v>-0.2261489212</v>
      </c>
      <c r="Q1463" s="4">
        <f t="shared" si="7"/>
        <v>6</v>
      </c>
      <c r="R1463" s="4">
        <f t="shared" si="8"/>
        <v>1</v>
      </c>
      <c r="S1463" s="4">
        <f t="shared" si="9"/>
        <v>-0.2261489212</v>
      </c>
      <c r="T1463" s="4">
        <f t="shared" si="10"/>
        <v>28</v>
      </c>
      <c r="U1463" s="4">
        <f t="shared" si="1"/>
        <v>-0.2261489212</v>
      </c>
      <c r="V1463" s="4"/>
    </row>
    <row r="1464">
      <c r="A1464" s="1" t="s">
        <v>18213</v>
      </c>
      <c r="B1464" s="1" t="s">
        <v>18214</v>
      </c>
      <c r="C1464" s="1" t="s">
        <v>18215</v>
      </c>
      <c r="D1464" s="1" t="s">
        <v>18166</v>
      </c>
      <c r="E1464" s="1" t="s">
        <v>18167</v>
      </c>
      <c r="F1464" s="1">
        <v>4622828.0</v>
      </c>
      <c r="G1464" s="1">
        <v>210287.0</v>
      </c>
      <c r="H1464" s="1">
        <v>2286.0</v>
      </c>
      <c r="I1464" s="1">
        <v>857000.0</v>
      </c>
      <c r="J1464" s="1" t="s">
        <v>2468</v>
      </c>
      <c r="K1464" s="5">
        <f t="shared" si="2"/>
        <v>5.394198366</v>
      </c>
      <c r="L1464" s="6">
        <f t="shared" si="3"/>
        <v>1072</v>
      </c>
      <c r="M1464" s="6">
        <f t="shared" si="4"/>
        <v>4312.339552</v>
      </c>
      <c r="N1464" s="7">
        <f t="shared" si="5"/>
        <v>0.005031901461</v>
      </c>
      <c r="O1464" s="7"/>
      <c r="P1464" s="4">
        <f t="shared" si="6"/>
        <v>3.094761415</v>
      </c>
      <c r="Q1464" s="4">
        <f t="shared" si="7"/>
        <v>5</v>
      </c>
      <c r="R1464" s="4">
        <f t="shared" si="8"/>
        <v>0</v>
      </c>
      <c r="S1464" s="4">
        <f t="shared" si="9"/>
        <v>3.094761415</v>
      </c>
      <c r="T1464" s="4">
        <f t="shared" si="10"/>
        <v>28</v>
      </c>
      <c r="U1464" s="4">
        <f t="shared" si="1"/>
        <v>3.094761415</v>
      </c>
      <c r="V1464" s="4"/>
    </row>
    <row r="1465">
      <c r="A1465" s="1" t="s">
        <v>18216</v>
      </c>
      <c r="B1465" s="1" t="s">
        <v>18217</v>
      </c>
      <c r="C1465" s="1" t="s">
        <v>18218</v>
      </c>
      <c r="D1465" s="1" t="s">
        <v>18166</v>
      </c>
      <c r="E1465" s="1" t="s">
        <v>18167</v>
      </c>
      <c r="F1465" s="1">
        <v>2669871.0</v>
      </c>
      <c r="G1465" s="1">
        <v>130466.0</v>
      </c>
      <c r="H1465" s="1">
        <v>4329.0</v>
      </c>
      <c r="I1465" s="1">
        <v>857000.0</v>
      </c>
      <c r="J1465" s="1" t="s">
        <v>2468</v>
      </c>
      <c r="K1465" s="5">
        <f t="shared" si="2"/>
        <v>3.115368728</v>
      </c>
      <c r="L1465" s="6">
        <f t="shared" si="3"/>
        <v>1092</v>
      </c>
      <c r="M1465" s="6">
        <f t="shared" si="4"/>
        <v>2444.936813</v>
      </c>
      <c r="N1465" s="7">
        <f t="shared" si="5"/>
        <v>0.002852901766</v>
      </c>
      <c r="O1465" s="7"/>
      <c r="P1465" s="4">
        <f t="shared" si="6"/>
        <v>1.559953722</v>
      </c>
      <c r="Q1465" s="4">
        <f t="shared" si="7"/>
        <v>6</v>
      </c>
      <c r="R1465" s="4">
        <f t="shared" si="8"/>
        <v>0</v>
      </c>
      <c r="S1465" s="4">
        <f t="shared" si="9"/>
        <v>1.559953722</v>
      </c>
      <c r="T1465" s="4">
        <f t="shared" si="10"/>
        <v>28</v>
      </c>
      <c r="U1465" s="4">
        <f t="shared" si="1"/>
        <v>1.559953722</v>
      </c>
      <c r="V1465" s="4"/>
    </row>
    <row r="1466">
      <c r="A1466" s="1" t="s">
        <v>18219</v>
      </c>
      <c r="B1466" s="1" t="s">
        <v>18220</v>
      </c>
      <c r="C1466" s="1" t="s">
        <v>18221</v>
      </c>
      <c r="D1466" s="1" t="s">
        <v>18166</v>
      </c>
      <c r="E1466" s="1" t="s">
        <v>18167</v>
      </c>
      <c r="F1466" s="1">
        <v>1078999.0</v>
      </c>
      <c r="G1466" s="1">
        <v>36419.0</v>
      </c>
      <c r="H1466" s="1">
        <v>2306.0</v>
      </c>
      <c r="I1466" s="1">
        <v>857000.0</v>
      </c>
      <c r="J1466" s="1" t="s">
        <v>2468</v>
      </c>
      <c r="K1466" s="5">
        <f t="shared" si="2"/>
        <v>1.259042007</v>
      </c>
      <c r="L1466" s="6">
        <f t="shared" si="3"/>
        <v>1096</v>
      </c>
      <c r="M1466" s="6">
        <f t="shared" si="4"/>
        <v>984.4881387</v>
      </c>
      <c r="N1466" s="7">
        <f t="shared" si="5"/>
        <v>0.001148760955</v>
      </c>
      <c r="O1466" s="7"/>
      <c r="P1466" s="4">
        <f t="shared" si="6"/>
        <v>0.3596192613</v>
      </c>
      <c r="Q1466" s="4">
        <f t="shared" si="7"/>
        <v>10</v>
      </c>
      <c r="R1466" s="4">
        <f t="shared" si="8"/>
        <v>0</v>
      </c>
      <c r="S1466" s="4">
        <f t="shared" si="9"/>
        <v>0.3596192613</v>
      </c>
      <c r="T1466" s="4">
        <f t="shared" si="10"/>
        <v>54</v>
      </c>
      <c r="U1466" s="4">
        <f t="shared" si="1"/>
        <v>0.3596192613</v>
      </c>
      <c r="V1466" s="4"/>
    </row>
    <row r="1467">
      <c r="A1467" s="1" t="s">
        <v>18222</v>
      </c>
      <c r="B1467" s="1" t="s">
        <v>18223</v>
      </c>
      <c r="C1467" s="1" t="s">
        <v>18224</v>
      </c>
      <c r="D1467" s="1" t="s">
        <v>18166</v>
      </c>
      <c r="E1467" s="1" t="s">
        <v>18167</v>
      </c>
      <c r="F1467" s="1">
        <v>5453566.0</v>
      </c>
      <c r="G1467" s="1">
        <v>262411.0</v>
      </c>
      <c r="H1467" s="1">
        <v>2505.0</v>
      </c>
      <c r="I1467" s="1">
        <v>857000.0</v>
      </c>
      <c r="J1467" s="1" t="s">
        <v>2468</v>
      </c>
      <c r="K1467" s="5">
        <f t="shared" si="2"/>
        <v>6.363554259</v>
      </c>
      <c r="L1467" s="6">
        <f t="shared" si="3"/>
        <v>1114</v>
      </c>
      <c r="M1467" s="6">
        <f t="shared" si="4"/>
        <v>4895.481149</v>
      </c>
      <c r="N1467" s="7">
        <f t="shared" si="5"/>
        <v>0.005712346732</v>
      </c>
      <c r="O1467" s="7"/>
      <c r="P1467" s="4">
        <f t="shared" si="6"/>
        <v>3.574042177</v>
      </c>
      <c r="Q1467" s="4">
        <f t="shared" si="7"/>
        <v>4</v>
      </c>
      <c r="R1467" s="4">
        <f t="shared" si="8"/>
        <v>0</v>
      </c>
      <c r="S1467" s="4">
        <f t="shared" si="9"/>
        <v>3.574042177</v>
      </c>
      <c r="T1467" s="4">
        <f t="shared" si="10"/>
        <v>33</v>
      </c>
      <c r="U1467" s="4">
        <f t="shared" si="1"/>
        <v>3.574042177</v>
      </c>
      <c r="V1467" s="4"/>
    </row>
    <row r="1468">
      <c r="A1468" s="1" t="s">
        <v>18225</v>
      </c>
      <c r="B1468" s="1" t="s">
        <v>18226</v>
      </c>
      <c r="C1468" s="1" t="s">
        <v>18227</v>
      </c>
      <c r="D1468" s="1" t="s">
        <v>18166</v>
      </c>
      <c r="E1468" s="1" t="s">
        <v>18167</v>
      </c>
      <c r="F1468" s="1">
        <v>925642.0</v>
      </c>
      <c r="G1468" s="1">
        <v>62234.0</v>
      </c>
      <c r="H1468" s="1">
        <v>1969.0</v>
      </c>
      <c r="I1468" s="1">
        <v>857000.0</v>
      </c>
      <c r="J1468" s="1" t="s">
        <v>2468</v>
      </c>
      <c r="K1468" s="5">
        <f t="shared" si="2"/>
        <v>1.080095683</v>
      </c>
      <c r="L1468" s="6">
        <f t="shared" si="3"/>
        <v>1119</v>
      </c>
      <c r="M1468" s="6">
        <f t="shared" si="4"/>
        <v>827.204647</v>
      </c>
      <c r="N1468" s="7">
        <f t="shared" si="5"/>
        <v>0.0009652329603</v>
      </c>
      <c r="O1468" s="7"/>
      <c r="P1468" s="4">
        <f t="shared" si="6"/>
        <v>0.2303488539</v>
      </c>
      <c r="Q1468" s="4">
        <f t="shared" si="7"/>
        <v>3</v>
      </c>
      <c r="R1468" s="4">
        <f t="shared" si="8"/>
        <v>0</v>
      </c>
      <c r="S1468" s="4">
        <f t="shared" si="9"/>
        <v>0.2303488539</v>
      </c>
      <c r="T1468" s="4">
        <f t="shared" si="10"/>
        <v>18</v>
      </c>
      <c r="U1468" s="4">
        <f t="shared" si="1"/>
        <v>0.2303488539</v>
      </c>
      <c r="V1468" s="4"/>
    </row>
    <row r="1469">
      <c r="A1469" s="1" t="s">
        <v>18228</v>
      </c>
      <c r="B1469" s="1" t="s">
        <v>18229</v>
      </c>
      <c r="C1469" s="1" t="s">
        <v>18230</v>
      </c>
      <c r="D1469" s="1" t="s">
        <v>18166</v>
      </c>
      <c r="E1469" s="1" t="s">
        <v>18167</v>
      </c>
      <c r="F1469" s="1">
        <v>645036.0</v>
      </c>
      <c r="G1469" s="1">
        <v>39060.0</v>
      </c>
      <c r="H1469" s="1">
        <v>969.0</v>
      </c>
      <c r="I1469" s="1">
        <v>857000.0</v>
      </c>
      <c r="J1469" s="1" t="s">
        <v>2468</v>
      </c>
      <c r="K1469" s="5">
        <f t="shared" si="2"/>
        <v>0.7526674446</v>
      </c>
      <c r="L1469" s="6">
        <f t="shared" si="3"/>
        <v>1122</v>
      </c>
      <c r="M1469" s="6">
        <f t="shared" si="4"/>
        <v>574.8983957</v>
      </c>
      <c r="N1469" s="7">
        <f t="shared" si="5"/>
        <v>0.0006708265994</v>
      </c>
      <c r="O1469" s="7"/>
      <c r="P1469" s="4">
        <f t="shared" si="6"/>
        <v>0.02297978064</v>
      </c>
      <c r="Q1469" s="4">
        <f t="shared" si="7"/>
        <v>6</v>
      </c>
      <c r="R1469" s="4">
        <f t="shared" si="8"/>
        <v>0</v>
      </c>
      <c r="S1469" s="4">
        <f t="shared" si="9"/>
        <v>0.02297978064</v>
      </c>
      <c r="T1469" s="4">
        <f t="shared" si="10"/>
        <v>32</v>
      </c>
      <c r="U1469" s="4">
        <f t="shared" si="1"/>
        <v>0.02297978064</v>
      </c>
      <c r="V1469" s="4"/>
    </row>
    <row r="1470">
      <c r="A1470" s="1" t="s">
        <v>18231</v>
      </c>
      <c r="B1470" s="1" t="s">
        <v>18232</v>
      </c>
      <c r="C1470" s="1" t="s">
        <v>18233</v>
      </c>
      <c r="D1470" s="1" t="s">
        <v>18166</v>
      </c>
      <c r="E1470" s="1" t="s">
        <v>18167</v>
      </c>
      <c r="F1470" s="1">
        <v>474444.0</v>
      </c>
      <c r="G1470" s="1">
        <v>15647.0</v>
      </c>
      <c r="H1470" s="1">
        <v>2174.0</v>
      </c>
      <c r="I1470" s="1">
        <v>857000.0</v>
      </c>
      <c r="J1470" s="1" t="s">
        <v>2468</v>
      </c>
      <c r="K1470" s="5">
        <f t="shared" si="2"/>
        <v>0.5536102684</v>
      </c>
      <c r="L1470" s="6">
        <f t="shared" si="3"/>
        <v>1131</v>
      </c>
      <c r="M1470" s="6">
        <f t="shared" si="4"/>
        <v>419.4907162</v>
      </c>
      <c r="N1470" s="7">
        <f t="shared" si="5"/>
        <v>0.0004894874168</v>
      </c>
      <c r="O1470" s="7"/>
      <c r="P1470" s="4">
        <f t="shared" si="6"/>
        <v>-0.1047489075</v>
      </c>
      <c r="Q1470" s="4">
        <f t="shared" si="7"/>
        <v>4</v>
      </c>
      <c r="R1470" s="4">
        <f t="shared" si="8"/>
        <v>0</v>
      </c>
      <c r="S1470" s="4">
        <f t="shared" si="9"/>
        <v>-0.1047489075</v>
      </c>
      <c r="T1470" s="4">
        <f t="shared" si="10"/>
        <v>18</v>
      </c>
      <c r="U1470" s="4">
        <f t="shared" si="1"/>
        <v>-0.1047489075</v>
      </c>
      <c r="V1470" s="4"/>
    </row>
    <row r="1471">
      <c r="A1471" s="1" t="s">
        <v>18234</v>
      </c>
      <c r="B1471" s="1" t="s">
        <v>18235</v>
      </c>
      <c r="C1471" s="1" t="s">
        <v>18236</v>
      </c>
      <c r="D1471" s="1" t="s">
        <v>18166</v>
      </c>
      <c r="E1471" s="1" t="s">
        <v>18167</v>
      </c>
      <c r="F1471" s="1">
        <v>551472.0</v>
      </c>
      <c r="G1471" s="1">
        <v>36366.0</v>
      </c>
      <c r="H1471" s="1">
        <v>529.0</v>
      </c>
      <c r="I1471" s="1">
        <v>857000.0</v>
      </c>
      <c r="J1471" s="1" t="s">
        <v>2468</v>
      </c>
      <c r="K1471" s="5">
        <f t="shared" si="2"/>
        <v>0.6434912485</v>
      </c>
      <c r="L1471" s="6">
        <f t="shared" si="3"/>
        <v>1166</v>
      </c>
      <c r="M1471" s="6">
        <f t="shared" si="4"/>
        <v>472.9605489</v>
      </c>
      <c r="N1471" s="7">
        <f t="shared" si="5"/>
        <v>0.0005518792869</v>
      </c>
      <c r="O1471" s="7"/>
      <c r="P1471" s="4">
        <f t="shared" si="6"/>
        <v>-0.06080235602</v>
      </c>
      <c r="Q1471" s="4">
        <f t="shared" si="7"/>
        <v>5</v>
      </c>
      <c r="R1471" s="4">
        <f t="shared" si="8"/>
        <v>0</v>
      </c>
      <c r="S1471" s="4">
        <f t="shared" si="9"/>
        <v>-0.06080235602</v>
      </c>
      <c r="T1471" s="4">
        <f t="shared" si="10"/>
        <v>17</v>
      </c>
      <c r="U1471" s="4">
        <f t="shared" si="1"/>
        <v>-0.06080235602</v>
      </c>
      <c r="V1471" s="4"/>
    </row>
    <row r="1472">
      <c r="A1472" s="1" t="s">
        <v>18237</v>
      </c>
      <c r="B1472" s="1" t="s">
        <v>18238</v>
      </c>
      <c r="C1472" s="1" t="s">
        <v>18239</v>
      </c>
      <c r="D1472" s="1" t="s">
        <v>18166</v>
      </c>
      <c r="E1472" s="1" t="s">
        <v>18167</v>
      </c>
      <c r="F1472" s="1">
        <v>394081.0</v>
      </c>
      <c r="G1472" s="1">
        <v>15609.0</v>
      </c>
      <c r="H1472" s="1">
        <v>1838.0</v>
      </c>
      <c r="I1472" s="1">
        <v>857000.0</v>
      </c>
      <c r="J1472" s="1" t="s">
        <v>2468</v>
      </c>
      <c r="K1472" s="5">
        <f t="shared" si="2"/>
        <v>0.4598378063</v>
      </c>
      <c r="L1472" s="6">
        <f t="shared" si="3"/>
        <v>1170</v>
      </c>
      <c r="M1472" s="6">
        <f t="shared" si="4"/>
        <v>336.8213675</v>
      </c>
      <c r="N1472" s="7">
        <f t="shared" si="5"/>
        <v>0.0003930237661</v>
      </c>
      <c r="O1472" s="7"/>
      <c r="P1472" s="4">
        <f t="shared" si="6"/>
        <v>-0.172694375</v>
      </c>
      <c r="Q1472" s="4">
        <f t="shared" si="7"/>
        <v>10</v>
      </c>
      <c r="R1472" s="4">
        <f t="shared" si="8"/>
        <v>0</v>
      </c>
      <c r="S1472" s="4">
        <f t="shared" si="9"/>
        <v>-0.172694375</v>
      </c>
      <c r="T1472" s="4">
        <f t="shared" si="10"/>
        <v>51</v>
      </c>
      <c r="U1472" s="4">
        <f t="shared" si="1"/>
        <v>-0.172694375</v>
      </c>
      <c r="V1472" s="4"/>
    </row>
    <row r="1473">
      <c r="A1473" s="1" t="s">
        <v>18240</v>
      </c>
      <c r="B1473" s="1" t="s">
        <v>18241</v>
      </c>
      <c r="C1473" s="1" t="s">
        <v>18242</v>
      </c>
      <c r="D1473" s="1" t="s">
        <v>18166</v>
      </c>
      <c r="E1473" s="1" t="s">
        <v>18167</v>
      </c>
      <c r="F1473" s="1">
        <v>799313.0</v>
      </c>
      <c r="G1473" s="1">
        <v>20267.0</v>
      </c>
      <c r="H1473" s="1">
        <v>1973.0</v>
      </c>
      <c r="I1473" s="1">
        <v>857000.0</v>
      </c>
      <c r="J1473" s="1" t="s">
        <v>2468</v>
      </c>
      <c r="K1473" s="5">
        <f t="shared" si="2"/>
        <v>0.9326872812</v>
      </c>
      <c r="L1473" s="6">
        <f t="shared" si="3"/>
        <v>1197</v>
      </c>
      <c r="M1473" s="6">
        <f t="shared" si="4"/>
        <v>667.7635756</v>
      </c>
      <c r="N1473" s="7">
        <f t="shared" si="5"/>
        <v>0.0007791873694</v>
      </c>
      <c r="O1473" s="7"/>
      <c r="P1473" s="4">
        <f t="shared" si="6"/>
        <v>0.09930514393</v>
      </c>
      <c r="Q1473" s="4">
        <f t="shared" si="7"/>
        <v>10</v>
      </c>
      <c r="R1473" s="4">
        <f t="shared" si="8"/>
        <v>1</v>
      </c>
      <c r="S1473" s="4">
        <f t="shared" si="9"/>
        <v>0.09930514393</v>
      </c>
      <c r="T1473" s="4">
        <f t="shared" si="10"/>
        <v>43</v>
      </c>
      <c r="U1473" s="4">
        <f t="shared" si="1"/>
        <v>0.09930514393</v>
      </c>
      <c r="V1473" s="4"/>
    </row>
    <row r="1474">
      <c r="A1474" s="1" t="s">
        <v>18243</v>
      </c>
      <c r="B1474" s="1" t="s">
        <v>18244</v>
      </c>
      <c r="C1474" s="1" t="s">
        <v>18245</v>
      </c>
      <c r="D1474" s="1" t="s">
        <v>18166</v>
      </c>
      <c r="E1474" s="1" t="s">
        <v>18167</v>
      </c>
      <c r="F1474" s="1">
        <v>1732134.0</v>
      </c>
      <c r="G1474" s="1">
        <v>102998.0</v>
      </c>
      <c r="H1474" s="1">
        <v>2073.0</v>
      </c>
      <c r="I1474" s="1">
        <v>857000.0</v>
      </c>
      <c r="J1474" s="1" t="s">
        <v>2468</v>
      </c>
      <c r="K1474" s="5">
        <f t="shared" si="2"/>
        <v>2.02115986</v>
      </c>
      <c r="L1474" s="6">
        <f t="shared" si="3"/>
        <v>1202</v>
      </c>
      <c r="M1474" s="6">
        <f t="shared" si="4"/>
        <v>1441.043261</v>
      </c>
      <c r="N1474" s="7">
        <f t="shared" si="5"/>
        <v>0.001681497388</v>
      </c>
      <c r="O1474" s="7"/>
      <c r="P1474" s="4">
        <f t="shared" si="6"/>
        <v>0.7348593204</v>
      </c>
      <c r="Q1474" s="4">
        <f t="shared" si="7"/>
        <v>5</v>
      </c>
      <c r="R1474" s="4">
        <f t="shared" si="8"/>
        <v>0</v>
      </c>
      <c r="S1474" s="4">
        <f t="shared" si="9"/>
        <v>0.7348593204</v>
      </c>
      <c r="T1474" s="4">
        <f t="shared" si="10"/>
        <v>36</v>
      </c>
      <c r="U1474" s="4">
        <f t="shared" si="1"/>
        <v>0.7348593204</v>
      </c>
      <c r="V1474" s="4"/>
    </row>
    <row r="1475">
      <c r="A1475" s="1" t="s">
        <v>18246</v>
      </c>
      <c r="B1475" s="1" t="s">
        <v>18247</v>
      </c>
      <c r="C1475" s="1" t="s">
        <v>18248</v>
      </c>
      <c r="D1475" s="1" t="s">
        <v>18166</v>
      </c>
      <c r="E1475" s="1" t="s">
        <v>18167</v>
      </c>
      <c r="F1475" s="1">
        <v>151337.0</v>
      </c>
      <c r="G1475" s="1">
        <v>9648.0</v>
      </c>
      <c r="H1475" s="1">
        <v>245.0</v>
      </c>
      <c r="I1475" s="1">
        <v>857000.0</v>
      </c>
      <c r="J1475" s="1" t="s">
        <v>2468</v>
      </c>
      <c r="K1475" s="5">
        <f t="shared" si="2"/>
        <v>0.1765892649</v>
      </c>
      <c r="L1475" s="6">
        <f t="shared" si="3"/>
        <v>1208</v>
      </c>
      <c r="M1475" s="6">
        <f t="shared" si="4"/>
        <v>125.2789735</v>
      </c>
      <c r="N1475" s="7">
        <f t="shared" si="5"/>
        <v>0.0001461831663</v>
      </c>
      <c r="O1475" s="7"/>
      <c r="P1475" s="4">
        <f t="shared" si="6"/>
        <v>-0.3465598658</v>
      </c>
      <c r="Q1475" s="4">
        <f t="shared" si="7"/>
        <v>8</v>
      </c>
      <c r="R1475" s="4">
        <f t="shared" si="8"/>
        <v>0</v>
      </c>
      <c r="S1475" s="4">
        <f t="shared" si="9"/>
        <v>-0.3465598658</v>
      </c>
      <c r="T1475" s="4">
        <f t="shared" si="10"/>
        <v>37</v>
      </c>
      <c r="U1475" s="4">
        <f t="shared" si="1"/>
        <v>-0.3465598658</v>
      </c>
      <c r="V1475" s="4"/>
    </row>
    <row r="1476">
      <c r="A1476" s="1" t="s">
        <v>18249</v>
      </c>
      <c r="B1476" s="1" t="s">
        <v>18250</v>
      </c>
      <c r="C1476" s="1" t="s">
        <v>18251</v>
      </c>
      <c r="D1476" s="1" t="s">
        <v>18166</v>
      </c>
      <c r="E1476" s="1" t="s">
        <v>18167</v>
      </c>
      <c r="F1476" s="1">
        <v>227968.0</v>
      </c>
      <c r="G1476" s="1">
        <v>11204.0</v>
      </c>
      <c r="H1476" s="1">
        <v>430.0</v>
      </c>
      <c r="I1476" s="1">
        <v>857000.0</v>
      </c>
      <c r="J1476" s="1" t="s">
        <v>2468</v>
      </c>
      <c r="K1476" s="5">
        <f t="shared" si="2"/>
        <v>0.2660070012</v>
      </c>
      <c r="L1476" s="6">
        <f t="shared" si="3"/>
        <v>1214</v>
      </c>
      <c r="M1476" s="6">
        <f t="shared" si="4"/>
        <v>187.7825371</v>
      </c>
      <c r="N1476" s="7">
        <f t="shared" si="5"/>
        <v>0.0002191161459</v>
      </c>
      <c r="O1476" s="7"/>
      <c r="P1476" s="4">
        <f t="shared" si="6"/>
        <v>-0.2951885423</v>
      </c>
      <c r="Q1476" s="4">
        <f t="shared" si="7"/>
        <v>2</v>
      </c>
      <c r="R1476" s="4">
        <f t="shared" si="8"/>
        <v>0</v>
      </c>
      <c r="S1476" s="4">
        <f t="shared" si="9"/>
        <v>-0.2951885423</v>
      </c>
      <c r="T1476" s="4">
        <f t="shared" si="10"/>
        <v>15</v>
      </c>
      <c r="U1476" s="4">
        <f t="shared" si="1"/>
        <v>-0.2951885423</v>
      </c>
      <c r="V1476" s="4"/>
    </row>
    <row r="1477">
      <c r="A1477" s="1" t="s">
        <v>18252</v>
      </c>
      <c r="B1477" s="1" t="s">
        <v>18253</v>
      </c>
      <c r="C1477" s="1" t="s">
        <v>18254</v>
      </c>
      <c r="D1477" s="1" t="s">
        <v>18166</v>
      </c>
      <c r="E1477" s="1" t="s">
        <v>18167</v>
      </c>
      <c r="F1477" s="1">
        <v>212477.0</v>
      </c>
      <c r="G1477" s="1">
        <v>15889.0</v>
      </c>
      <c r="H1477" s="1">
        <v>371.0</v>
      </c>
      <c r="I1477" s="1">
        <v>857000.0</v>
      </c>
      <c r="J1477" s="1" t="s">
        <v>2468</v>
      </c>
      <c r="K1477" s="5">
        <f t="shared" si="2"/>
        <v>0.2479311552</v>
      </c>
      <c r="L1477" s="6">
        <f t="shared" si="3"/>
        <v>1216</v>
      </c>
      <c r="M1477" s="6">
        <f t="shared" si="4"/>
        <v>174.734375</v>
      </c>
      <c r="N1477" s="7">
        <f t="shared" si="5"/>
        <v>0.0002038907526</v>
      </c>
      <c r="O1477" s="7"/>
      <c r="P1477" s="4">
        <f t="shared" si="6"/>
        <v>-0.3059127525</v>
      </c>
      <c r="Q1477" s="4">
        <f t="shared" si="7"/>
        <v>6</v>
      </c>
      <c r="R1477" s="4">
        <f t="shared" si="8"/>
        <v>0</v>
      </c>
      <c r="S1477" s="4">
        <f t="shared" si="9"/>
        <v>-0.3059127525</v>
      </c>
      <c r="T1477" s="4">
        <f t="shared" si="10"/>
        <v>22</v>
      </c>
      <c r="U1477" s="4">
        <f t="shared" si="1"/>
        <v>-0.3059127525</v>
      </c>
      <c r="V1477" s="4"/>
    </row>
    <row r="1478">
      <c r="A1478" s="1" t="s">
        <v>18255</v>
      </c>
      <c r="B1478" s="1" t="s">
        <v>18256</v>
      </c>
      <c r="C1478" s="1" t="s">
        <v>18257</v>
      </c>
      <c r="D1478" s="1" t="s">
        <v>18166</v>
      </c>
      <c r="E1478" s="1" t="s">
        <v>18167</v>
      </c>
      <c r="F1478" s="1">
        <v>183165.0</v>
      </c>
      <c r="G1478" s="1">
        <v>13240.0</v>
      </c>
      <c r="H1478" s="1">
        <v>457.0</v>
      </c>
      <c r="I1478" s="1">
        <v>857000.0</v>
      </c>
      <c r="J1478" s="1" t="s">
        <v>2468</v>
      </c>
      <c r="K1478" s="5">
        <f t="shared" si="2"/>
        <v>0.2137281214</v>
      </c>
      <c r="L1478" s="6">
        <f t="shared" si="3"/>
        <v>1218</v>
      </c>
      <c r="M1478" s="6">
        <f t="shared" si="4"/>
        <v>150.3817734</v>
      </c>
      <c r="N1478" s="7">
        <f t="shared" si="5"/>
        <v>0.0001754746481</v>
      </c>
      <c r="O1478" s="7"/>
      <c r="P1478" s="4">
        <f t="shared" si="6"/>
        <v>-0.3259280173</v>
      </c>
      <c r="Q1478" s="4">
        <f t="shared" si="7"/>
        <v>6</v>
      </c>
      <c r="R1478" s="4">
        <f t="shared" si="8"/>
        <v>0</v>
      </c>
      <c r="S1478" s="4">
        <f t="shared" si="9"/>
        <v>-0.3259280173</v>
      </c>
      <c r="T1478" s="4">
        <f t="shared" si="10"/>
        <v>47</v>
      </c>
      <c r="U1478" s="4">
        <f t="shared" si="1"/>
        <v>-0.3259280173</v>
      </c>
      <c r="V1478" s="4"/>
    </row>
    <row r="1479">
      <c r="A1479" s="1" t="s">
        <v>18258</v>
      </c>
      <c r="B1479" s="1" t="s">
        <v>18259</v>
      </c>
      <c r="C1479" s="1" t="s">
        <v>18260</v>
      </c>
      <c r="D1479" s="1" t="s">
        <v>18166</v>
      </c>
      <c r="E1479" s="1" t="s">
        <v>18167</v>
      </c>
      <c r="F1479" s="1">
        <v>1777201.0</v>
      </c>
      <c r="G1479" s="1">
        <v>94870.0</v>
      </c>
      <c r="H1479" s="1">
        <v>1523.0</v>
      </c>
      <c r="I1479" s="1">
        <v>857000.0</v>
      </c>
      <c r="J1479" s="1" t="s">
        <v>2468</v>
      </c>
      <c r="K1479" s="5">
        <f t="shared" si="2"/>
        <v>2.073746791</v>
      </c>
      <c r="L1479" s="6">
        <f t="shared" si="3"/>
        <v>1220</v>
      </c>
      <c r="M1479" s="6">
        <f t="shared" si="4"/>
        <v>1456.722131</v>
      </c>
      <c r="N1479" s="7">
        <f t="shared" si="5"/>
        <v>0.001699792452</v>
      </c>
      <c r="O1479" s="7"/>
      <c r="P1479" s="4">
        <f t="shared" si="6"/>
        <v>0.7477456944</v>
      </c>
      <c r="Q1479" s="4">
        <f t="shared" si="7"/>
        <v>6</v>
      </c>
      <c r="R1479" s="4">
        <f t="shared" si="8"/>
        <v>0</v>
      </c>
      <c r="S1479" s="4">
        <f t="shared" si="9"/>
        <v>0.7477456944</v>
      </c>
      <c r="T1479" s="4">
        <f t="shared" si="10"/>
        <v>40</v>
      </c>
      <c r="U1479" s="4">
        <f t="shared" si="1"/>
        <v>0.7477456944</v>
      </c>
      <c r="V1479" s="4"/>
    </row>
    <row r="1480">
      <c r="A1480" s="1" t="s">
        <v>18261</v>
      </c>
      <c r="B1480" s="1" t="s">
        <v>18262</v>
      </c>
      <c r="C1480" s="1" t="s">
        <v>18263</v>
      </c>
      <c r="D1480" s="1" t="s">
        <v>18166</v>
      </c>
      <c r="E1480" s="1" t="s">
        <v>18167</v>
      </c>
      <c r="F1480" s="1">
        <v>512167.0</v>
      </c>
      <c r="G1480" s="1">
        <v>18169.0</v>
      </c>
      <c r="H1480" s="1">
        <v>1242.0</v>
      </c>
      <c r="I1480" s="1">
        <v>857000.0</v>
      </c>
      <c r="J1480" s="1" t="s">
        <v>2468</v>
      </c>
      <c r="K1480" s="5">
        <f t="shared" si="2"/>
        <v>0.5976277713</v>
      </c>
      <c r="L1480" s="6">
        <f t="shared" si="3"/>
        <v>1252</v>
      </c>
      <c r="M1480" s="6">
        <f t="shared" si="4"/>
        <v>409.0790735</v>
      </c>
      <c r="N1480" s="7">
        <f t="shared" si="5"/>
        <v>0.0004773384755</v>
      </c>
      <c r="O1480" s="7"/>
      <c r="P1480" s="4">
        <f t="shared" si="6"/>
        <v>-0.1133061774</v>
      </c>
      <c r="Q1480" s="4">
        <f t="shared" si="7"/>
        <v>4</v>
      </c>
      <c r="R1480" s="4">
        <f t="shared" si="8"/>
        <v>0</v>
      </c>
      <c r="S1480" s="4">
        <f t="shared" si="9"/>
        <v>-0.1133061774</v>
      </c>
      <c r="T1480" s="4">
        <f t="shared" si="10"/>
        <v>39</v>
      </c>
      <c r="U1480" s="4">
        <f t="shared" si="1"/>
        <v>-0.1133061774</v>
      </c>
      <c r="V1480" s="4"/>
    </row>
    <row r="1481">
      <c r="A1481" s="1" t="s">
        <v>18264</v>
      </c>
      <c r="B1481" s="1" t="s">
        <v>18265</v>
      </c>
      <c r="C1481" s="1" t="s">
        <v>18266</v>
      </c>
      <c r="D1481" s="1" t="s">
        <v>18166</v>
      </c>
      <c r="E1481" s="1" t="s">
        <v>18167</v>
      </c>
      <c r="F1481" s="1">
        <v>57143.0</v>
      </c>
      <c r="G1481" s="1">
        <v>1880.0</v>
      </c>
      <c r="H1481" s="1">
        <v>246.0</v>
      </c>
      <c r="I1481" s="1">
        <v>857000.0</v>
      </c>
      <c r="J1481" s="1" t="s">
        <v>2468</v>
      </c>
      <c r="K1481" s="5">
        <f t="shared" si="2"/>
        <v>0.06667794632</v>
      </c>
      <c r="L1481" s="6">
        <f t="shared" si="3"/>
        <v>1285</v>
      </c>
      <c r="M1481" s="6">
        <f t="shared" si="4"/>
        <v>44.4692607</v>
      </c>
      <c r="N1481" s="7">
        <f t="shared" si="5"/>
        <v>0.00005188945239</v>
      </c>
      <c r="O1481" s="7"/>
      <c r="P1481" s="4">
        <f t="shared" si="6"/>
        <v>-0.4129769092</v>
      </c>
      <c r="Q1481" s="4">
        <f t="shared" si="7"/>
        <v>17</v>
      </c>
      <c r="R1481" s="4">
        <f t="shared" si="8"/>
        <v>0</v>
      </c>
      <c r="S1481" s="4">
        <f t="shared" si="9"/>
        <v>-0.4129769092</v>
      </c>
      <c r="T1481" s="4">
        <f t="shared" si="10"/>
        <v>81</v>
      </c>
      <c r="U1481" s="4">
        <f t="shared" si="1"/>
        <v>-0.4129769092</v>
      </c>
      <c r="V1481" s="4"/>
    </row>
    <row r="1482">
      <c r="A1482" s="1" t="s">
        <v>18267</v>
      </c>
      <c r="B1482" s="1" t="s">
        <v>18268</v>
      </c>
      <c r="C1482" s="1" t="s">
        <v>18269</v>
      </c>
      <c r="D1482" s="1" t="s">
        <v>18166</v>
      </c>
      <c r="E1482" s="1" t="s">
        <v>18167</v>
      </c>
      <c r="F1482" s="1">
        <v>223145.0</v>
      </c>
      <c r="G1482" s="1">
        <v>13437.0</v>
      </c>
      <c r="H1482" s="1">
        <v>489.0</v>
      </c>
      <c r="I1482" s="1">
        <v>857000.0</v>
      </c>
      <c r="J1482" s="1" t="s">
        <v>2468</v>
      </c>
      <c r="K1482" s="5">
        <f t="shared" si="2"/>
        <v>0.2603792299</v>
      </c>
      <c r="L1482" s="6">
        <f t="shared" si="3"/>
        <v>1291</v>
      </c>
      <c r="M1482" s="6">
        <f t="shared" si="4"/>
        <v>172.8466305</v>
      </c>
      <c r="N1482" s="7">
        <f t="shared" si="5"/>
        <v>0.0002016880169</v>
      </c>
      <c r="O1482" s="7"/>
      <c r="P1482" s="4">
        <f t="shared" si="6"/>
        <v>-0.307464279</v>
      </c>
      <c r="Q1482" s="4">
        <f t="shared" si="7"/>
        <v>6</v>
      </c>
      <c r="R1482" s="4">
        <f t="shared" si="8"/>
        <v>0</v>
      </c>
      <c r="S1482" s="4">
        <f t="shared" si="9"/>
        <v>-0.307464279</v>
      </c>
      <c r="T1482" s="4">
        <f t="shared" si="10"/>
        <v>28</v>
      </c>
      <c r="U1482" s="4">
        <f t="shared" si="1"/>
        <v>-0.307464279</v>
      </c>
      <c r="V1482" s="4"/>
    </row>
    <row r="1483">
      <c r="A1483" s="1" t="s">
        <v>18270</v>
      </c>
      <c r="B1483" s="1" t="s">
        <v>18271</v>
      </c>
      <c r="C1483" s="1" t="s">
        <v>18272</v>
      </c>
      <c r="D1483" s="1" t="s">
        <v>18166</v>
      </c>
      <c r="E1483" s="1" t="s">
        <v>18167</v>
      </c>
      <c r="F1483" s="1">
        <v>1168639.0</v>
      </c>
      <c r="G1483" s="1">
        <v>28186.0</v>
      </c>
      <c r="H1483" s="1">
        <v>1963.0</v>
      </c>
      <c r="I1483" s="1">
        <v>857000.0</v>
      </c>
      <c r="J1483" s="1" t="s">
        <v>2468</v>
      </c>
      <c r="K1483" s="5">
        <f t="shared" si="2"/>
        <v>1.36363944</v>
      </c>
      <c r="L1483" s="6">
        <f t="shared" si="3"/>
        <v>1291</v>
      </c>
      <c r="M1483" s="6">
        <f t="shared" si="4"/>
        <v>905.2199845</v>
      </c>
      <c r="N1483" s="7">
        <f t="shared" si="5"/>
        <v>0.001056266026</v>
      </c>
      <c r="O1483" s="7"/>
      <c r="P1483" s="4">
        <f t="shared" si="6"/>
        <v>0.2944692161</v>
      </c>
      <c r="Q1483" s="4">
        <f t="shared" si="7"/>
        <v>6</v>
      </c>
      <c r="R1483" s="4">
        <f t="shared" si="8"/>
        <v>0</v>
      </c>
      <c r="S1483" s="4">
        <f t="shared" si="9"/>
        <v>0.2944692161</v>
      </c>
      <c r="T1483" s="4">
        <f t="shared" si="10"/>
        <v>28</v>
      </c>
      <c r="U1483" s="4">
        <f t="shared" si="1"/>
        <v>0.2944692161</v>
      </c>
      <c r="V1483" s="4"/>
    </row>
    <row r="1484">
      <c r="A1484" s="1" t="s">
        <v>18273</v>
      </c>
      <c r="B1484" s="1" t="s">
        <v>18274</v>
      </c>
      <c r="C1484" s="1" t="s">
        <v>18275</v>
      </c>
      <c r="D1484" s="1" t="s">
        <v>18166</v>
      </c>
      <c r="E1484" s="1" t="s">
        <v>18167</v>
      </c>
      <c r="F1484" s="1">
        <v>812381.0</v>
      </c>
      <c r="G1484" s="1">
        <v>31991.0</v>
      </c>
      <c r="H1484" s="1">
        <v>2787.0</v>
      </c>
      <c r="I1484" s="1">
        <v>857000.0</v>
      </c>
      <c r="J1484" s="1" t="s">
        <v>2468</v>
      </c>
      <c r="K1484" s="5">
        <f t="shared" si="2"/>
        <v>0.9479358226</v>
      </c>
      <c r="L1484" s="6">
        <f t="shared" si="3"/>
        <v>1307</v>
      </c>
      <c r="M1484" s="6">
        <f t="shared" si="4"/>
        <v>621.5615914</v>
      </c>
      <c r="N1484" s="7">
        <f t="shared" si="5"/>
        <v>0.0007252760693</v>
      </c>
      <c r="O1484" s="7"/>
      <c r="P1484" s="4">
        <f t="shared" si="6"/>
        <v>0.06133199585</v>
      </c>
      <c r="Q1484" s="4">
        <f t="shared" si="7"/>
        <v>5</v>
      </c>
      <c r="R1484" s="4">
        <f t="shared" si="8"/>
        <v>0</v>
      </c>
      <c r="S1484" s="4">
        <f t="shared" si="9"/>
        <v>0.06133199585</v>
      </c>
      <c r="T1484" s="4">
        <f t="shared" si="10"/>
        <v>21</v>
      </c>
      <c r="U1484" s="4">
        <f t="shared" si="1"/>
        <v>0.06133199585</v>
      </c>
      <c r="V1484" s="4"/>
    </row>
    <row r="1485">
      <c r="A1485" s="1" t="s">
        <v>18276</v>
      </c>
      <c r="B1485" s="1" t="s">
        <v>18277</v>
      </c>
      <c r="C1485" s="1" t="s">
        <v>18278</v>
      </c>
      <c r="D1485" s="1" t="s">
        <v>18166</v>
      </c>
      <c r="E1485" s="1" t="s">
        <v>18167</v>
      </c>
      <c r="F1485" s="1">
        <v>237653.0</v>
      </c>
      <c r="G1485" s="1">
        <v>12054.0</v>
      </c>
      <c r="H1485" s="1">
        <v>1368.0</v>
      </c>
      <c r="I1485" s="1">
        <v>857000.0</v>
      </c>
      <c r="J1485" s="1" t="s">
        <v>2468</v>
      </c>
      <c r="K1485" s="5">
        <f t="shared" si="2"/>
        <v>0.2773080513</v>
      </c>
      <c r="L1485" s="6">
        <f t="shared" si="3"/>
        <v>1320</v>
      </c>
      <c r="M1485" s="6">
        <f t="shared" si="4"/>
        <v>180.0401515</v>
      </c>
      <c r="N1485" s="7">
        <f t="shared" si="5"/>
        <v>0.0002100818571</v>
      </c>
      <c r="O1485" s="7"/>
      <c r="P1485" s="4">
        <f t="shared" si="6"/>
        <v>-0.301551965</v>
      </c>
      <c r="Q1485" s="4">
        <f t="shared" si="7"/>
        <v>7</v>
      </c>
      <c r="R1485" s="4">
        <f t="shared" si="8"/>
        <v>0</v>
      </c>
      <c r="S1485" s="4">
        <f t="shared" si="9"/>
        <v>-0.301551965</v>
      </c>
      <c r="T1485" s="4">
        <f t="shared" si="10"/>
        <v>51</v>
      </c>
      <c r="U1485" s="4">
        <f t="shared" si="1"/>
        <v>-0.301551965</v>
      </c>
      <c r="V1485" s="4"/>
    </row>
    <row r="1486">
      <c r="A1486" s="1" t="s">
        <v>18279</v>
      </c>
      <c r="B1486" s="1" t="s">
        <v>18280</v>
      </c>
      <c r="C1486" s="1" t="s">
        <v>18281</v>
      </c>
      <c r="D1486" s="1" t="s">
        <v>18166</v>
      </c>
      <c r="E1486" s="1" t="s">
        <v>18167</v>
      </c>
      <c r="F1486" s="1">
        <v>513002.0</v>
      </c>
      <c r="G1486" s="1">
        <v>24499.0</v>
      </c>
      <c r="H1486" s="1">
        <v>3009.0</v>
      </c>
      <c r="I1486" s="1">
        <v>857000.0</v>
      </c>
      <c r="J1486" s="1" t="s">
        <v>2468</v>
      </c>
      <c r="K1486" s="5">
        <f t="shared" si="2"/>
        <v>0.5986021004</v>
      </c>
      <c r="L1486" s="6">
        <f t="shared" si="3"/>
        <v>1379</v>
      </c>
      <c r="M1486" s="6">
        <f t="shared" si="4"/>
        <v>372.0101523</v>
      </c>
      <c r="N1486" s="7">
        <f t="shared" si="5"/>
        <v>0.0004340841917</v>
      </c>
      <c r="O1486" s="7"/>
      <c r="P1486" s="4">
        <f t="shared" si="6"/>
        <v>-0.1437729129</v>
      </c>
      <c r="Q1486" s="4">
        <f t="shared" si="7"/>
        <v>9</v>
      </c>
      <c r="R1486" s="4">
        <f t="shared" si="8"/>
        <v>0</v>
      </c>
      <c r="S1486" s="4">
        <f t="shared" si="9"/>
        <v>-0.1437729129</v>
      </c>
      <c r="T1486" s="4">
        <f t="shared" si="10"/>
        <v>33</v>
      </c>
      <c r="U1486" s="4">
        <f t="shared" si="1"/>
        <v>-0.1437729129</v>
      </c>
      <c r="V1486" s="4"/>
    </row>
    <row r="1487">
      <c r="A1487" s="1" t="s">
        <v>18282</v>
      </c>
      <c r="B1487" s="1" t="s">
        <v>18283</v>
      </c>
      <c r="C1487" s="1" t="s">
        <v>18284</v>
      </c>
      <c r="D1487" s="1" t="s">
        <v>18166</v>
      </c>
      <c r="E1487" s="1" t="s">
        <v>18167</v>
      </c>
      <c r="F1487" s="1">
        <v>1292410.0</v>
      </c>
      <c r="G1487" s="1">
        <v>46527.0</v>
      </c>
      <c r="H1487" s="1">
        <v>3277.0</v>
      </c>
      <c r="I1487" s="1">
        <v>857000.0</v>
      </c>
      <c r="J1487" s="1" t="s">
        <v>2468</v>
      </c>
      <c r="K1487" s="5">
        <f t="shared" si="2"/>
        <v>1.508063011</v>
      </c>
      <c r="L1487" s="6">
        <f t="shared" si="3"/>
        <v>1414</v>
      </c>
      <c r="M1487" s="6">
        <f t="shared" si="4"/>
        <v>914.009901</v>
      </c>
      <c r="N1487" s="7">
        <f t="shared" si="5"/>
        <v>0.001066522638</v>
      </c>
      <c r="O1487" s="7"/>
      <c r="P1487" s="4">
        <f t="shared" si="6"/>
        <v>0.3016935985</v>
      </c>
      <c r="Q1487" s="4">
        <f t="shared" si="7"/>
        <v>6</v>
      </c>
      <c r="R1487" s="4">
        <f t="shared" si="8"/>
        <v>0</v>
      </c>
      <c r="S1487" s="4">
        <f t="shared" si="9"/>
        <v>0.3016935985</v>
      </c>
      <c r="T1487" s="4">
        <f t="shared" si="10"/>
        <v>23</v>
      </c>
      <c r="U1487" s="4">
        <f t="shared" si="1"/>
        <v>0.3016935985</v>
      </c>
      <c r="V1487" s="4"/>
    </row>
    <row r="1488">
      <c r="A1488" s="1" t="s">
        <v>18285</v>
      </c>
      <c r="B1488" s="1" t="s">
        <v>18286</v>
      </c>
      <c r="C1488" s="1" t="s">
        <v>18287</v>
      </c>
      <c r="D1488" s="1" t="s">
        <v>18166</v>
      </c>
      <c r="E1488" s="1" t="s">
        <v>18167</v>
      </c>
      <c r="F1488" s="1">
        <v>121544.0</v>
      </c>
      <c r="G1488" s="1">
        <v>7094.0</v>
      </c>
      <c r="H1488" s="1">
        <v>1117.0</v>
      </c>
      <c r="I1488" s="1">
        <v>857000.0</v>
      </c>
      <c r="J1488" s="1" t="s">
        <v>2468</v>
      </c>
      <c r="K1488" s="5">
        <f t="shared" si="2"/>
        <v>0.1418249708</v>
      </c>
      <c r="L1488" s="6">
        <f t="shared" si="3"/>
        <v>1464</v>
      </c>
      <c r="M1488" s="6">
        <f t="shared" si="4"/>
        <v>83.02185792</v>
      </c>
      <c r="N1488" s="7">
        <f t="shared" si="5"/>
        <v>0.00009687498007</v>
      </c>
      <c r="O1488" s="7"/>
      <c r="P1488" s="4">
        <f t="shared" si="6"/>
        <v>-0.3812907488</v>
      </c>
      <c r="Q1488" s="4">
        <f t="shared" si="7"/>
        <v>5</v>
      </c>
      <c r="R1488" s="4">
        <f t="shared" si="8"/>
        <v>0</v>
      </c>
      <c r="S1488" s="4">
        <f t="shared" si="9"/>
        <v>-0.3812907488</v>
      </c>
      <c r="T1488" s="4">
        <f t="shared" si="10"/>
        <v>28</v>
      </c>
      <c r="U1488" s="4">
        <f t="shared" si="1"/>
        <v>-0.3812907488</v>
      </c>
      <c r="V1488" s="4"/>
    </row>
    <row r="1489">
      <c r="A1489" s="1" t="s">
        <v>18288</v>
      </c>
      <c r="B1489" s="1" t="s">
        <v>18289</v>
      </c>
      <c r="C1489" s="1" t="s">
        <v>18290</v>
      </c>
      <c r="D1489" s="1" t="s">
        <v>18166</v>
      </c>
      <c r="E1489" s="1" t="s">
        <v>18167</v>
      </c>
      <c r="F1489" s="1">
        <v>241317.0</v>
      </c>
      <c r="G1489" s="1">
        <v>12285.0</v>
      </c>
      <c r="H1489" s="1">
        <v>1708.0</v>
      </c>
      <c r="I1489" s="1">
        <v>857000.0</v>
      </c>
      <c r="J1489" s="1" t="s">
        <v>2468</v>
      </c>
      <c r="K1489" s="5">
        <f t="shared" si="2"/>
        <v>0.2815834306</v>
      </c>
      <c r="L1489" s="6">
        <f t="shared" si="3"/>
        <v>1471</v>
      </c>
      <c r="M1489" s="6">
        <f t="shared" si="4"/>
        <v>164.0496261</v>
      </c>
      <c r="N1489" s="7">
        <f t="shared" si="5"/>
        <v>0.0001914231343</v>
      </c>
      <c r="O1489" s="7"/>
      <c r="P1489" s="4">
        <f t="shared" si="6"/>
        <v>-0.3146944869</v>
      </c>
      <c r="Q1489" s="4">
        <f t="shared" si="7"/>
        <v>6</v>
      </c>
      <c r="R1489" s="4">
        <f t="shared" si="8"/>
        <v>0</v>
      </c>
      <c r="S1489" s="4">
        <f t="shared" si="9"/>
        <v>-0.3146944869</v>
      </c>
      <c r="T1489" s="4">
        <f t="shared" si="10"/>
        <v>29</v>
      </c>
      <c r="U1489" s="4">
        <f t="shared" si="1"/>
        <v>-0.3146944869</v>
      </c>
      <c r="V1489" s="4"/>
    </row>
    <row r="1490">
      <c r="A1490" s="1" t="s">
        <v>18291</v>
      </c>
      <c r="B1490" s="1" t="s">
        <v>18292</v>
      </c>
      <c r="C1490" s="1" t="s">
        <v>18293</v>
      </c>
      <c r="D1490" s="1" t="s">
        <v>18166</v>
      </c>
      <c r="E1490" s="1" t="s">
        <v>18167</v>
      </c>
      <c r="F1490" s="1">
        <v>131595.0</v>
      </c>
      <c r="G1490" s="1">
        <v>7803.0</v>
      </c>
      <c r="H1490" s="1">
        <v>1198.0</v>
      </c>
      <c r="I1490" s="1">
        <v>857000.0</v>
      </c>
      <c r="J1490" s="1" t="s">
        <v>2468</v>
      </c>
      <c r="K1490" s="5">
        <f t="shared" si="2"/>
        <v>0.1535530922</v>
      </c>
      <c r="L1490" s="6">
        <f t="shared" si="3"/>
        <v>1491</v>
      </c>
      <c r="M1490" s="6">
        <f t="shared" si="4"/>
        <v>88.25955734</v>
      </c>
      <c r="N1490" s="7">
        <f t="shared" si="5"/>
        <v>0.000102986648</v>
      </c>
      <c r="O1490" s="7"/>
      <c r="P1490" s="4">
        <f t="shared" si="6"/>
        <v>-0.3769859134</v>
      </c>
      <c r="Q1490" s="4">
        <f t="shared" si="7"/>
        <v>10</v>
      </c>
      <c r="R1490" s="4">
        <f t="shared" si="8"/>
        <v>1</v>
      </c>
      <c r="S1490" s="4">
        <f t="shared" si="9"/>
        <v>-0.3769859134</v>
      </c>
      <c r="T1490" s="4">
        <f t="shared" si="10"/>
        <v>34</v>
      </c>
      <c r="U1490" s="4">
        <f t="shared" si="1"/>
        <v>-0.3769859134</v>
      </c>
      <c r="V1490" s="4"/>
    </row>
    <row r="1491">
      <c r="A1491" s="1" t="s">
        <v>18294</v>
      </c>
      <c r="B1491" s="1" t="s">
        <v>18295</v>
      </c>
      <c r="C1491" s="1" t="s">
        <v>18296</v>
      </c>
      <c r="D1491" s="1" t="s">
        <v>18166</v>
      </c>
      <c r="E1491" s="1" t="s">
        <v>18167</v>
      </c>
      <c r="F1491" s="1">
        <v>490503.0</v>
      </c>
      <c r="G1491" s="1">
        <v>22213.0</v>
      </c>
      <c r="H1491" s="1">
        <v>1790.0</v>
      </c>
      <c r="I1491" s="1">
        <v>857000.0</v>
      </c>
      <c r="J1491" s="1" t="s">
        <v>2468</v>
      </c>
      <c r="K1491" s="5">
        <f t="shared" si="2"/>
        <v>0.5723488915</v>
      </c>
      <c r="L1491" s="6">
        <f t="shared" si="3"/>
        <v>1497</v>
      </c>
      <c r="M1491" s="6">
        <f t="shared" si="4"/>
        <v>327.6573146</v>
      </c>
      <c r="N1491" s="7">
        <f t="shared" si="5"/>
        <v>0.0003823305888</v>
      </c>
      <c r="O1491" s="7"/>
      <c r="P1491" s="4">
        <f t="shared" si="6"/>
        <v>-0.180226258</v>
      </c>
      <c r="Q1491" s="4">
        <f t="shared" si="7"/>
        <v>5</v>
      </c>
      <c r="R1491" s="4">
        <f t="shared" si="8"/>
        <v>0</v>
      </c>
      <c r="S1491" s="4">
        <f t="shared" si="9"/>
        <v>-0.180226258</v>
      </c>
      <c r="T1491" s="4">
        <f t="shared" si="10"/>
        <v>26</v>
      </c>
      <c r="U1491" s="4">
        <f t="shared" si="1"/>
        <v>-0.180226258</v>
      </c>
      <c r="V1491" s="4"/>
    </row>
    <row r="1492">
      <c r="A1492" s="1" t="s">
        <v>18297</v>
      </c>
      <c r="B1492" s="1" t="s">
        <v>18298</v>
      </c>
      <c r="C1492" s="1" t="s">
        <v>18299</v>
      </c>
      <c r="D1492" s="1" t="s">
        <v>18166</v>
      </c>
      <c r="E1492" s="1" t="s">
        <v>18167</v>
      </c>
      <c r="F1492" s="1">
        <v>1020460.0</v>
      </c>
      <c r="G1492" s="1">
        <v>34575.0</v>
      </c>
      <c r="H1492" s="1">
        <v>947.0</v>
      </c>
      <c r="I1492" s="1">
        <v>857000.0</v>
      </c>
      <c r="J1492" s="1" t="s">
        <v>2468</v>
      </c>
      <c r="K1492" s="5">
        <f t="shared" si="2"/>
        <v>1.190735123</v>
      </c>
      <c r="L1492" s="6">
        <f t="shared" si="3"/>
        <v>1526</v>
      </c>
      <c r="M1492" s="6">
        <f t="shared" si="4"/>
        <v>668.7155963</v>
      </c>
      <c r="N1492" s="7">
        <f t="shared" si="5"/>
        <v>0.0007802982454</v>
      </c>
      <c r="O1492" s="7"/>
      <c r="P1492" s="4">
        <f t="shared" si="6"/>
        <v>0.1000876043</v>
      </c>
      <c r="Q1492" s="4">
        <f t="shared" si="7"/>
        <v>7</v>
      </c>
      <c r="R1492" s="4">
        <f t="shared" si="8"/>
        <v>0</v>
      </c>
      <c r="S1492" s="4">
        <f t="shared" si="9"/>
        <v>0.1000876043</v>
      </c>
      <c r="T1492" s="4">
        <f t="shared" si="10"/>
        <v>45</v>
      </c>
      <c r="U1492" s="4">
        <f t="shared" si="1"/>
        <v>0.1000876043</v>
      </c>
      <c r="V1492" s="4"/>
    </row>
    <row r="1493">
      <c r="A1493" s="1" t="s">
        <v>18300</v>
      </c>
      <c r="B1493" s="1" t="s">
        <v>18301</v>
      </c>
      <c r="C1493" s="1" t="s">
        <v>18302</v>
      </c>
      <c r="D1493" s="1" t="s">
        <v>18166</v>
      </c>
      <c r="E1493" s="1" t="s">
        <v>18167</v>
      </c>
      <c r="F1493" s="1">
        <v>352940.0</v>
      </c>
      <c r="G1493" s="1">
        <v>19931.0</v>
      </c>
      <c r="H1493" s="1">
        <v>1432.0</v>
      </c>
      <c r="I1493" s="1">
        <v>857000.0</v>
      </c>
      <c r="J1493" s="1" t="s">
        <v>2468</v>
      </c>
      <c r="K1493" s="5">
        <f t="shared" si="2"/>
        <v>0.411831972</v>
      </c>
      <c r="L1493" s="6">
        <f t="shared" si="3"/>
        <v>1618</v>
      </c>
      <c r="M1493" s="6">
        <f t="shared" si="4"/>
        <v>218.1334981</v>
      </c>
      <c r="N1493" s="7">
        <f t="shared" si="5"/>
        <v>0.0002545315031</v>
      </c>
      <c r="O1493" s="7"/>
      <c r="P1493" s="4">
        <f t="shared" si="6"/>
        <v>-0.27024326</v>
      </c>
      <c r="Q1493" s="4">
        <f t="shared" si="7"/>
        <v>3</v>
      </c>
      <c r="R1493" s="4">
        <f t="shared" si="8"/>
        <v>0</v>
      </c>
      <c r="S1493" s="4">
        <f t="shared" si="9"/>
        <v>-0.27024326</v>
      </c>
      <c r="T1493" s="4">
        <f t="shared" si="10"/>
        <v>18</v>
      </c>
      <c r="U1493" s="4">
        <f t="shared" si="1"/>
        <v>-0.27024326</v>
      </c>
      <c r="V1493" s="4"/>
    </row>
    <row r="1494">
      <c r="A1494" s="1" t="s">
        <v>18303</v>
      </c>
      <c r="B1494" s="1" t="s">
        <v>18304</v>
      </c>
      <c r="C1494" s="1" t="s">
        <v>18305</v>
      </c>
      <c r="D1494" s="1" t="s">
        <v>18166</v>
      </c>
      <c r="E1494" s="1" t="s">
        <v>18167</v>
      </c>
      <c r="F1494" s="1">
        <v>739297.0</v>
      </c>
      <c r="G1494" s="1">
        <v>33299.0</v>
      </c>
      <c r="H1494" s="1">
        <v>3150.0</v>
      </c>
      <c r="I1494" s="1">
        <v>857000.0</v>
      </c>
      <c r="J1494" s="1" t="s">
        <v>2468</v>
      </c>
      <c r="K1494" s="5">
        <f t="shared" si="2"/>
        <v>0.8626569428</v>
      </c>
      <c r="L1494" s="6">
        <f t="shared" si="3"/>
        <v>1637</v>
      </c>
      <c r="M1494" s="6">
        <f t="shared" si="4"/>
        <v>451.6169823</v>
      </c>
      <c r="N1494" s="7">
        <f t="shared" si="5"/>
        <v>0.0005269743084</v>
      </c>
      <c r="O1494" s="7"/>
      <c r="P1494" s="4">
        <f t="shared" si="6"/>
        <v>-0.07834451204</v>
      </c>
      <c r="Q1494" s="4">
        <f t="shared" si="7"/>
        <v>9</v>
      </c>
      <c r="R1494" s="4">
        <f t="shared" si="8"/>
        <v>0</v>
      </c>
      <c r="S1494" s="4">
        <f t="shared" si="9"/>
        <v>-0.07834451204</v>
      </c>
      <c r="T1494" s="4">
        <f t="shared" si="10"/>
        <v>53</v>
      </c>
      <c r="U1494" s="4">
        <f t="shared" si="1"/>
        <v>-0.07834451204</v>
      </c>
      <c r="V1494" s="4"/>
    </row>
    <row r="1495">
      <c r="A1495" s="1" t="s">
        <v>18306</v>
      </c>
      <c r="B1495" s="1" t="s">
        <v>18307</v>
      </c>
      <c r="C1495" s="1" t="s">
        <v>18308</v>
      </c>
      <c r="D1495" s="1" t="s">
        <v>18166</v>
      </c>
      <c r="E1495" s="1" t="s">
        <v>18167</v>
      </c>
      <c r="F1495" s="1">
        <v>487816.0</v>
      </c>
      <c r="G1495" s="1">
        <v>26355.0</v>
      </c>
      <c r="H1495" s="1">
        <v>2417.0</v>
      </c>
      <c r="I1495" s="1">
        <v>857000.0</v>
      </c>
      <c r="J1495" s="1" t="s">
        <v>2468</v>
      </c>
      <c r="K1495" s="5">
        <f t="shared" si="2"/>
        <v>0.5692135356</v>
      </c>
      <c r="L1495" s="6">
        <f t="shared" si="3"/>
        <v>1721</v>
      </c>
      <c r="M1495" s="6">
        <f t="shared" si="4"/>
        <v>283.4491575</v>
      </c>
      <c r="N1495" s="7">
        <f t="shared" si="5"/>
        <v>0.000330745808</v>
      </c>
      <c r="O1495" s="7"/>
      <c r="P1495" s="4">
        <f t="shared" si="6"/>
        <v>-0.216560691</v>
      </c>
      <c r="Q1495" s="4">
        <f t="shared" si="7"/>
        <v>6</v>
      </c>
      <c r="R1495" s="4">
        <f t="shared" si="8"/>
        <v>0</v>
      </c>
      <c r="S1495" s="4">
        <f t="shared" si="9"/>
        <v>-0.216560691</v>
      </c>
      <c r="T1495" s="4">
        <f t="shared" si="10"/>
        <v>43</v>
      </c>
      <c r="U1495" s="4">
        <f t="shared" si="1"/>
        <v>-0.216560691</v>
      </c>
      <c r="V1495" s="4"/>
    </row>
    <row r="1496">
      <c r="A1496" s="1" t="s">
        <v>18309</v>
      </c>
      <c r="B1496" s="1" t="s">
        <v>18310</v>
      </c>
      <c r="C1496" s="1" t="s">
        <v>18311</v>
      </c>
      <c r="D1496" s="1" t="s">
        <v>18166</v>
      </c>
      <c r="E1496" s="1" t="s">
        <v>18167</v>
      </c>
      <c r="F1496" s="1">
        <v>59364.0</v>
      </c>
      <c r="G1496" s="1">
        <v>2851.0</v>
      </c>
      <c r="H1496" s="1">
        <v>293.0</v>
      </c>
      <c r="I1496" s="1">
        <v>857000.0</v>
      </c>
      <c r="J1496" s="1" t="s">
        <v>2468</v>
      </c>
      <c r="K1496" s="5">
        <f t="shared" si="2"/>
        <v>0.06926954492</v>
      </c>
      <c r="L1496" s="6">
        <f t="shared" si="3"/>
        <v>1778</v>
      </c>
      <c r="M1496" s="6">
        <f t="shared" si="4"/>
        <v>33.38807649</v>
      </c>
      <c r="N1496" s="7">
        <f t="shared" si="5"/>
        <v>0.00003895924911</v>
      </c>
      <c r="O1496" s="7"/>
      <c r="P1496" s="4">
        <f t="shared" si="6"/>
        <v>-0.4220844715</v>
      </c>
      <c r="Q1496" s="4">
        <f t="shared" si="7"/>
        <v>4</v>
      </c>
      <c r="R1496" s="4">
        <f t="shared" si="8"/>
        <v>0</v>
      </c>
      <c r="S1496" s="4">
        <f t="shared" si="9"/>
        <v>-0.4220844715</v>
      </c>
      <c r="T1496" s="4">
        <f t="shared" si="10"/>
        <v>19</v>
      </c>
      <c r="U1496" s="4">
        <f t="shared" si="1"/>
        <v>-0.4220844715</v>
      </c>
      <c r="V1496" s="4"/>
    </row>
    <row r="1497">
      <c r="A1497" s="1" t="s">
        <v>18312</v>
      </c>
      <c r="B1497" s="1" t="s">
        <v>18313</v>
      </c>
      <c r="C1497" s="1" t="s">
        <v>18314</v>
      </c>
      <c r="D1497" s="1" t="s">
        <v>18166</v>
      </c>
      <c r="E1497" s="1" t="s">
        <v>18167</v>
      </c>
      <c r="F1497" s="1">
        <v>428335.0</v>
      </c>
      <c r="G1497" s="1">
        <v>18660.0</v>
      </c>
      <c r="H1497" s="1">
        <v>2814.0</v>
      </c>
      <c r="I1497" s="1">
        <v>857000.0</v>
      </c>
      <c r="J1497" s="1" t="s">
        <v>2468</v>
      </c>
      <c r="K1497" s="5">
        <f t="shared" si="2"/>
        <v>0.4998074679</v>
      </c>
      <c r="L1497" s="6">
        <f t="shared" si="3"/>
        <v>1805</v>
      </c>
      <c r="M1497" s="6">
        <f t="shared" si="4"/>
        <v>237.3047091</v>
      </c>
      <c r="N1497" s="7">
        <f t="shared" si="5"/>
        <v>0.0002769016443</v>
      </c>
      <c r="O1497" s="7"/>
      <c r="P1497" s="4">
        <f t="shared" si="6"/>
        <v>-0.2544865507</v>
      </c>
      <c r="Q1497" s="4">
        <f t="shared" si="7"/>
        <v>11</v>
      </c>
      <c r="R1497" s="4">
        <f t="shared" si="8"/>
        <v>0</v>
      </c>
      <c r="S1497" s="4">
        <f t="shared" si="9"/>
        <v>-0.2544865507</v>
      </c>
      <c r="T1497" s="4">
        <f t="shared" si="10"/>
        <v>52</v>
      </c>
      <c r="U1497" s="4">
        <f t="shared" si="1"/>
        <v>-0.2544865507</v>
      </c>
      <c r="V1497" s="4"/>
    </row>
    <row r="1498">
      <c r="A1498" s="1" t="s">
        <v>18315</v>
      </c>
      <c r="B1498" s="1" t="s">
        <v>18316</v>
      </c>
      <c r="C1498" s="1" t="s">
        <v>18317</v>
      </c>
      <c r="D1498" s="1" t="s">
        <v>18166</v>
      </c>
      <c r="E1498" s="1" t="s">
        <v>18167</v>
      </c>
      <c r="F1498" s="1">
        <v>511141.0</v>
      </c>
      <c r="G1498" s="1">
        <v>22837.0</v>
      </c>
      <c r="H1498" s="1">
        <v>2122.0</v>
      </c>
      <c r="I1498" s="1">
        <v>857000.0</v>
      </c>
      <c r="J1498" s="1" t="s">
        <v>2468</v>
      </c>
      <c r="K1498" s="5">
        <f t="shared" si="2"/>
        <v>0.5964305718</v>
      </c>
      <c r="L1498" s="6">
        <f t="shared" si="3"/>
        <v>1863</v>
      </c>
      <c r="M1498" s="6">
        <f t="shared" si="4"/>
        <v>274.3644659</v>
      </c>
      <c r="N1498" s="7">
        <f t="shared" si="5"/>
        <v>0.0003201452344</v>
      </c>
      <c r="O1498" s="7"/>
      <c r="P1498" s="4">
        <f t="shared" si="6"/>
        <v>-0.2240273473</v>
      </c>
      <c r="Q1498" s="4">
        <f t="shared" si="7"/>
        <v>7</v>
      </c>
      <c r="R1498" s="4">
        <f t="shared" si="8"/>
        <v>0</v>
      </c>
      <c r="S1498" s="4">
        <f t="shared" si="9"/>
        <v>-0.2240273473</v>
      </c>
      <c r="T1498" s="4">
        <f t="shared" si="10"/>
        <v>33</v>
      </c>
      <c r="U1498" s="4">
        <f t="shared" si="1"/>
        <v>-0.2240273473</v>
      </c>
      <c r="V1498" s="4"/>
    </row>
    <row r="1499">
      <c r="A1499" s="1" t="s">
        <v>18318</v>
      </c>
      <c r="B1499" s="1" t="s">
        <v>18319</v>
      </c>
      <c r="C1499" s="1" t="s">
        <v>18320</v>
      </c>
      <c r="D1499" s="1" t="s">
        <v>18166</v>
      </c>
      <c r="E1499" s="1" t="s">
        <v>18167</v>
      </c>
      <c r="F1499" s="1">
        <v>85647.0</v>
      </c>
      <c r="G1499" s="1">
        <v>6186.0</v>
      </c>
      <c r="H1499" s="1">
        <v>632.0</v>
      </c>
      <c r="I1499" s="1">
        <v>857000.0</v>
      </c>
      <c r="J1499" s="1" t="s">
        <v>2468</v>
      </c>
      <c r="K1499" s="5">
        <f t="shared" si="2"/>
        <v>0.09993815636</v>
      </c>
      <c r="L1499" s="6">
        <f t="shared" si="3"/>
        <v>1954</v>
      </c>
      <c r="M1499" s="6">
        <f t="shared" si="4"/>
        <v>43.83162743</v>
      </c>
      <c r="N1499" s="7">
        <f t="shared" si="5"/>
        <v>0.00005114542291</v>
      </c>
      <c r="O1499" s="7"/>
      <c r="P1499" s="4">
        <f t="shared" si="6"/>
        <v>-0.4135009764</v>
      </c>
      <c r="Q1499" s="4">
        <f t="shared" si="7"/>
        <v>5</v>
      </c>
      <c r="R1499" s="4">
        <f t="shared" si="8"/>
        <v>0</v>
      </c>
      <c r="S1499" s="4">
        <f t="shared" si="9"/>
        <v>-0.4135009764</v>
      </c>
      <c r="T1499" s="4">
        <f t="shared" si="10"/>
        <v>22</v>
      </c>
      <c r="U1499" s="4">
        <f t="shared" si="1"/>
        <v>-0.4135009764</v>
      </c>
      <c r="V1499" s="4"/>
    </row>
    <row r="1500">
      <c r="A1500" s="1" t="s">
        <v>18321</v>
      </c>
      <c r="B1500" s="1" t="s">
        <v>18322</v>
      </c>
      <c r="C1500" s="1" t="s">
        <v>18323</v>
      </c>
      <c r="D1500" s="1" t="s">
        <v>18166</v>
      </c>
      <c r="E1500" s="1" t="s">
        <v>18167</v>
      </c>
      <c r="F1500" s="1">
        <v>339155.0</v>
      </c>
      <c r="G1500" s="1">
        <v>14524.0</v>
      </c>
      <c r="H1500" s="1">
        <v>2513.0</v>
      </c>
      <c r="I1500" s="1">
        <v>857000.0</v>
      </c>
      <c r="J1500" s="1" t="s">
        <v>2468</v>
      </c>
      <c r="K1500" s="5">
        <f t="shared" si="2"/>
        <v>0.3957467911</v>
      </c>
      <c r="L1500" s="6">
        <f t="shared" si="3"/>
        <v>2005</v>
      </c>
      <c r="M1500" s="6">
        <f t="shared" si="4"/>
        <v>169.1546135</v>
      </c>
      <c r="N1500" s="7">
        <f t="shared" si="5"/>
        <v>0.0001973799457</v>
      </c>
      <c r="O1500" s="7"/>
      <c r="P1500" s="4">
        <f t="shared" si="6"/>
        <v>-0.3104987268</v>
      </c>
      <c r="Q1500" s="4">
        <f t="shared" si="7"/>
        <v>11</v>
      </c>
      <c r="R1500" s="4">
        <f t="shared" si="8"/>
        <v>1</v>
      </c>
      <c r="S1500" s="4">
        <f t="shared" si="9"/>
        <v>-0.3104987268</v>
      </c>
      <c r="T1500" s="4">
        <f t="shared" si="10"/>
        <v>42</v>
      </c>
      <c r="U1500" s="4">
        <f t="shared" si="1"/>
        <v>-0.3104987268</v>
      </c>
      <c r="V1500" s="4"/>
    </row>
    <row r="1501">
      <c r="A1501" s="1" t="s">
        <v>18324</v>
      </c>
      <c r="B1501" s="1" t="s">
        <v>18325</v>
      </c>
      <c r="C1501" s="1" t="s">
        <v>18326</v>
      </c>
      <c r="D1501" s="1" t="s">
        <v>18166</v>
      </c>
      <c r="E1501" s="1" t="s">
        <v>18167</v>
      </c>
      <c r="F1501" s="1">
        <v>406224.0</v>
      </c>
      <c r="G1501" s="1">
        <v>19794.0</v>
      </c>
      <c r="H1501" s="1">
        <v>1858.0</v>
      </c>
      <c r="I1501" s="1">
        <v>857000.0</v>
      </c>
      <c r="J1501" s="1" t="s">
        <v>2468</v>
      </c>
      <c r="K1501" s="5">
        <f t="shared" si="2"/>
        <v>0.4740070012</v>
      </c>
      <c r="L1501" s="6">
        <f t="shared" si="3"/>
        <v>2036</v>
      </c>
      <c r="M1501" s="6">
        <f t="shared" si="4"/>
        <v>199.5206287</v>
      </c>
      <c r="N1501" s="7">
        <f t="shared" si="5"/>
        <v>0.0002328128689</v>
      </c>
      <c r="O1501" s="7"/>
      <c r="P1501" s="4">
        <f t="shared" si="6"/>
        <v>-0.2855410716</v>
      </c>
      <c r="Q1501" s="4">
        <f t="shared" si="7"/>
        <v>8</v>
      </c>
      <c r="R1501" s="4">
        <f t="shared" si="8"/>
        <v>0</v>
      </c>
      <c r="S1501" s="4">
        <f t="shared" si="9"/>
        <v>-0.2855410716</v>
      </c>
      <c r="T1501" s="4">
        <f t="shared" si="10"/>
        <v>38</v>
      </c>
      <c r="U1501" s="4">
        <f t="shared" si="1"/>
        <v>-0.2855410716</v>
      </c>
      <c r="V1501" s="4"/>
    </row>
    <row r="1502">
      <c r="A1502" s="1" t="s">
        <v>18327</v>
      </c>
      <c r="B1502" s="1" t="s">
        <v>18328</v>
      </c>
      <c r="C1502" s="1" t="s">
        <v>18329</v>
      </c>
      <c r="D1502" s="1" t="s">
        <v>18166</v>
      </c>
      <c r="E1502" s="1" t="s">
        <v>18167</v>
      </c>
      <c r="F1502" s="1">
        <v>833195.0</v>
      </c>
      <c r="G1502" s="1">
        <v>33738.0</v>
      </c>
      <c r="H1502" s="1">
        <v>2479.0</v>
      </c>
      <c r="I1502" s="1">
        <v>857000.0</v>
      </c>
      <c r="J1502" s="1" t="s">
        <v>2468</v>
      </c>
      <c r="K1502" s="5">
        <f t="shared" si="2"/>
        <v>0.9722228705</v>
      </c>
      <c r="L1502" s="6">
        <f t="shared" si="3"/>
        <v>2093</v>
      </c>
      <c r="M1502" s="6">
        <f t="shared" si="4"/>
        <v>398.0864787</v>
      </c>
      <c r="N1502" s="7">
        <f t="shared" si="5"/>
        <v>0.0004645116438</v>
      </c>
      <c r="O1502" s="7"/>
      <c r="P1502" s="4">
        <f t="shared" si="6"/>
        <v>-0.1223409285</v>
      </c>
      <c r="Q1502" s="4">
        <f t="shared" si="7"/>
        <v>6</v>
      </c>
      <c r="R1502" s="4">
        <f t="shared" si="8"/>
        <v>0</v>
      </c>
      <c r="S1502" s="4">
        <f t="shared" si="9"/>
        <v>-0.1223409285</v>
      </c>
      <c r="T1502" s="4">
        <f t="shared" si="10"/>
        <v>27</v>
      </c>
      <c r="U1502" s="4">
        <f t="shared" si="1"/>
        <v>-0.1223409285</v>
      </c>
      <c r="V1502" s="4"/>
    </row>
    <row r="1503">
      <c r="A1503" s="1" t="s">
        <v>18330</v>
      </c>
      <c r="B1503" s="1" t="s">
        <v>18331</v>
      </c>
      <c r="C1503" s="1" t="s">
        <v>18332</v>
      </c>
      <c r="D1503" s="1" t="s">
        <v>18166</v>
      </c>
      <c r="E1503" s="1" t="s">
        <v>18167</v>
      </c>
      <c r="F1503" s="1">
        <v>208426.0</v>
      </c>
      <c r="G1503" s="1">
        <v>10986.0</v>
      </c>
      <c r="H1503" s="1">
        <v>730.0</v>
      </c>
      <c r="I1503" s="1">
        <v>857000.0</v>
      </c>
      <c r="J1503" s="1" t="s">
        <v>2468</v>
      </c>
      <c r="K1503" s="5">
        <f t="shared" si="2"/>
        <v>0.2432042007</v>
      </c>
      <c r="L1503" s="6">
        <f t="shared" si="3"/>
        <v>2131</v>
      </c>
      <c r="M1503" s="6">
        <f t="shared" si="4"/>
        <v>97.80666354</v>
      </c>
      <c r="N1503" s="7">
        <f t="shared" si="5"/>
        <v>0.0001141267953</v>
      </c>
      <c r="O1503" s="7"/>
      <c r="P1503" s="4">
        <f t="shared" si="6"/>
        <v>-0.3691392011</v>
      </c>
      <c r="Q1503" s="4">
        <f t="shared" si="7"/>
        <v>7</v>
      </c>
      <c r="R1503" s="4">
        <f t="shared" si="8"/>
        <v>0</v>
      </c>
      <c r="S1503" s="4">
        <f t="shared" si="9"/>
        <v>-0.3691392011</v>
      </c>
      <c r="T1503" s="4">
        <f t="shared" si="10"/>
        <v>36</v>
      </c>
      <c r="U1503" s="4">
        <f t="shared" si="1"/>
        <v>-0.3691392011</v>
      </c>
      <c r="V1503" s="4"/>
    </row>
    <row r="1504">
      <c r="A1504" s="1" t="s">
        <v>18333</v>
      </c>
      <c r="B1504" s="1" t="s">
        <v>18334</v>
      </c>
      <c r="C1504" s="1" t="s">
        <v>18335</v>
      </c>
      <c r="D1504" s="1" t="s">
        <v>18166</v>
      </c>
      <c r="E1504" s="1" t="s">
        <v>18167</v>
      </c>
      <c r="F1504" s="1">
        <v>278808.0</v>
      </c>
      <c r="G1504" s="1">
        <v>16500.0</v>
      </c>
      <c r="H1504" s="1">
        <v>1325.0</v>
      </c>
      <c r="I1504" s="1">
        <v>857000.0</v>
      </c>
      <c r="J1504" s="1" t="s">
        <v>2468</v>
      </c>
      <c r="K1504" s="5">
        <f t="shared" si="2"/>
        <v>0.3253302217</v>
      </c>
      <c r="L1504" s="6">
        <f t="shared" si="3"/>
        <v>2219</v>
      </c>
      <c r="M1504" s="6">
        <f t="shared" si="4"/>
        <v>125.6457864</v>
      </c>
      <c r="N1504" s="7">
        <f t="shared" si="5"/>
        <v>0.000146611186</v>
      </c>
      <c r="O1504" s="7"/>
      <c r="P1504" s="4">
        <f t="shared" si="6"/>
        <v>-0.3462583844</v>
      </c>
      <c r="Q1504" s="4">
        <f t="shared" si="7"/>
        <v>6</v>
      </c>
      <c r="R1504" s="4">
        <f t="shared" si="8"/>
        <v>0</v>
      </c>
      <c r="S1504" s="4">
        <f t="shared" si="9"/>
        <v>-0.3462583844</v>
      </c>
      <c r="T1504" s="4">
        <f t="shared" si="10"/>
        <v>44</v>
      </c>
      <c r="U1504" s="4">
        <f t="shared" si="1"/>
        <v>-0.3462583844</v>
      </c>
      <c r="V1504" s="4"/>
    </row>
    <row r="1505">
      <c r="A1505" s="1" t="s">
        <v>18336</v>
      </c>
      <c r="B1505" s="1" t="s">
        <v>18337</v>
      </c>
      <c r="C1505" s="1" t="s">
        <v>18338</v>
      </c>
      <c r="D1505" s="1" t="s">
        <v>18166</v>
      </c>
      <c r="E1505" s="1" t="s">
        <v>18167</v>
      </c>
      <c r="F1505" s="1">
        <v>2887837.0</v>
      </c>
      <c r="G1505" s="1">
        <v>80013.0</v>
      </c>
      <c r="H1505" s="1">
        <v>6506.0</v>
      </c>
      <c r="I1505" s="1">
        <v>857000.0</v>
      </c>
      <c r="J1505" s="1" t="s">
        <v>2468</v>
      </c>
      <c r="K1505" s="5">
        <f t="shared" si="2"/>
        <v>3.369704784</v>
      </c>
      <c r="L1505" s="6">
        <f t="shared" si="3"/>
        <v>2275</v>
      </c>
      <c r="M1505" s="6">
        <f t="shared" si="4"/>
        <v>1269.378901</v>
      </c>
      <c r="N1505" s="7">
        <f t="shared" si="5"/>
        <v>0.001481188916</v>
      </c>
      <c r="O1505" s="7"/>
      <c r="P1505" s="4">
        <f t="shared" si="6"/>
        <v>0.5937693589</v>
      </c>
      <c r="Q1505" s="4">
        <f t="shared" si="7"/>
        <v>8</v>
      </c>
      <c r="R1505" s="4">
        <f t="shared" si="8"/>
        <v>0</v>
      </c>
      <c r="S1505" s="4">
        <f t="shared" si="9"/>
        <v>0.5937693589</v>
      </c>
      <c r="T1505" s="4">
        <f t="shared" si="10"/>
        <v>42</v>
      </c>
      <c r="U1505" s="4">
        <f t="shared" si="1"/>
        <v>0.5937693589</v>
      </c>
      <c r="V1505" s="4"/>
    </row>
    <row r="1506">
      <c r="A1506" s="1" t="s">
        <v>18339</v>
      </c>
      <c r="B1506" s="1" t="s">
        <v>18340</v>
      </c>
      <c r="C1506" s="1" t="s">
        <v>18341</v>
      </c>
      <c r="D1506" s="1" t="s">
        <v>18166</v>
      </c>
      <c r="E1506" s="1" t="s">
        <v>18167</v>
      </c>
      <c r="F1506" s="1">
        <v>800664.0</v>
      </c>
      <c r="G1506" s="1">
        <v>29462.0</v>
      </c>
      <c r="H1506" s="1">
        <v>3311.0</v>
      </c>
      <c r="I1506" s="1">
        <v>857000.0</v>
      </c>
      <c r="J1506" s="1" t="s">
        <v>2468</v>
      </c>
      <c r="K1506" s="5">
        <f t="shared" si="2"/>
        <v>0.9342637106</v>
      </c>
      <c r="L1506" s="6">
        <f t="shared" si="3"/>
        <v>2329</v>
      </c>
      <c r="M1506" s="6">
        <f t="shared" si="4"/>
        <v>343.7801632</v>
      </c>
      <c r="N1506" s="7">
        <f t="shared" si="5"/>
        <v>0.0004011437143</v>
      </c>
      <c r="O1506" s="7"/>
      <c r="P1506" s="4">
        <f t="shared" si="6"/>
        <v>-0.1669749805</v>
      </c>
      <c r="Q1506" s="4">
        <f t="shared" si="7"/>
        <v>9</v>
      </c>
      <c r="R1506" s="4">
        <f t="shared" si="8"/>
        <v>0</v>
      </c>
      <c r="S1506" s="4">
        <f t="shared" si="9"/>
        <v>-0.1669749805</v>
      </c>
      <c r="T1506" s="4">
        <f t="shared" si="10"/>
        <v>39</v>
      </c>
      <c r="U1506" s="4">
        <f t="shared" si="1"/>
        <v>-0.1669749805</v>
      </c>
      <c r="V1506" s="4"/>
    </row>
    <row r="1507">
      <c r="A1507" s="1" t="s">
        <v>18342</v>
      </c>
      <c r="B1507" s="1" t="s">
        <v>18343</v>
      </c>
      <c r="C1507" s="1" t="s">
        <v>18344</v>
      </c>
      <c r="D1507" s="1" t="s">
        <v>18166</v>
      </c>
      <c r="E1507" s="1" t="s">
        <v>18167</v>
      </c>
      <c r="F1507" s="1">
        <v>80519.0</v>
      </c>
      <c r="G1507" s="1">
        <v>4176.0</v>
      </c>
      <c r="H1507" s="1">
        <v>330.0</v>
      </c>
      <c r="I1507" s="1">
        <v>857000.0</v>
      </c>
      <c r="J1507" s="1" t="s">
        <v>2468</v>
      </c>
      <c r="K1507" s="5">
        <f t="shared" si="2"/>
        <v>0.09395449242</v>
      </c>
      <c r="L1507" s="6">
        <f t="shared" si="3"/>
        <v>2358</v>
      </c>
      <c r="M1507" s="6">
        <f t="shared" si="4"/>
        <v>34.14715861</v>
      </c>
      <c r="N1507" s="7">
        <f t="shared" si="5"/>
        <v>0.00003984499254</v>
      </c>
      <c r="O1507" s="7"/>
      <c r="P1507" s="4">
        <f t="shared" si="6"/>
        <v>-0.4214605862</v>
      </c>
      <c r="Q1507" s="4">
        <f t="shared" si="7"/>
        <v>11</v>
      </c>
      <c r="R1507" s="4">
        <f t="shared" si="8"/>
        <v>0</v>
      </c>
      <c r="S1507" s="4">
        <f t="shared" si="9"/>
        <v>-0.4214605862</v>
      </c>
      <c r="T1507" s="4">
        <f t="shared" si="10"/>
        <v>59</v>
      </c>
      <c r="U1507" s="4">
        <f t="shared" si="1"/>
        <v>-0.4214605862</v>
      </c>
      <c r="V1507" s="4"/>
    </row>
    <row r="1508">
      <c r="A1508" s="1" t="s">
        <v>18345</v>
      </c>
      <c r="B1508" s="1" t="s">
        <v>18346</v>
      </c>
      <c r="C1508" s="1" t="s">
        <v>18347</v>
      </c>
      <c r="D1508" s="1" t="s">
        <v>18166</v>
      </c>
      <c r="E1508" s="1" t="s">
        <v>18167</v>
      </c>
      <c r="F1508" s="1">
        <v>594478.0</v>
      </c>
      <c r="G1508" s="1">
        <v>27227.0</v>
      </c>
      <c r="H1508" s="1">
        <v>4948.0</v>
      </c>
      <c r="I1508" s="1">
        <v>857000.0</v>
      </c>
      <c r="J1508" s="1" t="s">
        <v>2468</v>
      </c>
      <c r="K1508" s="5">
        <f t="shared" si="2"/>
        <v>0.6936732789</v>
      </c>
      <c r="L1508" s="6">
        <f t="shared" si="3"/>
        <v>2362</v>
      </c>
      <c r="M1508" s="6">
        <f t="shared" si="4"/>
        <v>251.684166</v>
      </c>
      <c r="N1508" s="7">
        <f t="shared" si="5"/>
        <v>0.0002936804737</v>
      </c>
      <c r="O1508" s="7"/>
      <c r="P1508" s="4">
        <f t="shared" si="6"/>
        <v>-0.2426681569</v>
      </c>
      <c r="Q1508" s="4">
        <f t="shared" si="7"/>
        <v>11</v>
      </c>
      <c r="R1508" s="4">
        <f t="shared" si="8"/>
        <v>0</v>
      </c>
      <c r="S1508" s="4">
        <f t="shared" si="9"/>
        <v>-0.2426681569</v>
      </c>
      <c r="T1508" s="4">
        <f t="shared" si="10"/>
        <v>50</v>
      </c>
      <c r="U1508" s="4">
        <f t="shared" si="1"/>
        <v>-0.2426681569</v>
      </c>
      <c r="V1508" s="4"/>
    </row>
    <row r="1509">
      <c r="A1509" s="1" t="s">
        <v>18348</v>
      </c>
      <c r="B1509" s="1" t="s">
        <v>18349</v>
      </c>
      <c r="C1509" s="1" t="s">
        <v>18350</v>
      </c>
      <c r="D1509" s="1" t="s">
        <v>18166</v>
      </c>
      <c r="E1509" s="1" t="s">
        <v>18167</v>
      </c>
      <c r="F1509" s="1">
        <v>110440.0</v>
      </c>
      <c r="G1509" s="1">
        <v>5276.0</v>
      </c>
      <c r="H1509" s="1">
        <v>480.0</v>
      </c>
      <c r="I1509" s="1">
        <v>857000.0</v>
      </c>
      <c r="J1509" s="1" t="s">
        <v>2468</v>
      </c>
      <c r="K1509" s="5">
        <f t="shared" si="2"/>
        <v>0.1288681447</v>
      </c>
      <c r="L1509" s="6">
        <f t="shared" si="3"/>
        <v>2365</v>
      </c>
      <c r="M1509" s="6">
        <f t="shared" si="4"/>
        <v>46.69767442</v>
      </c>
      <c r="N1509" s="7">
        <f t="shared" si="5"/>
        <v>0.00005448970177</v>
      </c>
      <c r="O1509" s="7"/>
      <c r="P1509" s="4">
        <f t="shared" si="6"/>
        <v>-0.4111453887</v>
      </c>
      <c r="Q1509" s="4">
        <f t="shared" si="7"/>
        <v>12</v>
      </c>
      <c r="R1509" s="4">
        <f t="shared" si="8"/>
        <v>0</v>
      </c>
      <c r="S1509" s="4">
        <f t="shared" si="9"/>
        <v>-0.4111453887</v>
      </c>
      <c r="T1509" s="4">
        <f t="shared" si="10"/>
        <v>64</v>
      </c>
      <c r="U1509" s="4">
        <f t="shared" si="1"/>
        <v>-0.4111453887</v>
      </c>
      <c r="V1509" s="4"/>
    </row>
    <row r="1510">
      <c r="A1510" s="1" t="s">
        <v>18351</v>
      </c>
      <c r="B1510" s="1" t="s">
        <v>18352</v>
      </c>
      <c r="C1510" s="1" t="s">
        <v>18353</v>
      </c>
      <c r="D1510" s="1" t="s">
        <v>18166</v>
      </c>
      <c r="E1510" s="1" t="s">
        <v>18167</v>
      </c>
      <c r="F1510" s="1">
        <v>215989.0</v>
      </c>
      <c r="G1510" s="1">
        <v>10531.0</v>
      </c>
      <c r="H1510" s="1">
        <v>658.0</v>
      </c>
      <c r="I1510" s="1">
        <v>857000.0</v>
      </c>
      <c r="J1510" s="1" t="s">
        <v>2468</v>
      </c>
      <c r="K1510" s="5">
        <f t="shared" si="2"/>
        <v>0.2520291715</v>
      </c>
      <c r="L1510" s="6">
        <f t="shared" si="3"/>
        <v>2390</v>
      </c>
      <c r="M1510" s="6">
        <f t="shared" si="4"/>
        <v>90.37196653</v>
      </c>
      <c r="N1510" s="7">
        <f t="shared" si="5"/>
        <v>0.0001054515362</v>
      </c>
      <c r="O1510" s="7"/>
      <c r="P1510" s="4">
        <f t="shared" si="6"/>
        <v>-0.3752497363</v>
      </c>
      <c r="Q1510" s="4">
        <f t="shared" si="7"/>
        <v>10</v>
      </c>
      <c r="R1510" s="4">
        <f t="shared" si="8"/>
        <v>0</v>
      </c>
      <c r="S1510" s="4">
        <f t="shared" si="9"/>
        <v>-0.3752497363</v>
      </c>
      <c r="T1510" s="4">
        <f t="shared" si="10"/>
        <v>49</v>
      </c>
      <c r="U1510" s="4">
        <f t="shared" si="1"/>
        <v>-0.3752497363</v>
      </c>
      <c r="V1510" s="4"/>
    </row>
    <row r="1511">
      <c r="A1511" s="1" t="s">
        <v>18354</v>
      </c>
      <c r="B1511" s="1" t="s">
        <v>18355</v>
      </c>
      <c r="C1511" s="1" t="s">
        <v>18356</v>
      </c>
      <c r="D1511" s="1" t="s">
        <v>18166</v>
      </c>
      <c r="E1511" s="1" t="s">
        <v>18167</v>
      </c>
      <c r="F1511" s="1">
        <v>399489.0</v>
      </c>
      <c r="G1511" s="1">
        <v>15433.0</v>
      </c>
      <c r="H1511" s="1">
        <v>934.0</v>
      </c>
      <c r="I1511" s="1">
        <v>857000.0</v>
      </c>
      <c r="J1511" s="1" t="s">
        <v>2468</v>
      </c>
      <c r="K1511" s="5">
        <f t="shared" si="2"/>
        <v>0.4661481914</v>
      </c>
      <c r="L1511" s="6">
        <f t="shared" si="3"/>
        <v>2403</v>
      </c>
      <c r="M1511" s="6">
        <f t="shared" si="4"/>
        <v>166.2459426</v>
      </c>
      <c r="N1511" s="7">
        <f t="shared" si="5"/>
        <v>0.0001939859307</v>
      </c>
      <c r="O1511" s="7"/>
      <c r="P1511" s="4">
        <f t="shared" si="6"/>
        <v>-0.3128893469</v>
      </c>
      <c r="Q1511" s="4">
        <f t="shared" si="7"/>
        <v>10</v>
      </c>
      <c r="R1511" s="4">
        <f t="shared" si="8"/>
        <v>0</v>
      </c>
      <c r="S1511" s="4">
        <f t="shared" si="9"/>
        <v>-0.3128893469</v>
      </c>
      <c r="T1511" s="4">
        <f t="shared" si="10"/>
        <v>52</v>
      </c>
      <c r="U1511" s="4">
        <f t="shared" si="1"/>
        <v>-0.3128893469</v>
      </c>
      <c r="V1511" s="4"/>
    </row>
    <row r="1512">
      <c r="A1512" s="1" t="s">
        <v>18357</v>
      </c>
      <c r="B1512" s="1" t="s">
        <v>18358</v>
      </c>
      <c r="C1512" s="1" t="s">
        <v>18359</v>
      </c>
      <c r="D1512" s="1" t="s">
        <v>18166</v>
      </c>
      <c r="E1512" s="1" t="s">
        <v>18167</v>
      </c>
      <c r="F1512" s="1">
        <v>42298.0</v>
      </c>
      <c r="G1512" s="1">
        <v>1205.0</v>
      </c>
      <c r="H1512" s="1">
        <v>223.0</v>
      </c>
      <c r="I1512" s="1">
        <v>857000.0</v>
      </c>
      <c r="J1512" s="1" t="s">
        <v>2468</v>
      </c>
      <c r="K1512" s="5">
        <f t="shared" si="2"/>
        <v>0.04935589265</v>
      </c>
      <c r="L1512" s="6">
        <f t="shared" si="3"/>
        <v>2406</v>
      </c>
      <c r="M1512" s="6">
        <f t="shared" si="4"/>
        <v>17.58021613</v>
      </c>
      <c r="N1512" s="7">
        <f t="shared" si="5"/>
        <v>0.00002051367109</v>
      </c>
      <c r="O1512" s="7"/>
      <c r="P1512" s="4">
        <f t="shared" si="6"/>
        <v>-0.4350768621</v>
      </c>
      <c r="Q1512" s="4">
        <f t="shared" si="7"/>
        <v>2</v>
      </c>
      <c r="R1512" s="4">
        <f t="shared" si="8"/>
        <v>0</v>
      </c>
      <c r="S1512" s="4">
        <f t="shared" si="9"/>
        <v>-0.4350768621</v>
      </c>
      <c r="T1512" s="4">
        <f t="shared" si="10"/>
        <v>16</v>
      </c>
      <c r="U1512" s="4">
        <f t="shared" si="1"/>
        <v>-0.4350768621</v>
      </c>
      <c r="V1512" s="4"/>
    </row>
    <row r="1513">
      <c r="A1513" s="1" t="s">
        <v>18360</v>
      </c>
      <c r="B1513" s="1" t="s">
        <v>18361</v>
      </c>
      <c r="C1513" s="1" t="s">
        <v>18362</v>
      </c>
      <c r="D1513" s="1" t="s">
        <v>18166</v>
      </c>
      <c r="E1513" s="1" t="s">
        <v>18167</v>
      </c>
      <c r="F1513" s="1">
        <v>999954.0</v>
      </c>
      <c r="G1513" s="1">
        <v>35997.0</v>
      </c>
      <c r="H1513" s="1">
        <v>2859.0</v>
      </c>
      <c r="I1513" s="1">
        <v>857000.0</v>
      </c>
      <c r="J1513" s="1" t="s">
        <v>2468</v>
      </c>
      <c r="K1513" s="5">
        <f t="shared" si="2"/>
        <v>1.166807468</v>
      </c>
      <c r="L1513" s="6">
        <f t="shared" si="3"/>
        <v>2417</v>
      </c>
      <c r="M1513" s="6">
        <f t="shared" si="4"/>
        <v>413.7170046</v>
      </c>
      <c r="N1513" s="7">
        <f t="shared" si="5"/>
        <v>0.000482750297</v>
      </c>
      <c r="O1513" s="7"/>
      <c r="P1513" s="4">
        <f t="shared" si="6"/>
        <v>-0.1094942882</v>
      </c>
      <c r="Q1513" s="4">
        <f t="shared" si="7"/>
        <v>11</v>
      </c>
      <c r="R1513" s="4">
        <f t="shared" si="8"/>
        <v>0</v>
      </c>
      <c r="S1513" s="4">
        <f t="shared" si="9"/>
        <v>-0.1094942882</v>
      </c>
      <c r="T1513" s="4">
        <f t="shared" si="10"/>
        <v>48</v>
      </c>
      <c r="U1513" s="4">
        <f t="shared" si="1"/>
        <v>-0.1094942882</v>
      </c>
      <c r="V1513" s="4"/>
    </row>
    <row r="1514">
      <c r="A1514" s="1" t="s">
        <v>18363</v>
      </c>
      <c r="B1514" s="1" t="s">
        <v>18364</v>
      </c>
      <c r="C1514" s="1" t="s">
        <v>18365</v>
      </c>
      <c r="D1514" s="1" t="s">
        <v>18166</v>
      </c>
      <c r="E1514" s="1" t="s">
        <v>18167</v>
      </c>
      <c r="F1514" s="1">
        <v>285021.0</v>
      </c>
      <c r="G1514" s="1">
        <v>12006.0</v>
      </c>
      <c r="H1514" s="1">
        <v>1282.0</v>
      </c>
      <c r="I1514" s="1">
        <v>857000.0</v>
      </c>
      <c r="J1514" s="1" t="s">
        <v>2468</v>
      </c>
      <c r="K1514" s="5">
        <f t="shared" si="2"/>
        <v>0.33257993</v>
      </c>
      <c r="L1514" s="6">
        <f t="shared" si="3"/>
        <v>2457</v>
      </c>
      <c r="M1514" s="6">
        <f t="shared" si="4"/>
        <v>116.003663</v>
      </c>
      <c r="N1514" s="7">
        <f t="shared" si="5"/>
        <v>0.0001353601669</v>
      </c>
      <c r="O1514" s="7"/>
      <c r="P1514" s="4">
        <f t="shared" si="6"/>
        <v>-0.3541831907</v>
      </c>
      <c r="Q1514" s="4">
        <f t="shared" si="7"/>
        <v>7</v>
      </c>
      <c r="R1514" s="4">
        <f t="shared" si="8"/>
        <v>1</v>
      </c>
      <c r="S1514" s="4">
        <f t="shared" si="9"/>
        <v>-0.3541831907</v>
      </c>
      <c r="T1514" s="4">
        <f t="shared" si="10"/>
        <v>36</v>
      </c>
      <c r="U1514" s="4">
        <f t="shared" si="1"/>
        <v>-0.3541831907</v>
      </c>
      <c r="V1514" s="4"/>
    </row>
    <row r="1515">
      <c r="A1515" s="1" t="s">
        <v>18366</v>
      </c>
      <c r="B1515" s="1" t="s">
        <v>18367</v>
      </c>
      <c r="C1515" s="1" t="s">
        <v>18368</v>
      </c>
      <c r="D1515" s="1" t="s">
        <v>18166</v>
      </c>
      <c r="E1515" s="1" t="s">
        <v>18167</v>
      </c>
      <c r="F1515" s="1">
        <v>384815.0</v>
      </c>
      <c r="G1515" s="1">
        <v>12313.0</v>
      </c>
      <c r="H1515" s="1">
        <v>1057.0</v>
      </c>
      <c r="I1515" s="1">
        <v>857000.0</v>
      </c>
      <c r="J1515" s="1" t="s">
        <v>2468</v>
      </c>
      <c r="K1515" s="5">
        <f t="shared" si="2"/>
        <v>0.4490256709</v>
      </c>
      <c r="L1515" s="6">
        <f t="shared" si="3"/>
        <v>2463</v>
      </c>
      <c r="M1515" s="6">
        <f t="shared" si="4"/>
        <v>156.2383272</v>
      </c>
      <c r="N1515" s="7">
        <f t="shared" si="5"/>
        <v>0.0001823084332</v>
      </c>
      <c r="O1515" s="7"/>
      <c r="P1515" s="4">
        <f t="shared" si="6"/>
        <v>-0.321114549</v>
      </c>
      <c r="Q1515" s="4">
        <f t="shared" si="7"/>
        <v>6</v>
      </c>
      <c r="R1515" s="4">
        <f t="shared" si="8"/>
        <v>1</v>
      </c>
      <c r="S1515" s="4">
        <f t="shared" si="9"/>
        <v>-0.321114549</v>
      </c>
      <c r="T1515" s="4">
        <f t="shared" si="10"/>
        <v>33</v>
      </c>
      <c r="U1515" s="4">
        <f t="shared" si="1"/>
        <v>-0.321114549</v>
      </c>
      <c r="V1515" s="4"/>
    </row>
    <row r="1516">
      <c r="A1516" s="1" t="s">
        <v>18369</v>
      </c>
      <c r="B1516" s="1" t="s">
        <v>18370</v>
      </c>
      <c r="C1516" s="1" t="s">
        <v>18371</v>
      </c>
      <c r="D1516" s="1" t="s">
        <v>18166</v>
      </c>
      <c r="E1516" s="1" t="s">
        <v>18167</v>
      </c>
      <c r="F1516" s="1">
        <v>81326.0</v>
      </c>
      <c r="G1516" s="1">
        <v>4667.0</v>
      </c>
      <c r="H1516" s="1">
        <v>798.0</v>
      </c>
      <c r="I1516" s="1">
        <v>857000.0</v>
      </c>
      <c r="J1516" s="1" t="s">
        <v>2468</v>
      </c>
      <c r="K1516" s="5">
        <f t="shared" si="2"/>
        <v>0.09489614936</v>
      </c>
      <c r="L1516" s="6">
        <f t="shared" si="3"/>
        <v>2478</v>
      </c>
      <c r="M1516" s="6">
        <f t="shared" si="4"/>
        <v>32.81920904</v>
      </c>
      <c r="N1516" s="7">
        <f t="shared" si="5"/>
        <v>0.00003829545979</v>
      </c>
      <c r="O1516" s="7"/>
      <c r="P1516" s="4">
        <f t="shared" si="6"/>
        <v>-0.4225520204</v>
      </c>
      <c r="Q1516" s="4">
        <f t="shared" si="7"/>
        <v>6</v>
      </c>
      <c r="R1516" s="4">
        <f t="shared" si="8"/>
        <v>0</v>
      </c>
      <c r="S1516" s="4">
        <f t="shared" si="9"/>
        <v>-0.4225520204</v>
      </c>
      <c r="T1516" s="4">
        <f t="shared" si="10"/>
        <v>36</v>
      </c>
      <c r="U1516" s="4">
        <f t="shared" si="1"/>
        <v>-0.4225520204</v>
      </c>
      <c r="V1516" s="4"/>
    </row>
    <row r="1517">
      <c r="A1517" s="1" t="s">
        <v>18372</v>
      </c>
      <c r="B1517" s="1" t="s">
        <v>18373</v>
      </c>
      <c r="C1517" s="1" t="s">
        <v>18374</v>
      </c>
      <c r="D1517" s="1" t="s">
        <v>18166</v>
      </c>
      <c r="E1517" s="1" t="s">
        <v>18167</v>
      </c>
      <c r="F1517" s="1">
        <v>171756.0</v>
      </c>
      <c r="G1517" s="1">
        <v>7419.0</v>
      </c>
      <c r="H1517" s="1">
        <v>1183.0</v>
      </c>
      <c r="I1517" s="1">
        <v>857000.0</v>
      </c>
      <c r="J1517" s="1" t="s">
        <v>2468</v>
      </c>
      <c r="K1517" s="5">
        <f t="shared" si="2"/>
        <v>0.2004154026</v>
      </c>
      <c r="L1517" s="6">
        <f t="shared" si="3"/>
        <v>2514</v>
      </c>
      <c r="M1517" s="6">
        <f t="shared" si="4"/>
        <v>68.31980907</v>
      </c>
      <c r="N1517" s="7">
        <f t="shared" si="5"/>
        <v>0.00007971973054</v>
      </c>
      <c r="O1517" s="7"/>
      <c r="P1517" s="4">
        <f t="shared" si="6"/>
        <v>-0.3933742791</v>
      </c>
      <c r="Q1517" s="4">
        <f t="shared" si="7"/>
        <v>12</v>
      </c>
      <c r="R1517" s="4">
        <f t="shared" si="8"/>
        <v>0</v>
      </c>
      <c r="S1517" s="4">
        <f t="shared" si="9"/>
        <v>-0.3933742791</v>
      </c>
      <c r="T1517" s="4">
        <f t="shared" si="10"/>
        <v>59</v>
      </c>
      <c r="U1517" s="4">
        <f t="shared" si="1"/>
        <v>-0.3933742791</v>
      </c>
      <c r="V1517" s="4"/>
    </row>
    <row r="1518">
      <c r="A1518" s="1" t="s">
        <v>18375</v>
      </c>
      <c r="B1518" s="1" t="s">
        <v>18376</v>
      </c>
      <c r="C1518" s="1" t="s">
        <v>18377</v>
      </c>
      <c r="D1518" s="1" t="s">
        <v>18166</v>
      </c>
      <c r="E1518" s="1" t="s">
        <v>18167</v>
      </c>
      <c r="F1518" s="1">
        <v>82065.0</v>
      </c>
      <c r="G1518" s="1">
        <v>3730.0</v>
      </c>
      <c r="H1518" s="1">
        <v>427.0</v>
      </c>
      <c r="I1518" s="1">
        <v>857000.0</v>
      </c>
      <c r="J1518" s="1" t="s">
        <v>2468</v>
      </c>
      <c r="K1518" s="5">
        <f t="shared" si="2"/>
        <v>0.09575845974</v>
      </c>
      <c r="L1518" s="6">
        <f t="shared" si="3"/>
        <v>2589</v>
      </c>
      <c r="M1518" s="6">
        <f t="shared" si="4"/>
        <v>31.69756663</v>
      </c>
      <c r="N1518" s="7">
        <f t="shared" si="5"/>
        <v>0.00003698665884</v>
      </c>
      <c r="O1518" s="7"/>
      <c r="P1518" s="4">
        <f t="shared" si="6"/>
        <v>-0.423473892</v>
      </c>
      <c r="Q1518" s="4">
        <f t="shared" si="7"/>
        <v>6</v>
      </c>
      <c r="R1518" s="4">
        <f t="shared" si="8"/>
        <v>0</v>
      </c>
      <c r="S1518" s="4">
        <f t="shared" si="9"/>
        <v>-0.423473892</v>
      </c>
      <c r="T1518" s="4">
        <f t="shared" si="10"/>
        <v>39</v>
      </c>
      <c r="U1518" s="4">
        <f t="shared" si="1"/>
        <v>-0.423473892</v>
      </c>
      <c r="V1518" s="4"/>
    </row>
    <row r="1519">
      <c r="A1519" s="1" t="s">
        <v>18378</v>
      </c>
      <c r="B1519" s="1" t="s">
        <v>18379</v>
      </c>
      <c r="C1519" s="1" t="s">
        <v>18380</v>
      </c>
      <c r="D1519" s="1" t="s">
        <v>18166</v>
      </c>
      <c r="E1519" s="1" t="s">
        <v>18167</v>
      </c>
      <c r="F1519" s="1">
        <v>318826.0</v>
      </c>
      <c r="G1519" s="1">
        <v>12594.0</v>
      </c>
      <c r="H1519" s="1">
        <v>1558.0</v>
      </c>
      <c r="I1519" s="1">
        <v>857000.0</v>
      </c>
      <c r="J1519" s="1" t="s">
        <v>2468</v>
      </c>
      <c r="K1519" s="5">
        <f t="shared" si="2"/>
        <v>0.3720256709</v>
      </c>
      <c r="L1519" s="6">
        <f t="shared" si="3"/>
        <v>2601</v>
      </c>
      <c r="M1519" s="6">
        <f t="shared" si="4"/>
        <v>122.5782391</v>
      </c>
      <c r="N1519" s="7">
        <f t="shared" si="5"/>
        <v>0.0001430317843</v>
      </c>
      <c r="O1519" s="7"/>
      <c r="P1519" s="4">
        <f t="shared" si="6"/>
        <v>-0.348779584</v>
      </c>
      <c r="Q1519" s="4">
        <f t="shared" si="7"/>
        <v>11</v>
      </c>
      <c r="R1519" s="4">
        <f t="shared" si="8"/>
        <v>0</v>
      </c>
      <c r="S1519" s="4">
        <f t="shared" si="9"/>
        <v>-0.348779584</v>
      </c>
      <c r="T1519" s="4">
        <f t="shared" si="10"/>
        <v>52</v>
      </c>
      <c r="U1519" s="4">
        <f t="shared" si="1"/>
        <v>-0.348779584</v>
      </c>
      <c r="V1519" s="4"/>
    </row>
    <row r="1520">
      <c r="A1520" s="1" t="s">
        <v>18381</v>
      </c>
      <c r="B1520" s="1" t="s">
        <v>18382</v>
      </c>
      <c r="C1520" s="1" t="s">
        <v>18383</v>
      </c>
      <c r="D1520" s="1" t="s">
        <v>18166</v>
      </c>
      <c r="E1520" s="1" t="s">
        <v>18167</v>
      </c>
      <c r="F1520" s="1">
        <v>207627.0</v>
      </c>
      <c r="G1520" s="1">
        <v>8657.0</v>
      </c>
      <c r="H1520" s="1">
        <v>1263.0</v>
      </c>
      <c r="I1520" s="1">
        <v>857000.0</v>
      </c>
      <c r="J1520" s="1" t="s">
        <v>2468</v>
      </c>
      <c r="K1520" s="5">
        <f t="shared" si="2"/>
        <v>0.2422718786</v>
      </c>
      <c r="L1520" s="6">
        <f t="shared" si="3"/>
        <v>2614</v>
      </c>
      <c r="M1520" s="6">
        <f t="shared" si="4"/>
        <v>79.42884468</v>
      </c>
      <c r="N1520" s="7">
        <f t="shared" si="5"/>
        <v>0.00009268243253</v>
      </c>
      <c r="O1520" s="7"/>
      <c r="P1520" s="4">
        <f t="shared" si="6"/>
        <v>-0.3842438259</v>
      </c>
      <c r="Q1520" s="4">
        <f t="shared" si="7"/>
        <v>11</v>
      </c>
      <c r="R1520" s="4">
        <f t="shared" si="8"/>
        <v>1</v>
      </c>
      <c r="S1520" s="4">
        <f t="shared" si="9"/>
        <v>-0.3842438259</v>
      </c>
      <c r="T1520" s="4">
        <f t="shared" si="10"/>
        <v>48</v>
      </c>
      <c r="U1520" s="4">
        <f t="shared" si="1"/>
        <v>-0.3842438259</v>
      </c>
      <c r="V1520" s="4"/>
    </row>
    <row r="1521">
      <c r="A1521" s="1" t="s">
        <v>18384</v>
      </c>
      <c r="B1521" s="1" t="s">
        <v>18385</v>
      </c>
      <c r="C1521" s="1" t="s">
        <v>18386</v>
      </c>
      <c r="D1521" s="1" t="s">
        <v>18166</v>
      </c>
      <c r="E1521" s="1" t="s">
        <v>18167</v>
      </c>
      <c r="F1521" s="1">
        <v>536704.0</v>
      </c>
      <c r="G1521" s="1">
        <v>21727.0</v>
      </c>
      <c r="H1521" s="1">
        <v>2056.0</v>
      </c>
      <c r="I1521" s="1">
        <v>857000.0</v>
      </c>
      <c r="J1521" s="1" t="s">
        <v>2468</v>
      </c>
      <c r="K1521" s="5">
        <f t="shared" si="2"/>
        <v>0.6262590432</v>
      </c>
      <c r="L1521" s="6">
        <f t="shared" si="3"/>
        <v>2650</v>
      </c>
      <c r="M1521" s="6">
        <f t="shared" si="4"/>
        <v>202.5298113</v>
      </c>
      <c r="N1521" s="7">
        <f t="shared" si="5"/>
        <v>0.0002363241672</v>
      </c>
      <c r="O1521" s="7"/>
      <c r="P1521" s="4">
        <f t="shared" si="6"/>
        <v>-0.2830678415</v>
      </c>
      <c r="Q1521" s="4">
        <f t="shared" si="7"/>
        <v>6</v>
      </c>
      <c r="R1521" s="4">
        <f t="shared" si="8"/>
        <v>0</v>
      </c>
      <c r="S1521" s="4">
        <f t="shared" si="9"/>
        <v>-0.2830678415</v>
      </c>
      <c r="T1521" s="4">
        <f t="shared" si="10"/>
        <v>33</v>
      </c>
      <c r="U1521" s="4">
        <f t="shared" si="1"/>
        <v>-0.2830678415</v>
      </c>
      <c r="V1521" s="4"/>
    </row>
    <row r="1522">
      <c r="A1522" s="1" t="s">
        <v>18387</v>
      </c>
      <c r="B1522" s="1" t="s">
        <v>18388</v>
      </c>
      <c r="C1522" s="1" t="s">
        <v>18389</v>
      </c>
      <c r="D1522" s="1" t="s">
        <v>18166</v>
      </c>
      <c r="E1522" s="1" t="s">
        <v>18167</v>
      </c>
      <c r="F1522" s="1">
        <v>40546.0</v>
      </c>
      <c r="G1522" s="1">
        <v>1829.0</v>
      </c>
      <c r="H1522" s="1">
        <v>281.0</v>
      </c>
      <c r="I1522" s="1">
        <v>857000.0</v>
      </c>
      <c r="J1522" s="1" t="s">
        <v>2468</v>
      </c>
      <c r="K1522" s="5">
        <f t="shared" si="2"/>
        <v>0.04731155193</v>
      </c>
      <c r="L1522" s="6">
        <f t="shared" si="3"/>
        <v>2663</v>
      </c>
      <c r="M1522" s="6">
        <f t="shared" si="4"/>
        <v>15.22568532</v>
      </c>
      <c r="N1522" s="7">
        <f t="shared" si="5"/>
        <v>0.00001776626058</v>
      </c>
      <c r="O1522" s="7"/>
      <c r="P1522" s="4">
        <f t="shared" si="6"/>
        <v>-0.4370120375</v>
      </c>
      <c r="Q1522" s="4">
        <f t="shared" si="7"/>
        <v>4</v>
      </c>
      <c r="R1522" s="4">
        <f t="shared" si="8"/>
        <v>0</v>
      </c>
      <c r="S1522" s="4">
        <f t="shared" si="9"/>
        <v>-0.4370120375</v>
      </c>
      <c r="T1522" s="4">
        <f t="shared" si="10"/>
        <v>26</v>
      </c>
      <c r="U1522" s="4">
        <f t="shared" si="1"/>
        <v>-0.4370120375</v>
      </c>
      <c r="V1522" s="4"/>
    </row>
    <row r="1523">
      <c r="A1523" s="1" t="s">
        <v>18390</v>
      </c>
      <c r="B1523" s="1" t="s">
        <v>18391</v>
      </c>
      <c r="C1523" s="1" t="s">
        <v>18392</v>
      </c>
      <c r="D1523" s="1" t="s">
        <v>18166</v>
      </c>
      <c r="E1523" s="1" t="s">
        <v>18167</v>
      </c>
      <c r="F1523" s="1">
        <v>0.0</v>
      </c>
      <c r="G1523" s="1">
        <v>0.0</v>
      </c>
      <c r="H1523" s="1">
        <v>0.0</v>
      </c>
      <c r="I1523" s="1">
        <v>857000.0</v>
      </c>
      <c r="J1523" s="1" t="s">
        <v>2468</v>
      </c>
      <c r="K1523" s="5">
        <f t="shared" si="2"/>
        <v>0</v>
      </c>
      <c r="L1523" s="6">
        <f t="shared" si="3"/>
        <v>2664</v>
      </c>
      <c r="M1523" s="6">
        <f t="shared" si="4"/>
        <v>0</v>
      </c>
      <c r="N1523" s="7">
        <f t="shared" si="5"/>
        <v>0</v>
      </c>
      <c r="O1523" s="7"/>
      <c r="P1523" s="4">
        <f t="shared" si="6"/>
        <v>-0.4495259417</v>
      </c>
      <c r="Q1523" s="4">
        <f t="shared" si="7"/>
        <v>5</v>
      </c>
      <c r="R1523" s="4">
        <f t="shared" si="8"/>
        <v>0</v>
      </c>
      <c r="S1523" s="4">
        <f t="shared" si="9"/>
        <v>-0.4495259417</v>
      </c>
      <c r="T1523" s="4">
        <f t="shared" si="10"/>
        <v>18</v>
      </c>
      <c r="U1523" s="4">
        <f t="shared" si="1"/>
        <v>-0.4495259417</v>
      </c>
      <c r="V1523" s="4"/>
    </row>
    <row r="1524">
      <c r="A1524" s="1" t="s">
        <v>18393</v>
      </c>
      <c r="B1524" s="1" t="s">
        <v>18394</v>
      </c>
      <c r="C1524" s="1" t="s">
        <v>18395</v>
      </c>
      <c r="D1524" s="1" t="s">
        <v>18166</v>
      </c>
      <c r="E1524" s="1" t="s">
        <v>18167</v>
      </c>
      <c r="F1524" s="1">
        <v>566296.0</v>
      </c>
      <c r="G1524" s="1">
        <v>19103.0</v>
      </c>
      <c r="H1524" s="1">
        <v>4824.0</v>
      </c>
      <c r="I1524" s="1">
        <v>857000.0</v>
      </c>
      <c r="J1524" s="1" t="s">
        <v>2468</v>
      </c>
      <c r="K1524" s="5">
        <f t="shared" si="2"/>
        <v>0.6607887981</v>
      </c>
      <c r="L1524" s="6">
        <f t="shared" si="3"/>
        <v>2673</v>
      </c>
      <c r="M1524" s="6">
        <f t="shared" si="4"/>
        <v>211.8578376</v>
      </c>
      <c r="N1524" s="7">
        <f t="shared" si="5"/>
        <v>0.0002472086787</v>
      </c>
      <c r="O1524" s="7"/>
      <c r="P1524" s="4">
        <f t="shared" si="6"/>
        <v>-0.2754011897</v>
      </c>
      <c r="Q1524" s="4">
        <f t="shared" si="7"/>
        <v>10</v>
      </c>
      <c r="R1524" s="4">
        <f t="shared" si="8"/>
        <v>0</v>
      </c>
      <c r="S1524" s="4">
        <f t="shared" si="9"/>
        <v>-0.2754011897</v>
      </c>
      <c r="T1524" s="4">
        <f t="shared" si="10"/>
        <v>43</v>
      </c>
      <c r="U1524" s="4">
        <f t="shared" si="1"/>
        <v>-0.2754011897</v>
      </c>
      <c r="V1524" s="4"/>
    </row>
    <row r="1525">
      <c r="A1525" s="1" t="s">
        <v>18396</v>
      </c>
      <c r="B1525" s="1" t="s">
        <v>18397</v>
      </c>
      <c r="C1525" s="1" t="s">
        <v>18398</v>
      </c>
      <c r="D1525" s="1" t="s">
        <v>18166</v>
      </c>
      <c r="E1525" s="1" t="s">
        <v>18167</v>
      </c>
      <c r="F1525" s="1">
        <v>1463988.0</v>
      </c>
      <c r="G1525" s="1">
        <v>41333.0</v>
      </c>
      <c r="H1525" s="1">
        <v>6151.0</v>
      </c>
      <c r="I1525" s="1">
        <v>857000.0</v>
      </c>
      <c r="J1525" s="1" t="s">
        <v>2468</v>
      </c>
      <c r="K1525" s="5">
        <f t="shared" si="2"/>
        <v>1.708270712</v>
      </c>
      <c r="L1525" s="6">
        <f t="shared" si="3"/>
        <v>2719</v>
      </c>
      <c r="M1525" s="6">
        <f t="shared" si="4"/>
        <v>538.4288341</v>
      </c>
      <c r="N1525" s="7">
        <f t="shared" si="5"/>
        <v>0.0006282716851</v>
      </c>
      <c r="O1525" s="7"/>
      <c r="P1525" s="4">
        <f t="shared" si="6"/>
        <v>-0.006994344649</v>
      </c>
      <c r="Q1525" s="4">
        <f t="shared" si="7"/>
        <v>10</v>
      </c>
      <c r="R1525" s="4">
        <f t="shared" si="8"/>
        <v>0</v>
      </c>
      <c r="S1525" s="4">
        <f t="shared" si="9"/>
        <v>-0.006994344649</v>
      </c>
      <c r="T1525" s="4">
        <f t="shared" si="10"/>
        <v>52</v>
      </c>
      <c r="U1525" s="4">
        <f t="shared" si="1"/>
        <v>-0.006994344649</v>
      </c>
      <c r="V1525" s="4"/>
    </row>
    <row r="1526">
      <c r="A1526" s="1" t="s">
        <v>18399</v>
      </c>
      <c r="B1526" s="1" t="s">
        <v>18400</v>
      </c>
      <c r="C1526" s="1" t="s">
        <v>18401</v>
      </c>
      <c r="D1526" s="1" t="s">
        <v>18166</v>
      </c>
      <c r="E1526" s="1" t="s">
        <v>18167</v>
      </c>
      <c r="F1526" s="1">
        <v>571217.0</v>
      </c>
      <c r="G1526" s="1">
        <v>25909.0</v>
      </c>
      <c r="H1526" s="1">
        <v>2527.0</v>
      </c>
      <c r="I1526" s="1">
        <v>857000.0</v>
      </c>
      <c r="J1526" s="1" t="s">
        <v>2468</v>
      </c>
      <c r="K1526" s="5">
        <f t="shared" si="2"/>
        <v>0.6665309218</v>
      </c>
      <c r="L1526" s="6">
        <f t="shared" si="3"/>
        <v>2733</v>
      </c>
      <c r="M1526" s="6">
        <f t="shared" si="4"/>
        <v>209.007318</v>
      </c>
      <c r="N1526" s="7">
        <f t="shared" si="5"/>
        <v>0.000243882518</v>
      </c>
      <c r="O1526" s="7"/>
      <c r="P1526" s="4">
        <f t="shared" si="6"/>
        <v>-0.2777440156</v>
      </c>
      <c r="Q1526" s="4">
        <f t="shared" si="7"/>
        <v>11</v>
      </c>
      <c r="R1526" s="4">
        <f t="shared" si="8"/>
        <v>0</v>
      </c>
      <c r="S1526" s="4">
        <f t="shared" si="9"/>
        <v>-0.2777440156</v>
      </c>
      <c r="T1526" s="4">
        <f t="shared" si="10"/>
        <v>48</v>
      </c>
      <c r="U1526" s="4">
        <f t="shared" si="1"/>
        <v>-0.2777440156</v>
      </c>
      <c r="V1526" s="4"/>
    </row>
    <row r="1527">
      <c r="A1527" s="1" t="s">
        <v>18402</v>
      </c>
      <c r="B1527" s="1" t="s">
        <v>18403</v>
      </c>
      <c r="C1527" s="1" t="s">
        <v>18404</v>
      </c>
      <c r="D1527" s="1" t="s">
        <v>18166</v>
      </c>
      <c r="E1527" s="1" t="s">
        <v>18167</v>
      </c>
      <c r="F1527" s="1">
        <v>29663.0</v>
      </c>
      <c r="G1527" s="1">
        <v>1591.0</v>
      </c>
      <c r="H1527" s="1">
        <v>200.0</v>
      </c>
      <c r="I1527" s="1">
        <v>857000.0</v>
      </c>
      <c r="J1527" s="1" t="s">
        <v>2468</v>
      </c>
      <c r="K1527" s="5">
        <f t="shared" si="2"/>
        <v>0.0346126021</v>
      </c>
      <c r="L1527" s="6">
        <f t="shared" si="3"/>
        <v>2766</v>
      </c>
      <c r="M1527" s="6">
        <f t="shared" si="4"/>
        <v>10.7241504</v>
      </c>
      <c r="N1527" s="7">
        <f t="shared" si="5"/>
        <v>0.0000125135944</v>
      </c>
      <c r="O1527" s="7"/>
      <c r="P1527" s="4">
        <f t="shared" si="6"/>
        <v>-0.4407118235</v>
      </c>
      <c r="Q1527" s="4">
        <f t="shared" si="7"/>
        <v>8</v>
      </c>
      <c r="R1527" s="4">
        <f t="shared" si="8"/>
        <v>0</v>
      </c>
      <c r="S1527" s="4">
        <f t="shared" si="9"/>
        <v>-0.4407118235</v>
      </c>
      <c r="T1527" s="4">
        <f t="shared" si="10"/>
        <v>41</v>
      </c>
      <c r="U1527" s="4">
        <f t="shared" si="1"/>
        <v>-0.4407118235</v>
      </c>
      <c r="V1527" s="4"/>
    </row>
    <row r="1528">
      <c r="A1528" s="1" t="s">
        <v>18405</v>
      </c>
      <c r="B1528" s="1" t="s">
        <v>18406</v>
      </c>
      <c r="C1528" s="1" t="s">
        <v>18407</v>
      </c>
      <c r="D1528" s="1" t="s">
        <v>18166</v>
      </c>
      <c r="E1528" s="1" t="s">
        <v>18167</v>
      </c>
      <c r="F1528" s="1">
        <v>384690.0</v>
      </c>
      <c r="G1528" s="1">
        <v>14219.0</v>
      </c>
      <c r="H1528" s="1">
        <v>1343.0</v>
      </c>
      <c r="I1528" s="1">
        <v>857000.0</v>
      </c>
      <c r="J1528" s="1" t="s">
        <v>2468</v>
      </c>
      <c r="K1528" s="5">
        <f t="shared" si="2"/>
        <v>0.4488798133</v>
      </c>
      <c r="L1528" s="6">
        <f t="shared" si="3"/>
        <v>2785</v>
      </c>
      <c r="M1528" s="6">
        <f t="shared" si="4"/>
        <v>138.1292639</v>
      </c>
      <c r="N1528" s="7">
        <f t="shared" si="5"/>
        <v>0.0001611776708</v>
      </c>
      <c r="O1528" s="7"/>
      <c r="P1528" s="4">
        <f t="shared" si="6"/>
        <v>-0.3359982852</v>
      </c>
      <c r="Q1528" s="4">
        <f t="shared" si="7"/>
        <v>6</v>
      </c>
      <c r="R1528" s="4">
        <f t="shared" si="8"/>
        <v>0</v>
      </c>
      <c r="S1528" s="4">
        <f t="shared" si="9"/>
        <v>-0.3359982852</v>
      </c>
      <c r="T1528" s="4">
        <f t="shared" si="10"/>
        <v>36</v>
      </c>
      <c r="U1528" s="4">
        <f t="shared" si="1"/>
        <v>-0.3359982852</v>
      </c>
      <c r="V1528" s="4"/>
    </row>
    <row r="1529">
      <c r="A1529" s="1" t="s">
        <v>18408</v>
      </c>
      <c r="B1529" s="1" t="s">
        <v>18409</v>
      </c>
      <c r="C1529" s="1" t="s">
        <v>18410</v>
      </c>
      <c r="D1529" s="1" t="s">
        <v>18166</v>
      </c>
      <c r="E1529" s="1" t="s">
        <v>18167</v>
      </c>
      <c r="F1529" s="1">
        <v>53089.0</v>
      </c>
      <c r="G1529" s="1">
        <v>2110.0</v>
      </c>
      <c r="H1529" s="1">
        <v>631.0</v>
      </c>
      <c r="I1529" s="1">
        <v>857000.0</v>
      </c>
      <c r="J1529" s="1" t="s">
        <v>2468</v>
      </c>
      <c r="K1529" s="5">
        <f t="shared" si="2"/>
        <v>0.06194749125</v>
      </c>
      <c r="L1529" s="6">
        <f t="shared" si="3"/>
        <v>2812</v>
      </c>
      <c r="M1529" s="6">
        <f t="shared" si="4"/>
        <v>18.87944523</v>
      </c>
      <c r="N1529" s="7">
        <f t="shared" si="5"/>
        <v>0.00002202969106</v>
      </c>
      <c r="O1529" s="7"/>
      <c r="P1529" s="4">
        <f t="shared" si="6"/>
        <v>-0.434009033</v>
      </c>
      <c r="Q1529" s="4">
        <f t="shared" si="7"/>
        <v>7</v>
      </c>
      <c r="R1529" s="4">
        <f t="shared" si="8"/>
        <v>1</v>
      </c>
      <c r="S1529" s="4">
        <f t="shared" si="9"/>
        <v>-0.434009033</v>
      </c>
      <c r="T1529" s="4">
        <f t="shared" si="10"/>
        <v>41</v>
      </c>
      <c r="U1529" s="4">
        <f t="shared" si="1"/>
        <v>-0.434009033</v>
      </c>
      <c r="V1529" s="4"/>
    </row>
    <row r="1530">
      <c r="A1530" s="1" t="s">
        <v>18411</v>
      </c>
      <c r="B1530" s="1" t="s">
        <v>18412</v>
      </c>
      <c r="C1530" s="1" t="s">
        <v>18413</v>
      </c>
      <c r="D1530" s="1" t="s">
        <v>18166</v>
      </c>
      <c r="E1530" s="1" t="s">
        <v>18167</v>
      </c>
      <c r="F1530" s="1">
        <v>56970.0</v>
      </c>
      <c r="G1530" s="1">
        <v>2886.0</v>
      </c>
      <c r="H1530" s="1">
        <v>460.0</v>
      </c>
      <c r="I1530" s="1">
        <v>857000.0</v>
      </c>
      <c r="J1530" s="1" t="s">
        <v>2468</v>
      </c>
      <c r="K1530" s="5">
        <f t="shared" si="2"/>
        <v>0.06647607935</v>
      </c>
      <c r="L1530" s="6">
        <f t="shared" si="3"/>
        <v>2833</v>
      </c>
      <c r="M1530" s="6">
        <f t="shared" si="4"/>
        <v>20.10942464</v>
      </c>
      <c r="N1530" s="7">
        <f t="shared" si="5"/>
        <v>0.00002346490623</v>
      </c>
      <c r="O1530" s="7"/>
      <c r="P1530" s="4">
        <f t="shared" si="6"/>
        <v>-0.43299812</v>
      </c>
      <c r="Q1530" s="4">
        <f t="shared" si="7"/>
        <v>8</v>
      </c>
      <c r="R1530" s="4">
        <f t="shared" si="8"/>
        <v>1</v>
      </c>
      <c r="S1530" s="4">
        <f t="shared" si="9"/>
        <v>-0.43299812</v>
      </c>
      <c r="T1530" s="4">
        <f t="shared" si="10"/>
        <v>36</v>
      </c>
      <c r="U1530" s="4">
        <f t="shared" si="1"/>
        <v>-0.43299812</v>
      </c>
      <c r="V1530" s="4"/>
    </row>
    <row r="1531">
      <c r="A1531" s="1" t="s">
        <v>18414</v>
      </c>
      <c r="B1531" s="1" t="s">
        <v>18415</v>
      </c>
      <c r="C1531" s="1" t="s">
        <v>18416</v>
      </c>
      <c r="D1531" s="1" t="s">
        <v>18166</v>
      </c>
      <c r="E1531" s="1" t="s">
        <v>18167</v>
      </c>
      <c r="F1531" s="1">
        <v>65133.0</v>
      </c>
      <c r="G1531" s="1">
        <v>2325.0</v>
      </c>
      <c r="H1531" s="1">
        <v>405.0</v>
      </c>
      <c r="I1531" s="1">
        <v>857000.0</v>
      </c>
      <c r="J1531" s="1" t="s">
        <v>2468</v>
      </c>
      <c r="K1531" s="5">
        <f t="shared" si="2"/>
        <v>0.07600116686</v>
      </c>
      <c r="L1531" s="6">
        <f t="shared" si="3"/>
        <v>2864</v>
      </c>
      <c r="M1531" s="6">
        <f t="shared" si="4"/>
        <v>22.74196927</v>
      </c>
      <c r="N1531" s="7">
        <f t="shared" si="5"/>
        <v>0.00002653672027</v>
      </c>
      <c r="O1531" s="7"/>
      <c r="P1531" s="4">
        <f t="shared" si="6"/>
        <v>-0.4308344465</v>
      </c>
      <c r="Q1531" s="4">
        <f t="shared" si="7"/>
        <v>9</v>
      </c>
      <c r="R1531" s="4">
        <f t="shared" si="8"/>
        <v>0</v>
      </c>
      <c r="S1531" s="4">
        <f t="shared" si="9"/>
        <v>-0.4308344465</v>
      </c>
      <c r="T1531" s="4">
        <f t="shared" si="10"/>
        <v>49</v>
      </c>
      <c r="U1531" s="4">
        <f t="shared" si="1"/>
        <v>-0.4308344465</v>
      </c>
      <c r="V1531" s="4"/>
    </row>
    <row r="1532">
      <c r="A1532" s="1" t="s">
        <v>18417</v>
      </c>
      <c r="B1532" s="1" t="s">
        <v>18418</v>
      </c>
      <c r="C1532" s="1" t="s">
        <v>18419</v>
      </c>
      <c r="D1532" s="1" t="s">
        <v>18166</v>
      </c>
      <c r="E1532" s="1" t="s">
        <v>18167</v>
      </c>
      <c r="F1532" s="1">
        <v>411580.0</v>
      </c>
      <c r="G1532" s="1">
        <v>13647.0</v>
      </c>
      <c r="H1532" s="1">
        <v>1656.0</v>
      </c>
      <c r="I1532" s="1">
        <v>857000.0</v>
      </c>
      <c r="J1532" s="1" t="s">
        <v>2468</v>
      </c>
      <c r="K1532" s="5">
        <f t="shared" si="2"/>
        <v>0.4802567095</v>
      </c>
      <c r="L1532" s="6">
        <f t="shared" si="3"/>
        <v>2869</v>
      </c>
      <c r="M1532" s="6">
        <f t="shared" si="4"/>
        <v>143.4576507</v>
      </c>
      <c r="N1532" s="7">
        <f t="shared" si="5"/>
        <v>0.0001673951584</v>
      </c>
      <c r="O1532" s="7"/>
      <c r="P1532" s="4">
        <f t="shared" si="6"/>
        <v>-0.3316189143</v>
      </c>
      <c r="Q1532" s="4">
        <f t="shared" si="7"/>
        <v>6</v>
      </c>
      <c r="R1532" s="4">
        <f t="shared" si="8"/>
        <v>0</v>
      </c>
      <c r="S1532" s="4">
        <f t="shared" si="9"/>
        <v>-0.3316189143</v>
      </c>
      <c r="T1532" s="4">
        <f t="shared" si="10"/>
        <v>32</v>
      </c>
      <c r="U1532" s="4">
        <f t="shared" si="1"/>
        <v>-0.3316189143</v>
      </c>
      <c r="V1532" s="4"/>
    </row>
    <row r="1533">
      <c r="A1533" s="1" t="s">
        <v>18420</v>
      </c>
      <c r="B1533" s="1" t="s">
        <v>18421</v>
      </c>
      <c r="C1533" s="1" t="s">
        <v>18422</v>
      </c>
      <c r="D1533" s="1" t="s">
        <v>18166</v>
      </c>
      <c r="E1533" s="1" t="s">
        <v>18167</v>
      </c>
      <c r="F1533" s="1">
        <v>518964.0</v>
      </c>
      <c r="G1533" s="1">
        <v>19959.0</v>
      </c>
      <c r="H1533" s="1">
        <v>1067.0</v>
      </c>
      <c r="I1533" s="1">
        <v>857000.0</v>
      </c>
      <c r="J1533" s="1" t="s">
        <v>2468</v>
      </c>
      <c r="K1533" s="5">
        <f t="shared" si="2"/>
        <v>0.6055589265</v>
      </c>
      <c r="L1533" s="6">
        <f t="shared" si="3"/>
        <v>2886</v>
      </c>
      <c r="M1533" s="6">
        <f t="shared" si="4"/>
        <v>179.8212058</v>
      </c>
      <c r="N1533" s="7">
        <f t="shared" si="5"/>
        <v>0.0002098263779</v>
      </c>
      <c r="O1533" s="7"/>
      <c r="P1533" s="4">
        <f t="shared" si="6"/>
        <v>-0.3017319152</v>
      </c>
      <c r="Q1533" s="4">
        <f t="shared" si="7"/>
        <v>5</v>
      </c>
      <c r="R1533" s="4">
        <f t="shared" si="8"/>
        <v>1</v>
      </c>
      <c r="S1533" s="4">
        <f t="shared" si="9"/>
        <v>-0.3017319152</v>
      </c>
      <c r="T1533" s="4">
        <f t="shared" si="10"/>
        <v>30</v>
      </c>
      <c r="U1533" s="4">
        <f t="shared" si="1"/>
        <v>-0.3017319152</v>
      </c>
      <c r="V1533" s="4"/>
    </row>
    <row r="1534">
      <c r="A1534" s="1" t="s">
        <v>18423</v>
      </c>
      <c r="B1534" s="1" t="s">
        <v>18424</v>
      </c>
      <c r="C1534" s="1" t="s">
        <v>18425</v>
      </c>
      <c r="D1534" s="1" t="s">
        <v>18166</v>
      </c>
      <c r="E1534" s="1" t="s">
        <v>18167</v>
      </c>
      <c r="F1534" s="1">
        <v>291266.0</v>
      </c>
      <c r="G1534" s="1">
        <v>12206.0</v>
      </c>
      <c r="H1534" s="1">
        <v>918.0</v>
      </c>
      <c r="I1534" s="1">
        <v>857000.0</v>
      </c>
      <c r="J1534" s="1" t="s">
        <v>2468</v>
      </c>
      <c r="K1534" s="5">
        <f t="shared" si="2"/>
        <v>0.3398669778</v>
      </c>
      <c r="L1534" s="6">
        <f t="shared" si="3"/>
        <v>2905</v>
      </c>
      <c r="M1534" s="6">
        <f t="shared" si="4"/>
        <v>100.2636833</v>
      </c>
      <c r="N1534" s="7">
        <f t="shared" si="5"/>
        <v>0.0001169937962</v>
      </c>
      <c r="O1534" s="7"/>
      <c r="P1534" s="4">
        <f t="shared" si="6"/>
        <v>-0.3671197905</v>
      </c>
      <c r="Q1534" s="4">
        <f t="shared" si="7"/>
        <v>6</v>
      </c>
      <c r="R1534" s="4">
        <f t="shared" si="8"/>
        <v>0</v>
      </c>
      <c r="S1534" s="4">
        <f t="shared" si="9"/>
        <v>-0.3671197905</v>
      </c>
      <c r="T1534" s="4">
        <f t="shared" si="10"/>
        <v>52</v>
      </c>
      <c r="U1534" s="4">
        <f t="shared" si="1"/>
        <v>-0.3671197905</v>
      </c>
      <c r="V1534" s="4"/>
    </row>
    <row r="1535">
      <c r="A1535" s="1" t="s">
        <v>18426</v>
      </c>
      <c r="B1535" s="1" t="s">
        <v>18427</v>
      </c>
      <c r="C1535" s="1" t="s">
        <v>18428</v>
      </c>
      <c r="D1535" s="1" t="s">
        <v>18166</v>
      </c>
      <c r="E1535" s="1" t="s">
        <v>18167</v>
      </c>
      <c r="F1535" s="1">
        <v>185508.0</v>
      </c>
      <c r="G1535" s="1">
        <v>7322.0</v>
      </c>
      <c r="H1535" s="1">
        <v>745.0</v>
      </c>
      <c r="I1535" s="1">
        <v>857000.0</v>
      </c>
      <c r="J1535" s="1" t="s">
        <v>2468</v>
      </c>
      <c r="K1535" s="5">
        <f t="shared" si="2"/>
        <v>0.216462077</v>
      </c>
      <c r="L1535" s="6">
        <f t="shared" si="3"/>
        <v>2929</v>
      </c>
      <c r="M1535" s="6">
        <f t="shared" si="4"/>
        <v>63.3349266</v>
      </c>
      <c r="N1535" s="7">
        <f t="shared" si="5"/>
        <v>0.00007390306487</v>
      </c>
      <c r="O1535" s="7"/>
      <c r="P1535" s="4">
        <f t="shared" si="6"/>
        <v>-0.3974713257</v>
      </c>
      <c r="Q1535" s="4">
        <f t="shared" si="7"/>
        <v>14</v>
      </c>
      <c r="R1535" s="4">
        <f t="shared" si="8"/>
        <v>1</v>
      </c>
      <c r="S1535" s="4">
        <f t="shared" si="9"/>
        <v>-0.3974713257</v>
      </c>
      <c r="T1535" s="4">
        <f t="shared" si="10"/>
        <v>65</v>
      </c>
      <c r="U1535" s="4">
        <f t="shared" si="1"/>
        <v>-0.3974713257</v>
      </c>
      <c r="V1535" s="4"/>
    </row>
    <row r="1536">
      <c r="A1536" s="1" t="s">
        <v>18429</v>
      </c>
      <c r="B1536" s="1" t="s">
        <v>18430</v>
      </c>
      <c r="C1536" s="1" t="s">
        <v>18431</v>
      </c>
      <c r="D1536" s="1" t="s">
        <v>18166</v>
      </c>
      <c r="E1536" s="1" t="s">
        <v>18167</v>
      </c>
      <c r="F1536" s="1">
        <v>283729.0</v>
      </c>
      <c r="G1536" s="1">
        <v>9146.0</v>
      </c>
      <c r="H1536" s="1">
        <v>763.0</v>
      </c>
      <c r="I1536" s="1">
        <v>857000.0</v>
      </c>
      <c r="J1536" s="1" t="s">
        <v>2468</v>
      </c>
      <c r="K1536" s="5">
        <f t="shared" si="2"/>
        <v>0.3310723454</v>
      </c>
      <c r="L1536" s="6">
        <f t="shared" si="3"/>
        <v>2936</v>
      </c>
      <c r="M1536" s="6">
        <f t="shared" si="4"/>
        <v>96.63794278</v>
      </c>
      <c r="N1536" s="7">
        <f t="shared" si="5"/>
        <v>0.0001127630604</v>
      </c>
      <c r="O1536" s="7"/>
      <c r="P1536" s="4">
        <f t="shared" si="6"/>
        <v>-0.3700997661</v>
      </c>
      <c r="Q1536" s="4">
        <f t="shared" si="7"/>
        <v>10</v>
      </c>
      <c r="R1536" s="4">
        <f t="shared" si="8"/>
        <v>1</v>
      </c>
      <c r="S1536" s="4">
        <f t="shared" si="9"/>
        <v>-0.3700997661</v>
      </c>
      <c r="T1536" s="4">
        <f t="shared" si="10"/>
        <v>38</v>
      </c>
      <c r="U1536" s="4">
        <f t="shared" si="1"/>
        <v>-0.3700997661</v>
      </c>
      <c r="V1536" s="4"/>
    </row>
    <row r="1537">
      <c r="A1537" s="1" t="s">
        <v>18432</v>
      </c>
      <c r="B1537" s="1" t="s">
        <v>18433</v>
      </c>
      <c r="C1537" s="1" t="s">
        <v>18434</v>
      </c>
      <c r="D1537" s="1" t="s">
        <v>18166</v>
      </c>
      <c r="E1537" s="1" t="s">
        <v>18167</v>
      </c>
      <c r="F1537" s="1">
        <v>197106.0</v>
      </c>
      <c r="G1537" s="1">
        <v>7369.0</v>
      </c>
      <c r="H1537" s="1">
        <v>783.0</v>
      </c>
      <c r="I1537" s="1">
        <v>857000.0</v>
      </c>
      <c r="J1537" s="1" t="s">
        <v>2468</v>
      </c>
      <c r="K1537" s="5">
        <f t="shared" si="2"/>
        <v>0.2299953326</v>
      </c>
      <c r="L1537" s="6">
        <f t="shared" si="3"/>
        <v>2947</v>
      </c>
      <c r="M1537" s="6">
        <f t="shared" si="4"/>
        <v>66.88361045</v>
      </c>
      <c r="N1537" s="7">
        <f t="shared" si="5"/>
        <v>0.00007804388617</v>
      </c>
      <c r="O1537" s="7"/>
      <c r="P1537" s="4">
        <f t="shared" si="6"/>
        <v>-0.3945546826</v>
      </c>
      <c r="Q1537" s="4">
        <f t="shared" si="7"/>
        <v>4</v>
      </c>
      <c r="R1537" s="4">
        <f t="shared" si="8"/>
        <v>0</v>
      </c>
      <c r="S1537" s="4">
        <f t="shared" si="9"/>
        <v>-0.3945546826</v>
      </c>
      <c r="T1537" s="4">
        <f t="shared" si="10"/>
        <v>27</v>
      </c>
      <c r="U1537" s="4">
        <f t="shared" si="1"/>
        <v>-0.3945546826</v>
      </c>
      <c r="V1537" s="4"/>
    </row>
    <row r="1538">
      <c r="A1538" s="1" t="s">
        <v>18435</v>
      </c>
      <c r="B1538" s="1" t="s">
        <v>18436</v>
      </c>
      <c r="C1538" s="1" t="s">
        <v>18437</v>
      </c>
      <c r="D1538" s="1" t="s">
        <v>18166</v>
      </c>
      <c r="E1538" s="1" t="s">
        <v>18167</v>
      </c>
      <c r="F1538" s="1">
        <v>267530.0</v>
      </c>
      <c r="G1538" s="1">
        <v>10915.0</v>
      </c>
      <c r="H1538" s="1">
        <v>1072.0</v>
      </c>
      <c r="I1538" s="1">
        <v>857000.0</v>
      </c>
      <c r="J1538" s="1" t="s">
        <v>2468</v>
      </c>
      <c r="K1538" s="5">
        <f t="shared" si="2"/>
        <v>0.3121703617</v>
      </c>
      <c r="L1538" s="6">
        <f t="shared" si="3"/>
        <v>2967</v>
      </c>
      <c r="M1538" s="6">
        <f t="shared" si="4"/>
        <v>90.16852039</v>
      </c>
      <c r="N1538" s="7">
        <f t="shared" si="5"/>
        <v>0.0001052141428</v>
      </c>
      <c r="O1538" s="7"/>
      <c r="P1538" s="4">
        <f t="shared" si="6"/>
        <v>-0.3754169475</v>
      </c>
      <c r="Q1538" s="4">
        <f t="shared" si="7"/>
        <v>9</v>
      </c>
      <c r="R1538" s="4">
        <f t="shared" si="8"/>
        <v>0</v>
      </c>
      <c r="S1538" s="4">
        <f t="shared" si="9"/>
        <v>-0.3754169475</v>
      </c>
      <c r="T1538" s="4">
        <f t="shared" si="10"/>
        <v>43</v>
      </c>
      <c r="U1538" s="4">
        <f t="shared" si="1"/>
        <v>-0.3754169475</v>
      </c>
      <c r="V1538" s="4"/>
    </row>
    <row r="1539">
      <c r="A1539" s="1" t="s">
        <v>18438</v>
      </c>
      <c r="B1539" s="1" t="s">
        <v>18439</v>
      </c>
      <c r="C1539" s="1" t="s">
        <v>18440</v>
      </c>
      <c r="D1539" s="1" t="s">
        <v>18166</v>
      </c>
      <c r="E1539" s="1" t="s">
        <v>18167</v>
      </c>
      <c r="F1539" s="1">
        <v>125499.0</v>
      </c>
      <c r="G1539" s="1">
        <v>7262.0</v>
      </c>
      <c r="H1539" s="1">
        <v>630.0</v>
      </c>
      <c r="I1539" s="1">
        <v>857000.0</v>
      </c>
      <c r="J1539" s="1" t="s">
        <v>2468</v>
      </c>
      <c r="K1539" s="5">
        <f t="shared" si="2"/>
        <v>0.1464399067</v>
      </c>
      <c r="L1539" s="6">
        <f t="shared" si="3"/>
        <v>2974</v>
      </c>
      <c r="M1539" s="6">
        <f t="shared" si="4"/>
        <v>42.19872226</v>
      </c>
      <c r="N1539" s="7">
        <f t="shared" si="5"/>
        <v>0.00004924004931</v>
      </c>
      <c r="O1539" s="7"/>
      <c r="P1539" s="4">
        <f t="shared" si="6"/>
        <v>-0.4148430519</v>
      </c>
      <c r="Q1539" s="4">
        <f t="shared" si="7"/>
        <v>8</v>
      </c>
      <c r="R1539" s="4">
        <f t="shared" si="8"/>
        <v>0</v>
      </c>
      <c r="S1539" s="4">
        <f t="shared" si="9"/>
        <v>-0.4148430519</v>
      </c>
      <c r="T1539" s="4">
        <f t="shared" si="10"/>
        <v>48</v>
      </c>
      <c r="U1539" s="4">
        <f t="shared" si="1"/>
        <v>-0.4148430519</v>
      </c>
      <c r="V1539" s="4"/>
    </row>
    <row r="1540">
      <c r="A1540" s="1" t="s">
        <v>18441</v>
      </c>
      <c r="B1540" s="1" t="s">
        <v>18442</v>
      </c>
      <c r="C1540" s="1" t="s">
        <v>18443</v>
      </c>
      <c r="D1540" s="1" t="s">
        <v>18166</v>
      </c>
      <c r="E1540" s="1" t="s">
        <v>18167</v>
      </c>
      <c r="F1540" s="1">
        <v>1636910.0</v>
      </c>
      <c r="G1540" s="1">
        <v>53756.0</v>
      </c>
      <c r="H1540" s="1">
        <v>3407.0</v>
      </c>
      <c r="I1540" s="1">
        <v>857000.0</v>
      </c>
      <c r="J1540" s="1" t="s">
        <v>2468</v>
      </c>
      <c r="K1540" s="5">
        <f t="shared" si="2"/>
        <v>1.910046674</v>
      </c>
      <c r="L1540" s="6">
        <f t="shared" si="3"/>
        <v>2981</v>
      </c>
      <c r="M1540" s="6">
        <f t="shared" si="4"/>
        <v>549.1143911</v>
      </c>
      <c r="N1540" s="7">
        <f t="shared" si="5"/>
        <v>0.0006407402464</v>
      </c>
      <c r="O1540" s="7"/>
      <c r="P1540" s="4">
        <f t="shared" si="6"/>
        <v>0.001788053898</v>
      </c>
      <c r="Q1540" s="4">
        <f t="shared" si="7"/>
        <v>6</v>
      </c>
      <c r="R1540" s="4">
        <f t="shared" si="8"/>
        <v>1</v>
      </c>
      <c r="S1540" s="4">
        <f t="shared" si="9"/>
        <v>0.001788053898</v>
      </c>
      <c r="T1540" s="4">
        <f t="shared" si="10"/>
        <v>36</v>
      </c>
      <c r="U1540" s="4">
        <f t="shared" si="1"/>
        <v>0.001788053898</v>
      </c>
      <c r="V1540" s="4"/>
    </row>
    <row r="1541">
      <c r="A1541" s="1" t="s">
        <v>18444</v>
      </c>
      <c r="B1541" s="1" t="s">
        <v>18445</v>
      </c>
      <c r="C1541" s="1" t="s">
        <v>18446</v>
      </c>
      <c r="D1541" s="1" t="s">
        <v>18166</v>
      </c>
      <c r="E1541" s="1" t="s">
        <v>18167</v>
      </c>
      <c r="F1541" s="1">
        <v>109464.0</v>
      </c>
      <c r="G1541" s="1">
        <v>4395.0</v>
      </c>
      <c r="H1541" s="1">
        <v>709.0</v>
      </c>
      <c r="I1541" s="1">
        <v>857000.0</v>
      </c>
      <c r="J1541" s="1" t="s">
        <v>2468</v>
      </c>
      <c r="K1541" s="5">
        <f t="shared" si="2"/>
        <v>0.1277292882</v>
      </c>
      <c r="L1541" s="6">
        <f t="shared" si="3"/>
        <v>2986</v>
      </c>
      <c r="M1541" s="6">
        <f t="shared" si="4"/>
        <v>36.65907569</v>
      </c>
      <c r="N1541" s="7">
        <f t="shared" si="5"/>
        <v>0.00004277605098</v>
      </c>
      <c r="O1541" s="7"/>
      <c r="P1541" s="4">
        <f t="shared" si="6"/>
        <v>-0.4193960559</v>
      </c>
      <c r="Q1541" s="4">
        <f t="shared" si="7"/>
        <v>20</v>
      </c>
      <c r="R1541" s="4">
        <f t="shared" si="8"/>
        <v>1</v>
      </c>
      <c r="S1541" s="4">
        <f t="shared" si="9"/>
        <v>-0.4193960559</v>
      </c>
      <c r="T1541" s="4">
        <f t="shared" si="10"/>
        <v>63</v>
      </c>
      <c r="U1541" s="4">
        <f t="shared" si="1"/>
        <v>-0.4193960559</v>
      </c>
      <c r="V1541" s="4"/>
    </row>
    <row r="1542">
      <c r="A1542" s="1" t="s">
        <v>18447</v>
      </c>
      <c r="B1542" s="1" t="s">
        <v>18448</v>
      </c>
      <c r="C1542" s="1" t="s">
        <v>18449</v>
      </c>
      <c r="D1542" s="1" t="s">
        <v>18166</v>
      </c>
      <c r="E1542" s="1" t="s">
        <v>18167</v>
      </c>
      <c r="F1542" s="1">
        <v>199458.0</v>
      </c>
      <c r="G1542" s="1">
        <v>7968.0</v>
      </c>
      <c r="H1542" s="1">
        <v>511.0</v>
      </c>
      <c r="I1542" s="1">
        <v>857000.0</v>
      </c>
      <c r="J1542" s="1" t="s">
        <v>2468</v>
      </c>
      <c r="K1542" s="5">
        <f t="shared" si="2"/>
        <v>0.23273979</v>
      </c>
      <c r="L1542" s="6">
        <f t="shared" si="3"/>
        <v>2989</v>
      </c>
      <c r="M1542" s="6">
        <f t="shared" si="4"/>
        <v>66.73067916</v>
      </c>
      <c r="N1542" s="7">
        <f t="shared" si="5"/>
        <v>0.00007786543659</v>
      </c>
      <c r="O1542" s="7"/>
      <c r="P1542" s="4">
        <f t="shared" si="6"/>
        <v>-0.394680376</v>
      </c>
      <c r="Q1542" s="4">
        <f t="shared" si="7"/>
        <v>10</v>
      </c>
      <c r="R1542" s="4">
        <f t="shared" si="8"/>
        <v>0</v>
      </c>
      <c r="S1542" s="4">
        <f t="shared" si="9"/>
        <v>-0.394680376</v>
      </c>
      <c r="T1542" s="4">
        <f t="shared" si="10"/>
        <v>66</v>
      </c>
      <c r="U1542" s="4">
        <f t="shared" si="1"/>
        <v>-0.394680376</v>
      </c>
      <c r="V1542" s="4"/>
    </row>
    <row r="1543">
      <c r="A1543" s="1" t="s">
        <v>18450</v>
      </c>
      <c r="B1543" s="1" t="s">
        <v>18451</v>
      </c>
      <c r="C1543" s="1" t="s">
        <v>18452</v>
      </c>
      <c r="D1543" s="1" t="s">
        <v>18166</v>
      </c>
      <c r="E1543" s="1" t="s">
        <v>18167</v>
      </c>
      <c r="F1543" s="1">
        <v>218078.0</v>
      </c>
      <c r="G1543" s="1">
        <v>10073.0</v>
      </c>
      <c r="H1543" s="1">
        <v>682.0</v>
      </c>
      <c r="I1543" s="1">
        <v>857000.0</v>
      </c>
      <c r="J1543" s="1" t="s">
        <v>2468</v>
      </c>
      <c r="K1543" s="5">
        <f t="shared" si="2"/>
        <v>0.2544667445</v>
      </c>
      <c r="L1543" s="6">
        <f t="shared" si="3"/>
        <v>3031</v>
      </c>
      <c r="M1543" s="6">
        <f t="shared" si="4"/>
        <v>71.94919169</v>
      </c>
      <c r="N1543" s="7">
        <f t="shared" si="5"/>
        <v>0.00008395471609</v>
      </c>
      <c r="O1543" s="7"/>
      <c r="P1543" s="4">
        <f t="shared" si="6"/>
        <v>-0.3903913102</v>
      </c>
      <c r="Q1543" s="4">
        <f t="shared" si="7"/>
        <v>9</v>
      </c>
      <c r="R1543" s="4">
        <f t="shared" si="8"/>
        <v>0</v>
      </c>
      <c r="S1543" s="4">
        <f t="shared" si="9"/>
        <v>-0.3903913102</v>
      </c>
      <c r="T1543" s="4">
        <f t="shared" si="10"/>
        <v>39</v>
      </c>
      <c r="U1543" s="4">
        <f t="shared" si="1"/>
        <v>-0.3903913102</v>
      </c>
      <c r="V1543" s="4"/>
    </row>
    <row r="1544">
      <c r="A1544" s="1" t="s">
        <v>18453</v>
      </c>
      <c r="B1544" s="1" t="s">
        <v>18454</v>
      </c>
      <c r="C1544" s="1" t="s">
        <v>18455</v>
      </c>
      <c r="D1544" s="1" t="s">
        <v>18166</v>
      </c>
      <c r="E1544" s="1" t="s">
        <v>18167</v>
      </c>
      <c r="F1544" s="1">
        <v>325128.0</v>
      </c>
      <c r="G1544" s="1">
        <v>12825.0</v>
      </c>
      <c r="H1544" s="1">
        <v>885.0</v>
      </c>
      <c r="I1544" s="1">
        <v>857000.0</v>
      </c>
      <c r="J1544" s="1" t="s">
        <v>2468</v>
      </c>
      <c r="K1544" s="5">
        <f t="shared" si="2"/>
        <v>0.3793792299</v>
      </c>
      <c r="L1544" s="6">
        <f t="shared" si="3"/>
        <v>3087</v>
      </c>
      <c r="M1544" s="6">
        <f t="shared" si="4"/>
        <v>105.3216715</v>
      </c>
      <c r="N1544" s="7">
        <f t="shared" si="5"/>
        <v>0.0001228957661</v>
      </c>
      <c r="O1544" s="7"/>
      <c r="P1544" s="4">
        <f t="shared" si="6"/>
        <v>-0.3629626588</v>
      </c>
      <c r="Q1544" s="4">
        <f t="shared" si="7"/>
        <v>7</v>
      </c>
      <c r="R1544" s="4">
        <f t="shared" si="8"/>
        <v>0</v>
      </c>
      <c r="S1544" s="4">
        <f t="shared" si="9"/>
        <v>-0.3629626588</v>
      </c>
      <c r="T1544" s="4">
        <f t="shared" si="10"/>
        <v>43</v>
      </c>
      <c r="U1544" s="4">
        <f t="shared" si="1"/>
        <v>-0.3629626588</v>
      </c>
      <c r="V1544" s="4"/>
    </row>
    <row r="1545">
      <c r="A1545" s="1" t="s">
        <v>18456</v>
      </c>
      <c r="B1545" s="1" t="s">
        <v>18457</v>
      </c>
      <c r="C1545" s="1" t="s">
        <v>18458</v>
      </c>
      <c r="D1545" s="1" t="s">
        <v>18166</v>
      </c>
      <c r="E1545" s="1" t="s">
        <v>18167</v>
      </c>
      <c r="F1545" s="1">
        <v>84173.0</v>
      </c>
      <c r="G1545" s="1">
        <v>3729.0</v>
      </c>
      <c r="H1545" s="1">
        <v>299.0</v>
      </c>
      <c r="I1545" s="1">
        <v>857000.0</v>
      </c>
      <c r="J1545" s="1" t="s">
        <v>2468</v>
      </c>
      <c r="K1545" s="5">
        <f t="shared" si="2"/>
        <v>0.09821820303</v>
      </c>
      <c r="L1545" s="6">
        <f t="shared" si="3"/>
        <v>3103</v>
      </c>
      <c r="M1545" s="6">
        <f t="shared" si="4"/>
        <v>27.12632936</v>
      </c>
      <c r="N1545" s="7">
        <f t="shared" si="5"/>
        <v>0.0000316526597</v>
      </c>
      <c r="O1545" s="7"/>
      <c r="P1545" s="4">
        <f t="shared" si="6"/>
        <v>-0.4272309659</v>
      </c>
      <c r="Q1545" s="4">
        <f t="shared" si="7"/>
        <v>8</v>
      </c>
      <c r="R1545" s="4">
        <f t="shared" si="8"/>
        <v>0</v>
      </c>
      <c r="S1545" s="4">
        <f t="shared" si="9"/>
        <v>-0.4272309659</v>
      </c>
      <c r="T1545" s="4">
        <f t="shared" si="10"/>
        <v>41</v>
      </c>
      <c r="U1545" s="4">
        <f t="shared" si="1"/>
        <v>-0.4272309659</v>
      </c>
      <c r="V1545" s="4"/>
    </row>
    <row r="1546">
      <c r="A1546" s="1" t="s">
        <v>18459</v>
      </c>
      <c r="B1546" s="1" t="s">
        <v>18460</v>
      </c>
      <c r="C1546" s="1" t="s">
        <v>18461</v>
      </c>
      <c r="D1546" s="1" t="s">
        <v>18166</v>
      </c>
      <c r="E1546" s="1" t="s">
        <v>18167</v>
      </c>
      <c r="F1546" s="1">
        <v>414526.0</v>
      </c>
      <c r="G1546" s="1">
        <v>17726.0</v>
      </c>
      <c r="H1546" s="1">
        <v>1793.0</v>
      </c>
      <c r="I1546" s="1">
        <v>857000.0</v>
      </c>
      <c r="J1546" s="1" t="s">
        <v>2468</v>
      </c>
      <c r="K1546" s="5">
        <f t="shared" si="2"/>
        <v>0.4836942824</v>
      </c>
      <c r="L1546" s="6">
        <f t="shared" si="3"/>
        <v>3142</v>
      </c>
      <c r="M1546" s="6">
        <f t="shared" si="4"/>
        <v>131.9306174</v>
      </c>
      <c r="N1546" s="7">
        <f t="shared" si="5"/>
        <v>0.0001539447111</v>
      </c>
      <c r="O1546" s="7"/>
      <c r="P1546" s="4">
        <f t="shared" si="6"/>
        <v>-0.3410929174</v>
      </c>
      <c r="Q1546" s="4">
        <f t="shared" si="7"/>
        <v>5</v>
      </c>
      <c r="R1546" s="4">
        <f t="shared" si="8"/>
        <v>1</v>
      </c>
      <c r="S1546" s="4">
        <f t="shared" si="9"/>
        <v>-0.3410929174</v>
      </c>
      <c r="T1546" s="4">
        <f t="shared" si="10"/>
        <v>26</v>
      </c>
      <c r="U1546" s="4">
        <f t="shared" si="1"/>
        <v>-0.3410929174</v>
      </c>
      <c r="V1546" s="4"/>
    </row>
    <row r="1547">
      <c r="A1547" s="1" t="s">
        <v>18462</v>
      </c>
      <c r="B1547" s="1" t="s">
        <v>18463</v>
      </c>
      <c r="C1547" s="1" t="s">
        <v>18464</v>
      </c>
      <c r="D1547" s="1" t="s">
        <v>18465</v>
      </c>
      <c r="E1547" s="1" t="s">
        <v>18466</v>
      </c>
      <c r="F1547" s="1">
        <v>1567459.0</v>
      </c>
      <c r="G1547" s="1">
        <v>39815.0</v>
      </c>
      <c r="H1547" s="1">
        <v>338.0</v>
      </c>
      <c r="I1547" s="1">
        <v>8.15E7</v>
      </c>
      <c r="J1547" s="1" t="s">
        <v>2468</v>
      </c>
      <c r="K1547" s="5">
        <f t="shared" si="2"/>
        <v>0.01923262577</v>
      </c>
      <c r="L1547" s="6">
        <f t="shared" si="3"/>
        <v>49</v>
      </c>
      <c r="M1547" s="6">
        <f t="shared" si="4"/>
        <v>31988.95918</v>
      </c>
      <c r="N1547" s="7">
        <f t="shared" si="5"/>
        <v>0.0003925025667</v>
      </c>
      <c r="O1547" s="7"/>
      <c r="P1547" s="4">
        <f t="shared" si="6"/>
        <v>-0.1730614888</v>
      </c>
      <c r="Q1547" s="4">
        <f t="shared" si="7"/>
        <v>6</v>
      </c>
      <c r="R1547" s="4">
        <f t="shared" si="8"/>
        <v>0</v>
      </c>
      <c r="S1547" s="4">
        <f t="shared" si="9"/>
        <v>-0.1730614888</v>
      </c>
      <c r="T1547" s="4">
        <f t="shared" si="10"/>
        <v>28</v>
      </c>
      <c r="U1547" s="4">
        <f t="shared" si="1"/>
        <v>-0.1730614888</v>
      </c>
      <c r="V1547" s="4"/>
    </row>
    <row r="1548">
      <c r="A1548" s="1" t="s">
        <v>18467</v>
      </c>
      <c r="B1548" s="1" t="s">
        <v>18468</v>
      </c>
      <c r="C1548" s="1" t="s">
        <v>18469</v>
      </c>
      <c r="D1548" s="1" t="s">
        <v>18465</v>
      </c>
      <c r="E1548" s="1" t="s">
        <v>18466</v>
      </c>
      <c r="F1548" s="1">
        <v>2.5542995E7</v>
      </c>
      <c r="G1548" s="1">
        <v>246315.0</v>
      </c>
      <c r="H1548" s="1">
        <v>642.0</v>
      </c>
      <c r="I1548" s="1">
        <v>8.15E7</v>
      </c>
      <c r="J1548" s="1" t="s">
        <v>2468</v>
      </c>
      <c r="K1548" s="5">
        <f t="shared" si="2"/>
        <v>0.3134109816</v>
      </c>
      <c r="L1548" s="6">
        <f t="shared" si="3"/>
        <v>55</v>
      </c>
      <c r="M1548" s="6">
        <f t="shared" si="4"/>
        <v>464418.0909</v>
      </c>
      <c r="N1548" s="7">
        <f t="shared" si="5"/>
        <v>0.005698381484</v>
      </c>
      <c r="O1548" s="7"/>
      <c r="P1548" s="4">
        <f t="shared" si="6"/>
        <v>3.564205567</v>
      </c>
      <c r="Q1548" s="4">
        <f t="shared" si="7"/>
        <v>5</v>
      </c>
      <c r="R1548" s="4">
        <f t="shared" si="8"/>
        <v>0</v>
      </c>
      <c r="S1548" s="4">
        <f t="shared" si="9"/>
        <v>3.564205567</v>
      </c>
      <c r="T1548" s="4">
        <f t="shared" si="10"/>
        <v>20</v>
      </c>
      <c r="U1548" s="4">
        <f t="shared" si="1"/>
        <v>3.564205567</v>
      </c>
      <c r="V1548" s="4"/>
    </row>
    <row r="1549">
      <c r="A1549" s="1" t="s">
        <v>18470</v>
      </c>
      <c r="B1549" s="1" t="s">
        <v>18471</v>
      </c>
      <c r="C1549" s="1" t="s">
        <v>18472</v>
      </c>
      <c r="D1549" s="1" t="s">
        <v>18465</v>
      </c>
      <c r="E1549" s="1" t="s">
        <v>18466</v>
      </c>
      <c r="F1549" s="1">
        <v>2551206.0</v>
      </c>
      <c r="G1549" s="1">
        <v>74342.0</v>
      </c>
      <c r="H1549" s="1">
        <v>543.0</v>
      </c>
      <c r="I1549" s="1">
        <v>8.15E7</v>
      </c>
      <c r="J1549" s="1" t="s">
        <v>2468</v>
      </c>
      <c r="K1549" s="5">
        <f t="shared" si="2"/>
        <v>0.0313031411</v>
      </c>
      <c r="L1549" s="6">
        <f t="shared" si="3"/>
        <v>64</v>
      </c>
      <c r="M1549" s="6">
        <f t="shared" si="4"/>
        <v>39862.59375</v>
      </c>
      <c r="N1549" s="7">
        <f t="shared" si="5"/>
        <v>0.0004891115798</v>
      </c>
      <c r="O1549" s="7"/>
      <c r="P1549" s="4">
        <f t="shared" si="6"/>
        <v>-0.1050136333</v>
      </c>
      <c r="Q1549" s="4">
        <f t="shared" si="7"/>
        <v>9</v>
      </c>
      <c r="R1549" s="4">
        <f t="shared" si="8"/>
        <v>0</v>
      </c>
      <c r="S1549" s="4">
        <f t="shared" si="9"/>
        <v>-0.1050136333</v>
      </c>
      <c r="T1549" s="4">
        <f t="shared" si="10"/>
        <v>30</v>
      </c>
      <c r="U1549" s="4">
        <f t="shared" si="1"/>
        <v>-0.1050136333</v>
      </c>
      <c r="V1549" s="4"/>
    </row>
    <row r="1550">
      <c r="A1550" s="1" t="s">
        <v>18473</v>
      </c>
      <c r="B1550" s="1" t="s">
        <v>18474</v>
      </c>
      <c r="C1550" s="1" t="s">
        <v>18475</v>
      </c>
      <c r="D1550" s="1" t="s">
        <v>18465</v>
      </c>
      <c r="E1550" s="1" t="s">
        <v>18466</v>
      </c>
      <c r="F1550" s="1">
        <v>6516433.0</v>
      </c>
      <c r="G1550" s="1">
        <v>178574.0</v>
      </c>
      <c r="H1550" s="1">
        <v>729.0</v>
      </c>
      <c r="I1550" s="1">
        <v>8.15E7</v>
      </c>
      <c r="J1550" s="1" t="s">
        <v>2468</v>
      </c>
      <c r="K1550" s="5">
        <f t="shared" si="2"/>
        <v>0.07995623313</v>
      </c>
      <c r="L1550" s="6">
        <f t="shared" si="3"/>
        <v>70</v>
      </c>
      <c r="M1550" s="6">
        <f t="shared" si="4"/>
        <v>93091.9</v>
      </c>
      <c r="N1550" s="7">
        <f t="shared" si="5"/>
        <v>0.001142231902</v>
      </c>
      <c r="O1550" s="7"/>
      <c r="P1550" s="4">
        <f t="shared" si="6"/>
        <v>0.3550204348</v>
      </c>
      <c r="Q1550" s="4">
        <f t="shared" si="7"/>
        <v>5</v>
      </c>
      <c r="R1550" s="4">
        <f t="shared" si="8"/>
        <v>0</v>
      </c>
      <c r="S1550" s="4">
        <f t="shared" si="9"/>
        <v>0.3550204348</v>
      </c>
      <c r="T1550" s="4">
        <f t="shared" si="10"/>
        <v>16</v>
      </c>
      <c r="U1550" s="4">
        <f t="shared" si="1"/>
        <v>0.3550204348</v>
      </c>
      <c r="V1550" s="4"/>
    </row>
    <row r="1551">
      <c r="A1551" s="1" t="s">
        <v>18476</v>
      </c>
      <c r="B1551" s="1" t="s">
        <v>18477</v>
      </c>
      <c r="C1551" s="1" t="s">
        <v>18478</v>
      </c>
      <c r="D1551" s="1" t="s">
        <v>18465</v>
      </c>
      <c r="E1551" s="1" t="s">
        <v>18466</v>
      </c>
      <c r="F1551" s="1">
        <v>2.1417471E7</v>
      </c>
      <c r="G1551" s="1">
        <v>541774.0</v>
      </c>
      <c r="H1551" s="1">
        <v>9816.0</v>
      </c>
      <c r="I1551" s="1">
        <v>8.15E7</v>
      </c>
      <c r="J1551" s="1" t="s">
        <v>2468</v>
      </c>
      <c r="K1551" s="5">
        <f t="shared" si="2"/>
        <v>0.2627910552</v>
      </c>
      <c r="L1551" s="6">
        <f t="shared" si="3"/>
        <v>75</v>
      </c>
      <c r="M1551" s="6">
        <f t="shared" si="4"/>
        <v>285566.28</v>
      </c>
      <c r="N1551" s="7">
        <f t="shared" si="5"/>
        <v>0.003503880736</v>
      </c>
      <c r="O1551" s="7"/>
      <c r="P1551" s="4">
        <f t="shared" si="6"/>
        <v>2.018479501</v>
      </c>
      <c r="Q1551" s="4">
        <f t="shared" si="7"/>
        <v>5</v>
      </c>
      <c r="R1551" s="4">
        <f t="shared" si="8"/>
        <v>0</v>
      </c>
      <c r="S1551" s="4">
        <f t="shared" si="9"/>
        <v>2.018479501</v>
      </c>
      <c r="T1551" s="4">
        <f t="shared" si="10"/>
        <v>23</v>
      </c>
      <c r="U1551" s="4">
        <f t="shared" si="1"/>
        <v>2.018479501</v>
      </c>
      <c r="V1551" s="4"/>
    </row>
    <row r="1552">
      <c r="A1552" s="1" t="s">
        <v>18479</v>
      </c>
      <c r="B1552" s="1" t="s">
        <v>18480</v>
      </c>
      <c r="C1552" s="1" t="s">
        <v>18481</v>
      </c>
      <c r="D1552" s="1" t="s">
        <v>18465</v>
      </c>
      <c r="E1552" s="1" t="s">
        <v>18466</v>
      </c>
      <c r="F1552" s="1">
        <v>9274253.0</v>
      </c>
      <c r="G1552" s="1">
        <v>168152.0</v>
      </c>
      <c r="H1552" s="1">
        <v>578.0</v>
      </c>
      <c r="I1552" s="1">
        <v>8.15E7</v>
      </c>
      <c r="J1552" s="1" t="s">
        <v>2468</v>
      </c>
      <c r="K1552" s="5">
        <f t="shared" si="2"/>
        <v>0.1137945153</v>
      </c>
      <c r="L1552" s="6">
        <f t="shared" si="3"/>
        <v>84</v>
      </c>
      <c r="M1552" s="6">
        <f t="shared" si="4"/>
        <v>110407.7738</v>
      </c>
      <c r="N1552" s="7">
        <f t="shared" si="5"/>
        <v>0.001354696611</v>
      </c>
      <c r="O1552" s="7"/>
      <c r="P1552" s="4">
        <f t="shared" si="6"/>
        <v>0.5046728056</v>
      </c>
      <c r="Q1552" s="4">
        <f t="shared" si="7"/>
        <v>7</v>
      </c>
      <c r="R1552" s="4">
        <f t="shared" si="8"/>
        <v>1</v>
      </c>
      <c r="S1552" s="4">
        <f t="shared" si="9"/>
        <v>0.5046728056</v>
      </c>
      <c r="T1552" s="4">
        <f t="shared" si="10"/>
        <v>35</v>
      </c>
      <c r="U1552" s="4">
        <f t="shared" si="1"/>
        <v>0.5046728056</v>
      </c>
      <c r="V1552" s="4"/>
    </row>
    <row r="1553">
      <c r="A1553" s="1" t="s">
        <v>18482</v>
      </c>
      <c r="B1553" s="1" t="s">
        <v>18483</v>
      </c>
      <c r="C1553" s="1" t="s">
        <v>18484</v>
      </c>
      <c r="D1553" s="1" t="s">
        <v>18465</v>
      </c>
      <c r="E1553" s="1" t="s">
        <v>18466</v>
      </c>
      <c r="F1553" s="1">
        <v>1838892.0</v>
      </c>
      <c r="G1553" s="1">
        <v>67218.0</v>
      </c>
      <c r="H1553" s="1">
        <v>569.0</v>
      </c>
      <c r="I1553" s="1">
        <v>8.15E7</v>
      </c>
      <c r="J1553" s="1" t="s">
        <v>2468</v>
      </c>
      <c r="K1553" s="5">
        <f t="shared" si="2"/>
        <v>0.02256309202</v>
      </c>
      <c r="L1553" s="6">
        <f t="shared" si="3"/>
        <v>97</v>
      </c>
      <c r="M1553" s="6">
        <f t="shared" si="4"/>
        <v>18957.64948</v>
      </c>
      <c r="N1553" s="7">
        <f t="shared" si="5"/>
        <v>0.0002326091961</v>
      </c>
      <c r="O1553" s="7"/>
      <c r="P1553" s="4">
        <f t="shared" si="6"/>
        <v>-0.2856845312</v>
      </c>
      <c r="Q1553" s="4">
        <f t="shared" si="7"/>
        <v>3</v>
      </c>
      <c r="R1553" s="4">
        <f t="shared" si="8"/>
        <v>0</v>
      </c>
      <c r="S1553" s="4">
        <f t="shared" si="9"/>
        <v>-0.2856845312</v>
      </c>
      <c r="T1553" s="4">
        <f t="shared" si="10"/>
        <v>22</v>
      </c>
      <c r="U1553" s="4">
        <f t="shared" si="1"/>
        <v>-0.2856845312</v>
      </c>
      <c r="V1553" s="4"/>
    </row>
    <row r="1554">
      <c r="A1554" s="1" t="s">
        <v>18485</v>
      </c>
      <c r="B1554" s="1" t="s">
        <v>18486</v>
      </c>
      <c r="C1554" s="1" t="s">
        <v>18487</v>
      </c>
      <c r="D1554" s="1" t="s">
        <v>18465</v>
      </c>
      <c r="E1554" s="1" t="s">
        <v>18466</v>
      </c>
      <c r="F1554" s="1">
        <v>1.6708067E7</v>
      </c>
      <c r="G1554" s="1">
        <v>336317.0</v>
      </c>
      <c r="H1554" s="1">
        <v>1084.0</v>
      </c>
      <c r="I1554" s="1">
        <v>8.15E7</v>
      </c>
      <c r="J1554" s="1" t="s">
        <v>2468</v>
      </c>
      <c r="K1554" s="5">
        <f t="shared" si="2"/>
        <v>0.2050069571</v>
      </c>
      <c r="L1554" s="6">
        <f t="shared" si="3"/>
        <v>98</v>
      </c>
      <c r="M1554" s="6">
        <f t="shared" si="4"/>
        <v>170490.4796</v>
      </c>
      <c r="N1554" s="7">
        <f t="shared" si="5"/>
        <v>0.002091907725</v>
      </c>
      <c r="O1554" s="7"/>
      <c r="P1554" s="4">
        <f t="shared" si="6"/>
        <v>1.023937352</v>
      </c>
      <c r="Q1554" s="4">
        <f t="shared" si="7"/>
        <v>8</v>
      </c>
      <c r="R1554" s="4">
        <f t="shared" si="8"/>
        <v>0</v>
      </c>
      <c r="S1554" s="4">
        <f t="shared" si="9"/>
        <v>1.023937352</v>
      </c>
      <c r="T1554" s="4">
        <f t="shared" si="10"/>
        <v>34</v>
      </c>
      <c r="U1554" s="4">
        <f t="shared" si="1"/>
        <v>1.023937352</v>
      </c>
      <c r="V1554" s="4"/>
    </row>
    <row r="1555">
      <c r="A1555" s="1" t="s">
        <v>18488</v>
      </c>
      <c r="B1555" s="1" t="s">
        <v>18489</v>
      </c>
      <c r="C1555" s="1" t="s">
        <v>18490</v>
      </c>
      <c r="D1555" s="1" t="s">
        <v>18465</v>
      </c>
      <c r="E1555" s="1" t="s">
        <v>18466</v>
      </c>
      <c r="F1555" s="1">
        <v>2.9127777E7</v>
      </c>
      <c r="G1555" s="1">
        <v>428573.0</v>
      </c>
      <c r="H1555" s="1">
        <v>563.0</v>
      </c>
      <c r="I1555" s="1">
        <v>8.15E7</v>
      </c>
      <c r="J1555" s="1" t="s">
        <v>2468</v>
      </c>
      <c r="K1555" s="5">
        <f t="shared" si="2"/>
        <v>0.3573960368</v>
      </c>
      <c r="L1555" s="6">
        <f t="shared" si="3"/>
        <v>112</v>
      </c>
      <c r="M1555" s="6">
        <f t="shared" si="4"/>
        <v>260069.4375</v>
      </c>
      <c r="N1555" s="7">
        <f t="shared" si="5"/>
        <v>0.003191036043</v>
      </c>
      <c r="O1555" s="7"/>
      <c r="P1555" s="4">
        <f t="shared" si="6"/>
        <v>1.79812314</v>
      </c>
      <c r="Q1555" s="4">
        <f t="shared" si="7"/>
        <v>6</v>
      </c>
      <c r="R1555" s="4">
        <f t="shared" si="8"/>
        <v>0</v>
      </c>
      <c r="S1555" s="4">
        <f t="shared" si="9"/>
        <v>1.79812314</v>
      </c>
      <c r="T1555" s="4">
        <f t="shared" si="10"/>
        <v>30</v>
      </c>
      <c r="U1555" s="4">
        <f t="shared" si="1"/>
        <v>1.79812314</v>
      </c>
      <c r="V1555" s="4"/>
    </row>
    <row r="1556">
      <c r="A1556" s="1" t="s">
        <v>18491</v>
      </c>
      <c r="B1556" s="1" t="s">
        <v>18492</v>
      </c>
      <c r="C1556" s="1" t="s">
        <v>18493</v>
      </c>
      <c r="D1556" s="1" t="s">
        <v>18465</v>
      </c>
      <c r="E1556" s="1" t="s">
        <v>18466</v>
      </c>
      <c r="F1556" s="1">
        <v>9064104.0</v>
      </c>
      <c r="G1556" s="1">
        <v>176699.0</v>
      </c>
      <c r="H1556" s="1">
        <v>1078.0</v>
      </c>
      <c r="I1556" s="1">
        <v>8.15E7</v>
      </c>
      <c r="J1556" s="1" t="s">
        <v>2468</v>
      </c>
      <c r="K1556" s="5">
        <f t="shared" si="2"/>
        <v>0.111216</v>
      </c>
      <c r="L1556" s="6">
        <f t="shared" si="3"/>
        <v>126</v>
      </c>
      <c r="M1556" s="6">
        <f t="shared" si="4"/>
        <v>71937.33333</v>
      </c>
      <c r="N1556" s="7">
        <f t="shared" si="5"/>
        <v>0.0008826666667</v>
      </c>
      <c r="O1556" s="7"/>
      <c r="P1556" s="4">
        <f t="shared" si="6"/>
        <v>0.1721921763</v>
      </c>
      <c r="Q1556" s="4">
        <f t="shared" si="7"/>
        <v>4</v>
      </c>
      <c r="R1556" s="4">
        <f t="shared" si="8"/>
        <v>0</v>
      </c>
      <c r="S1556" s="4">
        <f t="shared" si="9"/>
        <v>0.1721921763</v>
      </c>
      <c r="T1556" s="4">
        <f t="shared" si="10"/>
        <v>29</v>
      </c>
      <c r="U1556" s="4">
        <f t="shared" si="1"/>
        <v>0.1721921763</v>
      </c>
      <c r="V1556" s="4"/>
    </row>
    <row r="1557">
      <c r="A1557" s="1" t="s">
        <v>18494</v>
      </c>
      <c r="B1557" s="1" t="s">
        <v>18495</v>
      </c>
      <c r="C1557" s="1" t="s">
        <v>18496</v>
      </c>
      <c r="D1557" s="1" t="s">
        <v>18465</v>
      </c>
      <c r="E1557" s="1" t="s">
        <v>18466</v>
      </c>
      <c r="F1557" s="1">
        <v>1.4359522E7</v>
      </c>
      <c r="G1557" s="1">
        <v>261188.0</v>
      </c>
      <c r="H1557" s="1">
        <v>618.0</v>
      </c>
      <c r="I1557" s="1">
        <v>8.15E7</v>
      </c>
      <c r="J1557" s="1" t="s">
        <v>2468</v>
      </c>
      <c r="K1557" s="5">
        <f t="shared" si="2"/>
        <v>0.176190454</v>
      </c>
      <c r="L1557" s="6">
        <f t="shared" si="3"/>
        <v>140</v>
      </c>
      <c r="M1557" s="6">
        <f t="shared" si="4"/>
        <v>102568.0143</v>
      </c>
      <c r="N1557" s="7">
        <f t="shared" si="5"/>
        <v>0.001258503243</v>
      </c>
      <c r="O1557" s="7"/>
      <c r="P1557" s="4">
        <f t="shared" si="6"/>
        <v>0.436917715</v>
      </c>
      <c r="Q1557" s="4">
        <f t="shared" si="7"/>
        <v>7</v>
      </c>
      <c r="R1557" s="4">
        <f t="shared" si="8"/>
        <v>0</v>
      </c>
      <c r="S1557" s="4">
        <f t="shared" si="9"/>
        <v>0.436917715</v>
      </c>
      <c r="T1557" s="4">
        <f t="shared" si="10"/>
        <v>39</v>
      </c>
      <c r="U1557" s="4">
        <f t="shared" si="1"/>
        <v>0.436917715</v>
      </c>
      <c r="V1557" s="4"/>
    </row>
    <row r="1558">
      <c r="A1558" s="1" t="s">
        <v>18497</v>
      </c>
      <c r="B1558" s="1" t="s">
        <v>18498</v>
      </c>
      <c r="C1558" s="1" t="s">
        <v>18499</v>
      </c>
      <c r="D1558" s="1" t="s">
        <v>18465</v>
      </c>
      <c r="E1558" s="1" t="s">
        <v>18466</v>
      </c>
      <c r="F1558" s="1">
        <v>2.2384294E7</v>
      </c>
      <c r="G1558" s="1">
        <v>270801.0</v>
      </c>
      <c r="H1558" s="1">
        <v>5359.0</v>
      </c>
      <c r="I1558" s="1">
        <v>8.15E7</v>
      </c>
      <c r="J1558" s="1" t="s">
        <v>2468</v>
      </c>
      <c r="K1558" s="5">
        <f t="shared" si="2"/>
        <v>0.2746539141</v>
      </c>
      <c r="L1558" s="6">
        <f t="shared" si="3"/>
        <v>145</v>
      </c>
      <c r="M1558" s="6">
        <f t="shared" si="4"/>
        <v>154374.4414</v>
      </c>
      <c r="N1558" s="7">
        <f t="shared" si="5"/>
        <v>0.001894164925</v>
      </c>
      <c r="O1558" s="7"/>
      <c r="P1558" s="4">
        <f t="shared" si="6"/>
        <v>0.8846545557</v>
      </c>
      <c r="Q1558" s="4">
        <f t="shared" si="7"/>
        <v>6</v>
      </c>
      <c r="R1558" s="4">
        <f t="shared" si="8"/>
        <v>0</v>
      </c>
      <c r="S1558" s="4">
        <f t="shared" si="9"/>
        <v>0.8846545557</v>
      </c>
      <c r="T1558" s="4">
        <f t="shared" si="10"/>
        <v>29</v>
      </c>
      <c r="U1558" s="4">
        <f t="shared" si="1"/>
        <v>0.8846545557</v>
      </c>
      <c r="V1558" s="4"/>
    </row>
    <row r="1559">
      <c r="A1559" s="1" t="s">
        <v>18500</v>
      </c>
      <c r="B1559" s="1" t="s">
        <v>18501</v>
      </c>
      <c r="C1559" s="1" t="s">
        <v>18502</v>
      </c>
      <c r="D1559" s="1" t="s">
        <v>18465</v>
      </c>
      <c r="E1559" s="1" t="s">
        <v>18466</v>
      </c>
      <c r="F1559" s="1">
        <v>2.7253538E7</v>
      </c>
      <c r="G1559" s="1">
        <v>305740.0</v>
      </c>
      <c r="H1559" s="1">
        <v>520.0</v>
      </c>
      <c r="I1559" s="1">
        <v>8.15E7</v>
      </c>
      <c r="J1559" s="1" t="s">
        <v>2468</v>
      </c>
      <c r="K1559" s="5">
        <f t="shared" si="2"/>
        <v>0.3343992393</v>
      </c>
      <c r="L1559" s="6">
        <f t="shared" si="3"/>
        <v>153</v>
      </c>
      <c r="M1559" s="6">
        <f t="shared" si="4"/>
        <v>178127.6993</v>
      </c>
      <c r="N1559" s="7">
        <f t="shared" si="5"/>
        <v>0.002185615943</v>
      </c>
      <c r="O1559" s="7"/>
      <c r="P1559" s="4">
        <f t="shared" si="6"/>
        <v>1.089941993</v>
      </c>
      <c r="Q1559" s="4">
        <f t="shared" si="7"/>
        <v>7</v>
      </c>
      <c r="R1559" s="4">
        <f t="shared" si="8"/>
        <v>0</v>
      </c>
      <c r="S1559" s="4">
        <f t="shared" si="9"/>
        <v>1.089941993</v>
      </c>
      <c r="T1559" s="4">
        <f t="shared" si="10"/>
        <v>25</v>
      </c>
      <c r="U1559" s="4">
        <f t="shared" si="1"/>
        <v>1.089941993</v>
      </c>
      <c r="V1559" s="4"/>
    </row>
    <row r="1560">
      <c r="A1560" s="1" t="s">
        <v>18503</v>
      </c>
      <c r="B1560" s="1" t="s">
        <v>18504</v>
      </c>
      <c r="C1560" s="1" t="s">
        <v>6106</v>
      </c>
      <c r="D1560" s="1" t="s">
        <v>18465</v>
      </c>
      <c r="E1560" s="1" t="s">
        <v>18466</v>
      </c>
      <c r="F1560" s="1">
        <v>1.1174847E8</v>
      </c>
      <c r="G1560" s="1">
        <v>488439.0</v>
      </c>
      <c r="H1560" s="1">
        <v>914.0</v>
      </c>
      <c r="I1560" s="1">
        <v>8.15E7</v>
      </c>
      <c r="J1560" s="1" t="s">
        <v>2468</v>
      </c>
      <c r="K1560" s="5">
        <f t="shared" si="2"/>
        <v>1.371146871</v>
      </c>
      <c r="L1560" s="6">
        <f t="shared" si="3"/>
        <v>170</v>
      </c>
      <c r="M1560" s="6">
        <f t="shared" si="4"/>
        <v>657343.9412</v>
      </c>
      <c r="N1560" s="7">
        <f t="shared" si="5"/>
        <v>0.00806556983</v>
      </c>
      <c r="O1560" s="7"/>
      <c r="P1560" s="4">
        <f t="shared" si="6"/>
        <v>5.231566463</v>
      </c>
      <c r="Q1560" s="4">
        <f t="shared" si="7"/>
        <v>7</v>
      </c>
      <c r="R1560" s="4">
        <f t="shared" si="8"/>
        <v>0</v>
      </c>
      <c r="S1560" s="4">
        <f t="shared" si="9"/>
        <v>5.231566463</v>
      </c>
      <c r="T1560" s="4">
        <f t="shared" si="10"/>
        <v>43</v>
      </c>
      <c r="U1560" s="4">
        <f t="shared" si="1"/>
        <v>5.231566463</v>
      </c>
      <c r="V1560" s="4"/>
    </row>
    <row r="1561">
      <c r="A1561" s="1" t="s">
        <v>18505</v>
      </c>
      <c r="B1561" s="1" t="s">
        <v>18506</v>
      </c>
      <c r="C1561" s="1" t="s">
        <v>18507</v>
      </c>
      <c r="D1561" s="1" t="s">
        <v>18465</v>
      </c>
      <c r="E1561" s="1" t="s">
        <v>18466</v>
      </c>
      <c r="F1561" s="1">
        <v>2.4694266E7</v>
      </c>
      <c r="G1561" s="1">
        <v>459691.0</v>
      </c>
      <c r="H1561" s="1">
        <v>997.0</v>
      </c>
      <c r="I1561" s="1">
        <v>8.15E7</v>
      </c>
      <c r="J1561" s="1" t="s">
        <v>2468</v>
      </c>
      <c r="K1561" s="5">
        <f t="shared" si="2"/>
        <v>0.3029971288</v>
      </c>
      <c r="L1561" s="6">
        <f t="shared" si="3"/>
        <v>181</v>
      </c>
      <c r="M1561" s="6">
        <f t="shared" si="4"/>
        <v>136432.4088</v>
      </c>
      <c r="N1561" s="7">
        <f t="shared" si="5"/>
        <v>0.001674017286</v>
      </c>
      <c r="O1561" s="7"/>
      <c r="P1561" s="4">
        <f t="shared" si="6"/>
        <v>0.7295906106</v>
      </c>
      <c r="Q1561" s="4">
        <f t="shared" si="7"/>
        <v>6</v>
      </c>
      <c r="R1561" s="4">
        <f t="shared" si="8"/>
        <v>0</v>
      </c>
      <c r="S1561" s="4">
        <f t="shared" si="9"/>
        <v>0.7295906106</v>
      </c>
      <c r="T1561" s="4">
        <f t="shared" si="10"/>
        <v>27</v>
      </c>
      <c r="U1561" s="4">
        <f t="shared" si="1"/>
        <v>0.7295906106</v>
      </c>
      <c r="V1561" s="4"/>
    </row>
    <row r="1562">
      <c r="A1562" s="1" t="s">
        <v>18508</v>
      </c>
      <c r="B1562" s="1" t="s">
        <v>18509</v>
      </c>
      <c r="C1562" s="1" t="s">
        <v>18510</v>
      </c>
      <c r="D1562" s="1" t="s">
        <v>18465</v>
      </c>
      <c r="E1562" s="1" t="s">
        <v>18466</v>
      </c>
      <c r="F1562" s="1">
        <v>3.353988E7</v>
      </c>
      <c r="G1562" s="1">
        <v>172919.0</v>
      </c>
      <c r="H1562" s="1">
        <v>2495.0</v>
      </c>
      <c r="I1562" s="1">
        <v>8.15E7</v>
      </c>
      <c r="J1562" s="1" t="s">
        <v>2468</v>
      </c>
      <c r="K1562" s="5">
        <f t="shared" si="2"/>
        <v>0.4115322699</v>
      </c>
      <c r="L1562" s="6">
        <f t="shared" si="3"/>
        <v>194</v>
      </c>
      <c r="M1562" s="6">
        <f t="shared" si="4"/>
        <v>172885.9794</v>
      </c>
      <c r="N1562" s="7">
        <f t="shared" si="5"/>
        <v>0.002121300361</v>
      </c>
      <c r="O1562" s="7"/>
      <c r="P1562" s="4">
        <f t="shared" si="6"/>
        <v>1.044640449</v>
      </c>
      <c r="Q1562" s="4">
        <f t="shared" si="7"/>
        <v>7</v>
      </c>
      <c r="R1562" s="4">
        <f t="shared" si="8"/>
        <v>0</v>
      </c>
      <c r="S1562" s="4">
        <f t="shared" si="9"/>
        <v>1.044640449</v>
      </c>
      <c r="T1562" s="4">
        <f t="shared" si="10"/>
        <v>33</v>
      </c>
      <c r="U1562" s="4">
        <f t="shared" si="1"/>
        <v>1.044640449</v>
      </c>
      <c r="V1562" s="4"/>
    </row>
    <row r="1563">
      <c r="A1563" s="1" t="s">
        <v>18511</v>
      </c>
      <c r="B1563" s="1" t="s">
        <v>18512</v>
      </c>
      <c r="C1563" s="1" t="s">
        <v>18513</v>
      </c>
      <c r="D1563" s="1" t="s">
        <v>18465</v>
      </c>
      <c r="E1563" s="1" t="s">
        <v>18466</v>
      </c>
      <c r="F1563" s="1">
        <v>6211108.0</v>
      </c>
      <c r="G1563" s="1">
        <v>210584.0</v>
      </c>
      <c r="H1563" s="1">
        <v>951.0</v>
      </c>
      <c r="I1563" s="1">
        <v>8.15E7</v>
      </c>
      <c r="J1563" s="1" t="s">
        <v>2468</v>
      </c>
      <c r="K1563" s="5">
        <f t="shared" si="2"/>
        <v>0.07620991411</v>
      </c>
      <c r="L1563" s="6">
        <f t="shared" si="3"/>
        <v>195</v>
      </c>
      <c r="M1563" s="6">
        <f t="shared" si="4"/>
        <v>31851.8359</v>
      </c>
      <c r="N1563" s="7">
        <f t="shared" si="5"/>
        <v>0.0003908200724</v>
      </c>
      <c r="O1563" s="7"/>
      <c r="P1563" s="4">
        <f t="shared" si="6"/>
        <v>-0.1742465763</v>
      </c>
      <c r="Q1563" s="4">
        <f t="shared" si="7"/>
        <v>6</v>
      </c>
      <c r="R1563" s="4">
        <f t="shared" si="8"/>
        <v>0</v>
      </c>
      <c r="S1563" s="4">
        <f t="shared" si="9"/>
        <v>-0.1742465763</v>
      </c>
      <c r="T1563" s="4">
        <f t="shared" si="10"/>
        <v>27</v>
      </c>
      <c r="U1563" s="4">
        <f t="shared" si="1"/>
        <v>-0.1742465763</v>
      </c>
      <c r="V1563" s="4"/>
    </row>
    <row r="1564">
      <c r="A1564" s="1" t="s">
        <v>18514</v>
      </c>
      <c r="B1564" s="1" t="s">
        <v>18515</v>
      </c>
      <c r="C1564" s="1" t="s">
        <v>18516</v>
      </c>
      <c r="D1564" s="1" t="s">
        <v>18465</v>
      </c>
      <c r="E1564" s="1" t="s">
        <v>18466</v>
      </c>
      <c r="F1564" s="1">
        <v>2.02536703E8</v>
      </c>
      <c r="G1564" s="1">
        <v>1461601.0</v>
      </c>
      <c r="H1564" s="1">
        <v>3097.0</v>
      </c>
      <c r="I1564" s="1">
        <v>8.15E7</v>
      </c>
      <c r="J1564" s="1" t="s">
        <v>2468</v>
      </c>
      <c r="K1564" s="5">
        <f t="shared" si="2"/>
        <v>2.48511292</v>
      </c>
      <c r="L1564" s="6">
        <f t="shared" si="3"/>
        <v>204</v>
      </c>
      <c r="M1564" s="6">
        <f t="shared" si="4"/>
        <v>992826.9755</v>
      </c>
      <c r="N1564" s="7">
        <f t="shared" si="5"/>
        <v>0.01218192608</v>
      </c>
      <c r="O1564" s="7"/>
      <c r="P1564" s="4">
        <f t="shared" si="6"/>
        <v>8.130977257</v>
      </c>
      <c r="Q1564" s="4">
        <f t="shared" si="7"/>
        <v>4</v>
      </c>
      <c r="R1564" s="4">
        <f t="shared" si="8"/>
        <v>0</v>
      </c>
      <c r="S1564" s="4">
        <f t="shared" si="9"/>
        <v>8.130977257</v>
      </c>
      <c r="T1564" s="4">
        <f t="shared" si="10"/>
        <v>19</v>
      </c>
      <c r="U1564" s="4">
        <f t="shared" si="1"/>
        <v>8.130977257</v>
      </c>
      <c r="V1564" s="4"/>
    </row>
    <row r="1565">
      <c r="A1565" s="1" t="s">
        <v>18517</v>
      </c>
      <c r="B1565" s="1" t="s">
        <v>18518</v>
      </c>
      <c r="C1565" s="1" t="s">
        <v>18519</v>
      </c>
      <c r="D1565" s="1" t="s">
        <v>18465</v>
      </c>
      <c r="E1565" s="1" t="s">
        <v>18466</v>
      </c>
      <c r="F1565" s="1">
        <v>1.9469856E7</v>
      </c>
      <c r="G1565" s="1">
        <v>380938.0</v>
      </c>
      <c r="H1565" s="1">
        <v>13446.0</v>
      </c>
      <c r="I1565" s="1">
        <v>8.15E7</v>
      </c>
      <c r="J1565" s="1" t="s">
        <v>2468</v>
      </c>
      <c r="K1565" s="5">
        <f t="shared" si="2"/>
        <v>0.2388939387</v>
      </c>
      <c r="L1565" s="6">
        <f t="shared" si="3"/>
        <v>209</v>
      </c>
      <c r="M1565" s="6">
        <f t="shared" si="4"/>
        <v>93157.20574</v>
      </c>
      <c r="N1565" s="7">
        <f t="shared" si="5"/>
        <v>0.001143033199</v>
      </c>
      <c r="O1565" s="7"/>
      <c r="P1565" s="4">
        <f t="shared" si="6"/>
        <v>0.3555848395</v>
      </c>
      <c r="Q1565" s="4">
        <f t="shared" si="7"/>
        <v>8</v>
      </c>
      <c r="R1565" s="4">
        <f t="shared" si="8"/>
        <v>1</v>
      </c>
      <c r="S1565" s="4">
        <f t="shared" si="9"/>
        <v>0.3555848395</v>
      </c>
      <c r="T1565" s="4">
        <f t="shared" si="10"/>
        <v>31</v>
      </c>
      <c r="U1565" s="4">
        <f t="shared" si="1"/>
        <v>0.3555848395</v>
      </c>
      <c r="V1565" s="4"/>
    </row>
    <row r="1566">
      <c r="A1566" s="1" t="s">
        <v>18520</v>
      </c>
      <c r="B1566" s="1" t="s">
        <v>18521</v>
      </c>
      <c r="C1566" s="1" t="s">
        <v>18522</v>
      </c>
      <c r="D1566" s="1" t="s">
        <v>18465</v>
      </c>
      <c r="E1566" s="1" t="s">
        <v>18466</v>
      </c>
      <c r="F1566" s="1">
        <v>2.7500532E7</v>
      </c>
      <c r="G1566" s="1">
        <v>739982.0</v>
      </c>
      <c r="H1566" s="1">
        <v>2745.0</v>
      </c>
      <c r="I1566" s="1">
        <v>8.15E7</v>
      </c>
      <c r="J1566" s="1" t="s">
        <v>2468</v>
      </c>
      <c r="K1566" s="5">
        <f t="shared" si="2"/>
        <v>0.3374298405</v>
      </c>
      <c r="L1566" s="6">
        <f t="shared" si="3"/>
        <v>223</v>
      </c>
      <c r="M1566" s="6">
        <f t="shared" si="4"/>
        <v>123320.7713</v>
      </c>
      <c r="N1566" s="7">
        <f t="shared" si="5"/>
        <v>0.001513138298</v>
      </c>
      <c r="O1566" s="7"/>
      <c r="P1566" s="4">
        <f t="shared" si="6"/>
        <v>0.6162733352</v>
      </c>
      <c r="Q1566" s="4">
        <f t="shared" si="7"/>
        <v>6</v>
      </c>
      <c r="R1566" s="4">
        <f t="shared" si="8"/>
        <v>0</v>
      </c>
      <c r="S1566" s="4">
        <f t="shared" si="9"/>
        <v>0.6162733352</v>
      </c>
      <c r="T1566" s="4">
        <f t="shared" si="10"/>
        <v>27</v>
      </c>
      <c r="U1566" s="4">
        <f t="shared" si="1"/>
        <v>0.6162733352</v>
      </c>
      <c r="V1566" s="4"/>
    </row>
    <row r="1567">
      <c r="A1567" s="1" t="s">
        <v>18523</v>
      </c>
      <c r="B1567" s="1" t="s">
        <v>18524</v>
      </c>
      <c r="C1567" s="1" t="s">
        <v>18525</v>
      </c>
      <c r="D1567" s="1" t="s">
        <v>18465</v>
      </c>
      <c r="E1567" s="1" t="s">
        <v>18466</v>
      </c>
      <c r="F1567" s="1">
        <v>1.5969408E7</v>
      </c>
      <c r="G1567" s="1">
        <v>388719.0</v>
      </c>
      <c r="H1567" s="1">
        <v>846.0</v>
      </c>
      <c r="I1567" s="1">
        <v>8.15E7</v>
      </c>
      <c r="J1567" s="1" t="s">
        <v>2468</v>
      </c>
      <c r="K1567" s="5">
        <f t="shared" si="2"/>
        <v>0.1959436564</v>
      </c>
      <c r="L1567" s="6">
        <f t="shared" si="3"/>
        <v>236</v>
      </c>
      <c r="M1567" s="6">
        <f t="shared" si="4"/>
        <v>67666.98305</v>
      </c>
      <c r="N1567" s="7">
        <f t="shared" si="5"/>
        <v>0.0008302697307</v>
      </c>
      <c r="O1567" s="7"/>
      <c r="P1567" s="4">
        <f t="shared" si="6"/>
        <v>0.1352856909</v>
      </c>
      <c r="Q1567" s="4">
        <f t="shared" si="7"/>
        <v>6</v>
      </c>
      <c r="R1567" s="4">
        <f t="shared" si="8"/>
        <v>0</v>
      </c>
      <c r="S1567" s="4">
        <f t="shared" si="9"/>
        <v>0.1352856909</v>
      </c>
      <c r="T1567" s="4">
        <f t="shared" si="10"/>
        <v>32</v>
      </c>
      <c r="U1567" s="4">
        <f t="shared" si="1"/>
        <v>0.1352856909</v>
      </c>
      <c r="V1567" s="4"/>
    </row>
    <row r="1568">
      <c r="A1568" s="1" t="s">
        <v>18526</v>
      </c>
      <c r="B1568" s="1" t="s">
        <v>18527</v>
      </c>
      <c r="C1568" s="1" t="s">
        <v>18528</v>
      </c>
      <c r="D1568" s="1" t="s">
        <v>18465</v>
      </c>
      <c r="E1568" s="1" t="s">
        <v>18466</v>
      </c>
      <c r="F1568" s="1">
        <v>1.1386453E7</v>
      </c>
      <c r="G1568" s="1">
        <v>260783.0</v>
      </c>
      <c r="H1568" s="1">
        <v>836.0</v>
      </c>
      <c r="I1568" s="1">
        <v>8.15E7</v>
      </c>
      <c r="J1568" s="1" t="s">
        <v>2468</v>
      </c>
      <c r="K1568" s="5">
        <f t="shared" si="2"/>
        <v>0.1397110798</v>
      </c>
      <c r="L1568" s="6">
        <f t="shared" si="3"/>
        <v>253</v>
      </c>
      <c r="M1568" s="6">
        <f t="shared" si="4"/>
        <v>45005.74308</v>
      </c>
      <c r="N1568" s="7">
        <f t="shared" si="5"/>
        <v>0.0005522177065</v>
      </c>
      <c r="O1568" s="7"/>
      <c r="P1568" s="4">
        <f t="shared" si="6"/>
        <v>-0.06056398561</v>
      </c>
      <c r="Q1568" s="4">
        <f t="shared" si="7"/>
        <v>6</v>
      </c>
      <c r="R1568" s="4">
        <f t="shared" si="8"/>
        <v>0</v>
      </c>
      <c r="S1568" s="4">
        <f t="shared" si="9"/>
        <v>-0.06056398561</v>
      </c>
      <c r="T1568" s="4">
        <f t="shared" si="10"/>
        <v>29</v>
      </c>
      <c r="U1568" s="4">
        <f t="shared" si="1"/>
        <v>-0.06056398561</v>
      </c>
      <c r="V1568" s="4"/>
    </row>
    <row r="1569">
      <c r="A1569" s="1" t="s">
        <v>18529</v>
      </c>
      <c r="B1569" s="1" t="s">
        <v>18530</v>
      </c>
      <c r="C1569" s="1" t="s">
        <v>18531</v>
      </c>
      <c r="D1569" s="1" t="s">
        <v>18465</v>
      </c>
      <c r="E1569" s="1" t="s">
        <v>18466</v>
      </c>
      <c r="F1569" s="1">
        <v>1.2928579E7</v>
      </c>
      <c r="G1569" s="1">
        <v>178210.0</v>
      </c>
      <c r="H1569" s="1">
        <v>448.0</v>
      </c>
      <c r="I1569" s="1">
        <v>8.15E7</v>
      </c>
      <c r="J1569" s="1" t="s">
        <v>2468</v>
      </c>
      <c r="K1569" s="5">
        <f t="shared" si="2"/>
        <v>0.1586328712</v>
      </c>
      <c r="L1569" s="6">
        <f t="shared" si="3"/>
        <v>261</v>
      </c>
      <c r="M1569" s="6">
        <f t="shared" si="4"/>
        <v>49534.78544</v>
      </c>
      <c r="N1569" s="7">
        <f t="shared" si="5"/>
        <v>0.0006077887784</v>
      </c>
      <c r="O1569" s="7"/>
      <c r="P1569" s="4">
        <f t="shared" si="6"/>
        <v>-0.02142175499</v>
      </c>
      <c r="Q1569" s="4">
        <f t="shared" si="7"/>
        <v>7</v>
      </c>
      <c r="R1569" s="4">
        <f t="shared" si="8"/>
        <v>1</v>
      </c>
      <c r="S1569" s="4">
        <f t="shared" si="9"/>
        <v>-0.02142175499</v>
      </c>
      <c r="T1569" s="4">
        <f t="shared" si="10"/>
        <v>27</v>
      </c>
      <c r="U1569" s="4">
        <f t="shared" si="1"/>
        <v>-0.02142175499</v>
      </c>
      <c r="V1569" s="4"/>
    </row>
    <row r="1570">
      <c r="A1570" s="1" t="s">
        <v>18532</v>
      </c>
      <c r="B1570" s="1" t="s">
        <v>18533</v>
      </c>
      <c r="C1570" s="1" t="s">
        <v>18534</v>
      </c>
      <c r="D1570" s="1" t="s">
        <v>18465</v>
      </c>
      <c r="E1570" s="1" t="s">
        <v>18466</v>
      </c>
      <c r="F1570" s="1">
        <v>1.2897563E7</v>
      </c>
      <c r="G1570" s="1">
        <v>324269.0</v>
      </c>
      <c r="H1570" s="1">
        <v>1014.0</v>
      </c>
      <c r="I1570" s="1">
        <v>8.15E7</v>
      </c>
      <c r="J1570" s="1" t="s">
        <v>2468</v>
      </c>
      <c r="K1570" s="5">
        <f t="shared" si="2"/>
        <v>0.1582523067</v>
      </c>
      <c r="L1570" s="6">
        <f t="shared" si="3"/>
        <v>269</v>
      </c>
      <c r="M1570" s="6">
        <f t="shared" si="4"/>
        <v>47946.33086</v>
      </c>
      <c r="N1570" s="7">
        <f t="shared" si="5"/>
        <v>0.0005882985381</v>
      </c>
      <c r="O1570" s="7"/>
      <c r="P1570" s="4">
        <f t="shared" si="6"/>
        <v>-0.03514996745</v>
      </c>
      <c r="Q1570" s="4">
        <f t="shared" si="7"/>
        <v>4</v>
      </c>
      <c r="R1570" s="4">
        <f t="shared" si="8"/>
        <v>0</v>
      </c>
      <c r="S1570" s="4">
        <f t="shared" si="9"/>
        <v>-0.03514996745</v>
      </c>
      <c r="T1570" s="4">
        <f t="shared" si="10"/>
        <v>24</v>
      </c>
      <c r="U1570" s="4">
        <f t="shared" si="1"/>
        <v>-0.03514996745</v>
      </c>
      <c r="V1570" s="4"/>
    </row>
    <row r="1571">
      <c r="A1571" s="1" t="s">
        <v>18535</v>
      </c>
      <c r="B1571" s="1" t="s">
        <v>18536</v>
      </c>
      <c r="C1571" s="1" t="s">
        <v>18537</v>
      </c>
      <c r="D1571" s="1" t="s">
        <v>18465</v>
      </c>
      <c r="E1571" s="1" t="s">
        <v>18466</v>
      </c>
      <c r="F1571" s="1">
        <v>2.8008872E7</v>
      </c>
      <c r="G1571" s="1">
        <v>605969.0</v>
      </c>
      <c r="H1571" s="1">
        <v>3220.0</v>
      </c>
      <c r="I1571" s="1">
        <v>8.15E7</v>
      </c>
      <c r="J1571" s="1" t="s">
        <v>2468</v>
      </c>
      <c r="K1571" s="5">
        <f t="shared" si="2"/>
        <v>0.3436671411</v>
      </c>
      <c r="L1571" s="6">
        <f t="shared" si="3"/>
        <v>272</v>
      </c>
      <c r="M1571" s="6">
        <f t="shared" si="4"/>
        <v>102973.7941</v>
      </c>
      <c r="N1571" s="7">
        <f t="shared" si="5"/>
        <v>0.001263482136</v>
      </c>
      <c r="O1571" s="7"/>
      <c r="P1571" s="4">
        <f t="shared" si="6"/>
        <v>0.4404246656</v>
      </c>
      <c r="Q1571" s="4">
        <f t="shared" si="7"/>
        <v>6</v>
      </c>
      <c r="R1571" s="4">
        <f t="shared" si="8"/>
        <v>0</v>
      </c>
      <c r="S1571" s="4">
        <f t="shared" si="9"/>
        <v>0.4404246656</v>
      </c>
      <c r="T1571" s="4">
        <f t="shared" si="10"/>
        <v>30</v>
      </c>
      <c r="U1571" s="4">
        <f t="shared" si="1"/>
        <v>0.4404246656</v>
      </c>
      <c r="V1571" s="4"/>
    </row>
    <row r="1572">
      <c r="A1572" s="1" t="s">
        <v>18538</v>
      </c>
      <c r="B1572" s="1" t="s">
        <v>18539</v>
      </c>
      <c r="C1572" s="1" t="s">
        <v>18540</v>
      </c>
      <c r="D1572" s="1" t="s">
        <v>18465</v>
      </c>
      <c r="E1572" s="1" t="s">
        <v>18466</v>
      </c>
      <c r="F1572" s="1">
        <v>3.9040207E7</v>
      </c>
      <c r="G1572" s="1">
        <v>475312.0</v>
      </c>
      <c r="H1572" s="1">
        <v>2647.0</v>
      </c>
      <c r="I1572" s="1">
        <v>8.15E7</v>
      </c>
      <c r="J1572" s="1" t="s">
        <v>2468</v>
      </c>
      <c r="K1572" s="5">
        <f t="shared" si="2"/>
        <v>0.4790209448</v>
      </c>
      <c r="L1572" s="6">
        <f t="shared" si="3"/>
        <v>279</v>
      </c>
      <c r="M1572" s="6">
        <f t="shared" si="4"/>
        <v>139929.0573</v>
      </c>
      <c r="N1572" s="7">
        <f t="shared" si="5"/>
        <v>0.001716920949</v>
      </c>
      <c r="O1572" s="7"/>
      <c r="P1572" s="4">
        <f t="shared" si="6"/>
        <v>0.7598103815</v>
      </c>
      <c r="Q1572" s="4">
        <f t="shared" si="7"/>
        <v>5</v>
      </c>
      <c r="R1572" s="4">
        <f t="shared" si="8"/>
        <v>0</v>
      </c>
      <c r="S1572" s="4">
        <f t="shared" si="9"/>
        <v>0.7598103815</v>
      </c>
      <c r="T1572" s="4">
        <f t="shared" si="10"/>
        <v>21</v>
      </c>
      <c r="U1572" s="4">
        <f t="shared" si="1"/>
        <v>0.7598103815</v>
      </c>
      <c r="V1572" s="4"/>
    </row>
    <row r="1573">
      <c r="A1573" s="1" t="s">
        <v>18541</v>
      </c>
      <c r="B1573" s="1" t="s">
        <v>18542</v>
      </c>
      <c r="C1573" s="1" t="s">
        <v>18543</v>
      </c>
      <c r="D1573" s="1" t="s">
        <v>18465</v>
      </c>
      <c r="E1573" s="1" t="s">
        <v>18466</v>
      </c>
      <c r="F1573" s="1">
        <v>4.8589033E7</v>
      </c>
      <c r="G1573" s="1">
        <v>811556.0</v>
      </c>
      <c r="H1573" s="1">
        <v>15157.0</v>
      </c>
      <c r="I1573" s="1">
        <v>8.15E7</v>
      </c>
      <c r="J1573" s="1" t="s">
        <v>2468</v>
      </c>
      <c r="K1573" s="5">
        <f t="shared" si="2"/>
        <v>0.596184454</v>
      </c>
      <c r="L1573" s="6">
        <f t="shared" si="3"/>
        <v>279</v>
      </c>
      <c r="M1573" s="6">
        <f t="shared" si="4"/>
        <v>174154.2401</v>
      </c>
      <c r="N1573" s="7">
        <f t="shared" si="5"/>
        <v>0.002136861842</v>
      </c>
      <c r="O1573" s="7"/>
      <c r="P1573" s="4">
        <f t="shared" si="6"/>
        <v>1.055601388</v>
      </c>
      <c r="Q1573" s="4">
        <f t="shared" si="7"/>
        <v>6</v>
      </c>
      <c r="R1573" s="4">
        <f t="shared" si="8"/>
        <v>0</v>
      </c>
      <c r="S1573" s="4">
        <f t="shared" si="9"/>
        <v>1.055601388</v>
      </c>
      <c r="T1573" s="4">
        <f t="shared" si="10"/>
        <v>31</v>
      </c>
      <c r="U1573" s="4">
        <f t="shared" si="1"/>
        <v>1.055601388</v>
      </c>
      <c r="V1573" s="4"/>
    </row>
    <row r="1574">
      <c r="A1574" s="1" t="s">
        <v>18544</v>
      </c>
      <c r="B1574" s="1" t="s">
        <v>18545</v>
      </c>
      <c r="C1574" s="1" t="s">
        <v>18546</v>
      </c>
      <c r="D1574" s="1" t="s">
        <v>18465</v>
      </c>
      <c r="E1574" s="1" t="s">
        <v>18466</v>
      </c>
      <c r="F1574" s="1">
        <v>3.40502966E8</v>
      </c>
      <c r="G1574" s="1">
        <v>2998225.0</v>
      </c>
      <c r="H1574" s="1">
        <v>5328.0</v>
      </c>
      <c r="I1574" s="1">
        <v>8.15E7</v>
      </c>
      <c r="J1574" s="1" t="s">
        <v>2468</v>
      </c>
      <c r="K1574" s="5">
        <f t="shared" si="2"/>
        <v>4.177950503</v>
      </c>
      <c r="L1574" s="6">
        <f t="shared" si="3"/>
        <v>285</v>
      </c>
      <c r="M1574" s="6">
        <f t="shared" si="4"/>
        <v>1194747.249</v>
      </c>
      <c r="N1574" s="7">
        <f t="shared" si="5"/>
        <v>0.01465947545</v>
      </c>
      <c r="O1574" s="7"/>
      <c r="P1574" s="4">
        <f t="shared" si="6"/>
        <v>9.876072421</v>
      </c>
      <c r="Q1574" s="4">
        <f t="shared" si="7"/>
        <v>5</v>
      </c>
      <c r="R1574" s="4">
        <f t="shared" si="8"/>
        <v>0</v>
      </c>
      <c r="S1574" s="4">
        <f t="shared" si="9"/>
        <v>9.876072421</v>
      </c>
      <c r="T1574" s="4">
        <f t="shared" si="10"/>
        <v>26</v>
      </c>
      <c r="U1574" s="4">
        <f t="shared" si="1"/>
        <v>9.876072421</v>
      </c>
      <c r="V1574" s="4"/>
    </row>
    <row r="1575">
      <c r="A1575" s="1" t="s">
        <v>18547</v>
      </c>
      <c r="B1575" s="1" t="s">
        <v>18548</v>
      </c>
      <c r="C1575" s="1" t="s">
        <v>18549</v>
      </c>
      <c r="D1575" s="1" t="s">
        <v>18465</v>
      </c>
      <c r="E1575" s="1" t="s">
        <v>18466</v>
      </c>
      <c r="F1575" s="1">
        <v>3.5960377E7</v>
      </c>
      <c r="G1575" s="1">
        <v>497821.0</v>
      </c>
      <c r="H1575" s="1">
        <v>5980.0</v>
      </c>
      <c r="I1575" s="1">
        <v>8.15E7</v>
      </c>
      <c r="J1575" s="1" t="s">
        <v>2468</v>
      </c>
      <c r="K1575" s="5">
        <f t="shared" si="2"/>
        <v>0.4412316196</v>
      </c>
      <c r="L1575" s="6">
        <f t="shared" si="3"/>
        <v>292</v>
      </c>
      <c r="M1575" s="6">
        <f t="shared" si="4"/>
        <v>123151.976</v>
      </c>
      <c r="N1575" s="7">
        <f t="shared" si="5"/>
        <v>0.001511067191</v>
      </c>
      <c r="O1575" s="7"/>
      <c r="P1575" s="4">
        <f t="shared" si="6"/>
        <v>0.6148145227</v>
      </c>
      <c r="Q1575" s="4">
        <f t="shared" si="7"/>
        <v>7</v>
      </c>
      <c r="R1575" s="4">
        <f t="shared" si="8"/>
        <v>0</v>
      </c>
      <c r="S1575" s="4">
        <f t="shared" si="9"/>
        <v>0.6148145227</v>
      </c>
      <c r="T1575" s="4">
        <f t="shared" si="10"/>
        <v>38</v>
      </c>
      <c r="U1575" s="4">
        <f t="shared" si="1"/>
        <v>0.6148145227</v>
      </c>
      <c r="V1575" s="4"/>
    </row>
    <row r="1576">
      <c r="A1576" s="1" t="s">
        <v>18550</v>
      </c>
      <c r="B1576" s="1" t="s">
        <v>18551</v>
      </c>
      <c r="C1576" s="1" t="s">
        <v>18552</v>
      </c>
      <c r="D1576" s="1" t="s">
        <v>18465</v>
      </c>
      <c r="E1576" s="1" t="s">
        <v>18466</v>
      </c>
      <c r="F1576" s="1">
        <v>3225917.0</v>
      </c>
      <c r="G1576" s="1">
        <v>100182.0</v>
      </c>
      <c r="H1576" s="1">
        <v>466.0</v>
      </c>
      <c r="I1576" s="1">
        <v>8.15E7</v>
      </c>
      <c r="J1576" s="1" t="s">
        <v>2468</v>
      </c>
      <c r="K1576" s="5">
        <f t="shared" si="2"/>
        <v>0.03958180368</v>
      </c>
      <c r="L1576" s="6">
        <f t="shared" si="3"/>
        <v>293</v>
      </c>
      <c r="M1576" s="6">
        <f t="shared" si="4"/>
        <v>11009.95563</v>
      </c>
      <c r="N1576" s="7">
        <f t="shared" si="5"/>
        <v>0.0001350914801</v>
      </c>
      <c r="O1576" s="7"/>
      <c r="P1576" s="4">
        <f t="shared" si="6"/>
        <v>-0.3543724438</v>
      </c>
      <c r="Q1576" s="4">
        <f t="shared" si="7"/>
        <v>7</v>
      </c>
      <c r="R1576" s="4">
        <f t="shared" si="8"/>
        <v>1</v>
      </c>
      <c r="S1576" s="4">
        <f t="shared" si="9"/>
        <v>-0.3543724438</v>
      </c>
      <c r="T1576" s="4">
        <f t="shared" si="10"/>
        <v>32</v>
      </c>
      <c r="U1576" s="4">
        <f t="shared" si="1"/>
        <v>-0.3543724438</v>
      </c>
      <c r="V1576" s="4"/>
    </row>
    <row r="1577">
      <c r="A1577" s="1" t="s">
        <v>18553</v>
      </c>
      <c r="B1577" s="1" t="s">
        <v>18554</v>
      </c>
      <c r="C1577" s="1" t="s">
        <v>18555</v>
      </c>
      <c r="D1577" s="1" t="s">
        <v>18465</v>
      </c>
      <c r="E1577" s="1" t="s">
        <v>18466</v>
      </c>
      <c r="F1577" s="1">
        <v>2.364521E7</v>
      </c>
      <c r="G1577" s="1">
        <v>302434.0</v>
      </c>
      <c r="H1577" s="1">
        <v>5710.0</v>
      </c>
      <c r="I1577" s="1">
        <v>8.15E7</v>
      </c>
      <c r="J1577" s="1" t="s">
        <v>2468</v>
      </c>
      <c r="K1577" s="5">
        <f t="shared" si="2"/>
        <v>0.2901252761</v>
      </c>
      <c r="L1577" s="6">
        <f t="shared" si="3"/>
        <v>306</v>
      </c>
      <c r="M1577" s="6">
        <f t="shared" si="4"/>
        <v>77271.9281</v>
      </c>
      <c r="N1577" s="7">
        <f t="shared" si="5"/>
        <v>0.0009481218172</v>
      </c>
      <c r="O1577" s="7"/>
      <c r="P1577" s="4">
        <f t="shared" si="6"/>
        <v>0.2182963905</v>
      </c>
      <c r="Q1577" s="4">
        <f t="shared" si="7"/>
        <v>7</v>
      </c>
      <c r="R1577" s="4">
        <f t="shared" si="8"/>
        <v>0</v>
      </c>
      <c r="S1577" s="4">
        <f t="shared" si="9"/>
        <v>0.2182963905</v>
      </c>
      <c r="T1577" s="4">
        <f t="shared" si="10"/>
        <v>22</v>
      </c>
      <c r="U1577" s="4">
        <f t="shared" si="1"/>
        <v>0.2182963905</v>
      </c>
      <c r="V1577" s="4"/>
    </row>
    <row r="1578">
      <c r="A1578" s="1" t="s">
        <v>18556</v>
      </c>
      <c r="B1578" s="1" t="s">
        <v>18557</v>
      </c>
      <c r="C1578" s="1" t="s">
        <v>18558</v>
      </c>
      <c r="D1578" s="1" t="s">
        <v>18465</v>
      </c>
      <c r="E1578" s="1" t="s">
        <v>18466</v>
      </c>
      <c r="F1578" s="1">
        <v>1.7810907E7</v>
      </c>
      <c r="G1578" s="1">
        <v>527164.0</v>
      </c>
      <c r="H1578" s="1">
        <v>1896.0</v>
      </c>
      <c r="I1578" s="1">
        <v>8.15E7</v>
      </c>
      <c r="J1578" s="1" t="s">
        <v>2468</v>
      </c>
      <c r="K1578" s="5">
        <f t="shared" si="2"/>
        <v>0.2185387362</v>
      </c>
      <c r="L1578" s="6">
        <f t="shared" si="3"/>
        <v>307</v>
      </c>
      <c r="M1578" s="6">
        <f t="shared" si="4"/>
        <v>58015.98371</v>
      </c>
      <c r="N1578" s="7">
        <f t="shared" si="5"/>
        <v>0.0007118525609</v>
      </c>
      <c r="O1578" s="7"/>
      <c r="P1578" s="4">
        <f t="shared" si="6"/>
        <v>0.05187696744</v>
      </c>
      <c r="Q1578" s="4">
        <f t="shared" si="7"/>
        <v>4</v>
      </c>
      <c r="R1578" s="4">
        <f t="shared" si="8"/>
        <v>0</v>
      </c>
      <c r="S1578" s="4">
        <f t="shared" si="9"/>
        <v>0.05187696744</v>
      </c>
      <c r="T1578" s="4">
        <f t="shared" si="10"/>
        <v>21</v>
      </c>
      <c r="U1578" s="4">
        <f t="shared" si="1"/>
        <v>0.05187696744</v>
      </c>
      <c r="V1578" s="4"/>
    </row>
    <row r="1579">
      <c r="A1579" s="1" t="s">
        <v>18559</v>
      </c>
      <c r="B1579" s="1" t="s">
        <v>18560</v>
      </c>
      <c r="C1579" s="1" t="s">
        <v>18561</v>
      </c>
      <c r="D1579" s="1" t="s">
        <v>18465</v>
      </c>
      <c r="E1579" s="1" t="s">
        <v>18466</v>
      </c>
      <c r="F1579" s="1">
        <v>2.131747E7</v>
      </c>
      <c r="G1579" s="1">
        <v>429662.0</v>
      </c>
      <c r="H1579" s="1">
        <v>2132.0</v>
      </c>
      <c r="I1579" s="1">
        <v>8.15E7</v>
      </c>
      <c r="J1579" s="1" t="s">
        <v>2468</v>
      </c>
      <c r="K1579" s="5">
        <f t="shared" si="2"/>
        <v>0.2615640491</v>
      </c>
      <c r="L1579" s="6">
        <f t="shared" si="3"/>
        <v>316</v>
      </c>
      <c r="M1579" s="6">
        <f t="shared" si="4"/>
        <v>67460.3481</v>
      </c>
      <c r="N1579" s="7">
        <f t="shared" si="5"/>
        <v>0.0008277343325</v>
      </c>
      <c r="O1579" s="7"/>
      <c r="P1579" s="4">
        <f t="shared" si="6"/>
        <v>0.1334998492</v>
      </c>
      <c r="Q1579" s="4">
        <f t="shared" si="7"/>
        <v>5</v>
      </c>
      <c r="R1579" s="4">
        <f t="shared" si="8"/>
        <v>0</v>
      </c>
      <c r="S1579" s="4">
        <f t="shared" si="9"/>
        <v>0.1334998492</v>
      </c>
      <c r="T1579" s="4">
        <f t="shared" si="10"/>
        <v>26</v>
      </c>
      <c r="U1579" s="4">
        <f t="shared" si="1"/>
        <v>0.1334998492</v>
      </c>
      <c r="V1579" s="4"/>
    </row>
    <row r="1580">
      <c r="A1580" s="1" t="s">
        <v>18562</v>
      </c>
      <c r="B1580" s="1" t="s">
        <v>18563</v>
      </c>
      <c r="C1580" s="1" t="s">
        <v>18564</v>
      </c>
      <c r="D1580" s="1" t="s">
        <v>18465</v>
      </c>
      <c r="E1580" s="1" t="s">
        <v>18466</v>
      </c>
      <c r="F1580" s="1">
        <v>2.9286249E7</v>
      </c>
      <c r="G1580" s="1">
        <v>386511.0</v>
      </c>
      <c r="H1580" s="1">
        <v>4593.0</v>
      </c>
      <c r="I1580" s="1">
        <v>8.15E7</v>
      </c>
      <c r="J1580" s="1" t="s">
        <v>2468</v>
      </c>
      <c r="K1580" s="5">
        <f t="shared" si="2"/>
        <v>0.3593404785</v>
      </c>
      <c r="L1580" s="6">
        <f t="shared" si="3"/>
        <v>327</v>
      </c>
      <c r="M1580" s="6">
        <f t="shared" si="4"/>
        <v>89560.3945</v>
      </c>
      <c r="N1580" s="7">
        <f t="shared" si="5"/>
        <v>0.001098900546</v>
      </c>
      <c r="O1580" s="7"/>
      <c r="P1580" s="4">
        <f t="shared" si="6"/>
        <v>0.3244994125</v>
      </c>
      <c r="Q1580" s="4">
        <f t="shared" si="7"/>
        <v>4</v>
      </c>
      <c r="R1580" s="4">
        <f t="shared" si="8"/>
        <v>0</v>
      </c>
      <c r="S1580" s="4">
        <f t="shared" si="9"/>
        <v>0.3244994125</v>
      </c>
      <c r="T1580" s="4">
        <f t="shared" si="10"/>
        <v>32</v>
      </c>
      <c r="U1580" s="4">
        <f t="shared" si="1"/>
        <v>0.3244994125</v>
      </c>
      <c r="V1580" s="4"/>
    </row>
    <row r="1581">
      <c r="A1581" s="1" t="s">
        <v>18565</v>
      </c>
      <c r="B1581" s="1" t="s">
        <v>18566</v>
      </c>
      <c r="C1581" s="1" t="s">
        <v>18567</v>
      </c>
      <c r="D1581" s="1" t="s">
        <v>18465</v>
      </c>
      <c r="E1581" s="1" t="s">
        <v>18466</v>
      </c>
      <c r="F1581" s="1">
        <v>2.6873442E7</v>
      </c>
      <c r="G1581" s="1">
        <v>623644.0</v>
      </c>
      <c r="H1581" s="1">
        <v>1898.0</v>
      </c>
      <c r="I1581" s="1">
        <v>8.15E7</v>
      </c>
      <c r="J1581" s="1" t="s">
        <v>2468</v>
      </c>
      <c r="K1581" s="5">
        <f t="shared" si="2"/>
        <v>0.3297354847</v>
      </c>
      <c r="L1581" s="6">
        <f t="shared" si="3"/>
        <v>329</v>
      </c>
      <c r="M1581" s="6">
        <f t="shared" si="4"/>
        <v>81682.19453</v>
      </c>
      <c r="N1581" s="7">
        <f t="shared" si="5"/>
        <v>0.001002235516</v>
      </c>
      <c r="O1581" s="7"/>
      <c r="P1581" s="4">
        <f t="shared" si="6"/>
        <v>0.2564121006</v>
      </c>
      <c r="Q1581" s="4">
        <f t="shared" si="7"/>
        <v>7</v>
      </c>
      <c r="R1581" s="4">
        <f t="shared" si="8"/>
        <v>0</v>
      </c>
      <c r="S1581" s="4">
        <f t="shared" si="9"/>
        <v>0.2564121006</v>
      </c>
      <c r="T1581" s="4">
        <f t="shared" si="10"/>
        <v>32</v>
      </c>
      <c r="U1581" s="4">
        <f t="shared" si="1"/>
        <v>0.2564121006</v>
      </c>
      <c r="V1581" s="4"/>
    </row>
    <row r="1582">
      <c r="A1582" s="1" t="s">
        <v>18568</v>
      </c>
      <c r="B1582" s="1" t="s">
        <v>18569</v>
      </c>
      <c r="C1582" s="1" t="s">
        <v>18570</v>
      </c>
      <c r="D1582" s="1" t="s">
        <v>18465</v>
      </c>
      <c r="E1582" s="1" t="s">
        <v>18466</v>
      </c>
      <c r="F1582" s="1">
        <v>8.1280171E7</v>
      </c>
      <c r="G1582" s="1">
        <v>2183328.0</v>
      </c>
      <c r="H1582" s="1">
        <v>4171.0</v>
      </c>
      <c r="I1582" s="1">
        <v>8.15E7</v>
      </c>
      <c r="J1582" s="1" t="s">
        <v>2468</v>
      </c>
      <c r="K1582" s="5">
        <f t="shared" si="2"/>
        <v>0.9973027117</v>
      </c>
      <c r="L1582" s="6">
        <f t="shared" si="3"/>
        <v>341</v>
      </c>
      <c r="M1582" s="6">
        <f t="shared" si="4"/>
        <v>238358.2727</v>
      </c>
      <c r="N1582" s="7">
        <f t="shared" si="5"/>
        <v>0.002924641383</v>
      </c>
      <c r="O1582" s="7"/>
      <c r="P1582" s="4">
        <f t="shared" si="6"/>
        <v>1.610484485</v>
      </c>
      <c r="Q1582" s="4">
        <f t="shared" si="7"/>
        <v>6</v>
      </c>
      <c r="R1582" s="4">
        <f t="shared" si="8"/>
        <v>1</v>
      </c>
      <c r="S1582" s="4">
        <f t="shared" si="9"/>
        <v>1.610484485</v>
      </c>
      <c r="T1582" s="4">
        <f t="shared" si="10"/>
        <v>27</v>
      </c>
      <c r="U1582" s="4">
        <f t="shared" si="1"/>
        <v>1.610484485</v>
      </c>
      <c r="V1582" s="4"/>
    </row>
    <row r="1583">
      <c r="A1583" s="1" t="s">
        <v>18571</v>
      </c>
      <c r="B1583" s="1" t="s">
        <v>18572</v>
      </c>
      <c r="C1583" s="1" t="s">
        <v>18573</v>
      </c>
      <c r="D1583" s="1" t="s">
        <v>18465</v>
      </c>
      <c r="E1583" s="1" t="s">
        <v>18466</v>
      </c>
      <c r="F1583" s="1">
        <v>1.69194962E8</v>
      </c>
      <c r="G1583" s="1">
        <v>3657228.0</v>
      </c>
      <c r="H1583" s="1">
        <v>7547.0</v>
      </c>
      <c r="I1583" s="1">
        <v>8.15E7</v>
      </c>
      <c r="J1583" s="1" t="s">
        <v>2468</v>
      </c>
      <c r="K1583" s="5">
        <f t="shared" si="2"/>
        <v>2.076011804</v>
      </c>
      <c r="L1583" s="6">
        <f t="shared" si="3"/>
        <v>349</v>
      </c>
      <c r="M1583" s="6">
        <f t="shared" si="4"/>
        <v>484799.3181</v>
      </c>
      <c r="N1583" s="7">
        <f t="shared" si="5"/>
        <v>0.00594845789</v>
      </c>
      <c r="O1583" s="7"/>
      <c r="P1583" s="4">
        <f t="shared" si="6"/>
        <v>3.740350242</v>
      </c>
      <c r="Q1583" s="4">
        <f t="shared" si="7"/>
        <v>5</v>
      </c>
      <c r="R1583" s="4">
        <f t="shared" si="8"/>
        <v>0</v>
      </c>
      <c r="S1583" s="4">
        <f t="shared" si="9"/>
        <v>3.740350242</v>
      </c>
      <c r="T1583" s="4">
        <f t="shared" si="10"/>
        <v>23</v>
      </c>
      <c r="U1583" s="4">
        <f t="shared" si="1"/>
        <v>3.740350242</v>
      </c>
      <c r="V1583" s="4"/>
    </row>
    <row r="1584">
      <c r="A1584" s="1" t="s">
        <v>18574</v>
      </c>
      <c r="B1584" s="1" t="s">
        <v>18575</v>
      </c>
      <c r="C1584" s="1" t="s">
        <v>18576</v>
      </c>
      <c r="D1584" s="1" t="s">
        <v>18465</v>
      </c>
      <c r="E1584" s="1" t="s">
        <v>18466</v>
      </c>
      <c r="F1584" s="1">
        <v>1.29605802E8</v>
      </c>
      <c r="G1584" s="1">
        <v>2801209.0</v>
      </c>
      <c r="H1584" s="1">
        <v>5819.0</v>
      </c>
      <c r="I1584" s="1">
        <v>8.15E7</v>
      </c>
      <c r="J1584" s="1" t="s">
        <v>2468</v>
      </c>
      <c r="K1584" s="5">
        <f t="shared" si="2"/>
        <v>1.590255239</v>
      </c>
      <c r="L1584" s="6">
        <f t="shared" si="3"/>
        <v>356</v>
      </c>
      <c r="M1584" s="6">
        <f t="shared" si="4"/>
        <v>364061.2416</v>
      </c>
      <c r="N1584" s="7">
        <f t="shared" si="5"/>
        <v>0.004467009099</v>
      </c>
      <c r="O1584" s="7"/>
      <c r="P1584" s="4">
        <f t="shared" si="6"/>
        <v>2.696871895</v>
      </c>
      <c r="Q1584" s="4">
        <f t="shared" si="7"/>
        <v>6</v>
      </c>
      <c r="R1584" s="4">
        <f t="shared" si="8"/>
        <v>0</v>
      </c>
      <c r="S1584" s="4">
        <f t="shared" si="9"/>
        <v>2.696871895</v>
      </c>
      <c r="T1584" s="4">
        <f t="shared" si="10"/>
        <v>32</v>
      </c>
      <c r="U1584" s="4">
        <f t="shared" si="1"/>
        <v>2.696871895</v>
      </c>
      <c r="V1584" s="4"/>
    </row>
    <row r="1585">
      <c r="A1585" s="1" t="s">
        <v>18577</v>
      </c>
      <c r="B1585" s="1" t="s">
        <v>18578</v>
      </c>
      <c r="C1585" s="1" t="s">
        <v>18579</v>
      </c>
      <c r="D1585" s="1" t="s">
        <v>18465</v>
      </c>
      <c r="E1585" s="1" t="s">
        <v>18466</v>
      </c>
      <c r="F1585" s="1">
        <v>1.48250484E8</v>
      </c>
      <c r="G1585" s="1">
        <v>2863805.0</v>
      </c>
      <c r="H1585" s="1">
        <v>3158.0</v>
      </c>
      <c r="I1585" s="1">
        <v>8.15E7</v>
      </c>
      <c r="J1585" s="1" t="s">
        <v>2468</v>
      </c>
      <c r="K1585" s="5">
        <f t="shared" si="2"/>
        <v>1.819024344</v>
      </c>
      <c r="L1585" s="6">
        <f t="shared" si="3"/>
        <v>363</v>
      </c>
      <c r="M1585" s="6">
        <f t="shared" si="4"/>
        <v>408403.5372</v>
      </c>
      <c r="N1585" s="7">
        <f t="shared" si="5"/>
        <v>0.005011086346</v>
      </c>
      <c r="O1585" s="7"/>
      <c r="P1585" s="4">
        <f t="shared" si="6"/>
        <v>3.080100009</v>
      </c>
      <c r="Q1585" s="4">
        <f t="shared" si="7"/>
        <v>5</v>
      </c>
      <c r="R1585" s="4">
        <f t="shared" si="8"/>
        <v>0</v>
      </c>
      <c r="S1585" s="4">
        <f t="shared" si="9"/>
        <v>3.080100009</v>
      </c>
      <c r="T1585" s="4">
        <f t="shared" si="10"/>
        <v>24</v>
      </c>
      <c r="U1585" s="4">
        <f t="shared" si="1"/>
        <v>3.080100009</v>
      </c>
      <c r="V1585" s="4"/>
    </row>
    <row r="1586">
      <c r="A1586" s="1" t="s">
        <v>18580</v>
      </c>
      <c r="B1586" s="1" t="s">
        <v>18581</v>
      </c>
      <c r="C1586" s="1" t="s">
        <v>18582</v>
      </c>
      <c r="D1586" s="1" t="s">
        <v>18465</v>
      </c>
      <c r="E1586" s="1" t="s">
        <v>18466</v>
      </c>
      <c r="F1586" s="1">
        <v>1.1563837E7</v>
      </c>
      <c r="G1586" s="1">
        <v>264700.0</v>
      </c>
      <c r="H1586" s="1">
        <v>1491.0</v>
      </c>
      <c r="I1586" s="1">
        <v>8.15E7</v>
      </c>
      <c r="J1586" s="1" t="s">
        <v>2468</v>
      </c>
      <c r="K1586" s="5">
        <f t="shared" si="2"/>
        <v>0.1418875706</v>
      </c>
      <c r="L1586" s="6">
        <f t="shared" si="3"/>
        <v>369</v>
      </c>
      <c r="M1586" s="6">
        <f t="shared" si="4"/>
        <v>31338.31165</v>
      </c>
      <c r="N1586" s="7">
        <f t="shared" si="5"/>
        <v>0.0003845191614</v>
      </c>
      <c r="O1586" s="7"/>
      <c r="P1586" s="4">
        <f t="shared" si="6"/>
        <v>-0.1786847075</v>
      </c>
      <c r="Q1586" s="4">
        <f t="shared" si="7"/>
        <v>6</v>
      </c>
      <c r="R1586" s="4">
        <f t="shared" si="8"/>
        <v>0</v>
      </c>
      <c r="S1586" s="4">
        <f t="shared" si="9"/>
        <v>-0.1786847075</v>
      </c>
      <c r="T1586" s="4">
        <f t="shared" si="10"/>
        <v>29</v>
      </c>
      <c r="U1586" s="4">
        <f t="shared" si="1"/>
        <v>-0.1786847075</v>
      </c>
      <c r="V1586" s="4"/>
    </row>
    <row r="1587">
      <c r="A1587" s="1" t="s">
        <v>18583</v>
      </c>
      <c r="B1587" s="1" t="s">
        <v>18584</v>
      </c>
      <c r="C1587" s="1" t="s">
        <v>18585</v>
      </c>
      <c r="D1587" s="1" t="s">
        <v>18465</v>
      </c>
      <c r="E1587" s="1" t="s">
        <v>18466</v>
      </c>
      <c r="F1587" s="1">
        <v>1.46199221E8</v>
      </c>
      <c r="G1587" s="1">
        <v>2621880.0</v>
      </c>
      <c r="H1587" s="1">
        <v>9767.0</v>
      </c>
      <c r="I1587" s="1">
        <v>8.15E7</v>
      </c>
      <c r="J1587" s="1" t="s">
        <v>2468</v>
      </c>
      <c r="K1587" s="5">
        <f t="shared" si="2"/>
        <v>1.793855472</v>
      </c>
      <c r="L1587" s="6">
        <f t="shared" si="3"/>
        <v>381</v>
      </c>
      <c r="M1587" s="6">
        <f t="shared" si="4"/>
        <v>383724.9895</v>
      </c>
      <c r="N1587" s="7">
        <f t="shared" si="5"/>
        <v>0.00470828208</v>
      </c>
      <c r="O1587" s="7"/>
      <c r="P1587" s="4">
        <f t="shared" si="6"/>
        <v>2.866815758</v>
      </c>
      <c r="Q1587" s="4">
        <f t="shared" si="7"/>
        <v>4</v>
      </c>
      <c r="R1587" s="4">
        <f t="shared" si="8"/>
        <v>0</v>
      </c>
      <c r="S1587" s="4">
        <f t="shared" si="9"/>
        <v>2.866815758</v>
      </c>
      <c r="T1587" s="4">
        <f t="shared" si="10"/>
        <v>23</v>
      </c>
      <c r="U1587" s="4">
        <f t="shared" si="1"/>
        <v>2.866815758</v>
      </c>
      <c r="V1587" s="4"/>
    </row>
    <row r="1588">
      <c r="A1588" s="1" t="s">
        <v>18586</v>
      </c>
      <c r="B1588" s="1" t="s">
        <v>18587</v>
      </c>
      <c r="C1588" s="1" t="s">
        <v>18588</v>
      </c>
      <c r="D1588" s="1" t="s">
        <v>18465</v>
      </c>
      <c r="E1588" s="1" t="s">
        <v>18466</v>
      </c>
      <c r="F1588" s="1">
        <v>2.7318098E7</v>
      </c>
      <c r="G1588" s="1">
        <v>430657.0</v>
      </c>
      <c r="H1588" s="1">
        <v>3635.0</v>
      </c>
      <c r="I1588" s="1">
        <v>8.15E7</v>
      </c>
      <c r="J1588" s="1" t="s">
        <v>2468</v>
      </c>
      <c r="K1588" s="5">
        <f t="shared" si="2"/>
        <v>0.3351913865</v>
      </c>
      <c r="L1588" s="6">
        <f t="shared" si="3"/>
        <v>391</v>
      </c>
      <c r="M1588" s="6">
        <f t="shared" si="4"/>
        <v>69867.25831</v>
      </c>
      <c r="N1588" s="7">
        <f t="shared" si="5"/>
        <v>0.0008572669732</v>
      </c>
      <c r="O1588" s="7"/>
      <c r="P1588" s="4">
        <f t="shared" si="6"/>
        <v>0.1543015612</v>
      </c>
      <c r="Q1588" s="4">
        <f t="shared" si="7"/>
        <v>3</v>
      </c>
      <c r="R1588" s="4">
        <f t="shared" si="8"/>
        <v>0</v>
      </c>
      <c r="S1588" s="4">
        <f t="shared" si="9"/>
        <v>0.1543015612</v>
      </c>
      <c r="T1588" s="4">
        <f t="shared" si="10"/>
        <v>22</v>
      </c>
      <c r="U1588" s="4">
        <f t="shared" si="1"/>
        <v>0.1543015612</v>
      </c>
      <c r="V1588" s="4"/>
    </row>
    <row r="1589">
      <c r="A1589" s="1" t="s">
        <v>18589</v>
      </c>
      <c r="B1589" s="1" t="s">
        <v>18590</v>
      </c>
      <c r="C1589" s="1" t="s">
        <v>18591</v>
      </c>
      <c r="D1589" s="1" t="s">
        <v>18465</v>
      </c>
      <c r="E1589" s="1" t="s">
        <v>18466</v>
      </c>
      <c r="F1589" s="1">
        <v>1.6167582E7</v>
      </c>
      <c r="G1589" s="1">
        <v>365756.0</v>
      </c>
      <c r="H1589" s="1">
        <v>5701.0</v>
      </c>
      <c r="I1589" s="1">
        <v>8.15E7</v>
      </c>
      <c r="J1589" s="1" t="s">
        <v>2468</v>
      </c>
      <c r="K1589" s="5">
        <f t="shared" si="2"/>
        <v>0.1983752393</v>
      </c>
      <c r="L1589" s="6">
        <f t="shared" si="3"/>
        <v>398</v>
      </c>
      <c r="M1589" s="6">
        <f t="shared" si="4"/>
        <v>40622.06533</v>
      </c>
      <c r="N1589" s="7">
        <f t="shared" si="5"/>
        <v>0.0004984302494</v>
      </c>
      <c r="O1589" s="7"/>
      <c r="P1589" s="4">
        <f t="shared" si="6"/>
        <v>-0.09844990323</v>
      </c>
      <c r="Q1589" s="4">
        <f t="shared" si="7"/>
        <v>7</v>
      </c>
      <c r="R1589" s="4">
        <f t="shared" si="8"/>
        <v>1</v>
      </c>
      <c r="S1589" s="4">
        <f t="shared" si="9"/>
        <v>-0.09844990323</v>
      </c>
      <c r="T1589" s="4">
        <f t="shared" si="10"/>
        <v>27</v>
      </c>
      <c r="U1589" s="4">
        <f t="shared" si="1"/>
        <v>-0.09844990323</v>
      </c>
      <c r="V1589" s="4"/>
    </row>
    <row r="1590">
      <c r="A1590" s="1" t="s">
        <v>18592</v>
      </c>
      <c r="B1590" s="1" t="s">
        <v>18593</v>
      </c>
      <c r="C1590" s="1" t="s">
        <v>18594</v>
      </c>
      <c r="D1590" s="1" t="s">
        <v>18465</v>
      </c>
      <c r="E1590" s="1" t="s">
        <v>18466</v>
      </c>
      <c r="F1590" s="1">
        <v>1.40273052E8</v>
      </c>
      <c r="G1590" s="1">
        <v>2698285.0</v>
      </c>
      <c r="H1590" s="1">
        <v>4698.0</v>
      </c>
      <c r="I1590" s="1">
        <v>8.15E7</v>
      </c>
      <c r="J1590" s="1" t="s">
        <v>2468</v>
      </c>
      <c r="K1590" s="5">
        <f t="shared" si="2"/>
        <v>1.721141742</v>
      </c>
      <c r="L1590" s="6">
        <f t="shared" si="3"/>
        <v>399</v>
      </c>
      <c r="M1590" s="6">
        <f t="shared" si="4"/>
        <v>351561.5338</v>
      </c>
      <c r="N1590" s="7">
        <f t="shared" si="5"/>
        <v>0.004313638452</v>
      </c>
      <c r="O1590" s="7"/>
      <c r="P1590" s="4">
        <f t="shared" si="6"/>
        <v>2.58884322</v>
      </c>
      <c r="Q1590" s="4">
        <f t="shared" si="7"/>
        <v>5</v>
      </c>
      <c r="R1590" s="4">
        <f t="shared" si="8"/>
        <v>0</v>
      </c>
      <c r="S1590" s="4">
        <f t="shared" si="9"/>
        <v>2.58884322</v>
      </c>
      <c r="T1590" s="4">
        <f t="shared" si="10"/>
        <v>28</v>
      </c>
      <c r="U1590" s="4">
        <f t="shared" si="1"/>
        <v>2.58884322</v>
      </c>
      <c r="V1590" s="4"/>
    </row>
    <row r="1591">
      <c r="A1591" s="1" t="s">
        <v>18595</v>
      </c>
      <c r="B1591" s="1" t="s">
        <v>18596</v>
      </c>
      <c r="C1591" s="1" t="s">
        <v>18597</v>
      </c>
      <c r="D1591" s="1" t="s">
        <v>18465</v>
      </c>
      <c r="E1591" s="1" t="s">
        <v>18466</v>
      </c>
      <c r="F1591" s="1">
        <v>9932771.0</v>
      </c>
      <c r="G1591" s="1">
        <v>253881.0</v>
      </c>
      <c r="H1591" s="1">
        <v>1161.0</v>
      </c>
      <c r="I1591" s="1">
        <v>8.15E7</v>
      </c>
      <c r="J1591" s="1" t="s">
        <v>2468</v>
      </c>
      <c r="K1591" s="5">
        <f t="shared" si="2"/>
        <v>0.1218744908</v>
      </c>
      <c r="L1591" s="6">
        <f t="shared" si="3"/>
        <v>402</v>
      </c>
      <c r="M1591" s="6">
        <f t="shared" si="4"/>
        <v>24708.38557</v>
      </c>
      <c r="N1591" s="7">
        <f t="shared" si="5"/>
        <v>0.0003031703751</v>
      </c>
      <c r="O1591" s="7"/>
      <c r="P1591" s="4">
        <f t="shared" si="6"/>
        <v>-0.2359838174</v>
      </c>
      <c r="Q1591" s="4">
        <f t="shared" si="7"/>
        <v>6</v>
      </c>
      <c r="R1591" s="4">
        <f t="shared" si="8"/>
        <v>0</v>
      </c>
      <c r="S1591" s="4">
        <f t="shared" si="9"/>
        <v>-0.2359838174</v>
      </c>
      <c r="T1591" s="4">
        <f t="shared" si="10"/>
        <v>37</v>
      </c>
      <c r="U1591" s="4">
        <f t="shared" si="1"/>
        <v>-0.2359838174</v>
      </c>
      <c r="V1591" s="4"/>
    </row>
    <row r="1592">
      <c r="A1592" s="1" t="s">
        <v>18598</v>
      </c>
      <c r="B1592" s="1" t="s">
        <v>18599</v>
      </c>
      <c r="C1592" s="1" t="s">
        <v>18600</v>
      </c>
      <c r="D1592" s="1" t="s">
        <v>18465</v>
      </c>
      <c r="E1592" s="1" t="s">
        <v>18466</v>
      </c>
      <c r="F1592" s="1">
        <v>1.1340093E7</v>
      </c>
      <c r="G1592" s="1">
        <v>176545.0</v>
      </c>
      <c r="H1592" s="1">
        <v>704.0</v>
      </c>
      <c r="I1592" s="1">
        <v>8.15E7</v>
      </c>
      <c r="J1592" s="1" t="s">
        <v>2468</v>
      </c>
      <c r="K1592" s="5">
        <f t="shared" si="2"/>
        <v>0.1391422454</v>
      </c>
      <c r="L1592" s="6">
        <f t="shared" si="3"/>
        <v>419</v>
      </c>
      <c r="M1592" s="6">
        <f t="shared" si="4"/>
        <v>27064.6611</v>
      </c>
      <c r="N1592" s="7">
        <f t="shared" si="5"/>
        <v>0.0003320817313</v>
      </c>
      <c r="O1592" s="7"/>
      <c r="P1592" s="4">
        <f t="shared" si="6"/>
        <v>-0.2156197155</v>
      </c>
      <c r="Q1592" s="4">
        <f t="shared" si="7"/>
        <v>5</v>
      </c>
      <c r="R1592" s="4">
        <f t="shared" si="8"/>
        <v>0</v>
      </c>
      <c r="S1592" s="4">
        <f t="shared" si="9"/>
        <v>-0.2156197155</v>
      </c>
      <c r="T1592" s="4">
        <f t="shared" si="10"/>
        <v>20</v>
      </c>
      <c r="U1592" s="4">
        <f t="shared" si="1"/>
        <v>-0.2156197155</v>
      </c>
      <c r="V1592" s="4"/>
    </row>
    <row r="1593">
      <c r="A1593" s="1" t="s">
        <v>18601</v>
      </c>
      <c r="B1593" s="1" t="s">
        <v>18602</v>
      </c>
      <c r="C1593" s="1" t="s">
        <v>18603</v>
      </c>
      <c r="D1593" s="1" t="s">
        <v>18465</v>
      </c>
      <c r="E1593" s="1" t="s">
        <v>18466</v>
      </c>
      <c r="F1593" s="1">
        <v>5.7412367E7</v>
      </c>
      <c r="G1593" s="1">
        <v>1272489.0</v>
      </c>
      <c r="H1593" s="1">
        <v>4352.0</v>
      </c>
      <c r="I1593" s="1">
        <v>8.15E7</v>
      </c>
      <c r="J1593" s="1" t="s">
        <v>2468</v>
      </c>
      <c r="K1593" s="5">
        <f t="shared" si="2"/>
        <v>0.7044462209</v>
      </c>
      <c r="L1593" s="6">
        <f t="shared" si="3"/>
        <v>433</v>
      </c>
      <c r="M1593" s="6">
        <f t="shared" si="4"/>
        <v>132592.0716</v>
      </c>
      <c r="N1593" s="7">
        <f t="shared" si="5"/>
        <v>0.001626896584</v>
      </c>
      <c r="O1593" s="7"/>
      <c r="P1593" s="4">
        <f t="shared" si="6"/>
        <v>0.6964005112</v>
      </c>
      <c r="Q1593" s="4">
        <f t="shared" si="7"/>
        <v>5</v>
      </c>
      <c r="R1593" s="4">
        <f t="shared" si="8"/>
        <v>0</v>
      </c>
      <c r="S1593" s="4">
        <f t="shared" si="9"/>
        <v>0.6964005112</v>
      </c>
      <c r="T1593" s="4">
        <f t="shared" si="10"/>
        <v>18</v>
      </c>
      <c r="U1593" s="4">
        <f t="shared" si="1"/>
        <v>0.6964005112</v>
      </c>
      <c r="V1593" s="4"/>
    </row>
    <row r="1594">
      <c r="A1594" s="1" t="s">
        <v>18604</v>
      </c>
      <c r="B1594" s="1" t="s">
        <v>18605</v>
      </c>
      <c r="C1594" s="1" t="s">
        <v>18606</v>
      </c>
      <c r="D1594" s="1" t="s">
        <v>18465</v>
      </c>
      <c r="E1594" s="1" t="s">
        <v>18466</v>
      </c>
      <c r="F1594" s="1">
        <v>4.3764914E7</v>
      </c>
      <c r="G1594" s="1">
        <v>251449.0</v>
      </c>
      <c r="H1594" s="1">
        <v>4338.0</v>
      </c>
      <c r="I1594" s="1">
        <v>8.15E7</v>
      </c>
      <c r="J1594" s="1" t="s">
        <v>2468</v>
      </c>
      <c r="K1594" s="5">
        <f t="shared" si="2"/>
        <v>0.5369928098</v>
      </c>
      <c r="L1594" s="6">
        <f t="shared" si="3"/>
        <v>439</v>
      </c>
      <c r="M1594" s="6">
        <f t="shared" si="4"/>
        <v>99692.28702</v>
      </c>
      <c r="N1594" s="7">
        <f t="shared" si="5"/>
        <v>0.001223218246</v>
      </c>
      <c r="O1594" s="7"/>
      <c r="P1594" s="4">
        <f t="shared" si="6"/>
        <v>0.4120642535</v>
      </c>
      <c r="Q1594" s="4">
        <f t="shared" si="7"/>
        <v>8</v>
      </c>
      <c r="R1594" s="4">
        <f t="shared" si="8"/>
        <v>0</v>
      </c>
      <c r="S1594" s="4">
        <f t="shared" si="9"/>
        <v>0.4120642535</v>
      </c>
      <c r="T1594" s="4">
        <f t="shared" si="10"/>
        <v>26</v>
      </c>
      <c r="U1594" s="4">
        <f t="shared" si="1"/>
        <v>0.4120642535</v>
      </c>
      <c r="V1594" s="4"/>
    </row>
    <row r="1595">
      <c r="A1595" s="1" t="s">
        <v>18607</v>
      </c>
      <c r="B1595" s="1" t="s">
        <v>18608</v>
      </c>
      <c r="C1595" s="1" t="s">
        <v>18609</v>
      </c>
      <c r="D1595" s="1" t="s">
        <v>18465</v>
      </c>
      <c r="E1595" s="1" t="s">
        <v>18466</v>
      </c>
      <c r="F1595" s="1">
        <v>2.5809583E7</v>
      </c>
      <c r="G1595" s="1">
        <v>365302.0</v>
      </c>
      <c r="H1595" s="1">
        <v>875.0</v>
      </c>
      <c r="I1595" s="1">
        <v>8.15E7</v>
      </c>
      <c r="J1595" s="1" t="s">
        <v>2468</v>
      </c>
      <c r="K1595" s="5">
        <f t="shared" si="2"/>
        <v>0.316682</v>
      </c>
      <c r="L1595" s="6">
        <f t="shared" si="3"/>
        <v>440</v>
      </c>
      <c r="M1595" s="6">
        <f t="shared" si="4"/>
        <v>58658.14318</v>
      </c>
      <c r="N1595" s="7">
        <f t="shared" si="5"/>
        <v>0.0007197318182</v>
      </c>
      <c r="O1595" s="7"/>
      <c r="P1595" s="4">
        <f t="shared" si="6"/>
        <v>0.0574268281</v>
      </c>
      <c r="Q1595" s="4">
        <f t="shared" si="7"/>
        <v>6</v>
      </c>
      <c r="R1595" s="4">
        <f t="shared" si="8"/>
        <v>0</v>
      </c>
      <c r="S1595" s="4">
        <f t="shared" si="9"/>
        <v>0.0574268281</v>
      </c>
      <c r="T1595" s="4">
        <f t="shared" si="10"/>
        <v>28</v>
      </c>
      <c r="U1595" s="4">
        <f t="shared" si="1"/>
        <v>0.0574268281</v>
      </c>
      <c r="V1595" s="4"/>
    </row>
    <row r="1596">
      <c r="A1596" s="1" t="s">
        <v>18610</v>
      </c>
      <c r="B1596" s="1" t="s">
        <v>18611</v>
      </c>
      <c r="C1596" s="1" t="s">
        <v>18612</v>
      </c>
      <c r="D1596" s="1" t="s">
        <v>18465</v>
      </c>
      <c r="E1596" s="1" t="s">
        <v>18466</v>
      </c>
      <c r="F1596" s="1">
        <v>1.41849795E8</v>
      </c>
      <c r="G1596" s="1">
        <v>1956970.0</v>
      </c>
      <c r="H1596" s="1">
        <v>3509.0</v>
      </c>
      <c r="I1596" s="1">
        <v>8.15E7</v>
      </c>
      <c r="J1596" s="1" t="s">
        <v>2468</v>
      </c>
      <c r="K1596" s="5">
        <f t="shared" si="2"/>
        <v>1.740488282</v>
      </c>
      <c r="L1596" s="6">
        <f t="shared" si="3"/>
        <v>449</v>
      </c>
      <c r="M1596" s="6">
        <f t="shared" si="4"/>
        <v>315923.8196</v>
      </c>
      <c r="N1596" s="7">
        <f t="shared" si="5"/>
        <v>0.003876365885</v>
      </c>
      <c r="O1596" s="7"/>
      <c r="P1596" s="4">
        <f t="shared" si="6"/>
        <v>2.280844416</v>
      </c>
      <c r="Q1596" s="4">
        <f t="shared" si="7"/>
        <v>6</v>
      </c>
      <c r="R1596" s="4">
        <f t="shared" si="8"/>
        <v>0</v>
      </c>
      <c r="S1596" s="4">
        <f t="shared" si="9"/>
        <v>2.280844416</v>
      </c>
      <c r="T1596" s="4">
        <f t="shared" si="10"/>
        <v>36</v>
      </c>
      <c r="U1596" s="4">
        <f t="shared" si="1"/>
        <v>2.280844416</v>
      </c>
      <c r="V1596" s="4"/>
    </row>
    <row r="1597">
      <c r="A1597" s="1" t="s">
        <v>18613</v>
      </c>
      <c r="B1597" s="1" t="s">
        <v>18614</v>
      </c>
      <c r="C1597" s="1" t="s">
        <v>18615</v>
      </c>
      <c r="D1597" s="1" t="s">
        <v>18465</v>
      </c>
      <c r="E1597" s="1" t="s">
        <v>18466</v>
      </c>
      <c r="F1597" s="1">
        <v>2.089565E7</v>
      </c>
      <c r="G1597" s="1">
        <v>325751.0</v>
      </c>
      <c r="H1597" s="1">
        <v>1039.0</v>
      </c>
      <c r="I1597" s="1">
        <v>8.15E7</v>
      </c>
      <c r="J1597" s="1" t="s">
        <v>2468</v>
      </c>
      <c r="K1597" s="5">
        <f t="shared" si="2"/>
        <v>0.2563883436</v>
      </c>
      <c r="L1597" s="6">
        <f t="shared" si="3"/>
        <v>455</v>
      </c>
      <c r="M1597" s="6">
        <f t="shared" si="4"/>
        <v>45924.50549</v>
      </c>
      <c r="N1597" s="7">
        <f t="shared" si="5"/>
        <v>0.000563490865</v>
      </c>
      <c r="O1597" s="7"/>
      <c r="P1597" s="4">
        <f t="shared" si="6"/>
        <v>-0.05262358511</v>
      </c>
      <c r="Q1597" s="4">
        <f t="shared" si="7"/>
        <v>5</v>
      </c>
      <c r="R1597" s="4">
        <f t="shared" si="8"/>
        <v>0</v>
      </c>
      <c r="S1597" s="4">
        <f t="shared" si="9"/>
        <v>-0.05262358511</v>
      </c>
      <c r="T1597" s="4">
        <f t="shared" si="10"/>
        <v>21</v>
      </c>
      <c r="U1597" s="4">
        <f t="shared" si="1"/>
        <v>-0.05262358511</v>
      </c>
      <c r="V1597" s="4"/>
    </row>
    <row r="1598">
      <c r="A1598" s="1" t="s">
        <v>18616</v>
      </c>
      <c r="B1598" s="1" t="s">
        <v>18617</v>
      </c>
      <c r="C1598" s="1" t="s">
        <v>18618</v>
      </c>
      <c r="D1598" s="1" t="s">
        <v>18465</v>
      </c>
      <c r="E1598" s="1" t="s">
        <v>18466</v>
      </c>
      <c r="F1598" s="1">
        <v>7252164.0</v>
      </c>
      <c r="G1598" s="1">
        <v>155326.0</v>
      </c>
      <c r="H1598" s="1">
        <v>697.0</v>
      </c>
      <c r="I1598" s="1">
        <v>8.15E7</v>
      </c>
      <c r="J1598" s="1" t="s">
        <v>2468</v>
      </c>
      <c r="K1598" s="5">
        <f t="shared" si="2"/>
        <v>0.08898360736</v>
      </c>
      <c r="L1598" s="6">
        <f t="shared" si="3"/>
        <v>457</v>
      </c>
      <c r="M1598" s="6">
        <f t="shared" si="4"/>
        <v>15869.06783</v>
      </c>
      <c r="N1598" s="7">
        <f t="shared" si="5"/>
        <v>0.0001947124888</v>
      </c>
      <c r="O1598" s="7"/>
      <c r="P1598" s="4">
        <f t="shared" si="6"/>
        <v>-0.3123775859</v>
      </c>
      <c r="Q1598" s="4">
        <f t="shared" si="7"/>
        <v>4</v>
      </c>
      <c r="R1598" s="4">
        <f t="shared" si="8"/>
        <v>0</v>
      </c>
      <c r="S1598" s="4">
        <f t="shared" si="9"/>
        <v>-0.3123775859</v>
      </c>
      <c r="T1598" s="4">
        <f t="shared" si="10"/>
        <v>17</v>
      </c>
      <c r="U1598" s="4">
        <f t="shared" si="1"/>
        <v>-0.3123775859</v>
      </c>
      <c r="V1598" s="4"/>
    </row>
    <row r="1599">
      <c r="A1599" s="1" t="s">
        <v>18619</v>
      </c>
      <c r="B1599" s="1" t="s">
        <v>18620</v>
      </c>
      <c r="C1599" s="1" t="s">
        <v>18621</v>
      </c>
      <c r="D1599" s="1" t="s">
        <v>18465</v>
      </c>
      <c r="E1599" s="1" t="s">
        <v>18466</v>
      </c>
      <c r="F1599" s="1">
        <v>1.86734E7</v>
      </c>
      <c r="G1599" s="1">
        <v>482707.0</v>
      </c>
      <c r="H1599" s="1">
        <v>8875.0</v>
      </c>
      <c r="I1599" s="1">
        <v>8.15E7</v>
      </c>
      <c r="J1599" s="1" t="s">
        <v>2468</v>
      </c>
      <c r="K1599" s="5">
        <f t="shared" si="2"/>
        <v>0.2291214724</v>
      </c>
      <c r="L1599" s="6">
        <f t="shared" si="3"/>
        <v>467</v>
      </c>
      <c r="M1599" s="6">
        <f t="shared" si="4"/>
        <v>39985.86724</v>
      </c>
      <c r="N1599" s="7">
        <f t="shared" si="5"/>
        <v>0.0004906241379</v>
      </c>
      <c r="O1599" s="7"/>
      <c r="P1599" s="4">
        <f t="shared" si="6"/>
        <v>-0.1039482427</v>
      </c>
      <c r="Q1599" s="4">
        <f t="shared" si="7"/>
        <v>11</v>
      </c>
      <c r="R1599" s="4">
        <f t="shared" si="8"/>
        <v>0</v>
      </c>
      <c r="S1599" s="4">
        <f t="shared" si="9"/>
        <v>-0.1039482427</v>
      </c>
      <c r="T1599" s="4">
        <f t="shared" si="10"/>
        <v>39</v>
      </c>
      <c r="U1599" s="4">
        <f t="shared" si="1"/>
        <v>-0.1039482427</v>
      </c>
      <c r="V1599" s="4"/>
    </row>
    <row r="1600">
      <c r="A1600" s="1" t="s">
        <v>18622</v>
      </c>
      <c r="B1600" s="1" t="s">
        <v>18623</v>
      </c>
      <c r="C1600" s="1" t="s">
        <v>18624</v>
      </c>
      <c r="D1600" s="1" t="s">
        <v>18465</v>
      </c>
      <c r="E1600" s="1" t="s">
        <v>18466</v>
      </c>
      <c r="F1600" s="1">
        <v>1.52768308E8</v>
      </c>
      <c r="G1600" s="1">
        <v>3751565.0</v>
      </c>
      <c r="H1600" s="1">
        <v>6160.0</v>
      </c>
      <c r="I1600" s="1">
        <v>8.15E7</v>
      </c>
      <c r="J1600" s="1" t="s">
        <v>2468</v>
      </c>
      <c r="K1600" s="5">
        <f t="shared" si="2"/>
        <v>1.874457767</v>
      </c>
      <c r="L1600" s="6">
        <f t="shared" si="3"/>
        <v>468</v>
      </c>
      <c r="M1600" s="6">
        <f t="shared" si="4"/>
        <v>326428.0085</v>
      </c>
      <c r="N1600" s="7">
        <f t="shared" si="5"/>
        <v>0.004005251639</v>
      </c>
      <c r="O1600" s="7"/>
      <c r="P1600" s="4">
        <f t="shared" si="6"/>
        <v>2.371626828</v>
      </c>
      <c r="Q1600" s="4">
        <f t="shared" si="7"/>
        <v>6</v>
      </c>
      <c r="R1600" s="4">
        <f t="shared" si="8"/>
        <v>0</v>
      </c>
      <c r="S1600" s="4">
        <f t="shared" si="9"/>
        <v>2.371626828</v>
      </c>
      <c r="T1600" s="4">
        <f t="shared" si="10"/>
        <v>23</v>
      </c>
      <c r="U1600" s="4">
        <f t="shared" si="1"/>
        <v>2.371626828</v>
      </c>
      <c r="V1600" s="4"/>
    </row>
    <row r="1601">
      <c r="A1601" s="1" t="s">
        <v>18625</v>
      </c>
      <c r="B1601" s="1" t="s">
        <v>18626</v>
      </c>
      <c r="C1601" s="1" t="s">
        <v>18627</v>
      </c>
      <c r="D1601" s="1" t="s">
        <v>18465</v>
      </c>
      <c r="E1601" s="1" t="s">
        <v>18466</v>
      </c>
      <c r="F1601" s="1">
        <v>8.7377152E7</v>
      </c>
      <c r="G1601" s="1">
        <v>2157240.0</v>
      </c>
      <c r="H1601" s="1">
        <v>14667.0</v>
      </c>
      <c r="I1601" s="1">
        <v>8.15E7</v>
      </c>
      <c r="J1601" s="1" t="s">
        <v>2468</v>
      </c>
      <c r="K1601" s="5">
        <f t="shared" si="2"/>
        <v>1.072112294</v>
      </c>
      <c r="L1601" s="6">
        <f t="shared" si="3"/>
        <v>476</v>
      </c>
      <c r="M1601" s="6">
        <f t="shared" si="4"/>
        <v>183565.4454</v>
      </c>
      <c r="N1601" s="7">
        <f t="shared" si="5"/>
        <v>0.002252336753</v>
      </c>
      <c r="O1601" s="7"/>
      <c r="P1601" s="4">
        <f t="shared" si="6"/>
        <v>1.136937692</v>
      </c>
      <c r="Q1601" s="4">
        <f t="shared" si="7"/>
        <v>5</v>
      </c>
      <c r="R1601" s="4">
        <f t="shared" si="8"/>
        <v>0</v>
      </c>
      <c r="S1601" s="4">
        <f t="shared" si="9"/>
        <v>1.136937692</v>
      </c>
      <c r="T1601" s="4">
        <f t="shared" si="10"/>
        <v>34</v>
      </c>
      <c r="U1601" s="4">
        <f t="shared" si="1"/>
        <v>1.136937692</v>
      </c>
      <c r="V1601" s="4"/>
    </row>
    <row r="1602">
      <c r="A1602" s="1" t="s">
        <v>18628</v>
      </c>
      <c r="B1602" s="1" t="s">
        <v>18629</v>
      </c>
      <c r="C1602" s="1" t="s">
        <v>18630</v>
      </c>
      <c r="D1602" s="1" t="s">
        <v>18465</v>
      </c>
      <c r="E1602" s="1" t="s">
        <v>18466</v>
      </c>
      <c r="F1602" s="1">
        <v>5.4314368E7</v>
      </c>
      <c r="G1602" s="1">
        <v>1163222.0</v>
      </c>
      <c r="H1602" s="1">
        <v>2626.0</v>
      </c>
      <c r="I1602" s="1">
        <v>8.15E7</v>
      </c>
      <c r="J1602" s="1" t="s">
        <v>2468</v>
      </c>
      <c r="K1602" s="5">
        <f t="shared" si="2"/>
        <v>0.6664339632</v>
      </c>
      <c r="L1602" s="6">
        <f t="shared" si="3"/>
        <v>483</v>
      </c>
      <c r="M1602" s="6">
        <f t="shared" si="4"/>
        <v>112452.1077</v>
      </c>
      <c r="N1602" s="7">
        <f t="shared" si="5"/>
        <v>0.001379780462</v>
      </c>
      <c r="O1602" s="7"/>
      <c r="P1602" s="4">
        <f t="shared" si="6"/>
        <v>0.5223409528</v>
      </c>
      <c r="Q1602" s="4">
        <f t="shared" si="7"/>
        <v>8</v>
      </c>
      <c r="R1602" s="4">
        <f t="shared" si="8"/>
        <v>1</v>
      </c>
      <c r="S1602" s="4">
        <f t="shared" si="9"/>
        <v>0.5223409528</v>
      </c>
      <c r="T1602" s="4">
        <f t="shared" si="10"/>
        <v>37</v>
      </c>
      <c r="U1602" s="4">
        <f t="shared" si="1"/>
        <v>0.5223409528</v>
      </c>
      <c r="V1602" s="4"/>
    </row>
    <row r="1603">
      <c r="A1603" s="1" t="s">
        <v>18631</v>
      </c>
      <c r="B1603" s="1" t="s">
        <v>18632</v>
      </c>
      <c r="C1603" s="1" t="s">
        <v>18633</v>
      </c>
      <c r="D1603" s="1" t="s">
        <v>18465</v>
      </c>
      <c r="E1603" s="1" t="s">
        <v>18466</v>
      </c>
      <c r="F1603" s="1">
        <v>1.5350808E7</v>
      </c>
      <c r="G1603" s="1">
        <v>448023.0</v>
      </c>
      <c r="H1603" s="1">
        <v>481.0</v>
      </c>
      <c r="I1603" s="1">
        <v>8.15E7</v>
      </c>
      <c r="J1603" s="1" t="s">
        <v>2468</v>
      </c>
      <c r="K1603" s="5">
        <f t="shared" si="2"/>
        <v>0.1883534724</v>
      </c>
      <c r="L1603" s="6">
        <f t="shared" si="3"/>
        <v>490</v>
      </c>
      <c r="M1603" s="6">
        <f t="shared" si="4"/>
        <v>31328.17959</v>
      </c>
      <c r="N1603" s="7">
        <f t="shared" si="5"/>
        <v>0.0003843948416</v>
      </c>
      <c r="O1603" s="7"/>
      <c r="P1603" s="4">
        <f t="shared" si="6"/>
        <v>-0.1787722738</v>
      </c>
      <c r="Q1603" s="4">
        <f t="shared" si="7"/>
        <v>7</v>
      </c>
      <c r="R1603" s="4">
        <f t="shared" si="8"/>
        <v>0</v>
      </c>
      <c r="S1603" s="4">
        <f t="shared" si="9"/>
        <v>-0.1787722738</v>
      </c>
      <c r="T1603" s="4">
        <f t="shared" si="10"/>
        <v>28</v>
      </c>
      <c r="U1603" s="4">
        <f t="shared" si="1"/>
        <v>-0.1787722738</v>
      </c>
      <c r="V1603" s="4"/>
    </row>
    <row r="1604">
      <c r="A1604" s="1" t="s">
        <v>18634</v>
      </c>
      <c r="B1604" s="1" t="s">
        <v>18635</v>
      </c>
      <c r="C1604" s="1" t="s">
        <v>18636</v>
      </c>
      <c r="D1604" s="1" t="s">
        <v>18465</v>
      </c>
      <c r="E1604" s="1" t="s">
        <v>18466</v>
      </c>
      <c r="F1604" s="1">
        <v>1.3789421E7</v>
      </c>
      <c r="G1604" s="1">
        <v>349294.0</v>
      </c>
      <c r="H1604" s="1">
        <v>981.0</v>
      </c>
      <c r="I1604" s="1">
        <v>8.15E7</v>
      </c>
      <c r="J1604" s="1" t="s">
        <v>2468</v>
      </c>
      <c r="K1604" s="5">
        <f t="shared" si="2"/>
        <v>0.1691953497</v>
      </c>
      <c r="L1604" s="6">
        <f t="shared" si="3"/>
        <v>495</v>
      </c>
      <c r="M1604" s="6">
        <f t="shared" si="4"/>
        <v>27857.41616</v>
      </c>
      <c r="N1604" s="7">
        <f t="shared" si="5"/>
        <v>0.0003418087873</v>
      </c>
      <c r="O1604" s="7"/>
      <c r="P1604" s="4">
        <f t="shared" si="6"/>
        <v>-0.208768333</v>
      </c>
      <c r="Q1604" s="4">
        <f t="shared" si="7"/>
        <v>12</v>
      </c>
      <c r="R1604" s="4">
        <f t="shared" si="8"/>
        <v>0</v>
      </c>
      <c r="S1604" s="4">
        <f t="shared" si="9"/>
        <v>-0.208768333</v>
      </c>
      <c r="T1604" s="4">
        <f t="shared" si="10"/>
        <v>56</v>
      </c>
      <c r="U1604" s="4">
        <f t="shared" si="1"/>
        <v>-0.208768333</v>
      </c>
      <c r="V1604" s="4"/>
    </row>
    <row r="1605">
      <c r="A1605" s="1" t="s">
        <v>18637</v>
      </c>
      <c r="B1605" s="1" t="s">
        <v>18638</v>
      </c>
      <c r="C1605" s="1" t="s">
        <v>18639</v>
      </c>
      <c r="D1605" s="1" t="s">
        <v>18465</v>
      </c>
      <c r="E1605" s="1" t="s">
        <v>18466</v>
      </c>
      <c r="F1605" s="1">
        <v>3.4735554E7</v>
      </c>
      <c r="G1605" s="1">
        <v>664982.0</v>
      </c>
      <c r="H1605" s="1">
        <v>958.0</v>
      </c>
      <c r="I1605" s="1">
        <v>8.15E7</v>
      </c>
      <c r="J1605" s="1" t="s">
        <v>2468</v>
      </c>
      <c r="K1605" s="5">
        <f t="shared" si="2"/>
        <v>0.4262031166</v>
      </c>
      <c r="L1605" s="6">
        <f t="shared" si="3"/>
        <v>504</v>
      </c>
      <c r="M1605" s="6">
        <f t="shared" si="4"/>
        <v>68919.75</v>
      </c>
      <c r="N1605" s="7">
        <f t="shared" si="5"/>
        <v>0.0008456411043</v>
      </c>
      <c r="O1605" s="7"/>
      <c r="P1605" s="4">
        <f t="shared" si="6"/>
        <v>0.1461127243</v>
      </c>
      <c r="Q1605" s="4">
        <f t="shared" si="7"/>
        <v>4</v>
      </c>
      <c r="R1605" s="4">
        <f t="shared" si="8"/>
        <v>0</v>
      </c>
      <c r="S1605" s="4">
        <f t="shared" si="9"/>
        <v>0.1461127243</v>
      </c>
      <c r="T1605" s="4">
        <f t="shared" si="10"/>
        <v>22</v>
      </c>
      <c r="U1605" s="4">
        <f t="shared" si="1"/>
        <v>0.1461127243</v>
      </c>
      <c r="V1605" s="4"/>
    </row>
    <row r="1606">
      <c r="A1606" s="1" t="s">
        <v>18640</v>
      </c>
      <c r="B1606" s="1" t="s">
        <v>18641</v>
      </c>
      <c r="C1606" s="1" t="s">
        <v>18642</v>
      </c>
      <c r="D1606" s="1" t="s">
        <v>18465</v>
      </c>
      <c r="E1606" s="1" t="s">
        <v>18466</v>
      </c>
      <c r="F1606" s="1">
        <v>2.7041955E7</v>
      </c>
      <c r="G1606" s="1">
        <v>411459.0</v>
      </c>
      <c r="H1606" s="1">
        <v>5817.0</v>
      </c>
      <c r="I1606" s="1">
        <v>8.15E7</v>
      </c>
      <c r="J1606" s="1" t="s">
        <v>2468</v>
      </c>
      <c r="K1606" s="5">
        <f t="shared" si="2"/>
        <v>0.3318031288</v>
      </c>
      <c r="L1606" s="6">
        <f t="shared" si="3"/>
        <v>509</v>
      </c>
      <c r="M1606" s="6">
        <f t="shared" si="4"/>
        <v>53127.61297</v>
      </c>
      <c r="N1606" s="7">
        <f t="shared" si="5"/>
        <v>0.0006518725517</v>
      </c>
      <c r="O1606" s="7"/>
      <c r="P1606" s="4">
        <f t="shared" si="6"/>
        <v>0.009629242651</v>
      </c>
      <c r="Q1606" s="4">
        <f t="shared" si="7"/>
        <v>10</v>
      </c>
      <c r="R1606" s="4">
        <f t="shared" si="8"/>
        <v>0</v>
      </c>
      <c r="S1606" s="4">
        <f t="shared" si="9"/>
        <v>0.009629242651</v>
      </c>
      <c r="T1606" s="4">
        <f t="shared" si="10"/>
        <v>40</v>
      </c>
      <c r="U1606" s="4">
        <f t="shared" si="1"/>
        <v>0.009629242651</v>
      </c>
      <c r="V1606" s="4"/>
    </row>
    <row r="1607">
      <c r="A1607" s="1" t="s">
        <v>18643</v>
      </c>
      <c r="B1607" s="1" t="s">
        <v>18644</v>
      </c>
      <c r="C1607" s="1" t="s">
        <v>18645</v>
      </c>
      <c r="D1607" s="1" t="s">
        <v>18465</v>
      </c>
      <c r="E1607" s="1" t="s">
        <v>18466</v>
      </c>
      <c r="F1607" s="1">
        <v>1.98592736E8</v>
      </c>
      <c r="G1607" s="1">
        <v>3317209.0</v>
      </c>
      <c r="H1607" s="1">
        <v>3667.0</v>
      </c>
      <c r="I1607" s="1">
        <v>8.15E7</v>
      </c>
      <c r="J1607" s="1" t="s">
        <v>2468</v>
      </c>
      <c r="K1607" s="5">
        <f t="shared" si="2"/>
        <v>2.436720687</v>
      </c>
      <c r="L1607" s="6">
        <f t="shared" si="3"/>
        <v>511</v>
      </c>
      <c r="M1607" s="6">
        <f t="shared" si="4"/>
        <v>388635.4912</v>
      </c>
      <c r="N1607" s="7">
        <f t="shared" si="5"/>
        <v>0.004768533634</v>
      </c>
      <c r="O1607" s="7"/>
      <c r="P1607" s="4">
        <f t="shared" si="6"/>
        <v>2.90925475</v>
      </c>
      <c r="Q1607" s="4">
        <f t="shared" si="7"/>
        <v>4</v>
      </c>
      <c r="R1607" s="4">
        <f t="shared" si="8"/>
        <v>1</v>
      </c>
      <c r="S1607" s="4">
        <f t="shared" si="9"/>
        <v>2.90925475</v>
      </c>
      <c r="T1607" s="4">
        <f t="shared" si="10"/>
        <v>26</v>
      </c>
      <c r="U1607" s="4">
        <f t="shared" si="1"/>
        <v>2.90925475</v>
      </c>
      <c r="V1607" s="4"/>
    </row>
    <row r="1608">
      <c r="A1608" s="1" t="s">
        <v>18646</v>
      </c>
      <c r="B1608" s="1" t="s">
        <v>18647</v>
      </c>
      <c r="C1608" s="1" t="s">
        <v>18648</v>
      </c>
      <c r="D1608" s="1" t="s">
        <v>18465</v>
      </c>
      <c r="E1608" s="1" t="s">
        <v>18466</v>
      </c>
      <c r="F1608" s="1">
        <v>5.1786263E7</v>
      </c>
      <c r="G1608" s="1">
        <v>1749381.0</v>
      </c>
      <c r="H1608" s="1">
        <v>4308.0</v>
      </c>
      <c r="I1608" s="1">
        <v>8.15E7</v>
      </c>
      <c r="J1608" s="1" t="s">
        <v>2468</v>
      </c>
      <c r="K1608" s="5">
        <f t="shared" si="2"/>
        <v>0.6354142699</v>
      </c>
      <c r="L1608" s="6">
        <f t="shared" si="3"/>
        <v>518</v>
      </c>
      <c r="M1608" s="6">
        <f t="shared" si="4"/>
        <v>99973.48069</v>
      </c>
      <c r="N1608" s="7">
        <f t="shared" si="5"/>
        <v>0.001226668475</v>
      </c>
      <c r="O1608" s="7"/>
      <c r="P1608" s="4">
        <f t="shared" si="6"/>
        <v>0.4144944687</v>
      </c>
      <c r="Q1608" s="4">
        <f t="shared" si="7"/>
        <v>9</v>
      </c>
      <c r="R1608" s="4">
        <f t="shared" si="8"/>
        <v>1</v>
      </c>
      <c r="S1608" s="4">
        <f t="shared" si="9"/>
        <v>0.4144944687</v>
      </c>
      <c r="T1608" s="4">
        <f t="shared" si="10"/>
        <v>31</v>
      </c>
      <c r="U1608" s="4">
        <f t="shared" si="1"/>
        <v>0.4144944687</v>
      </c>
      <c r="V1608" s="4"/>
    </row>
    <row r="1609">
      <c r="A1609" s="1" t="s">
        <v>18649</v>
      </c>
      <c r="B1609" s="1" t="s">
        <v>18650</v>
      </c>
      <c r="C1609" s="1" t="s">
        <v>18651</v>
      </c>
      <c r="D1609" s="1" t="s">
        <v>18465</v>
      </c>
      <c r="E1609" s="1" t="s">
        <v>18466</v>
      </c>
      <c r="F1609" s="1">
        <v>1.24718733E8</v>
      </c>
      <c r="G1609" s="1">
        <v>3233635.0</v>
      </c>
      <c r="H1609" s="1">
        <v>3348.0</v>
      </c>
      <c r="I1609" s="1">
        <v>8.15E7</v>
      </c>
      <c r="J1609" s="1" t="s">
        <v>2468</v>
      </c>
      <c r="K1609" s="5">
        <f t="shared" si="2"/>
        <v>1.530291202</v>
      </c>
      <c r="L1609" s="6">
        <f t="shared" si="3"/>
        <v>524</v>
      </c>
      <c r="M1609" s="6">
        <f t="shared" si="4"/>
        <v>238012.8492</v>
      </c>
      <c r="N1609" s="7">
        <f t="shared" si="5"/>
        <v>0.002920403058</v>
      </c>
      <c r="O1609" s="7"/>
      <c r="P1609" s="4">
        <f t="shared" si="6"/>
        <v>1.607499164</v>
      </c>
      <c r="Q1609" s="4">
        <f t="shared" si="7"/>
        <v>3</v>
      </c>
      <c r="R1609" s="4">
        <f t="shared" si="8"/>
        <v>0</v>
      </c>
      <c r="S1609" s="4">
        <f t="shared" si="9"/>
        <v>1.607499164</v>
      </c>
      <c r="T1609" s="4">
        <f t="shared" si="10"/>
        <v>22</v>
      </c>
      <c r="U1609" s="4">
        <f t="shared" si="1"/>
        <v>1.607499164</v>
      </c>
      <c r="V1609" s="4"/>
    </row>
    <row r="1610">
      <c r="A1610" s="1" t="s">
        <v>18652</v>
      </c>
      <c r="B1610" s="1" t="s">
        <v>18653</v>
      </c>
      <c r="C1610" s="1" t="s">
        <v>18654</v>
      </c>
      <c r="D1610" s="1" t="s">
        <v>18465</v>
      </c>
      <c r="E1610" s="1" t="s">
        <v>18466</v>
      </c>
      <c r="F1610" s="1">
        <v>1.53642355E8</v>
      </c>
      <c r="G1610" s="1">
        <v>4149751.0</v>
      </c>
      <c r="H1610" s="1">
        <v>6146.0</v>
      </c>
      <c r="I1610" s="1">
        <v>8.15E7</v>
      </c>
      <c r="J1610" s="1" t="s">
        <v>2468</v>
      </c>
      <c r="K1610" s="5">
        <f t="shared" si="2"/>
        <v>1.88518227</v>
      </c>
      <c r="L1610" s="6">
        <f t="shared" si="3"/>
        <v>536</v>
      </c>
      <c r="M1610" s="6">
        <f t="shared" si="4"/>
        <v>286646.1847</v>
      </c>
      <c r="N1610" s="7">
        <f t="shared" si="5"/>
        <v>0.003517131101</v>
      </c>
      <c r="O1610" s="7"/>
      <c r="P1610" s="4">
        <f t="shared" si="6"/>
        <v>2.027812573</v>
      </c>
      <c r="Q1610" s="4">
        <f t="shared" si="7"/>
        <v>4</v>
      </c>
      <c r="R1610" s="4">
        <f t="shared" si="8"/>
        <v>0</v>
      </c>
      <c r="S1610" s="4">
        <f t="shared" si="9"/>
        <v>2.027812573</v>
      </c>
      <c r="T1610" s="4">
        <f t="shared" si="10"/>
        <v>14</v>
      </c>
      <c r="U1610" s="4">
        <f t="shared" si="1"/>
        <v>2.027812573</v>
      </c>
      <c r="V1610" s="4"/>
    </row>
    <row r="1611">
      <c r="A1611" s="1" t="s">
        <v>18655</v>
      </c>
      <c r="B1611" s="1" t="s">
        <v>18656</v>
      </c>
      <c r="C1611" s="1" t="s">
        <v>18657</v>
      </c>
      <c r="D1611" s="1" t="s">
        <v>18465</v>
      </c>
      <c r="E1611" s="1" t="s">
        <v>18466</v>
      </c>
      <c r="F1611" s="1">
        <v>3.4629969E7</v>
      </c>
      <c r="G1611" s="1">
        <v>796592.0</v>
      </c>
      <c r="H1611" s="1">
        <v>19023.0</v>
      </c>
      <c r="I1611" s="1">
        <v>8.15E7</v>
      </c>
      <c r="J1611" s="1" t="s">
        <v>2468</v>
      </c>
      <c r="K1611" s="5">
        <f t="shared" si="2"/>
        <v>0.4249075951</v>
      </c>
      <c r="L1611" s="6">
        <f t="shared" si="3"/>
        <v>537</v>
      </c>
      <c r="M1611" s="6">
        <f t="shared" si="4"/>
        <v>64487.83799</v>
      </c>
      <c r="N1611" s="7">
        <f t="shared" si="5"/>
        <v>0.0007912618158</v>
      </c>
      <c r="O1611" s="7"/>
      <c r="P1611" s="4">
        <f t="shared" si="6"/>
        <v>0.1078099424</v>
      </c>
      <c r="Q1611" s="4">
        <f t="shared" si="7"/>
        <v>7</v>
      </c>
      <c r="R1611" s="4">
        <f t="shared" si="8"/>
        <v>1</v>
      </c>
      <c r="S1611" s="4">
        <f t="shared" si="9"/>
        <v>0.1078099424</v>
      </c>
      <c r="T1611" s="4">
        <f t="shared" si="10"/>
        <v>25</v>
      </c>
      <c r="U1611" s="4">
        <f t="shared" si="1"/>
        <v>0.1078099424</v>
      </c>
      <c r="V1611" s="4"/>
    </row>
    <row r="1612">
      <c r="A1612" s="1" t="s">
        <v>18658</v>
      </c>
      <c r="B1612" s="1" t="s">
        <v>18659</v>
      </c>
      <c r="C1612" s="1" t="s">
        <v>18660</v>
      </c>
      <c r="D1612" s="1" t="s">
        <v>18465</v>
      </c>
      <c r="E1612" s="1" t="s">
        <v>18466</v>
      </c>
      <c r="F1612" s="1">
        <v>2.4518477E7</v>
      </c>
      <c r="G1612" s="1">
        <v>977853.0</v>
      </c>
      <c r="H1612" s="1">
        <v>3053.0</v>
      </c>
      <c r="I1612" s="1">
        <v>8.15E7</v>
      </c>
      <c r="J1612" s="1" t="s">
        <v>2468</v>
      </c>
      <c r="K1612" s="5">
        <f t="shared" si="2"/>
        <v>0.3008402086</v>
      </c>
      <c r="L1612" s="6">
        <f t="shared" si="3"/>
        <v>546</v>
      </c>
      <c r="M1612" s="6">
        <f t="shared" si="4"/>
        <v>44905.63553</v>
      </c>
      <c r="N1612" s="7">
        <f t="shared" si="5"/>
        <v>0.000550989393</v>
      </c>
      <c r="O1612" s="7"/>
      <c r="P1612" s="4">
        <f t="shared" si="6"/>
        <v>-0.06142916473</v>
      </c>
      <c r="Q1612" s="4">
        <f t="shared" si="7"/>
        <v>7</v>
      </c>
      <c r="R1612" s="4">
        <f t="shared" si="8"/>
        <v>1</v>
      </c>
      <c r="S1612" s="4">
        <f t="shared" si="9"/>
        <v>-0.06142916473</v>
      </c>
      <c r="T1612" s="4">
        <f t="shared" si="10"/>
        <v>26</v>
      </c>
      <c r="U1612" s="4">
        <f t="shared" si="1"/>
        <v>-0.06142916473</v>
      </c>
      <c r="V1612" s="4"/>
    </row>
    <row r="1613">
      <c r="A1613" s="1" t="s">
        <v>18661</v>
      </c>
      <c r="B1613" s="1" t="s">
        <v>18662</v>
      </c>
      <c r="C1613" s="1" t="s">
        <v>18663</v>
      </c>
      <c r="D1613" s="1" t="s">
        <v>18465</v>
      </c>
      <c r="E1613" s="1" t="s">
        <v>18466</v>
      </c>
      <c r="F1613" s="1">
        <v>1.97010737E8</v>
      </c>
      <c r="G1613" s="1">
        <v>5162942.0</v>
      </c>
      <c r="H1613" s="1">
        <v>6177.0</v>
      </c>
      <c r="I1613" s="1">
        <v>8.15E7</v>
      </c>
      <c r="J1613" s="1" t="s">
        <v>2468</v>
      </c>
      <c r="K1613" s="5">
        <f t="shared" si="2"/>
        <v>2.417309656</v>
      </c>
      <c r="L1613" s="6">
        <f t="shared" si="3"/>
        <v>550</v>
      </c>
      <c r="M1613" s="6">
        <f t="shared" si="4"/>
        <v>358201.34</v>
      </c>
      <c r="N1613" s="7">
        <f t="shared" si="5"/>
        <v>0.004395108466</v>
      </c>
      <c r="O1613" s="7"/>
      <c r="P1613" s="4">
        <f t="shared" si="6"/>
        <v>2.646227719</v>
      </c>
      <c r="Q1613" s="4">
        <f t="shared" si="7"/>
        <v>4</v>
      </c>
      <c r="R1613" s="4">
        <f t="shared" si="8"/>
        <v>0</v>
      </c>
      <c r="S1613" s="4">
        <f t="shared" si="9"/>
        <v>2.646227719</v>
      </c>
      <c r="T1613" s="4">
        <f t="shared" si="10"/>
        <v>18</v>
      </c>
      <c r="U1613" s="4">
        <f t="shared" si="1"/>
        <v>2.646227719</v>
      </c>
      <c r="V1613" s="4"/>
    </row>
    <row r="1614">
      <c r="A1614" s="1" t="s">
        <v>18664</v>
      </c>
      <c r="B1614" s="1" t="s">
        <v>18665</v>
      </c>
      <c r="C1614" s="1" t="s">
        <v>18666</v>
      </c>
      <c r="D1614" s="1" t="s">
        <v>18465</v>
      </c>
      <c r="E1614" s="1" t="s">
        <v>18466</v>
      </c>
      <c r="F1614" s="1">
        <v>1.2216217E7</v>
      </c>
      <c r="G1614" s="1">
        <v>362955.0</v>
      </c>
      <c r="H1614" s="1">
        <v>610.0</v>
      </c>
      <c r="I1614" s="1">
        <v>8.15E7</v>
      </c>
      <c r="J1614" s="1" t="s">
        <v>2468</v>
      </c>
      <c r="K1614" s="5">
        <f t="shared" si="2"/>
        <v>0.1498922331</v>
      </c>
      <c r="L1614" s="6">
        <f t="shared" si="3"/>
        <v>560</v>
      </c>
      <c r="M1614" s="6">
        <f t="shared" si="4"/>
        <v>21814.67321</v>
      </c>
      <c r="N1614" s="7">
        <f t="shared" si="5"/>
        <v>0.000267664702</v>
      </c>
      <c r="O1614" s="7"/>
      <c r="P1614" s="4">
        <f t="shared" si="6"/>
        <v>-0.260992715</v>
      </c>
      <c r="Q1614" s="4">
        <f t="shared" si="7"/>
        <v>7</v>
      </c>
      <c r="R1614" s="4">
        <f t="shared" si="8"/>
        <v>0</v>
      </c>
      <c r="S1614" s="4">
        <f t="shared" si="9"/>
        <v>-0.260992715</v>
      </c>
      <c r="T1614" s="4">
        <f t="shared" si="10"/>
        <v>34</v>
      </c>
      <c r="U1614" s="4">
        <f t="shared" si="1"/>
        <v>-0.260992715</v>
      </c>
      <c r="V1614" s="4"/>
    </row>
    <row r="1615">
      <c r="A1615" s="1" t="s">
        <v>18667</v>
      </c>
      <c r="B1615" s="1" t="s">
        <v>18668</v>
      </c>
      <c r="C1615" s="1" t="s">
        <v>18669</v>
      </c>
      <c r="D1615" s="1" t="s">
        <v>18465</v>
      </c>
      <c r="E1615" s="1" t="s">
        <v>18466</v>
      </c>
      <c r="F1615" s="1">
        <v>6.1741728E7</v>
      </c>
      <c r="G1615" s="1">
        <v>1947319.0</v>
      </c>
      <c r="H1615" s="1">
        <v>3539.0</v>
      </c>
      <c r="I1615" s="1">
        <v>8.15E7</v>
      </c>
      <c r="J1615" s="1" t="s">
        <v>2468</v>
      </c>
      <c r="K1615" s="5">
        <f t="shared" si="2"/>
        <v>0.7575672147</v>
      </c>
      <c r="L1615" s="6">
        <f t="shared" si="3"/>
        <v>567</v>
      </c>
      <c r="M1615" s="6">
        <f t="shared" si="4"/>
        <v>108891.9365</v>
      </c>
      <c r="N1615" s="7">
        <f t="shared" si="5"/>
        <v>0.00133609738</v>
      </c>
      <c r="O1615" s="7"/>
      <c r="P1615" s="4">
        <f t="shared" si="6"/>
        <v>0.4915721877</v>
      </c>
      <c r="Q1615" s="4">
        <f t="shared" si="7"/>
        <v>6</v>
      </c>
      <c r="R1615" s="4">
        <f t="shared" si="8"/>
        <v>0</v>
      </c>
      <c r="S1615" s="4">
        <f t="shared" si="9"/>
        <v>0.4915721877</v>
      </c>
      <c r="T1615" s="4">
        <f t="shared" si="10"/>
        <v>27</v>
      </c>
      <c r="U1615" s="4">
        <f t="shared" si="1"/>
        <v>0.4915721877</v>
      </c>
      <c r="V1615" s="4"/>
    </row>
    <row r="1616">
      <c r="A1616" s="1" t="s">
        <v>18670</v>
      </c>
      <c r="B1616" s="1" t="s">
        <v>18671</v>
      </c>
      <c r="C1616" s="1" t="s">
        <v>18672</v>
      </c>
      <c r="D1616" s="1" t="s">
        <v>18465</v>
      </c>
      <c r="E1616" s="1" t="s">
        <v>18466</v>
      </c>
      <c r="F1616" s="1">
        <v>5.8220458E7</v>
      </c>
      <c r="G1616" s="1">
        <v>1825344.0</v>
      </c>
      <c r="H1616" s="1">
        <v>4322.0</v>
      </c>
      <c r="I1616" s="1">
        <v>8.15E7</v>
      </c>
      <c r="J1616" s="1" t="s">
        <v>2468</v>
      </c>
      <c r="K1616" s="5">
        <f t="shared" si="2"/>
        <v>0.7143614479</v>
      </c>
      <c r="L1616" s="6">
        <f t="shared" si="3"/>
        <v>574</v>
      </c>
      <c r="M1616" s="6">
        <f t="shared" si="4"/>
        <v>101429.3693</v>
      </c>
      <c r="N1616" s="7">
        <f t="shared" si="5"/>
        <v>0.001244532139</v>
      </c>
      <c r="O1616" s="7"/>
      <c r="P1616" s="4">
        <f t="shared" si="6"/>
        <v>0.4270769805</v>
      </c>
      <c r="Q1616" s="4">
        <f t="shared" si="7"/>
        <v>6</v>
      </c>
      <c r="R1616" s="4">
        <f t="shared" si="8"/>
        <v>0</v>
      </c>
      <c r="S1616" s="4">
        <f t="shared" si="9"/>
        <v>0.4270769805</v>
      </c>
      <c r="T1616" s="4">
        <f t="shared" si="10"/>
        <v>29</v>
      </c>
      <c r="U1616" s="4">
        <f t="shared" si="1"/>
        <v>0.4270769805</v>
      </c>
      <c r="V1616" s="4"/>
    </row>
    <row r="1617">
      <c r="A1617" s="1" t="s">
        <v>18673</v>
      </c>
      <c r="B1617" s="1" t="s">
        <v>18674</v>
      </c>
      <c r="C1617" s="1" t="s">
        <v>18675</v>
      </c>
      <c r="D1617" s="1" t="s">
        <v>18465</v>
      </c>
      <c r="E1617" s="1" t="s">
        <v>18466</v>
      </c>
      <c r="F1617" s="1">
        <v>3.21348682E8</v>
      </c>
      <c r="G1617" s="1">
        <v>6018391.0</v>
      </c>
      <c r="H1617" s="1">
        <v>5158.0</v>
      </c>
      <c r="I1617" s="1">
        <v>8.15E7</v>
      </c>
      <c r="J1617" s="1" t="s">
        <v>2468</v>
      </c>
      <c r="K1617" s="5">
        <f t="shared" si="2"/>
        <v>3.942928613</v>
      </c>
      <c r="L1617" s="6">
        <f t="shared" si="3"/>
        <v>581</v>
      </c>
      <c r="M1617" s="6">
        <f t="shared" si="4"/>
        <v>553095.8382</v>
      </c>
      <c r="N1617" s="7">
        <f t="shared" si="5"/>
        <v>0.006786452003</v>
      </c>
      <c r="O1617" s="7"/>
      <c r="P1617" s="4">
        <f t="shared" si="6"/>
        <v>4.330602647</v>
      </c>
      <c r="Q1617" s="4">
        <f t="shared" si="7"/>
        <v>7</v>
      </c>
      <c r="R1617" s="4">
        <f t="shared" si="8"/>
        <v>0</v>
      </c>
      <c r="S1617" s="4">
        <f t="shared" si="9"/>
        <v>4.330602647</v>
      </c>
      <c r="T1617" s="4">
        <f t="shared" si="10"/>
        <v>26</v>
      </c>
      <c r="U1617" s="4">
        <f t="shared" si="1"/>
        <v>4.330602647</v>
      </c>
      <c r="V1617" s="4"/>
    </row>
    <row r="1618">
      <c r="A1618" s="1" t="s">
        <v>18676</v>
      </c>
      <c r="B1618" s="1" t="s">
        <v>18677</v>
      </c>
      <c r="C1618" s="1" t="s">
        <v>18678</v>
      </c>
      <c r="D1618" s="1" t="s">
        <v>18465</v>
      </c>
      <c r="E1618" s="1" t="s">
        <v>18466</v>
      </c>
      <c r="F1618" s="1">
        <v>8.1690357E7</v>
      </c>
      <c r="G1618" s="1">
        <v>2451337.0</v>
      </c>
      <c r="H1618" s="1">
        <v>3119.0</v>
      </c>
      <c r="I1618" s="1">
        <v>8.15E7</v>
      </c>
      <c r="J1618" s="1" t="s">
        <v>2468</v>
      </c>
      <c r="K1618" s="5">
        <f t="shared" si="2"/>
        <v>1.002335669</v>
      </c>
      <c r="L1618" s="6">
        <f t="shared" si="3"/>
        <v>588</v>
      </c>
      <c r="M1618" s="6">
        <f t="shared" si="4"/>
        <v>138929.1786</v>
      </c>
      <c r="N1618" s="7">
        <f t="shared" si="5"/>
        <v>0.001704652498</v>
      </c>
      <c r="O1618" s="7"/>
      <c r="P1618" s="4">
        <f t="shared" si="6"/>
        <v>0.7511689331</v>
      </c>
      <c r="Q1618" s="4">
        <f t="shared" si="7"/>
        <v>7</v>
      </c>
      <c r="R1618" s="4">
        <f t="shared" si="8"/>
        <v>0</v>
      </c>
      <c r="S1618" s="4">
        <f t="shared" si="9"/>
        <v>0.7511689331</v>
      </c>
      <c r="T1618" s="4">
        <f t="shared" si="10"/>
        <v>25</v>
      </c>
      <c r="U1618" s="4">
        <f t="shared" si="1"/>
        <v>0.7511689331</v>
      </c>
      <c r="V1618" s="4"/>
    </row>
    <row r="1619">
      <c r="A1619" s="1" t="s">
        <v>18679</v>
      </c>
      <c r="B1619" s="1" t="s">
        <v>18680</v>
      </c>
      <c r="C1619" s="1" t="s">
        <v>18681</v>
      </c>
      <c r="D1619" s="1" t="s">
        <v>18465</v>
      </c>
      <c r="E1619" s="1" t="s">
        <v>18466</v>
      </c>
      <c r="F1619" s="1">
        <v>1.76946072E8</v>
      </c>
      <c r="G1619" s="1">
        <v>5832285.0</v>
      </c>
      <c r="H1619" s="1">
        <v>4005.0</v>
      </c>
      <c r="I1619" s="1">
        <v>8.15E7</v>
      </c>
      <c r="J1619" s="1" t="s">
        <v>2468</v>
      </c>
      <c r="K1619" s="5">
        <f t="shared" si="2"/>
        <v>2.171117448</v>
      </c>
      <c r="L1619" s="6">
        <f t="shared" si="3"/>
        <v>595</v>
      </c>
      <c r="M1619" s="6">
        <f t="shared" si="4"/>
        <v>297388.3563</v>
      </c>
      <c r="N1619" s="7">
        <f t="shared" si="5"/>
        <v>0.003648936887</v>
      </c>
      <c r="O1619" s="7"/>
      <c r="P1619" s="4">
        <f t="shared" si="6"/>
        <v>2.120651748</v>
      </c>
      <c r="Q1619" s="4">
        <f t="shared" si="7"/>
        <v>8</v>
      </c>
      <c r="R1619" s="4">
        <f t="shared" si="8"/>
        <v>0</v>
      </c>
      <c r="S1619" s="4">
        <f t="shared" si="9"/>
        <v>2.120651748</v>
      </c>
      <c r="T1619" s="4">
        <f t="shared" si="10"/>
        <v>29</v>
      </c>
      <c r="U1619" s="4">
        <f t="shared" si="1"/>
        <v>2.120651748</v>
      </c>
      <c r="V1619" s="4"/>
    </row>
    <row r="1620">
      <c r="A1620" s="1" t="s">
        <v>18682</v>
      </c>
      <c r="B1620" s="1" t="s">
        <v>18683</v>
      </c>
      <c r="C1620" s="1" t="s">
        <v>18684</v>
      </c>
      <c r="D1620" s="1" t="s">
        <v>18465</v>
      </c>
      <c r="E1620" s="1" t="s">
        <v>18466</v>
      </c>
      <c r="F1620" s="1">
        <v>1.1159941E8</v>
      </c>
      <c r="G1620" s="1">
        <v>3047583.0</v>
      </c>
      <c r="H1620" s="1">
        <v>2631.0</v>
      </c>
      <c r="I1620" s="1">
        <v>8.15E7</v>
      </c>
      <c r="J1620" s="1" t="s">
        <v>2468</v>
      </c>
      <c r="K1620" s="5">
        <f t="shared" si="2"/>
        <v>1.369317914</v>
      </c>
      <c r="L1620" s="6">
        <f t="shared" si="3"/>
        <v>608</v>
      </c>
      <c r="M1620" s="6">
        <f t="shared" si="4"/>
        <v>183551.6612</v>
      </c>
      <c r="N1620" s="7">
        <f t="shared" si="5"/>
        <v>0.002252167622</v>
      </c>
      <c r="O1620" s="7"/>
      <c r="P1620" s="4">
        <f t="shared" si="6"/>
        <v>1.136818562</v>
      </c>
      <c r="Q1620" s="4">
        <f t="shared" si="7"/>
        <v>5</v>
      </c>
      <c r="R1620" s="4">
        <f t="shared" si="8"/>
        <v>0</v>
      </c>
      <c r="S1620" s="4">
        <f t="shared" si="9"/>
        <v>1.136818562</v>
      </c>
      <c r="T1620" s="4">
        <f t="shared" si="10"/>
        <v>22</v>
      </c>
      <c r="U1620" s="4">
        <f t="shared" si="1"/>
        <v>1.136818562</v>
      </c>
      <c r="V1620" s="4"/>
    </row>
    <row r="1621">
      <c r="A1621" s="1" t="s">
        <v>18685</v>
      </c>
      <c r="B1621" s="1" t="s">
        <v>18686</v>
      </c>
      <c r="C1621" s="1" t="s">
        <v>18687</v>
      </c>
      <c r="D1621" s="1" t="s">
        <v>18465</v>
      </c>
      <c r="E1621" s="1" t="s">
        <v>18466</v>
      </c>
      <c r="F1621" s="1">
        <v>6.6272739E7</v>
      </c>
      <c r="G1621" s="1">
        <v>2230274.0</v>
      </c>
      <c r="H1621" s="1">
        <v>2592.0</v>
      </c>
      <c r="I1621" s="1">
        <v>8.15E7</v>
      </c>
      <c r="J1621" s="1" t="s">
        <v>2468</v>
      </c>
      <c r="K1621" s="5">
        <f t="shared" si="2"/>
        <v>0.8131624417</v>
      </c>
      <c r="L1621" s="6">
        <f t="shared" si="3"/>
        <v>614</v>
      </c>
      <c r="M1621" s="6">
        <f t="shared" si="4"/>
        <v>107936.057</v>
      </c>
      <c r="N1621" s="7">
        <f t="shared" si="5"/>
        <v>0.001324368798</v>
      </c>
      <c r="O1621" s="7"/>
      <c r="P1621" s="4">
        <f t="shared" si="6"/>
        <v>0.4833110029</v>
      </c>
      <c r="Q1621" s="4">
        <f t="shared" si="7"/>
        <v>7</v>
      </c>
      <c r="R1621" s="4">
        <f t="shared" si="8"/>
        <v>0</v>
      </c>
      <c r="S1621" s="4">
        <f t="shared" si="9"/>
        <v>0.4833110029</v>
      </c>
      <c r="T1621" s="4">
        <f t="shared" si="10"/>
        <v>24</v>
      </c>
      <c r="U1621" s="4">
        <f t="shared" si="1"/>
        <v>0.4833110029</v>
      </c>
      <c r="V1621" s="4"/>
    </row>
    <row r="1622">
      <c r="A1622" s="1" t="s">
        <v>18688</v>
      </c>
      <c r="B1622" s="1" t="s">
        <v>18689</v>
      </c>
      <c r="C1622" s="1" t="s">
        <v>18690</v>
      </c>
      <c r="D1622" s="1" t="s">
        <v>18465</v>
      </c>
      <c r="E1622" s="1" t="s">
        <v>18466</v>
      </c>
      <c r="F1622" s="1">
        <v>4.1705558E7</v>
      </c>
      <c r="G1622" s="1">
        <v>1054321.0</v>
      </c>
      <c r="H1622" s="1">
        <v>3135.0</v>
      </c>
      <c r="I1622" s="1">
        <v>8.15E7</v>
      </c>
      <c r="J1622" s="1" t="s">
        <v>2468</v>
      </c>
      <c r="K1622" s="5">
        <f t="shared" si="2"/>
        <v>0.511724638</v>
      </c>
      <c r="L1622" s="6">
        <f t="shared" si="3"/>
        <v>622</v>
      </c>
      <c r="M1622" s="6">
        <f t="shared" si="4"/>
        <v>67050.73633</v>
      </c>
      <c r="N1622" s="7">
        <f t="shared" si="5"/>
        <v>0.0008227084213</v>
      </c>
      <c r="O1622" s="7"/>
      <c r="P1622" s="4">
        <f t="shared" si="6"/>
        <v>0.1299597811</v>
      </c>
      <c r="Q1622" s="4">
        <f t="shared" si="7"/>
        <v>7</v>
      </c>
      <c r="R1622" s="4">
        <f t="shared" si="8"/>
        <v>0</v>
      </c>
      <c r="S1622" s="4">
        <f t="shared" si="9"/>
        <v>0.1299597811</v>
      </c>
      <c r="T1622" s="4">
        <f t="shared" si="10"/>
        <v>34</v>
      </c>
      <c r="U1622" s="4">
        <f t="shared" si="1"/>
        <v>0.1299597811</v>
      </c>
      <c r="V1622" s="4"/>
    </row>
    <row r="1623">
      <c r="A1623" s="1" t="s">
        <v>18691</v>
      </c>
      <c r="B1623" s="1" t="s">
        <v>18692</v>
      </c>
      <c r="C1623" s="1" t="s">
        <v>18693</v>
      </c>
      <c r="D1623" s="1" t="s">
        <v>18465</v>
      </c>
      <c r="E1623" s="1" t="s">
        <v>18466</v>
      </c>
      <c r="F1623" s="1">
        <v>8.0532636E7</v>
      </c>
      <c r="G1623" s="1">
        <v>3404142.0</v>
      </c>
      <c r="H1623" s="1">
        <v>4212.0</v>
      </c>
      <c r="I1623" s="1">
        <v>8.15E7</v>
      </c>
      <c r="J1623" s="1" t="s">
        <v>2468</v>
      </c>
      <c r="K1623" s="5">
        <f t="shared" si="2"/>
        <v>0.9881305031</v>
      </c>
      <c r="L1623" s="6">
        <f t="shared" si="3"/>
        <v>626</v>
      </c>
      <c r="M1623" s="6">
        <f t="shared" si="4"/>
        <v>128646.3834</v>
      </c>
      <c r="N1623" s="7">
        <f t="shared" si="5"/>
        <v>0.001578483232</v>
      </c>
      <c r="O1623" s="7"/>
      <c r="P1623" s="4">
        <f t="shared" si="6"/>
        <v>0.6622999165</v>
      </c>
      <c r="Q1623" s="4">
        <f t="shared" si="7"/>
        <v>5</v>
      </c>
      <c r="R1623" s="4">
        <f t="shared" si="8"/>
        <v>0</v>
      </c>
      <c r="S1623" s="4">
        <f t="shared" si="9"/>
        <v>0.6622999165</v>
      </c>
      <c r="T1623" s="4">
        <f t="shared" si="10"/>
        <v>27</v>
      </c>
      <c r="U1623" s="4">
        <f t="shared" si="1"/>
        <v>0.6622999165</v>
      </c>
      <c r="V1623" s="4"/>
    </row>
    <row r="1624">
      <c r="A1624" s="1" t="s">
        <v>18694</v>
      </c>
      <c r="B1624" s="1" t="s">
        <v>18695</v>
      </c>
      <c r="C1624" s="1" t="s">
        <v>18696</v>
      </c>
      <c r="D1624" s="1" t="s">
        <v>18465</v>
      </c>
      <c r="E1624" s="1" t="s">
        <v>18466</v>
      </c>
      <c r="F1624" s="1">
        <v>1.39612625E8</v>
      </c>
      <c r="G1624" s="1">
        <v>3882315.0</v>
      </c>
      <c r="H1624" s="1">
        <v>3640.0</v>
      </c>
      <c r="I1624" s="1">
        <v>8.15E7</v>
      </c>
      <c r="J1624" s="1" t="s">
        <v>2468</v>
      </c>
      <c r="K1624" s="5">
        <f t="shared" si="2"/>
        <v>1.713038344</v>
      </c>
      <c r="L1624" s="6">
        <f t="shared" si="3"/>
        <v>630</v>
      </c>
      <c r="M1624" s="6">
        <f t="shared" si="4"/>
        <v>221607.3413</v>
      </c>
      <c r="N1624" s="7">
        <f t="shared" si="5"/>
        <v>0.002719108482</v>
      </c>
      <c r="O1624" s="7"/>
      <c r="P1624" s="4">
        <f t="shared" si="6"/>
        <v>1.465714626</v>
      </c>
      <c r="Q1624" s="4">
        <f t="shared" si="7"/>
        <v>7</v>
      </c>
      <c r="R1624" s="4">
        <f t="shared" si="8"/>
        <v>1</v>
      </c>
      <c r="S1624" s="4">
        <f t="shared" si="9"/>
        <v>1.465714626</v>
      </c>
      <c r="T1624" s="4">
        <f t="shared" si="10"/>
        <v>34</v>
      </c>
      <c r="U1624" s="4">
        <f t="shared" si="1"/>
        <v>1.465714626</v>
      </c>
      <c r="V1624" s="4"/>
    </row>
    <row r="1625">
      <c r="A1625" s="1" t="s">
        <v>18697</v>
      </c>
      <c r="B1625" s="1" t="s">
        <v>18698</v>
      </c>
      <c r="C1625" s="1" t="s">
        <v>18699</v>
      </c>
      <c r="D1625" s="1" t="s">
        <v>18465</v>
      </c>
      <c r="E1625" s="1" t="s">
        <v>18466</v>
      </c>
      <c r="F1625" s="1">
        <v>5.9701134E7</v>
      </c>
      <c r="G1625" s="1">
        <v>804692.0</v>
      </c>
      <c r="H1625" s="1">
        <v>13053.0</v>
      </c>
      <c r="I1625" s="1">
        <v>8.15E7</v>
      </c>
      <c r="J1625" s="1" t="s">
        <v>2468</v>
      </c>
      <c r="K1625" s="5">
        <f t="shared" si="2"/>
        <v>0.7325292515</v>
      </c>
      <c r="L1625" s="6">
        <f t="shared" si="3"/>
        <v>635</v>
      </c>
      <c r="M1625" s="6">
        <f t="shared" si="4"/>
        <v>94017.53386</v>
      </c>
      <c r="N1625" s="7">
        <f t="shared" si="5"/>
        <v>0.001153589372</v>
      </c>
      <c r="O1625" s="7"/>
      <c r="P1625" s="4">
        <f t="shared" si="6"/>
        <v>0.3630202218</v>
      </c>
      <c r="Q1625" s="4">
        <f t="shared" si="7"/>
        <v>5</v>
      </c>
      <c r="R1625" s="4">
        <f t="shared" si="8"/>
        <v>0</v>
      </c>
      <c r="S1625" s="4">
        <f t="shared" si="9"/>
        <v>0.3630202218</v>
      </c>
      <c r="T1625" s="4">
        <f t="shared" si="10"/>
        <v>28</v>
      </c>
      <c r="U1625" s="4">
        <f t="shared" si="1"/>
        <v>0.3630202218</v>
      </c>
      <c r="V1625" s="4"/>
    </row>
    <row r="1626">
      <c r="A1626" s="1" t="s">
        <v>18700</v>
      </c>
      <c r="B1626" s="1" t="s">
        <v>18701</v>
      </c>
      <c r="C1626" s="1" t="s">
        <v>18702</v>
      </c>
      <c r="D1626" s="1" t="s">
        <v>18465</v>
      </c>
      <c r="E1626" s="1" t="s">
        <v>18466</v>
      </c>
      <c r="F1626" s="1">
        <v>1.83596458E8</v>
      </c>
      <c r="G1626" s="1">
        <v>2453387.0</v>
      </c>
      <c r="H1626" s="1">
        <v>5379.0</v>
      </c>
      <c r="I1626" s="1">
        <v>8.15E7</v>
      </c>
      <c r="J1626" s="1" t="s">
        <v>2468</v>
      </c>
      <c r="K1626" s="5">
        <f t="shared" si="2"/>
        <v>2.252717276</v>
      </c>
      <c r="L1626" s="6">
        <f t="shared" si="3"/>
        <v>636</v>
      </c>
      <c r="M1626" s="6">
        <f t="shared" si="4"/>
        <v>288673.6761</v>
      </c>
      <c r="N1626" s="7">
        <f t="shared" si="5"/>
        <v>0.003542008296</v>
      </c>
      <c r="O1626" s="7"/>
      <c r="P1626" s="4">
        <f t="shared" si="6"/>
        <v>2.045335159</v>
      </c>
      <c r="Q1626" s="4">
        <f t="shared" si="7"/>
        <v>6</v>
      </c>
      <c r="R1626" s="4">
        <f t="shared" si="8"/>
        <v>0</v>
      </c>
      <c r="S1626" s="4">
        <f t="shared" si="9"/>
        <v>2.045335159</v>
      </c>
      <c r="T1626" s="4">
        <f t="shared" si="10"/>
        <v>32</v>
      </c>
      <c r="U1626" s="4">
        <f t="shared" si="1"/>
        <v>2.045335159</v>
      </c>
      <c r="V1626" s="4"/>
    </row>
    <row r="1627">
      <c r="A1627" s="1" t="s">
        <v>18703</v>
      </c>
      <c r="B1627" s="1" t="s">
        <v>18704</v>
      </c>
      <c r="C1627" s="1" t="s">
        <v>18705</v>
      </c>
      <c r="D1627" s="1" t="s">
        <v>18465</v>
      </c>
      <c r="E1627" s="1" t="s">
        <v>18466</v>
      </c>
      <c r="F1627" s="1">
        <v>3213591.0</v>
      </c>
      <c r="G1627" s="1">
        <v>151348.0</v>
      </c>
      <c r="H1627" s="1">
        <v>441.0</v>
      </c>
      <c r="I1627" s="1">
        <v>8.15E7</v>
      </c>
      <c r="J1627" s="1" t="s">
        <v>2468</v>
      </c>
      <c r="K1627" s="5">
        <f t="shared" si="2"/>
        <v>0.03943056442</v>
      </c>
      <c r="L1627" s="6">
        <f t="shared" si="3"/>
        <v>640</v>
      </c>
      <c r="M1627" s="6">
        <f t="shared" si="4"/>
        <v>5021.235938</v>
      </c>
      <c r="N1627" s="7">
        <f t="shared" si="5"/>
        <v>0.0000616102569</v>
      </c>
      <c r="O1627" s="7"/>
      <c r="P1627" s="4">
        <f t="shared" si="6"/>
        <v>-0.40612993</v>
      </c>
      <c r="Q1627" s="4">
        <f t="shared" si="7"/>
        <v>7</v>
      </c>
      <c r="R1627" s="4">
        <f t="shared" si="8"/>
        <v>0</v>
      </c>
      <c r="S1627" s="4">
        <f t="shared" si="9"/>
        <v>-0.40612993</v>
      </c>
      <c r="T1627" s="4">
        <f t="shared" si="10"/>
        <v>25</v>
      </c>
      <c r="U1627" s="4">
        <f t="shared" si="1"/>
        <v>-0.40612993</v>
      </c>
      <c r="V1627" s="4"/>
    </row>
    <row r="1628">
      <c r="A1628" s="1" t="s">
        <v>18706</v>
      </c>
      <c r="B1628" s="1" t="s">
        <v>18707</v>
      </c>
      <c r="C1628" s="1" t="s">
        <v>18708</v>
      </c>
      <c r="D1628" s="1" t="s">
        <v>18465</v>
      </c>
      <c r="E1628" s="1" t="s">
        <v>18466</v>
      </c>
      <c r="F1628" s="1">
        <v>2.0855173E7</v>
      </c>
      <c r="G1628" s="1">
        <v>466583.0</v>
      </c>
      <c r="H1628" s="1">
        <v>7682.0</v>
      </c>
      <c r="I1628" s="1">
        <v>8.15E7</v>
      </c>
      <c r="J1628" s="1" t="s">
        <v>2468</v>
      </c>
      <c r="K1628" s="5">
        <f t="shared" si="2"/>
        <v>0.2558916933</v>
      </c>
      <c r="L1628" s="6">
        <f t="shared" si="3"/>
        <v>643</v>
      </c>
      <c r="M1628" s="6">
        <f t="shared" si="4"/>
        <v>32434.17263</v>
      </c>
      <c r="N1628" s="7">
        <f t="shared" si="5"/>
        <v>0.0003979653083</v>
      </c>
      <c r="O1628" s="7"/>
      <c r="P1628" s="4">
        <f t="shared" si="6"/>
        <v>-0.1692137334</v>
      </c>
      <c r="Q1628" s="4">
        <f t="shared" si="7"/>
        <v>7</v>
      </c>
      <c r="R1628" s="4">
        <f t="shared" si="8"/>
        <v>0</v>
      </c>
      <c r="S1628" s="4">
        <f t="shared" si="9"/>
        <v>-0.1692137334</v>
      </c>
      <c r="T1628" s="4">
        <f t="shared" si="10"/>
        <v>32</v>
      </c>
      <c r="U1628" s="4">
        <f t="shared" si="1"/>
        <v>-0.1692137334</v>
      </c>
      <c r="V1628" s="4"/>
    </row>
    <row r="1629">
      <c r="A1629" s="1" t="s">
        <v>18709</v>
      </c>
      <c r="B1629" s="1" t="s">
        <v>18710</v>
      </c>
      <c r="C1629" s="1" t="s">
        <v>18711</v>
      </c>
      <c r="D1629" s="1" t="s">
        <v>18465</v>
      </c>
      <c r="E1629" s="1" t="s">
        <v>18466</v>
      </c>
      <c r="F1629" s="1">
        <v>6.31354739E8</v>
      </c>
      <c r="G1629" s="1">
        <v>1.4888218E7</v>
      </c>
      <c r="H1629" s="1">
        <v>13364.0</v>
      </c>
      <c r="I1629" s="1">
        <v>8.15E7</v>
      </c>
      <c r="J1629" s="1" t="s">
        <v>2468</v>
      </c>
      <c r="K1629" s="5">
        <f t="shared" si="2"/>
        <v>7.746683914</v>
      </c>
      <c r="L1629" s="6">
        <f t="shared" si="3"/>
        <v>644</v>
      </c>
      <c r="M1629" s="6">
        <f t="shared" si="4"/>
        <v>980364.5016</v>
      </c>
      <c r="N1629" s="7">
        <f t="shared" si="5"/>
        <v>0.01202901229</v>
      </c>
      <c r="O1629" s="7"/>
      <c r="P1629" s="4">
        <f t="shared" si="6"/>
        <v>8.023270375</v>
      </c>
      <c r="Q1629" s="4">
        <f t="shared" si="7"/>
        <v>5</v>
      </c>
      <c r="R1629" s="4">
        <f t="shared" si="8"/>
        <v>0</v>
      </c>
      <c r="S1629" s="4">
        <f t="shared" si="9"/>
        <v>8.023270375</v>
      </c>
      <c r="T1629" s="4">
        <f t="shared" si="10"/>
        <v>24</v>
      </c>
      <c r="U1629" s="4">
        <f t="shared" si="1"/>
        <v>8.023270375</v>
      </c>
      <c r="V1629" s="4"/>
    </row>
    <row r="1630">
      <c r="A1630" s="1" t="s">
        <v>18712</v>
      </c>
      <c r="B1630" s="1" t="s">
        <v>18713</v>
      </c>
      <c r="C1630" s="1" t="s">
        <v>18714</v>
      </c>
      <c r="D1630" s="1" t="s">
        <v>18465</v>
      </c>
      <c r="E1630" s="1" t="s">
        <v>18466</v>
      </c>
      <c r="F1630" s="1">
        <v>1.43157836E8</v>
      </c>
      <c r="G1630" s="1">
        <v>4795575.0</v>
      </c>
      <c r="H1630" s="1">
        <v>4819.0</v>
      </c>
      <c r="I1630" s="1">
        <v>8.15E7</v>
      </c>
      <c r="J1630" s="1" t="s">
        <v>2468</v>
      </c>
      <c r="K1630" s="5">
        <f t="shared" si="2"/>
        <v>1.756537865</v>
      </c>
      <c r="L1630" s="6">
        <f t="shared" si="3"/>
        <v>651</v>
      </c>
      <c r="M1630" s="6">
        <f t="shared" si="4"/>
        <v>219904.51</v>
      </c>
      <c r="N1630" s="7">
        <f t="shared" si="5"/>
        <v>0.002698214846</v>
      </c>
      <c r="O1630" s="7"/>
      <c r="P1630" s="4">
        <f t="shared" si="6"/>
        <v>1.450997914</v>
      </c>
      <c r="Q1630" s="4">
        <f t="shared" si="7"/>
        <v>5</v>
      </c>
      <c r="R1630" s="4">
        <f t="shared" si="8"/>
        <v>0</v>
      </c>
      <c r="S1630" s="4">
        <f t="shared" si="9"/>
        <v>1.450997914</v>
      </c>
      <c r="T1630" s="4">
        <f t="shared" si="10"/>
        <v>21</v>
      </c>
      <c r="U1630" s="4">
        <f t="shared" si="1"/>
        <v>1.450997914</v>
      </c>
      <c r="V1630" s="4"/>
    </row>
    <row r="1631">
      <c r="A1631" s="1" t="s">
        <v>18715</v>
      </c>
      <c r="B1631" s="1" t="s">
        <v>18716</v>
      </c>
      <c r="C1631" s="1" t="s">
        <v>18717</v>
      </c>
      <c r="D1631" s="1" t="s">
        <v>18465</v>
      </c>
      <c r="E1631" s="1" t="s">
        <v>18466</v>
      </c>
      <c r="F1631" s="1">
        <v>6.3169883E7</v>
      </c>
      <c r="G1631" s="1">
        <v>729857.0</v>
      </c>
      <c r="H1631" s="1">
        <v>8743.0</v>
      </c>
      <c r="I1631" s="1">
        <v>8.15E7</v>
      </c>
      <c r="J1631" s="1" t="s">
        <v>2468</v>
      </c>
      <c r="K1631" s="5">
        <f t="shared" si="2"/>
        <v>0.775090589</v>
      </c>
      <c r="L1631" s="6">
        <f t="shared" si="3"/>
        <v>656</v>
      </c>
      <c r="M1631" s="6">
        <f t="shared" si="4"/>
        <v>96295.55335</v>
      </c>
      <c r="N1631" s="7">
        <f t="shared" si="5"/>
        <v>0.001181540532</v>
      </c>
      <c r="O1631" s="7"/>
      <c r="P1631" s="4">
        <f t="shared" si="6"/>
        <v>0.3827079963</v>
      </c>
      <c r="Q1631" s="4">
        <f t="shared" si="7"/>
        <v>7</v>
      </c>
      <c r="R1631" s="4">
        <f t="shared" si="8"/>
        <v>1</v>
      </c>
      <c r="S1631" s="4">
        <f t="shared" si="9"/>
        <v>0.3827079963</v>
      </c>
      <c r="T1631" s="4">
        <f t="shared" si="10"/>
        <v>37</v>
      </c>
      <c r="U1631" s="4">
        <f t="shared" si="1"/>
        <v>0.3827079963</v>
      </c>
      <c r="V1631" s="4"/>
    </row>
    <row r="1632">
      <c r="A1632" s="1" t="s">
        <v>18718</v>
      </c>
      <c r="B1632" s="1" t="s">
        <v>18719</v>
      </c>
      <c r="C1632" s="1" t="s">
        <v>18720</v>
      </c>
      <c r="D1632" s="1" t="s">
        <v>18465</v>
      </c>
      <c r="E1632" s="1" t="s">
        <v>18466</v>
      </c>
      <c r="F1632" s="1">
        <v>4.4546919E7</v>
      </c>
      <c r="G1632" s="1">
        <v>1460266.0</v>
      </c>
      <c r="H1632" s="1">
        <v>3969.0</v>
      </c>
      <c r="I1632" s="1">
        <v>8.15E7</v>
      </c>
      <c r="J1632" s="1" t="s">
        <v>2468</v>
      </c>
      <c r="K1632" s="5">
        <f t="shared" si="2"/>
        <v>0.5465879632</v>
      </c>
      <c r="L1632" s="6">
        <f t="shared" si="3"/>
        <v>659</v>
      </c>
      <c r="M1632" s="6">
        <f t="shared" si="4"/>
        <v>67597.75266</v>
      </c>
      <c r="N1632" s="7">
        <f t="shared" si="5"/>
        <v>0.000829420278</v>
      </c>
      <c r="O1632" s="7"/>
      <c r="P1632" s="4">
        <f t="shared" si="6"/>
        <v>0.1346873675</v>
      </c>
      <c r="Q1632" s="4">
        <f t="shared" si="7"/>
        <v>7</v>
      </c>
      <c r="R1632" s="4">
        <f t="shared" si="8"/>
        <v>0</v>
      </c>
      <c r="S1632" s="4">
        <f t="shared" si="9"/>
        <v>0.1346873675</v>
      </c>
      <c r="T1632" s="4">
        <f t="shared" si="10"/>
        <v>28</v>
      </c>
      <c r="U1632" s="4">
        <f t="shared" si="1"/>
        <v>0.1346873675</v>
      </c>
      <c r="V1632" s="4"/>
    </row>
    <row r="1633">
      <c r="A1633" s="1" t="s">
        <v>18721</v>
      </c>
      <c r="B1633" s="1" t="s">
        <v>18722</v>
      </c>
      <c r="C1633" s="1" t="s">
        <v>18723</v>
      </c>
      <c r="D1633" s="1" t="s">
        <v>18465</v>
      </c>
      <c r="E1633" s="1" t="s">
        <v>18466</v>
      </c>
      <c r="F1633" s="1">
        <v>8.6131034E7</v>
      </c>
      <c r="G1633" s="1">
        <v>506532.0</v>
      </c>
      <c r="H1633" s="1">
        <v>15009.0</v>
      </c>
      <c r="I1633" s="1">
        <v>8.15E7</v>
      </c>
      <c r="J1633" s="1" t="s">
        <v>2468</v>
      </c>
      <c r="K1633" s="5">
        <f t="shared" si="2"/>
        <v>1.056822503</v>
      </c>
      <c r="L1633" s="6">
        <f t="shared" si="3"/>
        <v>670</v>
      </c>
      <c r="M1633" s="6">
        <f t="shared" si="4"/>
        <v>128553.7821</v>
      </c>
      <c r="N1633" s="7">
        <f t="shared" si="5"/>
        <v>0.00157734702</v>
      </c>
      <c r="O1633" s="7"/>
      <c r="P1633" s="4">
        <f t="shared" si="6"/>
        <v>0.6614996102</v>
      </c>
      <c r="Q1633" s="4">
        <f t="shared" si="7"/>
        <v>10</v>
      </c>
      <c r="R1633" s="4">
        <f t="shared" si="8"/>
        <v>0</v>
      </c>
      <c r="S1633" s="4">
        <f t="shared" si="9"/>
        <v>0.6614996102</v>
      </c>
      <c r="T1633" s="4">
        <f t="shared" si="10"/>
        <v>54</v>
      </c>
      <c r="U1633" s="4">
        <f t="shared" si="1"/>
        <v>0.6614996102</v>
      </c>
      <c r="V1633" s="4"/>
    </row>
    <row r="1634">
      <c r="A1634" s="1" t="s">
        <v>18724</v>
      </c>
      <c r="B1634" s="1" t="s">
        <v>18725</v>
      </c>
      <c r="C1634" s="1" t="s">
        <v>18726</v>
      </c>
      <c r="D1634" s="1" t="s">
        <v>18465</v>
      </c>
      <c r="E1634" s="1" t="s">
        <v>18466</v>
      </c>
      <c r="F1634" s="1">
        <v>1.45419066E8</v>
      </c>
      <c r="G1634" s="1">
        <v>5001816.0</v>
      </c>
      <c r="H1634" s="1">
        <v>13064.0</v>
      </c>
      <c r="I1634" s="1">
        <v>8.15E7</v>
      </c>
      <c r="J1634" s="1" t="s">
        <v>2468</v>
      </c>
      <c r="K1634" s="5">
        <f t="shared" si="2"/>
        <v>1.784283018</v>
      </c>
      <c r="L1634" s="6">
        <f t="shared" si="3"/>
        <v>686</v>
      </c>
      <c r="M1634" s="6">
        <f t="shared" si="4"/>
        <v>211981.1458</v>
      </c>
      <c r="N1634" s="7">
        <f t="shared" si="5"/>
        <v>0.002600995654</v>
      </c>
      <c r="O1634" s="7"/>
      <c r="P1634" s="4">
        <f t="shared" si="6"/>
        <v>1.38252027</v>
      </c>
      <c r="Q1634" s="4">
        <f t="shared" si="7"/>
        <v>7</v>
      </c>
      <c r="R1634" s="4">
        <f t="shared" si="8"/>
        <v>0</v>
      </c>
      <c r="S1634" s="4">
        <f t="shared" si="9"/>
        <v>1.38252027</v>
      </c>
      <c r="T1634" s="4">
        <f t="shared" si="10"/>
        <v>27</v>
      </c>
      <c r="U1634" s="4">
        <f t="shared" si="1"/>
        <v>1.38252027</v>
      </c>
      <c r="V1634" s="4"/>
    </row>
    <row r="1635">
      <c r="A1635" s="1" t="s">
        <v>18727</v>
      </c>
      <c r="B1635" s="1" t="s">
        <v>18728</v>
      </c>
      <c r="C1635" s="1" t="s">
        <v>18729</v>
      </c>
      <c r="D1635" s="1" t="s">
        <v>18465</v>
      </c>
      <c r="E1635" s="1" t="s">
        <v>18466</v>
      </c>
      <c r="F1635" s="1">
        <v>1.70502415E8</v>
      </c>
      <c r="G1635" s="1">
        <v>3432515.0</v>
      </c>
      <c r="H1635" s="1">
        <v>5606.0</v>
      </c>
      <c r="I1635" s="1">
        <v>8.15E7</v>
      </c>
      <c r="J1635" s="1" t="s">
        <v>2468</v>
      </c>
      <c r="K1635" s="5">
        <f t="shared" si="2"/>
        <v>2.092054172</v>
      </c>
      <c r="L1635" s="6">
        <f t="shared" si="3"/>
        <v>692</v>
      </c>
      <c r="M1635" s="6">
        <f t="shared" si="4"/>
        <v>246390.7731</v>
      </c>
      <c r="N1635" s="7">
        <f t="shared" si="5"/>
        <v>0.00302319967</v>
      </c>
      <c r="O1635" s="7"/>
      <c r="P1635" s="4">
        <f t="shared" si="6"/>
        <v>1.679905338</v>
      </c>
      <c r="Q1635" s="4">
        <f t="shared" si="7"/>
        <v>7</v>
      </c>
      <c r="R1635" s="4">
        <f t="shared" si="8"/>
        <v>0</v>
      </c>
      <c r="S1635" s="4">
        <f t="shared" si="9"/>
        <v>1.679905338</v>
      </c>
      <c r="T1635" s="4">
        <f t="shared" si="10"/>
        <v>38</v>
      </c>
      <c r="U1635" s="4">
        <f t="shared" si="1"/>
        <v>1.679905338</v>
      </c>
      <c r="V1635" s="4"/>
    </row>
    <row r="1636">
      <c r="A1636" s="1" t="s">
        <v>18730</v>
      </c>
      <c r="B1636" s="1" t="s">
        <v>18731</v>
      </c>
      <c r="C1636" s="1" t="s">
        <v>18732</v>
      </c>
      <c r="D1636" s="1" t="s">
        <v>18465</v>
      </c>
      <c r="E1636" s="1" t="s">
        <v>18466</v>
      </c>
      <c r="F1636" s="1">
        <v>1.30733822E8</v>
      </c>
      <c r="G1636" s="1">
        <v>3715536.0</v>
      </c>
      <c r="H1636" s="1">
        <v>4886.0</v>
      </c>
      <c r="I1636" s="1">
        <v>8.15E7</v>
      </c>
      <c r="J1636" s="1" t="s">
        <v>2468</v>
      </c>
      <c r="K1636" s="5">
        <f t="shared" si="2"/>
        <v>1.604095975</v>
      </c>
      <c r="L1636" s="6">
        <f t="shared" si="3"/>
        <v>700</v>
      </c>
      <c r="M1636" s="6">
        <f t="shared" si="4"/>
        <v>186762.6029</v>
      </c>
      <c r="N1636" s="7">
        <f t="shared" si="5"/>
        <v>0.002291565679</v>
      </c>
      <c r="O1636" s="7"/>
      <c r="P1636" s="4">
        <f t="shared" si="6"/>
        <v>1.164569113</v>
      </c>
      <c r="Q1636" s="4">
        <f t="shared" si="7"/>
        <v>9</v>
      </c>
      <c r="R1636" s="4">
        <f t="shared" si="8"/>
        <v>1</v>
      </c>
      <c r="S1636" s="4">
        <f t="shared" si="9"/>
        <v>1.164569113</v>
      </c>
      <c r="T1636" s="4">
        <f t="shared" si="10"/>
        <v>27</v>
      </c>
      <c r="U1636" s="4">
        <f t="shared" si="1"/>
        <v>1.164569113</v>
      </c>
      <c r="V1636" s="4"/>
    </row>
    <row r="1637">
      <c r="A1637" s="1" t="s">
        <v>18733</v>
      </c>
      <c r="B1637" s="1" t="s">
        <v>18734</v>
      </c>
      <c r="C1637" s="1" t="s">
        <v>18735</v>
      </c>
      <c r="D1637" s="1" t="s">
        <v>18465</v>
      </c>
      <c r="E1637" s="1" t="s">
        <v>18466</v>
      </c>
      <c r="F1637" s="1">
        <v>2.88756201E8</v>
      </c>
      <c r="G1637" s="1">
        <v>6949403.0</v>
      </c>
      <c r="H1637" s="1">
        <v>5874.0</v>
      </c>
      <c r="I1637" s="1">
        <v>8.15E7</v>
      </c>
      <c r="J1637" s="1" t="s">
        <v>2468</v>
      </c>
      <c r="K1637" s="5">
        <f t="shared" si="2"/>
        <v>3.543020871</v>
      </c>
      <c r="L1637" s="6">
        <f t="shared" si="3"/>
        <v>706</v>
      </c>
      <c r="M1637" s="6">
        <f t="shared" si="4"/>
        <v>409003.1176</v>
      </c>
      <c r="N1637" s="7">
        <f t="shared" si="5"/>
        <v>0.00501844316</v>
      </c>
      <c r="O1637" s="7"/>
      <c r="P1637" s="4">
        <f t="shared" si="6"/>
        <v>3.08528188</v>
      </c>
      <c r="Q1637" s="4">
        <f t="shared" si="7"/>
        <v>10</v>
      </c>
      <c r="R1637" s="4">
        <f t="shared" si="8"/>
        <v>1</v>
      </c>
      <c r="S1637" s="4">
        <f t="shared" si="9"/>
        <v>3.08528188</v>
      </c>
      <c r="T1637" s="4">
        <f t="shared" si="10"/>
        <v>42</v>
      </c>
      <c r="U1637" s="4">
        <f t="shared" si="1"/>
        <v>3.08528188</v>
      </c>
      <c r="V1637" s="4"/>
    </row>
    <row r="1638">
      <c r="A1638" s="1" t="s">
        <v>18736</v>
      </c>
      <c r="B1638" s="1" t="s">
        <v>18737</v>
      </c>
      <c r="C1638" s="1" t="s">
        <v>18738</v>
      </c>
      <c r="D1638" s="1" t="s">
        <v>18465</v>
      </c>
      <c r="E1638" s="1" t="s">
        <v>18466</v>
      </c>
      <c r="F1638" s="1">
        <v>5.3780644E7</v>
      </c>
      <c r="G1638" s="1">
        <v>2635171.0</v>
      </c>
      <c r="H1638" s="1">
        <v>5666.0</v>
      </c>
      <c r="I1638" s="1">
        <v>8.15E7</v>
      </c>
      <c r="J1638" s="1" t="s">
        <v>2468</v>
      </c>
      <c r="K1638" s="5">
        <f t="shared" si="2"/>
        <v>0.6598852025</v>
      </c>
      <c r="L1638" s="6">
        <f t="shared" si="3"/>
        <v>714</v>
      </c>
      <c r="M1638" s="6">
        <f t="shared" si="4"/>
        <v>75323.03081</v>
      </c>
      <c r="N1638" s="7">
        <f t="shared" si="5"/>
        <v>0.000924208967</v>
      </c>
      <c r="O1638" s="7"/>
      <c r="P1638" s="4">
        <f t="shared" si="6"/>
        <v>0.2014530534</v>
      </c>
      <c r="Q1638" s="4">
        <f t="shared" si="7"/>
        <v>8</v>
      </c>
      <c r="R1638" s="4">
        <f t="shared" si="8"/>
        <v>1</v>
      </c>
      <c r="S1638" s="4">
        <f t="shared" si="9"/>
        <v>0.2014530534</v>
      </c>
      <c r="T1638" s="4">
        <f t="shared" si="10"/>
        <v>36</v>
      </c>
      <c r="U1638" s="4">
        <f t="shared" si="1"/>
        <v>0.2014530534</v>
      </c>
      <c r="V1638" s="4"/>
    </row>
    <row r="1639">
      <c r="A1639" s="1" t="s">
        <v>18739</v>
      </c>
      <c r="B1639" s="1" t="s">
        <v>18740</v>
      </c>
      <c r="C1639" s="1" t="s">
        <v>18741</v>
      </c>
      <c r="D1639" s="1" t="s">
        <v>18465</v>
      </c>
      <c r="E1639" s="1" t="s">
        <v>18466</v>
      </c>
      <c r="F1639" s="1">
        <v>1.15687163E8</v>
      </c>
      <c r="G1639" s="1">
        <v>3581973.0</v>
      </c>
      <c r="H1639" s="1">
        <v>1696.0</v>
      </c>
      <c r="I1639" s="1">
        <v>8.15E7</v>
      </c>
      <c r="J1639" s="1" t="s">
        <v>2468</v>
      </c>
      <c r="K1639" s="5">
        <f t="shared" si="2"/>
        <v>1.419474393</v>
      </c>
      <c r="L1639" s="6">
        <f t="shared" si="3"/>
        <v>721</v>
      </c>
      <c r="M1639" s="6">
        <f t="shared" si="4"/>
        <v>160453.7628</v>
      </c>
      <c r="N1639" s="7">
        <f t="shared" si="5"/>
        <v>0.001968757826</v>
      </c>
      <c r="O1639" s="7"/>
      <c r="P1639" s="4">
        <f t="shared" si="6"/>
        <v>0.9371950672</v>
      </c>
      <c r="Q1639" s="4">
        <f t="shared" si="7"/>
        <v>7</v>
      </c>
      <c r="R1639" s="4">
        <f t="shared" si="8"/>
        <v>0</v>
      </c>
      <c r="S1639" s="4">
        <f t="shared" si="9"/>
        <v>0.9371950672</v>
      </c>
      <c r="T1639" s="4">
        <f t="shared" si="10"/>
        <v>34</v>
      </c>
      <c r="U1639" s="4">
        <f t="shared" si="1"/>
        <v>0.9371950672</v>
      </c>
      <c r="V1639" s="4"/>
    </row>
    <row r="1640">
      <c r="A1640" s="1" t="s">
        <v>18742</v>
      </c>
      <c r="B1640" s="1" t="s">
        <v>18743</v>
      </c>
      <c r="C1640" s="1" t="s">
        <v>18744</v>
      </c>
      <c r="D1640" s="1" t="s">
        <v>18465</v>
      </c>
      <c r="E1640" s="1" t="s">
        <v>18466</v>
      </c>
      <c r="F1640" s="1">
        <v>1.23791443E8</v>
      </c>
      <c r="G1640" s="1">
        <v>987879.0</v>
      </c>
      <c r="H1640" s="1">
        <v>172340.0</v>
      </c>
      <c r="I1640" s="1">
        <v>8.15E7</v>
      </c>
      <c r="J1640" s="1" t="s">
        <v>2468</v>
      </c>
      <c r="K1640" s="5">
        <f t="shared" si="2"/>
        <v>1.518913411</v>
      </c>
      <c r="L1640" s="6">
        <f t="shared" si="3"/>
        <v>726</v>
      </c>
      <c r="M1640" s="6">
        <f t="shared" si="4"/>
        <v>170511.6295</v>
      </c>
      <c r="N1640" s="7">
        <f t="shared" si="5"/>
        <v>0.002092167233</v>
      </c>
      <c r="O1640" s="7"/>
      <c r="P1640" s="4">
        <f t="shared" si="6"/>
        <v>1.02412014</v>
      </c>
      <c r="Q1640" s="4">
        <f t="shared" si="7"/>
        <v>8</v>
      </c>
      <c r="R1640" s="4">
        <f t="shared" si="8"/>
        <v>0</v>
      </c>
      <c r="S1640" s="4">
        <f t="shared" si="9"/>
        <v>1.02412014</v>
      </c>
      <c r="T1640" s="4">
        <f t="shared" si="10"/>
        <v>41</v>
      </c>
      <c r="U1640" s="4">
        <f t="shared" si="1"/>
        <v>1.02412014</v>
      </c>
      <c r="V1640" s="4"/>
    </row>
    <row r="1641">
      <c r="A1641" s="1" t="s">
        <v>18745</v>
      </c>
      <c r="B1641" s="1" t="s">
        <v>18746</v>
      </c>
      <c r="C1641" s="1" t="s">
        <v>18747</v>
      </c>
      <c r="D1641" s="1" t="s">
        <v>18465</v>
      </c>
      <c r="E1641" s="1" t="s">
        <v>18466</v>
      </c>
      <c r="F1641" s="1">
        <v>7.2056033E7</v>
      </c>
      <c r="G1641" s="1">
        <v>3115745.0</v>
      </c>
      <c r="H1641" s="1">
        <v>5613.0</v>
      </c>
      <c r="I1641" s="1">
        <v>8.15E7</v>
      </c>
      <c r="J1641" s="1" t="s">
        <v>2468</v>
      </c>
      <c r="K1641" s="5">
        <f t="shared" si="2"/>
        <v>0.8841231043</v>
      </c>
      <c r="L1641" s="6">
        <f t="shared" si="3"/>
        <v>728</v>
      </c>
      <c r="M1641" s="6">
        <f t="shared" si="4"/>
        <v>98978.06731</v>
      </c>
      <c r="N1641" s="7">
        <f t="shared" si="5"/>
        <v>0.001214454814</v>
      </c>
      <c r="O1641" s="7"/>
      <c r="P1641" s="4">
        <f t="shared" si="6"/>
        <v>0.4058916125</v>
      </c>
      <c r="Q1641" s="4">
        <f t="shared" si="7"/>
        <v>7</v>
      </c>
      <c r="R1641" s="4">
        <f t="shared" si="8"/>
        <v>1</v>
      </c>
      <c r="S1641" s="4">
        <f t="shared" si="9"/>
        <v>0.4058916125</v>
      </c>
      <c r="T1641" s="4">
        <f t="shared" si="10"/>
        <v>19</v>
      </c>
      <c r="U1641" s="4">
        <f t="shared" si="1"/>
        <v>0.4058916125</v>
      </c>
      <c r="V1641" s="4"/>
    </row>
    <row r="1642">
      <c r="A1642" s="1" t="s">
        <v>18748</v>
      </c>
      <c r="B1642" s="1" t="s">
        <v>18749</v>
      </c>
      <c r="C1642" s="1" t="s">
        <v>18750</v>
      </c>
      <c r="D1642" s="1" t="s">
        <v>18465</v>
      </c>
      <c r="E1642" s="1" t="s">
        <v>18466</v>
      </c>
      <c r="F1642" s="1">
        <v>9.2477136E7</v>
      </c>
      <c r="G1642" s="1">
        <v>2966930.0</v>
      </c>
      <c r="H1642" s="1">
        <v>2710.0</v>
      </c>
      <c r="I1642" s="1">
        <v>8.15E7</v>
      </c>
      <c r="J1642" s="1" t="s">
        <v>2468</v>
      </c>
      <c r="K1642" s="5">
        <f t="shared" si="2"/>
        <v>1.134688785</v>
      </c>
      <c r="L1642" s="6">
        <f t="shared" si="3"/>
        <v>735</v>
      </c>
      <c r="M1642" s="6">
        <f t="shared" si="4"/>
        <v>125819.2327</v>
      </c>
      <c r="N1642" s="7">
        <f t="shared" si="5"/>
        <v>0.001543794266</v>
      </c>
      <c r="O1642" s="7"/>
      <c r="P1642" s="4">
        <f t="shared" si="6"/>
        <v>0.6378662775</v>
      </c>
      <c r="Q1642" s="4">
        <f t="shared" si="7"/>
        <v>4</v>
      </c>
      <c r="R1642" s="4">
        <f t="shared" si="8"/>
        <v>0</v>
      </c>
      <c r="S1642" s="4">
        <f t="shared" si="9"/>
        <v>0.6378662775</v>
      </c>
      <c r="T1642" s="4">
        <f t="shared" si="10"/>
        <v>35</v>
      </c>
      <c r="U1642" s="4">
        <f t="shared" si="1"/>
        <v>0.6378662775</v>
      </c>
      <c r="V1642" s="4"/>
    </row>
    <row r="1643">
      <c r="A1643" s="1" t="s">
        <v>18751</v>
      </c>
      <c r="B1643" s="1" t="s">
        <v>18752</v>
      </c>
      <c r="C1643" s="1" t="s">
        <v>18753</v>
      </c>
      <c r="D1643" s="1" t="s">
        <v>18465</v>
      </c>
      <c r="E1643" s="1" t="s">
        <v>18466</v>
      </c>
      <c r="F1643" s="1">
        <v>7347579.0</v>
      </c>
      <c r="G1643" s="1">
        <v>393409.0</v>
      </c>
      <c r="H1643" s="1">
        <v>507.0</v>
      </c>
      <c r="I1643" s="1">
        <v>8.15E7</v>
      </c>
      <c r="J1643" s="1" t="s">
        <v>2468</v>
      </c>
      <c r="K1643" s="5">
        <f t="shared" si="2"/>
        <v>0.09015434356</v>
      </c>
      <c r="L1643" s="6">
        <f t="shared" si="3"/>
        <v>749</v>
      </c>
      <c r="M1643" s="6">
        <f t="shared" si="4"/>
        <v>9809.851802</v>
      </c>
      <c r="N1643" s="7">
        <f t="shared" si="5"/>
        <v>0.0001203662798</v>
      </c>
      <c r="O1643" s="7"/>
      <c r="P1643" s="4">
        <f t="shared" si="6"/>
        <v>-0.3647443364</v>
      </c>
      <c r="Q1643" s="4">
        <f t="shared" si="7"/>
        <v>7</v>
      </c>
      <c r="R1643" s="4">
        <f t="shared" si="8"/>
        <v>0</v>
      </c>
      <c r="S1643" s="4">
        <f t="shared" si="9"/>
        <v>-0.3647443364</v>
      </c>
      <c r="T1643" s="4">
        <f t="shared" si="10"/>
        <v>34</v>
      </c>
      <c r="U1643" s="4">
        <f t="shared" si="1"/>
        <v>-0.3647443364</v>
      </c>
      <c r="V1643" s="4"/>
    </row>
    <row r="1644">
      <c r="A1644" s="1" t="s">
        <v>18754</v>
      </c>
      <c r="B1644" s="1" t="s">
        <v>18755</v>
      </c>
      <c r="C1644" s="1" t="s">
        <v>18756</v>
      </c>
      <c r="D1644" s="1" t="s">
        <v>18757</v>
      </c>
      <c r="E1644" s="1" t="s">
        <v>18758</v>
      </c>
      <c r="F1644" s="1">
        <v>4008580.0</v>
      </c>
      <c r="G1644" s="1">
        <v>72630.0</v>
      </c>
      <c r="H1644" s="1">
        <v>2508.0</v>
      </c>
      <c r="I1644" s="1">
        <v>3600000.0</v>
      </c>
      <c r="J1644" s="1" t="s">
        <v>2468</v>
      </c>
      <c r="K1644" s="5">
        <f t="shared" si="2"/>
        <v>1.113494444</v>
      </c>
      <c r="L1644" s="6">
        <f t="shared" si="3"/>
        <v>56</v>
      </c>
      <c r="M1644" s="6">
        <f t="shared" si="4"/>
        <v>71581.78571</v>
      </c>
      <c r="N1644" s="7">
        <f t="shared" si="5"/>
        <v>0.01988382937</v>
      </c>
      <c r="O1644" s="7"/>
      <c r="P1644" s="4">
        <f t="shared" si="6"/>
        <v>13.55591625</v>
      </c>
      <c r="Q1644" s="4">
        <f t="shared" si="7"/>
        <v>7</v>
      </c>
      <c r="R1644" s="4">
        <f t="shared" si="8"/>
        <v>0</v>
      </c>
      <c r="S1644" s="4">
        <f t="shared" si="9"/>
        <v>13.55591625</v>
      </c>
      <c r="T1644" s="4">
        <f t="shared" si="10"/>
        <v>23</v>
      </c>
      <c r="U1644" s="4">
        <f t="shared" si="1"/>
        <v>13.55591625</v>
      </c>
      <c r="V1644" s="4"/>
    </row>
    <row r="1645">
      <c r="A1645" s="1" t="s">
        <v>18759</v>
      </c>
      <c r="B1645" s="1" t="s">
        <v>18760</v>
      </c>
      <c r="C1645" s="1" t="s">
        <v>18761</v>
      </c>
      <c r="D1645" s="1" t="s">
        <v>18757</v>
      </c>
      <c r="E1645" s="1" t="s">
        <v>18758</v>
      </c>
      <c r="F1645" s="1">
        <v>321230.0</v>
      </c>
      <c r="G1645" s="1">
        <v>18032.0</v>
      </c>
      <c r="H1645" s="1">
        <v>350.0</v>
      </c>
      <c r="I1645" s="1">
        <v>3600000.0</v>
      </c>
      <c r="J1645" s="1" t="s">
        <v>2468</v>
      </c>
      <c r="K1645" s="5">
        <f t="shared" si="2"/>
        <v>0.08923055556</v>
      </c>
      <c r="L1645" s="6">
        <f t="shared" si="3"/>
        <v>62</v>
      </c>
      <c r="M1645" s="6">
        <f t="shared" si="4"/>
        <v>5181.129032</v>
      </c>
      <c r="N1645" s="7">
        <f t="shared" si="5"/>
        <v>0.001439202509</v>
      </c>
      <c r="O1645" s="7"/>
      <c r="P1645" s="4">
        <f t="shared" si="6"/>
        <v>0.5641956693</v>
      </c>
      <c r="Q1645" s="4">
        <f t="shared" si="7"/>
        <v>6</v>
      </c>
      <c r="R1645" s="4">
        <f t="shared" si="8"/>
        <v>0</v>
      </c>
      <c r="S1645" s="4">
        <f t="shared" si="9"/>
        <v>0.5641956693</v>
      </c>
      <c r="T1645" s="4">
        <f t="shared" si="10"/>
        <v>23</v>
      </c>
      <c r="U1645" s="4">
        <f t="shared" si="1"/>
        <v>0.5641956693</v>
      </c>
      <c r="V1645" s="4"/>
    </row>
    <row r="1646">
      <c r="A1646" s="1" t="s">
        <v>18762</v>
      </c>
      <c r="B1646" s="1" t="s">
        <v>18763</v>
      </c>
      <c r="C1646" s="1" t="s">
        <v>18764</v>
      </c>
      <c r="D1646" s="1" t="s">
        <v>18757</v>
      </c>
      <c r="E1646" s="1" t="s">
        <v>18758</v>
      </c>
      <c r="F1646" s="1">
        <v>154312.0</v>
      </c>
      <c r="G1646" s="1">
        <v>6859.0</v>
      </c>
      <c r="H1646" s="1">
        <v>199.0</v>
      </c>
      <c r="I1646" s="1">
        <v>3600000.0</v>
      </c>
      <c r="J1646" s="1" t="s">
        <v>2468</v>
      </c>
      <c r="K1646" s="5">
        <f t="shared" si="2"/>
        <v>0.04286444444</v>
      </c>
      <c r="L1646" s="6">
        <f t="shared" si="3"/>
        <v>69</v>
      </c>
      <c r="M1646" s="6">
        <f t="shared" si="4"/>
        <v>2236.405797</v>
      </c>
      <c r="N1646" s="7">
        <f t="shared" si="5"/>
        <v>0.0006212238325</v>
      </c>
      <c r="O1646" s="7"/>
      <c r="P1646" s="4">
        <f t="shared" si="6"/>
        <v>-0.01195859424</v>
      </c>
      <c r="Q1646" s="4">
        <f t="shared" si="7"/>
        <v>6</v>
      </c>
      <c r="R1646" s="4">
        <f t="shared" si="8"/>
        <v>0</v>
      </c>
      <c r="S1646" s="4">
        <f t="shared" si="9"/>
        <v>-0.01195859424</v>
      </c>
      <c r="T1646" s="4">
        <f t="shared" si="10"/>
        <v>29</v>
      </c>
      <c r="U1646" s="4">
        <f t="shared" si="1"/>
        <v>-0.01195859424</v>
      </c>
      <c r="V1646" s="4"/>
    </row>
    <row r="1647">
      <c r="A1647" s="1" t="s">
        <v>18765</v>
      </c>
      <c r="B1647" s="1" t="s">
        <v>18766</v>
      </c>
      <c r="C1647" s="1" t="s">
        <v>18767</v>
      </c>
      <c r="D1647" s="1" t="s">
        <v>18757</v>
      </c>
      <c r="E1647" s="1" t="s">
        <v>18758</v>
      </c>
      <c r="F1647" s="1">
        <v>2407363.0</v>
      </c>
      <c r="G1647" s="1">
        <v>47745.0</v>
      </c>
      <c r="H1647" s="1">
        <v>2626.0</v>
      </c>
      <c r="I1647" s="1">
        <v>3600000.0</v>
      </c>
      <c r="J1647" s="1" t="s">
        <v>2468</v>
      </c>
      <c r="K1647" s="5">
        <f t="shared" si="2"/>
        <v>0.6687119444</v>
      </c>
      <c r="L1647" s="6">
        <f t="shared" si="3"/>
        <v>70</v>
      </c>
      <c r="M1647" s="6">
        <f t="shared" si="4"/>
        <v>34390.9</v>
      </c>
      <c r="N1647" s="7">
        <f t="shared" si="5"/>
        <v>0.009553027778</v>
      </c>
      <c r="O1647" s="7"/>
      <c r="P1647" s="4">
        <f t="shared" si="6"/>
        <v>6.27927744</v>
      </c>
      <c r="Q1647" s="4">
        <f t="shared" si="7"/>
        <v>4</v>
      </c>
      <c r="R1647" s="4">
        <f t="shared" si="8"/>
        <v>0</v>
      </c>
      <c r="S1647" s="4">
        <f t="shared" si="9"/>
        <v>6.27927744</v>
      </c>
      <c r="T1647" s="4">
        <f t="shared" si="10"/>
        <v>22</v>
      </c>
      <c r="U1647" s="4">
        <f t="shared" si="1"/>
        <v>6.27927744</v>
      </c>
      <c r="V1647" s="4"/>
    </row>
    <row r="1648">
      <c r="A1648" s="1" t="s">
        <v>18768</v>
      </c>
      <c r="B1648" s="1" t="s">
        <v>18769</v>
      </c>
      <c r="C1648" s="1" t="s">
        <v>18770</v>
      </c>
      <c r="D1648" s="1" t="s">
        <v>18757</v>
      </c>
      <c r="E1648" s="1" t="s">
        <v>18758</v>
      </c>
      <c r="F1648" s="1">
        <v>180578.0</v>
      </c>
      <c r="G1648" s="1">
        <v>8851.0</v>
      </c>
      <c r="H1648" s="1">
        <v>430.0</v>
      </c>
      <c r="I1648" s="1">
        <v>3600000.0</v>
      </c>
      <c r="J1648" s="1" t="s">
        <v>2468</v>
      </c>
      <c r="K1648" s="5">
        <f t="shared" si="2"/>
        <v>0.05016055556</v>
      </c>
      <c r="L1648" s="6">
        <f t="shared" si="3"/>
        <v>76</v>
      </c>
      <c r="M1648" s="6">
        <f t="shared" si="4"/>
        <v>2376.026316</v>
      </c>
      <c r="N1648" s="7">
        <f t="shared" si="5"/>
        <v>0.0006600073099</v>
      </c>
      <c r="O1648" s="7"/>
      <c r="P1648" s="4">
        <f t="shared" si="6"/>
        <v>0.01535906882</v>
      </c>
      <c r="Q1648" s="4">
        <f t="shared" si="7"/>
        <v>7</v>
      </c>
      <c r="R1648" s="4">
        <f t="shared" si="8"/>
        <v>0</v>
      </c>
      <c r="S1648" s="4">
        <f t="shared" si="9"/>
        <v>0.01535906882</v>
      </c>
      <c r="T1648" s="4">
        <f t="shared" si="10"/>
        <v>32</v>
      </c>
      <c r="U1648" s="4">
        <f t="shared" si="1"/>
        <v>0.01535906882</v>
      </c>
      <c r="V1648" s="4"/>
    </row>
    <row r="1649">
      <c r="A1649" s="1" t="s">
        <v>18771</v>
      </c>
      <c r="B1649" s="1" t="s">
        <v>18772</v>
      </c>
      <c r="C1649" s="1" t="s">
        <v>18773</v>
      </c>
      <c r="D1649" s="1" t="s">
        <v>18757</v>
      </c>
      <c r="E1649" s="1" t="s">
        <v>18758</v>
      </c>
      <c r="F1649" s="1">
        <v>1980277.0</v>
      </c>
      <c r="G1649" s="1">
        <v>78167.0</v>
      </c>
      <c r="H1649" s="1">
        <v>818.0</v>
      </c>
      <c r="I1649" s="1">
        <v>3600000.0</v>
      </c>
      <c r="J1649" s="1" t="s">
        <v>2468</v>
      </c>
      <c r="K1649" s="5">
        <f t="shared" si="2"/>
        <v>0.5500769444</v>
      </c>
      <c r="L1649" s="6">
        <f t="shared" si="3"/>
        <v>83</v>
      </c>
      <c r="M1649" s="6">
        <f t="shared" si="4"/>
        <v>23858.75904</v>
      </c>
      <c r="N1649" s="7">
        <f t="shared" si="5"/>
        <v>0.006627433066</v>
      </c>
      <c r="O1649" s="7"/>
      <c r="P1649" s="4">
        <f t="shared" si="6"/>
        <v>4.218595523</v>
      </c>
      <c r="Q1649" s="4">
        <f t="shared" si="7"/>
        <v>6</v>
      </c>
      <c r="R1649" s="4">
        <f t="shared" si="8"/>
        <v>0</v>
      </c>
      <c r="S1649" s="4">
        <f t="shared" si="9"/>
        <v>4.218595523</v>
      </c>
      <c r="T1649" s="4">
        <f t="shared" si="10"/>
        <v>33</v>
      </c>
      <c r="U1649" s="4">
        <f t="shared" si="1"/>
        <v>4.218595523</v>
      </c>
      <c r="V1649" s="4"/>
    </row>
    <row r="1650">
      <c r="A1650" s="1" t="s">
        <v>18774</v>
      </c>
      <c r="B1650" s="1" t="s">
        <v>18775</v>
      </c>
      <c r="C1650" s="1" t="s">
        <v>18776</v>
      </c>
      <c r="D1650" s="1" t="s">
        <v>18757</v>
      </c>
      <c r="E1650" s="1" t="s">
        <v>18758</v>
      </c>
      <c r="F1650" s="1">
        <v>2319160.0</v>
      </c>
      <c r="G1650" s="1">
        <v>60666.0</v>
      </c>
      <c r="H1650" s="1">
        <v>741.0</v>
      </c>
      <c r="I1650" s="1">
        <v>3600000.0</v>
      </c>
      <c r="J1650" s="1" t="s">
        <v>2468</v>
      </c>
      <c r="K1650" s="5">
        <f t="shared" si="2"/>
        <v>0.6442111111</v>
      </c>
      <c r="L1650" s="6">
        <f t="shared" si="3"/>
        <v>87</v>
      </c>
      <c r="M1650" s="6">
        <f t="shared" si="4"/>
        <v>26657.01149</v>
      </c>
      <c r="N1650" s="7">
        <f t="shared" si="5"/>
        <v>0.007404725415</v>
      </c>
      <c r="O1650" s="7"/>
      <c r="P1650" s="4">
        <f t="shared" si="6"/>
        <v>4.766091826</v>
      </c>
      <c r="Q1650" s="4">
        <f t="shared" si="7"/>
        <v>5</v>
      </c>
      <c r="R1650" s="4">
        <f t="shared" si="8"/>
        <v>0</v>
      </c>
      <c r="S1650" s="4">
        <f t="shared" si="9"/>
        <v>4.766091826</v>
      </c>
      <c r="T1650" s="4">
        <f t="shared" si="10"/>
        <v>25</v>
      </c>
      <c r="U1650" s="4">
        <f t="shared" si="1"/>
        <v>4.766091826</v>
      </c>
      <c r="V1650" s="4"/>
    </row>
    <row r="1651">
      <c r="A1651" s="1" t="s">
        <v>18777</v>
      </c>
      <c r="B1651" s="1" t="s">
        <v>18778</v>
      </c>
      <c r="C1651" s="1" t="s">
        <v>18779</v>
      </c>
      <c r="D1651" s="1" t="s">
        <v>18757</v>
      </c>
      <c r="E1651" s="1" t="s">
        <v>18758</v>
      </c>
      <c r="F1651" s="1">
        <v>562461.0</v>
      </c>
      <c r="G1651" s="1">
        <v>14860.0</v>
      </c>
      <c r="H1651" s="1">
        <v>188.0</v>
      </c>
      <c r="I1651" s="1">
        <v>3600000.0</v>
      </c>
      <c r="J1651" s="1" t="s">
        <v>2468</v>
      </c>
      <c r="K1651" s="5">
        <f t="shared" si="2"/>
        <v>0.1562391667</v>
      </c>
      <c r="L1651" s="6">
        <f t="shared" si="3"/>
        <v>90</v>
      </c>
      <c r="M1651" s="6">
        <f t="shared" si="4"/>
        <v>6249.566667</v>
      </c>
      <c r="N1651" s="7">
        <f t="shared" si="5"/>
        <v>0.001735990741</v>
      </c>
      <c r="O1651" s="7"/>
      <c r="P1651" s="4">
        <f t="shared" si="6"/>
        <v>0.7732424453</v>
      </c>
      <c r="Q1651" s="4">
        <f t="shared" si="7"/>
        <v>6</v>
      </c>
      <c r="R1651" s="4">
        <f t="shared" si="8"/>
        <v>1</v>
      </c>
      <c r="S1651" s="4">
        <f t="shared" si="9"/>
        <v>0.7732424453</v>
      </c>
      <c r="T1651" s="4">
        <f t="shared" si="10"/>
        <v>27</v>
      </c>
      <c r="U1651" s="4">
        <f t="shared" si="1"/>
        <v>0.7732424453</v>
      </c>
      <c r="V1651" s="4"/>
    </row>
    <row r="1652">
      <c r="A1652" s="1" t="s">
        <v>18780</v>
      </c>
      <c r="B1652" s="1" t="s">
        <v>18781</v>
      </c>
      <c r="C1652" s="1" t="s">
        <v>18782</v>
      </c>
      <c r="D1652" s="1" t="s">
        <v>18757</v>
      </c>
      <c r="E1652" s="1" t="s">
        <v>18758</v>
      </c>
      <c r="F1652" s="1">
        <v>758510.0</v>
      </c>
      <c r="G1652" s="1">
        <v>18788.0</v>
      </c>
      <c r="H1652" s="1">
        <v>257.0</v>
      </c>
      <c r="I1652" s="1">
        <v>3600000.0</v>
      </c>
      <c r="J1652" s="1" t="s">
        <v>2468</v>
      </c>
      <c r="K1652" s="5">
        <f t="shared" si="2"/>
        <v>0.2106972222</v>
      </c>
      <c r="L1652" s="6">
        <f t="shared" si="3"/>
        <v>91</v>
      </c>
      <c r="M1652" s="6">
        <f t="shared" si="4"/>
        <v>8335.274725</v>
      </c>
      <c r="N1652" s="7">
        <f t="shared" si="5"/>
        <v>0.00231535409</v>
      </c>
      <c r="O1652" s="7"/>
      <c r="P1652" s="4">
        <f t="shared" si="6"/>
        <v>1.1813248</v>
      </c>
      <c r="Q1652" s="4">
        <f t="shared" si="7"/>
        <v>4</v>
      </c>
      <c r="R1652" s="4">
        <f t="shared" si="8"/>
        <v>1</v>
      </c>
      <c r="S1652" s="4">
        <f t="shared" si="9"/>
        <v>1.1813248</v>
      </c>
      <c r="T1652" s="4">
        <f t="shared" si="10"/>
        <v>19</v>
      </c>
      <c r="U1652" s="4">
        <f t="shared" si="1"/>
        <v>1.1813248</v>
      </c>
      <c r="V1652" s="4"/>
    </row>
    <row r="1653">
      <c r="A1653" s="1" t="s">
        <v>18783</v>
      </c>
      <c r="B1653" s="1" t="s">
        <v>18784</v>
      </c>
      <c r="C1653" s="1" t="s">
        <v>18785</v>
      </c>
      <c r="D1653" s="1" t="s">
        <v>18757</v>
      </c>
      <c r="E1653" s="1" t="s">
        <v>18758</v>
      </c>
      <c r="F1653" s="1">
        <v>1286702.0</v>
      </c>
      <c r="G1653" s="1">
        <v>39329.0</v>
      </c>
      <c r="H1653" s="1">
        <v>2350.0</v>
      </c>
      <c r="I1653" s="1">
        <v>3600000.0</v>
      </c>
      <c r="J1653" s="1" t="s">
        <v>2468</v>
      </c>
      <c r="K1653" s="5">
        <f t="shared" si="2"/>
        <v>0.3574172222</v>
      </c>
      <c r="L1653" s="6">
        <f t="shared" si="3"/>
        <v>95</v>
      </c>
      <c r="M1653" s="6">
        <f t="shared" si="4"/>
        <v>13544.23158</v>
      </c>
      <c r="N1653" s="7">
        <f t="shared" si="5"/>
        <v>0.00376228655</v>
      </c>
      <c r="O1653" s="7"/>
      <c r="P1653" s="4">
        <f t="shared" si="6"/>
        <v>2.200491105</v>
      </c>
      <c r="Q1653" s="4">
        <f t="shared" si="7"/>
        <v>6</v>
      </c>
      <c r="R1653" s="4">
        <f t="shared" si="8"/>
        <v>0</v>
      </c>
      <c r="S1653" s="4">
        <f t="shared" si="9"/>
        <v>2.200491105</v>
      </c>
      <c r="T1653" s="4">
        <f t="shared" si="10"/>
        <v>25</v>
      </c>
      <c r="U1653" s="4">
        <f t="shared" si="1"/>
        <v>2.200491105</v>
      </c>
      <c r="V1653" s="4"/>
    </row>
    <row r="1654">
      <c r="A1654" s="1" t="s">
        <v>18786</v>
      </c>
      <c r="B1654" s="1" t="s">
        <v>18787</v>
      </c>
      <c r="C1654" s="1" t="s">
        <v>18788</v>
      </c>
      <c r="D1654" s="1" t="s">
        <v>18757</v>
      </c>
      <c r="E1654" s="1" t="s">
        <v>18758</v>
      </c>
      <c r="F1654" s="1">
        <v>273996.0</v>
      </c>
      <c r="G1654" s="1">
        <v>8758.0</v>
      </c>
      <c r="H1654" s="1">
        <v>189.0</v>
      </c>
      <c r="I1654" s="1">
        <v>3600000.0</v>
      </c>
      <c r="J1654" s="1" t="s">
        <v>2468</v>
      </c>
      <c r="K1654" s="5">
        <f t="shared" si="2"/>
        <v>0.07611</v>
      </c>
      <c r="L1654" s="6">
        <f t="shared" si="3"/>
        <v>97</v>
      </c>
      <c r="M1654" s="6">
        <f t="shared" si="4"/>
        <v>2824.701031</v>
      </c>
      <c r="N1654" s="7">
        <f t="shared" si="5"/>
        <v>0.0007846391753</v>
      </c>
      <c r="O1654" s="7"/>
      <c r="P1654" s="4">
        <f t="shared" si="6"/>
        <v>0.1031451966</v>
      </c>
      <c r="Q1654" s="4">
        <f t="shared" si="7"/>
        <v>8</v>
      </c>
      <c r="R1654" s="4">
        <f t="shared" si="8"/>
        <v>1</v>
      </c>
      <c r="S1654" s="4">
        <f t="shared" si="9"/>
        <v>0.1031451966</v>
      </c>
      <c r="T1654" s="4">
        <f t="shared" si="10"/>
        <v>31</v>
      </c>
      <c r="U1654" s="4">
        <f t="shared" si="1"/>
        <v>0.1031451966</v>
      </c>
      <c r="V1654" s="4"/>
    </row>
    <row r="1655">
      <c r="A1655" s="1" t="s">
        <v>18789</v>
      </c>
      <c r="B1655" s="1" t="s">
        <v>18790</v>
      </c>
      <c r="C1655" s="1" t="s">
        <v>18791</v>
      </c>
      <c r="D1655" s="1" t="s">
        <v>18757</v>
      </c>
      <c r="E1655" s="1" t="s">
        <v>18758</v>
      </c>
      <c r="F1655" s="1">
        <v>303651.0</v>
      </c>
      <c r="G1655" s="1">
        <v>12454.0</v>
      </c>
      <c r="H1655" s="1">
        <v>420.0</v>
      </c>
      <c r="I1655" s="1">
        <v>3600000.0</v>
      </c>
      <c r="J1655" s="1" t="s">
        <v>2468</v>
      </c>
      <c r="K1655" s="5">
        <f t="shared" si="2"/>
        <v>0.0843475</v>
      </c>
      <c r="L1655" s="6">
        <f t="shared" si="3"/>
        <v>104</v>
      </c>
      <c r="M1655" s="6">
        <f t="shared" si="4"/>
        <v>2919.721154</v>
      </c>
      <c r="N1655" s="7">
        <f t="shared" si="5"/>
        <v>0.0008110336538</v>
      </c>
      <c r="O1655" s="7"/>
      <c r="P1655" s="4">
        <f t="shared" si="6"/>
        <v>0.1217365019</v>
      </c>
      <c r="Q1655" s="4">
        <f t="shared" si="7"/>
        <v>7</v>
      </c>
      <c r="R1655" s="4">
        <f t="shared" si="8"/>
        <v>0</v>
      </c>
      <c r="S1655" s="4">
        <f t="shared" si="9"/>
        <v>0.1217365019</v>
      </c>
      <c r="T1655" s="4">
        <f t="shared" si="10"/>
        <v>28</v>
      </c>
      <c r="U1655" s="4">
        <f t="shared" si="1"/>
        <v>0.1217365019</v>
      </c>
      <c r="V1655" s="4"/>
    </row>
    <row r="1656">
      <c r="A1656" s="1" t="s">
        <v>18792</v>
      </c>
      <c r="B1656" s="1" t="s">
        <v>18793</v>
      </c>
      <c r="C1656" s="1" t="s">
        <v>18794</v>
      </c>
      <c r="D1656" s="1" t="s">
        <v>18757</v>
      </c>
      <c r="E1656" s="1" t="s">
        <v>18758</v>
      </c>
      <c r="F1656" s="1">
        <v>169751.0</v>
      </c>
      <c r="G1656" s="1">
        <v>4835.0</v>
      </c>
      <c r="H1656" s="1">
        <v>107.0</v>
      </c>
      <c r="I1656" s="1">
        <v>3600000.0</v>
      </c>
      <c r="J1656" s="1" t="s">
        <v>2468</v>
      </c>
      <c r="K1656" s="5">
        <f t="shared" si="2"/>
        <v>0.04715305556</v>
      </c>
      <c r="L1656" s="6">
        <f t="shared" si="3"/>
        <v>106</v>
      </c>
      <c r="M1656" s="6">
        <f t="shared" si="4"/>
        <v>1601.424528</v>
      </c>
      <c r="N1656" s="7">
        <f t="shared" si="5"/>
        <v>0.0004448401468</v>
      </c>
      <c r="O1656" s="7"/>
      <c r="P1656" s="4">
        <f t="shared" si="6"/>
        <v>-0.1361968116</v>
      </c>
      <c r="Q1656" s="4">
        <f t="shared" si="7"/>
        <v>6</v>
      </c>
      <c r="R1656" s="4">
        <f t="shared" si="8"/>
        <v>1</v>
      </c>
      <c r="S1656" s="4">
        <f t="shared" si="9"/>
        <v>-0.1361968116</v>
      </c>
      <c r="T1656" s="4">
        <f t="shared" si="10"/>
        <v>29</v>
      </c>
      <c r="U1656" s="4">
        <f t="shared" si="1"/>
        <v>-0.1361968116</v>
      </c>
      <c r="V1656" s="4"/>
    </row>
    <row r="1657">
      <c r="A1657" s="1" t="s">
        <v>18795</v>
      </c>
      <c r="B1657" s="1" t="s">
        <v>18796</v>
      </c>
      <c r="C1657" s="1" t="s">
        <v>18797</v>
      </c>
      <c r="D1657" s="1" t="s">
        <v>18757</v>
      </c>
      <c r="E1657" s="1" t="s">
        <v>18758</v>
      </c>
      <c r="F1657" s="1">
        <v>1049463.0</v>
      </c>
      <c r="G1657" s="1">
        <v>35184.0</v>
      </c>
      <c r="H1657" s="1">
        <v>563.0</v>
      </c>
      <c r="I1657" s="1">
        <v>3600000.0</v>
      </c>
      <c r="J1657" s="1" t="s">
        <v>2468</v>
      </c>
      <c r="K1657" s="5">
        <f t="shared" si="2"/>
        <v>0.2915175</v>
      </c>
      <c r="L1657" s="6">
        <f t="shared" si="3"/>
        <v>111</v>
      </c>
      <c r="M1657" s="6">
        <f t="shared" si="4"/>
        <v>9454.621622</v>
      </c>
      <c r="N1657" s="7">
        <f t="shared" si="5"/>
        <v>0.002626283784</v>
      </c>
      <c r="O1657" s="7"/>
      <c r="P1657" s="4">
        <f t="shared" si="6"/>
        <v>1.400332304</v>
      </c>
      <c r="Q1657" s="4">
        <f t="shared" si="7"/>
        <v>4</v>
      </c>
      <c r="R1657" s="4">
        <f t="shared" si="8"/>
        <v>0</v>
      </c>
      <c r="S1657" s="4">
        <f t="shared" si="9"/>
        <v>1.400332304</v>
      </c>
      <c r="T1657" s="4">
        <f t="shared" si="10"/>
        <v>21</v>
      </c>
      <c r="U1657" s="4">
        <f t="shared" si="1"/>
        <v>1.400332304</v>
      </c>
      <c r="V1657" s="4"/>
    </row>
    <row r="1658">
      <c r="A1658" s="1" t="s">
        <v>18798</v>
      </c>
      <c r="B1658" s="1" t="s">
        <v>18799</v>
      </c>
      <c r="C1658" s="1" t="s">
        <v>18800</v>
      </c>
      <c r="D1658" s="1" t="s">
        <v>18757</v>
      </c>
      <c r="E1658" s="1" t="s">
        <v>18758</v>
      </c>
      <c r="F1658" s="1">
        <v>267774.0</v>
      </c>
      <c r="G1658" s="1">
        <v>9187.0</v>
      </c>
      <c r="H1658" s="1">
        <v>417.0</v>
      </c>
      <c r="I1658" s="1">
        <v>3600000.0</v>
      </c>
      <c r="J1658" s="1" t="s">
        <v>2468</v>
      </c>
      <c r="K1658" s="5">
        <f t="shared" si="2"/>
        <v>0.07438166667</v>
      </c>
      <c r="L1658" s="6">
        <f t="shared" si="3"/>
        <v>111</v>
      </c>
      <c r="M1658" s="6">
        <f t="shared" si="4"/>
        <v>2412.378378</v>
      </c>
      <c r="N1658" s="7">
        <f t="shared" si="5"/>
        <v>0.0006701051051</v>
      </c>
      <c r="O1658" s="7"/>
      <c r="P1658" s="4">
        <f t="shared" si="6"/>
        <v>0.02247158642</v>
      </c>
      <c r="Q1658" s="4">
        <f t="shared" si="7"/>
        <v>7</v>
      </c>
      <c r="R1658" s="4">
        <f t="shared" si="8"/>
        <v>0</v>
      </c>
      <c r="S1658" s="4">
        <f t="shared" si="9"/>
        <v>0.02247158642</v>
      </c>
      <c r="T1658" s="4">
        <f t="shared" si="10"/>
        <v>31</v>
      </c>
      <c r="U1658" s="4">
        <f t="shared" si="1"/>
        <v>0.02247158642</v>
      </c>
      <c r="V1658" s="4"/>
    </row>
    <row r="1659">
      <c r="A1659" s="1" t="s">
        <v>18801</v>
      </c>
      <c r="B1659" s="1" t="s">
        <v>18802</v>
      </c>
      <c r="C1659" s="1" t="s">
        <v>18803</v>
      </c>
      <c r="D1659" s="1" t="s">
        <v>18757</v>
      </c>
      <c r="E1659" s="1" t="s">
        <v>18758</v>
      </c>
      <c r="F1659" s="1">
        <v>547791.0</v>
      </c>
      <c r="G1659" s="1">
        <v>27098.0</v>
      </c>
      <c r="H1659" s="1">
        <v>795.0</v>
      </c>
      <c r="I1659" s="1">
        <v>3600000.0</v>
      </c>
      <c r="J1659" s="1" t="s">
        <v>2468</v>
      </c>
      <c r="K1659" s="5">
        <f t="shared" si="2"/>
        <v>0.1521641667</v>
      </c>
      <c r="L1659" s="6">
        <f t="shared" si="3"/>
        <v>118</v>
      </c>
      <c r="M1659" s="6">
        <f t="shared" si="4"/>
        <v>4642.29661</v>
      </c>
      <c r="N1659" s="7">
        <f t="shared" si="5"/>
        <v>0.001289526836</v>
      </c>
      <c r="O1659" s="7"/>
      <c r="P1659" s="4">
        <f t="shared" si="6"/>
        <v>0.4587695995</v>
      </c>
      <c r="Q1659" s="4">
        <f t="shared" si="7"/>
        <v>6</v>
      </c>
      <c r="R1659" s="4">
        <f t="shared" si="8"/>
        <v>0</v>
      </c>
      <c r="S1659" s="4">
        <f t="shared" si="9"/>
        <v>0.4587695995</v>
      </c>
      <c r="T1659" s="4">
        <f t="shared" si="10"/>
        <v>26</v>
      </c>
      <c r="U1659" s="4">
        <f t="shared" si="1"/>
        <v>0.4587695995</v>
      </c>
      <c r="V1659" s="4"/>
    </row>
    <row r="1660">
      <c r="A1660" s="1" t="s">
        <v>18804</v>
      </c>
      <c r="B1660" s="1" t="s">
        <v>18805</v>
      </c>
      <c r="C1660" s="1" t="s">
        <v>18806</v>
      </c>
      <c r="D1660" s="1" t="s">
        <v>18757</v>
      </c>
      <c r="E1660" s="1" t="s">
        <v>18758</v>
      </c>
      <c r="F1660" s="1">
        <v>412707.0</v>
      </c>
      <c r="G1660" s="1">
        <v>22025.0</v>
      </c>
      <c r="H1660" s="1">
        <v>495.0</v>
      </c>
      <c r="I1660" s="1">
        <v>3600000.0</v>
      </c>
      <c r="J1660" s="1" t="s">
        <v>2468</v>
      </c>
      <c r="K1660" s="5">
        <f t="shared" si="2"/>
        <v>0.1146408333</v>
      </c>
      <c r="L1660" s="6">
        <f t="shared" si="3"/>
        <v>125</v>
      </c>
      <c r="M1660" s="6">
        <f t="shared" si="4"/>
        <v>3301.656</v>
      </c>
      <c r="N1660" s="7">
        <f t="shared" si="5"/>
        <v>0.0009171266667</v>
      </c>
      <c r="O1660" s="7"/>
      <c r="P1660" s="4">
        <f t="shared" si="6"/>
        <v>0.19646454</v>
      </c>
      <c r="Q1660" s="4">
        <f t="shared" si="7"/>
        <v>7</v>
      </c>
      <c r="R1660" s="4">
        <f t="shared" si="8"/>
        <v>0</v>
      </c>
      <c r="S1660" s="4">
        <f t="shared" si="9"/>
        <v>0.19646454</v>
      </c>
      <c r="T1660" s="4">
        <f t="shared" si="10"/>
        <v>32</v>
      </c>
      <c r="U1660" s="4">
        <f t="shared" si="1"/>
        <v>0.19646454</v>
      </c>
      <c r="V1660" s="4"/>
    </row>
    <row r="1661">
      <c r="A1661" s="1" t="s">
        <v>18807</v>
      </c>
      <c r="B1661" s="1" t="s">
        <v>18808</v>
      </c>
      <c r="C1661" s="1" t="s">
        <v>18809</v>
      </c>
      <c r="D1661" s="1" t="s">
        <v>18757</v>
      </c>
      <c r="E1661" s="1" t="s">
        <v>18758</v>
      </c>
      <c r="F1661" s="1">
        <v>1983114.0</v>
      </c>
      <c r="G1661" s="1">
        <v>65349.0</v>
      </c>
      <c r="H1661" s="1">
        <v>2569.0</v>
      </c>
      <c r="I1661" s="1">
        <v>3600000.0</v>
      </c>
      <c r="J1661" s="1" t="s">
        <v>2468</v>
      </c>
      <c r="K1661" s="5">
        <f t="shared" si="2"/>
        <v>0.550865</v>
      </c>
      <c r="L1661" s="6">
        <f t="shared" si="3"/>
        <v>126</v>
      </c>
      <c r="M1661" s="6">
        <f t="shared" si="4"/>
        <v>15739</v>
      </c>
      <c r="N1661" s="7">
        <f t="shared" si="5"/>
        <v>0.004371944444</v>
      </c>
      <c r="O1661" s="7"/>
      <c r="P1661" s="4">
        <f t="shared" si="6"/>
        <v>2.629911829</v>
      </c>
      <c r="Q1661" s="4">
        <f t="shared" si="7"/>
        <v>6</v>
      </c>
      <c r="R1661" s="4">
        <f t="shared" si="8"/>
        <v>0</v>
      </c>
      <c r="S1661" s="4">
        <f t="shared" si="9"/>
        <v>2.629911829</v>
      </c>
      <c r="T1661" s="4">
        <f t="shared" si="10"/>
        <v>24</v>
      </c>
      <c r="U1661" s="4">
        <f t="shared" si="1"/>
        <v>2.629911829</v>
      </c>
      <c r="V1661" s="4"/>
    </row>
    <row r="1662">
      <c r="A1662" s="1" t="s">
        <v>18810</v>
      </c>
      <c r="B1662" s="1" t="s">
        <v>18811</v>
      </c>
      <c r="C1662" s="1" t="s">
        <v>18812</v>
      </c>
      <c r="D1662" s="1" t="s">
        <v>18757</v>
      </c>
      <c r="E1662" s="1" t="s">
        <v>18758</v>
      </c>
      <c r="F1662" s="1">
        <v>3103188.0</v>
      </c>
      <c r="G1662" s="1">
        <v>82217.0</v>
      </c>
      <c r="H1662" s="1">
        <v>3602.0</v>
      </c>
      <c r="I1662" s="1">
        <v>3600000.0</v>
      </c>
      <c r="J1662" s="1" t="s">
        <v>2468</v>
      </c>
      <c r="K1662" s="5">
        <f t="shared" si="2"/>
        <v>0.8619966667</v>
      </c>
      <c r="L1662" s="6">
        <f t="shared" si="3"/>
        <v>136</v>
      </c>
      <c r="M1662" s="6">
        <f t="shared" si="4"/>
        <v>22817.55882</v>
      </c>
      <c r="N1662" s="7">
        <f t="shared" si="5"/>
        <v>0.006338210784</v>
      </c>
      <c r="O1662" s="7"/>
      <c r="P1662" s="4">
        <f t="shared" si="6"/>
        <v>4.014877926</v>
      </c>
      <c r="Q1662" s="4">
        <f t="shared" si="7"/>
        <v>5</v>
      </c>
      <c r="R1662" s="4">
        <f t="shared" si="8"/>
        <v>0</v>
      </c>
      <c r="S1662" s="4">
        <f t="shared" si="9"/>
        <v>4.014877926</v>
      </c>
      <c r="T1662" s="4">
        <f t="shared" si="10"/>
        <v>19</v>
      </c>
      <c r="U1662" s="4">
        <f t="shared" si="1"/>
        <v>4.014877926</v>
      </c>
      <c r="V1662" s="4"/>
    </row>
    <row r="1663">
      <c r="A1663" s="1" t="s">
        <v>18813</v>
      </c>
      <c r="B1663" s="1" t="s">
        <v>18814</v>
      </c>
      <c r="C1663" s="1" t="s">
        <v>18815</v>
      </c>
      <c r="D1663" s="1" t="s">
        <v>18757</v>
      </c>
      <c r="E1663" s="1" t="s">
        <v>18758</v>
      </c>
      <c r="F1663" s="1">
        <v>2394315.0</v>
      </c>
      <c r="G1663" s="1">
        <v>56764.0</v>
      </c>
      <c r="H1663" s="1">
        <v>2852.0</v>
      </c>
      <c r="I1663" s="1">
        <v>3600000.0</v>
      </c>
      <c r="J1663" s="1" t="s">
        <v>2468</v>
      </c>
      <c r="K1663" s="5">
        <f t="shared" si="2"/>
        <v>0.6650875</v>
      </c>
      <c r="L1663" s="6">
        <f t="shared" si="3"/>
        <v>187</v>
      </c>
      <c r="M1663" s="6">
        <f t="shared" si="4"/>
        <v>12803.82353</v>
      </c>
      <c r="N1663" s="7">
        <f t="shared" si="5"/>
        <v>0.003556617647</v>
      </c>
      <c r="O1663" s="7"/>
      <c r="P1663" s="4">
        <f t="shared" si="6"/>
        <v>2.055625452</v>
      </c>
      <c r="Q1663" s="4">
        <f t="shared" si="7"/>
        <v>6</v>
      </c>
      <c r="R1663" s="4">
        <f t="shared" si="8"/>
        <v>0</v>
      </c>
      <c r="S1663" s="4">
        <f t="shared" si="9"/>
        <v>2.055625452</v>
      </c>
      <c r="T1663" s="4">
        <f t="shared" si="10"/>
        <v>22</v>
      </c>
      <c r="U1663" s="4">
        <f t="shared" si="1"/>
        <v>2.055625452</v>
      </c>
      <c r="V1663" s="4"/>
    </row>
    <row r="1664">
      <c r="A1664" s="1" t="s">
        <v>18816</v>
      </c>
      <c r="B1664" s="1" t="s">
        <v>18817</v>
      </c>
      <c r="C1664" s="1" t="s">
        <v>18818</v>
      </c>
      <c r="D1664" s="1" t="s">
        <v>18757</v>
      </c>
      <c r="E1664" s="1" t="s">
        <v>18758</v>
      </c>
      <c r="F1664" s="1">
        <v>2289287.0</v>
      </c>
      <c r="G1664" s="1">
        <v>119158.0</v>
      </c>
      <c r="H1664" s="1">
        <v>4301.0</v>
      </c>
      <c r="I1664" s="1">
        <v>3600000.0</v>
      </c>
      <c r="J1664" s="1" t="s">
        <v>2468</v>
      </c>
      <c r="K1664" s="5">
        <f t="shared" si="2"/>
        <v>0.6359130556</v>
      </c>
      <c r="L1664" s="6">
        <f t="shared" si="3"/>
        <v>197</v>
      </c>
      <c r="M1664" s="6">
        <f t="shared" si="4"/>
        <v>11620.74619</v>
      </c>
      <c r="N1664" s="7">
        <f t="shared" si="5"/>
        <v>0.003227985054</v>
      </c>
      <c r="O1664" s="7"/>
      <c r="P1664" s="4">
        <f t="shared" si="6"/>
        <v>1.824148672</v>
      </c>
      <c r="Q1664" s="4">
        <f t="shared" si="7"/>
        <v>11</v>
      </c>
      <c r="R1664" s="4">
        <f t="shared" si="8"/>
        <v>0</v>
      </c>
      <c r="S1664" s="4">
        <f t="shared" si="9"/>
        <v>1.824148672</v>
      </c>
      <c r="T1664" s="4">
        <f t="shared" si="10"/>
        <v>51</v>
      </c>
      <c r="U1664" s="4">
        <f t="shared" si="1"/>
        <v>1.824148672</v>
      </c>
      <c r="V1664" s="4"/>
    </row>
    <row r="1665">
      <c r="A1665" s="1" t="s">
        <v>18819</v>
      </c>
      <c r="B1665" s="1" t="s">
        <v>18820</v>
      </c>
      <c r="C1665" s="1" t="s">
        <v>18821</v>
      </c>
      <c r="D1665" s="1" t="s">
        <v>18757</v>
      </c>
      <c r="E1665" s="1" t="s">
        <v>18758</v>
      </c>
      <c r="F1665" s="1">
        <v>443409.0</v>
      </c>
      <c r="G1665" s="1">
        <v>28755.0</v>
      </c>
      <c r="H1665" s="1">
        <v>1790.0</v>
      </c>
      <c r="I1665" s="1">
        <v>3600000.0</v>
      </c>
      <c r="J1665" s="1" t="s">
        <v>2468</v>
      </c>
      <c r="K1665" s="5">
        <f t="shared" si="2"/>
        <v>0.1231691667</v>
      </c>
      <c r="L1665" s="6">
        <f t="shared" si="3"/>
        <v>215</v>
      </c>
      <c r="M1665" s="6">
        <f t="shared" si="4"/>
        <v>2062.367442</v>
      </c>
      <c r="N1665" s="7">
        <f t="shared" si="5"/>
        <v>0.000572879845</v>
      </c>
      <c r="O1665" s="7"/>
      <c r="P1665" s="4">
        <f t="shared" si="6"/>
        <v>-0.04601033099</v>
      </c>
      <c r="Q1665" s="4">
        <f t="shared" si="7"/>
        <v>9</v>
      </c>
      <c r="R1665" s="4">
        <f t="shared" si="8"/>
        <v>1</v>
      </c>
      <c r="S1665" s="4">
        <f t="shared" si="9"/>
        <v>-0.04601033099</v>
      </c>
      <c r="T1665" s="4">
        <f t="shared" si="10"/>
        <v>36</v>
      </c>
      <c r="U1665" s="4">
        <f t="shared" si="1"/>
        <v>-0.04601033099</v>
      </c>
      <c r="V1665" s="4"/>
    </row>
    <row r="1666">
      <c r="A1666" s="1" t="s">
        <v>18822</v>
      </c>
      <c r="B1666" s="1" t="s">
        <v>18823</v>
      </c>
      <c r="C1666" s="1" t="s">
        <v>18824</v>
      </c>
      <c r="D1666" s="1" t="s">
        <v>18757</v>
      </c>
      <c r="E1666" s="1" t="s">
        <v>18758</v>
      </c>
      <c r="F1666" s="1">
        <v>3608212.0</v>
      </c>
      <c r="G1666" s="1">
        <v>104526.0</v>
      </c>
      <c r="H1666" s="1">
        <v>3819.0</v>
      </c>
      <c r="I1666" s="1">
        <v>3600000.0</v>
      </c>
      <c r="J1666" s="1" t="s">
        <v>2468</v>
      </c>
      <c r="K1666" s="5">
        <f t="shared" si="2"/>
        <v>1.002281111</v>
      </c>
      <c r="L1666" s="6">
        <f t="shared" si="3"/>
        <v>223</v>
      </c>
      <c r="M1666" s="6">
        <f t="shared" si="4"/>
        <v>16180.32287</v>
      </c>
      <c r="N1666" s="7">
        <f t="shared" si="5"/>
        <v>0.004494534131</v>
      </c>
      <c r="O1666" s="7"/>
      <c r="P1666" s="4">
        <f t="shared" si="6"/>
        <v>2.71625952</v>
      </c>
      <c r="Q1666" s="4">
        <f t="shared" si="7"/>
        <v>7</v>
      </c>
      <c r="R1666" s="4">
        <f t="shared" si="8"/>
        <v>0</v>
      </c>
      <c r="S1666" s="4">
        <f t="shared" si="9"/>
        <v>2.71625952</v>
      </c>
      <c r="T1666" s="4">
        <f t="shared" si="10"/>
        <v>28</v>
      </c>
      <c r="U1666" s="4">
        <f t="shared" si="1"/>
        <v>2.71625952</v>
      </c>
      <c r="V1666" s="4"/>
    </row>
    <row r="1667">
      <c r="A1667" s="1" t="s">
        <v>18825</v>
      </c>
      <c r="B1667" s="1" t="s">
        <v>18826</v>
      </c>
      <c r="C1667" s="1" t="s">
        <v>18827</v>
      </c>
      <c r="D1667" s="1" t="s">
        <v>18757</v>
      </c>
      <c r="E1667" s="1" t="s">
        <v>18758</v>
      </c>
      <c r="F1667" s="1">
        <v>284497.0</v>
      </c>
      <c r="G1667" s="1">
        <v>11084.0</v>
      </c>
      <c r="H1667" s="1">
        <v>300.0</v>
      </c>
      <c r="I1667" s="1">
        <v>3600000.0</v>
      </c>
      <c r="J1667" s="1" t="s">
        <v>2468</v>
      </c>
      <c r="K1667" s="5">
        <f t="shared" si="2"/>
        <v>0.07902694444</v>
      </c>
      <c r="L1667" s="6">
        <f t="shared" si="3"/>
        <v>225</v>
      </c>
      <c r="M1667" s="6">
        <f t="shared" si="4"/>
        <v>1264.431111</v>
      </c>
      <c r="N1667" s="7">
        <f t="shared" si="5"/>
        <v>0.0003512308642</v>
      </c>
      <c r="O1667" s="7"/>
      <c r="P1667" s="4">
        <f t="shared" si="6"/>
        <v>-0.2021317666</v>
      </c>
      <c r="Q1667" s="4">
        <f t="shared" si="7"/>
        <v>8</v>
      </c>
      <c r="R1667" s="4">
        <f t="shared" si="8"/>
        <v>1</v>
      </c>
      <c r="S1667" s="4">
        <f t="shared" si="9"/>
        <v>-0.2021317666</v>
      </c>
      <c r="T1667" s="4">
        <f t="shared" si="10"/>
        <v>37</v>
      </c>
      <c r="U1667" s="4">
        <f t="shared" si="1"/>
        <v>-0.2021317666</v>
      </c>
      <c r="V1667" s="4"/>
    </row>
    <row r="1668">
      <c r="A1668" s="1" t="s">
        <v>18828</v>
      </c>
      <c r="B1668" s="1" t="s">
        <v>18829</v>
      </c>
      <c r="C1668" s="1" t="s">
        <v>18830</v>
      </c>
      <c r="D1668" s="1" t="s">
        <v>18757</v>
      </c>
      <c r="E1668" s="1" t="s">
        <v>18758</v>
      </c>
      <c r="F1668" s="1">
        <v>872644.0</v>
      </c>
      <c r="G1668" s="1">
        <v>33878.0</v>
      </c>
      <c r="H1668" s="1">
        <v>1224.0</v>
      </c>
      <c r="I1668" s="1">
        <v>3600000.0</v>
      </c>
      <c r="J1668" s="1" t="s">
        <v>2468</v>
      </c>
      <c r="K1668" s="5">
        <f t="shared" si="2"/>
        <v>0.2424011111</v>
      </c>
      <c r="L1668" s="6">
        <f t="shared" si="3"/>
        <v>259</v>
      </c>
      <c r="M1668" s="6">
        <f t="shared" si="4"/>
        <v>3369.281853</v>
      </c>
      <c r="N1668" s="7">
        <f t="shared" si="5"/>
        <v>0.0009359116259</v>
      </c>
      <c r="O1668" s="7"/>
      <c r="P1668" s="4">
        <f t="shared" si="6"/>
        <v>0.2096959783</v>
      </c>
      <c r="Q1668" s="4">
        <f t="shared" si="7"/>
        <v>3</v>
      </c>
      <c r="R1668" s="4">
        <f t="shared" si="8"/>
        <v>0</v>
      </c>
      <c r="S1668" s="4">
        <f t="shared" si="9"/>
        <v>0.2096959783</v>
      </c>
      <c r="T1668" s="4">
        <f t="shared" si="10"/>
        <v>24</v>
      </c>
      <c r="U1668" s="4">
        <f t="shared" si="1"/>
        <v>0.2096959783</v>
      </c>
      <c r="V1668" s="4"/>
    </row>
    <row r="1669">
      <c r="A1669" s="1" t="s">
        <v>18831</v>
      </c>
      <c r="B1669" s="1" t="s">
        <v>18832</v>
      </c>
      <c r="C1669" s="1" t="s">
        <v>18833</v>
      </c>
      <c r="D1669" s="1" t="s">
        <v>18757</v>
      </c>
      <c r="E1669" s="1" t="s">
        <v>18758</v>
      </c>
      <c r="F1669" s="1">
        <v>802549.0</v>
      </c>
      <c r="G1669" s="1">
        <v>28068.0</v>
      </c>
      <c r="H1669" s="1">
        <v>1477.0</v>
      </c>
      <c r="I1669" s="1">
        <v>3600000.0</v>
      </c>
      <c r="J1669" s="1" t="s">
        <v>2468</v>
      </c>
      <c r="K1669" s="5">
        <f t="shared" si="2"/>
        <v>0.2229302778</v>
      </c>
      <c r="L1669" s="6">
        <f t="shared" si="3"/>
        <v>273</v>
      </c>
      <c r="M1669" s="6">
        <f t="shared" si="4"/>
        <v>2939.739927</v>
      </c>
      <c r="N1669" s="7">
        <f t="shared" si="5"/>
        <v>0.0008165944241</v>
      </c>
      <c r="O1669" s="7"/>
      <c r="P1669" s="4">
        <f t="shared" si="6"/>
        <v>0.1256533051</v>
      </c>
      <c r="Q1669" s="4">
        <f t="shared" si="7"/>
        <v>3</v>
      </c>
      <c r="R1669" s="4">
        <f t="shared" si="8"/>
        <v>0</v>
      </c>
      <c r="S1669" s="4">
        <f t="shared" si="9"/>
        <v>0.1256533051</v>
      </c>
      <c r="T1669" s="4">
        <f t="shared" si="10"/>
        <v>20</v>
      </c>
      <c r="U1669" s="4">
        <f t="shared" si="1"/>
        <v>0.1256533051</v>
      </c>
      <c r="V1669" s="4"/>
    </row>
    <row r="1670">
      <c r="A1670" s="1" t="s">
        <v>18834</v>
      </c>
      <c r="B1670" s="1" t="s">
        <v>17348</v>
      </c>
      <c r="C1670" s="1" t="s">
        <v>18835</v>
      </c>
      <c r="D1670" s="1" t="s">
        <v>18757</v>
      </c>
      <c r="E1670" s="1" t="s">
        <v>18758</v>
      </c>
      <c r="F1670" s="1">
        <v>308576.0</v>
      </c>
      <c r="G1670" s="1">
        <v>12153.0</v>
      </c>
      <c r="H1670" s="1">
        <v>197.0</v>
      </c>
      <c r="I1670" s="1">
        <v>3600000.0</v>
      </c>
      <c r="J1670" s="1" t="s">
        <v>2468</v>
      </c>
      <c r="K1670" s="5">
        <f t="shared" si="2"/>
        <v>0.08571555556</v>
      </c>
      <c r="L1670" s="6">
        <f t="shared" si="3"/>
        <v>283</v>
      </c>
      <c r="M1670" s="6">
        <f t="shared" si="4"/>
        <v>1090.374558</v>
      </c>
      <c r="N1670" s="7">
        <f t="shared" si="5"/>
        <v>0.0003028818218</v>
      </c>
      <c r="O1670" s="7"/>
      <c r="P1670" s="4">
        <f t="shared" si="6"/>
        <v>-0.2361870638</v>
      </c>
      <c r="Q1670" s="4">
        <f t="shared" si="7"/>
        <v>4</v>
      </c>
      <c r="R1670" s="4">
        <f t="shared" si="8"/>
        <v>0</v>
      </c>
      <c r="S1670" s="4">
        <f t="shared" si="9"/>
        <v>-0.2361870638</v>
      </c>
      <c r="T1670" s="4">
        <f t="shared" si="10"/>
        <v>23</v>
      </c>
      <c r="U1670" s="4">
        <f t="shared" si="1"/>
        <v>-0.2361870638</v>
      </c>
      <c r="V1670" s="4"/>
    </row>
    <row r="1671">
      <c r="A1671" s="1" t="s">
        <v>18836</v>
      </c>
      <c r="B1671" s="1" t="s">
        <v>18837</v>
      </c>
      <c r="C1671" s="1" t="s">
        <v>18838</v>
      </c>
      <c r="D1671" s="1" t="s">
        <v>18757</v>
      </c>
      <c r="E1671" s="1" t="s">
        <v>18758</v>
      </c>
      <c r="F1671" s="1">
        <v>3106155.0</v>
      </c>
      <c r="G1671" s="1">
        <v>81642.0</v>
      </c>
      <c r="H1671" s="1">
        <v>3290.0</v>
      </c>
      <c r="I1671" s="1">
        <v>3600000.0</v>
      </c>
      <c r="J1671" s="1" t="s">
        <v>2468</v>
      </c>
      <c r="K1671" s="5">
        <f t="shared" si="2"/>
        <v>0.8628208333</v>
      </c>
      <c r="L1671" s="6">
        <f t="shared" si="3"/>
        <v>287</v>
      </c>
      <c r="M1671" s="6">
        <f t="shared" si="4"/>
        <v>10822.83972</v>
      </c>
      <c r="N1671" s="7">
        <f t="shared" si="5"/>
        <v>0.003006344367</v>
      </c>
      <c r="O1671" s="7"/>
      <c r="P1671" s="4">
        <f t="shared" si="6"/>
        <v>1.668033079</v>
      </c>
      <c r="Q1671" s="4">
        <f t="shared" si="7"/>
        <v>5</v>
      </c>
      <c r="R1671" s="4">
        <f t="shared" si="8"/>
        <v>0</v>
      </c>
      <c r="S1671" s="4">
        <f t="shared" si="9"/>
        <v>1.668033079</v>
      </c>
      <c r="T1671" s="4">
        <f t="shared" si="10"/>
        <v>22</v>
      </c>
      <c r="U1671" s="4">
        <f t="shared" si="1"/>
        <v>1.668033079</v>
      </c>
      <c r="V1671" s="4"/>
    </row>
    <row r="1672">
      <c r="A1672" s="1" t="s">
        <v>18839</v>
      </c>
      <c r="B1672" s="1" t="s">
        <v>18840</v>
      </c>
      <c r="C1672" s="1" t="s">
        <v>18841</v>
      </c>
      <c r="D1672" s="1" t="s">
        <v>18757</v>
      </c>
      <c r="E1672" s="1" t="s">
        <v>18758</v>
      </c>
      <c r="F1672" s="1">
        <v>4591604.0</v>
      </c>
      <c r="G1672" s="1">
        <v>90542.0</v>
      </c>
      <c r="H1672" s="1">
        <v>2042.0</v>
      </c>
      <c r="I1672" s="1">
        <v>3600000.0</v>
      </c>
      <c r="J1672" s="1" t="s">
        <v>2468</v>
      </c>
      <c r="K1672" s="5">
        <f t="shared" si="2"/>
        <v>1.275445556</v>
      </c>
      <c r="L1672" s="6">
        <f t="shared" si="3"/>
        <v>301</v>
      </c>
      <c r="M1672" s="6">
        <f t="shared" si="4"/>
        <v>15254.49834</v>
      </c>
      <c r="N1672" s="7">
        <f t="shared" si="5"/>
        <v>0.00423736065</v>
      </c>
      <c r="O1672" s="7"/>
      <c r="P1672" s="4">
        <f t="shared" si="6"/>
        <v>2.535115926</v>
      </c>
      <c r="Q1672" s="4">
        <f t="shared" si="7"/>
        <v>6</v>
      </c>
      <c r="R1672" s="4">
        <f t="shared" si="8"/>
        <v>0</v>
      </c>
      <c r="S1672" s="4">
        <f t="shared" si="9"/>
        <v>2.535115926</v>
      </c>
      <c r="T1672" s="4">
        <f t="shared" si="10"/>
        <v>20</v>
      </c>
      <c r="U1672" s="4">
        <f t="shared" si="1"/>
        <v>2.535115926</v>
      </c>
      <c r="V1672" s="4"/>
    </row>
    <row r="1673">
      <c r="A1673" s="1" t="s">
        <v>18842</v>
      </c>
      <c r="B1673" s="1" t="s">
        <v>18843</v>
      </c>
      <c r="C1673" s="1" t="s">
        <v>18844</v>
      </c>
      <c r="D1673" s="1" t="s">
        <v>18757</v>
      </c>
      <c r="E1673" s="1" t="s">
        <v>18758</v>
      </c>
      <c r="F1673" s="1">
        <v>244256.0</v>
      </c>
      <c r="G1673" s="1">
        <v>8966.0</v>
      </c>
      <c r="H1673" s="1">
        <v>207.0</v>
      </c>
      <c r="I1673" s="1">
        <v>3600000.0</v>
      </c>
      <c r="J1673" s="1" t="s">
        <v>2468</v>
      </c>
      <c r="K1673" s="5">
        <f t="shared" si="2"/>
        <v>0.06784888889</v>
      </c>
      <c r="L1673" s="6">
        <f t="shared" si="3"/>
        <v>309</v>
      </c>
      <c r="M1673" s="6">
        <f t="shared" si="4"/>
        <v>790.4724919</v>
      </c>
      <c r="N1673" s="7">
        <f t="shared" si="5"/>
        <v>0.0002195756922</v>
      </c>
      <c r="O1673" s="7"/>
      <c r="P1673" s="4">
        <f t="shared" si="6"/>
        <v>-0.2948648547</v>
      </c>
      <c r="Q1673" s="4">
        <f t="shared" si="7"/>
        <v>7</v>
      </c>
      <c r="R1673" s="4">
        <f t="shared" si="8"/>
        <v>1</v>
      </c>
      <c r="S1673" s="4">
        <f t="shared" si="9"/>
        <v>-0.2948648547</v>
      </c>
      <c r="T1673" s="4">
        <f t="shared" si="10"/>
        <v>32</v>
      </c>
      <c r="U1673" s="4">
        <f t="shared" si="1"/>
        <v>-0.2948648547</v>
      </c>
      <c r="V1673" s="4"/>
    </row>
    <row r="1674">
      <c r="A1674" s="1" t="s">
        <v>18845</v>
      </c>
      <c r="B1674" s="1" t="s">
        <v>18846</v>
      </c>
      <c r="C1674" s="1" t="s">
        <v>18847</v>
      </c>
      <c r="D1674" s="1" t="s">
        <v>18757</v>
      </c>
      <c r="E1674" s="1" t="s">
        <v>18758</v>
      </c>
      <c r="F1674" s="1">
        <v>189666.0</v>
      </c>
      <c r="G1674" s="1">
        <v>6598.0</v>
      </c>
      <c r="H1674" s="1">
        <v>153.0</v>
      </c>
      <c r="I1674" s="1">
        <v>3600000.0</v>
      </c>
      <c r="J1674" s="1" t="s">
        <v>2468</v>
      </c>
      <c r="K1674" s="5">
        <f t="shared" si="2"/>
        <v>0.052685</v>
      </c>
      <c r="L1674" s="6">
        <f t="shared" si="3"/>
        <v>316</v>
      </c>
      <c r="M1674" s="6">
        <f t="shared" si="4"/>
        <v>600.2088608</v>
      </c>
      <c r="N1674" s="7">
        <f t="shared" si="5"/>
        <v>0.0001667246835</v>
      </c>
      <c r="O1674" s="7"/>
      <c r="P1674" s="4">
        <f t="shared" si="6"/>
        <v>-0.3320911723</v>
      </c>
      <c r="Q1674" s="4">
        <f t="shared" si="7"/>
        <v>5</v>
      </c>
      <c r="R1674" s="4">
        <f t="shared" si="8"/>
        <v>1</v>
      </c>
      <c r="S1674" s="4">
        <f t="shared" si="9"/>
        <v>-0.3320911723</v>
      </c>
      <c r="T1674" s="4">
        <f t="shared" si="10"/>
        <v>19</v>
      </c>
      <c r="U1674" s="4">
        <f t="shared" si="1"/>
        <v>-0.3320911723</v>
      </c>
      <c r="V1674" s="4"/>
    </row>
    <row r="1675">
      <c r="A1675" s="1" t="s">
        <v>18848</v>
      </c>
      <c r="B1675" s="1" t="s">
        <v>18849</v>
      </c>
      <c r="C1675" s="1" t="s">
        <v>18850</v>
      </c>
      <c r="D1675" s="1" t="s">
        <v>18757</v>
      </c>
      <c r="E1675" s="1" t="s">
        <v>18758</v>
      </c>
      <c r="F1675" s="1">
        <v>216817.0</v>
      </c>
      <c r="G1675" s="1">
        <v>8450.0</v>
      </c>
      <c r="H1675" s="1">
        <v>345.0</v>
      </c>
      <c r="I1675" s="1">
        <v>3600000.0</v>
      </c>
      <c r="J1675" s="1" t="s">
        <v>2468</v>
      </c>
      <c r="K1675" s="5">
        <f t="shared" si="2"/>
        <v>0.06022694444</v>
      </c>
      <c r="L1675" s="6">
        <f t="shared" si="3"/>
        <v>323</v>
      </c>
      <c r="M1675" s="6">
        <f t="shared" si="4"/>
        <v>671.2600619</v>
      </c>
      <c r="N1675" s="7">
        <f t="shared" si="5"/>
        <v>0.0001864611283</v>
      </c>
      <c r="O1675" s="7"/>
      <c r="P1675" s="4">
        <f t="shared" si="6"/>
        <v>-0.3181895424</v>
      </c>
      <c r="Q1675" s="4">
        <f t="shared" si="7"/>
        <v>8</v>
      </c>
      <c r="R1675" s="4">
        <f t="shared" si="8"/>
        <v>0</v>
      </c>
      <c r="S1675" s="4">
        <f t="shared" si="9"/>
        <v>-0.3181895424</v>
      </c>
      <c r="T1675" s="4">
        <f t="shared" si="10"/>
        <v>42</v>
      </c>
      <c r="U1675" s="4">
        <f t="shared" si="1"/>
        <v>-0.3181895424</v>
      </c>
      <c r="V1675" s="4"/>
    </row>
    <row r="1676">
      <c r="A1676" s="1" t="s">
        <v>18851</v>
      </c>
      <c r="B1676" s="1" t="s">
        <v>18852</v>
      </c>
      <c r="C1676" s="1" t="s">
        <v>18853</v>
      </c>
      <c r="D1676" s="1" t="s">
        <v>18757</v>
      </c>
      <c r="E1676" s="1" t="s">
        <v>18758</v>
      </c>
      <c r="F1676" s="1">
        <v>1.4441247E7</v>
      </c>
      <c r="G1676" s="1">
        <v>389754.0</v>
      </c>
      <c r="H1676" s="1">
        <v>15520.0</v>
      </c>
      <c r="I1676" s="1">
        <v>3600000.0</v>
      </c>
      <c r="J1676" s="1" t="s">
        <v>2468</v>
      </c>
      <c r="K1676" s="5">
        <f t="shared" si="2"/>
        <v>4.0114575</v>
      </c>
      <c r="L1676" s="6">
        <f t="shared" si="3"/>
        <v>328</v>
      </c>
      <c r="M1676" s="6">
        <f t="shared" si="4"/>
        <v>44028.19207</v>
      </c>
      <c r="N1676" s="7">
        <f t="shared" si="5"/>
        <v>0.01223005335</v>
      </c>
      <c r="O1676" s="7"/>
      <c r="P1676" s="4">
        <f t="shared" si="6"/>
        <v>8.164876348</v>
      </c>
      <c r="Q1676" s="4">
        <f t="shared" si="7"/>
        <v>7</v>
      </c>
      <c r="R1676" s="4">
        <f t="shared" si="8"/>
        <v>0</v>
      </c>
      <c r="S1676" s="4">
        <f t="shared" si="9"/>
        <v>8.164876348</v>
      </c>
      <c r="T1676" s="4">
        <f t="shared" si="10"/>
        <v>29</v>
      </c>
      <c r="U1676" s="4">
        <f t="shared" si="1"/>
        <v>8.164876348</v>
      </c>
      <c r="V1676" s="4"/>
    </row>
    <row r="1677">
      <c r="A1677" s="1" t="s">
        <v>18854</v>
      </c>
      <c r="B1677" s="1" t="s">
        <v>18855</v>
      </c>
      <c r="C1677" s="1" t="s">
        <v>18856</v>
      </c>
      <c r="D1677" s="1" t="s">
        <v>18757</v>
      </c>
      <c r="E1677" s="1" t="s">
        <v>18758</v>
      </c>
      <c r="F1677" s="1">
        <v>4403743.0</v>
      </c>
      <c r="G1677" s="1">
        <v>186302.0</v>
      </c>
      <c r="H1677" s="1">
        <v>1082.0</v>
      </c>
      <c r="I1677" s="1">
        <v>3600000.0</v>
      </c>
      <c r="J1677" s="1" t="s">
        <v>2468</v>
      </c>
      <c r="K1677" s="5">
        <f t="shared" si="2"/>
        <v>1.223261944</v>
      </c>
      <c r="L1677" s="6">
        <f t="shared" si="3"/>
        <v>330</v>
      </c>
      <c r="M1677" s="6">
        <f t="shared" si="4"/>
        <v>13344.67576</v>
      </c>
      <c r="N1677" s="7">
        <f t="shared" si="5"/>
        <v>0.003706854377</v>
      </c>
      <c r="O1677" s="7"/>
      <c r="P1677" s="4">
        <f t="shared" si="6"/>
        <v>2.16144671</v>
      </c>
      <c r="Q1677" s="4">
        <f t="shared" si="7"/>
        <v>10</v>
      </c>
      <c r="R1677" s="4">
        <f t="shared" si="8"/>
        <v>1</v>
      </c>
      <c r="S1677" s="4">
        <f t="shared" si="9"/>
        <v>2.16144671</v>
      </c>
      <c r="T1677" s="4">
        <f t="shared" si="10"/>
        <v>43</v>
      </c>
      <c r="U1677" s="4">
        <f t="shared" si="1"/>
        <v>2.16144671</v>
      </c>
      <c r="V1677" s="4"/>
    </row>
    <row r="1678">
      <c r="A1678" s="1" t="s">
        <v>18857</v>
      </c>
      <c r="B1678" s="1" t="s">
        <v>18858</v>
      </c>
      <c r="C1678" s="1" t="s">
        <v>18859</v>
      </c>
      <c r="D1678" s="1" t="s">
        <v>18757</v>
      </c>
      <c r="E1678" s="1" t="s">
        <v>18758</v>
      </c>
      <c r="F1678" s="1">
        <v>2322859.0</v>
      </c>
      <c r="G1678" s="1">
        <v>116064.0</v>
      </c>
      <c r="H1678" s="1">
        <v>2607.0</v>
      </c>
      <c r="I1678" s="1">
        <v>3600000.0</v>
      </c>
      <c r="J1678" s="1" t="s">
        <v>2468</v>
      </c>
      <c r="K1678" s="5">
        <f t="shared" si="2"/>
        <v>0.6452386111</v>
      </c>
      <c r="L1678" s="6">
        <f t="shared" si="3"/>
        <v>337</v>
      </c>
      <c r="M1678" s="6">
        <f t="shared" si="4"/>
        <v>6892.756677</v>
      </c>
      <c r="N1678" s="7">
        <f t="shared" si="5"/>
        <v>0.001914654632</v>
      </c>
      <c r="O1678" s="7"/>
      <c r="P1678" s="4">
        <f t="shared" si="6"/>
        <v>0.8990867563</v>
      </c>
      <c r="Q1678" s="4">
        <f t="shared" si="7"/>
        <v>5</v>
      </c>
      <c r="R1678" s="4">
        <f t="shared" si="8"/>
        <v>1</v>
      </c>
      <c r="S1678" s="4">
        <f t="shared" si="9"/>
        <v>0.8990867563</v>
      </c>
      <c r="T1678" s="4">
        <f t="shared" si="10"/>
        <v>18</v>
      </c>
      <c r="U1678" s="4">
        <f t="shared" si="1"/>
        <v>0.8990867563</v>
      </c>
      <c r="V1678" s="4"/>
    </row>
    <row r="1679">
      <c r="A1679" s="1" t="s">
        <v>18860</v>
      </c>
      <c r="B1679" s="1" t="s">
        <v>18861</v>
      </c>
      <c r="C1679" s="1" t="s">
        <v>18862</v>
      </c>
      <c r="D1679" s="1" t="s">
        <v>18757</v>
      </c>
      <c r="E1679" s="1" t="s">
        <v>18758</v>
      </c>
      <c r="F1679" s="1">
        <v>949517.0</v>
      </c>
      <c r="G1679" s="1">
        <v>32568.0</v>
      </c>
      <c r="H1679" s="1">
        <v>1966.0</v>
      </c>
      <c r="I1679" s="1">
        <v>3600000.0</v>
      </c>
      <c r="J1679" s="1" t="s">
        <v>2468</v>
      </c>
      <c r="K1679" s="5">
        <f t="shared" si="2"/>
        <v>0.2637547222</v>
      </c>
      <c r="L1679" s="6">
        <f t="shared" si="3"/>
        <v>338</v>
      </c>
      <c r="M1679" s="6">
        <f t="shared" si="4"/>
        <v>2809.221893</v>
      </c>
      <c r="N1679" s="7">
        <f t="shared" si="5"/>
        <v>0.0007803394149</v>
      </c>
      <c r="O1679" s="7"/>
      <c r="P1679" s="4">
        <f t="shared" si="6"/>
        <v>0.1001166026</v>
      </c>
      <c r="Q1679" s="4">
        <f t="shared" si="7"/>
        <v>3</v>
      </c>
      <c r="R1679" s="4">
        <f t="shared" si="8"/>
        <v>0</v>
      </c>
      <c r="S1679" s="4">
        <f t="shared" si="9"/>
        <v>0.1001166026</v>
      </c>
      <c r="T1679" s="4">
        <f t="shared" si="10"/>
        <v>20</v>
      </c>
      <c r="U1679" s="4">
        <f t="shared" si="1"/>
        <v>0.1001166026</v>
      </c>
      <c r="V1679" s="4"/>
    </row>
    <row r="1680">
      <c r="A1680" s="1" t="s">
        <v>18863</v>
      </c>
      <c r="B1680" s="1" t="s">
        <v>18864</v>
      </c>
      <c r="C1680" s="1" t="s">
        <v>18865</v>
      </c>
      <c r="D1680" s="1" t="s">
        <v>18757</v>
      </c>
      <c r="E1680" s="1" t="s">
        <v>18758</v>
      </c>
      <c r="F1680" s="1">
        <v>913441.0</v>
      </c>
      <c r="G1680" s="1">
        <v>32400.0</v>
      </c>
      <c r="H1680" s="1">
        <v>964.0</v>
      </c>
      <c r="I1680" s="1">
        <v>3600000.0</v>
      </c>
      <c r="J1680" s="1" t="s">
        <v>2468</v>
      </c>
      <c r="K1680" s="5">
        <f t="shared" si="2"/>
        <v>0.2537336111</v>
      </c>
      <c r="L1680" s="6">
        <f t="shared" si="3"/>
        <v>356</v>
      </c>
      <c r="M1680" s="6">
        <f t="shared" si="4"/>
        <v>2565.845506</v>
      </c>
      <c r="N1680" s="7">
        <f t="shared" si="5"/>
        <v>0.0007127348627</v>
      </c>
      <c r="O1680" s="7"/>
      <c r="P1680" s="4">
        <f t="shared" si="6"/>
        <v>0.05249842854</v>
      </c>
      <c r="Q1680" s="4">
        <f t="shared" si="7"/>
        <v>3</v>
      </c>
      <c r="R1680" s="4">
        <f t="shared" si="8"/>
        <v>0</v>
      </c>
      <c r="S1680" s="4">
        <f t="shared" si="9"/>
        <v>0.05249842854</v>
      </c>
      <c r="T1680" s="4">
        <f t="shared" si="10"/>
        <v>22</v>
      </c>
      <c r="U1680" s="4">
        <f t="shared" si="1"/>
        <v>0.05249842854</v>
      </c>
      <c r="V1680" s="4"/>
    </row>
    <row r="1681">
      <c r="A1681" s="1" t="s">
        <v>18866</v>
      </c>
      <c r="B1681" s="1" t="s">
        <v>18867</v>
      </c>
      <c r="C1681" s="1" t="s">
        <v>18868</v>
      </c>
      <c r="D1681" s="1" t="s">
        <v>18757</v>
      </c>
      <c r="E1681" s="1" t="s">
        <v>18758</v>
      </c>
      <c r="F1681" s="1">
        <v>1364785.0</v>
      </c>
      <c r="G1681" s="1">
        <v>51288.0</v>
      </c>
      <c r="H1681" s="1">
        <v>3559.0</v>
      </c>
      <c r="I1681" s="1">
        <v>3600000.0</v>
      </c>
      <c r="J1681" s="1" t="s">
        <v>2468</v>
      </c>
      <c r="K1681" s="5">
        <f t="shared" si="2"/>
        <v>0.3791069444</v>
      </c>
      <c r="L1681" s="6">
        <f t="shared" si="3"/>
        <v>368</v>
      </c>
      <c r="M1681" s="6">
        <f t="shared" si="4"/>
        <v>3708.654891</v>
      </c>
      <c r="N1681" s="7">
        <f t="shared" si="5"/>
        <v>0.001030181914</v>
      </c>
      <c r="O1681" s="7"/>
      <c r="P1681" s="4">
        <f t="shared" si="6"/>
        <v>0.2760965216</v>
      </c>
      <c r="Q1681" s="4">
        <f t="shared" si="7"/>
        <v>7</v>
      </c>
      <c r="R1681" s="4">
        <f t="shared" si="8"/>
        <v>0</v>
      </c>
      <c r="S1681" s="4">
        <f t="shared" si="9"/>
        <v>0.2760965216</v>
      </c>
      <c r="T1681" s="4">
        <f t="shared" si="10"/>
        <v>39</v>
      </c>
      <c r="U1681" s="4">
        <f t="shared" si="1"/>
        <v>0.2760965216</v>
      </c>
      <c r="V1681" s="4"/>
    </row>
    <row r="1682">
      <c r="A1682" s="1" t="s">
        <v>18869</v>
      </c>
      <c r="B1682" s="1" t="s">
        <v>18870</v>
      </c>
      <c r="C1682" s="1" t="s">
        <v>18871</v>
      </c>
      <c r="D1682" s="1" t="s">
        <v>18757</v>
      </c>
      <c r="E1682" s="1" t="s">
        <v>18758</v>
      </c>
      <c r="F1682" s="1">
        <v>862223.0</v>
      </c>
      <c r="G1682" s="1">
        <v>20653.0</v>
      </c>
      <c r="H1682" s="1">
        <v>236.0</v>
      </c>
      <c r="I1682" s="1">
        <v>3600000.0</v>
      </c>
      <c r="J1682" s="1" t="s">
        <v>2468</v>
      </c>
      <c r="K1682" s="5">
        <f t="shared" si="2"/>
        <v>0.2395063889</v>
      </c>
      <c r="L1682" s="6">
        <f t="shared" si="3"/>
        <v>384</v>
      </c>
      <c r="M1682" s="6">
        <f t="shared" si="4"/>
        <v>2245.372396</v>
      </c>
      <c r="N1682" s="7">
        <f t="shared" si="5"/>
        <v>0.0006237145544</v>
      </c>
      <c r="O1682" s="7"/>
      <c r="P1682" s="4">
        <f t="shared" si="6"/>
        <v>-0.01020422085</v>
      </c>
      <c r="Q1682" s="4">
        <f t="shared" si="7"/>
        <v>5</v>
      </c>
      <c r="R1682" s="4">
        <f t="shared" si="8"/>
        <v>0</v>
      </c>
      <c r="S1682" s="4">
        <f t="shared" si="9"/>
        <v>-0.01020422085</v>
      </c>
      <c r="T1682" s="4">
        <f t="shared" si="10"/>
        <v>22</v>
      </c>
      <c r="U1682" s="4">
        <f t="shared" si="1"/>
        <v>-0.01020422085</v>
      </c>
      <c r="V1682" s="4"/>
    </row>
    <row r="1683">
      <c r="A1683" s="1" t="s">
        <v>18872</v>
      </c>
      <c r="B1683" s="1" t="s">
        <v>18873</v>
      </c>
      <c r="C1683" s="1" t="s">
        <v>18874</v>
      </c>
      <c r="D1683" s="1" t="s">
        <v>18757</v>
      </c>
      <c r="E1683" s="1" t="s">
        <v>18758</v>
      </c>
      <c r="F1683" s="1">
        <v>1.1399189E7</v>
      </c>
      <c r="G1683" s="1">
        <v>328062.0</v>
      </c>
      <c r="H1683" s="1">
        <v>2041.0</v>
      </c>
      <c r="I1683" s="1">
        <v>3600000.0</v>
      </c>
      <c r="J1683" s="1" t="s">
        <v>2468</v>
      </c>
      <c r="K1683" s="5">
        <f t="shared" si="2"/>
        <v>3.166441389</v>
      </c>
      <c r="L1683" s="6">
        <f t="shared" si="3"/>
        <v>398</v>
      </c>
      <c r="M1683" s="6">
        <f t="shared" si="4"/>
        <v>28641.17839</v>
      </c>
      <c r="N1683" s="7">
        <f t="shared" si="5"/>
        <v>0.007955882887</v>
      </c>
      <c r="O1683" s="7"/>
      <c r="P1683" s="4">
        <f t="shared" si="6"/>
        <v>5.154306991</v>
      </c>
      <c r="Q1683" s="4">
        <f t="shared" si="7"/>
        <v>9</v>
      </c>
      <c r="R1683" s="4">
        <f t="shared" si="8"/>
        <v>0</v>
      </c>
      <c r="S1683" s="4">
        <f t="shared" si="9"/>
        <v>5.154306991</v>
      </c>
      <c r="T1683" s="4">
        <f t="shared" si="10"/>
        <v>46</v>
      </c>
      <c r="U1683" s="4">
        <f t="shared" si="1"/>
        <v>5.154306991</v>
      </c>
      <c r="V1683" s="4"/>
    </row>
    <row r="1684">
      <c r="A1684" s="1" t="s">
        <v>18875</v>
      </c>
      <c r="B1684" s="1" t="s">
        <v>18876</v>
      </c>
      <c r="C1684" s="1" t="s">
        <v>18877</v>
      </c>
      <c r="D1684" s="1" t="s">
        <v>18757</v>
      </c>
      <c r="E1684" s="1" t="s">
        <v>18758</v>
      </c>
      <c r="F1684" s="1">
        <v>1738985.0</v>
      </c>
      <c r="G1684" s="1">
        <v>45535.0</v>
      </c>
      <c r="H1684" s="1">
        <v>2684.0</v>
      </c>
      <c r="I1684" s="1">
        <v>3600000.0</v>
      </c>
      <c r="J1684" s="1" t="s">
        <v>2468</v>
      </c>
      <c r="K1684" s="5">
        <f t="shared" si="2"/>
        <v>0.4830513889</v>
      </c>
      <c r="L1684" s="6">
        <f t="shared" si="3"/>
        <v>399</v>
      </c>
      <c r="M1684" s="6">
        <f t="shared" si="4"/>
        <v>4358.358396</v>
      </c>
      <c r="N1684" s="7">
        <f t="shared" si="5"/>
        <v>0.00121065511</v>
      </c>
      <c r="O1684" s="7"/>
      <c r="P1684" s="4">
        <f t="shared" si="6"/>
        <v>0.4032152402</v>
      </c>
      <c r="Q1684" s="4">
        <f t="shared" si="7"/>
        <v>4</v>
      </c>
      <c r="R1684" s="4">
        <f t="shared" si="8"/>
        <v>0</v>
      </c>
      <c r="S1684" s="4">
        <f t="shared" si="9"/>
        <v>0.4032152402</v>
      </c>
      <c r="T1684" s="4">
        <f t="shared" si="10"/>
        <v>21</v>
      </c>
      <c r="U1684" s="4">
        <f t="shared" si="1"/>
        <v>0.4032152402</v>
      </c>
      <c r="V1684" s="4"/>
    </row>
    <row r="1685">
      <c r="A1685" s="1" t="s">
        <v>18878</v>
      </c>
      <c r="B1685" s="1" t="s">
        <v>18879</v>
      </c>
      <c r="C1685" s="1" t="s">
        <v>18880</v>
      </c>
      <c r="D1685" s="1" t="s">
        <v>18757</v>
      </c>
      <c r="E1685" s="1" t="s">
        <v>18758</v>
      </c>
      <c r="F1685" s="1">
        <v>4693498.0</v>
      </c>
      <c r="G1685" s="1">
        <v>148511.0</v>
      </c>
      <c r="H1685" s="1">
        <v>2754.0</v>
      </c>
      <c r="I1685" s="1">
        <v>3600000.0</v>
      </c>
      <c r="J1685" s="1" t="s">
        <v>2468</v>
      </c>
      <c r="K1685" s="5">
        <f t="shared" si="2"/>
        <v>1.303749444</v>
      </c>
      <c r="L1685" s="6">
        <f t="shared" si="3"/>
        <v>412</v>
      </c>
      <c r="M1685" s="6">
        <f t="shared" si="4"/>
        <v>11391.98544</v>
      </c>
      <c r="N1685" s="7">
        <f t="shared" si="5"/>
        <v>0.003164440399</v>
      </c>
      <c r="O1685" s="7"/>
      <c r="P1685" s="4">
        <f t="shared" si="6"/>
        <v>1.779390142</v>
      </c>
      <c r="Q1685" s="4">
        <f t="shared" si="7"/>
        <v>10</v>
      </c>
      <c r="R1685" s="4">
        <f t="shared" si="8"/>
        <v>0</v>
      </c>
      <c r="S1685" s="4">
        <f t="shared" si="9"/>
        <v>1.779390142</v>
      </c>
      <c r="T1685" s="4">
        <f t="shared" si="10"/>
        <v>47</v>
      </c>
      <c r="U1685" s="4">
        <f t="shared" si="1"/>
        <v>1.779390142</v>
      </c>
      <c r="V1685" s="4"/>
    </row>
    <row r="1686">
      <c r="A1686" s="1" t="s">
        <v>18881</v>
      </c>
      <c r="B1686" s="1" t="s">
        <v>18882</v>
      </c>
      <c r="C1686" s="1" t="s">
        <v>18883</v>
      </c>
      <c r="D1686" s="1" t="s">
        <v>18757</v>
      </c>
      <c r="E1686" s="1" t="s">
        <v>18758</v>
      </c>
      <c r="F1686" s="1">
        <v>6951922.0</v>
      </c>
      <c r="G1686" s="1">
        <v>99870.0</v>
      </c>
      <c r="H1686" s="1">
        <v>6182.0</v>
      </c>
      <c r="I1686" s="1">
        <v>3600000.0</v>
      </c>
      <c r="J1686" s="1" t="s">
        <v>2468</v>
      </c>
      <c r="K1686" s="5">
        <f t="shared" si="2"/>
        <v>1.931089444</v>
      </c>
      <c r="L1686" s="6">
        <f t="shared" si="3"/>
        <v>416</v>
      </c>
      <c r="M1686" s="6">
        <f t="shared" si="4"/>
        <v>16711.35096</v>
      </c>
      <c r="N1686" s="7">
        <f t="shared" si="5"/>
        <v>0.004642041934</v>
      </c>
      <c r="O1686" s="7"/>
      <c r="P1686" s="4">
        <f t="shared" si="6"/>
        <v>2.820158622</v>
      </c>
      <c r="Q1686" s="4">
        <f t="shared" si="7"/>
        <v>6</v>
      </c>
      <c r="R1686" s="4">
        <f t="shared" si="8"/>
        <v>1</v>
      </c>
      <c r="S1686" s="4">
        <f t="shared" si="9"/>
        <v>2.820158622</v>
      </c>
      <c r="T1686" s="4">
        <f t="shared" si="10"/>
        <v>32</v>
      </c>
      <c r="U1686" s="4">
        <f t="shared" si="1"/>
        <v>2.820158622</v>
      </c>
      <c r="V1686" s="4"/>
    </row>
    <row r="1687">
      <c r="A1687" s="1" t="s">
        <v>18884</v>
      </c>
      <c r="B1687" s="1" t="s">
        <v>18885</v>
      </c>
      <c r="C1687" s="1" t="s">
        <v>18886</v>
      </c>
      <c r="D1687" s="1" t="s">
        <v>18757</v>
      </c>
      <c r="E1687" s="1" t="s">
        <v>18758</v>
      </c>
      <c r="F1687" s="1">
        <v>368762.0</v>
      </c>
      <c r="G1687" s="1">
        <v>14654.0</v>
      </c>
      <c r="H1687" s="1">
        <v>304.0</v>
      </c>
      <c r="I1687" s="1">
        <v>3600000.0</v>
      </c>
      <c r="J1687" s="1" t="s">
        <v>2468</v>
      </c>
      <c r="K1687" s="5">
        <f t="shared" si="2"/>
        <v>0.1024338889</v>
      </c>
      <c r="L1687" s="6">
        <f t="shared" si="3"/>
        <v>420</v>
      </c>
      <c r="M1687" s="6">
        <f t="shared" si="4"/>
        <v>878.0047619</v>
      </c>
      <c r="N1687" s="7">
        <f t="shared" si="5"/>
        <v>0.0002438902116</v>
      </c>
      <c r="O1687" s="7"/>
      <c r="P1687" s="4">
        <f t="shared" si="6"/>
        <v>-0.2777385965</v>
      </c>
      <c r="Q1687" s="4">
        <f t="shared" si="7"/>
        <v>6</v>
      </c>
      <c r="R1687" s="4">
        <f t="shared" si="8"/>
        <v>0</v>
      </c>
      <c r="S1687" s="4">
        <f t="shared" si="9"/>
        <v>-0.2777385965</v>
      </c>
      <c r="T1687" s="4">
        <f t="shared" si="10"/>
        <v>37</v>
      </c>
      <c r="U1687" s="4">
        <f t="shared" si="1"/>
        <v>-0.2777385965</v>
      </c>
      <c r="V1687" s="4"/>
    </row>
    <row r="1688">
      <c r="A1688" s="1" t="s">
        <v>18887</v>
      </c>
      <c r="B1688" s="1" t="s">
        <v>18888</v>
      </c>
      <c r="C1688" s="1" t="s">
        <v>18889</v>
      </c>
      <c r="D1688" s="1" t="s">
        <v>18757</v>
      </c>
      <c r="E1688" s="1" t="s">
        <v>18758</v>
      </c>
      <c r="F1688" s="1">
        <v>5069544.0</v>
      </c>
      <c r="G1688" s="1">
        <v>212960.0</v>
      </c>
      <c r="H1688" s="1">
        <v>2214.0</v>
      </c>
      <c r="I1688" s="1">
        <v>3600000.0</v>
      </c>
      <c r="J1688" s="1" t="s">
        <v>2468</v>
      </c>
      <c r="K1688" s="5">
        <f t="shared" si="2"/>
        <v>1.408206667</v>
      </c>
      <c r="L1688" s="6">
        <f t="shared" si="3"/>
        <v>426</v>
      </c>
      <c r="M1688" s="6">
        <f t="shared" si="4"/>
        <v>11900.33803</v>
      </c>
      <c r="N1688" s="7">
        <f t="shared" si="5"/>
        <v>0.003305649452</v>
      </c>
      <c r="O1688" s="7"/>
      <c r="P1688" s="4">
        <f t="shared" si="6"/>
        <v>1.878852634</v>
      </c>
      <c r="Q1688" s="4">
        <f t="shared" si="7"/>
        <v>5</v>
      </c>
      <c r="R1688" s="4">
        <f t="shared" si="8"/>
        <v>0</v>
      </c>
      <c r="S1688" s="4">
        <f t="shared" si="9"/>
        <v>1.878852634</v>
      </c>
      <c r="T1688" s="4">
        <f t="shared" si="10"/>
        <v>21</v>
      </c>
      <c r="U1688" s="4">
        <f t="shared" si="1"/>
        <v>1.878852634</v>
      </c>
      <c r="V1688" s="4"/>
    </row>
    <row r="1689">
      <c r="A1689" s="1" t="s">
        <v>18890</v>
      </c>
      <c r="B1689" s="1" t="s">
        <v>18891</v>
      </c>
      <c r="C1689" s="1" t="s">
        <v>18892</v>
      </c>
      <c r="D1689" s="1" t="s">
        <v>18757</v>
      </c>
      <c r="E1689" s="1" t="s">
        <v>18758</v>
      </c>
      <c r="F1689" s="1">
        <v>1867720.0</v>
      </c>
      <c r="G1689" s="1">
        <v>63611.0</v>
      </c>
      <c r="H1689" s="1">
        <v>3443.0</v>
      </c>
      <c r="I1689" s="1">
        <v>3600000.0</v>
      </c>
      <c r="J1689" s="1" t="s">
        <v>2468</v>
      </c>
      <c r="K1689" s="5">
        <f t="shared" si="2"/>
        <v>0.5188111111</v>
      </c>
      <c r="L1689" s="6">
        <f t="shared" si="3"/>
        <v>429</v>
      </c>
      <c r="M1689" s="6">
        <f t="shared" si="4"/>
        <v>4353.659674</v>
      </c>
      <c r="N1689" s="7">
        <f t="shared" si="5"/>
        <v>0.001209349909</v>
      </c>
      <c r="O1689" s="7"/>
      <c r="P1689" s="4">
        <f t="shared" si="6"/>
        <v>0.4022959046</v>
      </c>
      <c r="Q1689" s="4">
        <f t="shared" si="7"/>
        <v>5</v>
      </c>
      <c r="R1689" s="4">
        <f t="shared" si="8"/>
        <v>0</v>
      </c>
      <c r="S1689" s="4">
        <f t="shared" si="9"/>
        <v>0.4022959046</v>
      </c>
      <c r="T1689" s="4">
        <f t="shared" si="10"/>
        <v>20</v>
      </c>
      <c r="U1689" s="4">
        <f t="shared" si="1"/>
        <v>0.4022959046</v>
      </c>
      <c r="V1689" s="4"/>
    </row>
    <row r="1690">
      <c r="A1690" s="1" t="s">
        <v>18893</v>
      </c>
      <c r="B1690" s="1" t="s">
        <v>18894</v>
      </c>
      <c r="C1690" s="1" t="s">
        <v>18895</v>
      </c>
      <c r="D1690" s="1" t="s">
        <v>18757</v>
      </c>
      <c r="E1690" s="1" t="s">
        <v>18758</v>
      </c>
      <c r="F1690" s="1">
        <v>309691.0</v>
      </c>
      <c r="G1690" s="1">
        <v>7639.0</v>
      </c>
      <c r="H1690" s="1">
        <v>139.0</v>
      </c>
      <c r="I1690" s="1">
        <v>3600000.0</v>
      </c>
      <c r="J1690" s="1" t="s">
        <v>2468</v>
      </c>
      <c r="K1690" s="5">
        <f t="shared" si="2"/>
        <v>0.08602527778</v>
      </c>
      <c r="L1690" s="6">
        <f t="shared" si="3"/>
        <v>440</v>
      </c>
      <c r="M1690" s="6">
        <f t="shared" si="4"/>
        <v>703.8431818</v>
      </c>
      <c r="N1690" s="7">
        <f t="shared" si="5"/>
        <v>0.0001955119949</v>
      </c>
      <c r="O1690" s="7"/>
      <c r="P1690" s="4">
        <f t="shared" si="6"/>
        <v>-0.311814443</v>
      </c>
      <c r="Q1690" s="4">
        <f t="shared" si="7"/>
        <v>6</v>
      </c>
      <c r="R1690" s="4">
        <f t="shared" si="8"/>
        <v>0</v>
      </c>
      <c r="S1690" s="4">
        <f t="shared" si="9"/>
        <v>-0.311814443</v>
      </c>
      <c r="T1690" s="4">
        <f t="shared" si="10"/>
        <v>35</v>
      </c>
      <c r="U1690" s="4">
        <f t="shared" si="1"/>
        <v>-0.311814443</v>
      </c>
      <c r="V1690" s="4"/>
    </row>
    <row r="1691">
      <c r="A1691" s="1" t="s">
        <v>18896</v>
      </c>
      <c r="B1691" s="1" t="s">
        <v>18897</v>
      </c>
      <c r="C1691" s="1" t="s">
        <v>18898</v>
      </c>
      <c r="D1691" s="1" t="s">
        <v>18757</v>
      </c>
      <c r="E1691" s="1" t="s">
        <v>18758</v>
      </c>
      <c r="F1691" s="1">
        <v>1677412.0</v>
      </c>
      <c r="G1691" s="1">
        <v>62423.0</v>
      </c>
      <c r="H1691" s="1">
        <v>646.0</v>
      </c>
      <c r="I1691" s="1">
        <v>3600000.0</v>
      </c>
      <c r="J1691" s="1" t="s">
        <v>2468</v>
      </c>
      <c r="K1691" s="5">
        <f t="shared" si="2"/>
        <v>0.4659477778</v>
      </c>
      <c r="L1691" s="6">
        <f t="shared" si="3"/>
        <v>454</v>
      </c>
      <c r="M1691" s="6">
        <f t="shared" si="4"/>
        <v>3694.740088</v>
      </c>
      <c r="N1691" s="7">
        <f t="shared" si="5"/>
        <v>0.001026316691</v>
      </c>
      <c r="O1691" s="7"/>
      <c r="P1691" s="4">
        <f t="shared" si="6"/>
        <v>0.2733739998</v>
      </c>
      <c r="Q1691" s="4">
        <f t="shared" si="7"/>
        <v>9</v>
      </c>
      <c r="R1691" s="4">
        <f t="shared" si="8"/>
        <v>0</v>
      </c>
      <c r="S1691" s="4">
        <f t="shared" si="9"/>
        <v>0.2733739998</v>
      </c>
      <c r="T1691" s="4">
        <f t="shared" si="10"/>
        <v>40</v>
      </c>
      <c r="U1691" s="4">
        <f t="shared" si="1"/>
        <v>0.2733739998</v>
      </c>
      <c r="V1691" s="4"/>
    </row>
    <row r="1692">
      <c r="A1692" s="1" t="s">
        <v>18899</v>
      </c>
      <c r="B1692" s="1" t="s">
        <v>18900</v>
      </c>
      <c r="C1692" s="1" t="s">
        <v>18901</v>
      </c>
      <c r="D1692" s="1" t="s">
        <v>18757</v>
      </c>
      <c r="E1692" s="1" t="s">
        <v>18758</v>
      </c>
      <c r="F1692" s="1">
        <v>76550.0</v>
      </c>
      <c r="G1692" s="1">
        <v>1390.0</v>
      </c>
      <c r="H1692" s="1">
        <v>96.0</v>
      </c>
      <c r="I1692" s="1">
        <v>3600000.0</v>
      </c>
      <c r="J1692" s="1" t="s">
        <v>2468</v>
      </c>
      <c r="K1692" s="5">
        <f t="shared" si="2"/>
        <v>0.02126388889</v>
      </c>
      <c r="L1692" s="6">
        <f t="shared" si="3"/>
        <v>456</v>
      </c>
      <c r="M1692" s="6">
        <f t="shared" si="4"/>
        <v>167.872807</v>
      </c>
      <c r="N1692" s="7">
        <f t="shared" si="5"/>
        <v>0.00004663133528</v>
      </c>
      <c r="O1692" s="7"/>
      <c r="P1692" s="4">
        <f t="shared" si="6"/>
        <v>-0.4166805346</v>
      </c>
      <c r="Q1692" s="4">
        <f t="shared" si="7"/>
        <v>4</v>
      </c>
      <c r="R1692" s="4">
        <f t="shared" si="8"/>
        <v>0</v>
      </c>
      <c r="S1692" s="4">
        <f t="shared" si="9"/>
        <v>-0.4166805346</v>
      </c>
      <c r="T1692" s="4">
        <f t="shared" si="10"/>
        <v>27</v>
      </c>
      <c r="U1692" s="4">
        <f t="shared" si="1"/>
        <v>-0.4166805346</v>
      </c>
      <c r="V1692" s="4"/>
    </row>
    <row r="1693">
      <c r="A1693" s="1" t="s">
        <v>18902</v>
      </c>
      <c r="B1693" s="1" t="s">
        <v>18903</v>
      </c>
      <c r="C1693" s="1" t="s">
        <v>18904</v>
      </c>
      <c r="D1693" s="1" t="s">
        <v>18757</v>
      </c>
      <c r="E1693" s="1" t="s">
        <v>18758</v>
      </c>
      <c r="F1693" s="1">
        <v>131559.0</v>
      </c>
      <c r="G1693" s="1">
        <v>1631.0</v>
      </c>
      <c r="H1693" s="1">
        <v>50.0</v>
      </c>
      <c r="I1693" s="1">
        <v>3600000.0</v>
      </c>
      <c r="J1693" s="1" t="s">
        <v>2468</v>
      </c>
      <c r="K1693" s="5">
        <f t="shared" si="2"/>
        <v>0.03654416667</v>
      </c>
      <c r="L1693" s="6">
        <f t="shared" si="3"/>
        <v>457</v>
      </c>
      <c r="M1693" s="6">
        <f t="shared" si="4"/>
        <v>287.8752735</v>
      </c>
      <c r="N1693" s="7">
        <f t="shared" si="5"/>
        <v>0.00007996535376</v>
      </c>
      <c r="O1693" s="7"/>
      <c r="P1693" s="4">
        <f t="shared" si="6"/>
        <v>-0.3932012711</v>
      </c>
      <c r="Q1693" s="4">
        <f t="shared" si="7"/>
        <v>7</v>
      </c>
      <c r="R1693" s="4">
        <f t="shared" si="8"/>
        <v>0</v>
      </c>
      <c r="S1693" s="4">
        <f t="shared" si="9"/>
        <v>-0.3932012711</v>
      </c>
      <c r="T1693" s="4">
        <f t="shared" si="10"/>
        <v>38</v>
      </c>
      <c r="U1693" s="4">
        <f t="shared" si="1"/>
        <v>-0.3932012711</v>
      </c>
      <c r="V1693" s="4"/>
    </row>
    <row r="1694">
      <c r="A1694" s="1" t="s">
        <v>18905</v>
      </c>
      <c r="B1694" s="1" t="s">
        <v>18906</v>
      </c>
      <c r="C1694" s="1" t="s">
        <v>18907</v>
      </c>
      <c r="D1694" s="1" t="s">
        <v>18757</v>
      </c>
      <c r="E1694" s="1" t="s">
        <v>18758</v>
      </c>
      <c r="F1694" s="1">
        <v>426218.0</v>
      </c>
      <c r="G1694" s="1">
        <v>11466.0</v>
      </c>
      <c r="H1694" s="1">
        <v>193.0</v>
      </c>
      <c r="I1694" s="1">
        <v>3600000.0</v>
      </c>
      <c r="J1694" s="1" t="s">
        <v>2468</v>
      </c>
      <c r="K1694" s="5">
        <f t="shared" si="2"/>
        <v>0.1183938889</v>
      </c>
      <c r="L1694" s="6">
        <f t="shared" si="3"/>
        <v>458</v>
      </c>
      <c r="M1694" s="6">
        <f t="shared" si="4"/>
        <v>930.6069869</v>
      </c>
      <c r="N1694" s="7">
        <f t="shared" si="5"/>
        <v>0.0002585019408</v>
      </c>
      <c r="O1694" s="7"/>
      <c r="P1694" s="4">
        <f t="shared" si="6"/>
        <v>-0.2674466289</v>
      </c>
      <c r="Q1694" s="4">
        <f t="shared" si="7"/>
        <v>4</v>
      </c>
      <c r="R1694" s="4">
        <f t="shared" si="8"/>
        <v>0</v>
      </c>
      <c r="S1694" s="4">
        <f t="shared" si="9"/>
        <v>-0.2674466289</v>
      </c>
      <c r="T1694" s="4">
        <f t="shared" si="10"/>
        <v>24</v>
      </c>
      <c r="U1694" s="4">
        <f t="shared" si="1"/>
        <v>-0.2674466289</v>
      </c>
      <c r="V1694" s="4"/>
    </row>
    <row r="1695">
      <c r="A1695" s="1" t="s">
        <v>18908</v>
      </c>
      <c r="B1695" s="1" t="s">
        <v>18909</v>
      </c>
      <c r="C1695" s="1" t="s">
        <v>18910</v>
      </c>
      <c r="D1695" s="1" t="s">
        <v>18757</v>
      </c>
      <c r="E1695" s="1" t="s">
        <v>18758</v>
      </c>
      <c r="F1695" s="1">
        <v>64520.0</v>
      </c>
      <c r="G1695" s="1">
        <v>1601.0</v>
      </c>
      <c r="H1695" s="1">
        <v>55.0</v>
      </c>
      <c r="I1695" s="1">
        <v>3600000.0</v>
      </c>
      <c r="J1695" s="1" t="s">
        <v>2468</v>
      </c>
      <c r="K1695" s="5">
        <f t="shared" si="2"/>
        <v>0.01792222222</v>
      </c>
      <c r="L1695" s="6">
        <f t="shared" si="3"/>
        <v>459</v>
      </c>
      <c r="M1695" s="6">
        <f t="shared" si="4"/>
        <v>140.5664488</v>
      </c>
      <c r="N1695" s="7">
        <f t="shared" si="5"/>
        <v>0.00003904623578</v>
      </c>
      <c r="O1695" s="7"/>
      <c r="P1695" s="4">
        <f t="shared" si="6"/>
        <v>-0.4220232013</v>
      </c>
      <c r="Q1695" s="4">
        <f t="shared" si="7"/>
        <v>5</v>
      </c>
      <c r="R1695" s="4">
        <f t="shared" si="8"/>
        <v>0</v>
      </c>
      <c r="S1695" s="4">
        <f t="shared" si="9"/>
        <v>-0.4220232013</v>
      </c>
      <c r="T1695" s="4">
        <f t="shared" si="10"/>
        <v>27</v>
      </c>
      <c r="U1695" s="4">
        <f t="shared" si="1"/>
        <v>-0.4220232013</v>
      </c>
      <c r="V1695" s="4"/>
    </row>
    <row r="1696">
      <c r="A1696" s="1" t="s">
        <v>18911</v>
      </c>
      <c r="B1696" s="1" t="s">
        <v>18912</v>
      </c>
      <c r="C1696" s="1" t="s">
        <v>18913</v>
      </c>
      <c r="D1696" s="1" t="s">
        <v>18757</v>
      </c>
      <c r="E1696" s="1" t="s">
        <v>18758</v>
      </c>
      <c r="F1696" s="1">
        <v>74384.0</v>
      </c>
      <c r="G1696" s="1">
        <v>2112.0</v>
      </c>
      <c r="H1696" s="1">
        <v>54.0</v>
      </c>
      <c r="I1696" s="1">
        <v>3600000.0</v>
      </c>
      <c r="J1696" s="1" t="s">
        <v>2468</v>
      </c>
      <c r="K1696" s="5">
        <f t="shared" si="2"/>
        <v>0.02066222222</v>
      </c>
      <c r="L1696" s="6">
        <f t="shared" si="3"/>
        <v>460</v>
      </c>
      <c r="M1696" s="6">
        <f t="shared" si="4"/>
        <v>161.7043478</v>
      </c>
      <c r="N1696" s="7">
        <f t="shared" si="5"/>
        <v>0.0000449178744</v>
      </c>
      <c r="O1696" s="7"/>
      <c r="P1696" s="4">
        <f t="shared" si="6"/>
        <v>-0.4178874338</v>
      </c>
      <c r="Q1696" s="4">
        <f t="shared" si="7"/>
        <v>8</v>
      </c>
      <c r="R1696" s="4">
        <f t="shared" si="8"/>
        <v>0</v>
      </c>
      <c r="S1696" s="4">
        <f t="shared" si="9"/>
        <v>-0.4178874338</v>
      </c>
      <c r="T1696" s="4">
        <f t="shared" si="10"/>
        <v>39</v>
      </c>
      <c r="U1696" s="4">
        <f t="shared" si="1"/>
        <v>-0.4178874338</v>
      </c>
      <c r="V1696" s="4"/>
    </row>
    <row r="1697">
      <c r="A1697" s="1" t="s">
        <v>18914</v>
      </c>
      <c r="B1697" s="1" t="s">
        <v>18915</v>
      </c>
      <c r="C1697" s="1" t="s">
        <v>18916</v>
      </c>
      <c r="D1697" s="1" t="s">
        <v>18757</v>
      </c>
      <c r="E1697" s="1" t="s">
        <v>18758</v>
      </c>
      <c r="F1697" s="1">
        <v>74859.0</v>
      </c>
      <c r="G1697" s="1">
        <v>2040.0</v>
      </c>
      <c r="H1697" s="1">
        <v>53.0</v>
      </c>
      <c r="I1697" s="1">
        <v>3600000.0</v>
      </c>
      <c r="J1697" s="1" t="s">
        <v>2468</v>
      </c>
      <c r="K1697" s="5">
        <f t="shared" si="2"/>
        <v>0.02079416667</v>
      </c>
      <c r="L1697" s="6">
        <f t="shared" si="3"/>
        <v>461</v>
      </c>
      <c r="M1697" s="6">
        <f t="shared" si="4"/>
        <v>162.3839479</v>
      </c>
      <c r="N1697" s="7">
        <f t="shared" si="5"/>
        <v>0.00004510665221</v>
      </c>
      <c r="O1697" s="7"/>
      <c r="P1697" s="4">
        <f t="shared" si="6"/>
        <v>-0.4177544656</v>
      </c>
      <c r="Q1697" s="4">
        <f t="shared" si="7"/>
        <v>7</v>
      </c>
      <c r="R1697" s="4">
        <f t="shared" si="8"/>
        <v>0</v>
      </c>
      <c r="S1697" s="4">
        <f t="shared" si="9"/>
        <v>-0.4177544656</v>
      </c>
      <c r="T1697" s="4">
        <f t="shared" si="10"/>
        <v>33</v>
      </c>
      <c r="U1697" s="4">
        <f t="shared" si="1"/>
        <v>-0.4177544656</v>
      </c>
      <c r="V1697" s="4"/>
    </row>
    <row r="1698">
      <c r="A1698" s="1" t="s">
        <v>18917</v>
      </c>
      <c r="B1698" s="1" t="s">
        <v>18918</v>
      </c>
      <c r="C1698" s="1" t="s">
        <v>18919</v>
      </c>
      <c r="D1698" s="1" t="s">
        <v>18757</v>
      </c>
      <c r="E1698" s="1" t="s">
        <v>18758</v>
      </c>
      <c r="F1698" s="1">
        <v>182557.0</v>
      </c>
      <c r="G1698" s="1">
        <v>3498.0</v>
      </c>
      <c r="H1698" s="1">
        <v>48.0</v>
      </c>
      <c r="I1698" s="1">
        <v>3600000.0</v>
      </c>
      <c r="J1698" s="1" t="s">
        <v>2468</v>
      </c>
      <c r="K1698" s="5">
        <f t="shared" si="2"/>
        <v>0.05071027778</v>
      </c>
      <c r="L1698" s="6">
        <f t="shared" si="3"/>
        <v>462</v>
      </c>
      <c r="M1698" s="6">
        <f t="shared" si="4"/>
        <v>395.1450216</v>
      </c>
      <c r="N1698" s="7">
        <f t="shared" si="5"/>
        <v>0.000109762506</v>
      </c>
      <c r="O1698" s="7"/>
      <c r="P1698" s="4">
        <f t="shared" si="6"/>
        <v>-0.3722132469</v>
      </c>
      <c r="Q1698" s="4">
        <f t="shared" si="7"/>
        <v>6</v>
      </c>
      <c r="R1698" s="4">
        <f t="shared" si="8"/>
        <v>0</v>
      </c>
      <c r="S1698" s="4">
        <f t="shared" si="9"/>
        <v>-0.3722132469</v>
      </c>
      <c r="T1698" s="4">
        <f t="shared" si="10"/>
        <v>31</v>
      </c>
      <c r="U1698" s="4">
        <f t="shared" si="1"/>
        <v>-0.3722132469</v>
      </c>
      <c r="V1698" s="4"/>
    </row>
    <row r="1699">
      <c r="A1699" s="1" t="s">
        <v>18920</v>
      </c>
      <c r="B1699" s="1" t="s">
        <v>18921</v>
      </c>
      <c r="C1699" s="1" t="s">
        <v>18922</v>
      </c>
      <c r="D1699" s="1" t="s">
        <v>18757</v>
      </c>
      <c r="E1699" s="1" t="s">
        <v>18758</v>
      </c>
      <c r="F1699" s="1">
        <v>5552234.0</v>
      </c>
      <c r="G1699" s="1">
        <v>228026.0</v>
      </c>
      <c r="H1699" s="1">
        <v>1641.0</v>
      </c>
      <c r="I1699" s="1">
        <v>3600000.0</v>
      </c>
      <c r="J1699" s="1" t="s">
        <v>2468</v>
      </c>
      <c r="K1699" s="5">
        <f t="shared" si="2"/>
        <v>1.542287222</v>
      </c>
      <c r="L1699" s="6">
        <f t="shared" si="3"/>
        <v>468</v>
      </c>
      <c r="M1699" s="6">
        <f t="shared" si="4"/>
        <v>11863.74786</v>
      </c>
      <c r="N1699" s="7">
        <f t="shared" si="5"/>
        <v>0.003295485518</v>
      </c>
      <c r="O1699" s="7"/>
      <c r="P1699" s="4">
        <f t="shared" si="6"/>
        <v>1.87169353</v>
      </c>
      <c r="Q1699" s="4">
        <f t="shared" si="7"/>
        <v>9</v>
      </c>
      <c r="R1699" s="4">
        <f t="shared" si="8"/>
        <v>0</v>
      </c>
      <c r="S1699" s="4">
        <f t="shared" si="9"/>
        <v>1.87169353</v>
      </c>
      <c r="T1699" s="4">
        <f t="shared" si="10"/>
        <v>45</v>
      </c>
      <c r="U1699" s="4">
        <f t="shared" si="1"/>
        <v>1.87169353</v>
      </c>
      <c r="V1699" s="4"/>
    </row>
    <row r="1700">
      <c r="A1700" s="1" t="s">
        <v>18923</v>
      </c>
      <c r="B1700" s="1" t="s">
        <v>18924</v>
      </c>
      <c r="C1700" s="1" t="s">
        <v>18925</v>
      </c>
      <c r="D1700" s="1" t="s">
        <v>18757</v>
      </c>
      <c r="E1700" s="1" t="s">
        <v>18758</v>
      </c>
      <c r="F1700" s="1">
        <v>1239538.0</v>
      </c>
      <c r="G1700" s="1">
        <v>44745.0</v>
      </c>
      <c r="H1700" s="1">
        <v>2090.0</v>
      </c>
      <c r="I1700" s="1">
        <v>3600000.0</v>
      </c>
      <c r="J1700" s="1" t="s">
        <v>2468</v>
      </c>
      <c r="K1700" s="5">
        <f t="shared" si="2"/>
        <v>0.3443161111</v>
      </c>
      <c r="L1700" s="6">
        <f t="shared" si="3"/>
        <v>474</v>
      </c>
      <c r="M1700" s="6">
        <f t="shared" si="4"/>
        <v>2615.059072</v>
      </c>
      <c r="N1700" s="7">
        <f t="shared" si="5"/>
        <v>0.0007264052977</v>
      </c>
      <c r="O1700" s="7"/>
      <c r="P1700" s="4">
        <f t="shared" si="6"/>
        <v>0.06212738301</v>
      </c>
      <c r="Q1700" s="4">
        <f t="shared" si="7"/>
        <v>7</v>
      </c>
      <c r="R1700" s="4">
        <f t="shared" si="8"/>
        <v>0</v>
      </c>
      <c r="S1700" s="4">
        <f t="shared" si="9"/>
        <v>0.06212738301</v>
      </c>
      <c r="T1700" s="4">
        <f t="shared" si="10"/>
        <v>42</v>
      </c>
      <c r="U1700" s="4">
        <f t="shared" si="1"/>
        <v>0.06212738301</v>
      </c>
      <c r="V1700" s="4"/>
    </row>
    <row r="1701">
      <c r="A1701" s="1" t="s">
        <v>18926</v>
      </c>
      <c r="B1701" s="1" t="s">
        <v>18927</v>
      </c>
      <c r="C1701" s="1" t="s">
        <v>18928</v>
      </c>
      <c r="D1701" s="1" t="s">
        <v>18757</v>
      </c>
      <c r="E1701" s="1" t="s">
        <v>18758</v>
      </c>
      <c r="F1701" s="1">
        <v>400702.0</v>
      </c>
      <c r="G1701" s="1">
        <v>10856.0</v>
      </c>
      <c r="H1701" s="1">
        <v>141.0</v>
      </c>
      <c r="I1701" s="1">
        <v>3600000.0</v>
      </c>
      <c r="J1701" s="1" t="s">
        <v>2468</v>
      </c>
      <c r="K1701" s="5">
        <f t="shared" si="2"/>
        <v>0.1113061111</v>
      </c>
      <c r="L1701" s="6">
        <f t="shared" si="3"/>
        <v>482</v>
      </c>
      <c r="M1701" s="6">
        <f t="shared" si="4"/>
        <v>831.3319502</v>
      </c>
      <c r="N1701" s="7">
        <f t="shared" si="5"/>
        <v>0.0002309255417</v>
      </c>
      <c r="O1701" s="7"/>
      <c r="P1701" s="4">
        <f t="shared" si="6"/>
        <v>-0.2868704358</v>
      </c>
      <c r="Q1701" s="4">
        <f t="shared" si="7"/>
        <v>4</v>
      </c>
      <c r="R1701" s="4">
        <f t="shared" si="8"/>
        <v>0</v>
      </c>
      <c r="S1701" s="4">
        <f t="shared" si="9"/>
        <v>-0.2868704358</v>
      </c>
      <c r="T1701" s="4">
        <f t="shared" si="10"/>
        <v>28</v>
      </c>
      <c r="U1701" s="4">
        <f t="shared" si="1"/>
        <v>-0.2868704358</v>
      </c>
      <c r="V1701" s="4"/>
    </row>
    <row r="1702">
      <c r="A1702" s="1" t="s">
        <v>18929</v>
      </c>
      <c r="B1702" s="1" t="s">
        <v>18930</v>
      </c>
      <c r="C1702" s="1" t="s">
        <v>18931</v>
      </c>
      <c r="D1702" s="1" t="s">
        <v>18757</v>
      </c>
      <c r="E1702" s="1" t="s">
        <v>18758</v>
      </c>
      <c r="F1702" s="1">
        <v>1149727.0</v>
      </c>
      <c r="G1702" s="1">
        <v>41619.0</v>
      </c>
      <c r="H1702" s="1">
        <v>1796.0</v>
      </c>
      <c r="I1702" s="1">
        <v>3600000.0</v>
      </c>
      <c r="J1702" s="1" t="s">
        <v>2468</v>
      </c>
      <c r="K1702" s="5">
        <f t="shared" si="2"/>
        <v>0.3193686111</v>
      </c>
      <c r="L1702" s="6">
        <f t="shared" si="3"/>
        <v>491</v>
      </c>
      <c r="M1702" s="6">
        <f t="shared" si="4"/>
        <v>2341.602851</v>
      </c>
      <c r="N1702" s="7">
        <f t="shared" si="5"/>
        <v>0.0006504452365</v>
      </c>
      <c r="O1702" s="7"/>
      <c r="P1702" s="4">
        <f t="shared" si="6"/>
        <v>0.008623893984</v>
      </c>
      <c r="Q1702" s="4">
        <f t="shared" si="7"/>
        <v>9</v>
      </c>
      <c r="R1702" s="4">
        <f t="shared" si="8"/>
        <v>0</v>
      </c>
      <c r="S1702" s="4">
        <f t="shared" si="9"/>
        <v>0.008623893984</v>
      </c>
      <c r="T1702" s="4">
        <f t="shared" si="10"/>
        <v>39</v>
      </c>
      <c r="U1702" s="4">
        <f t="shared" si="1"/>
        <v>0.008623893984</v>
      </c>
      <c r="V1702" s="4"/>
    </row>
    <row r="1703">
      <c r="A1703" s="1" t="s">
        <v>18932</v>
      </c>
      <c r="B1703" s="1" t="s">
        <v>18933</v>
      </c>
      <c r="C1703" s="1" t="s">
        <v>18934</v>
      </c>
      <c r="D1703" s="1" t="s">
        <v>18757</v>
      </c>
      <c r="E1703" s="1" t="s">
        <v>18758</v>
      </c>
      <c r="F1703" s="1">
        <v>107425.0</v>
      </c>
      <c r="G1703" s="1">
        <v>3189.0</v>
      </c>
      <c r="H1703" s="1">
        <v>169.0</v>
      </c>
      <c r="I1703" s="1">
        <v>3600000.0</v>
      </c>
      <c r="J1703" s="1" t="s">
        <v>2468</v>
      </c>
      <c r="K1703" s="5">
        <f t="shared" si="2"/>
        <v>0.02984027778</v>
      </c>
      <c r="L1703" s="6">
        <f t="shared" si="3"/>
        <v>491</v>
      </c>
      <c r="M1703" s="6">
        <f t="shared" si="4"/>
        <v>218.7881874</v>
      </c>
      <c r="N1703" s="7">
        <f t="shared" si="5"/>
        <v>0.00006077449649</v>
      </c>
      <c r="O1703" s="7"/>
      <c r="P1703" s="4">
        <f t="shared" si="6"/>
        <v>-0.4067186091</v>
      </c>
      <c r="Q1703" s="4">
        <f t="shared" si="7"/>
        <v>13</v>
      </c>
      <c r="R1703" s="4">
        <f t="shared" si="8"/>
        <v>1</v>
      </c>
      <c r="S1703" s="4">
        <f t="shared" si="9"/>
        <v>-0.4067186091</v>
      </c>
      <c r="T1703" s="4">
        <f t="shared" si="10"/>
        <v>44</v>
      </c>
      <c r="U1703" s="4">
        <f t="shared" si="1"/>
        <v>-0.4067186091</v>
      </c>
      <c r="V1703" s="4"/>
    </row>
    <row r="1704">
      <c r="A1704" s="1" t="s">
        <v>18935</v>
      </c>
      <c r="B1704" s="1" t="s">
        <v>18936</v>
      </c>
      <c r="C1704" s="1" t="s">
        <v>18937</v>
      </c>
      <c r="D1704" s="1" t="s">
        <v>18757</v>
      </c>
      <c r="E1704" s="1" t="s">
        <v>18758</v>
      </c>
      <c r="F1704" s="1">
        <v>3163790.0</v>
      </c>
      <c r="G1704" s="1">
        <v>93286.0</v>
      </c>
      <c r="H1704" s="1">
        <v>1075.0</v>
      </c>
      <c r="I1704" s="1">
        <v>3600000.0</v>
      </c>
      <c r="J1704" s="1" t="s">
        <v>2468</v>
      </c>
      <c r="K1704" s="5">
        <f t="shared" si="2"/>
        <v>0.8788305556</v>
      </c>
      <c r="L1704" s="6">
        <f t="shared" si="3"/>
        <v>496</v>
      </c>
      <c r="M1704" s="6">
        <f t="shared" si="4"/>
        <v>6378.608871</v>
      </c>
      <c r="N1704" s="7">
        <f t="shared" si="5"/>
        <v>0.001771835797</v>
      </c>
      <c r="O1704" s="7"/>
      <c r="P1704" s="4">
        <f t="shared" si="6"/>
        <v>0.7984903923</v>
      </c>
      <c r="Q1704" s="4">
        <f t="shared" si="7"/>
        <v>9</v>
      </c>
      <c r="R1704" s="4">
        <f t="shared" si="8"/>
        <v>0</v>
      </c>
      <c r="S1704" s="4">
        <f t="shared" si="9"/>
        <v>0.7984903923</v>
      </c>
      <c r="T1704" s="4">
        <f t="shared" si="10"/>
        <v>35</v>
      </c>
      <c r="U1704" s="4">
        <f t="shared" si="1"/>
        <v>0.7984903923</v>
      </c>
      <c r="V1704" s="4"/>
    </row>
    <row r="1705">
      <c r="A1705" s="1" t="s">
        <v>18938</v>
      </c>
      <c r="B1705" s="1" t="s">
        <v>18939</v>
      </c>
      <c r="C1705" s="1" t="s">
        <v>18940</v>
      </c>
      <c r="D1705" s="1" t="s">
        <v>18757</v>
      </c>
      <c r="E1705" s="1" t="s">
        <v>18758</v>
      </c>
      <c r="F1705" s="1">
        <v>1791994.0</v>
      </c>
      <c r="G1705" s="1">
        <v>49061.0</v>
      </c>
      <c r="H1705" s="1">
        <v>10979.0</v>
      </c>
      <c r="I1705" s="1">
        <v>3600000.0</v>
      </c>
      <c r="J1705" s="1" t="s">
        <v>2468</v>
      </c>
      <c r="K1705" s="5">
        <f t="shared" si="2"/>
        <v>0.4977761111</v>
      </c>
      <c r="L1705" s="6">
        <f t="shared" si="3"/>
        <v>511</v>
      </c>
      <c r="M1705" s="6">
        <f t="shared" si="4"/>
        <v>3506.837573</v>
      </c>
      <c r="N1705" s="7">
        <f t="shared" si="5"/>
        <v>0.0009741215482</v>
      </c>
      <c r="O1705" s="7"/>
      <c r="P1705" s="4">
        <f t="shared" si="6"/>
        <v>0.2366096501</v>
      </c>
      <c r="Q1705" s="4">
        <f t="shared" si="7"/>
        <v>9</v>
      </c>
      <c r="R1705" s="4">
        <f t="shared" si="8"/>
        <v>0</v>
      </c>
      <c r="S1705" s="4">
        <f t="shared" si="9"/>
        <v>0.2366096501</v>
      </c>
      <c r="T1705" s="4">
        <f t="shared" si="10"/>
        <v>38</v>
      </c>
      <c r="U1705" s="4">
        <f t="shared" si="1"/>
        <v>0.2366096501</v>
      </c>
      <c r="V1705" s="4"/>
    </row>
    <row r="1706">
      <c r="A1706" s="1" t="s">
        <v>18941</v>
      </c>
      <c r="B1706" s="1" t="s">
        <v>18942</v>
      </c>
      <c r="C1706" s="1" t="s">
        <v>18943</v>
      </c>
      <c r="D1706" s="1" t="s">
        <v>18757</v>
      </c>
      <c r="E1706" s="1" t="s">
        <v>18758</v>
      </c>
      <c r="F1706" s="1">
        <v>592041.0</v>
      </c>
      <c r="G1706" s="1">
        <v>23039.0</v>
      </c>
      <c r="H1706" s="1">
        <v>2082.0</v>
      </c>
      <c r="I1706" s="1">
        <v>3600000.0</v>
      </c>
      <c r="J1706" s="1" t="s">
        <v>2468</v>
      </c>
      <c r="K1706" s="5">
        <f t="shared" si="2"/>
        <v>0.1644558333</v>
      </c>
      <c r="L1706" s="6">
        <f t="shared" si="3"/>
        <v>521</v>
      </c>
      <c r="M1706" s="6">
        <f t="shared" si="4"/>
        <v>1136.355086</v>
      </c>
      <c r="N1706" s="7">
        <f t="shared" si="5"/>
        <v>0.0003156541907</v>
      </c>
      <c r="O1706" s="7"/>
      <c r="P1706" s="4">
        <f t="shared" si="6"/>
        <v>-0.2271906743</v>
      </c>
      <c r="Q1706" s="4">
        <f t="shared" si="7"/>
        <v>6</v>
      </c>
      <c r="R1706" s="4">
        <f t="shared" si="8"/>
        <v>0</v>
      </c>
      <c r="S1706" s="4">
        <f t="shared" si="9"/>
        <v>-0.2271906743</v>
      </c>
      <c r="T1706" s="4">
        <f t="shared" si="10"/>
        <v>32</v>
      </c>
      <c r="U1706" s="4">
        <f t="shared" si="1"/>
        <v>-0.2271906743</v>
      </c>
      <c r="V1706" s="4"/>
    </row>
    <row r="1707">
      <c r="A1707" s="1" t="s">
        <v>18944</v>
      </c>
      <c r="B1707" s="1" t="s">
        <v>18945</v>
      </c>
      <c r="C1707" s="1" t="s">
        <v>18946</v>
      </c>
      <c r="D1707" s="1" t="s">
        <v>18757</v>
      </c>
      <c r="E1707" s="1" t="s">
        <v>18758</v>
      </c>
      <c r="F1707" s="1">
        <v>659997.0</v>
      </c>
      <c r="G1707" s="1">
        <v>25131.0</v>
      </c>
      <c r="H1707" s="1">
        <v>2373.0</v>
      </c>
      <c r="I1707" s="1">
        <v>3600000.0</v>
      </c>
      <c r="J1707" s="1" t="s">
        <v>2468</v>
      </c>
      <c r="K1707" s="5">
        <f t="shared" si="2"/>
        <v>0.1833325</v>
      </c>
      <c r="L1707" s="6">
        <f t="shared" si="3"/>
        <v>541</v>
      </c>
      <c r="M1707" s="6">
        <f t="shared" si="4"/>
        <v>1219.957486</v>
      </c>
      <c r="N1707" s="7">
        <f t="shared" si="5"/>
        <v>0.0003388770795</v>
      </c>
      <c r="O1707" s="7"/>
      <c r="P1707" s="4">
        <f t="shared" si="6"/>
        <v>-0.2108333208</v>
      </c>
      <c r="Q1707" s="4">
        <f t="shared" si="7"/>
        <v>4</v>
      </c>
      <c r="R1707" s="4">
        <f t="shared" si="8"/>
        <v>0</v>
      </c>
      <c r="S1707" s="4">
        <f t="shared" si="9"/>
        <v>-0.2108333208</v>
      </c>
      <c r="T1707" s="4">
        <f t="shared" si="10"/>
        <v>19</v>
      </c>
      <c r="U1707" s="4">
        <f t="shared" si="1"/>
        <v>-0.2108333208</v>
      </c>
      <c r="V1707" s="4"/>
    </row>
    <row r="1708">
      <c r="A1708" s="1" t="s">
        <v>18947</v>
      </c>
      <c r="B1708" s="1" t="s">
        <v>18948</v>
      </c>
      <c r="C1708" s="1" t="s">
        <v>18949</v>
      </c>
      <c r="D1708" s="1" t="s">
        <v>18757</v>
      </c>
      <c r="E1708" s="1" t="s">
        <v>18758</v>
      </c>
      <c r="F1708" s="1">
        <v>4724777.0</v>
      </c>
      <c r="G1708" s="1">
        <v>247564.0</v>
      </c>
      <c r="H1708" s="1">
        <v>1071.0</v>
      </c>
      <c r="I1708" s="1">
        <v>3600000.0</v>
      </c>
      <c r="J1708" s="1" t="s">
        <v>2468</v>
      </c>
      <c r="K1708" s="5">
        <f t="shared" si="2"/>
        <v>1.312438056</v>
      </c>
      <c r="L1708" s="6">
        <f t="shared" si="3"/>
        <v>552</v>
      </c>
      <c r="M1708" s="6">
        <f t="shared" si="4"/>
        <v>8559.378623</v>
      </c>
      <c r="N1708" s="7">
        <f t="shared" si="5"/>
        <v>0.002377605173</v>
      </c>
      <c r="O1708" s="7"/>
      <c r="P1708" s="4">
        <f t="shared" si="6"/>
        <v>1.225172186</v>
      </c>
      <c r="Q1708" s="4">
        <f t="shared" si="7"/>
        <v>6</v>
      </c>
      <c r="R1708" s="4">
        <f t="shared" si="8"/>
        <v>0</v>
      </c>
      <c r="S1708" s="4">
        <f t="shared" si="9"/>
        <v>1.225172186</v>
      </c>
      <c r="T1708" s="4">
        <f t="shared" si="10"/>
        <v>31</v>
      </c>
      <c r="U1708" s="4">
        <f t="shared" si="1"/>
        <v>1.225172186</v>
      </c>
      <c r="V1708" s="4"/>
    </row>
    <row r="1709">
      <c r="A1709" s="1" t="s">
        <v>18950</v>
      </c>
      <c r="B1709" s="1" t="s">
        <v>18951</v>
      </c>
      <c r="C1709" s="1" t="s">
        <v>18952</v>
      </c>
      <c r="D1709" s="1" t="s">
        <v>18757</v>
      </c>
      <c r="E1709" s="1" t="s">
        <v>18758</v>
      </c>
      <c r="F1709" s="1">
        <v>6569747.0</v>
      </c>
      <c r="G1709" s="1">
        <v>192231.0</v>
      </c>
      <c r="H1709" s="1">
        <v>1163.0</v>
      </c>
      <c r="I1709" s="1">
        <v>3600000.0</v>
      </c>
      <c r="J1709" s="1" t="s">
        <v>2468</v>
      </c>
      <c r="K1709" s="5">
        <f t="shared" si="2"/>
        <v>1.824929722</v>
      </c>
      <c r="L1709" s="6">
        <f t="shared" si="3"/>
        <v>559</v>
      </c>
      <c r="M1709" s="6">
        <f t="shared" si="4"/>
        <v>11752.678</v>
      </c>
      <c r="N1709" s="7">
        <f t="shared" si="5"/>
        <v>0.003264632777</v>
      </c>
      <c r="O1709" s="7"/>
      <c r="P1709" s="4">
        <f t="shared" si="6"/>
        <v>1.849961988</v>
      </c>
      <c r="Q1709" s="4">
        <f t="shared" si="7"/>
        <v>7</v>
      </c>
      <c r="R1709" s="4">
        <f t="shared" si="8"/>
        <v>0</v>
      </c>
      <c r="S1709" s="4">
        <f t="shared" si="9"/>
        <v>1.849961988</v>
      </c>
      <c r="T1709" s="4">
        <f t="shared" si="10"/>
        <v>41</v>
      </c>
      <c r="U1709" s="4">
        <f t="shared" si="1"/>
        <v>1.849961988</v>
      </c>
      <c r="V1709" s="4"/>
    </row>
    <row r="1710">
      <c r="A1710" s="1" t="s">
        <v>18953</v>
      </c>
      <c r="B1710" s="1" t="s">
        <v>18954</v>
      </c>
      <c r="C1710" s="1" t="s">
        <v>18955</v>
      </c>
      <c r="D1710" s="1" t="s">
        <v>18757</v>
      </c>
      <c r="E1710" s="1" t="s">
        <v>18758</v>
      </c>
      <c r="F1710" s="1">
        <v>2202791.0</v>
      </c>
      <c r="G1710" s="1">
        <v>125541.0</v>
      </c>
      <c r="H1710" s="1">
        <v>904.0</v>
      </c>
      <c r="I1710" s="1">
        <v>3600000.0</v>
      </c>
      <c r="J1710" s="1" t="s">
        <v>2468</v>
      </c>
      <c r="K1710" s="5">
        <f t="shared" si="2"/>
        <v>0.6118863889</v>
      </c>
      <c r="L1710" s="6">
        <f t="shared" si="3"/>
        <v>566</v>
      </c>
      <c r="M1710" s="6">
        <f t="shared" si="4"/>
        <v>3891.85689</v>
      </c>
      <c r="N1710" s="7">
        <f t="shared" si="5"/>
        <v>0.001081071358</v>
      </c>
      <c r="O1710" s="7"/>
      <c r="P1710" s="4">
        <f t="shared" si="6"/>
        <v>0.3119411849</v>
      </c>
      <c r="Q1710" s="4">
        <f t="shared" si="7"/>
        <v>11</v>
      </c>
      <c r="R1710" s="4">
        <f t="shared" si="8"/>
        <v>0</v>
      </c>
      <c r="S1710" s="4">
        <f t="shared" si="9"/>
        <v>0.3119411849</v>
      </c>
      <c r="T1710" s="4">
        <f t="shared" si="10"/>
        <v>47</v>
      </c>
      <c r="U1710" s="4">
        <f t="shared" si="1"/>
        <v>0.3119411849</v>
      </c>
      <c r="V1710" s="4"/>
    </row>
    <row r="1711">
      <c r="A1711" s="1" t="s">
        <v>18956</v>
      </c>
      <c r="B1711" s="1" t="s">
        <v>18957</v>
      </c>
      <c r="C1711" s="1" t="s">
        <v>18958</v>
      </c>
      <c r="D1711" s="1" t="s">
        <v>18757</v>
      </c>
      <c r="E1711" s="1" t="s">
        <v>18758</v>
      </c>
      <c r="F1711" s="1">
        <v>1364412.0</v>
      </c>
      <c r="G1711" s="1">
        <v>49403.0</v>
      </c>
      <c r="H1711" s="1">
        <v>6091.0</v>
      </c>
      <c r="I1711" s="1">
        <v>3600000.0</v>
      </c>
      <c r="J1711" s="1" t="s">
        <v>2468</v>
      </c>
      <c r="K1711" s="5">
        <f t="shared" si="2"/>
        <v>0.3790033333</v>
      </c>
      <c r="L1711" s="6">
        <f t="shared" si="3"/>
        <v>588</v>
      </c>
      <c r="M1711" s="6">
        <f t="shared" si="4"/>
        <v>2320.428571</v>
      </c>
      <c r="N1711" s="7">
        <f t="shared" si="5"/>
        <v>0.0006445634921</v>
      </c>
      <c r="O1711" s="7"/>
      <c r="P1711" s="4">
        <f t="shared" si="6"/>
        <v>0.004481008332</v>
      </c>
      <c r="Q1711" s="4">
        <f t="shared" si="7"/>
        <v>3</v>
      </c>
      <c r="R1711" s="4">
        <f t="shared" si="8"/>
        <v>0</v>
      </c>
      <c r="S1711" s="4">
        <f t="shared" si="9"/>
        <v>0.004481008332</v>
      </c>
      <c r="T1711" s="4">
        <f t="shared" si="10"/>
        <v>14</v>
      </c>
      <c r="U1711" s="4">
        <f t="shared" si="1"/>
        <v>0.004481008332</v>
      </c>
      <c r="V1711" s="4"/>
    </row>
    <row r="1712">
      <c r="A1712" s="1" t="s">
        <v>18959</v>
      </c>
      <c r="B1712" s="1" t="s">
        <v>18960</v>
      </c>
      <c r="C1712" s="1" t="s">
        <v>18961</v>
      </c>
      <c r="D1712" s="1" t="s">
        <v>18757</v>
      </c>
      <c r="E1712" s="1" t="s">
        <v>18758</v>
      </c>
      <c r="F1712" s="1">
        <v>2032282.0</v>
      </c>
      <c r="G1712" s="1">
        <v>102844.0</v>
      </c>
      <c r="H1712" s="1">
        <v>512.0</v>
      </c>
      <c r="I1712" s="1">
        <v>3600000.0</v>
      </c>
      <c r="J1712" s="1" t="s">
        <v>2468</v>
      </c>
      <c r="K1712" s="5">
        <f t="shared" si="2"/>
        <v>0.5645227778</v>
      </c>
      <c r="L1712" s="6">
        <f t="shared" si="3"/>
        <v>615</v>
      </c>
      <c r="M1712" s="6">
        <f t="shared" si="4"/>
        <v>3304.523577</v>
      </c>
      <c r="N1712" s="7">
        <f t="shared" si="5"/>
        <v>0.0009179232159</v>
      </c>
      <c r="O1712" s="7"/>
      <c r="P1712" s="4">
        <f t="shared" si="6"/>
        <v>0.1970256002</v>
      </c>
      <c r="Q1712" s="4">
        <f t="shared" si="7"/>
        <v>9</v>
      </c>
      <c r="R1712" s="4">
        <f t="shared" si="8"/>
        <v>0</v>
      </c>
      <c r="S1712" s="4">
        <f t="shared" si="9"/>
        <v>0.1970256002</v>
      </c>
      <c r="T1712" s="4">
        <f t="shared" si="10"/>
        <v>31</v>
      </c>
      <c r="U1712" s="4">
        <f t="shared" si="1"/>
        <v>0.1970256002</v>
      </c>
      <c r="V1712" s="4"/>
    </row>
    <row r="1713">
      <c r="A1713" s="1" t="s">
        <v>18962</v>
      </c>
      <c r="B1713" s="1" t="s">
        <v>18963</v>
      </c>
      <c r="C1713" s="1" t="s">
        <v>18964</v>
      </c>
      <c r="D1713" s="1" t="s">
        <v>18757</v>
      </c>
      <c r="E1713" s="1" t="s">
        <v>18758</v>
      </c>
      <c r="F1713" s="1">
        <v>2011086.0</v>
      </c>
      <c r="G1713" s="1">
        <v>85282.0</v>
      </c>
      <c r="H1713" s="1">
        <v>821.0</v>
      </c>
      <c r="I1713" s="1">
        <v>3600000.0</v>
      </c>
      <c r="J1713" s="1" t="s">
        <v>2468</v>
      </c>
      <c r="K1713" s="5">
        <f t="shared" si="2"/>
        <v>0.558635</v>
      </c>
      <c r="L1713" s="6">
        <f t="shared" si="3"/>
        <v>622</v>
      </c>
      <c r="M1713" s="6">
        <f t="shared" si="4"/>
        <v>3233.257235</v>
      </c>
      <c r="N1713" s="7">
        <f t="shared" si="5"/>
        <v>0.0008981270096</v>
      </c>
      <c r="O1713" s="7"/>
      <c r="P1713" s="4">
        <f t="shared" si="6"/>
        <v>0.1830818765</v>
      </c>
      <c r="Q1713" s="4">
        <f t="shared" si="7"/>
        <v>6</v>
      </c>
      <c r="R1713" s="4">
        <f t="shared" si="8"/>
        <v>0</v>
      </c>
      <c r="S1713" s="4">
        <f t="shared" si="9"/>
        <v>0.1830818765</v>
      </c>
      <c r="T1713" s="4">
        <f t="shared" si="10"/>
        <v>18</v>
      </c>
      <c r="U1713" s="4">
        <f t="shared" si="1"/>
        <v>0.1830818765</v>
      </c>
      <c r="V1713" s="4"/>
    </row>
    <row r="1714">
      <c r="A1714" s="1" t="s">
        <v>18965</v>
      </c>
      <c r="B1714" s="1" t="s">
        <v>18966</v>
      </c>
      <c r="C1714" s="1" t="s">
        <v>18967</v>
      </c>
      <c r="D1714" s="1" t="s">
        <v>18757</v>
      </c>
      <c r="E1714" s="1" t="s">
        <v>18758</v>
      </c>
      <c r="F1714" s="1">
        <v>1717532.0</v>
      </c>
      <c r="G1714" s="1">
        <v>111256.0</v>
      </c>
      <c r="H1714" s="1">
        <v>514.0</v>
      </c>
      <c r="I1714" s="1">
        <v>3600000.0</v>
      </c>
      <c r="J1714" s="1" t="s">
        <v>2468</v>
      </c>
      <c r="K1714" s="5">
        <f t="shared" si="2"/>
        <v>0.4770922222</v>
      </c>
      <c r="L1714" s="6">
        <f t="shared" si="3"/>
        <v>629</v>
      </c>
      <c r="M1714" s="6">
        <f t="shared" si="4"/>
        <v>2730.575517</v>
      </c>
      <c r="N1714" s="7">
        <f t="shared" si="5"/>
        <v>0.0007584931991</v>
      </c>
      <c r="O1714" s="7"/>
      <c r="P1714" s="4">
        <f t="shared" si="6"/>
        <v>0.08472892718</v>
      </c>
      <c r="Q1714" s="4">
        <f t="shared" si="7"/>
        <v>6</v>
      </c>
      <c r="R1714" s="4">
        <f t="shared" si="8"/>
        <v>1</v>
      </c>
      <c r="S1714" s="4">
        <f t="shared" si="9"/>
        <v>0.08472892718</v>
      </c>
      <c r="T1714" s="4">
        <f t="shared" si="10"/>
        <v>21</v>
      </c>
      <c r="U1714" s="4">
        <f t="shared" si="1"/>
        <v>0.08472892718</v>
      </c>
      <c r="V1714" s="4"/>
    </row>
    <row r="1715">
      <c r="A1715" s="1" t="s">
        <v>18968</v>
      </c>
      <c r="B1715" s="1" t="s">
        <v>18969</v>
      </c>
      <c r="C1715" s="1" t="s">
        <v>18970</v>
      </c>
      <c r="D1715" s="1" t="s">
        <v>18757</v>
      </c>
      <c r="E1715" s="1" t="s">
        <v>18758</v>
      </c>
      <c r="F1715" s="1">
        <v>6799297.0</v>
      </c>
      <c r="G1715" s="1">
        <v>530624.0</v>
      </c>
      <c r="H1715" s="1">
        <v>5885.0</v>
      </c>
      <c r="I1715" s="1">
        <v>3600000.0</v>
      </c>
      <c r="J1715" s="1" t="s">
        <v>2468</v>
      </c>
      <c r="K1715" s="5">
        <f t="shared" si="2"/>
        <v>1.888693611</v>
      </c>
      <c r="L1715" s="6">
        <f t="shared" si="3"/>
        <v>630</v>
      </c>
      <c r="M1715" s="6">
        <f t="shared" si="4"/>
        <v>10792.53492</v>
      </c>
      <c r="N1715" s="7">
        <f t="shared" si="5"/>
        <v>0.002997926367</v>
      </c>
      <c r="O1715" s="7"/>
      <c r="P1715" s="4">
        <f t="shared" si="6"/>
        <v>1.662103747</v>
      </c>
      <c r="Q1715" s="4">
        <f t="shared" si="7"/>
        <v>4</v>
      </c>
      <c r="R1715" s="4">
        <f t="shared" si="8"/>
        <v>0</v>
      </c>
      <c r="S1715" s="4">
        <f t="shared" si="9"/>
        <v>1.662103747</v>
      </c>
      <c r="T1715" s="4">
        <f t="shared" si="10"/>
        <v>27</v>
      </c>
      <c r="U1715" s="4">
        <f t="shared" si="1"/>
        <v>1.662103747</v>
      </c>
      <c r="V1715" s="4"/>
    </row>
    <row r="1716">
      <c r="A1716" s="1" t="s">
        <v>18971</v>
      </c>
      <c r="B1716" s="1" t="s">
        <v>18972</v>
      </c>
      <c r="C1716" s="1" t="s">
        <v>18973</v>
      </c>
      <c r="D1716" s="1" t="s">
        <v>18757</v>
      </c>
      <c r="E1716" s="1" t="s">
        <v>18758</v>
      </c>
      <c r="F1716" s="1">
        <v>9888902.0</v>
      </c>
      <c r="G1716" s="1">
        <v>387525.0</v>
      </c>
      <c r="H1716" s="1">
        <v>3658.0</v>
      </c>
      <c r="I1716" s="1">
        <v>3600000.0</v>
      </c>
      <c r="J1716" s="1" t="s">
        <v>2468</v>
      </c>
      <c r="K1716" s="5">
        <f t="shared" si="2"/>
        <v>2.746917222</v>
      </c>
      <c r="L1716" s="6">
        <f t="shared" si="3"/>
        <v>632</v>
      </c>
      <c r="M1716" s="6">
        <f t="shared" si="4"/>
        <v>15646.99684</v>
      </c>
      <c r="N1716" s="7">
        <f t="shared" si="5"/>
        <v>0.00434638801</v>
      </c>
      <c r="O1716" s="7"/>
      <c r="P1716" s="4">
        <f t="shared" si="6"/>
        <v>2.611910811</v>
      </c>
      <c r="Q1716" s="4">
        <f t="shared" si="7"/>
        <v>7</v>
      </c>
      <c r="R1716" s="4">
        <f t="shared" si="8"/>
        <v>0</v>
      </c>
      <c r="S1716" s="4">
        <f t="shared" si="9"/>
        <v>2.611910811</v>
      </c>
      <c r="T1716" s="4">
        <f t="shared" si="10"/>
        <v>39</v>
      </c>
      <c r="U1716" s="4">
        <f t="shared" si="1"/>
        <v>2.611910811</v>
      </c>
      <c r="V1716" s="4"/>
    </row>
    <row r="1717">
      <c r="A1717" s="1" t="s">
        <v>18974</v>
      </c>
      <c r="B1717" s="1" t="s">
        <v>18975</v>
      </c>
      <c r="C1717" s="1" t="s">
        <v>18976</v>
      </c>
      <c r="D1717" s="1" t="s">
        <v>18757</v>
      </c>
      <c r="E1717" s="1" t="s">
        <v>18758</v>
      </c>
      <c r="F1717" s="1">
        <v>2275209.0</v>
      </c>
      <c r="G1717" s="1">
        <v>60369.0</v>
      </c>
      <c r="H1717" s="1">
        <v>2894.0</v>
      </c>
      <c r="I1717" s="1">
        <v>3600000.0</v>
      </c>
      <c r="J1717" s="1" t="s">
        <v>2468</v>
      </c>
      <c r="K1717" s="5">
        <f t="shared" si="2"/>
        <v>0.6320025</v>
      </c>
      <c r="L1717" s="6">
        <f t="shared" si="3"/>
        <v>642</v>
      </c>
      <c r="M1717" s="6">
        <f t="shared" si="4"/>
        <v>3543.939252</v>
      </c>
      <c r="N1717" s="7">
        <f t="shared" si="5"/>
        <v>0.0009844275701</v>
      </c>
      <c r="O1717" s="7"/>
      <c r="P1717" s="4">
        <f t="shared" si="6"/>
        <v>0.243868835</v>
      </c>
      <c r="Q1717" s="4">
        <f t="shared" si="7"/>
        <v>5</v>
      </c>
      <c r="R1717" s="4">
        <f t="shared" si="8"/>
        <v>0</v>
      </c>
      <c r="S1717" s="4">
        <f t="shared" si="9"/>
        <v>0.243868835</v>
      </c>
      <c r="T1717" s="4">
        <f t="shared" si="10"/>
        <v>28</v>
      </c>
      <c r="U1717" s="4">
        <f t="shared" si="1"/>
        <v>0.243868835</v>
      </c>
      <c r="V1717" s="4"/>
    </row>
    <row r="1718">
      <c r="A1718" s="1" t="s">
        <v>18977</v>
      </c>
      <c r="B1718" s="1" t="s">
        <v>18978</v>
      </c>
      <c r="C1718" s="1" t="s">
        <v>18979</v>
      </c>
      <c r="D1718" s="1" t="s">
        <v>18757</v>
      </c>
      <c r="E1718" s="1" t="s">
        <v>18758</v>
      </c>
      <c r="F1718" s="1">
        <v>4930592.0</v>
      </c>
      <c r="G1718" s="1">
        <v>298011.0</v>
      </c>
      <c r="H1718" s="1">
        <v>934.0</v>
      </c>
      <c r="I1718" s="1">
        <v>3600000.0</v>
      </c>
      <c r="J1718" s="1" t="s">
        <v>2468</v>
      </c>
      <c r="K1718" s="5">
        <f t="shared" si="2"/>
        <v>1.369608889</v>
      </c>
      <c r="L1718" s="6">
        <f t="shared" si="3"/>
        <v>687</v>
      </c>
      <c r="M1718" s="6">
        <f t="shared" si="4"/>
        <v>7176.989811</v>
      </c>
      <c r="N1718" s="7">
        <f t="shared" si="5"/>
        <v>0.001993608281</v>
      </c>
      <c r="O1718" s="7"/>
      <c r="P1718" s="4">
        <f t="shared" si="6"/>
        <v>0.9546988186</v>
      </c>
      <c r="Q1718" s="4">
        <f t="shared" si="7"/>
        <v>15</v>
      </c>
      <c r="R1718" s="4">
        <f t="shared" si="8"/>
        <v>0</v>
      </c>
      <c r="S1718" s="4">
        <f t="shared" si="9"/>
        <v>0.9546988186</v>
      </c>
      <c r="T1718" s="4">
        <f t="shared" si="10"/>
        <v>62</v>
      </c>
      <c r="U1718" s="4">
        <f t="shared" si="1"/>
        <v>0.9546988186</v>
      </c>
      <c r="V1718" s="4"/>
    </row>
    <row r="1719">
      <c r="A1719" s="1" t="s">
        <v>18980</v>
      </c>
      <c r="B1719" s="1" t="s">
        <v>18894</v>
      </c>
      <c r="C1719" s="1" t="s">
        <v>18981</v>
      </c>
      <c r="D1719" s="1" t="s">
        <v>18757</v>
      </c>
      <c r="E1719" s="1" t="s">
        <v>18758</v>
      </c>
      <c r="F1719" s="1">
        <v>787641.0</v>
      </c>
      <c r="G1719" s="1">
        <v>45431.0</v>
      </c>
      <c r="H1719" s="1">
        <v>310.0</v>
      </c>
      <c r="I1719" s="1">
        <v>3600000.0</v>
      </c>
      <c r="J1719" s="1" t="s">
        <v>2468</v>
      </c>
      <c r="K1719" s="5">
        <f t="shared" si="2"/>
        <v>0.2187891667</v>
      </c>
      <c r="L1719" s="6">
        <f t="shared" si="3"/>
        <v>690</v>
      </c>
      <c r="M1719" s="6">
        <f t="shared" si="4"/>
        <v>1141.508696</v>
      </c>
      <c r="N1719" s="7">
        <f t="shared" si="5"/>
        <v>0.0003170857488</v>
      </c>
      <c r="O1719" s="7"/>
      <c r="P1719" s="4">
        <f t="shared" si="6"/>
        <v>-0.2261823371</v>
      </c>
      <c r="Q1719" s="4">
        <f t="shared" si="7"/>
        <v>6</v>
      </c>
      <c r="R1719" s="4">
        <f t="shared" si="8"/>
        <v>0</v>
      </c>
      <c r="S1719" s="4">
        <f t="shared" si="9"/>
        <v>-0.2261823371</v>
      </c>
      <c r="T1719" s="4">
        <f t="shared" si="10"/>
        <v>35</v>
      </c>
      <c r="U1719" s="4">
        <f t="shared" si="1"/>
        <v>-0.2261823371</v>
      </c>
      <c r="V1719" s="4"/>
    </row>
    <row r="1720">
      <c r="A1720" s="1" t="s">
        <v>18982</v>
      </c>
      <c r="B1720" s="1" t="s">
        <v>18983</v>
      </c>
      <c r="C1720" s="1" t="s">
        <v>18984</v>
      </c>
      <c r="D1720" s="1" t="s">
        <v>18757</v>
      </c>
      <c r="E1720" s="1" t="s">
        <v>18758</v>
      </c>
      <c r="F1720" s="1">
        <v>3381937.0</v>
      </c>
      <c r="G1720" s="1">
        <v>231392.0</v>
      </c>
      <c r="H1720" s="1">
        <v>1745.0</v>
      </c>
      <c r="I1720" s="1">
        <v>3600000.0</v>
      </c>
      <c r="J1720" s="1" t="s">
        <v>2468</v>
      </c>
      <c r="K1720" s="5">
        <f t="shared" si="2"/>
        <v>0.9394269444</v>
      </c>
      <c r="L1720" s="6">
        <f t="shared" si="3"/>
        <v>696</v>
      </c>
      <c r="M1720" s="6">
        <f t="shared" si="4"/>
        <v>4859.104885</v>
      </c>
      <c r="N1720" s="7">
        <f t="shared" si="5"/>
        <v>0.001349751357</v>
      </c>
      <c r="O1720" s="7"/>
      <c r="P1720" s="4">
        <f t="shared" si="6"/>
        <v>0.5011895494</v>
      </c>
      <c r="Q1720" s="4">
        <f t="shared" si="7"/>
        <v>12</v>
      </c>
      <c r="R1720" s="4">
        <f t="shared" si="8"/>
        <v>0</v>
      </c>
      <c r="S1720" s="4">
        <f t="shared" si="9"/>
        <v>0.5011895494</v>
      </c>
      <c r="T1720" s="4">
        <f t="shared" si="10"/>
        <v>59</v>
      </c>
      <c r="U1720" s="4">
        <f t="shared" si="1"/>
        <v>0.5011895494</v>
      </c>
      <c r="V1720" s="4"/>
    </row>
    <row r="1721">
      <c r="A1721" s="1" t="s">
        <v>18985</v>
      </c>
      <c r="B1721" s="1" t="s">
        <v>18986</v>
      </c>
      <c r="C1721" s="1" t="s">
        <v>18987</v>
      </c>
      <c r="D1721" s="1" t="s">
        <v>18757</v>
      </c>
      <c r="E1721" s="1" t="s">
        <v>18758</v>
      </c>
      <c r="F1721" s="1">
        <v>1092714.0</v>
      </c>
      <c r="G1721" s="1">
        <v>69613.0</v>
      </c>
      <c r="H1721" s="1">
        <v>352.0</v>
      </c>
      <c r="I1721" s="1">
        <v>3600000.0</v>
      </c>
      <c r="J1721" s="1" t="s">
        <v>2468</v>
      </c>
      <c r="K1721" s="5">
        <f t="shared" si="2"/>
        <v>0.3035316667</v>
      </c>
      <c r="L1721" s="6">
        <f t="shared" si="3"/>
        <v>697</v>
      </c>
      <c r="M1721" s="6">
        <f t="shared" si="4"/>
        <v>1567.738881</v>
      </c>
      <c r="N1721" s="7">
        <f t="shared" si="5"/>
        <v>0.0004354830225</v>
      </c>
      <c r="O1721" s="7"/>
      <c r="P1721" s="4">
        <f t="shared" si="6"/>
        <v>-0.1427876277</v>
      </c>
      <c r="Q1721" s="4">
        <f t="shared" si="7"/>
        <v>8</v>
      </c>
      <c r="R1721" s="4">
        <f t="shared" si="8"/>
        <v>0</v>
      </c>
      <c r="S1721" s="4">
        <f t="shared" si="9"/>
        <v>-0.1427876277</v>
      </c>
      <c r="T1721" s="4">
        <f t="shared" si="10"/>
        <v>51</v>
      </c>
      <c r="U1721" s="4">
        <f t="shared" si="1"/>
        <v>-0.1427876277</v>
      </c>
      <c r="V1721" s="4"/>
    </row>
    <row r="1722">
      <c r="A1722" s="1" t="s">
        <v>18988</v>
      </c>
      <c r="B1722" s="1" t="s">
        <v>18989</v>
      </c>
      <c r="C1722" s="1" t="s">
        <v>18990</v>
      </c>
      <c r="D1722" s="1" t="s">
        <v>18757</v>
      </c>
      <c r="E1722" s="1" t="s">
        <v>18758</v>
      </c>
      <c r="F1722" s="1">
        <v>458874.0</v>
      </c>
      <c r="G1722" s="1">
        <v>31031.0</v>
      </c>
      <c r="H1722" s="1">
        <v>450.0</v>
      </c>
      <c r="I1722" s="1">
        <v>3600000.0</v>
      </c>
      <c r="J1722" s="1" t="s">
        <v>2468</v>
      </c>
      <c r="K1722" s="5">
        <f t="shared" si="2"/>
        <v>0.127465</v>
      </c>
      <c r="L1722" s="6">
        <f t="shared" si="3"/>
        <v>702</v>
      </c>
      <c r="M1722" s="6">
        <f t="shared" si="4"/>
        <v>653.6666667</v>
      </c>
      <c r="N1722" s="7">
        <f t="shared" si="5"/>
        <v>0.0001815740741</v>
      </c>
      <c r="O1722" s="7"/>
      <c r="P1722" s="4">
        <f t="shared" si="6"/>
        <v>-0.3216318047</v>
      </c>
      <c r="Q1722" s="4">
        <f t="shared" si="7"/>
        <v>5</v>
      </c>
      <c r="R1722" s="4">
        <f t="shared" si="8"/>
        <v>0</v>
      </c>
      <c r="S1722" s="4">
        <f t="shared" si="9"/>
        <v>-0.3216318047</v>
      </c>
      <c r="T1722" s="4">
        <f t="shared" si="10"/>
        <v>33</v>
      </c>
      <c r="U1722" s="4">
        <f t="shared" si="1"/>
        <v>-0.3216318047</v>
      </c>
      <c r="V1722" s="4"/>
    </row>
    <row r="1723">
      <c r="A1723" s="1" t="s">
        <v>18991</v>
      </c>
      <c r="B1723" s="1" t="s">
        <v>18992</v>
      </c>
      <c r="C1723" s="1" t="s">
        <v>18993</v>
      </c>
      <c r="D1723" s="1" t="s">
        <v>18757</v>
      </c>
      <c r="E1723" s="1" t="s">
        <v>18758</v>
      </c>
      <c r="F1723" s="1">
        <v>3241828.0</v>
      </c>
      <c r="G1723" s="1">
        <v>123552.0</v>
      </c>
      <c r="H1723" s="1">
        <v>699.0</v>
      </c>
      <c r="I1723" s="1">
        <v>3600000.0</v>
      </c>
      <c r="J1723" s="1" t="s">
        <v>2468</v>
      </c>
      <c r="K1723" s="5">
        <f t="shared" si="2"/>
        <v>0.9005077778</v>
      </c>
      <c r="L1723" s="6">
        <f t="shared" si="3"/>
        <v>704</v>
      </c>
      <c r="M1723" s="6">
        <f t="shared" si="4"/>
        <v>4604.869318</v>
      </c>
      <c r="N1723" s="7">
        <f t="shared" si="5"/>
        <v>0.001279130366</v>
      </c>
      <c r="O1723" s="7"/>
      <c r="P1723" s="4">
        <f t="shared" si="6"/>
        <v>0.4514467063</v>
      </c>
      <c r="Q1723" s="4">
        <f t="shared" si="7"/>
        <v>6</v>
      </c>
      <c r="R1723" s="4">
        <f t="shared" si="8"/>
        <v>1</v>
      </c>
      <c r="S1723" s="4">
        <f t="shared" si="9"/>
        <v>0.4514467063</v>
      </c>
      <c r="T1723" s="4">
        <f t="shared" si="10"/>
        <v>26</v>
      </c>
      <c r="U1723" s="4">
        <f t="shared" si="1"/>
        <v>0.4514467063</v>
      </c>
      <c r="V1723" s="4"/>
    </row>
    <row r="1724">
      <c r="A1724" s="1" t="s">
        <v>18994</v>
      </c>
      <c r="B1724" s="1" t="s">
        <v>18995</v>
      </c>
      <c r="C1724" s="1" t="s">
        <v>18996</v>
      </c>
      <c r="D1724" s="1" t="s">
        <v>18757</v>
      </c>
      <c r="E1724" s="1" t="s">
        <v>18758</v>
      </c>
      <c r="F1724" s="1">
        <v>4369845.0</v>
      </c>
      <c r="G1724" s="1">
        <v>138336.0</v>
      </c>
      <c r="H1724" s="1">
        <v>611.0</v>
      </c>
      <c r="I1724" s="1">
        <v>3600000.0</v>
      </c>
      <c r="J1724" s="1" t="s">
        <v>2468</v>
      </c>
      <c r="K1724" s="5">
        <f t="shared" si="2"/>
        <v>1.213845833</v>
      </c>
      <c r="L1724" s="6">
        <f t="shared" si="3"/>
        <v>711</v>
      </c>
      <c r="M1724" s="6">
        <f t="shared" si="4"/>
        <v>6146.054852</v>
      </c>
      <c r="N1724" s="7">
        <f t="shared" si="5"/>
        <v>0.001707237459</v>
      </c>
      <c r="O1724" s="7"/>
      <c r="P1724" s="4">
        <f t="shared" si="6"/>
        <v>0.7529896852</v>
      </c>
      <c r="Q1724" s="4">
        <f t="shared" si="7"/>
        <v>10</v>
      </c>
      <c r="R1724" s="4">
        <f t="shared" si="8"/>
        <v>0</v>
      </c>
      <c r="S1724" s="4">
        <f t="shared" si="9"/>
        <v>0.7529896852</v>
      </c>
      <c r="T1724" s="4">
        <f t="shared" si="10"/>
        <v>53</v>
      </c>
      <c r="U1724" s="4">
        <f t="shared" si="1"/>
        <v>0.7529896852</v>
      </c>
      <c r="V1724" s="4"/>
    </row>
    <row r="1725">
      <c r="A1725" s="1" t="s">
        <v>18997</v>
      </c>
      <c r="B1725" s="1" t="s">
        <v>18998</v>
      </c>
      <c r="C1725" s="1" t="s">
        <v>18999</v>
      </c>
      <c r="D1725" s="1" t="s">
        <v>18757</v>
      </c>
      <c r="E1725" s="1" t="s">
        <v>18758</v>
      </c>
      <c r="F1725" s="1">
        <v>324036.0</v>
      </c>
      <c r="G1725" s="1">
        <v>15566.0</v>
      </c>
      <c r="H1725" s="1">
        <v>250.0</v>
      </c>
      <c r="I1725" s="1">
        <v>3600000.0</v>
      </c>
      <c r="J1725" s="1" t="s">
        <v>2468</v>
      </c>
      <c r="K1725" s="5">
        <f t="shared" si="2"/>
        <v>0.09001</v>
      </c>
      <c r="L1725" s="6">
        <f t="shared" si="3"/>
        <v>717</v>
      </c>
      <c r="M1725" s="6">
        <f t="shared" si="4"/>
        <v>451.9330544</v>
      </c>
      <c r="N1725" s="7">
        <f t="shared" si="5"/>
        <v>0.0001255369596</v>
      </c>
      <c r="O1725" s="7"/>
      <c r="P1725" s="4">
        <f t="shared" si="6"/>
        <v>-0.3611022987</v>
      </c>
      <c r="Q1725" s="4">
        <f t="shared" si="7"/>
        <v>10</v>
      </c>
      <c r="R1725" s="4">
        <f t="shared" si="8"/>
        <v>1</v>
      </c>
      <c r="S1725" s="4">
        <f t="shared" si="9"/>
        <v>-0.3611022987</v>
      </c>
      <c r="T1725" s="4">
        <f t="shared" si="10"/>
        <v>51</v>
      </c>
      <c r="U1725" s="4">
        <f t="shared" si="1"/>
        <v>-0.3611022987</v>
      </c>
      <c r="V1725" s="4"/>
    </row>
    <row r="1726">
      <c r="A1726" s="1" t="s">
        <v>19000</v>
      </c>
      <c r="B1726" s="1" t="s">
        <v>19001</v>
      </c>
      <c r="C1726" s="1" t="s">
        <v>19002</v>
      </c>
      <c r="D1726" s="1" t="s">
        <v>18757</v>
      </c>
      <c r="E1726" s="1" t="s">
        <v>18758</v>
      </c>
      <c r="F1726" s="1">
        <v>194984.0</v>
      </c>
      <c r="G1726" s="1">
        <v>13917.0</v>
      </c>
      <c r="H1726" s="1">
        <v>197.0</v>
      </c>
      <c r="I1726" s="1">
        <v>3600000.0</v>
      </c>
      <c r="J1726" s="1" t="s">
        <v>2468</v>
      </c>
      <c r="K1726" s="5">
        <f t="shared" si="2"/>
        <v>0.05416222222</v>
      </c>
      <c r="L1726" s="6">
        <f t="shared" si="3"/>
        <v>718</v>
      </c>
      <c r="M1726" s="6">
        <f t="shared" si="4"/>
        <v>271.5654596</v>
      </c>
      <c r="N1726" s="7">
        <f t="shared" si="5"/>
        <v>0.00007543484989</v>
      </c>
      <c r="O1726" s="7"/>
      <c r="P1726" s="4">
        <f t="shared" si="6"/>
        <v>-0.3963923924</v>
      </c>
      <c r="Q1726" s="4">
        <f t="shared" si="7"/>
        <v>11</v>
      </c>
      <c r="R1726" s="4">
        <f t="shared" si="8"/>
        <v>1</v>
      </c>
      <c r="S1726" s="4">
        <f t="shared" si="9"/>
        <v>-0.3963923924</v>
      </c>
      <c r="T1726" s="4">
        <f t="shared" si="10"/>
        <v>51</v>
      </c>
      <c r="U1726" s="4">
        <f t="shared" si="1"/>
        <v>-0.3963923924</v>
      </c>
      <c r="V1726" s="4"/>
    </row>
    <row r="1727">
      <c r="A1727" s="1" t="s">
        <v>19003</v>
      </c>
      <c r="B1727" s="1" t="s">
        <v>19004</v>
      </c>
      <c r="C1727" s="1" t="s">
        <v>19005</v>
      </c>
      <c r="D1727" s="1" t="s">
        <v>18757</v>
      </c>
      <c r="E1727" s="1" t="s">
        <v>18758</v>
      </c>
      <c r="F1727" s="1">
        <v>943702.0</v>
      </c>
      <c r="G1727" s="1">
        <v>39158.0</v>
      </c>
      <c r="H1727" s="1">
        <v>2220.0</v>
      </c>
      <c r="I1727" s="1">
        <v>3600000.0</v>
      </c>
      <c r="J1727" s="1" t="s">
        <v>2468</v>
      </c>
      <c r="K1727" s="5">
        <f t="shared" si="2"/>
        <v>0.2621394444</v>
      </c>
      <c r="L1727" s="6">
        <f t="shared" si="3"/>
        <v>719</v>
      </c>
      <c r="M1727" s="6">
        <f t="shared" si="4"/>
        <v>1312.520167</v>
      </c>
      <c r="N1727" s="7">
        <f t="shared" si="5"/>
        <v>0.0003645889352</v>
      </c>
      <c r="O1727" s="7"/>
      <c r="P1727" s="4">
        <f t="shared" si="6"/>
        <v>-0.1927228299</v>
      </c>
      <c r="Q1727" s="4">
        <f t="shared" si="7"/>
        <v>10</v>
      </c>
      <c r="R1727" s="4">
        <f t="shared" si="8"/>
        <v>0</v>
      </c>
      <c r="S1727" s="4">
        <f t="shared" si="9"/>
        <v>-0.1927228299</v>
      </c>
      <c r="T1727" s="4">
        <f t="shared" si="10"/>
        <v>38</v>
      </c>
      <c r="U1727" s="4">
        <f t="shared" si="1"/>
        <v>-0.1927228299</v>
      </c>
      <c r="V1727" s="4"/>
    </row>
    <row r="1728">
      <c r="A1728" s="1" t="s">
        <v>19006</v>
      </c>
      <c r="B1728" s="1" t="s">
        <v>17348</v>
      </c>
      <c r="C1728" s="1" t="s">
        <v>19007</v>
      </c>
      <c r="D1728" s="1" t="s">
        <v>18757</v>
      </c>
      <c r="E1728" s="1" t="s">
        <v>18758</v>
      </c>
      <c r="F1728" s="1">
        <v>219556.0</v>
      </c>
      <c r="G1728" s="1">
        <v>13246.0</v>
      </c>
      <c r="H1728" s="1">
        <v>183.0</v>
      </c>
      <c r="I1728" s="1">
        <v>3600000.0</v>
      </c>
      <c r="J1728" s="1" t="s">
        <v>2468</v>
      </c>
      <c r="K1728" s="5">
        <f t="shared" si="2"/>
        <v>0.06098777778</v>
      </c>
      <c r="L1728" s="6">
        <f t="shared" si="3"/>
        <v>722</v>
      </c>
      <c r="M1728" s="6">
        <f t="shared" si="4"/>
        <v>304.0941828</v>
      </c>
      <c r="N1728" s="7">
        <f t="shared" si="5"/>
        <v>0.00008447060634</v>
      </c>
      <c r="O1728" s="7"/>
      <c r="P1728" s="4">
        <f t="shared" si="6"/>
        <v>-0.390027936</v>
      </c>
      <c r="Q1728" s="4">
        <f t="shared" si="7"/>
        <v>4</v>
      </c>
      <c r="R1728" s="4">
        <f t="shared" si="8"/>
        <v>0</v>
      </c>
      <c r="S1728" s="4">
        <f t="shared" si="9"/>
        <v>-0.390027936</v>
      </c>
      <c r="T1728" s="4">
        <f t="shared" si="10"/>
        <v>23</v>
      </c>
      <c r="U1728" s="4">
        <f t="shared" si="1"/>
        <v>-0.390027936</v>
      </c>
      <c r="V1728" s="4"/>
    </row>
    <row r="1729">
      <c r="A1729" s="1" t="s">
        <v>19008</v>
      </c>
      <c r="B1729" s="1" t="s">
        <v>19009</v>
      </c>
      <c r="C1729" s="1" t="s">
        <v>19010</v>
      </c>
      <c r="D1729" s="1" t="s">
        <v>18757</v>
      </c>
      <c r="E1729" s="1" t="s">
        <v>18758</v>
      </c>
      <c r="F1729" s="1">
        <v>1164790.0</v>
      </c>
      <c r="G1729" s="1">
        <v>45858.0</v>
      </c>
      <c r="H1729" s="1">
        <v>2774.0</v>
      </c>
      <c r="I1729" s="1">
        <v>3600000.0</v>
      </c>
      <c r="J1729" s="1" t="s">
        <v>2468</v>
      </c>
      <c r="K1729" s="5">
        <f t="shared" si="2"/>
        <v>0.3235527778</v>
      </c>
      <c r="L1729" s="6">
        <f t="shared" si="3"/>
        <v>723</v>
      </c>
      <c r="M1729" s="6">
        <f t="shared" si="4"/>
        <v>1611.051176</v>
      </c>
      <c r="N1729" s="7">
        <f t="shared" si="5"/>
        <v>0.0004475142155</v>
      </c>
      <c r="O1729" s="7"/>
      <c r="P1729" s="4">
        <f t="shared" si="6"/>
        <v>-0.1343132954</v>
      </c>
      <c r="Q1729" s="4">
        <f t="shared" si="7"/>
        <v>7</v>
      </c>
      <c r="R1729" s="4">
        <f t="shared" si="8"/>
        <v>0</v>
      </c>
      <c r="S1729" s="4">
        <f t="shared" si="9"/>
        <v>-0.1343132954</v>
      </c>
      <c r="T1729" s="4">
        <f t="shared" si="10"/>
        <v>30</v>
      </c>
      <c r="U1729" s="4">
        <f t="shared" si="1"/>
        <v>-0.1343132954</v>
      </c>
      <c r="V1729" s="4"/>
    </row>
    <row r="1730">
      <c r="A1730" s="1" t="s">
        <v>19011</v>
      </c>
      <c r="B1730" s="1" t="s">
        <v>19012</v>
      </c>
      <c r="C1730" s="1" t="s">
        <v>19013</v>
      </c>
      <c r="D1730" s="1" t="s">
        <v>18757</v>
      </c>
      <c r="E1730" s="1" t="s">
        <v>18758</v>
      </c>
      <c r="F1730" s="1">
        <v>473792.0</v>
      </c>
      <c r="G1730" s="1">
        <v>31494.0</v>
      </c>
      <c r="H1730" s="1">
        <v>258.0</v>
      </c>
      <c r="I1730" s="1">
        <v>3600000.0</v>
      </c>
      <c r="J1730" s="1" t="s">
        <v>2468</v>
      </c>
      <c r="K1730" s="5">
        <f t="shared" si="2"/>
        <v>0.1316088889</v>
      </c>
      <c r="L1730" s="6">
        <f t="shared" si="3"/>
        <v>725</v>
      </c>
      <c r="M1730" s="6">
        <f t="shared" si="4"/>
        <v>653.5062069</v>
      </c>
      <c r="N1730" s="7">
        <f t="shared" si="5"/>
        <v>0.0001815295019</v>
      </c>
      <c r="O1730" s="7"/>
      <c r="P1730" s="4">
        <f t="shared" si="6"/>
        <v>-0.3216631997</v>
      </c>
      <c r="Q1730" s="4">
        <f t="shared" si="7"/>
        <v>6</v>
      </c>
      <c r="R1730" s="4">
        <f t="shared" si="8"/>
        <v>0</v>
      </c>
      <c r="S1730" s="4">
        <f t="shared" si="9"/>
        <v>-0.3216631997</v>
      </c>
      <c r="T1730" s="4">
        <f t="shared" si="10"/>
        <v>32</v>
      </c>
      <c r="U1730" s="4">
        <f t="shared" si="1"/>
        <v>-0.3216631997</v>
      </c>
      <c r="V1730" s="4"/>
    </row>
    <row r="1731">
      <c r="A1731" s="1" t="s">
        <v>19014</v>
      </c>
      <c r="B1731" s="1" t="s">
        <v>19015</v>
      </c>
      <c r="C1731" s="1" t="s">
        <v>19016</v>
      </c>
      <c r="D1731" s="1" t="s">
        <v>18757</v>
      </c>
      <c r="E1731" s="1" t="s">
        <v>18758</v>
      </c>
      <c r="F1731" s="1">
        <v>438472.0</v>
      </c>
      <c r="G1731" s="1">
        <v>20337.0</v>
      </c>
      <c r="H1731" s="1">
        <v>218.0</v>
      </c>
      <c r="I1731" s="1">
        <v>3600000.0</v>
      </c>
      <c r="J1731" s="1" t="s">
        <v>2468</v>
      </c>
      <c r="K1731" s="5">
        <f t="shared" si="2"/>
        <v>0.1217977778</v>
      </c>
      <c r="L1731" s="6">
        <f t="shared" si="3"/>
        <v>732</v>
      </c>
      <c r="M1731" s="6">
        <f t="shared" si="4"/>
        <v>599.0054645</v>
      </c>
      <c r="N1731" s="7">
        <f t="shared" si="5"/>
        <v>0.0001663904068</v>
      </c>
      <c r="O1731" s="7"/>
      <c r="P1731" s="4">
        <f t="shared" si="6"/>
        <v>-0.3323266246</v>
      </c>
      <c r="Q1731" s="4">
        <f t="shared" si="7"/>
        <v>4</v>
      </c>
      <c r="R1731" s="4">
        <f t="shared" si="8"/>
        <v>1</v>
      </c>
      <c r="S1731" s="4">
        <f t="shared" si="9"/>
        <v>-0.3323266246</v>
      </c>
      <c r="T1731" s="4">
        <f t="shared" si="10"/>
        <v>20</v>
      </c>
      <c r="U1731" s="4">
        <f t="shared" si="1"/>
        <v>-0.3323266246</v>
      </c>
      <c r="V1731" s="4"/>
    </row>
    <row r="1732">
      <c r="A1732" s="1" t="s">
        <v>19017</v>
      </c>
      <c r="B1732" s="1" t="s">
        <v>19018</v>
      </c>
      <c r="C1732" s="1" t="s">
        <v>19019</v>
      </c>
      <c r="D1732" s="1" t="s">
        <v>18757</v>
      </c>
      <c r="E1732" s="1" t="s">
        <v>18758</v>
      </c>
      <c r="F1732" s="1">
        <v>1.5806231E7</v>
      </c>
      <c r="G1732" s="1">
        <v>1127245.0</v>
      </c>
      <c r="H1732" s="1">
        <v>4889.0</v>
      </c>
      <c r="I1732" s="1">
        <v>3600000.0</v>
      </c>
      <c r="J1732" s="1" t="s">
        <v>2468</v>
      </c>
      <c r="K1732" s="5">
        <f t="shared" si="2"/>
        <v>4.390619722</v>
      </c>
      <c r="L1732" s="6">
        <f t="shared" si="3"/>
        <v>739</v>
      </c>
      <c r="M1732" s="6">
        <f t="shared" si="4"/>
        <v>21388.67524</v>
      </c>
      <c r="N1732" s="7">
        <f t="shared" si="5"/>
        <v>0.005941298677</v>
      </c>
      <c r="O1732" s="7"/>
      <c r="P1732" s="4">
        <f t="shared" si="6"/>
        <v>3.735307554</v>
      </c>
      <c r="Q1732" s="4">
        <f t="shared" si="7"/>
        <v>5</v>
      </c>
      <c r="R1732" s="4">
        <f t="shared" si="8"/>
        <v>0</v>
      </c>
      <c r="S1732" s="4">
        <f t="shared" si="9"/>
        <v>3.735307554</v>
      </c>
      <c r="T1732" s="4">
        <f t="shared" si="10"/>
        <v>20</v>
      </c>
      <c r="U1732" s="4">
        <f t="shared" si="1"/>
        <v>3.735307554</v>
      </c>
      <c r="V1732" s="4"/>
    </row>
    <row r="1733">
      <c r="A1733" s="1" t="s">
        <v>19020</v>
      </c>
      <c r="B1733" s="1" t="s">
        <v>19021</v>
      </c>
      <c r="C1733" s="1" t="s">
        <v>19022</v>
      </c>
      <c r="D1733" s="1" t="s">
        <v>18757</v>
      </c>
      <c r="E1733" s="1" t="s">
        <v>18758</v>
      </c>
      <c r="F1733" s="1">
        <v>4486264.0</v>
      </c>
      <c r="G1733" s="1">
        <v>166422.0</v>
      </c>
      <c r="H1733" s="1">
        <v>1951.0</v>
      </c>
      <c r="I1733" s="1">
        <v>3600000.0</v>
      </c>
      <c r="J1733" s="1" t="s">
        <v>2468</v>
      </c>
      <c r="K1733" s="5">
        <f t="shared" si="2"/>
        <v>1.246184444</v>
      </c>
      <c r="L1733" s="6">
        <f t="shared" si="3"/>
        <v>746</v>
      </c>
      <c r="M1733" s="6">
        <f t="shared" si="4"/>
        <v>6013.758713</v>
      </c>
      <c r="N1733" s="7">
        <f t="shared" si="5"/>
        <v>0.001670488531</v>
      </c>
      <c r="O1733" s="7"/>
      <c r="P1733" s="4">
        <f t="shared" si="6"/>
        <v>0.7271050847</v>
      </c>
      <c r="Q1733" s="4">
        <f t="shared" si="7"/>
        <v>6</v>
      </c>
      <c r="R1733" s="4">
        <f t="shared" si="8"/>
        <v>0</v>
      </c>
      <c r="S1733" s="4">
        <f t="shared" si="9"/>
        <v>0.7271050847</v>
      </c>
      <c r="T1733" s="4">
        <f t="shared" si="10"/>
        <v>40</v>
      </c>
      <c r="U1733" s="4">
        <f t="shared" si="1"/>
        <v>0.7271050847</v>
      </c>
      <c r="V1733" s="4"/>
    </row>
    <row r="1734">
      <c r="A1734" s="1" t="s">
        <v>19023</v>
      </c>
      <c r="B1734" s="1" t="s">
        <v>19024</v>
      </c>
      <c r="C1734" s="1" t="s">
        <v>19025</v>
      </c>
      <c r="D1734" s="1" t="s">
        <v>18757</v>
      </c>
      <c r="E1734" s="1" t="s">
        <v>18758</v>
      </c>
      <c r="F1734" s="1">
        <v>270135.0</v>
      </c>
      <c r="G1734" s="1">
        <v>17425.0</v>
      </c>
      <c r="H1734" s="1">
        <v>164.0</v>
      </c>
      <c r="I1734" s="1">
        <v>3600000.0</v>
      </c>
      <c r="J1734" s="1" t="s">
        <v>2468</v>
      </c>
      <c r="K1734" s="5">
        <f t="shared" si="2"/>
        <v>0.0750375</v>
      </c>
      <c r="L1734" s="6">
        <f t="shared" si="3"/>
        <v>753</v>
      </c>
      <c r="M1734" s="6">
        <f t="shared" si="4"/>
        <v>358.7450199</v>
      </c>
      <c r="N1734" s="7">
        <f t="shared" si="5"/>
        <v>0.00009965139442</v>
      </c>
      <c r="O1734" s="7"/>
      <c r="P1734" s="4">
        <f t="shared" si="6"/>
        <v>-0.3793351441</v>
      </c>
      <c r="Q1734" s="4">
        <f t="shared" si="7"/>
        <v>8</v>
      </c>
      <c r="R1734" s="4">
        <f t="shared" si="8"/>
        <v>0</v>
      </c>
      <c r="S1734" s="4">
        <f t="shared" si="9"/>
        <v>-0.3793351441</v>
      </c>
      <c r="T1734" s="4">
        <f t="shared" si="10"/>
        <v>45</v>
      </c>
      <c r="U1734" s="4">
        <f t="shared" si="1"/>
        <v>-0.3793351441</v>
      </c>
      <c r="V1734" s="4"/>
    </row>
    <row r="1735">
      <c r="A1735" s="1" t="s">
        <v>19026</v>
      </c>
      <c r="B1735" s="1" t="s">
        <v>19027</v>
      </c>
      <c r="C1735" s="1" t="s">
        <v>19028</v>
      </c>
      <c r="D1735" s="1" t="s">
        <v>18757</v>
      </c>
      <c r="E1735" s="1" t="s">
        <v>18758</v>
      </c>
      <c r="F1735" s="1">
        <v>578328.0</v>
      </c>
      <c r="G1735" s="1">
        <v>28773.0</v>
      </c>
      <c r="H1735" s="1">
        <v>262.0</v>
      </c>
      <c r="I1735" s="1">
        <v>3600000.0</v>
      </c>
      <c r="J1735" s="1" t="s">
        <v>2468</v>
      </c>
      <c r="K1735" s="5">
        <f t="shared" si="2"/>
        <v>0.1606466667</v>
      </c>
      <c r="L1735" s="6">
        <f t="shared" si="3"/>
        <v>760</v>
      </c>
      <c r="M1735" s="6">
        <f t="shared" si="4"/>
        <v>760.9578947</v>
      </c>
      <c r="N1735" s="7">
        <f t="shared" si="5"/>
        <v>0.000211377193</v>
      </c>
      <c r="O1735" s="7"/>
      <c r="P1735" s="4">
        <f t="shared" si="6"/>
        <v>-0.3006395777</v>
      </c>
      <c r="Q1735" s="4">
        <f t="shared" si="7"/>
        <v>10</v>
      </c>
      <c r="R1735" s="4">
        <f t="shared" si="8"/>
        <v>0</v>
      </c>
      <c r="S1735" s="4">
        <f t="shared" si="9"/>
        <v>-0.3006395777</v>
      </c>
      <c r="T1735" s="4">
        <f t="shared" si="10"/>
        <v>54</v>
      </c>
      <c r="U1735" s="4">
        <f t="shared" si="1"/>
        <v>-0.3006395777</v>
      </c>
      <c r="V1735" s="4"/>
    </row>
    <row r="1736">
      <c r="A1736" s="1" t="s">
        <v>19029</v>
      </c>
      <c r="B1736" s="1" t="s">
        <v>19030</v>
      </c>
      <c r="C1736" s="1" t="s">
        <v>19031</v>
      </c>
      <c r="D1736" s="1" t="s">
        <v>18757</v>
      </c>
      <c r="E1736" s="1" t="s">
        <v>18758</v>
      </c>
      <c r="F1736" s="1">
        <v>2985266.0</v>
      </c>
      <c r="G1736" s="1">
        <v>56592.0</v>
      </c>
      <c r="H1736" s="1">
        <v>1956.0</v>
      </c>
      <c r="I1736" s="1">
        <v>3600000.0</v>
      </c>
      <c r="J1736" s="1" t="s">
        <v>2468</v>
      </c>
      <c r="K1736" s="5">
        <f t="shared" si="2"/>
        <v>0.8292405556</v>
      </c>
      <c r="L1736" s="6">
        <f t="shared" si="3"/>
        <v>764</v>
      </c>
      <c r="M1736" s="6">
        <f t="shared" si="4"/>
        <v>3907.41623</v>
      </c>
      <c r="N1736" s="7">
        <f t="shared" si="5"/>
        <v>0.001085393397</v>
      </c>
      <c r="O1736" s="7"/>
      <c r="P1736" s="4">
        <f t="shared" si="6"/>
        <v>0.314985471</v>
      </c>
      <c r="Q1736" s="4">
        <f t="shared" si="7"/>
        <v>7</v>
      </c>
      <c r="R1736" s="4">
        <f t="shared" si="8"/>
        <v>0</v>
      </c>
      <c r="S1736" s="4">
        <f t="shared" si="9"/>
        <v>0.314985471</v>
      </c>
      <c r="T1736" s="4">
        <f t="shared" si="10"/>
        <v>40</v>
      </c>
      <c r="U1736" s="4">
        <f t="shared" si="1"/>
        <v>0.314985471</v>
      </c>
      <c r="V1736" s="4"/>
    </row>
    <row r="1737">
      <c r="A1737" s="1" t="s">
        <v>19032</v>
      </c>
      <c r="B1737" s="1" t="s">
        <v>19033</v>
      </c>
      <c r="C1737" s="1" t="s">
        <v>19034</v>
      </c>
      <c r="D1737" s="1" t="s">
        <v>18757</v>
      </c>
      <c r="E1737" s="1" t="s">
        <v>18758</v>
      </c>
      <c r="F1737" s="1">
        <v>1.0299722E7</v>
      </c>
      <c r="G1737" s="1">
        <v>532756.0</v>
      </c>
      <c r="H1737" s="1">
        <v>2621.0</v>
      </c>
      <c r="I1737" s="1">
        <v>3600000.0</v>
      </c>
      <c r="J1737" s="1" t="s">
        <v>2468</v>
      </c>
      <c r="K1737" s="5">
        <f t="shared" si="2"/>
        <v>2.861033889</v>
      </c>
      <c r="L1737" s="6">
        <f t="shared" si="3"/>
        <v>788</v>
      </c>
      <c r="M1737" s="6">
        <f t="shared" si="4"/>
        <v>13070.7132</v>
      </c>
      <c r="N1737" s="7">
        <f t="shared" si="5"/>
        <v>0.003630753666</v>
      </c>
      <c r="O1737" s="7"/>
      <c r="P1737" s="4">
        <f t="shared" si="6"/>
        <v>2.107844152</v>
      </c>
      <c r="Q1737" s="4">
        <f t="shared" si="7"/>
        <v>8</v>
      </c>
      <c r="R1737" s="4">
        <f t="shared" si="8"/>
        <v>0</v>
      </c>
      <c r="S1737" s="4">
        <f t="shared" si="9"/>
        <v>2.107844152</v>
      </c>
      <c r="T1737" s="4">
        <f t="shared" si="10"/>
        <v>29</v>
      </c>
      <c r="U1737" s="4">
        <f t="shared" si="1"/>
        <v>2.107844152</v>
      </c>
      <c r="V1737" s="4"/>
    </row>
    <row r="1738">
      <c r="A1738" s="1" t="s">
        <v>19035</v>
      </c>
      <c r="B1738" s="1" t="s">
        <v>19036</v>
      </c>
      <c r="C1738" s="1" t="s">
        <v>19037</v>
      </c>
      <c r="D1738" s="1" t="s">
        <v>18757</v>
      </c>
      <c r="E1738" s="1" t="s">
        <v>18758</v>
      </c>
      <c r="F1738" s="1">
        <v>1060242.0</v>
      </c>
      <c r="G1738" s="1">
        <v>28475.0</v>
      </c>
      <c r="H1738" s="1">
        <v>906.0</v>
      </c>
      <c r="I1738" s="1">
        <v>3600000.0</v>
      </c>
      <c r="J1738" s="1" t="s">
        <v>2468</v>
      </c>
      <c r="K1738" s="5">
        <f t="shared" si="2"/>
        <v>0.2945116667</v>
      </c>
      <c r="L1738" s="6">
        <f t="shared" si="3"/>
        <v>795</v>
      </c>
      <c r="M1738" s="6">
        <f t="shared" si="4"/>
        <v>1333.637736</v>
      </c>
      <c r="N1738" s="7">
        <f t="shared" si="5"/>
        <v>0.0003704549266</v>
      </c>
      <c r="O1738" s="7"/>
      <c r="P1738" s="4">
        <f t="shared" si="6"/>
        <v>-0.1885910401</v>
      </c>
      <c r="Q1738" s="4">
        <f t="shared" si="7"/>
        <v>9</v>
      </c>
      <c r="R1738" s="4">
        <f t="shared" si="8"/>
        <v>0</v>
      </c>
      <c r="S1738" s="4">
        <f t="shared" si="9"/>
        <v>-0.1885910401</v>
      </c>
      <c r="T1738" s="4">
        <f t="shared" si="10"/>
        <v>41</v>
      </c>
      <c r="U1738" s="4">
        <f t="shared" si="1"/>
        <v>-0.1885910401</v>
      </c>
      <c r="V1738" s="4"/>
    </row>
    <row r="1739">
      <c r="A1739" s="1" t="s">
        <v>19038</v>
      </c>
      <c r="B1739" s="1" t="s">
        <v>19039</v>
      </c>
      <c r="C1739" s="1" t="s">
        <v>19040</v>
      </c>
      <c r="D1739" s="1" t="s">
        <v>18757</v>
      </c>
      <c r="E1739" s="1" t="s">
        <v>18758</v>
      </c>
      <c r="F1739" s="1">
        <v>1585705.0</v>
      </c>
      <c r="G1739" s="1">
        <v>42650.0</v>
      </c>
      <c r="H1739" s="1">
        <v>1652.0</v>
      </c>
      <c r="I1739" s="1">
        <v>3600000.0</v>
      </c>
      <c r="J1739" s="1" t="s">
        <v>2468</v>
      </c>
      <c r="K1739" s="5">
        <f t="shared" si="2"/>
        <v>0.4404736111</v>
      </c>
      <c r="L1739" s="6">
        <f t="shared" si="3"/>
        <v>805</v>
      </c>
      <c r="M1739" s="6">
        <f t="shared" si="4"/>
        <v>1969.819876</v>
      </c>
      <c r="N1739" s="7">
        <f t="shared" si="5"/>
        <v>0.0005471721877</v>
      </c>
      <c r="O1739" s="7"/>
      <c r="P1739" s="4">
        <f t="shared" si="6"/>
        <v>-0.06411786454</v>
      </c>
      <c r="Q1739" s="4">
        <f t="shared" si="7"/>
        <v>8</v>
      </c>
      <c r="R1739" s="4">
        <f t="shared" si="8"/>
        <v>0</v>
      </c>
      <c r="S1739" s="4">
        <f t="shared" si="9"/>
        <v>-0.06411786454</v>
      </c>
      <c r="T1739" s="4">
        <f t="shared" si="10"/>
        <v>36</v>
      </c>
      <c r="U1739" s="4">
        <f t="shared" si="1"/>
        <v>-0.06411786454</v>
      </c>
      <c r="V1739" s="4"/>
    </row>
    <row r="1740">
      <c r="A1740" s="1" t="s">
        <v>19041</v>
      </c>
      <c r="B1740" s="1" t="s">
        <v>19042</v>
      </c>
      <c r="C1740" s="1" t="s">
        <v>19043</v>
      </c>
      <c r="D1740" s="1" t="s">
        <v>18757</v>
      </c>
      <c r="E1740" s="1" t="s">
        <v>18758</v>
      </c>
      <c r="F1740" s="1">
        <v>4144969.0</v>
      </c>
      <c r="G1740" s="1">
        <v>161708.0</v>
      </c>
      <c r="H1740" s="1">
        <v>372.0</v>
      </c>
      <c r="I1740" s="1">
        <v>3600000.0</v>
      </c>
      <c r="J1740" s="1" t="s">
        <v>2468</v>
      </c>
      <c r="K1740" s="5">
        <f t="shared" si="2"/>
        <v>1.151380278</v>
      </c>
      <c r="L1740" s="6">
        <f t="shared" si="3"/>
        <v>811</v>
      </c>
      <c r="M1740" s="6">
        <f t="shared" si="4"/>
        <v>5110.935882</v>
      </c>
      <c r="N1740" s="7">
        <f t="shared" si="5"/>
        <v>0.001419704412</v>
      </c>
      <c r="O1740" s="7"/>
      <c r="P1740" s="4">
        <f t="shared" si="6"/>
        <v>0.5504619226</v>
      </c>
      <c r="Q1740" s="4">
        <f t="shared" si="7"/>
        <v>5</v>
      </c>
      <c r="R1740" s="4">
        <f t="shared" si="8"/>
        <v>1</v>
      </c>
      <c r="S1740" s="4">
        <f t="shared" si="9"/>
        <v>0.5504619226</v>
      </c>
      <c r="T1740" s="4">
        <f t="shared" si="10"/>
        <v>19</v>
      </c>
      <c r="U1740" s="4">
        <f t="shared" si="1"/>
        <v>0.5504619226</v>
      </c>
      <c r="V1740" s="4"/>
    </row>
    <row r="1741">
      <c r="A1741" s="1" t="s">
        <v>19044</v>
      </c>
      <c r="B1741" s="1" t="s">
        <v>19045</v>
      </c>
      <c r="C1741" s="1" t="s">
        <v>19046</v>
      </c>
      <c r="D1741" s="1" t="s">
        <v>18757</v>
      </c>
      <c r="E1741" s="1" t="s">
        <v>18758</v>
      </c>
      <c r="F1741" s="1">
        <v>2980159.0</v>
      </c>
      <c r="G1741" s="1">
        <v>171130.0</v>
      </c>
      <c r="H1741" s="1">
        <v>4066.0</v>
      </c>
      <c r="I1741" s="1">
        <v>3600000.0</v>
      </c>
      <c r="J1741" s="1" t="s">
        <v>2468</v>
      </c>
      <c r="K1741" s="5">
        <f t="shared" si="2"/>
        <v>0.8278219444</v>
      </c>
      <c r="L1741" s="6">
        <f t="shared" si="3"/>
        <v>813</v>
      </c>
      <c r="M1741" s="6">
        <f t="shared" si="4"/>
        <v>3665.632226</v>
      </c>
      <c r="N1741" s="7">
        <f t="shared" si="5"/>
        <v>0.001018231174</v>
      </c>
      <c r="O1741" s="7"/>
      <c r="P1741" s="4">
        <f t="shared" si="6"/>
        <v>0.2676788572</v>
      </c>
      <c r="Q1741" s="4">
        <f t="shared" si="7"/>
        <v>14</v>
      </c>
      <c r="R1741" s="4">
        <f t="shared" si="8"/>
        <v>0</v>
      </c>
      <c r="S1741" s="4">
        <f t="shared" si="9"/>
        <v>0.2676788572</v>
      </c>
      <c r="T1741" s="4">
        <f t="shared" si="10"/>
        <v>52</v>
      </c>
      <c r="U1741" s="4">
        <f t="shared" si="1"/>
        <v>0.2676788572</v>
      </c>
      <c r="V1741" s="4"/>
    </row>
    <row r="1742">
      <c r="A1742" s="1" t="s">
        <v>19047</v>
      </c>
      <c r="B1742" s="1" t="s">
        <v>19048</v>
      </c>
      <c r="C1742" s="1" t="s">
        <v>19049</v>
      </c>
      <c r="D1742" s="1" t="s">
        <v>19050</v>
      </c>
      <c r="E1742" s="1" t="s">
        <v>19051</v>
      </c>
      <c r="F1742" s="1">
        <v>518987.0</v>
      </c>
      <c r="G1742" s="1">
        <v>27722.0</v>
      </c>
      <c r="H1742" s="1">
        <v>1623.0</v>
      </c>
      <c r="I1742" s="1">
        <v>4490000.0</v>
      </c>
      <c r="J1742" s="1" t="s">
        <v>2468</v>
      </c>
      <c r="K1742" s="5">
        <f t="shared" si="2"/>
        <v>0.1155873051</v>
      </c>
      <c r="L1742" s="6">
        <f t="shared" si="3"/>
        <v>811</v>
      </c>
      <c r="M1742" s="6">
        <f t="shared" si="4"/>
        <v>639.9346486</v>
      </c>
      <c r="N1742" s="7">
        <f t="shared" si="5"/>
        <v>0.0001425244206</v>
      </c>
      <c r="O1742" s="7"/>
      <c r="P1742" s="4">
        <f t="shared" si="6"/>
        <v>-0.3491369524</v>
      </c>
      <c r="Q1742" s="4">
        <f t="shared" si="7"/>
        <v>10</v>
      </c>
      <c r="R1742" s="4">
        <f t="shared" si="8"/>
        <v>0</v>
      </c>
      <c r="S1742" s="4">
        <f t="shared" si="9"/>
        <v>-0.3491369524</v>
      </c>
      <c r="T1742" s="4">
        <f t="shared" si="10"/>
        <v>35</v>
      </c>
      <c r="U1742" s="4">
        <f t="shared" si="1"/>
        <v>-0.3491369524</v>
      </c>
      <c r="V1742" s="4"/>
    </row>
    <row r="1743">
      <c r="A1743" s="1" t="s">
        <v>19052</v>
      </c>
      <c r="B1743" s="1" t="s">
        <v>19053</v>
      </c>
      <c r="C1743" s="1" t="s">
        <v>19054</v>
      </c>
      <c r="D1743" s="1" t="s">
        <v>19050</v>
      </c>
      <c r="E1743" s="1" t="s">
        <v>19051</v>
      </c>
      <c r="F1743" s="1">
        <v>186976.0</v>
      </c>
      <c r="G1743" s="1">
        <v>10657.0</v>
      </c>
      <c r="H1743" s="1">
        <v>472.0</v>
      </c>
      <c r="I1743" s="1">
        <v>4490000.0</v>
      </c>
      <c r="J1743" s="1" t="s">
        <v>2468</v>
      </c>
      <c r="K1743" s="5">
        <f t="shared" si="2"/>
        <v>0.04164276169</v>
      </c>
      <c r="L1743" s="6">
        <f t="shared" si="3"/>
        <v>846</v>
      </c>
      <c r="M1743" s="6">
        <f t="shared" si="4"/>
        <v>221.0118203</v>
      </c>
      <c r="N1743" s="7">
        <f t="shared" si="5"/>
        <v>0.00004922312257</v>
      </c>
      <c r="O1743" s="7"/>
      <c r="P1743" s="4">
        <f t="shared" si="6"/>
        <v>-0.4148549744</v>
      </c>
      <c r="Q1743" s="4">
        <f t="shared" si="7"/>
        <v>6</v>
      </c>
      <c r="R1743" s="4">
        <f t="shared" si="8"/>
        <v>0</v>
      </c>
      <c r="S1743" s="4">
        <f t="shared" si="9"/>
        <v>-0.4148549744</v>
      </c>
      <c r="T1743" s="4">
        <f t="shared" si="10"/>
        <v>23</v>
      </c>
      <c r="U1743" s="4">
        <f t="shared" si="1"/>
        <v>-0.4148549744</v>
      </c>
      <c r="V1743" s="4"/>
    </row>
    <row r="1744">
      <c r="A1744" s="1" t="s">
        <v>19055</v>
      </c>
      <c r="B1744" s="1" t="s">
        <v>19056</v>
      </c>
      <c r="C1744" s="1" t="s">
        <v>19057</v>
      </c>
      <c r="D1744" s="1" t="s">
        <v>19050</v>
      </c>
      <c r="E1744" s="1" t="s">
        <v>19051</v>
      </c>
      <c r="F1744" s="1">
        <v>347449.0</v>
      </c>
      <c r="G1744" s="1">
        <v>10530.0</v>
      </c>
      <c r="H1744" s="1">
        <v>473.0</v>
      </c>
      <c r="I1744" s="1">
        <v>4490000.0</v>
      </c>
      <c r="J1744" s="1" t="s">
        <v>2468</v>
      </c>
      <c r="K1744" s="5">
        <f t="shared" si="2"/>
        <v>0.07738285078</v>
      </c>
      <c r="L1744" s="6">
        <f t="shared" si="3"/>
        <v>882</v>
      </c>
      <c r="M1744" s="6">
        <f t="shared" si="4"/>
        <v>393.9331066</v>
      </c>
      <c r="N1744" s="7">
        <f t="shared" si="5"/>
        <v>0.00008773565848</v>
      </c>
      <c r="O1744" s="7"/>
      <c r="P1744" s="4">
        <f t="shared" si="6"/>
        <v>-0.3877281527</v>
      </c>
      <c r="Q1744" s="4">
        <f t="shared" si="7"/>
        <v>9</v>
      </c>
      <c r="R1744" s="4">
        <f t="shared" si="8"/>
        <v>0</v>
      </c>
      <c r="S1744" s="4">
        <f t="shared" si="9"/>
        <v>-0.3877281527</v>
      </c>
      <c r="T1744" s="4">
        <f t="shared" si="10"/>
        <v>40</v>
      </c>
      <c r="U1744" s="4">
        <f t="shared" si="1"/>
        <v>-0.3877281527</v>
      </c>
      <c r="V1744" s="4"/>
    </row>
    <row r="1745">
      <c r="A1745" s="1" t="s">
        <v>19058</v>
      </c>
      <c r="B1745" s="1" t="s">
        <v>19059</v>
      </c>
      <c r="C1745" s="1" t="s">
        <v>19060</v>
      </c>
      <c r="D1745" s="1" t="s">
        <v>19050</v>
      </c>
      <c r="E1745" s="1" t="s">
        <v>19051</v>
      </c>
      <c r="F1745" s="1">
        <v>682632.0</v>
      </c>
      <c r="G1745" s="1">
        <v>30029.0</v>
      </c>
      <c r="H1745" s="1">
        <v>1012.0</v>
      </c>
      <c r="I1745" s="1">
        <v>4490000.0</v>
      </c>
      <c r="J1745" s="1" t="s">
        <v>2468</v>
      </c>
      <c r="K1745" s="5">
        <f t="shared" si="2"/>
        <v>0.152033853</v>
      </c>
      <c r="L1745" s="6">
        <f t="shared" si="3"/>
        <v>986</v>
      </c>
      <c r="M1745" s="6">
        <f t="shared" si="4"/>
        <v>692.3245436</v>
      </c>
      <c r="N1745" s="7">
        <f t="shared" si="5"/>
        <v>0.0001541925487</v>
      </c>
      <c r="O1745" s="7"/>
      <c r="P1745" s="4">
        <f t="shared" si="6"/>
        <v>-0.3409183497</v>
      </c>
      <c r="Q1745" s="4">
        <f t="shared" si="7"/>
        <v>5</v>
      </c>
      <c r="R1745" s="4">
        <f t="shared" si="8"/>
        <v>0</v>
      </c>
      <c r="S1745" s="4">
        <f t="shared" si="9"/>
        <v>-0.3409183497</v>
      </c>
      <c r="T1745" s="4">
        <f t="shared" si="10"/>
        <v>26</v>
      </c>
      <c r="U1745" s="4">
        <f t="shared" si="1"/>
        <v>-0.3409183497</v>
      </c>
      <c r="V1745" s="4"/>
    </row>
    <row r="1746">
      <c r="A1746" s="1" t="s">
        <v>19061</v>
      </c>
      <c r="B1746" s="1" t="s">
        <v>19062</v>
      </c>
      <c r="C1746" s="1" t="s">
        <v>19063</v>
      </c>
      <c r="D1746" s="1" t="s">
        <v>19050</v>
      </c>
      <c r="E1746" s="1" t="s">
        <v>19051</v>
      </c>
      <c r="F1746" s="1">
        <v>519433.0</v>
      </c>
      <c r="G1746" s="1">
        <v>22821.0</v>
      </c>
      <c r="H1746" s="1">
        <v>2183.0</v>
      </c>
      <c r="I1746" s="1">
        <v>4490000.0</v>
      </c>
      <c r="J1746" s="1" t="s">
        <v>2468</v>
      </c>
      <c r="K1746" s="5">
        <f t="shared" si="2"/>
        <v>0.115686637</v>
      </c>
      <c r="L1746" s="6">
        <f t="shared" si="3"/>
        <v>1001</v>
      </c>
      <c r="M1746" s="6">
        <f t="shared" si="4"/>
        <v>518.9140859</v>
      </c>
      <c r="N1746" s="7">
        <f t="shared" si="5"/>
        <v>0.0001155710659</v>
      </c>
      <c r="O1746" s="7"/>
      <c r="P1746" s="4">
        <f t="shared" si="6"/>
        <v>-0.3681219097</v>
      </c>
      <c r="Q1746" s="4">
        <f t="shared" si="7"/>
        <v>11</v>
      </c>
      <c r="R1746" s="4">
        <f t="shared" si="8"/>
        <v>0</v>
      </c>
      <c r="S1746" s="4">
        <f t="shared" si="9"/>
        <v>-0.3681219097</v>
      </c>
      <c r="T1746" s="4">
        <f t="shared" si="10"/>
        <v>44</v>
      </c>
      <c r="U1746" s="4">
        <f t="shared" si="1"/>
        <v>-0.3681219097</v>
      </c>
      <c r="V1746" s="4"/>
    </row>
    <row r="1747">
      <c r="A1747" s="1" t="s">
        <v>19064</v>
      </c>
      <c r="B1747" s="1" t="s">
        <v>19065</v>
      </c>
      <c r="C1747" s="1" t="s">
        <v>19066</v>
      </c>
      <c r="D1747" s="1" t="s">
        <v>19050</v>
      </c>
      <c r="E1747" s="1" t="s">
        <v>19051</v>
      </c>
      <c r="F1747" s="1">
        <v>546291.0</v>
      </c>
      <c r="G1747" s="1">
        <v>26152.0</v>
      </c>
      <c r="H1747" s="1">
        <v>2978.0</v>
      </c>
      <c r="I1747" s="1">
        <v>4490000.0</v>
      </c>
      <c r="J1747" s="1" t="s">
        <v>2468</v>
      </c>
      <c r="K1747" s="5">
        <f t="shared" si="2"/>
        <v>0.1216683742</v>
      </c>
      <c r="L1747" s="6">
        <f t="shared" si="3"/>
        <v>1039</v>
      </c>
      <c r="M1747" s="6">
        <f t="shared" si="4"/>
        <v>525.7853705</v>
      </c>
      <c r="N1747" s="7">
        <f t="shared" si="5"/>
        <v>0.0001171014188</v>
      </c>
      <c r="O1747" s="7"/>
      <c r="P1747" s="4">
        <f t="shared" si="6"/>
        <v>-0.3670439851</v>
      </c>
      <c r="Q1747" s="4">
        <f t="shared" si="7"/>
        <v>6</v>
      </c>
      <c r="R1747" s="4">
        <f t="shared" si="8"/>
        <v>0</v>
      </c>
      <c r="S1747" s="4">
        <f t="shared" si="9"/>
        <v>-0.3670439851</v>
      </c>
      <c r="T1747" s="4">
        <f t="shared" si="10"/>
        <v>19</v>
      </c>
      <c r="U1747" s="4">
        <f t="shared" si="1"/>
        <v>-0.3670439851</v>
      </c>
      <c r="V1747" s="4"/>
    </row>
    <row r="1748">
      <c r="A1748" s="1" t="s">
        <v>19067</v>
      </c>
      <c r="B1748" s="1" t="s">
        <v>19068</v>
      </c>
      <c r="C1748" s="1" t="s">
        <v>19069</v>
      </c>
      <c r="D1748" s="1" t="s">
        <v>19050</v>
      </c>
      <c r="E1748" s="1" t="s">
        <v>19051</v>
      </c>
      <c r="F1748" s="1">
        <v>1274230.0</v>
      </c>
      <c r="G1748" s="1">
        <v>56473.0</v>
      </c>
      <c r="H1748" s="1">
        <v>3205.0</v>
      </c>
      <c r="I1748" s="1">
        <v>4490000.0</v>
      </c>
      <c r="J1748" s="1" t="s">
        <v>2468</v>
      </c>
      <c r="K1748" s="5">
        <f t="shared" si="2"/>
        <v>0.2837928731</v>
      </c>
      <c r="L1748" s="6">
        <f t="shared" si="3"/>
        <v>1096</v>
      </c>
      <c r="M1748" s="6">
        <f t="shared" si="4"/>
        <v>1162.618613</v>
      </c>
      <c r="N1748" s="7">
        <f t="shared" si="5"/>
        <v>0.0002589351031</v>
      </c>
      <c r="O1748" s="7"/>
      <c r="P1748" s="4">
        <f t="shared" si="6"/>
        <v>-0.2671415251</v>
      </c>
      <c r="Q1748" s="4">
        <f t="shared" si="7"/>
        <v>7</v>
      </c>
      <c r="R1748" s="4">
        <f t="shared" si="8"/>
        <v>0</v>
      </c>
      <c r="S1748" s="4">
        <f t="shared" si="9"/>
        <v>-0.2671415251</v>
      </c>
      <c r="T1748" s="4">
        <f t="shared" si="10"/>
        <v>28</v>
      </c>
      <c r="U1748" s="4">
        <f t="shared" si="1"/>
        <v>-0.2671415251</v>
      </c>
      <c r="V1748" s="4"/>
    </row>
    <row r="1749">
      <c r="A1749" s="1" t="s">
        <v>19070</v>
      </c>
      <c r="B1749" s="1" t="s">
        <v>19071</v>
      </c>
      <c r="C1749" s="1" t="s">
        <v>19072</v>
      </c>
      <c r="D1749" s="1" t="s">
        <v>19050</v>
      </c>
      <c r="E1749" s="1" t="s">
        <v>19051</v>
      </c>
      <c r="F1749" s="1">
        <v>168792.0</v>
      </c>
      <c r="G1749" s="1">
        <v>8248.0</v>
      </c>
      <c r="H1749" s="1">
        <v>210.0</v>
      </c>
      <c r="I1749" s="1">
        <v>4490000.0</v>
      </c>
      <c r="J1749" s="1" t="s">
        <v>2468</v>
      </c>
      <c r="K1749" s="5">
        <f t="shared" si="2"/>
        <v>0.03759287305</v>
      </c>
      <c r="L1749" s="6">
        <f t="shared" si="3"/>
        <v>1107</v>
      </c>
      <c r="M1749" s="6">
        <f t="shared" si="4"/>
        <v>152.4769648</v>
      </c>
      <c r="N1749" s="7">
        <f t="shared" si="5"/>
        <v>0.00003395923492</v>
      </c>
      <c r="O1749" s="7"/>
      <c r="P1749" s="4">
        <f t="shared" si="6"/>
        <v>-0.4256062986</v>
      </c>
      <c r="Q1749" s="4">
        <f t="shared" si="7"/>
        <v>6</v>
      </c>
      <c r="R1749" s="4">
        <f t="shared" si="8"/>
        <v>0</v>
      </c>
      <c r="S1749" s="4">
        <f t="shared" si="9"/>
        <v>-0.4256062986</v>
      </c>
      <c r="T1749" s="4">
        <f t="shared" si="10"/>
        <v>18</v>
      </c>
      <c r="U1749" s="4">
        <f t="shared" si="1"/>
        <v>-0.4256062986</v>
      </c>
      <c r="V1749" s="4"/>
    </row>
    <row r="1750">
      <c r="A1750" s="1" t="s">
        <v>19073</v>
      </c>
      <c r="B1750" s="1" t="s">
        <v>19074</v>
      </c>
      <c r="C1750" s="1" t="s">
        <v>19075</v>
      </c>
      <c r="D1750" s="1" t="s">
        <v>19050</v>
      </c>
      <c r="E1750" s="1" t="s">
        <v>19051</v>
      </c>
      <c r="F1750" s="1">
        <v>1299775.0</v>
      </c>
      <c r="G1750" s="1">
        <v>61181.0</v>
      </c>
      <c r="H1750" s="1">
        <v>5345.0</v>
      </c>
      <c r="I1750" s="1">
        <v>4490000.0</v>
      </c>
      <c r="J1750" s="1" t="s">
        <v>2468</v>
      </c>
      <c r="K1750" s="5">
        <f t="shared" si="2"/>
        <v>0.2894821826</v>
      </c>
      <c r="L1750" s="6">
        <f t="shared" si="3"/>
        <v>1130</v>
      </c>
      <c r="M1750" s="6">
        <f t="shared" si="4"/>
        <v>1150.243363</v>
      </c>
      <c r="N1750" s="7">
        <f t="shared" si="5"/>
        <v>0.0002561789227</v>
      </c>
      <c r="O1750" s="7"/>
      <c r="P1750" s="4">
        <f t="shared" si="6"/>
        <v>-0.2690828779</v>
      </c>
      <c r="Q1750" s="4">
        <f t="shared" si="7"/>
        <v>5</v>
      </c>
      <c r="R1750" s="4">
        <f t="shared" si="8"/>
        <v>1</v>
      </c>
      <c r="S1750" s="4">
        <f t="shared" si="9"/>
        <v>-0.2690828779</v>
      </c>
      <c r="T1750" s="4">
        <f t="shared" si="10"/>
        <v>22</v>
      </c>
      <c r="U1750" s="4">
        <f t="shared" si="1"/>
        <v>-0.2690828779</v>
      </c>
      <c r="V1750" s="4"/>
    </row>
    <row r="1751">
      <c r="A1751" s="1" t="s">
        <v>19076</v>
      </c>
      <c r="B1751" s="1" t="s">
        <v>19077</v>
      </c>
      <c r="C1751" s="1" t="s">
        <v>19078</v>
      </c>
      <c r="D1751" s="1" t="s">
        <v>19050</v>
      </c>
      <c r="E1751" s="1" t="s">
        <v>19051</v>
      </c>
      <c r="F1751" s="1">
        <v>113114.0</v>
      </c>
      <c r="G1751" s="1">
        <v>6738.0</v>
      </c>
      <c r="H1751" s="1">
        <v>1278.0</v>
      </c>
      <c r="I1751" s="1">
        <v>4490000.0</v>
      </c>
      <c r="J1751" s="1" t="s">
        <v>2468</v>
      </c>
      <c r="K1751" s="5">
        <f t="shared" si="2"/>
        <v>0.02519242762</v>
      </c>
      <c r="L1751" s="6">
        <f t="shared" si="3"/>
        <v>1137</v>
      </c>
      <c r="M1751" s="6">
        <f t="shared" si="4"/>
        <v>99.48460862</v>
      </c>
      <c r="N1751" s="7">
        <f t="shared" si="5"/>
        <v>0.00002215692842</v>
      </c>
      <c r="O1751" s="7"/>
      <c r="P1751" s="4">
        <f t="shared" si="6"/>
        <v>-0.4339194117</v>
      </c>
      <c r="Q1751" s="4">
        <f t="shared" si="7"/>
        <v>7</v>
      </c>
      <c r="R1751" s="4">
        <f t="shared" si="8"/>
        <v>1</v>
      </c>
      <c r="S1751" s="4">
        <f t="shared" si="9"/>
        <v>-0.4339194117</v>
      </c>
      <c r="T1751" s="4">
        <f t="shared" si="10"/>
        <v>32</v>
      </c>
      <c r="U1751" s="4">
        <f t="shared" si="1"/>
        <v>-0.4339194117</v>
      </c>
      <c r="V1751" s="4"/>
    </row>
    <row r="1752">
      <c r="A1752" s="1" t="s">
        <v>19079</v>
      </c>
      <c r="B1752" s="1" t="s">
        <v>19080</v>
      </c>
      <c r="C1752" s="1" t="s">
        <v>19081</v>
      </c>
      <c r="D1752" s="1" t="s">
        <v>19050</v>
      </c>
      <c r="E1752" s="1" t="s">
        <v>19051</v>
      </c>
      <c r="F1752" s="1">
        <v>222766.0</v>
      </c>
      <c r="G1752" s="1">
        <v>12508.0</v>
      </c>
      <c r="H1752" s="1">
        <v>386.0</v>
      </c>
      <c r="I1752" s="1">
        <v>4490000.0</v>
      </c>
      <c r="J1752" s="1" t="s">
        <v>2468</v>
      </c>
      <c r="K1752" s="5">
        <f t="shared" si="2"/>
        <v>0.04961380846</v>
      </c>
      <c r="L1752" s="6">
        <f t="shared" si="3"/>
        <v>1163</v>
      </c>
      <c r="M1752" s="6">
        <f t="shared" si="4"/>
        <v>191.544282</v>
      </c>
      <c r="N1752" s="7">
        <f t="shared" si="5"/>
        <v>0.00004266019644</v>
      </c>
      <c r="O1752" s="7"/>
      <c r="P1752" s="4">
        <f t="shared" si="6"/>
        <v>-0.4194776596</v>
      </c>
      <c r="Q1752" s="4">
        <f t="shared" si="7"/>
        <v>7</v>
      </c>
      <c r="R1752" s="4">
        <f t="shared" si="8"/>
        <v>0</v>
      </c>
      <c r="S1752" s="4">
        <f t="shared" si="9"/>
        <v>-0.4194776596</v>
      </c>
      <c r="T1752" s="4">
        <f t="shared" si="10"/>
        <v>29</v>
      </c>
      <c r="U1752" s="4">
        <f t="shared" si="1"/>
        <v>-0.4194776596</v>
      </c>
      <c r="V1752" s="4"/>
    </row>
    <row r="1753">
      <c r="A1753" s="1" t="s">
        <v>19082</v>
      </c>
      <c r="B1753" s="1" t="s">
        <v>19083</v>
      </c>
      <c r="C1753" s="1" t="s">
        <v>19084</v>
      </c>
      <c r="D1753" s="1" t="s">
        <v>19050</v>
      </c>
      <c r="E1753" s="1" t="s">
        <v>19051</v>
      </c>
      <c r="F1753" s="1">
        <v>1741657.0</v>
      </c>
      <c r="G1753" s="1">
        <v>71262.0</v>
      </c>
      <c r="H1753" s="1">
        <v>2922.0</v>
      </c>
      <c r="I1753" s="1">
        <v>4490000.0</v>
      </c>
      <c r="J1753" s="1" t="s">
        <v>2468</v>
      </c>
      <c r="K1753" s="5">
        <f t="shared" si="2"/>
        <v>0.387896882</v>
      </c>
      <c r="L1753" s="6">
        <f t="shared" si="3"/>
        <v>1170</v>
      </c>
      <c r="M1753" s="6">
        <f t="shared" si="4"/>
        <v>1488.595726</v>
      </c>
      <c r="N1753" s="7">
        <f t="shared" si="5"/>
        <v>0.0003315357965</v>
      </c>
      <c r="O1753" s="7"/>
      <c r="P1753" s="4">
        <f t="shared" si="6"/>
        <v>-0.216004252</v>
      </c>
      <c r="Q1753" s="4">
        <f t="shared" si="7"/>
        <v>4</v>
      </c>
      <c r="R1753" s="4">
        <f t="shared" si="8"/>
        <v>1</v>
      </c>
      <c r="S1753" s="4">
        <f t="shared" si="9"/>
        <v>-0.216004252</v>
      </c>
      <c r="T1753" s="4">
        <f t="shared" si="10"/>
        <v>20</v>
      </c>
      <c r="U1753" s="4">
        <f t="shared" si="1"/>
        <v>-0.216004252</v>
      </c>
      <c r="V1753" s="4"/>
    </row>
    <row r="1754">
      <c r="A1754" s="1" t="s">
        <v>19085</v>
      </c>
      <c r="B1754" s="1" t="s">
        <v>19086</v>
      </c>
      <c r="C1754" s="1" t="s">
        <v>19087</v>
      </c>
      <c r="D1754" s="1" t="s">
        <v>19050</v>
      </c>
      <c r="E1754" s="1" t="s">
        <v>19051</v>
      </c>
      <c r="F1754" s="1">
        <v>129658.0</v>
      </c>
      <c r="G1754" s="1">
        <v>8007.0</v>
      </c>
      <c r="H1754" s="1">
        <v>230.0</v>
      </c>
      <c r="I1754" s="1">
        <v>4490000.0</v>
      </c>
      <c r="J1754" s="1" t="s">
        <v>2468</v>
      </c>
      <c r="K1754" s="5">
        <f t="shared" si="2"/>
        <v>0.02887706013</v>
      </c>
      <c r="L1754" s="6">
        <f t="shared" si="3"/>
        <v>1192</v>
      </c>
      <c r="M1754" s="6">
        <f t="shared" si="4"/>
        <v>108.7734899</v>
      </c>
      <c r="N1754" s="7">
        <f t="shared" si="5"/>
        <v>0.00002422572159</v>
      </c>
      <c r="O1754" s="7"/>
      <c r="P1754" s="4">
        <f t="shared" si="6"/>
        <v>-0.4324622294</v>
      </c>
      <c r="Q1754" s="4">
        <f t="shared" si="7"/>
        <v>8</v>
      </c>
      <c r="R1754" s="4">
        <f t="shared" si="8"/>
        <v>1</v>
      </c>
      <c r="S1754" s="4">
        <f t="shared" si="9"/>
        <v>-0.4324622294</v>
      </c>
      <c r="T1754" s="4">
        <f t="shared" si="10"/>
        <v>40</v>
      </c>
      <c r="U1754" s="4">
        <f t="shared" si="1"/>
        <v>-0.4324622294</v>
      </c>
      <c r="V1754" s="4"/>
    </row>
    <row r="1755">
      <c r="A1755" s="1" t="s">
        <v>19088</v>
      </c>
      <c r="B1755" s="1" t="s">
        <v>19089</v>
      </c>
      <c r="C1755" s="1" t="s">
        <v>19090</v>
      </c>
      <c r="D1755" s="1" t="s">
        <v>19050</v>
      </c>
      <c r="E1755" s="1" t="s">
        <v>19051</v>
      </c>
      <c r="F1755" s="1">
        <v>231924.0</v>
      </c>
      <c r="G1755" s="1">
        <v>17159.0</v>
      </c>
      <c r="H1755" s="1">
        <v>788.0</v>
      </c>
      <c r="I1755" s="1">
        <v>4490000.0</v>
      </c>
      <c r="J1755" s="1" t="s">
        <v>2468</v>
      </c>
      <c r="K1755" s="5">
        <f t="shared" si="2"/>
        <v>0.05165345212</v>
      </c>
      <c r="L1755" s="6">
        <f t="shared" si="3"/>
        <v>1209</v>
      </c>
      <c r="M1755" s="6">
        <f t="shared" si="4"/>
        <v>191.8312655</v>
      </c>
      <c r="N1755" s="7">
        <f t="shared" si="5"/>
        <v>0.00004272411259</v>
      </c>
      <c r="O1755" s="7"/>
      <c r="P1755" s="4">
        <f t="shared" si="6"/>
        <v>-0.4194326394</v>
      </c>
      <c r="Q1755" s="4">
        <f t="shared" si="7"/>
        <v>5</v>
      </c>
      <c r="R1755" s="4">
        <f t="shared" si="8"/>
        <v>1</v>
      </c>
      <c r="S1755" s="4">
        <f t="shared" si="9"/>
        <v>-0.4194326394</v>
      </c>
      <c r="T1755" s="4">
        <f t="shared" si="10"/>
        <v>25</v>
      </c>
      <c r="U1755" s="4">
        <f t="shared" si="1"/>
        <v>-0.4194326394</v>
      </c>
      <c r="V1755" s="4"/>
    </row>
    <row r="1756">
      <c r="A1756" s="1" t="s">
        <v>19091</v>
      </c>
      <c r="B1756" s="1" t="s">
        <v>19092</v>
      </c>
      <c r="C1756" s="1" t="s">
        <v>19093</v>
      </c>
      <c r="D1756" s="1" t="s">
        <v>19050</v>
      </c>
      <c r="E1756" s="1" t="s">
        <v>19051</v>
      </c>
      <c r="F1756" s="1">
        <v>226872.0</v>
      </c>
      <c r="G1756" s="1">
        <v>14139.0</v>
      </c>
      <c r="H1756" s="1">
        <v>357.0</v>
      </c>
      <c r="I1756" s="1">
        <v>4490000.0</v>
      </c>
      <c r="J1756" s="1" t="s">
        <v>2468</v>
      </c>
      <c r="K1756" s="5">
        <f t="shared" si="2"/>
        <v>0.05052828508</v>
      </c>
      <c r="L1756" s="6">
        <f t="shared" si="3"/>
        <v>1223</v>
      </c>
      <c r="M1756" s="6">
        <f t="shared" si="4"/>
        <v>185.5044971</v>
      </c>
      <c r="N1756" s="7">
        <f t="shared" si="5"/>
        <v>0.00004131503277</v>
      </c>
      <c r="O1756" s="7"/>
      <c r="P1756" s="4">
        <f t="shared" si="6"/>
        <v>-0.4204251437</v>
      </c>
      <c r="Q1756" s="4">
        <f t="shared" si="7"/>
        <v>10</v>
      </c>
      <c r="R1756" s="4">
        <f t="shared" si="8"/>
        <v>0</v>
      </c>
      <c r="S1756" s="4">
        <f t="shared" si="9"/>
        <v>-0.4204251437</v>
      </c>
      <c r="T1756" s="4">
        <f t="shared" si="10"/>
        <v>40</v>
      </c>
      <c r="U1756" s="4">
        <f t="shared" si="1"/>
        <v>-0.4204251437</v>
      </c>
      <c r="V1756" s="4"/>
    </row>
    <row r="1757">
      <c r="A1757" s="1" t="s">
        <v>19094</v>
      </c>
      <c r="B1757" s="1" t="s">
        <v>19095</v>
      </c>
      <c r="C1757" s="1" t="s">
        <v>19096</v>
      </c>
      <c r="D1757" s="1" t="s">
        <v>19050</v>
      </c>
      <c r="E1757" s="1" t="s">
        <v>19051</v>
      </c>
      <c r="F1757" s="1">
        <v>479064.0</v>
      </c>
      <c r="G1757" s="1">
        <v>26370.0</v>
      </c>
      <c r="H1757" s="1">
        <v>1207.0</v>
      </c>
      <c r="I1757" s="1">
        <v>4490000.0</v>
      </c>
      <c r="J1757" s="1" t="s">
        <v>2468</v>
      </c>
      <c r="K1757" s="5">
        <f t="shared" si="2"/>
        <v>0.1066957684</v>
      </c>
      <c r="L1757" s="6">
        <f t="shared" si="3"/>
        <v>1244</v>
      </c>
      <c r="M1757" s="6">
        <f t="shared" si="4"/>
        <v>385.0996785</v>
      </c>
      <c r="N1757" s="7">
        <f t="shared" si="5"/>
        <v>0.00008576830255</v>
      </c>
      <c r="O1757" s="7"/>
      <c r="P1757" s="4">
        <f t="shared" si="6"/>
        <v>-0.3891138862</v>
      </c>
      <c r="Q1757" s="4">
        <f t="shared" si="7"/>
        <v>6</v>
      </c>
      <c r="R1757" s="4">
        <f t="shared" si="8"/>
        <v>0</v>
      </c>
      <c r="S1757" s="4">
        <f t="shared" si="9"/>
        <v>-0.3891138862</v>
      </c>
      <c r="T1757" s="4">
        <f t="shared" si="10"/>
        <v>26</v>
      </c>
      <c r="U1757" s="4">
        <f t="shared" si="1"/>
        <v>-0.3891138862</v>
      </c>
      <c r="V1757" s="4"/>
    </row>
    <row r="1758">
      <c r="A1758" s="1" t="s">
        <v>19097</v>
      </c>
      <c r="B1758" s="1" t="s">
        <v>19098</v>
      </c>
      <c r="C1758" s="1" t="s">
        <v>19099</v>
      </c>
      <c r="D1758" s="1" t="s">
        <v>19050</v>
      </c>
      <c r="E1758" s="1" t="s">
        <v>19051</v>
      </c>
      <c r="F1758" s="1">
        <v>117803.0</v>
      </c>
      <c r="G1758" s="1">
        <v>7142.0</v>
      </c>
      <c r="H1758" s="1">
        <v>514.0</v>
      </c>
      <c r="I1758" s="1">
        <v>4490000.0</v>
      </c>
      <c r="J1758" s="1" t="s">
        <v>2468</v>
      </c>
      <c r="K1758" s="5">
        <f t="shared" si="2"/>
        <v>0.02623674833</v>
      </c>
      <c r="L1758" s="6">
        <f t="shared" si="3"/>
        <v>1257</v>
      </c>
      <c r="M1758" s="6">
        <f t="shared" si="4"/>
        <v>93.71758154</v>
      </c>
      <c r="N1758" s="7">
        <f t="shared" si="5"/>
        <v>0.00002087251259</v>
      </c>
      <c r="O1758" s="7"/>
      <c r="P1758" s="4">
        <f t="shared" si="6"/>
        <v>-0.4348241072</v>
      </c>
      <c r="Q1758" s="4">
        <f t="shared" si="7"/>
        <v>6</v>
      </c>
      <c r="R1758" s="4">
        <f t="shared" si="8"/>
        <v>0</v>
      </c>
      <c r="S1758" s="4">
        <f t="shared" si="9"/>
        <v>-0.4348241072</v>
      </c>
      <c r="T1758" s="4">
        <f t="shared" si="10"/>
        <v>28</v>
      </c>
      <c r="U1758" s="4">
        <f t="shared" si="1"/>
        <v>-0.4348241072</v>
      </c>
      <c r="V1758" s="4"/>
    </row>
    <row r="1759">
      <c r="A1759" s="1" t="s">
        <v>19100</v>
      </c>
      <c r="B1759" s="1" t="s">
        <v>19101</v>
      </c>
      <c r="C1759" s="1" t="s">
        <v>19102</v>
      </c>
      <c r="D1759" s="1" t="s">
        <v>19050</v>
      </c>
      <c r="E1759" s="1" t="s">
        <v>19051</v>
      </c>
      <c r="F1759" s="1">
        <v>202612.0</v>
      </c>
      <c r="G1759" s="1">
        <v>7880.0</v>
      </c>
      <c r="H1759" s="1">
        <v>159.0</v>
      </c>
      <c r="I1759" s="1">
        <v>4490000.0</v>
      </c>
      <c r="J1759" s="1" t="s">
        <v>2468</v>
      </c>
      <c r="K1759" s="5">
        <f t="shared" si="2"/>
        <v>0.04512516704</v>
      </c>
      <c r="L1759" s="6">
        <f t="shared" si="3"/>
        <v>1274</v>
      </c>
      <c r="M1759" s="6">
        <f t="shared" si="4"/>
        <v>159.0361068</v>
      </c>
      <c r="N1759" s="7">
        <f t="shared" si="5"/>
        <v>0.00003542006832</v>
      </c>
      <c r="O1759" s="7"/>
      <c r="P1759" s="4">
        <f t="shared" si="6"/>
        <v>-0.424577341</v>
      </c>
      <c r="Q1759" s="4">
        <f t="shared" si="7"/>
        <v>5</v>
      </c>
      <c r="R1759" s="4">
        <f t="shared" si="8"/>
        <v>0</v>
      </c>
      <c r="S1759" s="4">
        <f t="shared" si="9"/>
        <v>-0.424577341</v>
      </c>
      <c r="T1759" s="4">
        <f t="shared" si="10"/>
        <v>29</v>
      </c>
      <c r="U1759" s="4">
        <f t="shared" si="1"/>
        <v>-0.424577341</v>
      </c>
      <c r="V1759" s="4"/>
    </row>
    <row r="1760">
      <c r="A1760" s="1" t="s">
        <v>19103</v>
      </c>
      <c r="B1760" s="1" t="s">
        <v>19104</v>
      </c>
      <c r="C1760" s="1" t="s">
        <v>19105</v>
      </c>
      <c r="D1760" s="1" t="s">
        <v>19050</v>
      </c>
      <c r="E1760" s="1" t="s">
        <v>19051</v>
      </c>
      <c r="F1760" s="1">
        <v>608911.0</v>
      </c>
      <c r="G1760" s="1">
        <v>33431.0</v>
      </c>
      <c r="H1760" s="1">
        <v>2736.0</v>
      </c>
      <c r="I1760" s="1">
        <v>4490000.0</v>
      </c>
      <c r="J1760" s="1" t="s">
        <v>2468</v>
      </c>
      <c r="K1760" s="5">
        <f t="shared" si="2"/>
        <v>0.135614922</v>
      </c>
      <c r="L1760" s="6">
        <f t="shared" si="3"/>
        <v>1275</v>
      </c>
      <c r="M1760" s="6">
        <f t="shared" si="4"/>
        <v>477.5772549</v>
      </c>
      <c r="N1760" s="7">
        <f t="shared" si="5"/>
        <v>0.0001063646447</v>
      </c>
      <c r="O1760" s="7"/>
      <c r="P1760" s="4">
        <f t="shared" si="6"/>
        <v>-0.3746065761</v>
      </c>
      <c r="Q1760" s="4">
        <f t="shared" si="7"/>
        <v>6</v>
      </c>
      <c r="R1760" s="4">
        <f t="shared" si="8"/>
        <v>0</v>
      </c>
      <c r="S1760" s="4">
        <f t="shared" si="9"/>
        <v>-0.3746065761</v>
      </c>
      <c r="T1760" s="4">
        <f t="shared" si="10"/>
        <v>23</v>
      </c>
      <c r="U1760" s="4">
        <f t="shared" si="1"/>
        <v>-0.3746065761</v>
      </c>
      <c r="V1760" s="4"/>
    </row>
    <row r="1761">
      <c r="A1761" s="1" t="s">
        <v>19106</v>
      </c>
      <c r="B1761" s="1" t="s">
        <v>19107</v>
      </c>
      <c r="C1761" s="1" t="s">
        <v>19108</v>
      </c>
      <c r="D1761" s="1" t="s">
        <v>19050</v>
      </c>
      <c r="E1761" s="1" t="s">
        <v>19051</v>
      </c>
      <c r="F1761" s="1">
        <v>370869.0</v>
      </c>
      <c r="G1761" s="1">
        <v>25208.0</v>
      </c>
      <c r="H1761" s="1">
        <v>901.0</v>
      </c>
      <c r="I1761" s="1">
        <v>4490000.0</v>
      </c>
      <c r="J1761" s="1" t="s">
        <v>2468</v>
      </c>
      <c r="K1761" s="5">
        <f t="shared" si="2"/>
        <v>0.08259888641</v>
      </c>
      <c r="L1761" s="6">
        <f t="shared" si="3"/>
        <v>1283</v>
      </c>
      <c r="M1761" s="6">
        <f t="shared" si="4"/>
        <v>289.0639127</v>
      </c>
      <c r="N1761" s="7">
        <f t="shared" si="5"/>
        <v>0.00006437949058</v>
      </c>
      <c r="O1761" s="7"/>
      <c r="P1761" s="4">
        <f t="shared" si="6"/>
        <v>-0.4041793831</v>
      </c>
      <c r="Q1761" s="4">
        <f t="shared" si="7"/>
        <v>6</v>
      </c>
      <c r="R1761" s="4">
        <f t="shared" si="8"/>
        <v>0</v>
      </c>
      <c r="S1761" s="4">
        <f t="shared" si="9"/>
        <v>-0.4041793831</v>
      </c>
      <c r="T1761" s="4">
        <f t="shared" si="10"/>
        <v>22</v>
      </c>
      <c r="U1761" s="4">
        <f t="shared" si="1"/>
        <v>-0.4041793831</v>
      </c>
      <c r="V1761" s="4"/>
    </row>
    <row r="1762">
      <c r="A1762" s="1" t="s">
        <v>19109</v>
      </c>
      <c r="B1762" s="1" t="s">
        <v>19110</v>
      </c>
      <c r="C1762" s="1" t="s">
        <v>19111</v>
      </c>
      <c r="D1762" s="1" t="s">
        <v>19050</v>
      </c>
      <c r="E1762" s="1" t="s">
        <v>19051</v>
      </c>
      <c r="F1762" s="1">
        <v>555538.0</v>
      </c>
      <c r="G1762" s="1">
        <v>26780.0</v>
      </c>
      <c r="H1762" s="1">
        <v>876.0</v>
      </c>
      <c r="I1762" s="1">
        <v>4490000.0</v>
      </c>
      <c r="J1762" s="1" t="s">
        <v>2468</v>
      </c>
      <c r="K1762" s="5">
        <f t="shared" si="2"/>
        <v>0.1237278396</v>
      </c>
      <c r="L1762" s="6">
        <f t="shared" si="3"/>
        <v>1297</v>
      </c>
      <c r="M1762" s="6">
        <f t="shared" si="4"/>
        <v>428.3253662</v>
      </c>
      <c r="N1762" s="7">
        <f t="shared" si="5"/>
        <v>0.00009539540451</v>
      </c>
      <c r="O1762" s="7"/>
      <c r="P1762" s="4">
        <f t="shared" si="6"/>
        <v>-0.3823329077</v>
      </c>
      <c r="Q1762" s="4">
        <f t="shared" si="7"/>
        <v>5</v>
      </c>
      <c r="R1762" s="4">
        <f t="shared" si="8"/>
        <v>0</v>
      </c>
      <c r="S1762" s="4">
        <f t="shared" si="9"/>
        <v>-0.3823329077</v>
      </c>
      <c r="T1762" s="4">
        <f t="shared" si="10"/>
        <v>23</v>
      </c>
      <c r="U1762" s="4">
        <f t="shared" si="1"/>
        <v>-0.3823329077</v>
      </c>
      <c r="V1762" s="4"/>
    </row>
    <row r="1763">
      <c r="A1763" s="1" t="s">
        <v>19112</v>
      </c>
      <c r="B1763" s="1" t="s">
        <v>19113</v>
      </c>
      <c r="C1763" s="1" t="s">
        <v>19114</v>
      </c>
      <c r="D1763" s="1" t="s">
        <v>19050</v>
      </c>
      <c r="E1763" s="1" t="s">
        <v>19051</v>
      </c>
      <c r="F1763" s="1">
        <v>487616.0</v>
      </c>
      <c r="G1763" s="1">
        <v>24034.0</v>
      </c>
      <c r="H1763" s="1">
        <v>547.0</v>
      </c>
      <c r="I1763" s="1">
        <v>4490000.0</v>
      </c>
      <c r="J1763" s="1" t="s">
        <v>2468</v>
      </c>
      <c r="K1763" s="5">
        <f t="shared" si="2"/>
        <v>0.1086004454</v>
      </c>
      <c r="L1763" s="6">
        <f t="shared" si="3"/>
        <v>1374</v>
      </c>
      <c r="M1763" s="6">
        <f t="shared" si="4"/>
        <v>354.8879185</v>
      </c>
      <c r="N1763" s="7">
        <f t="shared" si="5"/>
        <v>0.0000790396255</v>
      </c>
      <c r="O1763" s="7"/>
      <c r="P1763" s="4">
        <f t="shared" si="6"/>
        <v>-0.3938533203</v>
      </c>
      <c r="Q1763" s="4">
        <f t="shared" si="7"/>
        <v>6</v>
      </c>
      <c r="R1763" s="4">
        <f t="shared" si="8"/>
        <v>0</v>
      </c>
      <c r="S1763" s="4">
        <f t="shared" si="9"/>
        <v>-0.3938533203</v>
      </c>
      <c r="T1763" s="4">
        <f t="shared" si="10"/>
        <v>28</v>
      </c>
      <c r="U1763" s="4">
        <f t="shared" si="1"/>
        <v>-0.3938533203</v>
      </c>
      <c r="V1763" s="4"/>
    </row>
    <row r="1764">
      <c r="A1764" s="1" t="s">
        <v>19115</v>
      </c>
      <c r="B1764" s="1" t="s">
        <v>19116</v>
      </c>
      <c r="C1764" s="1" t="s">
        <v>19117</v>
      </c>
      <c r="D1764" s="1" t="s">
        <v>19050</v>
      </c>
      <c r="E1764" s="1" t="s">
        <v>19051</v>
      </c>
      <c r="F1764" s="1">
        <v>394483.0</v>
      </c>
      <c r="G1764" s="1">
        <v>21183.0</v>
      </c>
      <c r="H1764" s="1">
        <v>1307.0</v>
      </c>
      <c r="I1764" s="1">
        <v>4490000.0</v>
      </c>
      <c r="J1764" s="1" t="s">
        <v>2468</v>
      </c>
      <c r="K1764" s="5">
        <f t="shared" si="2"/>
        <v>0.08785812918</v>
      </c>
      <c r="L1764" s="6">
        <f t="shared" si="3"/>
        <v>1382</v>
      </c>
      <c r="M1764" s="6">
        <f t="shared" si="4"/>
        <v>285.4435601</v>
      </c>
      <c r="N1764" s="7">
        <f t="shared" si="5"/>
        <v>0.00006357317596</v>
      </c>
      <c r="O1764" s="7"/>
      <c r="P1764" s="4">
        <f t="shared" si="6"/>
        <v>-0.4047473216</v>
      </c>
      <c r="Q1764" s="4">
        <f t="shared" si="7"/>
        <v>5</v>
      </c>
      <c r="R1764" s="4">
        <f t="shared" si="8"/>
        <v>0</v>
      </c>
      <c r="S1764" s="4">
        <f t="shared" si="9"/>
        <v>-0.4047473216</v>
      </c>
      <c r="T1764" s="4">
        <f t="shared" si="10"/>
        <v>16</v>
      </c>
      <c r="U1764" s="4">
        <f t="shared" si="1"/>
        <v>-0.4047473216</v>
      </c>
      <c r="V1764" s="4"/>
    </row>
    <row r="1765">
      <c r="A1765" s="1" t="s">
        <v>19118</v>
      </c>
      <c r="B1765" s="1" t="s">
        <v>19119</v>
      </c>
      <c r="C1765" s="1" t="s">
        <v>19120</v>
      </c>
      <c r="D1765" s="1" t="s">
        <v>19050</v>
      </c>
      <c r="E1765" s="1" t="s">
        <v>19051</v>
      </c>
      <c r="F1765" s="1">
        <v>161159.0</v>
      </c>
      <c r="G1765" s="1">
        <v>10379.0</v>
      </c>
      <c r="H1765" s="1">
        <v>399.0</v>
      </c>
      <c r="I1765" s="1">
        <v>4490000.0</v>
      </c>
      <c r="J1765" s="1" t="s">
        <v>2468</v>
      </c>
      <c r="K1765" s="5">
        <f t="shared" si="2"/>
        <v>0.03589287305</v>
      </c>
      <c r="L1765" s="6">
        <f t="shared" si="3"/>
        <v>1389</v>
      </c>
      <c r="M1765" s="6">
        <f t="shared" si="4"/>
        <v>116.025198</v>
      </c>
      <c r="N1765" s="7">
        <f t="shared" si="5"/>
        <v>0.00002584080133</v>
      </c>
      <c r="O1765" s="7"/>
      <c r="P1765" s="4">
        <f t="shared" si="6"/>
        <v>-0.4313246263</v>
      </c>
      <c r="Q1765" s="4">
        <f t="shared" si="7"/>
        <v>5</v>
      </c>
      <c r="R1765" s="4">
        <f t="shared" si="8"/>
        <v>0</v>
      </c>
      <c r="S1765" s="4">
        <f t="shared" si="9"/>
        <v>-0.4313246263</v>
      </c>
      <c r="T1765" s="4">
        <f t="shared" si="10"/>
        <v>22</v>
      </c>
      <c r="U1765" s="4">
        <f t="shared" si="1"/>
        <v>-0.4313246263</v>
      </c>
      <c r="V1765" s="4"/>
    </row>
    <row r="1766">
      <c r="A1766" s="1" t="s">
        <v>19121</v>
      </c>
      <c r="B1766" s="1" t="s">
        <v>19122</v>
      </c>
      <c r="C1766" s="1" t="s">
        <v>19123</v>
      </c>
      <c r="D1766" s="1" t="s">
        <v>19050</v>
      </c>
      <c r="E1766" s="1" t="s">
        <v>19051</v>
      </c>
      <c r="F1766" s="1">
        <v>910671.0</v>
      </c>
      <c r="G1766" s="1">
        <v>34034.0</v>
      </c>
      <c r="H1766" s="1">
        <v>1746.0</v>
      </c>
      <c r="I1766" s="1">
        <v>4490000.0</v>
      </c>
      <c r="J1766" s="1" t="s">
        <v>2468</v>
      </c>
      <c r="K1766" s="5">
        <f t="shared" si="2"/>
        <v>0.202822049</v>
      </c>
      <c r="L1766" s="6">
        <f t="shared" si="3"/>
        <v>1410</v>
      </c>
      <c r="M1766" s="6">
        <f t="shared" si="4"/>
        <v>645.8659574</v>
      </c>
      <c r="N1766" s="7">
        <f t="shared" si="5"/>
        <v>0.0001438454248</v>
      </c>
      <c r="O1766" s="7"/>
      <c r="P1766" s="4">
        <f t="shared" si="6"/>
        <v>-0.3482064854</v>
      </c>
      <c r="Q1766" s="4">
        <f t="shared" si="7"/>
        <v>6</v>
      </c>
      <c r="R1766" s="4">
        <f t="shared" si="8"/>
        <v>0</v>
      </c>
      <c r="S1766" s="4">
        <f t="shared" si="9"/>
        <v>-0.3482064854</v>
      </c>
      <c r="T1766" s="4">
        <f t="shared" si="10"/>
        <v>23</v>
      </c>
      <c r="U1766" s="4">
        <f t="shared" si="1"/>
        <v>-0.3482064854</v>
      </c>
      <c r="V1766" s="4"/>
    </row>
    <row r="1767">
      <c r="A1767" s="1" t="s">
        <v>19124</v>
      </c>
      <c r="B1767" s="1" t="s">
        <v>19125</v>
      </c>
      <c r="C1767" s="1" t="s">
        <v>19126</v>
      </c>
      <c r="D1767" s="1" t="s">
        <v>19050</v>
      </c>
      <c r="E1767" s="1" t="s">
        <v>19051</v>
      </c>
      <c r="F1767" s="1">
        <v>641340.0</v>
      </c>
      <c r="G1767" s="1">
        <v>27905.0</v>
      </c>
      <c r="H1767" s="1">
        <v>1620.0</v>
      </c>
      <c r="I1767" s="1">
        <v>4490000.0</v>
      </c>
      <c r="J1767" s="1" t="s">
        <v>2468</v>
      </c>
      <c r="K1767" s="5">
        <f t="shared" si="2"/>
        <v>0.1428374165</v>
      </c>
      <c r="L1767" s="6">
        <f t="shared" si="3"/>
        <v>1457</v>
      </c>
      <c r="M1767" s="6">
        <f t="shared" si="4"/>
        <v>440.1784489</v>
      </c>
      <c r="N1767" s="7">
        <f t="shared" si="5"/>
        <v>0.00009803528928</v>
      </c>
      <c r="O1767" s="7"/>
      <c r="P1767" s="4">
        <f t="shared" si="6"/>
        <v>-0.3804734694</v>
      </c>
      <c r="Q1767" s="4">
        <f t="shared" si="7"/>
        <v>5</v>
      </c>
      <c r="R1767" s="4">
        <f t="shared" si="8"/>
        <v>0</v>
      </c>
      <c r="S1767" s="4">
        <f t="shared" si="9"/>
        <v>-0.3804734694</v>
      </c>
      <c r="T1767" s="4">
        <f t="shared" si="10"/>
        <v>29</v>
      </c>
      <c r="U1767" s="4">
        <f t="shared" si="1"/>
        <v>-0.3804734694</v>
      </c>
      <c r="V1767" s="4"/>
    </row>
    <row r="1768">
      <c r="A1768" s="1" t="s">
        <v>19127</v>
      </c>
      <c r="B1768" s="1" t="s">
        <v>19128</v>
      </c>
      <c r="C1768" s="1" t="s">
        <v>19129</v>
      </c>
      <c r="D1768" s="1" t="s">
        <v>19050</v>
      </c>
      <c r="E1768" s="1" t="s">
        <v>19051</v>
      </c>
      <c r="F1768" s="1">
        <v>152951.0</v>
      </c>
      <c r="G1768" s="1">
        <v>6215.0</v>
      </c>
      <c r="H1768" s="1">
        <v>71.0</v>
      </c>
      <c r="I1768" s="1">
        <v>4490000.0</v>
      </c>
      <c r="J1768" s="1" t="s">
        <v>2468</v>
      </c>
      <c r="K1768" s="5">
        <f t="shared" si="2"/>
        <v>0.03406481069</v>
      </c>
      <c r="L1768" s="6">
        <f t="shared" si="3"/>
        <v>1472</v>
      </c>
      <c r="M1768" s="6">
        <f t="shared" si="4"/>
        <v>103.9069293</v>
      </c>
      <c r="N1768" s="7">
        <f t="shared" si="5"/>
        <v>0.00002314185509</v>
      </c>
      <c r="O1768" s="7"/>
      <c r="P1768" s="4">
        <f t="shared" si="6"/>
        <v>-0.4332256654</v>
      </c>
      <c r="Q1768" s="4">
        <f t="shared" si="7"/>
        <v>4</v>
      </c>
      <c r="R1768" s="4">
        <f t="shared" si="8"/>
        <v>0</v>
      </c>
      <c r="S1768" s="4">
        <f t="shared" si="9"/>
        <v>-0.4332256654</v>
      </c>
      <c r="T1768" s="4">
        <f t="shared" si="10"/>
        <v>24</v>
      </c>
      <c r="U1768" s="4">
        <f t="shared" si="1"/>
        <v>-0.4332256654</v>
      </c>
      <c r="V1768" s="4"/>
    </row>
    <row r="1769">
      <c r="A1769" s="1" t="s">
        <v>19130</v>
      </c>
      <c r="B1769" s="1" t="s">
        <v>19131</v>
      </c>
      <c r="C1769" s="1" t="s">
        <v>19132</v>
      </c>
      <c r="D1769" s="1" t="s">
        <v>19050</v>
      </c>
      <c r="E1769" s="1" t="s">
        <v>19051</v>
      </c>
      <c r="F1769" s="1">
        <v>509835.0</v>
      </c>
      <c r="G1769" s="1">
        <v>17378.0</v>
      </c>
      <c r="H1769" s="1">
        <v>270.0</v>
      </c>
      <c r="I1769" s="1">
        <v>4490000.0</v>
      </c>
      <c r="J1769" s="1" t="s">
        <v>2468</v>
      </c>
      <c r="K1769" s="5">
        <f t="shared" si="2"/>
        <v>0.1135489978</v>
      </c>
      <c r="L1769" s="6">
        <f t="shared" si="3"/>
        <v>1486</v>
      </c>
      <c r="M1769" s="6">
        <f t="shared" si="4"/>
        <v>343.0921938</v>
      </c>
      <c r="N1769" s="7">
        <f t="shared" si="5"/>
        <v>0.00007641251532</v>
      </c>
      <c r="O1769" s="7"/>
      <c r="P1769" s="4">
        <f t="shared" si="6"/>
        <v>-0.3957037606</v>
      </c>
      <c r="Q1769" s="4">
        <f t="shared" si="7"/>
        <v>6</v>
      </c>
      <c r="R1769" s="4">
        <f t="shared" si="8"/>
        <v>0</v>
      </c>
      <c r="S1769" s="4">
        <f t="shared" si="9"/>
        <v>-0.3957037606</v>
      </c>
      <c r="T1769" s="4">
        <f t="shared" si="10"/>
        <v>29</v>
      </c>
      <c r="U1769" s="4">
        <f t="shared" si="1"/>
        <v>-0.3957037606</v>
      </c>
      <c r="V1769" s="4"/>
    </row>
    <row r="1770">
      <c r="A1770" s="1" t="s">
        <v>19133</v>
      </c>
      <c r="B1770" s="1" t="s">
        <v>19134</v>
      </c>
      <c r="C1770" s="1" t="s">
        <v>19135</v>
      </c>
      <c r="D1770" s="1" t="s">
        <v>19050</v>
      </c>
      <c r="E1770" s="1" t="s">
        <v>19051</v>
      </c>
      <c r="F1770" s="1">
        <v>235858.0</v>
      </c>
      <c r="G1770" s="1">
        <v>11702.0</v>
      </c>
      <c r="H1770" s="1">
        <v>165.0</v>
      </c>
      <c r="I1770" s="1">
        <v>4490000.0</v>
      </c>
      <c r="J1770" s="1" t="s">
        <v>2468</v>
      </c>
      <c r="K1770" s="5">
        <f t="shared" si="2"/>
        <v>0.05252962138</v>
      </c>
      <c r="L1770" s="6">
        <f t="shared" si="3"/>
        <v>1486</v>
      </c>
      <c r="M1770" s="6">
        <f t="shared" si="4"/>
        <v>158.7200538</v>
      </c>
      <c r="N1770" s="7">
        <f t="shared" si="5"/>
        <v>0.00003534967791</v>
      </c>
      <c r="O1770" s="7"/>
      <c r="P1770" s="4">
        <f t="shared" si="6"/>
        <v>-0.4246269214</v>
      </c>
      <c r="Q1770" s="4">
        <f t="shared" si="7"/>
        <v>4</v>
      </c>
      <c r="R1770" s="4">
        <f t="shared" si="8"/>
        <v>0</v>
      </c>
      <c r="S1770" s="4">
        <f t="shared" si="9"/>
        <v>-0.4246269214</v>
      </c>
      <c r="T1770" s="4">
        <f t="shared" si="10"/>
        <v>17</v>
      </c>
      <c r="U1770" s="4">
        <f t="shared" si="1"/>
        <v>-0.4246269214</v>
      </c>
      <c r="V1770" s="4"/>
    </row>
    <row r="1771">
      <c r="A1771" s="1" t="s">
        <v>19136</v>
      </c>
      <c r="B1771" s="1" t="s">
        <v>19137</v>
      </c>
      <c r="C1771" s="1" t="s">
        <v>19138</v>
      </c>
      <c r="D1771" s="1" t="s">
        <v>19050</v>
      </c>
      <c r="E1771" s="1" t="s">
        <v>19051</v>
      </c>
      <c r="F1771" s="1">
        <v>125130.0</v>
      </c>
      <c r="G1771" s="1">
        <v>5841.0</v>
      </c>
      <c r="H1771" s="1">
        <v>98.0</v>
      </c>
      <c r="I1771" s="1">
        <v>4490000.0</v>
      </c>
      <c r="J1771" s="1" t="s">
        <v>2468</v>
      </c>
      <c r="K1771" s="5">
        <f t="shared" si="2"/>
        <v>0.02786859688</v>
      </c>
      <c r="L1771" s="6">
        <f t="shared" si="3"/>
        <v>1487</v>
      </c>
      <c r="M1771" s="6">
        <f t="shared" si="4"/>
        <v>84.14929388</v>
      </c>
      <c r="N1771" s="7">
        <f t="shared" si="5"/>
        <v>0.00001874149084</v>
      </c>
      <c r="O1771" s="7"/>
      <c r="P1771" s="4">
        <f t="shared" si="6"/>
        <v>-0.436325121</v>
      </c>
      <c r="Q1771" s="4">
        <f t="shared" si="7"/>
        <v>5</v>
      </c>
      <c r="R1771" s="4">
        <f t="shared" si="8"/>
        <v>0</v>
      </c>
      <c r="S1771" s="4">
        <f t="shared" si="9"/>
        <v>-0.436325121</v>
      </c>
      <c r="T1771" s="4">
        <f t="shared" si="10"/>
        <v>26</v>
      </c>
      <c r="U1771" s="4">
        <f t="shared" si="1"/>
        <v>-0.436325121</v>
      </c>
      <c r="V1771" s="4"/>
    </row>
    <row r="1772">
      <c r="A1772" s="1" t="s">
        <v>19139</v>
      </c>
      <c r="B1772" s="1" t="s">
        <v>19140</v>
      </c>
      <c r="C1772" s="1" t="s">
        <v>19141</v>
      </c>
      <c r="D1772" s="1" t="s">
        <v>19050</v>
      </c>
      <c r="E1772" s="1" t="s">
        <v>19051</v>
      </c>
      <c r="F1772" s="1">
        <v>115388.0</v>
      </c>
      <c r="G1772" s="1">
        <v>7163.0</v>
      </c>
      <c r="H1772" s="1">
        <v>106.0</v>
      </c>
      <c r="I1772" s="1">
        <v>4490000.0</v>
      </c>
      <c r="J1772" s="1" t="s">
        <v>2468</v>
      </c>
      <c r="K1772" s="5">
        <f t="shared" si="2"/>
        <v>0.02569888641</v>
      </c>
      <c r="L1772" s="6">
        <f t="shared" si="3"/>
        <v>1488</v>
      </c>
      <c r="M1772" s="6">
        <f t="shared" si="4"/>
        <v>77.54569892</v>
      </c>
      <c r="N1772" s="7">
        <f t="shared" si="5"/>
        <v>0.000017270757</v>
      </c>
      <c r="O1772" s="7"/>
      <c r="P1772" s="4">
        <f t="shared" si="6"/>
        <v>-0.4373610521</v>
      </c>
      <c r="Q1772" s="4">
        <f t="shared" si="7"/>
        <v>4</v>
      </c>
      <c r="R1772" s="4">
        <f t="shared" si="8"/>
        <v>0</v>
      </c>
      <c r="S1772" s="4">
        <f t="shared" si="9"/>
        <v>-0.4373610521</v>
      </c>
      <c r="T1772" s="4">
        <f t="shared" si="10"/>
        <v>21</v>
      </c>
      <c r="U1772" s="4">
        <f t="shared" si="1"/>
        <v>-0.4373610521</v>
      </c>
      <c r="V1772" s="4"/>
    </row>
    <row r="1773">
      <c r="A1773" s="1" t="s">
        <v>19142</v>
      </c>
      <c r="B1773" s="1" t="s">
        <v>19143</v>
      </c>
      <c r="C1773" s="1" t="s">
        <v>19144</v>
      </c>
      <c r="D1773" s="1" t="s">
        <v>19050</v>
      </c>
      <c r="E1773" s="1" t="s">
        <v>19051</v>
      </c>
      <c r="F1773" s="1">
        <v>476507.0</v>
      </c>
      <c r="G1773" s="1">
        <v>23306.0</v>
      </c>
      <c r="H1773" s="1">
        <v>407.0</v>
      </c>
      <c r="I1773" s="1">
        <v>4490000.0</v>
      </c>
      <c r="J1773" s="1" t="s">
        <v>2468</v>
      </c>
      <c r="K1773" s="5">
        <f t="shared" si="2"/>
        <v>0.1061262806</v>
      </c>
      <c r="L1773" s="6">
        <f t="shared" si="3"/>
        <v>1489</v>
      </c>
      <c r="M1773" s="6">
        <f t="shared" si="4"/>
        <v>320.018133</v>
      </c>
      <c r="N1773" s="7">
        <f t="shared" si="5"/>
        <v>0.00007127352628</v>
      </c>
      <c r="O1773" s="7"/>
      <c r="P1773" s="4">
        <f t="shared" si="6"/>
        <v>-0.3993234765</v>
      </c>
      <c r="Q1773" s="4">
        <f t="shared" si="7"/>
        <v>6</v>
      </c>
      <c r="R1773" s="4">
        <f t="shared" si="8"/>
        <v>0</v>
      </c>
      <c r="S1773" s="4">
        <f t="shared" si="9"/>
        <v>-0.3993234765</v>
      </c>
      <c r="T1773" s="4">
        <f t="shared" si="10"/>
        <v>18</v>
      </c>
      <c r="U1773" s="4">
        <f t="shared" si="1"/>
        <v>-0.3993234765</v>
      </c>
      <c r="V1773" s="4"/>
    </row>
    <row r="1774">
      <c r="A1774" s="1" t="s">
        <v>19145</v>
      </c>
      <c r="B1774" s="1" t="s">
        <v>19146</v>
      </c>
      <c r="C1774" s="1" t="s">
        <v>19147</v>
      </c>
      <c r="D1774" s="1" t="s">
        <v>19050</v>
      </c>
      <c r="E1774" s="1" t="s">
        <v>19051</v>
      </c>
      <c r="F1774" s="1">
        <v>141875.0</v>
      </c>
      <c r="G1774" s="1">
        <v>6881.0</v>
      </c>
      <c r="H1774" s="1">
        <v>71.0</v>
      </c>
      <c r="I1774" s="1">
        <v>4490000.0</v>
      </c>
      <c r="J1774" s="1" t="s">
        <v>2468</v>
      </c>
      <c r="K1774" s="5">
        <f t="shared" si="2"/>
        <v>0.03159799555</v>
      </c>
      <c r="L1774" s="6">
        <f t="shared" si="3"/>
        <v>1490</v>
      </c>
      <c r="M1774" s="6">
        <f t="shared" si="4"/>
        <v>95.21812081</v>
      </c>
      <c r="N1774" s="7">
        <f t="shared" si="5"/>
        <v>0.00002120670842</v>
      </c>
      <c r="O1774" s="7"/>
      <c r="P1774" s="4">
        <f t="shared" si="6"/>
        <v>-0.4345887119</v>
      </c>
      <c r="Q1774" s="4">
        <f t="shared" si="7"/>
        <v>5</v>
      </c>
      <c r="R1774" s="4">
        <f t="shared" si="8"/>
        <v>0</v>
      </c>
      <c r="S1774" s="4">
        <f t="shared" si="9"/>
        <v>-0.4345887119</v>
      </c>
      <c r="T1774" s="4">
        <f t="shared" si="10"/>
        <v>24</v>
      </c>
      <c r="U1774" s="4">
        <f t="shared" si="1"/>
        <v>-0.4345887119</v>
      </c>
      <c r="V1774" s="4"/>
    </row>
    <row r="1775">
      <c r="A1775" s="1" t="s">
        <v>19148</v>
      </c>
      <c r="B1775" s="1" t="s">
        <v>19149</v>
      </c>
      <c r="C1775" s="1" t="s">
        <v>19150</v>
      </c>
      <c r="D1775" s="1" t="s">
        <v>19050</v>
      </c>
      <c r="E1775" s="1" t="s">
        <v>19051</v>
      </c>
      <c r="F1775" s="1">
        <v>160118.0</v>
      </c>
      <c r="G1775" s="1">
        <v>7586.0</v>
      </c>
      <c r="H1775" s="1">
        <v>111.0</v>
      </c>
      <c r="I1775" s="1">
        <v>4490000.0</v>
      </c>
      <c r="J1775" s="1" t="s">
        <v>2468</v>
      </c>
      <c r="K1775" s="5">
        <f t="shared" si="2"/>
        <v>0.0356610245</v>
      </c>
      <c r="L1775" s="6">
        <f t="shared" si="3"/>
        <v>1491</v>
      </c>
      <c r="M1775" s="6">
        <f t="shared" si="4"/>
        <v>107.3896714</v>
      </c>
      <c r="N1775" s="7">
        <f t="shared" si="5"/>
        <v>0.00002391752146</v>
      </c>
      <c r="O1775" s="7"/>
      <c r="P1775" s="4">
        <f t="shared" si="6"/>
        <v>-0.4326793143</v>
      </c>
      <c r="Q1775" s="4">
        <f t="shared" si="7"/>
        <v>7</v>
      </c>
      <c r="R1775" s="4">
        <f t="shared" si="8"/>
        <v>0</v>
      </c>
      <c r="S1775" s="4">
        <f t="shared" si="9"/>
        <v>-0.4326793143</v>
      </c>
      <c r="T1775" s="4">
        <f t="shared" si="10"/>
        <v>38</v>
      </c>
      <c r="U1775" s="4">
        <f t="shared" si="1"/>
        <v>-0.4326793143</v>
      </c>
      <c r="V1775" s="4"/>
    </row>
    <row r="1776">
      <c r="A1776" s="1" t="s">
        <v>19151</v>
      </c>
      <c r="B1776" s="1" t="s">
        <v>19152</v>
      </c>
      <c r="C1776" s="1" t="s">
        <v>19153</v>
      </c>
      <c r="D1776" s="1" t="s">
        <v>19050</v>
      </c>
      <c r="E1776" s="1" t="s">
        <v>19051</v>
      </c>
      <c r="F1776" s="1">
        <v>148239.0</v>
      </c>
      <c r="G1776" s="1">
        <v>7284.0</v>
      </c>
      <c r="H1776" s="1">
        <v>273.0</v>
      </c>
      <c r="I1776" s="1">
        <v>4490000.0</v>
      </c>
      <c r="J1776" s="1" t="s">
        <v>2468</v>
      </c>
      <c r="K1776" s="5">
        <f t="shared" si="2"/>
        <v>0.03301536748</v>
      </c>
      <c r="L1776" s="6">
        <f t="shared" si="3"/>
        <v>1491</v>
      </c>
      <c r="M1776" s="6">
        <f t="shared" si="4"/>
        <v>99.42253521</v>
      </c>
      <c r="N1776" s="7">
        <f t="shared" si="5"/>
        <v>0.00002214310361</v>
      </c>
      <c r="O1776" s="7"/>
      <c r="P1776" s="4">
        <f t="shared" si="6"/>
        <v>-0.4339291494</v>
      </c>
      <c r="Q1776" s="4">
        <f t="shared" si="7"/>
        <v>4</v>
      </c>
      <c r="R1776" s="4">
        <f t="shared" si="8"/>
        <v>0</v>
      </c>
      <c r="S1776" s="4">
        <f t="shared" si="9"/>
        <v>-0.4339291494</v>
      </c>
      <c r="T1776" s="4">
        <f t="shared" si="10"/>
        <v>26</v>
      </c>
      <c r="U1776" s="4">
        <f t="shared" si="1"/>
        <v>-0.4339291494</v>
      </c>
      <c r="V1776" s="4"/>
    </row>
    <row r="1777">
      <c r="A1777" s="1" t="s">
        <v>19154</v>
      </c>
      <c r="B1777" s="1" t="s">
        <v>19155</v>
      </c>
      <c r="C1777" s="1" t="s">
        <v>19156</v>
      </c>
      <c r="D1777" s="1" t="s">
        <v>19050</v>
      </c>
      <c r="E1777" s="1" t="s">
        <v>19051</v>
      </c>
      <c r="F1777" s="1">
        <v>89027.0</v>
      </c>
      <c r="G1777" s="1">
        <v>4045.0</v>
      </c>
      <c r="H1777" s="1">
        <v>84.0</v>
      </c>
      <c r="I1777" s="1">
        <v>4490000.0</v>
      </c>
      <c r="J1777" s="1" t="s">
        <v>2468</v>
      </c>
      <c r="K1777" s="5">
        <f t="shared" si="2"/>
        <v>0.01982783964</v>
      </c>
      <c r="L1777" s="6">
        <f t="shared" si="3"/>
        <v>1492</v>
      </c>
      <c r="M1777" s="6">
        <f t="shared" si="4"/>
        <v>59.66957105</v>
      </c>
      <c r="N1777" s="7">
        <f t="shared" si="5"/>
        <v>0.00001328943676</v>
      </c>
      <c r="O1777" s="7"/>
      <c r="P1777" s="4">
        <f t="shared" si="6"/>
        <v>-0.4401653485</v>
      </c>
      <c r="Q1777" s="4">
        <f t="shared" si="7"/>
        <v>5</v>
      </c>
      <c r="R1777" s="4">
        <f t="shared" si="8"/>
        <v>0</v>
      </c>
      <c r="S1777" s="4">
        <f t="shared" si="9"/>
        <v>-0.4401653485</v>
      </c>
      <c r="T1777" s="4">
        <f t="shared" si="10"/>
        <v>44</v>
      </c>
      <c r="U1777" s="4">
        <f t="shared" si="1"/>
        <v>-0.4401653485</v>
      </c>
      <c r="V1777" s="4"/>
    </row>
    <row r="1778">
      <c r="A1778" s="1" t="s">
        <v>19157</v>
      </c>
      <c r="B1778" s="1" t="s">
        <v>19158</v>
      </c>
      <c r="C1778" s="1" t="s">
        <v>19159</v>
      </c>
      <c r="D1778" s="1" t="s">
        <v>19050</v>
      </c>
      <c r="E1778" s="1" t="s">
        <v>19051</v>
      </c>
      <c r="F1778" s="1">
        <v>841564.0</v>
      </c>
      <c r="G1778" s="1">
        <v>38591.0</v>
      </c>
      <c r="H1778" s="1">
        <v>1476.0</v>
      </c>
      <c r="I1778" s="1">
        <v>4490000.0</v>
      </c>
      <c r="J1778" s="1" t="s">
        <v>2468</v>
      </c>
      <c r="K1778" s="5">
        <f t="shared" si="2"/>
        <v>0.187430735</v>
      </c>
      <c r="L1778" s="6">
        <f t="shared" si="3"/>
        <v>1493</v>
      </c>
      <c r="M1778" s="6">
        <f t="shared" si="4"/>
        <v>563.6731413</v>
      </c>
      <c r="N1778" s="7">
        <f t="shared" si="5"/>
        <v>0.0001255396751</v>
      </c>
      <c r="O1778" s="7"/>
      <c r="P1778" s="4">
        <f t="shared" si="6"/>
        <v>-0.3611003859</v>
      </c>
      <c r="Q1778" s="4">
        <f t="shared" si="7"/>
        <v>6</v>
      </c>
      <c r="R1778" s="4">
        <f t="shared" si="8"/>
        <v>0</v>
      </c>
      <c r="S1778" s="4">
        <f t="shared" si="9"/>
        <v>-0.3611003859</v>
      </c>
      <c r="T1778" s="4">
        <f t="shared" si="10"/>
        <v>27</v>
      </c>
      <c r="U1778" s="4">
        <f t="shared" si="1"/>
        <v>-0.3611003859</v>
      </c>
      <c r="V1778" s="4"/>
    </row>
    <row r="1779">
      <c r="A1779" s="1" t="s">
        <v>19160</v>
      </c>
      <c r="B1779" s="1" t="s">
        <v>19161</v>
      </c>
      <c r="C1779" s="1" t="s">
        <v>19162</v>
      </c>
      <c r="D1779" s="1" t="s">
        <v>19050</v>
      </c>
      <c r="E1779" s="1" t="s">
        <v>19051</v>
      </c>
      <c r="F1779" s="1">
        <v>91326.0</v>
      </c>
      <c r="G1779" s="1">
        <v>5440.0</v>
      </c>
      <c r="H1779" s="1">
        <v>58.0</v>
      </c>
      <c r="I1779" s="1">
        <v>4490000.0</v>
      </c>
      <c r="J1779" s="1" t="s">
        <v>2468</v>
      </c>
      <c r="K1779" s="5">
        <f t="shared" si="2"/>
        <v>0.02033986637</v>
      </c>
      <c r="L1779" s="6">
        <f t="shared" si="3"/>
        <v>1494</v>
      </c>
      <c r="M1779" s="6">
        <f t="shared" si="4"/>
        <v>61.12851406</v>
      </c>
      <c r="N1779" s="7">
        <f t="shared" si="5"/>
        <v>0.00001361436839</v>
      </c>
      <c r="O1779" s="7"/>
      <c r="P1779" s="4">
        <f t="shared" si="6"/>
        <v>-0.4399364785</v>
      </c>
      <c r="Q1779" s="4">
        <f t="shared" si="7"/>
        <v>5</v>
      </c>
      <c r="R1779" s="4">
        <f t="shared" si="8"/>
        <v>1</v>
      </c>
      <c r="S1779" s="4">
        <f t="shared" si="9"/>
        <v>-0.4399364785</v>
      </c>
      <c r="T1779" s="4">
        <f t="shared" si="10"/>
        <v>28</v>
      </c>
      <c r="U1779" s="4">
        <f t="shared" si="1"/>
        <v>-0.4399364785</v>
      </c>
      <c r="V1779" s="4"/>
    </row>
    <row r="1780">
      <c r="A1780" s="1" t="s">
        <v>19163</v>
      </c>
      <c r="B1780" s="1" t="s">
        <v>19164</v>
      </c>
      <c r="C1780" s="1" t="s">
        <v>19165</v>
      </c>
      <c r="D1780" s="1" t="s">
        <v>19050</v>
      </c>
      <c r="E1780" s="1" t="s">
        <v>19051</v>
      </c>
      <c r="F1780" s="1">
        <v>312436.0</v>
      </c>
      <c r="G1780" s="1">
        <v>17688.0</v>
      </c>
      <c r="H1780" s="1">
        <v>1022.0</v>
      </c>
      <c r="I1780" s="1">
        <v>4490000.0</v>
      </c>
      <c r="J1780" s="1" t="s">
        <v>2468</v>
      </c>
      <c r="K1780" s="5">
        <f t="shared" si="2"/>
        <v>0.06958485523</v>
      </c>
      <c r="L1780" s="6">
        <f t="shared" si="3"/>
        <v>1501</v>
      </c>
      <c r="M1780" s="6">
        <f t="shared" si="4"/>
        <v>208.1518987</v>
      </c>
      <c r="N1780" s="7">
        <f t="shared" si="5"/>
        <v>0.00004635899749</v>
      </c>
      <c r="O1780" s="7"/>
      <c r="P1780" s="4">
        <f t="shared" si="6"/>
        <v>-0.4168723594</v>
      </c>
      <c r="Q1780" s="4">
        <f t="shared" si="7"/>
        <v>7</v>
      </c>
      <c r="R1780" s="4">
        <f t="shared" si="8"/>
        <v>0</v>
      </c>
      <c r="S1780" s="4">
        <f t="shared" si="9"/>
        <v>-0.4168723594</v>
      </c>
      <c r="T1780" s="4">
        <f t="shared" si="10"/>
        <v>37</v>
      </c>
      <c r="U1780" s="4">
        <f t="shared" si="1"/>
        <v>-0.4168723594</v>
      </c>
      <c r="V1780" s="4"/>
    </row>
    <row r="1781">
      <c r="A1781" s="1" t="s">
        <v>19166</v>
      </c>
      <c r="B1781" s="1" t="s">
        <v>19167</v>
      </c>
      <c r="C1781" s="1" t="s">
        <v>19168</v>
      </c>
      <c r="D1781" s="1" t="s">
        <v>19050</v>
      </c>
      <c r="E1781" s="1" t="s">
        <v>19051</v>
      </c>
      <c r="F1781" s="1">
        <v>217067.0</v>
      </c>
      <c r="G1781" s="1">
        <v>9095.0</v>
      </c>
      <c r="H1781" s="1">
        <v>229.0</v>
      </c>
      <c r="I1781" s="1">
        <v>4490000.0</v>
      </c>
      <c r="J1781" s="1" t="s">
        <v>2468</v>
      </c>
      <c r="K1781" s="5">
        <f t="shared" si="2"/>
        <v>0.04834454343</v>
      </c>
      <c r="L1781" s="6">
        <f t="shared" si="3"/>
        <v>1512</v>
      </c>
      <c r="M1781" s="6">
        <f t="shared" si="4"/>
        <v>143.5628307</v>
      </c>
      <c r="N1781" s="7">
        <f t="shared" si="5"/>
        <v>0.00003197390438</v>
      </c>
      <c r="O1781" s="7"/>
      <c r="P1781" s="4">
        <f t="shared" si="6"/>
        <v>-0.4270046929</v>
      </c>
      <c r="Q1781" s="4">
        <f t="shared" si="7"/>
        <v>5</v>
      </c>
      <c r="R1781" s="4">
        <f t="shared" si="8"/>
        <v>0</v>
      </c>
      <c r="S1781" s="4">
        <f t="shared" si="9"/>
        <v>-0.4270046929</v>
      </c>
      <c r="T1781" s="4">
        <f t="shared" si="10"/>
        <v>17</v>
      </c>
      <c r="U1781" s="4">
        <f t="shared" si="1"/>
        <v>-0.4270046929</v>
      </c>
      <c r="V1781" s="4"/>
    </row>
    <row r="1782">
      <c r="A1782" s="1" t="s">
        <v>19169</v>
      </c>
      <c r="B1782" s="1" t="s">
        <v>19170</v>
      </c>
      <c r="C1782" s="1" t="s">
        <v>19171</v>
      </c>
      <c r="D1782" s="1" t="s">
        <v>19050</v>
      </c>
      <c r="E1782" s="1" t="s">
        <v>19051</v>
      </c>
      <c r="F1782" s="1">
        <v>700948.0</v>
      </c>
      <c r="G1782" s="1">
        <v>32831.0</v>
      </c>
      <c r="H1782" s="1">
        <v>445.0</v>
      </c>
      <c r="I1782" s="1">
        <v>4490000.0</v>
      </c>
      <c r="J1782" s="1" t="s">
        <v>2468</v>
      </c>
      <c r="K1782" s="5">
        <f t="shared" si="2"/>
        <v>0.1561131403</v>
      </c>
      <c r="L1782" s="6">
        <f t="shared" si="3"/>
        <v>1514</v>
      </c>
      <c r="M1782" s="6">
        <f t="shared" si="4"/>
        <v>462.9775429</v>
      </c>
      <c r="N1782" s="7">
        <f t="shared" si="5"/>
        <v>0.0001031130385</v>
      </c>
      <c r="O1782" s="7"/>
      <c r="P1782" s="4">
        <f t="shared" si="6"/>
        <v>-0.3768968886</v>
      </c>
      <c r="Q1782" s="4">
        <f t="shared" si="7"/>
        <v>3</v>
      </c>
      <c r="R1782" s="4">
        <f t="shared" si="8"/>
        <v>0</v>
      </c>
      <c r="S1782" s="4">
        <f t="shared" si="9"/>
        <v>-0.3768968886</v>
      </c>
      <c r="T1782" s="4">
        <f t="shared" si="10"/>
        <v>15</v>
      </c>
      <c r="U1782" s="4">
        <f t="shared" si="1"/>
        <v>-0.3768968886</v>
      </c>
      <c r="V1782" s="4"/>
    </row>
    <row r="1783">
      <c r="A1783" s="1" t="s">
        <v>19172</v>
      </c>
      <c r="B1783" s="1" t="s">
        <v>19173</v>
      </c>
      <c r="C1783" s="1" t="s">
        <v>19174</v>
      </c>
      <c r="D1783" s="1" t="s">
        <v>19050</v>
      </c>
      <c r="E1783" s="1" t="s">
        <v>19051</v>
      </c>
      <c r="F1783" s="1">
        <v>673895.0</v>
      </c>
      <c r="G1783" s="1">
        <v>27587.0</v>
      </c>
      <c r="H1783" s="1">
        <v>1051.0</v>
      </c>
      <c r="I1783" s="1">
        <v>4490000.0</v>
      </c>
      <c r="J1783" s="1" t="s">
        <v>2468</v>
      </c>
      <c r="K1783" s="5">
        <f t="shared" si="2"/>
        <v>0.1500879733</v>
      </c>
      <c r="L1783" s="6">
        <f t="shared" si="3"/>
        <v>1520</v>
      </c>
      <c r="M1783" s="6">
        <f t="shared" si="4"/>
        <v>443.3519737</v>
      </c>
      <c r="N1783" s="7">
        <f t="shared" si="5"/>
        <v>0.00009874208768</v>
      </c>
      <c r="O1783" s="7"/>
      <c r="P1783" s="4">
        <f t="shared" si="6"/>
        <v>-0.3799756265</v>
      </c>
      <c r="Q1783" s="4">
        <f t="shared" si="7"/>
        <v>5</v>
      </c>
      <c r="R1783" s="4">
        <f t="shared" si="8"/>
        <v>0</v>
      </c>
      <c r="S1783" s="4">
        <f t="shared" si="9"/>
        <v>-0.3799756265</v>
      </c>
      <c r="T1783" s="4">
        <f t="shared" si="10"/>
        <v>20</v>
      </c>
      <c r="U1783" s="4">
        <f t="shared" si="1"/>
        <v>-0.3799756265</v>
      </c>
      <c r="V1783" s="4"/>
    </row>
    <row r="1784">
      <c r="A1784" s="1" t="s">
        <v>19175</v>
      </c>
      <c r="B1784" s="1" t="s">
        <v>19176</v>
      </c>
      <c r="C1784" s="1" t="s">
        <v>19177</v>
      </c>
      <c r="D1784" s="1" t="s">
        <v>19050</v>
      </c>
      <c r="E1784" s="1" t="s">
        <v>19051</v>
      </c>
      <c r="F1784" s="1">
        <v>416696.0</v>
      </c>
      <c r="G1784" s="1">
        <v>22760.0</v>
      </c>
      <c r="H1784" s="1">
        <v>1262.0</v>
      </c>
      <c r="I1784" s="1">
        <v>4490000.0</v>
      </c>
      <c r="J1784" s="1" t="s">
        <v>2468</v>
      </c>
      <c r="K1784" s="5">
        <f t="shared" si="2"/>
        <v>0.09280534521</v>
      </c>
      <c r="L1784" s="6">
        <f t="shared" si="3"/>
        <v>1536</v>
      </c>
      <c r="M1784" s="6">
        <f t="shared" si="4"/>
        <v>271.2864583</v>
      </c>
      <c r="N1784" s="7">
        <f t="shared" si="5"/>
        <v>0.00006042014662</v>
      </c>
      <c r="O1784" s="7"/>
      <c r="P1784" s="4">
        <f t="shared" si="6"/>
        <v>-0.4069682002</v>
      </c>
      <c r="Q1784" s="4">
        <f t="shared" si="7"/>
        <v>7</v>
      </c>
      <c r="R1784" s="4">
        <f t="shared" si="8"/>
        <v>0</v>
      </c>
      <c r="S1784" s="4">
        <f t="shared" si="9"/>
        <v>-0.4069682002</v>
      </c>
      <c r="T1784" s="4">
        <f t="shared" si="10"/>
        <v>30</v>
      </c>
      <c r="U1784" s="4">
        <f t="shared" si="1"/>
        <v>-0.4069682002</v>
      </c>
      <c r="V1784" s="4"/>
    </row>
    <row r="1785">
      <c r="A1785" s="1" t="s">
        <v>19178</v>
      </c>
      <c r="B1785" s="1" t="s">
        <v>19179</v>
      </c>
      <c r="C1785" s="1" t="s">
        <v>19180</v>
      </c>
      <c r="D1785" s="1" t="s">
        <v>19050</v>
      </c>
      <c r="E1785" s="1" t="s">
        <v>19051</v>
      </c>
      <c r="F1785" s="1">
        <v>1229124.0</v>
      </c>
      <c r="G1785" s="1">
        <v>48212.0</v>
      </c>
      <c r="H1785" s="1">
        <v>882.0</v>
      </c>
      <c r="I1785" s="1">
        <v>4490000.0</v>
      </c>
      <c r="J1785" s="1" t="s">
        <v>2468</v>
      </c>
      <c r="K1785" s="5">
        <f t="shared" si="2"/>
        <v>0.2737469933</v>
      </c>
      <c r="L1785" s="6">
        <f t="shared" si="3"/>
        <v>1542</v>
      </c>
      <c r="M1785" s="6">
        <f t="shared" si="4"/>
        <v>797.0972763</v>
      </c>
      <c r="N1785" s="7">
        <f t="shared" si="5"/>
        <v>0.000177527233</v>
      </c>
      <c r="O1785" s="7"/>
      <c r="P1785" s="4">
        <f t="shared" si="6"/>
        <v>-0.3244822515</v>
      </c>
      <c r="Q1785" s="4">
        <f t="shared" si="7"/>
        <v>4</v>
      </c>
      <c r="R1785" s="4">
        <f t="shared" si="8"/>
        <v>0</v>
      </c>
      <c r="S1785" s="4">
        <f t="shared" si="9"/>
        <v>-0.3244822515</v>
      </c>
      <c r="T1785" s="4">
        <f t="shared" si="10"/>
        <v>18</v>
      </c>
      <c r="U1785" s="4">
        <f t="shared" si="1"/>
        <v>-0.3244822515</v>
      </c>
      <c r="V1785" s="4"/>
    </row>
    <row r="1786">
      <c r="A1786" s="1" t="s">
        <v>19181</v>
      </c>
      <c r="B1786" s="1" t="s">
        <v>19182</v>
      </c>
      <c r="C1786" s="1" t="s">
        <v>19183</v>
      </c>
      <c r="D1786" s="1" t="s">
        <v>19050</v>
      </c>
      <c r="E1786" s="1" t="s">
        <v>19051</v>
      </c>
      <c r="F1786" s="1">
        <v>134066.0</v>
      </c>
      <c r="G1786" s="1">
        <v>5356.0</v>
      </c>
      <c r="H1786" s="1">
        <v>68.0</v>
      </c>
      <c r="I1786" s="1">
        <v>4490000.0</v>
      </c>
      <c r="J1786" s="1" t="s">
        <v>2468</v>
      </c>
      <c r="K1786" s="5">
        <f t="shared" si="2"/>
        <v>0.02985879733</v>
      </c>
      <c r="L1786" s="6">
        <f t="shared" si="3"/>
        <v>1549</v>
      </c>
      <c r="M1786" s="6">
        <f t="shared" si="4"/>
        <v>86.55003228</v>
      </c>
      <c r="N1786" s="7">
        <f t="shared" si="5"/>
        <v>0.00001927617645</v>
      </c>
      <c r="O1786" s="7"/>
      <c r="P1786" s="4">
        <f t="shared" si="6"/>
        <v>-0.435948508</v>
      </c>
      <c r="Q1786" s="4">
        <f t="shared" si="7"/>
        <v>6</v>
      </c>
      <c r="R1786" s="4">
        <f t="shared" si="8"/>
        <v>0</v>
      </c>
      <c r="S1786" s="4">
        <f t="shared" si="9"/>
        <v>-0.435948508</v>
      </c>
      <c r="T1786" s="4">
        <f t="shared" si="10"/>
        <v>36</v>
      </c>
      <c r="U1786" s="4">
        <f t="shared" si="1"/>
        <v>-0.435948508</v>
      </c>
      <c r="V1786" s="4"/>
    </row>
    <row r="1787">
      <c r="A1787" s="1" t="s">
        <v>19184</v>
      </c>
      <c r="B1787" s="1" t="s">
        <v>19185</v>
      </c>
      <c r="C1787" s="1" t="s">
        <v>19186</v>
      </c>
      <c r="D1787" s="1" t="s">
        <v>19050</v>
      </c>
      <c r="E1787" s="1" t="s">
        <v>19051</v>
      </c>
      <c r="F1787" s="1">
        <v>2841249.0</v>
      </c>
      <c r="G1787" s="1">
        <v>154307.0</v>
      </c>
      <c r="H1787" s="1">
        <v>3594.0</v>
      </c>
      <c r="I1787" s="1">
        <v>4490000.0</v>
      </c>
      <c r="J1787" s="1" t="s">
        <v>2468</v>
      </c>
      <c r="K1787" s="5">
        <f t="shared" si="2"/>
        <v>0.6327948775</v>
      </c>
      <c r="L1787" s="6">
        <f t="shared" si="3"/>
        <v>1554</v>
      </c>
      <c r="M1787" s="6">
        <f t="shared" si="4"/>
        <v>1828.34556</v>
      </c>
      <c r="N1787" s="7">
        <f t="shared" si="5"/>
        <v>0.0004072039109</v>
      </c>
      <c r="O1787" s="7"/>
      <c r="P1787" s="4">
        <f t="shared" si="6"/>
        <v>-0.1627063997</v>
      </c>
      <c r="Q1787" s="4">
        <f t="shared" si="7"/>
        <v>7</v>
      </c>
      <c r="R1787" s="4">
        <f t="shared" si="8"/>
        <v>1</v>
      </c>
      <c r="S1787" s="4">
        <f t="shared" si="9"/>
        <v>-0.1627063997</v>
      </c>
      <c r="T1787" s="4">
        <f t="shared" si="10"/>
        <v>30</v>
      </c>
      <c r="U1787" s="4">
        <f t="shared" si="1"/>
        <v>-0.1627063997</v>
      </c>
      <c r="V1787" s="4"/>
    </row>
    <row r="1788">
      <c r="A1788" s="1" t="s">
        <v>19187</v>
      </c>
      <c r="B1788" s="1" t="s">
        <v>19188</v>
      </c>
      <c r="C1788" s="1" t="s">
        <v>19189</v>
      </c>
      <c r="D1788" s="1" t="s">
        <v>19050</v>
      </c>
      <c r="E1788" s="1" t="s">
        <v>19051</v>
      </c>
      <c r="F1788" s="1">
        <v>227473.0</v>
      </c>
      <c r="G1788" s="1">
        <v>13418.0</v>
      </c>
      <c r="H1788" s="1">
        <v>184.0</v>
      </c>
      <c r="I1788" s="1">
        <v>4490000.0</v>
      </c>
      <c r="J1788" s="1" t="s">
        <v>2468</v>
      </c>
      <c r="K1788" s="5">
        <f t="shared" si="2"/>
        <v>0.05066213808</v>
      </c>
      <c r="L1788" s="6">
        <f t="shared" si="3"/>
        <v>1564</v>
      </c>
      <c r="M1788" s="6">
        <f t="shared" si="4"/>
        <v>145.4430946</v>
      </c>
      <c r="N1788" s="7">
        <f t="shared" si="5"/>
        <v>0.00003239267141</v>
      </c>
      <c r="O1788" s="7"/>
      <c r="P1788" s="4">
        <f t="shared" si="6"/>
        <v>-0.4267097287</v>
      </c>
      <c r="Q1788" s="4">
        <f t="shared" si="7"/>
        <v>6</v>
      </c>
      <c r="R1788" s="4">
        <f t="shared" si="8"/>
        <v>0</v>
      </c>
      <c r="S1788" s="4">
        <f t="shared" si="9"/>
        <v>-0.4267097287</v>
      </c>
      <c r="T1788" s="4">
        <f t="shared" si="10"/>
        <v>29</v>
      </c>
      <c r="U1788" s="4">
        <f t="shared" si="1"/>
        <v>-0.4267097287</v>
      </c>
      <c r="V1788" s="4"/>
    </row>
    <row r="1789">
      <c r="A1789" s="1" t="s">
        <v>19190</v>
      </c>
      <c r="B1789" s="1" t="s">
        <v>19191</v>
      </c>
      <c r="C1789" s="1" t="s">
        <v>19192</v>
      </c>
      <c r="D1789" s="1" t="s">
        <v>19050</v>
      </c>
      <c r="E1789" s="1" t="s">
        <v>19051</v>
      </c>
      <c r="F1789" s="1">
        <v>214877.0</v>
      </c>
      <c r="G1789" s="1">
        <v>12786.0</v>
      </c>
      <c r="H1789" s="1">
        <v>177.0</v>
      </c>
      <c r="I1789" s="1">
        <v>4490000.0</v>
      </c>
      <c r="J1789" s="1" t="s">
        <v>2468</v>
      </c>
      <c r="K1789" s="5">
        <f t="shared" si="2"/>
        <v>0.04785679287</v>
      </c>
      <c r="L1789" s="6">
        <f t="shared" si="3"/>
        <v>1571</v>
      </c>
      <c r="M1789" s="6">
        <f t="shared" si="4"/>
        <v>136.777212</v>
      </c>
      <c r="N1789" s="7">
        <f t="shared" si="5"/>
        <v>0.00003046263073</v>
      </c>
      <c r="O1789" s="7"/>
      <c r="P1789" s="4">
        <f t="shared" si="6"/>
        <v>-0.4280691788</v>
      </c>
      <c r="Q1789" s="4">
        <f t="shared" si="7"/>
        <v>6</v>
      </c>
      <c r="R1789" s="4">
        <f t="shared" si="8"/>
        <v>0</v>
      </c>
      <c r="S1789" s="4">
        <f t="shared" si="9"/>
        <v>-0.4280691788</v>
      </c>
      <c r="T1789" s="4">
        <f t="shared" si="10"/>
        <v>29</v>
      </c>
      <c r="U1789" s="4">
        <f t="shared" si="1"/>
        <v>-0.4280691788</v>
      </c>
      <c r="V1789" s="4"/>
    </row>
    <row r="1790">
      <c r="A1790" s="1" t="s">
        <v>19193</v>
      </c>
      <c r="B1790" s="1" t="s">
        <v>19194</v>
      </c>
      <c r="C1790" s="1" t="s">
        <v>19195</v>
      </c>
      <c r="D1790" s="1" t="s">
        <v>19050</v>
      </c>
      <c r="E1790" s="1" t="s">
        <v>19051</v>
      </c>
      <c r="F1790" s="1">
        <v>407690.0</v>
      </c>
      <c r="G1790" s="1">
        <v>22957.0</v>
      </c>
      <c r="H1790" s="1">
        <v>710.0</v>
      </c>
      <c r="I1790" s="1">
        <v>4490000.0</v>
      </c>
      <c r="J1790" s="1" t="s">
        <v>2468</v>
      </c>
      <c r="K1790" s="5">
        <f t="shared" si="2"/>
        <v>0.09079955457</v>
      </c>
      <c r="L1790" s="6">
        <f t="shared" si="3"/>
        <v>1591</v>
      </c>
      <c r="M1790" s="6">
        <f t="shared" si="4"/>
        <v>256.247643</v>
      </c>
      <c r="N1790" s="7">
        <f t="shared" si="5"/>
        <v>0.00005707074454</v>
      </c>
      <c r="O1790" s="7"/>
      <c r="P1790" s="4">
        <f t="shared" si="6"/>
        <v>-0.4093273965</v>
      </c>
      <c r="Q1790" s="4">
        <f t="shared" si="7"/>
        <v>6</v>
      </c>
      <c r="R1790" s="4">
        <f t="shared" si="8"/>
        <v>0</v>
      </c>
      <c r="S1790" s="4">
        <f t="shared" si="9"/>
        <v>-0.4093273965</v>
      </c>
      <c r="T1790" s="4">
        <f t="shared" si="10"/>
        <v>28</v>
      </c>
      <c r="U1790" s="4">
        <f t="shared" si="1"/>
        <v>-0.4093273965</v>
      </c>
      <c r="V1790" s="4"/>
    </row>
    <row r="1791">
      <c r="A1791" s="1" t="s">
        <v>19196</v>
      </c>
      <c r="B1791" s="1" t="s">
        <v>19197</v>
      </c>
      <c r="C1791" s="1" t="s">
        <v>19198</v>
      </c>
      <c r="D1791" s="1" t="s">
        <v>19050</v>
      </c>
      <c r="E1791" s="1" t="s">
        <v>19051</v>
      </c>
      <c r="F1791" s="1">
        <v>552825.0</v>
      </c>
      <c r="G1791" s="1">
        <v>29154.0</v>
      </c>
      <c r="H1791" s="1">
        <v>894.0</v>
      </c>
      <c r="I1791" s="1">
        <v>4490000.0</v>
      </c>
      <c r="J1791" s="1" t="s">
        <v>2468</v>
      </c>
      <c r="K1791" s="5">
        <f t="shared" si="2"/>
        <v>0.123123608</v>
      </c>
      <c r="L1791" s="6">
        <f t="shared" si="3"/>
        <v>1597</v>
      </c>
      <c r="M1791" s="6">
        <f t="shared" si="4"/>
        <v>346.1646838</v>
      </c>
      <c r="N1791" s="7">
        <f t="shared" si="5"/>
        <v>0.00007709681153</v>
      </c>
      <c r="O1791" s="7"/>
      <c r="P1791" s="4">
        <f t="shared" si="6"/>
        <v>-0.3952217674</v>
      </c>
      <c r="Q1791" s="4">
        <f t="shared" si="7"/>
        <v>5</v>
      </c>
      <c r="R1791" s="4">
        <f t="shared" si="8"/>
        <v>0</v>
      </c>
      <c r="S1791" s="4">
        <f t="shared" si="9"/>
        <v>-0.3952217674</v>
      </c>
      <c r="T1791" s="4">
        <f t="shared" si="10"/>
        <v>26</v>
      </c>
      <c r="U1791" s="4">
        <f t="shared" si="1"/>
        <v>-0.3952217674</v>
      </c>
      <c r="V1791" s="4"/>
    </row>
    <row r="1792">
      <c r="A1792" s="1" t="s">
        <v>19199</v>
      </c>
      <c r="B1792" s="1" t="s">
        <v>19200</v>
      </c>
      <c r="C1792" s="1" t="s">
        <v>19201</v>
      </c>
      <c r="D1792" s="1" t="s">
        <v>19050</v>
      </c>
      <c r="E1792" s="1" t="s">
        <v>19051</v>
      </c>
      <c r="F1792" s="1">
        <v>106989.0</v>
      </c>
      <c r="G1792" s="1">
        <v>5347.0</v>
      </c>
      <c r="H1792" s="1">
        <v>157.0</v>
      </c>
      <c r="I1792" s="1">
        <v>4490000.0</v>
      </c>
      <c r="J1792" s="1" t="s">
        <v>2468</v>
      </c>
      <c r="K1792" s="5">
        <f t="shared" si="2"/>
        <v>0.02382828508</v>
      </c>
      <c r="L1792" s="6">
        <f t="shared" si="3"/>
        <v>1616</v>
      </c>
      <c r="M1792" s="6">
        <f t="shared" si="4"/>
        <v>66.20606436</v>
      </c>
      <c r="N1792" s="7">
        <f t="shared" si="5"/>
        <v>0.00001474522591</v>
      </c>
      <c r="O1792" s="7"/>
      <c r="P1792" s="4">
        <f t="shared" si="6"/>
        <v>-0.4391399439</v>
      </c>
      <c r="Q1792" s="4">
        <f t="shared" si="7"/>
        <v>6</v>
      </c>
      <c r="R1792" s="4">
        <f t="shared" si="8"/>
        <v>0</v>
      </c>
      <c r="S1792" s="4">
        <f t="shared" si="9"/>
        <v>-0.4391399439</v>
      </c>
      <c r="T1792" s="4">
        <f t="shared" si="10"/>
        <v>23</v>
      </c>
      <c r="U1792" s="4">
        <f t="shared" si="1"/>
        <v>-0.4391399439</v>
      </c>
      <c r="V1792" s="4"/>
    </row>
    <row r="1793">
      <c r="A1793" s="1" t="s">
        <v>19202</v>
      </c>
      <c r="B1793" s="1" t="s">
        <v>19203</v>
      </c>
      <c r="C1793" s="1" t="s">
        <v>19204</v>
      </c>
      <c r="D1793" s="1" t="s">
        <v>19050</v>
      </c>
      <c r="E1793" s="1" t="s">
        <v>19051</v>
      </c>
      <c r="F1793" s="1">
        <v>465729.0</v>
      </c>
      <c r="G1793" s="1">
        <v>29454.0</v>
      </c>
      <c r="H1793" s="1">
        <v>306.0</v>
      </c>
      <c r="I1793" s="1">
        <v>4490000.0</v>
      </c>
      <c r="J1793" s="1" t="s">
        <v>2468</v>
      </c>
      <c r="K1793" s="5">
        <f t="shared" si="2"/>
        <v>0.1037258352</v>
      </c>
      <c r="L1793" s="6">
        <f t="shared" si="3"/>
        <v>1623</v>
      </c>
      <c r="M1793" s="6">
        <f t="shared" si="4"/>
        <v>286.9556377</v>
      </c>
      <c r="N1793" s="7">
        <f t="shared" si="5"/>
        <v>0.00006390994158</v>
      </c>
      <c r="O1793" s="7"/>
      <c r="P1793" s="4">
        <f t="shared" si="6"/>
        <v>-0.4045101163</v>
      </c>
      <c r="Q1793" s="4">
        <f t="shared" si="7"/>
        <v>5</v>
      </c>
      <c r="R1793" s="4">
        <f t="shared" si="8"/>
        <v>0</v>
      </c>
      <c r="S1793" s="4">
        <f t="shared" si="9"/>
        <v>-0.4045101163</v>
      </c>
      <c r="T1793" s="4">
        <f t="shared" si="10"/>
        <v>31</v>
      </c>
      <c r="U1793" s="4">
        <f t="shared" si="1"/>
        <v>-0.4045101163</v>
      </c>
      <c r="V1793" s="4"/>
    </row>
    <row r="1794">
      <c r="A1794" s="1" t="s">
        <v>19205</v>
      </c>
      <c r="B1794" s="1" t="s">
        <v>19206</v>
      </c>
      <c r="C1794" s="1" t="s">
        <v>19207</v>
      </c>
      <c r="D1794" s="1" t="s">
        <v>19050</v>
      </c>
      <c r="E1794" s="1" t="s">
        <v>19051</v>
      </c>
      <c r="F1794" s="1">
        <v>2714343.0</v>
      </c>
      <c r="G1794" s="1">
        <v>100651.0</v>
      </c>
      <c r="H1794" s="1">
        <v>4092.0</v>
      </c>
      <c r="I1794" s="1">
        <v>4490000.0</v>
      </c>
      <c r="J1794" s="1" t="s">
        <v>2468</v>
      </c>
      <c r="K1794" s="5">
        <f t="shared" si="2"/>
        <v>0.604530735</v>
      </c>
      <c r="L1794" s="6">
        <f t="shared" si="3"/>
        <v>1634</v>
      </c>
      <c r="M1794" s="6">
        <f t="shared" si="4"/>
        <v>1661.164627</v>
      </c>
      <c r="N1794" s="7">
        <f t="shared" si="5"/>
        <v>0.00036996985</v>
      </c>
      <c r="O1794" s="7"/>
      <c r="P1794" s="4">
        <f t="shared" si="6"/>
        <v>-0.1889327103</v>
      </c>
      <c r="Q1794" s="4">
        <f t="shared" si="7"/>
        <v>5</v>
      </c>
      <c r="R1794" s="4">
        <f t="shared" si="8"/>
        <v>0</v>
      </c>
      <c r="S1794" s="4">
        <f t="shared" si="9"/>
        <v>-0.1889327103</v>
      </c>
      <c r="T1794" s="4">
        <f t="shared" si="10"/>
        <v>24</v>
      </c>
      <c r="U1794" s="4">
        <f t="shared" si="1"/>
        <v>-0.1889327103</v>
      </c>
      <c r="V1794" s="4"/>
    </row>
    <row r="1795">
      <c r="A1795" s="1" t="s">
        <v>19208</v>
      </c>
      <c r="B1795" s="1" t="s">
        <v>19209</v>
      </c>
      <c r="C1795" s="1" t="s">
        <v>19210</v>
      </c>
      <c r="D1795" s="1" t="s">
        <v>19050</v>
      </c>
      <c r="E1795" s="1" t="s">
        <v>19051</v>
      </c>
      <c r="F1795" s="1">
        <v>454011.0</v>
      </c>
      <c r="G1795" s="1">
        <v>25500.0</v>
      </c>
      <c r="H1795" s="1">
        <v>291.0</v>
      </c>
      <c r="I1795" s="1">
        <v>4490000.0</v>
      </c>
      <c r="J1795" s="1" t="s">
        <v>2468</v>
      </c>
      <c r="K1795" s="5">
        <f t="shared" si="2"/>
        <v>0.1011160356</v>
      </c>
      <c r="L1795" s="6">
        <f t="shared" si="3"/>
        <v>1634</v>
      </c>
      <c r="M1795" s="6">
        <f t="shared" si="4"/>
        <v>277.8525092</v>
      </c>
      <c r="N1795" s="7">
        <f t="shared" si="5"/>
        <v>0.00006188251875</v>
      </c>
      <c r="O1795" s="7"/>
      <c r="P1795" s="4">
        <f t="shared" si="6"/>
        <v>-0.4059381588</v>
      </c>
      <c r="Q1795" s="4">
        <f t="shared" si="7"/>
        <v>8</v>
      </c>
      <c r="R1795" s="4">
        <f t="shared" si="8"/>
        <v>0</v>
      </c>
      <c r="S1795" s="4">
        <f t="shared" si="9"/>
        <v>-0.4059381588</v>
      </c>
      <c r="T1795" s="4">
        <f t="shared" si="10"/>
        <v>29</v>
      </c>
      <c r="U1795" s="4">
        <f t="shared" si="1"/>
        <v>-0.4059381588</v>
      </c>
      <c r="V1795" s="4"/>
    </row>
    <row r="1796">
      <c r="A1796" s="1" t="s">
        <v>19211</v>
      </c>
      <c r="B1796" s="1" t="s">
        <v>19212</v>
      </c>
      <c r="C1796" s="1" t="s">
        <v>19213</v>
      </c>
      <c r="D1796" s="1" t="s">
        <v>19050</v>
      </c>
      <c r="E1796" s="1" t="s">
        <v>19051</v>
      </c>
      <c r="F1796" s="1">
        <v>285951.0</v>
      </c>
      <c r="G1796" s="1">
        <v>16666.0</v>
      </c>
      <c r="H1796" s="1">
        <v>284.0</v>
      </c>
      <c r="I1796" s="1">
        <v>4490000.0</v>
      </c>
      <c r="J1796" s="1" t="s">
        <v>2468</v>
      </c>
      <c r="K1796" s="5">
        <f t="shared" si="2"/>
        <v>0.06368619154</v>
      </c>
      <c r="L1796" s="6">
        <f t="shared" si="3"/>
        <v>1634</v>
      </c>
      <c r="M1796" s="6">
        <f t="shared" si="4"/>
        <v>175.000612</v>
      </c>
      <c r="N1796" s="7">
        <f t="shared" si="5"/>
        <v>0.00003897563742</v>
      </c>
      <c r="O1796" s="7"/>
      <c r="P1796" s="4">
        <f t="shared" si="6"/>
        <v>-0.4220729282</v>
      </c>
      <c r="Q1796" s="4">
        <f t="shared" si="7"/>
        <v>6</v>
      </c>
      <c r="R1796" s="4">
        <f t="shared" si="8"/>
        <v>0</v>
      </c>
      <c r="S1796" s="4">
        <f t="shared" si="9"/>
        <v>-0.4220729282</v>
      </c>
      <c r="T1796" s="4">
        <f t="shared" si="10"/>
        <v>35</v>
      </c>
      <c r="U1796" s="4">
        <f t="shared" si="1"/>
        <v>-0.4220729282</v>
      </c>
      <c r="V1796" s="4"/>
    </row>
    <row r="1797">
      <c r="A1797" s="1" t="s">
        <v>19214</v>
      </c>
      <c r="B1797" s="1" t="s">
        <v>19215</v>
      </c>
      <c r="C1797" s="1" t="s">
        <v>19216</v>
      </c>
      <c r="D1797" s="1" t="s">
        <v>19050</v>
      </c>
      <c r="E1797" s="1" t="s">
        <v>19051</v>
      </c>
      <c r="F1797" s="1">
        <v>788273.0</v>
      </c>
      <c r="G1797" s="1">
        <v>39288.0</v>
      </c>
      <c r="H1797" s="1">
        <v>428.0</v>
      </c>
      <c r="I1797" s="1">
        <v>4490000.0</v>
      </c>
      <c r="J1797" s="1" t="s">
        <v>2468</v>
      </c>
      <c r="K1797" s="5">
        <f t="shared" si="2"/>
        <v>0.1755619154</v>
      </c>
      <c r="L1797" s="6">
        <f t="shared" si="3"/>
        <v>1639</v>
      </c>
      <c r="M1797" s="6">
        <f t="shared" si="4"/>
        <v>480.947529</v>
      </c>
      <c r="N1797" s="7">
        <f t="shared" si="5"/>
        <v>0.0001071152626</v>
      </c>
      <c r="O1797" s="7"/>
      <c r="P1797" s="4">
        <f t="shared" si="6"/>
        <v>-0.3740778683</v>
      </c>
      <c r="Q1797" s="4">
        <f t="shared" si="7"/>
        <v>4</v>
      </c>
      <c r="R1797" s="4">
        <f t="shared" si="8"/>
        <v>0</v>
      </c>
      <c r="S1797" s="4">
        <f t="shared" si="9"/>
        <v>-0.3740778683</v>
      </c>
      <c r="T1797" s="4">
        <f t="shared" si="10"/>
        <v>23</v>
      </c>
      <c r="U1797" s="4">
        <f t="shared" si="1"/>
        <v>-0.3740778683</v>
      </c>
      <c r="V1797" s="4"/>
    </row>
    <row r="1798">
      <c r="A1798" s="1" t="s">
        <v>19217</v>
      </c>
      <c r="B1798" s="1" t="s">
        <v>19218</v>
      </c>
      <c r="C1798" s="1" t="s">
        <v>19219</v>
      </c>
      <c r="D1798" s="1" t="s">
        <v>19050</v>
      </c>
      <c r="E1798" s="1" t="s">
        <v>19051</v>
      </c>
      <c r="F1798" s="1">
        <v>188217.0</v>
      </c>
      <c r="G1798" s="1">
        <v>10613.0</v>
      </c>
      <c r="H1798" s="1">
        <v>371.0</v>
      </c>
      <c r="I1798" s="1">
        <v>4490000.0</v>
      </c>
      <c r="J1798" s="1" t="s">
        <v>2468</v>
      </c>
      <c r="K1798" s="5">
        <f t="shared" si="2"/>
        <v>0.04191915367</v>
      </c>
      <c r="L1798" s="6">
        <f t="shared" si="3"/>
        <v>1646</v>
      </c>
      <c r="M1798" s="6">
        <f t="shared" si="4"/>
        <v>114.3481166</v>
      </c>
      <c r="N1798" s="7">
        <f t="shared" si="5"/>
        <v>0.00002546728656</v>
      </c>
      <c r="O1798" s="7"/>
      <c r="P1798" s="4">
        <f t="shared" si="6"/>
        <v>-0.4315877165</v>
      </c>
      <c r="Q1798" s="4">
        <f t="shared" si="7"/>
        <v>5</v>
      </c>
      <c r="R1798" s="4">
        <f t="shared" si="8"/>
        <v>1</v>
      </c>
      <c r="S1798" s="4">
        <f t="shared" si="9"/>
        <v>-0.4315877165</v>
      </c>
      <c r="T1798" s="4">
        <f t="shared" si="10"/>
        <v>29</v>
      </c>
      <c r="U1798" s="4">
        <f t="shared" si="1"/>
        <v>-0.4315877165</v>
      </c>
      <c r="V1798" s="4"/>
    </row>
    <row r="1799">
      <c r="A1799" s="1" t="s">
        <v>19220</v>
      </c>
      <c r="B1799" s="1" t="s">
        <v>19221</v>
      </c>
      <c r="C1799" s="1" t="s">
        <v>19222</v>
      </c>
      <c r="D1799" s="1" t="s">
        <v>19050</v>
      </c>
      <c r="E1799" s="1" t="s">
        <v>19051</v>
      </c>
      <c r="F1799" s="1">
        <v>1326223.0</v>
      </c>
      <c r="G1799" s="1">
        <v>67781.0</v>
      </c>
      <c r="H1799" s="1">
        <v>1343.0</v>
      </c>
      <c r="I1799" s="1">
        <v>4490000.0</v>
      </c>
      <c r="J1799" s="1" t="s">
        <v>2468</v>
      </c>
      <c r="K1799" s="5">
        <f t="shared" si="2"/>
        <v>0.2953726058</v>
      </c>
      <c r="L1799" s="6">
        <f t="shared" si="3"/>
        <v>1653</v>
      </c>
      <c r="M1799" s="6">
        <f t="shared" si="4"/>
        <v>802.3127647</v>
      </c>
      <c r="N1799" s="7">
        <f t="shared" si="5"/>
        <v>0.0001786888117</v>
      </c>
      <c r="O1799" s="7"/>
      <c r="P1799" s="4">
        <f t="shared" si="6"/>
        <v>-0.323664078</v>
      </c>
      <c r="Q1799" s="4">
        <f t="shared" si="7"/>
        <v>6</v>
      </c>
      <c r="R1799" s="4">
        <f t="shared" si="8"/>
        <v>1</v>
      </c>
      <c r="S1799" s="4">
        <f t="shared" si="9"/>
        <v>-0.323664078</v>
      </c>
      <c r="T1799" s="4">
        <f t="shared" si="10"/>
        <v>36</v>
      </c>
      <c r="U1799" s="4">
        <f t="shared" si="1"/>
        <v>-0.323664078</v>
      </c>
      <c r="V1799" s="4"/>
    </row>
    <row r="1800">
      <c r="A1800" s="1" t="s">
        <v>19223</v>
      </c>
      <c r="B1800" s="1" t="s">
        <v>19224</v>
      </c>
      <c r="C1800" s="1" t="s">
        <v>19225</v>
      </c>
      <c r="D1800" s="1" t="s">
        <v>19050</v>
      </c>
      <c r="E1800" s="1" t="s">
        <v>19051</v>
      </c>
      <c r="F1800" s="1">
        <v>216583.0</v>
      </c>
      <c r="G1800" s="1">
        <v>12833.0</v>
      </c>
      <c r="H1800" s="1">
        <v>319.0</v>
      </c>
      <c r="I1800" s="1">
        <v>4490000.0</v>
      </c>
      <c r="J1800" s="1" t="s">
        <v>2468</v>
      </c>
      <c r="K1800" s="5">
        <f t="shared" si="2"/>
        <v>0.04823674833</v>
      </c>
      <c r="L1800" s="6">
        <f t="shared" si="3"/>
        <v>1658</v>
      </c>
      <c r="M1800" s="6">
        <f t="shared" si="4"/>
        <v>130.6290712</v>
      </c>
      <c r="N1800" s="7">
        <f t="shared" si="5"/>
        <v>0.00002909333434</v>
      </c>
      <c r="O1800" s="7"/>
      <c r="P1800" s="4">
        <f t="shared" si="6"/>
        <v>-0.429033661</v>
      </c>
      <c r="Q1800" s="4">
        <f t="shared" si="7"/>
        <v>6</v>
      </c>
      <c r="R1800" s="4">
        <f t="shared" si="8"/>
        <v>0</v>
      </c>
      <c r="S1800" s="4">
        <f t="shared" si="9"/>
        <v>-0.429033661</v>
      </c>
      <c r="T1800" s="4">
        <f t="shared" si="10"/>
        <v>29</v>
      </c>
      <c r="U1800" s="4">
        <f t="shared" si="1"/>
        <v>-0.429033661</v>
      </c>
      <c r="V1800" s="4"/>
    </row>
    <row r="1801">
      <c r="A1801" s="1" t="s">
        <v>19226</v>
      </c>
      <c r="B1801" s="1" t="s">
        <v>19227</v>
      </c>
      <c r="C1801" s="1" t="s">
        <v>19228</v>
      </c>
      <c r="D1801" s="1" t="s">
        <v>19050</v>
      </c>
      <c r="E1801" s="1" t="s">
        <v>19051</v>
      </c>
      <c r="F1801" s="1">
        <v>1939431.0</v>
      </c>
      <c r="G1801" s="1">
        <v>71437.0</v>
      </c>
      <c r="H1801" s="1">
        <v>1497.0</v>
      </c>
      <c r="I1801" s="1">
        <v>4490000.0</v>
      </c>
      <c r="J1801" s="1" t="s">
        <v>2468</v>
      </c>
      <c r="K1801" s="5">
        <f t="shared" si="2"/>
        <v>0.4319445434</v>
      </c>
      <c r="L1801" s="6">
        <f t="shared" si="3"/>
        <v>1661</v>
      </c>
      <c r="M1801" s="6">
        <f t="shared" si="4"/>
        <v>1167.628537</v>
      </c>
      <c r="N1801" s="7">
        <f t="shared" si="5"/>
        <v>0.0002600508991</v>
      </c>
      <c r="O1801" s="7"/>
      <c r="P1801" s="4">
        <f t="shared" si="6"/>
        <v>-0.2663555993</v>
      </c>
      <c r="Q1801" s="4">
        <f t="shared" si="7"/>
        <v>5</v>
      </c>
      <c r="R1801" s="4">
        <f t="shared" si="8"/>
        <v>0</v>
      </c>
      <c r="S1801" s="4">
        <f t="shared" si="9"/>
        <v>-0.2663555993</v>
      </c>
      <c r="T1801" s="4">
        <f t="shared" si="10"/>
        <v>22</v>
      </c>
      <c r="U1801" s="4">
        <f t="shared" si="1"/>
        <v>-0.2663555993</v>
      </c>
      <c r="V1801" s="4"/>
    </row>
    <row r="1802">
      <c r="A1802" s="1" t="s">
        <v>19229</v>
      </c>
      <c r="B1802" s="1" t="s">
        <v>19230</v>
      </c>
      <c r="C1802" s="1" t="s">
        <v>19231</v>
      </c>
      <c r="D1802" s="1" t="s">
        <v>19050</v>
      </c>
      <c r="E1802" s="1" t="s">
        <v>19051</v>
      </c>
      <c r="F1802" s="1">
        <v>538236.0</v>
      </c>
      <c r="G1802" s="1">
        <v>39428.0</v>
      </c>
      <c r="H1802" s="1">
        <v>579.0</v>
      </c>
      <c r="I1802" s="1">
        <v>4490000.0</v>
      </c>
      <c r="J1802" s="1" t="s">
        <v>2468</v>
      </c>
      <c r="K1802" s="5">
        <f t="shared" si="2"/>
        <v>0.1198743875</v>
      </c>
      <c r="L1802" s="6">
        <f t="shared" si="3"/>
        <v>1663</v>
      </c>
      <c r="M1802" s="6">
        <f t="shared" si="4"/>
        <v>323.653638</v>
      </c>
      <c r="N1802" s="7">
        <f t="shared" si="5"/>
        <v>0.00007208321559</v>
      </c>
      <c r="O1802" s="7"/>
      <c r="P1802" s="4">
        <f t="shared" si="6"/>
        <v>-0.398753161</v>
      </c>
      <c r="Q1802" s="4">
        <f t="shared" si="7"/>
        <v>7</v>
      </c>
      <c r="R1802" s="4">
        <f t="shared" si="8"/>
        <v>0</v>
      </c>
      <c r="S1802" s="4">
        <f t="shared" si="9"/>
        <v>-0.398753161</v>
      </c>
      <c r="T1802" s="4">
        <f t="shared" si="10"/>
        <v>36</v>
      </c>
      <c r="U1802" s="4">
        <f t="shared" si="1"/>
        <v>-0.398753161</v>
      </c>
      <c r="V1802" s="4"/>
    </row>
    <row r="1803">
      <c r="A1803" s="1" t="s">
        <v>19232</v>
      </c>
      <c r="B1803" s="1" t="s">
        <v>19233</v>
      </c>
      <c r="C1803" s="1" t="s">
        <v>19234</v>
      </c>
      <c r="D1803" s="1" t="s">
        <v>19050</v>
      </c>
      <c r="E1803" s="1" t="s">
        <v>19051</v>
      </c>
      <c r="F1803" s="1">
        <v>724764.0</v>
      </c>
      <c r="G1803" s="1">
        <v>45319.0</v>
      </c>
      <c r="H1803" s="1">
        <v>288.0</v>
      </c>
      <c r="I1803" s="1">
        <v>4490000.0</v>
      </c>
      <c r="J1803" s="1" t="s">
        <v>2468</v>
      </c>
      <c r="K1803" s="5">
        <f t="shared" si="2"/>
        <v>0.1614173719</v>
      </c>
      <c r="L1803" s="6">
        <f t="shared" si="3"/>
        <v>1672</v>
      </c>
      <c r="M1803" s="6">
        <f t="shared" si="4"/>
        <v>433.4712919</v>
      </c>
      <c r="N1803" s="7">
        <f t="shared" si="5"/>
        <v>0.00009654149039</v>
      </c>
      <c r="O1803" s="7"/>
      <c r="P1803" s="4">
        <f t="shared" si="6"/>
        <v>-0.3815256467</v>
      </c>
      <c r="Q1803" s="4">
        <f t="shared" si="7"/>
        <v>4</v>
      </c>
      <c r="R1803" s="4">
        <f t="shared" si="8"/>
        <v>2</v>
      </c>
      <c r="S1803" s="4">
        <f t="shared" si="9"/>
        <v>-0.3815256467</v>
      </c>
      <c r="T1803" s="4">
        <f t="shared" si="10"/>
        <v>20</v>
      </c>
      <c r="U1803" s="4">
        <f t="shared" si="1"/>
        <v>-0.3815256467</v>
      </c>
      <c r="V1803" s="4"/>
    </row>
    <row r="1804">
      <c r="A1804" s="1" t="s">
        <v>19235</v>
      </c>
      <c r="B1804" s="1" t="s">
        <v>19236</v>
      </c>
      <c r="C1804" s="1" t="s">
        <v>19237</v>
      </c>
      <c r="D1804" s="1" t="s">
        <v>19050</v>
      </c>
      <c r="E1804" s="1" t="s">
        <v>19051</v>
      </c>
      <c r="F1804" s="1">
        <v>873496.0</v>
      </c>
      <c r="G1804" s="1">
        <v>49705.0</v>
      </c>
      <c r="H1804" s="1">
        <v>421.0</v>
      </c>
      <c r="I1804" s="1">
        <v>4490000.0</v>
      </c>
      <c r="J1804" s="1" t="s">
        <v>2468</v>
      </c>
      <c r="K1804" s="5">
        <f t="shared" si="2"/>
        <v>0.194542539</v>
      </c>
      <c r="L1804" s="6">
        <f t="shared" si="3"/>
        <v>1676</v>
      </c>
      <c r="M1804" s="6">
        <f t="shared" si="4"/>
        <v>521.1789976</v>
      </c>
      <c r="N1804" s="7">
        <f t="shared" si="5"/>
        <v>0.0001160755006</v>
      </c>
      <c r="O1804" s="7"/>
      <c r="P1804" s="4">
        <f t="shared" si="6"/>
        <v>-0.3677666044</v>
      </c>
      <c r="Q1804" s="4">
        <f t="shared" si="7"/>
        <v>5</v>
      </c>
      <c r="R1804" s="4">
        <f t="shared" si="8"/>
        <v>0</v>
      </c>
      <c r="S1804" s="4">
        <f t="shared" si="9"/>
        <v>-0.3677666044</v>
      </c>
      <c r="T1804" s="4">
        <f t="shared" si="10"/>
        <v>30</v>
      </c>
      <c r="U1804" s="4">
        <f t="shared" si="1"/>
        <v>-0.3677666044</v>
      </c>
      <c r="V1804" s="4"/>
    </row>
    <row r="1805">
      <c r="A1805" s="1" t="s">
        <v>19238</v>
      </c>
      <c r="B1805" s="1" t="s">
        <v>19239</v>
      </c>
      <c r="C1805" s="1" t="s">
        <v>19240</v>
      </c>
      <c r="D1805" s="1" t="s">
        <v>19050</v>
      </c>
      <c r="E1805" s="1" t="s">
        <v>19051</v>
      </c>
      <c r="F1805" s="1">
        <v>351186.0</v>
      </c>
      <c r="G1805" s="1">
        <v>20364.0</v>
      </c>
      <c r="H1805" s="1">
        <v>582.0</v>
      </c>
      <c r="I1805" s="1">
        <v>4490000.0</v>
      </c>
      <c r="J1805" s="1" t="s">
        <v>2468</v>
      </c>
      <c r="K1805" s="5">
        <f t="shared" si="2"/>
        <v>0.07821514477</v>
      </c>
      <c r="L1805" s="6">
        <f t="shared" si="3"/>
        <v>1679</v>
      </c>
      <c r="M1805" s="6">
        <f t="shared" si="4"/>
        <v>209.163788</v>
      </c>
      <c r="N1805" s="7">
        <f t="shared" si="5"/>
        <v>0.00004658436258</v>
      </c>
      <c r="O1805" s="7"/>
      <c r="P1805" s="4">
        <f t="shared" si="6"/>
        <v>-0.4167136205</v>
      </c>
      <c r="Q1805" s="4">
        <f t="shared" si="7"/>
        <v>5</v>
      </c>
      <c r="R1805" s="4">
        <f t="shared" si="8"/>
        <v>0</v>
      </c>
      <c r="S1805" s="4">
        <f t="shared" si="9"/>
        <v>-0.4167136205</v>
      </c>
      <c r="T1805" s="4">
        <f t="shared" si="10"/>
        <v>21</v>
      </c>
      <c r="U1805" s="4">
        <f t="shared" si="1"/>
        <v>-0.4167136205</v>
      </c>
      <c r="V1805" s="4"/>
    </row>
    <row r="1806">
      <c r="A1806" s="1" t="s">
        <v>19241</v>
      </c>
      <c r="B1806" s="1" t="s">
        <v>19242</v>
      </c>
      <c r="C1806" s="1" t="s">
        <v>19243</v>
      </c>
      <c r="D1806" s="1" t="s">
        <v>19050</v>
      </c>
      <c r="E1806" s="1" t="s">
        <v>19051</v>
      </c>
      <c r="F1806" s="1">
        <v>186518.0</v>
      </c>
      <c r="G1806" s="1">
        <v>12005.0</v>
      </c>
      <c r="H1806" s="1">
        <v>237.0</v>
      </c>
      <c r="I1806" s="1">
        <v>4490000.0</v>
      </c>
      <c r="J1806" s="1" t="s">
        <v>2468</v>
      </c>
      <c r="K1806" s="5">
        <f t="shared" si="2"/>
        <v>0.04154075724</v>
      </c>
      <c r="L1806" s="6">
        <f t="shared" si="3"/>
        <v>1686</v>
      </c>
      <c r="M1806" s="6">
        <f t="shared" si="4"/>
        <v>110.6275208</v>
      </c>
      <c r="N1806" s="7">
        <f t="shared" si="5"/>
        <v>0.00002463864605</v>
      </c>
      <c r="O1806" s="7"/>
      <c r="P1806" s="4">
        <f t="shared" si="6"/>
        <v>-0.4321713806</v>
      </c>
      <c r="Q1806" s="4">
        <f t="shared" si="7"/>
        <v>6</v>
      </c>
      <c r="R1806" s="4">
        <f t="shared" si="8"/>
        <v>0</v>
      </c>
      <c r="S1806" s="4">
        <f t="shared" si="9"/>
        <v>-0.4321713806</v>
      </c>
      <c r="T1806" s="4">
        <f t="shared" si="10"/>
        <v>25</v>
      </c>
      <c r="U1806" s="4">
        <f t="shared" si="1"/>
        <v>-0.4321713806</v>
      </c>
      <c r="V1806" s="4"/>
    </row>
    <row r="1807">
      <c r="A1807" s="1" t="s">
        <v>19244</v>
      </c>
      <c r="B1807" s="1" t="s">
        <v>19245</v>
      </c>
      <c r="C1807" s="1" t="s">
        <v>19246</v>
      </c>
      <c r="D1807" s="1" t="s">
        <v>19050</v>
      </c>
      <c r="E1807" s="1" t="s">
        <v>19051</v>
      </c>
      <c r="F1807" s="1">
        <v>4423716.0</v>
      </c>
      <c r="G1807" s="1">
        <v>193522.0</v>
      </c>
      <c r="H1807" s="1">
        <v>1614.0</v>
      </c>
      <c r="I1807" s="1">
        <v>4490000.0</v>
      </c>
      <c r="J1807" s="1" t="s">
        <v>2468</v>
      </c>
      <c r="K1807" s="5">
        <f t="shared" si="2"/>
        <v>0.9852374165</v>
      </c>
      <c r="L1807" s="6">
        <f t="shared" si="3"/>
        <v>1693</v>
      </c>
      <c r="M1807" s="6">
        <f t="shared" si="4"/>
        <v>2612.945068</v>
      </c>
      <c r="N1807" s="7">
        <f t="shared" si="5"/>
        <v>0.0005819476766</v>
      </c>
      <c r="O1807" s="7"/>
      <c r="P1807" s="4">
        <f t="shared" si="6"/>
        <v>-0.03962328202</v>
      </c>
      <c r="Q1807" s="4">
        <f t="shared" si="7"/>
        <v>6</v>
      </c>
      <c r="R1807" s="4">
        <f t="shared" si="8"/>
        <v>0</v>
      </c>
      <c r="S1807" s="4">
        <f t="shared" si="9"/>
        <v>-0.03962328202</v>
      </c>
      <c r="T1807" s="4">
        <f t="shared" si="10"/>
        <v>39</v>
      </c>
      <c r="U1807" s="4">
        <f t="shared" si="1"/>
        <v>-0.03962328202</v>
      </c>
      <c r="V1807" s="4"/>
    </row>
    <row r="1808">
      <c r="A1808" s="1" t="s">
        <v>19247</v>
      </c>
      <c r="B1808" s="1" t="s">
        <v>19248</v>
      </c>
      <c r="C1808" s="1" t="s">
        <v>19249</v>
      </c>
      <c r="D1808" s="1" t="s">
        <v>19050</v>
      </c>
      <c r="E1808" s="1" t="s">
        <v>19051</v>
      </c>
      <c r="F1808" s="1">
        <v>438172.0</v>
      </c>
      <c r="G1808" s="1">
        <v>30295.0</v>
      </c>
      <c r="H1808" s="1">
        <v>244.0</v>
      </c>
      <c r="I1808" s="1">
        <v>4490000.0</v>
      </c>
      <c r="J1808" s="1" t="s">
        <v>2468</v>
      </c>
      <c r="K1808" s="5">
        <f t="shared" si="2"/>
        <v>0.09758841871</v>
      </c>
      <c r="L1808" s="6">
        <f t="shared" si="3"/>
        <v>1702</v>
      </c>
      <c r="M1808" s="6">
        <f t="shared" si="4"/>
        <v>257.4453584</v>
      </c>
      <c r="N1808" s="7">
        <f t="shared" si="5"/>
        <v>0.0000573374963</v>
      </c>
      <c r="O1808" s="7"/>
      <c r="P1808" s="4">
        <f t="shared" si="6"/>
        <v>-0.4091395063</v>
      </c>
      <c r="Q1808" s="4">
        <f t="shared" si="7"/>
        <v>4</v>
      </c>
      <c r="R1808" s="4">
        <f t="shared" si="8"/>
        <v>0</v>
      </c>
      <c r="S1808" s="4">
        <f t="shared" si="9"/>
        <v>-0.4091395063</v>
      </c>
      <c r="T1808" s="4">
        <f t="shared" si="10"/>
        <v>27</v>
      </c>
      <c r="U1808" s="4">
        <f t="shared" si="1"/>
        <v>-0.4091395063</v>
      </c>
      <c r="V1808" s="4"/>
    </row>
    <row r="1809">
      <c r="A1809" s="1" t="s">
        <v>19250</v>
      </c>
      <c r="B1809" s="1" t="s">
        <v>19251</v>
      </c>
      <c r="C1809" s="1" t="s">
        <v>19252</v>
      </c>
      <c r="D1809" s="1" t="s">
        <v>19050</v>
      </c>
      <c r="E1809" s="1" t="s">
        <v>19051</v>
      </c>
      <c r="F1809" s="1">
        <v>881697.0</v>
      </c>
      <c r="G1809" s="1">
        <v>56457.0</v>
      </c>
      <c r="H1809" s="1">
        <v>1138.0</v>
      </c>
      <c r="I1809" s="1">
        <v>4490000.0</v>
      </c>
      <c r="J1809" s="1" t="s">
        <v>2468</v>
      </c>
      <c r="K1809" s="5">
        <f t="shared" si="2"/>
        <v>0.1963690423</v>
      </c>
      <c r="L1809" s="6">
        <f t="shared" si="3"/>
        <v>1710</v>
      </c>
      <c r="M1809" s="6">
        <f t="shared" si="4"/>
        <v>515.6122807</v>
      </c>
      <c r="N1809" s="7">
        <f t="shared" si="5"/>
        <v>0.0001148356973</v>
      </c>
      <c r="O1809" s="7"/>
      <c r="P1809" s="4">
        <f t="shared" si="6"/>
        <v>-0.3686398765</v>
      </c>
      <c r="Q1809" s="4">
        <f t="shared" si="7"/>
        <v>5</v>
      </c>
      <c r="R1809" s="4">
        <f t="shared" si="8"/>
        <v>1</v>
      </c>
      <c r="S1809" s="4">
        <f t="shared" si="9"/>
        <v>-0.3686398765</v>
      </c>
      <c r="T1809" s="4">
        <f t="shared" si="10"/>
        <v>33</v>
      </c>
      <c r="U1809" s="4">
        <f t="shared" si="1"/>
        <v>-0.3686398765</v>
      </c>
      <c r="V1809" s="4"/>
    </row>
    <row r="1810">
      <c r="A1810" s="1" t="s">
        <v>19253</v>
      </c>
      <c r="B1810" s="1" t="s">
        <v>19254</v>
      </c>
      <c r="C1810" s="1" t="s">
        <v>19255</v>
      </c>
      <c r="D1810" s="1" t="s">
        <v>19050</v>
      </c>
      <c r="E1810" s="1" t="s">
        <v>19051</v>
      </c>
      <c r="F1810" s="1">
        <v>1639691.0</v>
      </c>
      <c r="G1810" s="1">
        <v>66327.0</v>
      </c>
      <c r="H1810" s="1">
        <v>2137.0</v>
      </c>
      <c r="I1810" s="1">
        <v>4490000.0</v>
      </c>
      <c r="J1810" s="1" t="s">
        <v>2468</v>
      </c>
      <c r="K1810" s="5">
        <f t="shared" si="2"/>
        <v>0.3651873051</v>
      </c>
      <c r="L1810" s="6">
        <f t="shared" si="3"/>
        <v>1715</v>
      </c>
      <c r="M1810" s="6">
        <f t="shared" si="4"/>
        <v>956.0880466</v>
      </c>
      <c r="N1810" s="7">
        <f t="shared" si="5"/>
        <v>0.0002129372042</v>
      </c>
      <c r="O1810" s="7"/>
      <c r="P1810" s="4">
        <f t="shared" si="6"/>
        <v>-0.2995407629</v>
      </c>
      <c r="Q1810" s="4">
        <f t="shared" si="7"/>
        <v>7</v>
      </c>
      <c r="R1810" s="4">
        <f t="shared" si="8"/>
        <v>0</v>
      </c>
      <c r="S1810" s="4">
        <f t="shared" si="9"/>
        <v>-0.2995407629</v>
      </c>
      <c r="T1810" s="4">
        <f t="shared" si="10"/>
        <v>26</v>
      </c>
      <c r="U1810" s="4">
        <f t="shared" si="1"/>
        <v>-0.2995407629</v>
      </c>
      <c r="V1810" s="4"/>
    </row>
    <row r="1811">
      <c r="A1811" s="1" t="s">
        <v>19256</v>
      </c>
      <c r="B1811" s="1" t="s">
        <v>19257</v>
      </c>
      <c r="C1811" s="1" t="s">
        <v>19258</v>
      </c>
      <c r="D1811" s="1" t="s">
        <v>19050</v>
      </c>
      <c r="E1811" s="1" t="s">
        <v>19051</v>
      </c>
      <c r="F1811" s="1">
        <v>1423534.0</v>
      </c>
      <c r="G1811" s="1">
        <v>73119.0</v>
      </c>
      <c r="H1811" s="1">
        <v>1043.0</v>
      </c>
      <c r="I1811" s="1">
        <v>4490000.0</v>
      </c>
      <c r="J1811" s="1" t="s">
        <v>2468</v>
      </c>
      <c r="K1811" s="5">
        <f t="shared" si="2"/>
        <v>0.3170454343</v>
      </c>
      <c r="L1811" s="6">
        <f t="shared" si="3"/>
        <v>1717</v>
      </c>
      <c r="M1811" s="6">
        <f t="shared" si="4"/>
        <v>829.08212</v>
      </c>
      <c r="N1811" s="7">
        <f t="shared" si="5"/>
        <v>0.0001846508062</v>
      </c>
      <c r="O1811" s="7"/>
      <c r="P1811" s="4">
        <f t="shared" si="6"/>
        <v>-0.3194646671</v>
      </c>
      <c r="Q1811" s="4">
        <f t="shared" si="7"/>
        <v>7</v>
      </c>
      <c r="R1811" s="4">
        <f t="shared" si="8"/>
        <v>0</v>
      </c>
      <c r="S1811" s="4">
        <f t="shared" si="9"/>
        <v>-0.3194646671</v>
      </c>
      <c r="T1811" s="4">
        <f t="shared" si="10"/>
        <v>34</v>
      </c>
      <c r="U1811" s="4">
        <f t="shared" si="1"/>
        <v>-0.3194646671</v>
      </c>
      <c r="V1811" s="4"/>
    </row>
    <row r="1812">
      <c r="A1812" s="1" t="s">
        <v>19259</v>
      </c>
      <c r="B1812" s="1" t="s">
        <v>19260</v>
      </c>
      <c r="C1812" s="1" t="s">
        <v>19261</v>
      </c>
      <c r="D1812" s="1" t="s">
        <v>19050</v>
      </c>
      <c r="E1812" s="1" t="s">
        <v>19051</v>
      </c>
      <c r="F1812" s="1">
        <v>630668.0</v>
      </c>
      <c r="G1812" s="1">
        <v>27158.0</v>
      </c>
      <c r="H1812" s="1">
        <v>560.0</v>
      </c>
      <c r="I1812" s="1">
        <v>4490000.0</v>
      </c>
      <c r="J1812" s="1" t="s">
        <v>2468</v>
      </c>
      <c r="K1812" s="5">
        <f t="shared" si="2"/>
        <v>0.1404605791</v>
      </c>
      <c r="L1812" s="6">
        <f t="shared" si="3"/>
        <v>1722</v>
      </c>
      <c r="M1812" s="6">
        <f t="shared" si="4"/>
        <v>366.2415796</v>
      </c>
      <c r="N1812" s="7">
        <f t="shared" si="5"/>
        <v>0.00008156828053</v>
      </c>
      <c r="O1812" s="7"/>
      <c r="P1812" s="4">
        <f t="shared" si="6"/>
        <v>-0.3920722281</v>
      </c>
      <c r="Q1812" s="4">
        <f t="shared" si="7"/>
        <v>6</v>
      </c>
      <c r="R1812" s="4">
        <f t="shared" si="8"/>
        <v>0</v>
      </c>
      <c r="S1812" s="4">
        <f t="shared" si="9"/>
        <v>-0.3920722281</v>
      </c>
      <c r="T1812" s="4">
        <f t="shared" si="10"/>
        <v>29</v>
      </c>
      <c r="U1812" s="4">
        <f t="shared" si="1"/>
        <v>-0.3920722281</v>
      </c>
      <c r="V1812" s="4"/>
    </row>
    <row r="1813">
      <c r="A1813" s="1" t="s">
        <v>19262</v>
      </c>
      <c r="B1813" s="1" t="s">
        <v>19263</v>
      </c>
      <c r="C1813" s="1" t="s">
        <v>19264</v>
      </c>
      <c r="D1813" s="1" t="s">
        <v>19050</v>
      </c>
      <c r="E1813" s="1" t="s">
        <v>19051</v>
      </c>
      <c r="F1813" s="1">
        <v>433621.0</v>
      </c>
      <c r="G1813" s="1">
        <v>20810.0</v>
      </c>
      <c r="H1813" s="1">
        <v>268.0</v>
      </c>
      <c r="I1813" s="1">
        <v>4490000.0</v>
      </c>
      <c r="J1813" s="1" t="s">
        <v>2468</v>
      </c>
      <c r="K1813" s="5">
        <f t="shared" si="2"/>
        <v>0.09657483296</v>
      </c>
      <c r="L1813" s="6">
        <f t="shared" si="3"/>
        <v>1724</v>
      </c>
      <c r="M1813" s="6">
        <f t="shared" si="4"/>
        <v>251.5203016</v>
      </c>
      <c r="N1813" s="7">
        <f t="shared" si="5"/>
        <v>0.00005601788455</v>
      </c>
      <c r="O1813" s="7"/>
      <c r="P1813" s="4">
        <f t="shared" si="6"/>
        <v>-0.4100689926</v>
      </c>
      <c r="Q1813" s="4">
        <f t="shared" si="7"/>
        <v>6</v>
      </c>
      <c r="R1813" s="4">
        <f t="shared" si="8"/>
        <v>1</v>
      </c>
      <c r="S1813" s="4">
        <f t="shared" si="9"/>
        <v>-0.4100689926</v>
      </c>
      <c r="T1813" s="4">
        <f t="shared" si="10"/>
        <v>29</v>
      </c>
      <c r="U1813" s="4">
        <f t="shared" si="1"/>
        <v>-0.4100689926</v>
      </c>
      <c r="V1813" s="4"/>
    </row>
    <row r="1814">
      <c r="A1814" s="1" t="s">
        <v>19265</v>
      </c>
      <c r="B1814" s="1" t="s">
        <v>19266</v>
      </c>
      <c r="C1814" s="1" t="s">
        <v>19267</v>
      </c>
      <c r="D1814" s="1" t="s">
        <v>19050</v>
      </c>
      <c r="E1814" s="1" t="s">
        <v>19051</v>
      </c>
      <c r="F1814" s="1">
        <v>540368.0</v>
      </c>
      <c r="G1814" s="1">
        <v>28928.0</v>
      </c>
      <c r="H1814" s="1">
        <v>372.0</v>
      </c>
      <c r="I1814" s="1">
        <v>4490000.0</v>
      </c>
      <c r="J1814" s="1" t="s">
        <v>2468</v>
      </c>
      <c r="K1814" s="5">
        <f t="shared" si="2"/>
        <v>0.1203492205</v>
      </c>
      <c r="L1814" s="6">
        <f t="shared" si="3"/>
        <v>1728</v>
      </c>
      <c r="M1814" s="6">
        <f t="shared" si="4"/>
        <v>312.712963</v>
      </c>
      <c r="N1814" s="7">
        <f t="shared" si="5"/>
        <v>0.00006964653964</v>
      </c>
      <c r="O1814" s="7"/>
      <c r="P1814" s="4">
        <f t="shared" si="6"/>
        <v>-0.4004694664</v>
      </c>
      <c r="Q1814" s="4">
        <f t="shared" si="7"/>
        <v>6</v>
      </c>
      <c r="R1814" s="4">
        <f t="shared" si="8"/>
        <v>0</v>
      </c>
      <c r="S1814" s="4">
        <f t="shared" si="9"/>
        <v>-0.4004694664</v>
      </c>
      <c r="T1814" s="4">
        <f t="shared" si="10"/>
        <v>27</v>
      </c>
      <c r="U1814" s="4">
        <f t="shared" si="1"/>
        <v>-0.4004694664</v>
      </c>
      <c r="V1814" s="4"/>
    </row>
    <row r="1815">
      <c r="A1815" s="1" t="s">
        <v>19268</v>
      </c>
      <c r="B1815" s="1" t="s">
        <v>19269</v>
      </c>
      <c r="C1815" s="1" t="s">
        <v>19270</v>
      </c>
      <c r="D1815" s="1" t="s">
        <v>19050</v>
      </c>
      <c r="E1815" s="1" t="s">
        <v>19051</v>
      </c>
      <c r="F1815" s="1">
        <v>1673012.0</v>
      </c>
      <c r="G1815" s="1">
        <v>83085.0</v>
      </c>
      <c r="H1815" s="1">
        <v>1567.0</v>
      </c>
      <c r="I1815" s="1">
        <v>4490000.0</v>
      </c>
      <c r="J1815" s="1" t="s">
        <v>2468</v>
      </c>
      <c r="K1815" s="5">
        <f t="shared" si="2"/>
        <v>0.3726084633</v>
      </c>
      <c r="L1815" s="6">
        <f t="shared" si="3"/>
        <v>1738</v>
      </c>
      <c r="M1815" s="6">
        <f t="shared" si="4"/>
        <v>962.6075949</v>
      </c>
      <c r="N1815" s="7">
        <f t="shared" si="5"/>
        <v>0.0002143892194</v>
      </c>
      <c r="O1815" s="7"/>
      <c r="P1815" s="4">
        <f t="shared" si="6"/>
        <v>-0.2985180165</v>
      </c>
      <c r="Q1815" s="4">
        <f t="shared" si="7"/>
        <v>7</v>
      </c>
      <c r="R1815" s="4">
        <f t="shared" si="8"/>
        <v>1</v>
      </c>
      <c r="S1815" s="4">
        <f t="shared" si="9"/>
        <v>-0.2985180165</v>
      </c>
      <c r="T1815" s="4">
        <f t="shared" si="10"/>
        <v>30</v>
      </c>
      <c r="U1815" s="4">
        <f t="shared" si="1"/>
        <v>-0.2985180165</v>
      </c>
      <c r="V1815" s="4"/>
    </row>
    <row r="1816">
      <c r="A1816" s="1" t="s">
        <v>19271</v>
      </c>
      <c r="B1816" s="1" t="s">
        <v>19272</v>
      </c>
      <c r="C1816" s="1" t="s">
        <v>19273</v>
      </c>
      <c r="D1816" s="1" t="s">
        <v>19050</v>
      </c>
      <c r="E1816" s="1" t="s">
        <v>19051</v>
      </c>
      <c r="F1816" s="1">
        <v>521374.0</v>
      </c>
      <c r="G1816" s="1">
        <v>30925.0</v>
      </c>
      <c r="H1816" s="1">
        <v>1304.0</v>
      </c>
      <c r="I1816" s="1">
        <v>4490000.0</v>
      </c>
      <c r="J1816" s="1" t="s">
        <v>2468</v>
      </c>
      <c r="K1816" s="5">
        <f t="shared" si="2"/>
        <v>0.116118931</v>
      </c>
      <c r="L1816" s="6">
        <f t="shared" si="3"/>
        <v>1745</v>
      </c>
      <c r="M1816" s="6">
        <f t="shared" si="4"/>
        <v>298.7816619</v>
      </c>
      <c r="N1816" s="7">
        <f t="shared" si="5"/>
        <v>0.00006654379998</v>
      </c>
      <c r="O1816" s="7"/>
      <c r="P1816" s="4">
        <f t="shared" si="6"/>
        <v>-0.4026549227</v>
      </c>
      <c r="Q1816" s="4">
        <f t="shared" si="7"/>
        <v>6</v>
      </c>
      <c r="R1816" s="4">
        <f t="shared" si="8"/>
        <v>0</v>
      </c>
      <c r="S1816" s="4">
        <f t="shared" si="9"/>
        <v>-0.4026549227</v>
      </c>
      <c r="T1816" s="4">
        <f t="shared" si="10"/>
        <v>22</v>
      </c>
      <c r="U1816" s="4">
        <f t="shared" si="1"/>
        <v>-0.4026549227</v>
      </c>
      <c r="V1816" s="4"/>
    </row>
    <row r="1817">
      <c r="A1817" s="1" t="s">
        <v>19274</v>
      </c>
      <c r="B1817" s="1" t="s">
        <v>19275</v>
      </c>
      <c r="C1817" s="1" t="s">
        <v>19276</v>
      </c>
      <c r="D1817" s="1" t="s">
        <v>19050</v>
      </c>
      <c r="E1817" s="1" t="s">
        <v>19051</v>
      </c>
      <c r="F1817" s="1">
        <v>821184.0</v>
      </c>
      <c r="G1817" s="1">
        <v>36912.0</v>
      </c>
      <c r="H1817" s="1">
        <v>1302.0</v>
      </c>
      <c r="I1817" s="1">
        <v>4490000.0</v>
      </c>
      <c r="J1817" s="1" t="s">
        <v>2468</v>
      </c>
      <c r="K1817" s="5">
        <f t="shared" si="2"/>
        <v>0.1828917595</v>
      </c>
      <c r="L1817" s="6">
        <f t="shared" si="3"/>
        <v>1772</v>
      </c>
      <c r="M1817" s="6">
        <f t="shared" si="4"/>
        <v>463.4221219</v>
      </c>
      <c r="N1817" s="7">
        <f t="shared" si="5"/>
        <v>0.0001032120539</v>
      </c>
      <c r="O1817" s="7"/>
      <c r="P1817" s="4">
        <f t="shared" si="6"/>
        <v>-0.3768271458</v>
      </c>
      <c r="Q1817" s="4">
        <f t="shared" si="7"/>
        <v>6</v>
      </c>
      <c r="R1817" s="4">
        <f t="shared" si="8"/>
        <v>0</v>
      </c>
      <c r="S1817" s="4">
        <f t="shared" si="9"/>
        <v>-0.3768271458</v>
      </c>
      <c r="T1817" s="4">
        <f t="shared" si="10"/>
        <v>25</v>
      </c>
      <c r="U1817" s="4">
        <f t="shared" si="1"/>
        <v>-0.3768271458</v>
      </c>
      <c r="V1817" s="4"/>
    </row>
    <row r="1818">
      <c r="A1818" s="1" t="s">
        <v>19277</v>
      </c>
      <c r="B1818" s="1" t="s">
        <v>19278</v>
      </c>
      <c r="C1818" s="1" t="s">
        <v>19279</v>
      </c>
      <c r="D1818" s="1" t="s">
        <v>19050</v>
      </c>
      <c r="E1818" s="1" t="s">
        <v>19051</v>
      </c>
      <c r="F1818" s="1">
        <v>211004.0</v>
      </c>
      <c r="G1818" s="1">
        <v>12465.0</v>
      </c>
      <c r="H1818" s="1">
        <v>608.0</v>
      </c>
      <c r="I1818" s="1">
        <v>4490000.0</v>
      </c>
      <c r="J1818" s="1" t="s">
        <v>2468</v>
      </c>
      <c r="K1818" s="5">
        <f t="shared" si="2"/>
        <v>0.04699420935</v>
      </c>
      <c r="L1818" s="6">
        <f t="shared" si="3"/>
        <v>1774</v>
      </c>
      <c r="M1818" s="6">
        <f t="shared" si="4"/>
        <v>118.9425028</v>
      </c>
      <c r="N1818" s="7">
        <f t="shared" si="5"/>
        <v>0.00002649053515</v>
      </c>
      <c r="O1818" s="7"/>
      <c r="P1818" s="4">
        <f t="shared" si="6"/>
        <v>-0.4308669776</v>
      </c>
      <c r="Q1818" s="4">
        <f t="shared" si="7"/>
        <v>5</v>
      </c>
      <c r="R1818" s="4">
        <f t="shared" si="8"/>
        <v>1</v>
      </c>
      <c r="S1818" s="4">
        <f t="shared" si="9"/>
        <v>-0.4308669776</v>
      </c>
      <c r="T1818" s="4">
        <f t="shared" si="10"/>
        <v>19</v>
      </c>
      <c r="U1818" s="4">
        <f t="shared" si="1"/>
        <v>-0.4308669776</v>
      </c>
      <c r="V1818" s="4"/>
    </row>
    <row r="1819">
      <c r="A1819" s="1" t="s">
        <v>19280</v>
      </c>
      <c r="B1819" s="1" t="s">
        <v>19281</v>
      </c>
      <c r="C1819" s="1" t="s">
        <v>19282</v>
      </c>
      <c r="D1819" s="1" t="s">
        <v>19050</v>
      </c>
      <c r="E1819" s="1" t="s">
        <v>19051</v>
      </c>
      <c r="F1819" s="1">
        <v>215469.0</v>
      </c>
      <c r="G1819" s="1">
        <v>11174.0</v>
      </c>
      <c r="H1819" s="1">
        <v>327.0</v>
      </c>
      <c r="I1819" s="1">
        <v>4490000.0</v>
      </c>
      <c r="J1819" s="1" t="s">
        <v>2468</v>
      </c>
      <c r="K1819" s="5">
        <f t="shared" si="2"/>
        <v>0.04798864143</v>
      </c>
      <c r="L1819" s="6">
        <f t="shared" si="3"/>
        <v>1777</v>
      </c>
      <c r="M1819" s="6">
        <f t="shared" si="4"/>
        <v>121.2543613</v>
      </c>
      <c r="N1819" s="7">
        <f t="shared" si="5"/>
        <v>0.00002700542568</v>
      </c>
      <c r="O1819" s="7"/>
      <c r="P1819" s="4">
        <f t="shared" si="6"/>
        <v>-0.4305043075</v>
      </c>
      <c r="Q1819" s="4">
        <f t="shared" si="7"/>
        <v>9</v>
      </c>
      <c r="R1819" s="4">
        <f t="shared" si="8"/>
        <v>0</v>
      </c>
      <c r="S1819" s="4">
        <f t="shared" si="9"/>
        <v>-0.4305043075</v>
      </c>
      <c r="T1819" s="4">
        <f t="shared" si="10"/>
        <v>39</v>
      </c>
      <c r="U1819" s="4">
        <f t="shared" si="1"/>
        <v>-0.4305043075</v>
      </c>
      <c r="V1819" s="4"/>
    </row>
    <row r="1820">
      <c r="A1820" s="1" t="s">
        <v>19283</v>
      </c>
      <c r="B1820" s="1" t="s">
        <v>19284</v>
      </c>
      <c r="C1820" s="1" t="s">
        <v>19285</v>
      </c>
      <c r="D1820" s="1" t="s">
        <v>19050</v>
      </c>
      <c r="E1820" s="1" t="s">
        <v>19051</v>
      </c>
      <c r="F1820" s="1">
        <v>283681.0</v>
      </c>
      <c r="G1820" s="1">
        <v>19142.0</v>
      </c>
      <c r="H1820" s="1">
        <v>343.0</v>
      </c>
      <c r="I1820" s="1">
        <v>4490000.0</v>
      </c>
      <c r="J1820" s="1" t="s">
        <v>2468</v>
      </c>
      <c r="K1820" s="5">
        <f t="shared" si="2"/>
        <v>0.06318062361</v>
      </c>
      <c r="L1820" s="6">
        <f t="shared" si="3"/>
        <v>1785</v>
      </c>
      <c r="M1820" s="6">
        <f t="shared" si="4"/>
        <v>158.92493</v>
      </c>
      <c r="N1820" s="7">
        <f t="shared" si="5"/>
        <v>0.00003539530734</v>
      </c>
      <c r="O1820" s="7"/>
      <c r="P1820" s="4">
        <f t="shared" si="6"/>
        <v>-0.4245947817</v>
      </c>
      <c r="Q1820" s="4">
        <f t="shared" si="7"/>
        <v>6</v>
      </c>
      <c r="R1820" s="4">
        <f t="shared" si="8"/>
        <v>0</v>
      </c>
      <c r="S1820" s="4">
        <f t="shared" si="9"/>
        <v>-0.4245947817</v>
      </c>
      <c r="T1820" s="4">
        <f t="shared" si="10"/>
        <v>28</v>
      </c>
      <c r="U1820" s="4">
        <f t="shared" si="1"/>
        <v>-0.4245947817</v>
      </c>
      <c r="V1820" s="4"/>
    </row>
    <row r="1821">
      <c r="A1821" s="1" t="s">
        <v>19286</v>
      </c>
      <c r="B1821" s="1" t="s">
        <v>19287</v>
      </c>
      <c r="C1821" s="1" t="s">
        <v>19288</v>
      </c>
      <c r="D1821" s="1" t="s">
        <v>19050</v>
      </c>
      <c r="E1821" s="1" t="s">
        <v>19051</v>
      </c>
      <c r="F1821" s="1">
        <v>1610427.0</v>
      </c>
      <c r="G1821" s="1">
        <v>92927.0</v>
      </c>
      <c r="H1821" s="1">
        <v>676.0</v>
      </c>
      <c r="I1821" s="1">
        <v>4490000.0</v>
      </c>
      <c r="J1821" s="1" t="s">
        <v>2468</v>
      </c>
      <c r="K1821" s="5">
        <f t="shared" si="2"/>
        <v>0.3586697105</v>
      </c>
      <c r="L1821" s="6">
        <f t="shared" si="3"/>
        <v>1794</v>
      </c>
      <c r="M1821" s="6">
        <f t="shared" si="4"/>
        <v>897.673913</v>
      </c>
      <c r="N1821" s="7">
        <f t="shared" si="5"/>
        <v>0.0001999273748</v>
      </c>
      <c r="O1821" s="7"/>
      <c r="P1821" s="4">
        <f t="shared" si="6"/>
        <v>-0.3087044109</v>
      </c>
      <c r="Q1821" s="4">
        <f t="shared" si="7"/>
        <v>8</v>
      </c>
      <c r="R1821" s="4">
        <f t="shared" si="8"/>
        <v>0</v>
      </c>
      <c r="S1821" s="4">
        <f t="shared" si="9"/>
        <v>-0.3087044109</v>
      </c>
      <c r="T1821" s="4">
        <f t="shared" si="10"/>
        <v>43</v>
      </c>
      <c r="U1821" s="4">
        <f t="shared" si="1"/>
        <v>-0.3087044109</v>
      </c>
      <c r="V1821" s="4"/>
    </row>
    <row r="1822">
      <c r="A1822" s="1" t="s">
        <v>19289</v>
      </c>
      <c r="B1822" s="1" t="s">
        <v>19290</v>
      </c>
      <c r="C1822" s="1" t="s">
        <v>19291</v>
      </c>
      <c r="D1822" s="1" t="s">
        <v>19050</v>
      </c>
      <c r="E1822" s="1" t="s">
        <v>19051</v>
      </c>
      <c r="F1822" s="1">
        <v>5675703.0</v>
      </c>
      <c r="G1822" s="1">
        <v>234314.0</v>
      </c>
      <c r="H1822" s="1">
        <v>2117.0</v>
      </c>
      <c r="I1822" s="1">
        <v>4490000.0</v>
      </c>
      <c r="J1822" s="1" t="s">
        <v>2468</v>
      </c>
      <c r="K1822" s="5">
        <f t="shared" si="2"/>
        <v>1.264076392</v>
      </c>
      <c r="L1822" s="6">
        <f t="shared" si="3"/>
        <v>1801</v>
      </c>
      <c r="M1822" s="6">
        <f t="shared" si="4"/>
        <v>3151.417546</v>
      </c>
      <c r="N1822" s="7">
        <f t="shared" si="5"/>
        <v>0.0007018747318</v>
      </c>
      <c r="O1822" s="7"/>
      <c r="P1822" s="4">
        <f t="shared" si="6"/>
        <v>0.04484894955</v>
      </c>
      <c r="Q1822" s="4">
        <f t="shared" si="7"/>
        <v>11</v>
      </c>
      <c r="R1822" s="4">
        <f t="shared" si="8"/>
        <v>0</v>
      </c>
      <c r="S1822" s="4">
        <f t="shared" si="9"/>
        <v>0.04484894955</v>
      </c>
      <c r="T1822" s="4">
        <f t="shared" si="10"/>
        <v>40</v>
      </c>
      <c r="U1822" s="4">
        <f t="shared" si="1"/>
        <v>0.04484894955</v>
      </c>
      <c r="V1822" s="4"/>
    </row>
    <row r="1823">
      <c r="A1823" s="1" t="s">
        <v>19292</v>
      </c>
      <c r="B1823" s="1" t="s">
        <v>19293</v>
      </c>
      <c r="C1823" s="1" t="s">
        <v>19294</v>
      </c>
      <c r="D1823" s="1" t="s">
        <v>19050</v>
      </c>
      <c r="E1823" s="1" t="s">
        <v>19051</v>
      </c>
      <c r="F1823" s="1">
        <v>4660600.0</v>
      </c>
      <c r="G1823" s="1">
        <v>186066.0</v>
      </c>
      <c r="H1823" s="1">
        <v>1791.0</v>
      </c>
      <c r="I1823" s="1">
        <v>4490000.0</v>
      </c>
      <c r="J1823" s="1" t="s">
        <v>2468</v>
      </c>
      <c r="K1823" s="5">
        <f t="shared" si="2"/>
        <v>1.037995546</v>
      </c>
      <c r="L1823" s="6">
        <f t="shared" si="3"/>
        <v>1806</v>
      </c>
      <c r="M1823" s="6">
        <f t="shared" si="4"/>
        <v>2580.620155</v>
      </c>
      <c r="N1823" s="7">
        <f t="shared" si="5"/>
        <v>0.0005747483642</v>
      </c>
      <c r="O1823" s="7"/>
      <c r="P1823" s="4">
        <f t="shared" si="6"/>
        <v>-0.04469421441</v>
      </c>
      <c r="Q1823" s="4">
        <f t="shared" si="7"/>
        <v>6</v>
      </c>
      <c r="R1823" s="4">
        <f t="shared" si="8"/>
        <v>0</v>
      </c>
      <c r="S1823" s="4">
        <f t="shared" si="9"/>
        <v>-0.04469421441</v>
      </c>
      <c r="T1823" s="4">
        <f t="shared" si="10"/>
        <v>33</v>
      </c>
      <c r="U1823" s="4">
        <f t="shared" si="1"/>
        <v>-0.04469421441</v>
      </c>
      <c r="V1823" s="4"/>
    </row>
    <row r="1824">
      <c r="A1824" s="1" t="s">
        <v>19295</v>
      </c>
      <c r="B1824" s="1" t="s">
        <v>19296</v>
      </c>
      <c r="C1824" s="1" t="s">
        <v>19297</v>
      </c>
      <c r="D1824" s="1" t="s">
        <v>19050</v>
      </c>
      <c r="E1824" s="1" t="s">
        <v>19051</v>
      </c>
      <c r="F1824" s="1">
        <v>1131507.0</v>
      </c>
      <c r="G1824" s="1">
        <v>61473.0</v>
      </c>
      <c r="H1824" s="1">
        <v>2272.0</v>
      </c>
      <c r="I1824" s="1">
        <v>4490000.0</v>
      </c>
      <c r="J1824" s="1" t="s">
        <v>2468</v>
      </c>
      <c r="K1824" s="5">
        <f t="shared" si="2"/>
        <v>0.2520060134</v>
      </c>
      <c r="L1824" s="6">
        <f t="shared" si="3"/>
        <v>1814</v>
      </c>
      <c r="M1824" s="6">
        <f t="shared" si="4"/>
        <v>623.7635061</v>
      </c>
      <c r="N1824" s="7">
        <f t="shared" si="5"/>
        <v>0.0001389228299</v>
      </c>
      <c r="O1824" s="7"/>
      <c r="P1824" s="4">
        <f t="shared" si="6"/>
        <v>-0.3516737812</v>
      </c>
      <c r="Q1824" s="4">
        <f t="shared" si="7"/>
        <v>4</v>
      </c>
      <c r="R1824" s="4">
        <f t="shared" si="8"/>
        <v>0</v>
      </c>
      <c r="S1824" s="4">
        <f t="shared" si="9"/>
        <v>-0.3516737812</v>
      </c>
      <c r="T1824" s="4">
        <f t="shared" si="10"/>
        <v>18</v>
      </c>
      <c r="U1824" s="4">
        <f t="shared" si="1"/>
        <v>-0.3516737812</v>
      </c>
      <c r="V1824" s="4"/>
    </row>
    <row r="1825">
      <c r="A1825" s="1" t="s">
        <v>19298</v>
      </c>
      <c r="B1825" s="1" t="s">
        <v>19299</v>
      </c>
      <c r="C1825" s="1" t="s">
        <v>19300</v>
      </c>
      <c r="D1825" s="1" t="s">
        <v>19050</v>
      </c>
      <c r="E1825" s="1" t="s">
        <v>19051</v>
      </c>
      <c r="F1825" s="1">
        <v>404759.0</v>
      </c>
      <c r="G1825" s="1">
        <v>23059.0</v>
      </c>
      <c r="H1825" s="1">
        <v>334.0</v>
      </c>
      <c r="I1825" s="1">
        <v>4490000.0</v>
      </c>
      <c r="J1825" s="1" t="s">
        <v>2468</v>
      </c>
      <c r="K1825" s="5">
        <f t="shared" si="2"/>
        <v>0.0901467706</v>
      </c>
      <c r="L1825" s="6">
        <f t="shared" si="3"/>
        <v>1837</v>
      </c>
      <c r="M1825" s="6">
        <f t="shared" si="4"/>
        <v>220.3369624</v>
      </c>
      <c r="N1825" s="7">
        <f t="shared" si="5"/>
        <v>0.00004907282014</v>
      </c>
      <c r="O1825" s="7"/>
      <c r="P1825" s="4">
        <f t="shared" si="6"/>
        <v>-0.414960842</v>
      </c>
      <c r="Q1825" s="4">
        <f t="shared" si="7"/>
        <v>5</v>
      </c>
      <c r="R1825" s="4">
        <f t="shared" si="8"/>
        <v>0</v>
      </c>
      <c r="S1825" s="4">
        <f t="shared" si="9"/>
        <v>-0.414960842</v>
      </c>
      <c r="T1825" s="4">
        <f t="shared" si="10"/>
        <v>30</v>
      </c>
      <c r="U1825" s="4">
        <f t="shared" si="1"/>
        <v>-0.414960842</v>
      </c>
      <c r="V1825" s="4"/>
    </row>
    <row r="1826">
      <c r="A1826" s="1" t="s">
        <v>19301</v>
      </c>
      <c r="B1826" s="1" t="s">
        <v>19302</v>
      </c>
      <c r="C1826" s="1" t="s">
        <v>19303</v>
      </c>
      <c r="D1826" s="1" t="s">
        <v>19050</v>
      </c>
      <c r="E1826" s="1" t="s">
        <v>19051</v>
      </c>
      <c r="F1826" s="1">
        <v>509787.0</v>
      </c>
      <c r="G1826" s="1">
        <v>25011.0</v>
      </c>
      <c r="H1826" s="1">
        <v>1540.0</v>
      </c>
      <c r="I1826" s="1">
        <v>4490000.0</v>
      </c>
      <c r="J1826" s="1" t="s">
        <v>2468</v>
      </c>
      <c r="K1826" s="5">
        <f t="shared" si="2"/>
        <v>0.1135383073</v>
      </c>
      <c r="L1826" s="6">
        <f t="shared" si="3"/>
        <v>1844</v>
      </c>
      <c r="M1826" s="6">
        <f t="shared" si="4"/>
        <v>276.4571584</v>
      </c>
      <c r="N1826" s="7">
        <f t="shared" si="5"/>
        <v>0.00006157175019</v>
      </c>
      <c r="O1826" s="7"/>
      <c r="P1826" s="4">
        <f t="shared" si="6"/>
        <v>-0.4061570528</v>
      </c>
      <c r="Q1826" s="4">
        <f t="shared" si="7"/>
        <v>6</v>
      </c>
      <c r="R1826" s="4">
        <f t="shared" si="8"/>
        <v>0</v>
      </c>
      <c r="S1826" s="4">
        <f t="shared" si="9"/>
        <v>-0.4061570528</v>
      </c>
      <c r="T1826" s="4">
        <f t="shared" si="10"/>
        <v>29</v>
      </c>
      <c r="U1826" s="4">
        <f t="shared" si="1"/>
        <v>-0.4061570528</v>
      </c>
      <c r="V1826" s="4"/>
    </row>
    <row r="1827">
      <c r="A1827" s="1" t="s">
        <v>19304</v>
      </c>
      <c r="B1827" s="1" t="s">
        <v>19305</v>
      </c>
      <c r="C1827" s="1" t="s">
        <v>19306</v>
      </c>
      <c r="D1827" s="1" t="s">
        <v>19050</v>
      </c>
      <c r="E1827" s="1" t="s">
        <v>19051</v>
      </c>
      <c r="F1827" s="1">
        <v>1.4663577E7</v>
      </c>
      <c r="G1827" s="1">
        <v>671644.0</v>
      </c>
      <c r="H1827" s="1">
        <v>6740.0</v>
      </c>
      <c r="I1827" s="1">
        <v>4490000.0</v>
      </c>
      <c r="J1827" s="1" t="s">
        <v>2468</v>
      </c>
      <c r="K1827" s="5">
        <f t="shared" si="2"/>
        <v>3.265830067</v>
      </c>
      <c r="L1827" s="6">
        <f t="shared" si="3"/>
        <v>1861</v>
      </c>
      <c r="M1827" s="6">
        <f t="shared" si="4"/>
        <v>7879.407308</v>
      </c>
      <c r="N1827" s="7">
        <f t="shared" si="5"/>
        <v>0.001754879133</v>
      </c>
      <c r="O1827" s="7"/>
      <c r="P1827" s="4">
        <f t="shared" si="6"/>
        <v>0.7865467381</v>
      </c>
      <c r="Q1827" s="4">
        <f t="shared" si="7"/>
        <v>5</v>
      </c>
      <c r="R1827" s="4">
        <f t="shared" si="8"/>
        <v>0</v>
      </c>
      <c r="S1827" s="4">
        <f t="shared" si="9"/>
        <v>0.7865467381</v>
      </c>
      <c r="T1827" s="4">
        <f t="shared" si="10"/>
        <v>28</v>
      </c>
      <c r="U1827" s="4">
        <f t="shared" si="1"/>
        <v>0.7865467381</v>
      </c>
      <c r="V1827" s="4"/>
    </row>
    <row r="1828">
      <c r="A1828" s="1" t="s">
        <v>19307</v>
      </c>
      <c r="B1828" s="1" t="s">
        <v>19308</v>
      </c>
      <c r="C1828" s="1" t="s">
        <v>19309</v>
      </c>
      <c r="D1828" s="1" t="s">
        <v>19050</v>
      </c>
      <c r="E1828" s="1" t="s">
        <v>19051</v>
      </c>
      <c r="F1828" s="1">
        <v>788080.0</v>
      </c>
      <c r="G1828" s="1">
        <v>41848.0</v>
      </c>
      <c r="H1828" s="1">
        <v>585.0</v>
      </c>
      <c r="I1828" s="1">
        <v>4490000.0</v>
      </c>
      <c r="J1828" s="1" t="s">
        <v>2468</v>
      </c>
      <c r="K1828" s="5">
        <f t="shared" si="2"/>
        <v>0.175518931</v>
      </c>
      <c r="L1828" s="6">
        <f t="shared" si="3"/>
        <v>1869</v>
      </c>
      <c r="M1828" s="6">
        <f t="shared" si="4"/>
        <v>421.658641</v>
      </c>
      <c r="N1828" s="7">
        <f t="shared" si="5"/>
        <v>0.00009391061046</v>
      </c>
      <c r="O1828" s="7"/>
      <c r="P1828" s="4">
        <f t="shared" si="6"/>
        <v>-0.3833787423</v>
      </c>
      <c r="Q1828" s="4">
        <f t="shared" si="7"/>
        <v>5</v>
      </c>
      <c r="R1828" s="4">
        <f t="shared" si="8"/>
        <v>0</v>
      </c>
      <c r="S1828" s="4">
        <f t="shared" si="9"/>
        <v>-0.3833787423</v>
      </c>
      <c r="T1828" s="4">
        <f t="shared" si="10"/>
        <v>25</v>
      </c>
      <c r="U1828" s="4">
        <f t="shared" si="1"/>
        <v>-0.3833787423</v>
      </c>
      <c r="V1828" s="4"/>
    </row>
    <row r="1829">
      <c r="A1829" s="1" t="s">
        <v>19310</v>
      </c>
      <c r="B1829" s="1" t="s">
        <v>19311</v>
      </c>
      <c r="C1829" s="1" t="s">
        <v>19312</v>
      </c>
      <c r="D1829" s="1" t="s">
        <v>19050</v>
      </c>
      <c r="E1829" s="1" t="s">
        <v>19051</v>
      </c>
      <c r="F1829" s="1">
        <v>627825.0</v>
      </c>
      <c r="G1829" s="1">
        <v>31923.0</v>
      </c>
      <c r="H1829" s="1">
        <v>2158.0</v>
      </c>
      <c r="I1829" s="1">
        <v>4490000.0</v>
      </c>
      <c r="J1829" s="1" t="s">
        <v>2468</v>
      </c>
      <c r="K1829" s="5">
        <f t="shared" si="2"/>
        <v>0.1398273942</v>
      </c>
      <c r="L1829" s="6">
        <f t="shared" si="3"/>
        <v>1872</v>
      </c>
      <c r="M1829" s="6">
        <f t="shared" si="4"/>
        <v>335.3766026</v>
      </c>
      <c r="N1829" s="7">
        <f t="shared" si="5"/>
        <v>0.00007469412084</v>
      </c>
      <c r="O1829" s="7"/>
      <c r="P1829" s="4">
        <f t="shared" si="6"/>
        <v>-0.3969141348</v>
      </c>
      <c r="Q1829" s="4">
        <f t="shared" si="7"/>
        <v>5</v>
      </c>
      <c r="R1829" s="4">
        <f t="shared" si="8"/>
        <v>0</v>
      </c>
      <c r="S1829" s="4">
        <f t="shared" si="9"/>
        <v>-0.3969141348</v>
      </c>
      <c r="T1829" s="4">
        <f t="shared" si="10"/>
        <v>21</v>
      </c>
      <c r="U1829" s="4">
        <f t="shared" si="1"/>
        <v>-0.3969141348</v>
      </c>
      <c r="V1829" s="4"/>
    </row>
    <row r="1830">
      <c r="A1830" s="1" t="s">
        <v>19313</v>
      </c>
      <c r="B1830" s="1" t="s">
        <v>19314</v>
      </c>
      <c r="C1830" s="1" t="s">
        <v>19315</v>
      </c>
      <c r="D1830" s="1" t="s">
        <v>19050</v>
      </c>
      <c r="E1830" s="1" t="s">
        <v>19051</v>
      </c>
      <c r="F1830" s="1">
        <v>5752259.0</v>
      </c>
      <c r="G1830" s="1">
        <v>246108.0</v>
      </c>
      <c r="H1830" s="1">
        <v>1732.0</v>
      </c>
      <c r="I1830" s="1">
        <v>4490000.0</v>
      </c>
      <c r="J1830" s="1" t="s">
        <v>2468</v>
      </c>
      <c r="K1830" s="5">
        <f t="shared" si="2"/>
        <v>1.281126726</v>
      </c>
      <c r="L1830" s="6">
        <f t="shared" si="3"/>
        <v>1876</v>
      </c>
      <c r="M1830" s="6">
        <f t="shared" si="4"/>
        <v>3066.236141</v>
      </c>
      <c r="N1830" s="7">
        <f t="shared" si="5"/>
        <v>0.0006829033721</v>
      </c>
      <c r="O1830" s="7"/>
      <c r="P1830" s="4">
        <f t="shared" si="6"/>
        <v>0.03148621762</v>
      </c>
      <c r="Q1830" s="4">
        <f t="shared" si="7"/>
        <v>6</v>
      </c>
      <c r="R1830" s="4">
        <f t="shared" si="8"/>
        <v>0</v>
      </c>
      <c r="S1830" s="4">
        <f t="shared" si="9"/>
        <v>0.03148621762</v>
      </c>
      <c r="T1830" s="4">
        <f t="shared" si="10"/>
        <v>24</v>
      </c>
      <c r="U1830" s="4">
        <f t="shared" si="1"/>
        <v>0.03148621762</v>
      </c>
      <c r="V1830" s="4"/>
    </row>
    <row r="1831">
      <c r="A1831" s="1" t="s">
        <v>19316</v>
      </c>
      <c r="B1831" s="1" t="s">
        <v>19317</v>
      </c>
      <c r="C1831" s="1" t="s">
        <v>19318</v>
      </c>
      <c r="D1831" s="1" t="s">
        <v>19050</v>
      </c>
      <c r="E1831" s="1" t="s">
        <v>19051</v>
      </c>
      <c r="F1831" s="1">
        <v>565463.0</v>
      </c>
      <c r="G1831" s="1">
        <v>33658.0</v>
      </c>
      <c r="H1831" s="1">
        <v>1576.0</v>
      </c>
      <c r="I1831" s="1">
        <v>4490000.0</v>
      </c>
      <c r="J1831" s="1" t="s">
        <v>2468</v>
      </c>
      <c r="K1831" s="5">
        <f t="shared" si="2"/>
        <v>0.1259383073</v>
      </c>
      <c r="L1831" s="6">
        <f t="shared" si="3"/>
        <v>1882</v>
      </c>
      <c r="M1831" s="6">
        <f t="shared" si="4"/>
        <v>300.4585547</v>
      </c>
      <c r="N1831" s="7">
        <f t="shared" si="5"/>
        <v>0.00006691727277</v>
      </c>
      <c r="O1831" s="7"/>
      <c r="P1831" s="4">
        <f t="shared" si="6"/>
        <v>-0.4023918622</v>
      </c>
      <c r="Q1831" s="4">
        <f t="shared" si="7"/>
        <v>4</v>
      </c>
      <c r="R1831" s="4">
        <f t="shared" si="8"/>
        <v>0</v>
      </c>
      <c r="S1831" s="4">
        <f t="shared" si="9"/>
        <v>-0.4023918622</v>
      </c>
      <c r="T1831" s="4">
        <f t="shared" si="10"/>
        <v>25</v>
      </c>
      <c r="U1831" s="4">
        <f t="shared" si="1"/>
        <v>-0.4023918622</v>
      </c>
      <c r="V1831" s="4"/>
    </row>
    <row r="1832">
      <c r="A1832" s="1" t="s">
        <v>19319</v>
      </c>
      <c r="B1832" s="1" t="s">
        <v>19320</v>
      </c>
      <c r="C1832" s="1" t="s">
        <v>19321</v>
      </c>
      <c r="D1832" s="1" t="s">
        <v>19050</v>
      </c>
      <c r="E1832" s="1" t="s">
        <v>19051</v>
      </c>
      <c r="F1832" s="1">
        <v>7852426.0</v>
      </c>
      <c r="G1832" s="1">
        <v>237563.0</v>
      </c>
      <c r="H1832" s="1">
        <v>34031.0</v>
      </c>
      <c r="I1832" s="1">
        <v>4490000.0</v>
      </c>
      <c r="J1832" s="1" t="s">
        <v>2468</v>
      </c>
      <c r="K1832" s="5">
        <f t="shared" si="2"/>
        <v>1.748869933</v>
      </c>
      <c r="L1832" s="6">
        <f t="shared" si="3"/>
        <v>1889</v>
      </c>
      <c r="M1832" s="6">
        <f t="shared" si="4"/>
        <v>4156.922181</v>
      </c>
      <c r="N1832" s="7">
        <f t="shared" si="5"/>
        <v>0.0009258178577</v>
      </c>
      <c r="O1832" s="7"/>
      <c r="P1832" s="4">
        <f t="shared" si="6"/>
        <v>0.2025862971</v>
      </c>
      <c r="Q1832" s="4">
        <f t="shared" si="7"/>
        <v>2</v>
      </c>
      <c r="R1832" s="4">
        <f t="shared" si="8"/>
        <v>1</v>
      </c>
      <c r="S1832" s="4">
        <f t="shared" si="9"/>
        <v>0.2025862971</v>
      </c>
      <c r="T1832" s="4">
        <f t="shared" si="10"/>
        <v>23</v>
      </c>
      <c r="U1832" s="4">
        <f t="shared" si="1"/>
        <v>0.2025862971</v>
      </c>
      <c r="V1832" s="4"/>
    </row>
    <row r="1833">
      <c r="A1833" s="1" t="s">
        <v>19322</v>
      </c>
      <c r="B1833" s="1" t="s">
        <v>19323</v>
      </c>
      <c r="C1833" s="1" t="s">
        <v>19324</v>
      </c>
      <c r="D1833" s="1" t="s">
        <v>19050</v>
      </c>
      <c r="E1833" s="1" t="s">
        <v>19051</v>
      </c>
      <c r="F1833" s="1">
        <v>1940817.0</v>
      </c>
      <c r="G1833" s="1">
        <v>78527.0</v>
      </c>
      <c r="H1833" s="1">
        <v>2255.0</v>
      </c>
      <c r="I1833" s="1">
        <v>4490000.0</v>
      </c>
      <c r="J1833" s="1" t="s">
        <v>2468</v>
      </c>
      <c r="K1833" s="5">
        <f t="shared" si="2"/>
        <v>0.4322532294</v>
      </c>
      <c r="L1833" s="6">
        <f t="shared" si="3"/>
        <v>1896</v>
      </c>
      <c r="M1833" s="6">
        <f t="shared" si="4"/>
        <v>1023.637658</v>
      </c>
      <c r="N1833" s="7">
        <f t="shared" si="5"/>
        <v>0.0002279816611</v>
      </c>
      <c r="O1833" s="7"/>
      <c r="P1833" s="4">
        <f t="shared" si="6"/>
        <v>-0.2889439977</v>
      </c>
      <c r="Q1833" s="4">
        <f t="shared" si="7"/>
        <v>5</v>
      </c>
      <c r="R1833" s="4">
        <f t="shared" si="8"/>
        <v>0</v>
      </c>
      <c r="S1833" s="4">
        <f t="shared" si="9"/>
        <v>-0.2889439977</v>
      </c>
      <c r="T1833" s="4">
        <f t="shared" si="10"/>
        <v>34</v>
      </c>
      <c r="U1833" s="4">
        <f t="shared" si="1"/>
        <v>-0.2889439977</v>
      </c>
      <c r="V1833" s="4"/>
    </row>
    <row r="1834">
      <c r="A1834" s="1" t="s">
        <v>19325</v>
      </c>
      <c r="B1834" s="1" t="s">
        <v>19326</v>
      </c>
      <c r="C1834" s="1" t="s">
        <v>19327</v>
      </c>
      <c r="D1834" s="1" t="s">
        <v>19050</v>
      </c>
      <c r="E1834" s="1" t="s">
        <v>19051</v>
      </c>
      <c r="F1834" s="1">
        <v>1080269.0</v>
      </c>
      <c r="G1834" s="1">
        <v>42595.0</v>
      </c>
      <c r="H1834" s="1">
        <v>936.0</v>
      </c>
      <c r="I1834" s="1">
        <v>4490000.0</v>
      </c>
      <c r="J1834" s="1" t="s">
        <v>2468</v>
      </c>
      <c r="K1834" s="5">
        <f t="shared" si="2"/>
        <v>0.2405944321</v>
      </c>
      <c r="L1834" s="6">
        <f t="shared" si="3"/>
        <v>1900</v>
      </c>
      <c r="M1834" s="6">
        <f t="shared" si="4"/>
        <v>568.5626316</v>
      </c>
      <c r="N1834" s="7">
        <f t="shared" si="5"/>
        <v>0.0001266286485</v>
      </c>
      <c r="O1834" s="7"/>
      <c r="P1834" s="4">
        <f t="shared" si="6"/>
        <v>-0.360333353</v>
      </c>
      <c r="Q1834" s="4">
        <f t="shared" si="7"/>
        <v>6</v>
      </c>
      <c r="R1834" s="4">
        <f t="shared" si="8"/>
        <v>0</v>
      </c>
      <c r="S1834" s="4">
        <f t="shared" si="9"/>
        <v>-0.360333353</v>
      </c>
      <c r="T1834" s="4">
        <f t="shared" si="10"/>
        <v>37</v>
      </c>
      <c r="U1834" s="4">
        <f t="shared" si="1"/>
        <v>-0.360333353</v>
      </c>
      <c r="V1834" s="4"/>
    </row>
    <row r="1835">
      <c r="A1835" s="1" t="s">
        <v>19328</v>
      </c>
      <c r="B1835" s="1" t="s">
        <v>19329</v>
      </c>
      <c r="C1835" s="1" t="s">
        <v>19330</v>
      </c>
      <c r="D1835" s="1" t="s">
        <v>19050</v>
      </c>
      <c r="E1835" s="1" t="s">
        <v>19051</v>
      </c>
      <c r="F1835" s="1">
        <v>2725977.0</v>
      </c>
      <c r="G1835" s="1">
        <v>96362.0</v>
      </c>
      <c r="H1835" s="1">
        <v>5783.0</v>
      </c>
      <c r="I1835" s="1">
        <v>4490000.0</v>
      </c>
      <c r="J1835" s="1" t="s">
        <v>2468</v>
      </c>
      <c r="K1835" s="5">
        <f t="shared" si="2"/>
        <v>0.6071218263</v>
      </c>
      <c r="L1835" s="6">
        <f t="shared" si="3"/>
        <v>1905</v>
      </c>
      <c r="M1835" s="6">
        <f t="shared" si="4"/>
        <v>1430.959055</v>
      </c>
      <c r="N1835" s="7">
        <f t="shared" si="5"/>
        <v>0.0003186991214</v>
      </c>
      <c r="O1835" s="7"/>
      <c r="P1835" s="4">
        <f t="shared" si="6"/>
        <v>-0.2250459365</v>
      </c>
      <c r="Q1835" s="4">
        <f t="shared" si="7"/>
        <v>7</v>
      </c>
      <c r="R1835" s="4">
        <f t="shared" si="8"/>
        <v>0</v>
      </c>
      <c r="S1835" s="4">
        <f t="shared" si="9"/>
        <v>-0.2250459365</v>
      </c>
      <c r="T1835" s="4">
        <f t="shared" si="10"/>
        <v>33</v>
      </c>
      <c r="U1835" s="4">
        <f t="shared" si="1"/>
        <v>-0.2250459365</v>
      </c>
      <c r="V1835" s="4"/>
    </row>
    <row r="1836">
      <c r="A1836" s="1" t="s">
        <v>19331</v>
      </c>
      <c r="B1836" s="1" t="s">
        <v>19332</v>
      </c>
      <c r="C1836" s="1" t="s">
        <v>19333</v>
      </c>
      <c r="D1836" s="1" t="s">
        <v>19050</v>
      </c>
      <c r="E1836" s="1" t="s">
        <v>19051</v>
      </c>
      <c r="F1836" s="1">
        <v>773015.0</v>
      </c>
      <c r="G1836" s="1">
        <v>34567.0</v>
      </c>
      <c r="H1836" s="1">
        <v>283.0</v>
      </c>
      <c r="I1836" s="1">
        <v>4490000.0</v>
      </c>
      <c r="J1836" s="1" t="s">
        <v>2468</v>
      </c>
      <c r="K1836" s="5">
        <f t="shared" si="2"/>
        <v>0.1721636971</v>
      </c>
      <c r="L1836" s="6">
        <f t="shared" si="3"/>
        <v>1906</v>
      </c>
      <c r="M1836" s="6">
        <f t="shared" si="4"/>
        <v>405.569255</v>
      </c>
      <c r="N1836" s="7">
        <f t="shared" si="5"/>
        <v>0.00009032722828</v>
      </c>
      <c r="O1836" s="7"/>
      <c r="P1836" s="4">
        <f t="shared" si="6"/>
        <v>-0.3859027457</v>
      </c>
      <c r="Q1836" s="4">
        <f t="shared" si="7"/>
        <v>6</v>
      </c>
      <c r="R1836" s="4">
        <f t="shared" si="8"/>
        <v>0</v>
      </c>
      <c r="S1836" s="4">
        <f t="shared" si="9"/>
        <v>-0.3859027457</v>
      </c>
      <c r="T1836" s="4">
        <f t="shared" si="10"/>
        <v>22</v>
      </c>
      <c r="U1836" s="4">
        <f t="shared" si="1"/>
        <v>-0.3859027457</v>
      </c>
      <c r="V1836" s="4"/>
    </row>
    <row r="1837">
      <c r="A1837" s="1" t="s">
        <v>19334</v>
      </c>
      <c r="B1837" s="1" t="s">
        <v>19335</v>
      </c>
      <c r="C1837" s="1" t="s">
        <v>19336</v>
      </c>
      <c r="D1837" s="1" t="s">
        <v>19050</v>
      </c>
      <c r="E1837" s="1" t="s">
        <v>19051</v>
      </c>
      <c r="F1837" s="1">
        <v>403996.0</v>
      </c>
      <c r="G1837" s="1">
        <v>20008.0</v>
      </c>
      <c r="H1837" s="1">
        <v>759.0</v>
      </c>
      <c r="I1837" s="1">
        <v>4490000.0</v>
      </c>
      <c r="J1837" s="1" t="s">
        <v>2468</v>
      </c>
      <c r="K1837" s="5">
        <f t="shared" si="2"/>
        <v>0.08997683742</v>
      </c>
      <c r="L1837" s="6">
        <f t="shared" si="3"/>
        <v>1927</v>
      </c>
      <c r="M1837" s="6">
        <f t="shared" si="4"/>
        <v>209.6502335</v>
      </c>
      <c r="N1837" s="7">
        <f t="shared" si="5"/>
        <v>0.00004669270234</v>
      </c>
      <c r="O1837" s="7"/>
      <c r="P1837" s="4">
        <f t="shared" si="6"/>
        <v>-0.4166373099</v>
      </c>
      <c r="Q1837" s="4">
        <f t="shared" si="7"/>
        <v>4</v>
      </c>
      <c r="R1837" s="4">
        <f t="shared" si="8"/>
        <v>0</v>
      </c>
      <c r="S1837" s="4">
        <f t="shared" si="9"/>
        <v>-0.4166373099</v>
      </c>
      <c r="T1837" s="4">
        <f t="shared" si="10"/>
        <v>25</v>
      </c>
      <c r="U1837" s="4">
        <f t="shared" si="1"/>
        <v>-0.4166373099</v>
      </c>
      <c r="V1837" s="4"/>
    </row>
    <row r="1838">
      <c r="A1838" s="1" t="s">
        <v>19337</v>
      </c>
      <c r="B1838" s="1" t="s">
        <v>19338</v>
      </c>
      <c r="C1838" s="1" t="s">
        <v>19339</v>
      </c>
      <c r="D1838" s="1" t="s">
        <v>19050</v>
      </c>
      <c r="E1838" s="1" t="s">
        <v>19051</v>
      </c>
      <c r="F1838" s="1">
        <v>6170830.0</v>
      </c>
      <c r="G1838" s="1">
        <v>366670.0</v>
      </c>
      <c r="H1838" s="1">
        <v>2459.0</v>
      </c>
      <c r="I1838" s="1">
        <v>4490000.0</v>
      </c>
      <c r="J1838" s="1" t="s">
        <v>2468</v>
      </c>
      <c r="K1838" s="5">
        <f t="shared" si="2"/>
        <v>1.374349666</v>
      </c>
      <c r="L1838" s="6">
        <f t="shared" si="3"/>
        <v>1933</v>
      </c>
      <c r="M1838" s="6">
        <f t="shared" si="4"/>
        <v>3192.359027</v>
      </c>
      <c r="N1838" s="7">
        <f t="shared" si="5"/>
        <v>0.0007109931019</v>
      </c>
      <c r="O1838" s="7"/>
      <c r="P1838" s="4">
        <f t="shared" si="6"/>
        <v>0.05127159594</v>
      </c>
      <c r="Q1838" s="4">
        <f t="shared" si="7"/>
        <v>8</v>
      </c>
      <c r="R1838" s="4">
        <f t="shared" si="8"/>
        <v>0</v>
      </c>
      <c r="S1838" s="4">
        <f t="shared" si="9"/>
        <v>0.05127159594</v>
      </c>
      <c r="T1838" s="4">
        <f t="shared" si="10"/>
        <v>35</v>
      </c>
      <c r="U1838" s="4">
        <f t="shared" si="1"/>
        <v>0.05127159594</v>
      </c>
      <c r="V1838" s="4"/>
    </row>
    <row r="1839">
      <c r="A1839" s="1" t="s">
        <v>19340</v>
      </c>
      <c r="B1839" s="1" t="s">
        <v>19341</v>
      </c>
      <c r="C1839" s="1" t="s">
        <v>19342</v>
      </c>
      <c r="D1839" s="1" t="s">
        <v>19050</v>
      </c>
      <c r="E1839" s="1" t="s">
        <v>19051</v>
      </c>
      <c r="F1839" s="1">
        <v>158311.0</v>
      </c>
      <c r="G1839" s="1">
        <v>7035.0</v>
      </c>
      <c r="H1839" s="1">
        <v>117.0</v>
      </c>
      <c r="I1839" s="1">
        <v>4490000.0</v>
      </c>
      <c r="J1839" s="1" t="s">
        <v>2468</v>
      </c>
      <c r="K1839" s="5">
        <f t="shared" si="2"/>
        <v>0.03525857461</v>
      </c>
      <c r="L1839" s="6">
        <f t="shared" si="3"/>
        <v>1942</v>
      </c>
      <c r="M1839" s="6">
        <f t="shared" si="4"/>
        <v>81.51956746</v>
      </c>
      <c r="N1839" s="7">
        <f t="shared" si="5"/>
        <v>0.00001815580567</v>
      </c>
      <c r="O1839" s="7"/>
      <c r="P1839" s="4">
        <f t="shared" si="6"/>
        <v>-0.4367376562</v>
      </c>
      <c r="Q1839" s="4">
        <f t="shared" si="7"/>
        <v>5</v>
      </c>
      <c r="R1839" s="4">
        <f t="shared" si="8"/>
        <v>0</v>
      </c>
      <c r="S1839" s="4">
        <f t="shared" si="9"/>
        <v>-0.4367376562</v>
      </c>
      <c r="T1839" s="4">
        <f t="shared" si="10"/>
        <v>27</v>
      </c>
      <c r="U1839" s="4">
        <f t="shared" si="1"/>
        <v>-0.4367376562</v>
      </c>
      <c r="V1839" s="4"/>
    </row>
    <row r="1840">
      <c r="A1840" s="1" t="s">
        <v>19343</v>
      </c>
      <c r="B1840" s="1" t="s">
        <v>19344</v>
      </c>
      <c r="C1840" s="1" t="s">
        <v>19345</v>
      </c>
      <c r="D1840" s="1" t="s">
        <v>19050</v>
      </c>
      <c r="E1840" s="1" t="s">
        <v>19051</v>
      </c>
      <c r="F1840" s="1">
        <v>170139.0</v>
      </c>
      <c r="G1840" s="1">
        <v>7330.0</v>
      </c>
      <c r="H1840" s="1">
        <v>294.0</v>
      </c>
      <c r="I1840" s="1">
        <v>4490000.0</v>
      </c>
      <c r="J1840" s="1" t="s">
        <v>2468</v>
      </c>
      <c r="K1840" s="5">
        <f t="shared" si="2"/>
        <v>0.03789287305</v>
      </c>
      <c r="L1840" s="6">
        <f t="shared" si="3"/>
        <v>1964</v>
      </c>
      <c r="M1840" s="6">
        <f t="shared" si="4"/>
        <v>86.62881874</v>
      </c>
      <c r="N1840" s="7">
        <f t="shared" si="5"/>
        <v>0.00001929372355</v>
      </c>
      <c r="O1840" s="7"/>
      <c r="P1840" s="4">
        <f t="shared" si="6"/>
        <v>-0.4359361485</v>
      </c>
      <c r="Q1840" s="4">
        <f t="shared" si="7"/>
        <v>5</v>
      </c>
      <c r="R1840" s="4">
        <f t="shared" si="8"/>
        <v>0</v>
      </c>
      <c r="S1840" s="4">
        <f t="shared" si="9"/>
        <v>-0.4359361485</v>
      </c>
      <c r="T1840" s="4">
        <f t="shared" si="10"/>
        <v>26</v>
      </c>
      <c r="U1840" s="4">
        <f t="shared" si="1"/>
        <v>-0.4359361485</v>
      </c>
      <c r="V1840" s="4"/>
    </row>
    <row r="1841">
      <c r="A1841" s="1" t="s">
        <v>19346</v>
      </c>
      <c r="B1841" s="1" t="s">
        <v>19347</v>
      </c>
      <c r="C1841" s="1" t="s">
        <v>19348</v>
      </c>
      <c r="D1841" s="1" t="s">
        <v>19050</v>
      </c>
      <c r="E1841" s="1" t="s">
        <v>19051</v>
      </c>
      <c r="F1841" s="1">
        <v>182955.0</v>
      </c>
      <c r="G1841" s="1">
        <v>10545.0</v>
      </c>
      <c r="H1841" s="1">
        <v>505.0</v>
      </c>
      <c r="I1841" s="1">
        <v>4490000.0</v>
      </c>
      <c r="J1841" s="1" t="s">
        <v>2468</v>
      </c>
      <c r="K1841" s="5">
        <f t="shared" si="2"/>
        <v>0.04074721604</v>
      </c>
      <c r="L1841" s="6">
        <f t="shared" si="3"/>
        <v>1967</v>
      </c>
      <c r="M1841" s="6">
        <f t="shared" si="4"/>
        <v>93.01220132</v>
      </c>
      <c r="N1841" s="7">
        <f t="shared" si="5"/>
        <v>0.00002071541232</v>
      </c>
      <c r="O1841" s="7"/>
      <c r="P1841" s="4">
        <f t="shared" si="6"/>
        <v>-0.4349347629</v>
      </c>
      <c r="Q1841" s="4">
        <f t="shared" si="7"/>
        <v>6</v>
      </c>
      <c r="R1841" s="4">
        <f t="shared" si="8"/>
        <v>1</v>
      </c>
      <c r="S1841" s="4">
        <f t="shared" si="9"/>
        <v>-0.4349347629</v>
      </c>
      <c r="T1841" s="4">
        <f t="shared" si="10"/>
        <v>24</v>
      </c>
      <c r="U1841" s="4">
        <f t="shared" si="1"/>
        <v>-0.4349347629</v>
      </c>
      <c r="V1841" s="4"/>
    </row>
    <row r="1842">
      <c r="A1842" s="1" t="s">
        <v>19349</v>
      </c>
      <c r="B1842" s="1" t="s">
        <v>19350</v>
      </c>
      <c r="C1842" s="1" t="s">
        <v>19351</v>
      </c>
      <c r="D1842" s="1" t="s">
        <v>19352</v>
      </c>
      <c r="E1842" s="1" t="s">
        <v>19353</v>
      </c>
      <c r="F1842" s="1">
        <v>547952.0</v>
      </c>
      <c r="G1842" s="1">
        <v>23627.0</v>
      </c>
      <c r="H1842" s="1">
        <v>1266.0</v>
      </c>
      <c r="I1842" s="1">
        <v>3940000.0</v>
      </c>
      <c r="J1842" s="1" t="s">
        <v>2468</v>
      </c>
      <c r="K1842" s="5">
        <f t="shared" si="2"/>
        <v>0.1390741117</v>
      </c>
      <c r="L1842" s="6">
        <f t="shared" si="3"/>
        <v>1349</v>
      </c>
      <c r="M1842" s="6">
        <f t="shared" si="4"/>
        <v>406.1912528</v>
      </c>
      <c r="N1842" s="7">
        <f t="shared" si="5"/>
        <v>0.0001030942266</v>
      </c>
      <c r="O1842" s="7"/>
      <c r="P1842" s="4">
        <f t="shared" si="6"/>
        <v>-0.376910139</v>
      </c>
      <c r="Q1842" s="4">
        <f t="shared" si="7"/>
        <v>8</v>
      </c>
      <c r="R1842" s="4">
        <f t="shared" si="8"/>
        <v>0</v>
      </c>
      <c r="S1842" s="4">
        <f t="shared" si="9"/>
        <v>-0.376910139</v>
      </c>
      <c r="T1842" s="4">
        <f t="shared" si="10"/>
        <v>38</v>
      </c>
      <c r="U1842" s="4">
        <f t="shared" si="1"/>
        <v>-0.376910139</v>
      </c>
      <c r="V1842" s="4"/>
    </row>
    <row r="1843">
      <c r="A1843" s="1" t="s">
        <v>19354</v>
      </c>
      <c r="B1843" s="1" t="s">
        <v>19355</v>
      </c>
      <c r="C1843" s="1" t="s">
        <v>19356</v>
      </c>
      <c r="D1843" s="1" t="s">
        <v>19352</v>
      </c>
      <c r="E1843" s="1" t="s">
        <v>19353</v>
      </c>
      <c r="F1843" s="1">
        <v>75657.0</v>
      </c>
      <c r="G1843" s="1">
        <v>3284.0</v>
      </c>
      <c r="H1843" s="1">
        <v>0.0</v>
      </c>
      <c r="I1843" s="1">
        <v>3940000.0</v>
      </c>
      <c r="J1843" s="1" t="s">
        <v>2468</v>
      </c>
      <c r="K1843" s="5">
        <f t="shared" si="2"/>
        <v>0.01920228426</v>
      </c>
      <c r="L1843" s="6">
        <f t="shared" si="3"/>
        <v>1380</v>
      </c>
      <c r="M1843" s="6">
        <f t="shared" si="4"/>
        <v>54.82391304</v>
      </c>
      <c r="N1843" s="7">
        <f t="shared" si="5"/>
        <v>0.00001391469874</v>
      </c>
      <c r="O1843" s="7"/>
      <c r="P1843" s="4">
        <f t="shared" si="6"/>
        <v>-0.4397249368</v>
      </c>
      <c r="Q1843" s="4">
        <f t="shared" si="7"/>
        <v>7</v>
      </c>
      <c r="R1843" s="4">
        <f t="shared" si="8"/>
        <v>0</v>
      </c>
      <c r="S1843" s="4">
        <f t="shared" si="9"/>
        <v>-0.4397249368</v>
      </c>
      <c r="T1843" s="4">
        <f t="shared" si="10"/>
        <v>37</v>
      </c>
      <c r="U1843" s="4">
        <f t="shared" si="1"/>
        <v>-0.4397249368</v>
      </c>
      <c r="V1843" s="4"/>
    </row>
    <row r="1844">
      <c r="A1844" s="1" t="s">
        <v>19357</v>
      </c>
      <c r="B1844" s="1" t="s">
        <v>19358</v>
      </c>
      <c r="C1844" s="1" t="s">
        <v>19359</v>
      </c>
      <c r="D1844" s="1" t="s">
        <v>19352</v>
      </c>
      <c r="E1844" s="1" t="s">
        <v>19353</v>
      </c>
      <c r="F1844" s="1">
        <v>67248.0</v>
      </c>
      <c r="G1844" s="1">
        <v>2778.0</v>
      </c>
      <c r="H1844" s="1">
        <v>131.0</v>
      </c>
      <c r="I1844" s="1">
        <v>3940000.0</v>
      </c>
      <c r="J1844" s="1" t="s">
        <v>2468</v>
      </c>
      <c r="K1844" s="5">
        <f t="shared" si="2"/>
        <v>0.0170680203</v>
      </c>
      <c r="L1844" s="6">
        <f t="shared" si="3"/>
        <v>1389</v>
      </c>
      <c r="M1844" s="6">
        <f t="shared" si="4"/>
        <v>48.41468683</v>
      </c>
      <c r="N1844" s="7">
        <f t="shared" si="5"/>
        <v>0.00001228799158</v>
      </c>
      <c r="O1844" s="7"/>
      <c r="P1844" s="4">
        <f t="shared" si="6"/>
        <v>-0.4408707299</v>
      </c>
      <c r="Q1844" s="4">
        <f t="shared" si="7"/>
        <v>8</v>
      </c>
      <c r="R1844" s="4">
        <f t="shared" si="8"/>
        <v>0</v>
      </c>
      <c r="S1844" s="4">
        <f t="shared" si="9"/>
        <v>-0.4408707299</v>
      </c>
      <c r="T1844" s="4">
        <f t="shared" si="10"/>
        <v>32</v>
      </c>
      <c r="U1844" s="4">
        <f t="shared" si="1"/>
        <v>-0.4408707299</v>
      </c>
      <c r="V1844" s="4"/>
    </row>
    <row r="1845">
      <c r="A1845" s="1" t="s">
        <v>19360</v>
      </c>
      <c r="B1845" s="1" t="s">
        <v>19361</v>
      </c>
      <c r="C1845" s="1" t="s">
        <v>19362</v>
      </c>
      <c r="D1845" s="1" t="s">
        <v>19352</v>
      </c>
      <c r="E1845" s="1" t="s">
        <v>19353</v>
      </c>
      <c r="F1845" s="1">
        <v>45506.0</v>
      </c>
      <c r="G1845" s="1">
        <v>2190.0</v>
      </c>
      <c r="H1845" s="1">
        <v>0.0</v>
      </c>
      <c r="I1845" s="1">
        <v>3940000.0</v>
      </c>
      <c r="J1845" s="1" t="s">
        <v>2468</v>
      </c>
      <c r="K1845" s="5">
        <f t="shared" si="2"/>
        <v>0.01154974619</v>
      </c>
      <c r="L1845" s="6">
        <f t="shared" si="3"/>
        <v>1395</v>
      </c>
      <c r="M1845" s="6">
        <f t="shared" si="4"/>
        <v>32.62078853</v>
      </c>
      <c r="N1845" s="7">
        <f t="shared" si="5"/>
        <v>0.000008279387952</v>
      </c>
      <c r="O1845" s="7"/>
      <c r="P1845" s="4">
        <f t="shared" si="6"/>
        <v>-0.4436942436</v>
      </c>
      <c r="Q1845" s="4">
        <f t="shared" si="7"/>
        <v>8</v>
      </c>
      <c r="R1845" s="4">
        <f t="shared" si="8"/>
        <v>0</v>
      </c>
      <c r="S1845" s="4">
        <f t="shared" si="9"/>
        <v>-0.4436942436</v>
      </c>
      <c r="T1845" s="4">
        <f t="shared" si="10"/>
        <v>32</v>
      </c>
      <c r="U1845" s="4">
        <f t="shared" si="1"/>
        <v>-0.4436942436</v>
      </c>
      <c r="V1845" s="4"/>
    </row>
    <row r="1846">
      <c r="A1846" s="1" t="s">
        <v>19363</v>
      </c>
      <c r="B1846" s="1" t="s">
        <v>19364</v>
      </c>
      <c r="C1846" s="1" t="s">
        <v>19365</v>
      </c>
      <c r="D1846" s="1" t="s">
        <v>19352</v>
      </c>
      <c r="E1846" s="1" t="s">
        <v>19353</v>
      </c>
      <c r="F1846" s="1">
        <v>205478.0</v>
      </c>
      <c r="G1846" s="1">
        <v>13357.0</v>
      </c>
      <c r="H1846" s="1">
        <v>606.0</v>
      </c>
      <c r="I1846" s="1">
        <v>3940000.0</v>
      </c>
      <c r="J1846" s="1" t="s">
        <v>2468</v>
      </c>
      <c r="K1846" s="5">
        <f t="shared" si="2"/>
        <v>0.05215177665</v>
      </c>
      <c r="L1846" s="6">
        <f t="shared" si="3"/>
        <v>1396</v>
      </c>
      <c r="M1846" s="6">
        <f t="shared" si="4"/>
        <v>147.1905444</v>
      </c>
      <c r="N1846" s="7">
        <f t="shared" si="5"/>
        <v>0.0000373580062</v>
      </c>
      <c r="O1846" s="7"/>
      <c r="P1846" s="4">
        <f t="shared" si="6"/>
        <v>-0.4232123285</v>
      </c>
      <c r="Q1846" s="4">
        <f t="shared" si="7"/>
        <v>6</v>
      </c>
      <c r="R1846" s="4">
        <f t="shared" si="8"/>
        <v>1</v>
      </c>
      <c r="S1846" s="4">
        <f t="shared" si="9"/>
        <v>-0.4232123285</v>
      </c>
      <c r="T1846" s="4">
        <f t="shared" si="10"/>
        <v>25</v>
      </c>
      <c r="U1846" s="4">
        <f t="shared" si="1"/>
        <v>-0.4232123285</v>
      </c>
      <c r="V1846" s="4"/>
    </row>
    <row r="1847">
      <c r="A1847" s="1" t="s">
        <v>19366</v>
      </c>
      <c r="B1847" s="1" t="s">
        <v>19367</v>
      </c>
      <c r="C1847" s="1" t="s">
        <v>19368</v>
      </c>
      <c r="D1847" s="1" t="s">
        <v>19352</v>
      </c>
      <c r="E1847" s="1" t="s">
        <v>19353</v>
      </c>
      <c r="F1847" s="1">
        <v>47329.0</v>
      </c>
      <c r="G1847" s="1">
        <v>0.0</v>
      </c>
      <c r="H1847" s="1">
        <v>80.0</v>
      </c>
      <c r="I1847" s="1">
        <v>3940000.0</v>
      </c>
      <c r="J1847" s="1" t="s">
        <v>2468</v>
      </c>
      <c r="K1847" s="5">
        <f t="shared" si="2"/>
        <v>0.01201243655</v>
      </c>
      <c r="L1847" s="6">
        <f t="shared" si="3"/>
        <v>1849</v>
      </c>
      <c r="M1847" s="6">
        <f t="shared" si="4"/>
        <v>25.5970795</v>
      </c>
      <c r="N1847" s="7">
        <f t="shared" si="5"/>
        <v>0.000006496720686</v>
      </c>
      <c r="O1847" s="7"/>
      <c r="P1847" s="4">
        <f t="shared" si="6"/>
        <v>-0.4449498893</v>
      </c>
      <c r="Q1847" s="4">
        <f t="shared" si="7"/>
        <v>6</v>
      </c>
      <c r="R1847" s="4">
        <f t="shared" si="8"/>
        <v>0</v>
      </c>
      <c r="S1847" s="4">
        <f t="shared" si="9"/>
        <v>-0.4449498893</v>
      </c>
      <c r="T1847" s="4">
        <f t="shared" si="10"/>
        <v>39</v>
      </c>
      <c r="U1847" s="4">
        <f t="shared" si="1"/>
        <v>-0.4449498893</v>
      </c>
      <c r="V1847" s="4"/>
    </row>
    <row r="1848">
      <c r="A1848" s="1" t="s">
        <v>19369</v>
      </c>
      <c r="B1848" s="1" t="s">
        <v>19370</v>
      </c>
      <c r="C1848" s="1" t="s">
        <v>19371</v>
      </c>
      <c r="D1848" s="1" t="s">
        <v>19352</v>
      </c>
      <c r="E1848" s="1" t="s">
        <v>19353</v>
      </c>
      <c r="F1848" s="1">
        <v>812523.0</v>
      </c>
      <c r="G1848" s="1">
        <v>2770.0</v>
      </c>
      <c r="H1848" s="1">
        <v>73.0</v>
      </c>
      <c r="I1848" s="1">
        <v>3940000.0</v>
      </c>
      <c r="J1848" s="1" t="s">
        <v>2468</v>
      </c>
      <c r="K1848" s="5">
        <f t="shared" si="2"/>
        <v>0.2062241117</v>
      </c>
      <c r="L1848" s="6">
        <f t="shared" si="3"/>
        <v>1855</v>
      </c>
      <c r="M1848" s="6">
        <f t="shared" si="4"/>
        <v>438.0177898</v>
      </c>
      <c r="N1848" s="7">
        <f t="shared" si="5"/>
        <v>0.0001111720279</v>
      </c>
      <c r="O1848" s="7"/>
      <c r="P1848" s="4">
        <f t="shared" si="6"/>
        <v>-0.3712204312</v>
      </c>
      <c r="Q1848" s="4">
        <f t="shared" si="7"/>
        <v>10</v>
      </c>
      <c r="R1848" s="4">
        <f t="shared" si="8"/>
        <v>0</v>
      </c>
      <c r="S1848" s="4">
        <f t="shared" si="9"/>
        <v>-0.3712204312</v>
      </c>
      <c r="T1848" s="4">
        <f t="shared" si="10"/>
        <v>47</v>
      </c>
      <c r="U1848" s="4">
        <f t="shared" si="1"/>
        <v>-0.3712204312</v>
      </c>
      <c r="V1848" s="4"/>
    </row>
    <row r="1849">
      <c r="A1849" s="1" t="s">
        <v>19372</v>
      </c>
      <c r="B1849" s="1" t="s">
        <v>19373</v>
      </c>
      <c r="C1849" s="1" t="s">
        <v>19374</v>
      </c>
      <c r="D1849" s="1" t="s">
        <v>19352</v>
      </c>
      <c r="E1849" s="1" t="s">
        <v>19353</v>
      </c>
      <c r="F1849" s="1">
        <v>25785.0</v>
      </c>
      <c r="G1849" s="1">
        <v>0.0</v>
      </c>
      <c r="H1849" s="1">
        <v>25.0</v>
      </c>
      <c r="I1849" s="1">
        <v>3940000.0</v>
      </c>
      <c r="J1849" s="1" t="s">
        <v>2468</v>
      </c>
      <c r="K1849" s="5">
        <f t="shared" si="2"/>
        <v>0.006544416244</v>
      </c>
      <c r="L1849" s="6">
        <f t="shared" si="3"/>
        <v>1856</v>
      </c>
      <c r="M1849" s="6">
        <f t="shared" si="4"/>
        <v>13.89278017</v>
      </c>
      <c r="N1849" s="7">
        <f t="shared" si="5"/>
        <v>0.000003526086338</v>
      </c>
      <c r="O1849" s="7"/>
      <c r="P1849" s="4">
        <f t="shared" si="6"/>
        <v>-0.4470422955</v>
      </c>
      <c r="Q1849" s="4">
        <f t="shared" si="7"/>
        <v>7</v>
      </c>
      <c r="R1849" s="4">
        <f t="shared" si="8"/>
        <v>0</v>
      </c>
      <c r="S1849" s="4">
        <f t="shared" si="9"/>
        <v>-0.4470422955</v>
      </c>
      <c r="T1849" s="4">
        <f t="shared" si="10"/>
        <v>43</v>
      </c>
      <c r="U1849" s="4">
        <f t="shared" si="1"/>
        <v>-0.4470422955</v>
      </c>
      <c r="V1849" s="4"/>
    </row>
    <row r="1850">
      <c r="A1850" s="1" t="s">
        <v>19375</v>
      </c>
      <c r="B1850" s="1" t="s">
        <v>19376</v>
      </c>
      <c r="C1850" s="1" t="s">
        <v>19377</v>
      </c>
      <c r="D1850" s="1" t="s">
        <v>19352</v>
      </c>
      <c r="E1850" s="1" t="s">
        <v>19353</v>
      </c>
      <c r="F1850" s="1">
        <v>27100.0</v>
      </c>
      <c r="G1850" s="1">
        <v>0.0</v>
      </c>
      <c r="H1850" s="1">
        <v>27.0</v>
      </c>
      <c r="I1850" s="1">
        <v>3940000.0</v>
      </c>
      <c r="J1850" s="1" t="s">
        <v>2468</v>
      </c>
      <c r="K1850" s="5">
        <f t="shared" si="2"/>
        <v>0.006878172589</v>
      </c>
      <c r="L1850" s="6">
        <f t="shared" si="3"/>
        <v>1862</v>
      </c>
      <c r="M1850" s="6">
        <f t="shared" si="4"/>
        <v>14.55424275</v>
      </c>
      <c r="N1850" s="7">
        <f t="shared" si="5"/>
        <v>0.000003693970241</v>
      </c>
      <c r="O1850" s="7"/>
      <c r="P1850" s="4">
        <f t="shared" si="6"/>
        <v>-0.4469240442</v>
      </c>
      <c r="Q1850" s="4">
        <f t="shared" si="7"/>
        <v>7</v>
      </c>
      <c r="R1850" s="4">
        <f t="shared" si="8"/>
        <v>0</v>
      </c>
      <c r="S1850" s="4">
        <f t="shared" si="9"/>
        <v>-0.4469240442</v>
      </c>
      <c r="T1850" s="4">
        <f t="shared" si="10"/>
        <v>43</v>
      </c>
      <c r="U1850" s="4">
        <f t="shared" si="1"/>
        <v>-0.4469240442</v>
      </c>
      <c r="V1850" s="4"/>
    </row>
    <row r="1851">
      <c r="A1851" s="1" t="s">
        <v>19378</v>
      </c>
      <c r="B1851" s="1" t="s">
        <v>19379</v>
      </c>
      <c r="C1851" s="1" t="s">
        <v>19380</v>
      </c>
      <c r="D1851" s="1" t="s">
        <v>19352</v>
      </c>
      <c r="E1851" s="1" t="s">
        <v>19353</v>
      </c>
      <c r="F1851" s="1">
        <v>993732.0</v>
      </c>
      <c r="G1851" s="1">
        <v>3274.0</v>
      </c>
      <c r="H1851" s="1">
        <v>65.0</v>
      </c>
      <c r="I1851" s="1">
        <v>3940000.0</v>
      </c>
      <c r="J1851" s="1" t="s">
        <v>2468</v>
      </c>
      <c r="K1851" s="5">
        <f t="shared" si="2"/>
        <v>0.2522162437</v>
      </c>
      <c r="L1851" s="6">
        <f t="shared" si="3"/>
        <v>1862</v>
      </c>
      <c r="M1851" s="6">
        <f t="shared" si="4"/>
        <v>533.6906552</v>
      </c>
      <c r="N1851" s="7">
        <f t="shared" si="5"/>
        <v>0.000135454481</v>
      </c>
      <c r="O1851" s="7"/>
      <c r="P1851" s="4">
        <f t="shared" si="6"/>
        <v>-0.3541167593</v>
      </c>
      <c r="Q1851" s="4">
        <f t="shared" si="7"/>
        <v>12</v>
      </c>
      <c r="R1851" s="4">
        <f t="shared" si="8"/>
        <v>1</v>
      </c>
      <c r="S1851" s="4">
        <f t="shared" si="9"/>
        <v>-0.3541167593</v>
      </c>
      <c r="T1851" s="4">
        <f t="shared" si="10"/>
        <v>56</v>
      </c>
      <c r="U1851" s="4">
        <f t="shared" si="1"/>
        <v>-0.3541167593</v>
      </c>
      <c r="V1851" s="4"/>
    </row>
    <row r="1852">
      <c r="A1852" s="1" t="s">
        <v>19381</v>
      </c>
      <c r="B1852" s="1" t="s">
        <v>19382</v>
      </c>
      <c r="C1852" s="1" t="s">
        <v>19383</v>
      </c>
      <c r="D1852" s="1" t="s">
        <v>19352</v>
      </c>
      <c r="E1852" s="1" t="s">
        <v>19353</v>
      </c>
      <c r="F1852" s="1">
        <v>101586.0</v>
      </c>
      <c r="G1852" s="1">
        <v>1548.0</v>
      </c>
      <c r="H1852" s="1">
        <v>47.0</v>
      </c>
      <c r="I1852" s="1">
        <v>3940000.0</v>
      </c>
      <c r="J1852" s="1" t="s">
        <v>2468</v>
      </c>
      <c r="K1852" s="5">
        <f t="shared" si="2"/>
        <v>0.02578324873</v>
      </c>
      <c r="L1852" s="6">
        <f t="shared" si="3"/>
        <v>1869</v>
      </c>
      <c r="M1852" s="6">
        <f t="shared" si="4"/>
        <v>54.35313002</v>
      </c>
      <c r="N1852" s="7">
        <f t="shared" si="5"/>
        <v>0.00001379521066</v>
      </c>
      <c r="O1852" s="7"/>
      <c r="P1852" s="4">
        <f t="shared" si="6"/>
        <v>-0.4398090999</v>
      </c>
      <c r="Q1852" s="4">
        <f t="shared" si="7"/>
        <v>7</v>
      </c>
      <c r="R1852" s="4">
        <f t="shared" si="8"/>
        <v>0</v>
      </c>
      <c r="S1852" s="4">
        <f t="shared" si="9"/>
        <v>-0.4398090999</v>
      </c>
      <c r="T1852" s="4">
        <f t="shared" si="10"/>
        <v>29</v>
      </c>
      <c r="U1852" s="4">
        <f t="shared" si="1"/>
        <v>-0.4398090999</v>
      </c>
      <c r="V1852" s="4"/>
    </row>
    <row r="1853">
      <c r="A1853" s="1" t="s">
        <v>19384</v>
      </c>
      <c r="B1853" s="1" t="s">
        <v>19385</v>
      </c>
      <c r="C1853" s="1" t="s">
        <v>19386</v>
      </c>
      <c r="D1853" s="1" t="s">
        <v>19352</v>
      </c>
      <c r="E1853" s="1" t="s">
        <v>19353</v>
      </c>
      <c r="F1853" s="1">
        <v>25737.0</v>
      </c>
      <c r="G1853" s="1">
        <v>0.0</v>
      </c>
      <c r="H1853" s="1">
        <v>21.0</v>
      </c>
      <c r="I1853" s="1">
        <v>3940000.0</v>
      </c>
      <c r="J1853" s="1" t="s">
        <v>2468</v>
      </c>
      <c r="K1853" s="5">
        <f t="shared" si="2"/>
        <v>0.006532233503</v>
      </c>
      <c r="L1853" s="6">
        <f t="shared" si="3"/>
        <v>1870</v>
      </c>
      <c r="M1853" s="6">
        <f t="shared" si="4"/>
        <v>13.7631016</v>
      </c>
      <c r="N1853" s="7">
        <f t="shared" si="5"/>
        <v>0.000003493172996</v>
      </c>
      <c r="O1853" s="7"/>
      <c r="P1853" s="4">
        <f t="shared" si="6"/>
        <v>-0.4470654784</v>
      </c>
      <c r="Q1853" s="4">
        <f t="shared" si="7"/>
        <v>8</v>
      </c>
      <c r="R1853" s="4">
        <f t="shared" si="8"/>
        <v>0</v>
      </c>
      <c r="S1853" s="4">
        <f t="shared" si="9"/>
        <v>-0.4470654784</v>
      </c>
      <c r="T1853" s="4">
        <f t="shared" si="10"/>
        <v>43</v>
      </c>
      <c r="U1853" s="4">
        <f t="shared" si="1"/>
        <v>-0.4470654784</v>
      </c>
      <c r="V1853" s="4"/>
    </row>
    <row r="1854">
      <c r="A1854" s="1" t="s">
        <v>19387</v>
      </c>
      <c r="B1854" s="1" t="s">
        <v>19388</v>
      </c>
      <c r="C1854" s="1" t="s">
        <v>19389</v>
      </c>
      <c r="D1854" s="1" t="s">
        <v>19352</v>
      </c>
      <c r="E1854" s="1" t="s">
        <v>19353</v>
      </c>
      <c r="F1854" s="1">
        <v>730356.0</v>
      </c>
      <c r="G1854" s="1">
        <v>3242.0</v>
      </c>
      <c r="H1854" s="1">
        <v>50.0</v>
      </c>
      <c r="I1854" s="1">
        <v>3940000.0</v>
      </c>
      <c r="J1854" s="1" t="s">
        <v>2468</v>
      </c>
      <c r="K1854" s="5">
        <f t="shared" si="2"/>
        <v>0.1853695431</v>
      </c>
      <c r="L1854" s="6">
        <f t="shared" si="3"/>
        <v>1876</v>
      </c>
      <c r="M1854" s="6">
        <f t="shared" si="4"/>
        <v>389.315565</v>
      </c>
      <c r="N1854" s="7">
        <f t="shared" si="5"/>
        <v>0.00009881105711</v>
      </c>
      <c r="O1854" s="7"/>
      <c r="P1854" s="4">
        <f t="shared" si="6"/>
        <v>-0.3799270469</v>
      </c>
      <c r="Q1854" s="4">
        <f t="shared" si="7"/>
        <v>11</v>
      </c>
      <c r="R1854" s="4">
        <f t="shared" si="8"/>
        <v>0</v>
      </c>
      <c r="S1854" s="4">
        <f t="shared" si="9"/>
        <v>-0.3799270469</v>
      </c>
      <c r="T1854" s="4">
        <f t="shared" si="10"/>
        <v>54</v>
      </c>
      <c r="U1854" s="4">
        <f t="shared" si="1"/>
        <v>-0.3799270469</v>
      </c>
      <c r="V1854" s="4"/>
    </row>
    <row r="1855">
      <c r="A1855" s="1" t="s">
        <v>19390</v>
      </c>
      <c r="B1855" s="1" t="s">
        <v>19391</v>
      </c>
      <c r="C1855" s="1" t="s">
        <v>19392</v>
      </c>
      <c r="D1855" s="1" t="s">
        <v>19352</v>
      </c>
      <c r="E1855" s="1" t="s">
        <v>19353</v>
      </c>
      <c r="F1855" s="1">
        <v>25226.0</v>
      </c>
      <c r="G1855" s="1">
        <v>0.0</v>
      </c>
      <c r="H1855" s="1">
        <v>22.0</v>
      </c>
      <c r="I1855" s="1">
        <v>3940000.0</v>
      </c>
      <c r="J1855" s="1" t="s">
        <v>2468</v>
      </c>
      <c r="K1855" s="5">
        <f t="shared" si="2"/>
        <v>0.006402538071</v>
      </c>
      <c r="L1855" s="6">
        <f t="shared" si="3"/>
        <v>1877</v>
      </c>
      <c r="M1855" s="6">
        <f t="shared" si="4"/>
        <v>13.43953117</v>
      </c>
      <c r="N1855" s="7">
        <f t="shared" si="5"/>
        <v>0.000003411048519</v>
      </c>
      <c r="O1855" s="7"/>
      <c r="P1855" s="4">
        <f t="shared" si="6"/>
        <v>-0.4471233239</v>
      </c>
      <c r="Q1855" s="4">
        <f t="shared" si="7"/>
        <v>7</v>
      </c>
      <c r="R1855" s="4">
        <f t="shared" si="8"/>
        <v>0</v>
      </c>
      <c r="S1855" s="4">
        <f t="shared" si="9"/>
        <v>-0.4471233239</v>
      </c>
      <c r="T1855" s="4">
        <f t="shared" si="10"/>
        <v>44</v>
      </c>
      <c r="U1855" s="4">
        <f t="shared" si="1"/>
        <v>-0.4471233239</v>
      </c>
      <c r="V1855" s="4"/>
    </row>
    <row r="1856">
      <c r="A1856" s="1" t="s">
        <v>19393</v>
      </c>
      <c r="B1856" s="1" t="s">
        <v>19394</v>
      </c>
      <c r="C1856" s="1" t="s">
        <v>19395</v>
      </c>
      <c r="D1856" s="1" t="s">
        <v>19352</v>
      </c>
      <c r="E1856" s="1" t="s">
        <v>19353</v>
      </c>
      <c r="F1856" s="1">
        <v>1196096.0</v>
      </c>
      <c r="G1856" s="1">
        <v>6626.0</v>
      </c>
      <c r="H1856" s="1">
        <v>104.0</v>
      </c>
      <c r="I1856" s="1">
        <v>3940000.0</v>
      </c>
      <c r="J1856" s="1" t="s">
        <v>2468</v>
      </c>
      <c r="K1856" s="5">
        <f t="shared" si="2"/>
        <v>0.303577665</v>
      </c>
      <c r="L1856" s="6">
        <f t="shared" si="3"/>
        <v>1883</v>
      </c>
      <c r="M1856" s="6">
        <f t="shared" si="4"/>
        <v>635.2076474</v>
      </c>
      <c r="N1856" s="7">
        <f t="shared" si="5"/>
        <v>0.0001612202151</v>
      </c>
      <c r="O1856" s="7"/>
      <c r="P1856" s="4">
        <f t="shared" si="6"/>
        <v>-0.3359683186</v>
      </c>
      <c r="Q1856" s="4">
        <f t="shared" si="7"/>
        <v>11</v>
      </c>
      <c r="R1856" s="4">
        <f t="shared" si="8"/>
        <v>0</v>
      </c>
      <c r="S1856" s="4">
        <f t="shared" si="9"/>
        <v>-0.3359683186</v>
      </c>
      <c r="T1856" s="4">
        <f t="shared" si="10"/>
        <v>55</v>
      </c>
      <c r="U1856" s="4">
        <f t="shared" si="1"/>
        <v>-0.3359683186</v>
      </c>
      <c r="V1856" s="4"/>
    </row>
    <row r="1857">
      <c r="A1857" s="1" t="s">
        <v>19396</v>
      </c>
      <c r="B1857" s="1" t="s">
        <v>19397</v>
      </c>
      <c r="C1857" s="1" t="s">
        <v>19398</v>
      </c>
      <c r="D1857" s="1" t="s">
        <v>19352</v>
      </c>
      <c r="E1857" s="1" t="s">
        <v>19353</v>
      </c>
      <c r="F1857" s="1">
        <v>20799.0</v>
      </c>
      <c r="G1857" s="1">
        <v>0.0</v>
      </c>
      <c r="H1857" s="1">
        <v>21.0</v>
      </c>
      <c r="I1857" s="1">
        <v>3940000.0</v>
      </c>
      <c r="J1857" s="1" t="s">
        <v>2468</v>
      </c>
      <c r="K1857" s="5">
        <f t="shared" si="2"/>
        <v>0.00527893401</v>
      </c>
      <c r="L1857" s="6">
        <f t="shared" si="3"/>
        <v>1884</v>
      </c>
      <c r="M1857" s="6">
        <f t="shared" si="4"/>
        <v>11.03980892</v>
      </c>
      <c r="N1857" s="7">
        <f t="shared" si="5"/>
        <v>0.000002801981959</v>
      </c>
      <c r="O1857" s="7"/>
      <c r="P1857" s="4">
        <f t="shared" si="6"/>
        <v>-0.4475523281</v>
      </c>
      <c r="Q1857" s="4">
        <f t="shared" si="7"/>
        <v>7</v>
      </c>
      <c r="R1857" s="4">
        <f t="shared" si="8"/>
        <v>0</v>
      </c>
      <c r="S1857" s="4">
        <f t="shared" si="9"/>
        <v>-0.4475523281</v>
      </c>
      <c r="T1857" s="4">
        <f t="shared" si="10"/>
        <v>38</v>
      </c>
      <c r="U1857" s="4">
        <f t="shared" si="1"/>
        <v>-0.4475523281</v>
      </c>
      <c r="V1857" s="4"/>
    </row>
    <row r="1858">
      <c r="A1858" s="1" t="s">
        <v>19399</v>
      </c>
      <c r="B1858" s="1" t="s">
        <v>19400</v>
      </c>
      <c r="C1858" s="1" t="s">
        <v>19401</v>
      </c>
      <c r="D1858" s="1" t="s">
        <v>19352</v>
      </c>
      <c r="E1858" s="1" t="s">
        <v>19353</v>
      </c>
      <c r="F1858" s="1">
        <v>195793.0</v>
      </c>
      <c r="G1858" s="1">
        <v>3112.0</v>
      </c>
      <c r="H1858" s="1">
        <v>107.0</v>
      </c>
      <c r="I1858" s="1">
        <v>3940000.0</v>
      </c>
      <c r="J1858" s="1" t="s">
        <v>2468</v>
      </c>
      <c r="K1858" s="5">
        <f t="shared" si="2"/>
        <v>0.04969365482</v>
      </c>
      <c r="L1858" s="6">
        <f t="shared" si="3"/>
        <v>1890</v>
      </c>
      <c r="M1858" s="6">
        <f t="shared" si="4"/>
        <v>103.5941799</v>
      </c>
      <c r="N1858" s="7">
        <f t="shared" si="5"/>
        <v>0.00002629293906</v>
      </c>
      <c r="O1858" s="7"/>
      <c r="P1858" s="4">
        <f t="shared" si="6"/>
        <v>-0.4310061571</v>
      </c>
      <c r="Q1858" s="4">
        <f t="shared" si="7"/>
        <v>9</v>
      </c>
      <c r="R1858" s="4">
        <f t="shared" si="8"/>
        <v>0</v>
      </c>
      <c r="S1858" s="4">
        <f t="shared" si="9"/>
        <v>-0.4310061571</v>
      </c>
      <c r="T1858" s="4">
        <f t="shared" si="10"/>
        <v>45</v>
      </c>
      <c r="U1858" s="4">
        <f t="shared" si="1"/>
        <v>-0.4310061571</v>
      </c>
      <c r="V1858" s="4"/>
    </row>
    <row r="1859">
      <c r="A1859" s="1" t="s">
        <v>19402</v>
      </c>
      <c r="B1859" s="1" t="s">
        <v>19403</v>
      </c>
      <c r="C1859" s="1" t="s">
        <v>19404</v>
      </c>
      <c r="D1859" s="1" t="s">
        <v>19352</v>
      </c>
      <c r="E1859" s="1" t="s">
        <v>19353</v>
      </c>
      <c r="F1859" s="1">
        <v>0.0</v>
      </c>
      <c r="G1859" s="1">
        <v>0.0</v>
      </c>
      <c r="H1859" s="1">
        <v>93.0</v>
      </c>
      <c r="I1859" s="1">
        <v>3940000.0</v>
      </c>
      <c r="J1859" s="1" t="s">
        <v>2468</v>
      </c>
      <c r="K1859" s="5">
        <f t="shared" si="2"/>
        <v>0</v>
      </c>
      <c r="L1859" s="6">
        <f t="shared" si="3"/>
        <v>1890</v>
      </c>
      <c r="M1859" s="6">
        <f t="shared" si="4"/>
        <v>0</v>
      </c>
      <c r="N1859" s="7">
        <f t="shared" si="5"/>
        <v>0</v>
      </c>
      <c r="O1859" s="7"/>
      <c r="P1859" s="4">
        <f t="shared" si="6"/>
        <v>-0.4495259417</v>
      </c>
      <c r="Q1859" s="4">
        <f t="shared" si="7"/>
        <v>7</v>
      </c>
      <c r="R1859" s="4">
        <f t="shared" si="8"/>
        <v>0</v>
      </c>
      <c r="S1859" s="4">
        <f t="shared" si="9"/>
        <v>-0.4495259417</v>
      </c>
      <c r="T1859" s="4">
        <f t="shared" si="10"/>
        <v>27</v>
      </c>
      <c r="U1859" s="4">
        <f t="shared" si="1"/>
        <v>-0.4495259417</v>
      </c>
      <c r="V1859" s="4"/>
    </row>
    <row r="1860">
      <c r="A1860" s="1" t="s">
        <v>19405</v>
      </c>
      <c r="B1860" s="1" t="s">
        <v>19406</v>
      </c>
      <c r="C1860" s="1" t="s">
        <v>19407</v>
      </c>
      <c r="D1860" s="1" t="s">
        <v>19352</v>
      </c>
      <c r="E1860" s="1" t="s">
        <v>19353</v>
      </c>
      <c r="F1860" s="1">
        <v>3752101.0</v>
      </c>
      <c r="G1860" s="1">
        <v>0.0</v>
      </c>
      <c r="H1860" s="1">
        <v>735.0</v>
      </c>
      <c r="I1860" s="1">
        <v>3940000.0</v>
      </c>
      <c r="J1860" s="1" t="s">
        <v>2468</v>
      </c>
      <c r="K1860" s="5">
        <f t="shared" si="2"/>
        <v>0.9523098985</v>
      </c>
      <c r="L1860" s="6">
        <f t="shared" si="3"/>
        <v>1890</v>
      </c>
      <c r="M1860" s="6">
        <f t="shared" si="4"/>
        <v>1985.238624</v>
      </c>
      <c r="N1860" s="7">
        <f t="shared" si="5"/>
        <v>0.0005038676712</v>
      </c>
      <c r="O1860" s="7"/>
      <c r="P1860" s="4">
        <f t="shared" si="6"/>
        <v>-0.09461998222</v>
      </c>
      <c r="Q1860" s="4">
        <f t="shared" si="7"/>
        <v>4</v>
      </c>
      <c r="R1860" s="4">
        <f t="shared" si="8"/>
        <v>1</v>
      </c>
      <c r="S1860" s="4">
        <f t="shared" si="9"/>
        <v>-0.09461998222</v>
      </c>
      <c r="T1860" s="4">
        <f t="shared" si="10"/>
        <v>22</v>
      </c>
      <c r="U1860" s="4">
        <f t="shared" si="1"/>
        <v>-0.09461998222</v>
      </c>
      <c r="V1860" s="4"/>
    </row>
    <row r="1861">
      <c r="A1861" s="1" t="s">
        <v>19408</v>
      </c>
      <c r="B1861" s="1" t="s">
        <v>19409</v>
      </c>
      <c r="C1861" s="1" t="s">
        <v>19410</v>
      </c>
      <c r="D1861" s="1" t="s">
        <v>19352</v>
      </c>
      <c r="E1861" s="1" t="s">
        <v>19353</v>
      </c>
      <c r="F1861" s="1">
        <v>1.4101542E7</v>
      </c>
      <c r="G1861" s="1">
        <v>0.0</v>
      </c>
      <c r="H1861" s="1">
        <v>1641.0</v>
      </c>
      <c r="I1861" s="1">
        <v>3940000.0</v>
      </c>
      <c r="J1861" s="1" t="s">
        <v>2468</v>
      </c>
      <c r="K1861" s="5">
        <f t="shared" si="2"/>
        <v>3.579071574</v>
      </c>
      <c r="L1861" s="6">
        <f t="shared" si="3"/>
        <v>1890</v>
      </c>
      <c r="M1861" s="6">
        <f t="shared" si="4"/>
        <v>7461.133333</v>
      </c>
      <c r="N1861" s="7">
        <f t="shared" si="5"/>
        <v>0.001893688663</v>
      </c>
      <c r="O1861" s="7"/>
      <c r="P1861" s="4">
        <f t="shared" si="6"/>
        <v>0.8843190944</v>
      </c>
      <c r="Q1861" s="4">
        <f t="shared" si="7"/>
        <v>6</v>
      </c>
      <c r="R1861" s="4">
        <f t="shared" si="8"/>
        <v>1</v>
      </c>
      <c r="S1861" s="4">
        <f t="shared" si="9"/>
        <v>0.8843190944</v>
      </c>
      <c r="T1861" s="4">
        <f t="shared" si="10"/>
        <v>27</v>
      </c>
      <c r="U1861" s="4">
        <f t="shared" si="1"/>
        <v>0.8843190944</v>
      </c>
      <c r="V1861" s="4"/>
    </row>
    <row r="1862">
      <c r="A1862" s="1" t="s">
        <v>19411</v>
      </c>
      <c r="B1862" s="1" t="s">
        <v>19412</v>
      </c>
      <c r="C1862" s="1" t="s">
        <v>19413</v>
      </c>
      <c r="D1862" s="1" t="s">
        <v>19352</v>
      </c>
      <c r="E1862" s="1" t="s">
        <v>19353</v>
      </c>
      <c r="F1862" s="1">
        <v>693211.0</v>
      </c>
      <c r="G1862" s="1">
        <v>0.0</v>
      </c>
      <c r="H1862" s="1">
        <v>476.0</v>
      </c>
      <c r="I1862" s="1">
        <v>3940000.0</v>
      </c>
      <c r="J1862" s="1" t="s">
        <v>2468</v>
      </c>
      <c r="K1862" s="5">
        <f t="shared" si="2"/>
        <v>0.1759418782</v>
      </c>
      <c r="L1862" s="6">
        <f t="shared" si="3"/>
        <v>1890</v>
      </c>
      <c r="M1862" s="6">
        <f t="shared" si="4"/>
        <v>366.7783069</v>
      </c>
      <c r="N1862" s="7">
        <f t="shared" si="5"/>
        <v>0.00009309094083</v>
      </c>
      <c r="O1862" s="7"/>
      <c r="P1862" s="4">
        <f t="shared" si="6"/>
        <v>-0.3839560876</v>
      </c>
      <c r="Q1862" s="4">
        <f t="shared" si="7"/>
        <v>5</v>
      </c>
      <c r="R1862" s="4">
        <f t="shared" si="8"/>
        <v>1</v>
      </c>
      <c r="S1862" s="4">
        <f t="shared" si="9"/>
        <v>-0.3839560876</v>
      </c>
      <c r="T1862" s="4">
        <f t="shared" si="10"/>
        <v>26</v>
      </c>
      <c r="U1862" s="4">
        <f t="shared" si="1"/>
        <v>-0.3839560876</v>
      </c>
      <c r="V1862" s="4"/>
    </row>
    <row r="1863">
      <c r="A1863" s="1" t="s">
        <v>19414</v>
      </c>
      <c r="B1863" s="1" t="s">
        <v>19415</v>
      </c>
      <c r="C1863" s="1" t="s">
        <v>19416</v>
      </c>
      <c r="D1863" s="1" t="s">
        <v>19352</v>
      </c>
      <c r="E1863" s="1" t="s">
        <v>19353</v>
      </c>
      <c r="F1863" s="1">
        <v>1.4605901E7</v>
      </c>
      <c r="G1863" s="1">
        <v>0.0</v>
      </c>
      <c r="H1863" s="1">
        <v>1508.0</v>
      </c>
      <c r="I1863" s="1">
        <v>3940000.0</v>
      </c>
      <c r="J1863" s="1" t="s">
        <v>2468</v>
      </c>
      <c r="K1863" s="5">
        <f t="shared" si="2"/>
        <v>3.707081472</v>
      </c>
      <c r="L1863" s="6">
        <f t="shared" si="3"/>
        <v>1890</v>
      </c>
      <c r="M1863" s="6">
        <f t="shared" si="4"/>
        <v>7727.989947</v>
      </c>
      <c r="N1863" s="7">
        <f t="shared" si="5"/>
        <v>0.001961418768</v>
      </c>
      <c r="O1863" s="7"/>
      <c r="P1863" s="4">
        <f t="shared" si="6"/>
        <v>0.9320257033</v>
      </c>
      <c r="Q1863" s="4">
        <f t="shared" si="7"/>
        <v>6</v>
      </c>
      <c r="R1863" s="4">
        <f t="shared" si="8"/>
        <v>1</v>
      </c>
      <c r="S1863" s="4">
        <f t="shared" si="9"/>
        <v>0.9320257033</v>
      </c>
      <c r="T1863" s="4">
        <f t="shared" si="10"/>
        <v>26</v>
      </c>
      <c r="U1863" s="4">
        <f t="shared" si="1"/>
        <v>0.9320257033</v>
      </c>
      <c r="V1863" s="4"/>
    </row>
    <row r="1864">
      <c r="A1864" s="1" t="s">
        <v>19417</v>
      </c>
      <c r="B1864" s="1" t="s">
        <v>19418</v>
      </c>
      <c r="C1864" s="1" t="s">
        <v>19419</v>
      </c>
      <c r="D1864" s="1" t="s">
        <v>19352</v>
      </c>
      <c r="E1864" s="1" t="s">
        <v>19353</v>
      </c>
      <c r="F1864" s="1">
        <v>2.6982864E7</v>
      </c>
      <c r="G1864" s="1">
        <v>0.0</v>
      </c>
      <c r="H1864" s="1">
        <v>3133.0</v>
      </c>
      <c r="I1864" s="1">
        <v>3940000.0</v>
      </c>
      <c r="J1864" s="1" t="s">
        <v>2468</v>
      </c>
      <c r="K1864" s="5">
        <f t="shared" si="2"/>
        <v>6.84844264</v>
      </c>
      <c r="L1864" s="6">
        <f t="shared" si="3"/>
        <v>1890</v>
      </c>
      <c r="M1864" s="6">
        <f t="shared" si="4"/>
        <v>14276.64762</v>
      </c>
      <c r="N1864" s="7">
        <f t="shared" si="5"/>
        <v>0.003623514624</v>
      </c>
      <c r="O1864" s="7"/>
      <c r="P1864" s="4">
        <f t="shared" si="6"/>
        <v>2.102745236</v>
      </c>
      <c r="Q1864" s="4">
        <f t="shared" si="7"/>
        <v>5</v>
      </c>
      <c r="R1864" s="4">
        <f t="shared" si="8"/>
        <v>1</v>
      </c>
      <c r="S1864" s="4">
        <f t="shared" si="9"/>
        <v>2.102745236</v>
      </c>
      <c r="T1864" s="4">
        <f t="shared" si="10"/>
        <v>27</v>
      </c>
      <c r="U1864" s="4">
        <f t="shared" si="1"/>
        <v>2.102745236</v>
      </c>
      <c r="V1864" s="4"/>
    </row>
    <row r="1865">
      <c r="A1865" s="1" t="s">
        <v>19420</v>
      </c>
      <c r="B1865" s="1" t="s">
        <v>19421</v>
      </c>
      <c r="C1865" s="1" t="s">
        <v>19422</v>
      </c>
      <c r="D1865" s="1" t="s">
        <v>19352</v>
      </c>
      <c r="E1865" s="1" t="s">
        <v>19353</v>
      </c>
      <c r="F1865" s="1">
        <v>3523565.0</v>
      </c>
      <c r="G1865" s="1">
        <v>32737.0</v>
      </c>
      <c r="H1865" s="1">
        <v>1460.0</v>
      </c>
      <c r="I1865" s="1">
        <v>3940000.0</v>
      </c>
      <c r="J1865" s="1" t="s">
        <v>2468</v>
      </c>
      <c r="K1865" s="5">
        <f t="shared" si="2"/>
        <v>0.8943058376</v>
      </c>
      <c r="L1865" s="6">
        <f t="shared" si="3"/>
        <v>1890</v>
      </c>
      <c r="M1865" s="6">
        <f t="shared" si="4"/>
        <v>1864.320106</v>
      </c>
      <c r="N1865" s="7">
        <f t="shared" si="5"/>
        <v>0.0004731776918</v>
      </c>
      <c r="O1865" s="7"/>
      <c r="P1865" s="4">
        <f t="shared" si="6"/>
        <v>-0.1162368812</v>
      </c>
      <c r="Q1865" s="4">
        <f t="shared" si="7"/>
        <v>6</v>
      </c>
      <c r="R1865" s="4">
        <f t="shared" si="8"/>
        <v>1</v>
      </c>
      <c r="S1865" s="4">
        <f t="shared" si="9"/>
        <v>-0.1162368812</v>
      </c>
      <c r="T1865" s="4">
        <f t="shared" si="10"/>
        <v>29</v>
      </c>
      <c r="U1865" s="4">
        <f t="shared" si="1"/>
        <v>-0.1162368812</v>
      </c>
      <c r="V1865" s="4"/>
    </row>
    <row r="1866">
      <c r="A1866" s="1" t="s">
        <v>19423</v>
      </c>
      <c r="B1866" s="1" t="s">
        <v>19424</v>
      </c>
      <c r="C1866" s="1" t="s">
        <v>19425</v>
      </c>
      <c r="D1866" s="1" t="s">
        <v>19352</v>
      </c>
      <c r="E1866" s="1" t="s">
        <v>19353</v>
      </c>
      <c r="F1866" s="1">
        <v>45807.0</v>
      </c>
      <c r="G1866" s="1">
        <v>4056.0</v>
      </c>
      <c r="H1866" s="1">
        <v>255.0</v>
      </c>
      <c r="I1866" s="1">
        <v>3940000.0</v>
      </c>
      <c r="J1866" s="1" t="s">
        <v>2468</v>
      </c>
      <c r="K1866" s="5">
        <f t="shared" si="2"/>
        <v>0.01162614213</v>
      </c>
      <c r="L1866" s="6">
        <f t="shared" si="3"/>
        <v>1898</v>
      </c>
      <c r="M1866" s="6">
        <f t="shared" si="4"/>
        <v>24.13435195</v>
      </c>
      <c r="N1866" s="7">
        <f t="shared" si="5"/>
        <v>0.000006125470038</v>
      </c>
      <c r="O1866" s="7"/>
      <c r="P1866" s="4">
        <f t="shared" si="6"/>
        <v>-0.4452113847</v>
      </c>
      <c r="Q1866" s="4">
        <f t="shared" si="7"/>
        <v>9</v>
      </c>
      <c r="R1866" s="4">
        <f t="shared" si="8"/>
        <v>0</v>
      </c>
      <c r="S1866" s="4">
        <f t="shared" si="9"/>
        <v>-0.4452113847</v>
      </c>
      <c r="T1866" s="4">
        <f t="shared" si="10"/>
        <v>41</v>
      </c>
      <c r="U1866" s="4">
        <f t="shared" si="1"/>
        <v>-0.4452113847</v>
      </c>
      <c r="V1866" s="4"/>
    </row>
    <row r="1867">
      <c r="A1867" s="1" t="s">
        <v>19426</v>
      </c>
      <c r="B1867" s="1" t="s">
        <v>19427</v>
      </c>
      <c r="C1867" s="1" t="s">
        <v>19428</v>
      </c>
      <c r="D1867" s="1" t="s">
        <v>19352</v>
      </c>
      <c r="E1867" s="1" t="s">
        <v>19353</v>
      </c>
      <c r="F1867" s="1">
        <v>246092.0</v>
      </c>
      <c r="G1867" s="1">
        <v>10049.0</v>
      </c>
      <c r="H1867" s="1">
        <v>151.0</v>
      </c>
      <c r="I1867" s="1">
        <v>3940000.0</v>
      </c>
      <c r="J1867" s="1" t="s">
        <v>2468</v>
      </c>
      <c r="K1867" s="5">
        <f t="shared" si="2"/>
        <v>0.06245989848</v>
      </c>
      <c r="L1867" s="6">
        <f t="shared" si="3"/>
        <v>1977</v>
      </c>
      <c r="M1867" s="6">
        <f t="shared" si="4"/>
        <v>124.4774911</v>
      </c>
      <c r="N1867" s="7">
        <f t="shared" si="5"/>
        <v>0.00003159327187</v>
      </c>
      <c r="O1867" s="7"/>
      <c r="P1867" s="4">
        <f t="shared" si="6"/>
        <v>-0.4272727965</v>
      </c>
      <c r="Q1867" s="4">
        <f t="shared" si="7"/>
        <v>6</v>
      </c>
      <c r="R1867" s="4">
        <f t="shared" si="8"/>
        <v>0</v>
      </c>
      <c r="S1867" s="4">
        <f t="shared" si="9"/>
        <v>-0.4272727965</v>
      </c>
      <c r="T1867" s="4">
        <f t="shared" si="10"/>
        <v>39</v>
      </c>
      <c r="U1867" s="4">
        <f t="shared" si="1"/>
        <v>-0.4272727965</v>
      </c>
      <c r="V1867" s="4"/>
    </row>
    <row r="1868">
      <c r="A1868" s="1" t="s">
        <v>19429</v>
      </c>
      <c r="B1868" s="1" t="s">
        <v>19430</v>
      </c>
      <c r="C1868" s="1" t="s">
        <v>19431</v>
      </c>
      <c r="D1868" s="1" t="s">
        <v>19352</v>
      </c>
      <c r="E1868" s="1" t="s">
        <v>19353</v>
      </c>
      <c r="F1868" s="1">
        <v>244036.0</v>
      </c>
      <c r="G1868" s="1">
        <v>15644.0</v>
      </c>
      <c r="H1868" s="1">
        <v>608.0</v>
      </c>
      <c r="I1868" s="1">
        <v>3940000.0</v>
      </c>
      <c r="J1868" s="1" t="s">
        <v>2468</v>
      </c>
      <c r="K1868" s="5">
        <f t="shared" si="2"/>
        <v>0.06193807107</v>
      </c>
      <c r="L1868" s="6">
        <f t="shared" si="3"/>
        <v>2099</v>
      </c>
      <c r="M1868" s="6">
        <f t="shared" si="4"/>
        <v>116.2629824</v>
      </c>
      <c r="N1868" s="7">
        <f t="shared" si="5"/>
        <v>0.00002950837116</v>
      </c>
      <c r="O1868" s="7"/>
      <c r="P1868" s="4">
        <f t="shared" si="6"/>
        <v>-0.4287413243</v>
      </c>
      <c r="Q1868" s="4">
        <f t="shared" si="7"/>
        <v>6</v>
      </c>
      <c r="R1868" s="4">
        <f t="shared" si="8"/>
        <v>0</v>
      </c>
      <c r="S1868" s="4">
        <f t="shared" si="9"/>
        <v>-0.4287413243</v>
      </c>
      <c r="T1868" s="4">
        <f t="shared" si="10"/>
        <v>28</v>
      </c>
      <c r="U1868" s="4">
        <f t="shared" si="1"/>
        <v>-0.4287413243</v>
      </c>
      <c r="V1868" s="4"/>
    </row>
    <row r="1869">
      <c r="A1869" s="1" t="s">
        <v>19432</v>
      </c>
      <c r="B1869" s="1" t="s">
        <v>19433</v>
      </c>
      <c r="C1869" s="1" t="s">
        <v>19434</v>
      </c>
      <c r="D1869" s="1" t="s">
        <v>19352</v>
      </c>
      <c r="E1869" s="1" t="s">
        <v>19353</v>
      </c>
      <c r="F1869" s="1">
        <v>361811.0</v>
      </c>
      <c r="G1869" s="1">
        <v>25035.0</v>
      </c>
      <c r="H1869" s="1">
        <v>1492.0</v>
      </c>
      <c r="I1869" s="1">
        <v>3940000.0</v>
      </c>
      <c r="J1869" s="1" t="s">
        <v>2468</v>
      </c>
      <c r="K1869" s="5">
        <f t="shared" si="2"/>
        <v>0.09183020305</v>
      </c>
      <c r="L1869" s="6">
        <f t="shared" si="3"/>
        <v>2100</v>
      </c>
      <c r="M1869" s="6">
        <f t="shared" si="4"/>
        <v>172.2909524</v>
      </c>
      <c r="N1869" s="7">
        <f t="shared" si="5"/>
        <v>0.00004372866812</v>
      </c>
      <c r="O1869" s="7"/>
      <c r="P1869" s="4">
        <f t="shared" si="6"/>
        <v>-0.4187250672</v>
      </c>
      <c r="Q1869" s="4">
        <f t="shared" si="7"/>
        <v>10</v>
      </c>
      <c r="R1869" s="4">
        <f t="shared" si="8"/>
        <v>0</v>
      </c>
      <c r="S1869" s="4">
        <f t="shared" si="9"/>
        <v>-0.4187250672</v>
      </c>
      <c r="T1869" s="4">
        <f t="shared" si="10"/>
        <v>49</v>
      </c>
      <c r="U1869" s="4">
        <f t="shared" si="1"/>
        <v>-0.4187250672</v>
      </c>
      <c r="V1869" s="4"/>
    </row>
    <row r="1870">
      <c r="A1870" s="1" t="s">
        <v>19435</v>
      </c>
      <c r="B1870" s="1" t="s">
        <v>19436</v>
      </c>
      <c r="C1870" s="1" t="s">
        <v>19437</v>
      </c>
      <c r="D1870" s="1" t="s">
        <v>19352</v>
      </c>
      <c r="E1870" s="1" t="s">
        <v>19353</v>
      </c>
      <c r="F1870" s="1">
        <v>149107.0</v>
      </c>
      <c r="G1870" s="1">
        <v>8632.0</v>
      </c>
      <c r="H1870" s="1">
        <v>463.0</v>
      </c>
      <c r="I1870" s="1">
        <v>3940000.0</v>
      </c>
      <c r="J1870" s="1" t="s">
        <v>2468</v>
      </c>
      <c r="K1870" s="5">
        <f t="shared" si="2"/>
        <v>0.03784441624</v>
      </c>
      <c r="L1870" s="6">
        <f t="shared" si="3"/>
        <v>2101</v>
      </c>
      <c r="M1870" s="6">
        <f t="shared" si="4"/>
        <v>70.96953832</v>
      </c>
      <c r="N1870" s="7">
        <f t="shared" si="5"/>
        <v>0.00001801257318</v>
      </c>
      <c r="O1870" s="7"/>
      <c r="P1870" s="4">
        <f t="shared" si="6"/>
        <v>-0.436838544</v>
      </c>
      <c r="Q1870" s="4">
        <f t="shared" si="7"/>
        <v>9</v>
      </c>
      <c r="R1870" s="4">
        <f t="shared" si="8"/>
        <v>0</v>
      </c>
      <c r="S1870" s="4">
        <f t="shared" si="9"/>
        <v>-0.436838544</v>
      </c>
      <c r="T1870" s="4">
        <f t="shared" si="10"/>
        <v>33</v>
      </c>
      <c r="U1870" s="4">
        <f t="shared" si="1"/>
        <v>-0.436838544</v>
      </c>
      <c r="V1870" s="4"/>
    </row>
    <row r="1871">
      <c r="A1871" s="1" t="s">
        <v>19438</v>
      </c>
      <c r="B1871" s="1" t="s">
        <v>19439</v>
      </c>
      <c r="C1871" s="1" t="s">
        <v>19440</v>
      </c>
      <c r="D1871" s="1" t="s">
        <v>19352</v>
      </c>
      <c r="E1871" s="1" t="s">
        <v>19353</v>
      </c>
      <c r="F1871" s="1">
        <v>146497.0</v>
      </c>
      <c r="G1871" s="1">
        <v>10721.0</v>
      </c>
      <c r="H1871" s="1">
        <v>584.0</v>
      </c>
      <c r="I1871" s="1">
        <v>3940000.0</v>
      </c>
      <c r="J1871" s="1" t="s">
        <v>2468</v>
      </c>
      <c r="K1871" s="5">
        <f t="shared" si="2"/>
        <v>0.0371819797</v>
      </c>
      <c r="L1871" s="6">
        <f t="shared" si="3"/>
        <v>2102</v>
      </c>
      <c r="M1871" s="6">
        <f t="shared" si="4"/>
        <v>69.69410086</v>
      </c>
      <c r="N1871" s="7">
        <f t="shared" si="5"/>
        <v>0.00001768885809</v>
      </c>
      <c r="O1871" s="7"/>
      <c r="P1871" s="4">
        <f t="shared" si="6"/>
        <v>-0.437066557</v>
      </c>
      <c r="Q1871" s="4">
        <f t="shared" si="7"/>
        <v>8</v>
      </c>
      <c r="R1871" s="4">
        <f t="shared" si="8"/>
        <v>0</v>
      </c>
      <c r="S1871" s="4">
        <f t="shared" si="9"/>
        <v>-0.437066557</v>
      </c>
      <c r="T1871" s="4">
        <f t="shared" si="10"/>
        <v>40</v>
      </c>
      <c r="U1871" s="4">
        <f t="shared" si="1"/>
        <v>-0.437066557</v>
      </c>
      <c r="V1871" s="4"/>
    </row>
    <row r="1872">
      <c r="A1872" s="1" t="s">
        <v>19441</v>
      </c>
      <c r="B1872" s="1" t="s">
        <v>19442</v>
      </c>
      <c r="C1872" s="1" t="s">
        <v>19443</v>
      </c>
      <c r="D1872" s="1" t="s">
        <v>19352</v>
      </c>
      <c r="E1872" s="1" t="s">
        <v>19353</v>
      </c>
      <c r="F1872" s="1">
        <v>375934.0</v>
      </c>
      <c r="G1872" s="1">
        <v>22772.0</v>
      </c>
      <c r="H1872" s="1">
        <v>880.0</v>
      </c>
      <c r="I1872" s="1">
        <v>3940000.0</v>
      </c>
      <c r="J1872" s="1" t="s">
        <v>2468</v>
      </c>
      <c r="K1872" s="5">
        <f t="shared" si="2"/>
        <v>0.09541472081</v>
      </c>
      <c r="L1872" s="6">
        <f t="shared" si="3"/>
        <v>2103</v>
      </c>
      <c r="M1872" s="6">
        <f t="shared" si="4"/>
        <v>178.7608179</v>
      </c>
      <c r="N1872" s="7">
        <f t="shared" si="5"/>
        <v>0.00004537076596</v>
      </c>
      <c r="O1872" s="7"/>
      <c r="P1872" s="4">
        <f t="shared" si="6"/>
        <v>-0.4175684335</v>
      </c>
      <c r="Q1872" s="4">
        <f t="shared" si="7"/>
        <v>5</v>
      </c>
      <c r="R1872" s="4">
        <f t="shared" si="8"/>
        <v>2</v>
      </c>
      <c r="S1872" s="4">
        <f t="shared" si="9"/>
        <v>-0.4175684335</v>
      </c>
      <c r="T1872" s="4">
        <f t="shared" si="10"/>
        <v>22</v>
      </c>
      <c r="U1872" s="4">
        <f t="shared" si="1"/>
        <v>-0.4175684335</v>
      </c>
      <c r="V1872" s="4"/>
    </row>
    <row r="1873">
      <c r="A1873" s="1" t="s">
        <v>19444</v>
      </c>
      <c r="B1873" s="1" t="s">
        <v>19445</v>
      </c>
      <c r="C1873" s="1" t="s">
        <v>19446</v>
      </c>
      <c r="D1873" s="1" t="s">
        <v>19352</v>
      </c>
      <c r="E1873" s="1" t="s">
        <v>19353</v>
      </c>
      <c r="F1873" s="1">
        <v>596744.0</v>
      </c>
      <c r="G1873" s="1">
        <v>38871.0</v>
      </c>
      <c r="H1873" s="1">
        <v>1758.0</v>
      </c>
      <c r="I1873" s="1">
        <v>3940000.0</v>
      </c>
      <c r="J1873" s="1" t="s">
        <v>2468</v>
      </c>
      <c r="K1873" s="5">
        <f t="shared" si="2"/>
        <v>0.151457868</v>
      </c>
      <c r="L1873" s="6">
        <f t="shared" si="3"/>
        <v>2180</v>
      </c>
      <c r="M1873" s="6">
        <f t="shared" si="4"/>
        <v>273.7357798</v>
      </c>
      <c r="N1873" s="7">
        <f t="shared" si="5"/>
        <v>0.00006947608625</v>
      </c>
      <c r="O1873" s="7"/>
      <c r="P1873" s="4">
        <f t="shared" si="6"/>
        <v>-0.4005895275</v>
      </c>
      <c r="Q1873" s="4">
        <f t="shared" si="7"/>
        <v>5</v>
      </c>
      <c r="R1873" s="4">
        <f t="shared" si="8"/>
        <v>0</v>
      </c>
      <c r="S1873" s="4">
        <f t="shared" si="9"/>
        <v>-0.4005895275</v>
      </c>
      <c r="T1873" s="4">
        <f t="shared" si="10"/>
        <v>23</v>
      </c>
      <c r="U1873" s="4">
        <f t="shared" si="1"/>
        <v>-0.4005895275</v>
      </c>
      <c r="V1873" s="4"/>
    </row>
    <row r="1874">
      <c r="A1874" s="1" t="s">
        <v>19447</v>
      </c>
      <c r="B1874" s="1" t="s">
        <v>19448</v>
      </c>
      <c r="C1874" s="1" t="s">
        <v>19449</v>
      </c>
      <c r="D1874" s="1" t="s">
        <v>19352</v>
      </c>
      <c r="E1874" s="1" t="s">
        <v>19353</v>
      </c>
      <c r="F1874" s="1">
        <v>1858766.0</v>
      </c>
      <c r="G1874" s="1">
        <v>111577.0</v>
      </c>
      <c r="H1874" s="1">
        <v>9339.0</v>
      </c>
      <c r="I1874" s="1">
        <v>3940000.0</v>
      </c>
      <c r="J1874" s="1" t="s">
        <v>2468</v>
      </c>
      <c r="K1874" s="5">
        <f t="shared" si="2"/>
        <v>0.4717680203</v>
      </c>
      <c r="L1874" s="6">
        <f t="shared" si="3"/>
        <v>2249</v>
      </c>
      <c r="M1874" s="6">
        <f t="shared" si="4"/>
        <v>826.4855491</v>
      </c>
      <c r="N1874" s="7">
        <f t="shared" si="5"/>
        <v>0.0002097679059</v>
      </c>
      <c r="O1874" s="7"/>
      <c r="P1874" s="4">
        <f t="shared" si="6"/>
        <v>-0.3017731007</v>
      </c>
      <c r="Q1874" s="4">
        <f t="shared" si="7"/>
        <v>1</v>
      </c>
      <c r="R1874" s="4">
        <f t="shared" si="8"/>
        <v>0</v>
      </c>
      <c r="S1874" s="4">
        <f t="shared" si="9"/>
        <v>-0.3017731007</v>
      </c>
      <c r="T1874" s="4">
        <f t="shared" si="10"/>
        <v>1</v>
      </c>
      <c r="U1874" s="4">
        <f t="shared" si="1"/>
        <v>-0.3017731007</v>
      </c>
      <c r="V1874" s="4"/>
    </row>
    <row r="1875">
      <c r="A1875" s="1" t="s">
        <v>19450</v>
      </c>
      <c r="B1875" s="1" t="s">
        <v>19451</v>
      </c>
      <c r="C1875" s="1" t="s">
        <v>19452</v>
      </c>
      <c r="D1875" s="1" t="s">
        <v>19352</v>
      </c>
      <c r="E1875" s="1" t="s">
        <v>19353</v>
      </c>
      <c r="F1875" s="1">
        <v>652048.0</v>
      </c>
      <c r="G1875" s="1">
        <v>42008.0</v>
      </c>
      <c r="H1875" s="1">
        <v>1636.0</v>
      </c>
      <c r="I1875" s="1">
        <v>3940000.0</v>
      </c>
      <c r="J1875" s="1" t="s">
        <v>2468</v>
      </c>
      <c r="K1875" s="5">
        <f t="shared" si="2"/>
        <v>0.1654944162</v>
      </c>
      <c r="L1875" s="6">
        <f t="shared" si="3"/>
        <v>2274</v>
      </c>
      <c r="M1875" s="6">
        <f t="shared" si="4"/>
        <v>286.7405453</v>
      </c>
      <c r="N1875" s="7">
        <f t="shared" si="5"/>
        <v>0.00007277678815</v>
      </c>
      <c r="O1875" s="7"/>
      <c r="P1875" s="4">
        <f t="shared" si="6"/>
        <v>-0.3982646338</v>
      </c>
      <c r="Q1875" s="4">
        <f t="shared" si="7"/>
        <v>9</v>
      </c>
      <c r="R1875" s="4">
        <f t="shared" si="8"/>
        <v>0</v>
      </c>
      <c r="S1875" s="4">
        <f t="shared" si="9"/>
        <v>-0.3982646338</v>
      </c>
      <c r="T1875" s="4">
        <f t="shared" si="10"/>
        <v>41</v>
      </c>
      <c r="U1875" s="4">
        <f t="shared" si="1"/>
        <v>-0.3982646338</v>
      </c>
      <c r="V1875" s="4"/>
    </row>
    <row r="1876">
      <c r="A1876" s="1" t="s">
        <v>19453</v>
      </c>
      <c r="B1876" s="1" t="s">
        <v>19454</v>
      </c>
      <c r="C1876" s="1" t="s">
        <v>19455</v>
      </c>
      <c r="D1876" s="1" t="s">
        <v>19352</v>
      </c>
      <c r="E1876" s="1" t="s">
        <v>19353</v>
      </c>
      <c r="F1876" s="1">
        <v>725841.0</v>
      </c>
      <c r="G1876" s="1">
        <v>40554.0</v>
      </c>
      <c r="H1876" s="1">
        <v>1522.0</v>
      </c>
      <c r="I1876" s="1">
        <v>3940000.0</v>
      </c>
      <c r="J1876" s="1" t="s">
        <v>2468</v>
      </c>
      <c r="K1876" s="5">
        <f t="shared" si="2"/>
        <v>0.1842236041</v>
      </c>
      <c r="L1876" s="6">
        <f t="shared" si="3"/>
        <v>2325</v>
      </c>
      <c r="M1876" s="6">
        <f t="shared" si="4"/>
        <v>312.1896774</v>
      </c>
      <c r="N1876" s="7">
        <f t="shared" si="5"/>
        <v>0.00007923595874</v>
      </c>
      <c r="O1876" s="7"/>
      <c r="P1876" s="4">
        <f t="shared" si="6"/>
        <v>-0.3937150303</v>
      </c>
      <c r="Q1876" s="4">
        <f t="shared" si="7"/>
        <v>9</v>
      </c>
      <c r="R1876" s="4">
        <f t="shared" si="8"/>
        <v>1</v>
      </c>
      <c r="S1876" s="4">
        <f t="shared" si="9"/>
        <v>-0.3937150303</v>
      </c>
      <c r="T1876" s="4">
        <f t="shared" si="10"/>
        <v>35</v>
      </c>
      <c r="U1876" s="4">
        <f t="shared" si="1"/>
        <v>-0.3937150303</v>
      </c>
      <c r="V1876" s="4"/>
    </row>
    <row r="1877">
      <c r="A1877" s="1" t="s">
        <v>19456</v>
      </c>
      <c r="B1877" s="1" t="s">
        <v>19457</v>
      </c>
      <c r="C1877" s="1" t="s">
        <v>19458</v>
      </c>
      <c r="D1877" s="1" t="s">
        <v>19352</v>
      </c>
      <c r="E1877" s="1" t="s">
        <v>19353</v>
      </c>
      <c r="F1877" s="1">
        <v>498269.0</v>
      </c>
      <c r="G1877" s="1">
        <v>20884.0</v>
      </c>
      <c r="H1877" s="1">
        <v>873.0</v>
      </c>
      <c r="I1877" s="1">
        <v>3940000.0</v>
      </c>
      <c r="J1877" s="1" t="s">
        <v>2468</v>
      </c>
      <c r="K1877" s="5">
        <f t="shared" si="2"/>
        <v>0.1264642132</v>
      </c>
      <c r="L1877" s="6">
        <f t="shared" si="3"/>
        <v>2351</v>
      </c>
      <c r="M1877" s="6">
        <f t="shared" si="4"/>
        <v>211.9391748</v>
      </c>
      <c r="N1877" s="7">
        <f t="shared" si="5"/>
        <v>0.00005379166874</v>
      </c>
      <c r="O1877" s="7"/>
      <c r="P1877" s="4">
        <f t="shared" si="6"/>
        <v>-0.4116370576</v>
      </c>
      <c r="Q1877" s="4">
        <f t="shared" si="7"/>
        <v>4</v>
      </c>
      <c r="R1877" s="4">
        <f t="shared" si="8"/>
        <v>0</v>
      </c>
      <c r="S1877" s="4">
        <f t="shared" si="9"/>
        <v>-0.4116370576</v>
      </c>
      <c r="T1877" s="4">
        <f t="shared" si="10"/>
        <v>23</v>
      </c>
      <c r="U1877" s="4">
        <f t="shared" si="1"/>
        <v>-0.4116370576</v>
      </c>
      <c r="V1877" s="4"/>
    </row>
    <row r="1878">
      <c r="A1878" s="1" t="s">
        <v>19459</v>
      </c>
      <c r="B1878" s="1" t="s">
        <v>19460</v>
      </c>
      <c r="C1878" s="1" t="s">
        <v>19461</v>
      </c>
      <c r="D1878" s="1" t="s">
        <v>19352</v>
      </c>
      <c r="E1878" s="1" t="s">
        <v>19353</v>
      </c>
      <c r="F1878" s="1">
        <v>342244.0</v>
      </c>
      <c r="G1878" s="1">
        <v>4566.0</v>
      </c>
      <c r="H1878" s="1">
        <v>143.0</v>
      </c>
      <c r="I1878" s="1">
        <v>3940000.0</v>
      </c>
      <c r="J1878" s="1" t="s">
        <v>2468</v>
      </c>
      <c r="K1878" s="5">
        <f t="shared" si="2"/>
        <v>0.08686395939</v>
      </c>
      <c r="L1878" s="6">
        <f t="shared" si="3"/>
        <v>2439</v>
      </c>
      <c r="M1878" s="6">
        <f t="shared" si="4"/>
        <v>140.3214432</v>
      </c>
      <c r="N1878" s="7">
        <f t="shared" si="5"/>
        <v>0.0000356145795</v>
      </c>
      <c r="O1878" s="7"/>
      <c r="P1878" s="4">
        <f t="shared" si="6"/>
        <v>-0.4244403345</v>
      </c>
      <c r="Q1878" s="4">
        <f t="shared" si="7"/>
        <v>10</v>
      </c>
      <c r="R1878" s="4">
        <f t="shared" si="8"/>
        <v>0</v>
      </c>
      <c r="S1878" s="4">
        <f t="shared" si="9"/>
        <v>-0.4244403345</v>
      </c>
      <c r="T1878" s="4">
        <f t="shared" si="10"/>
        <v>45</v>
      </c>
      <c r="U1878" s="4">
        <f t="shared" si="1"/>
        <v>-0.4244403345</v>
      </c>
      <c r="V1878" s="4"/>
    </row>
    <row r="1879">
      <c r="A1879" s="1" t="s">
        <v>19462</v>
      </c>
      <c r="B1879" s="1" t="s">
        <v>19463</v>
      </c>
      <c r="C1879" s="1" t="s">
        <v>19464</v>
      </c>
      <c r="D1879" s="1" t="s">
        <v>19352</v>
      </c>
      <c r="E1879" s="1" t="s">
        <v>19353</v>
      </c>
      <c r="F1879" s="1">
        <v>238959.0</v>
      </c>
      <c r="G1879" s="1">
        <v>3753.0</v>
      </c>
      <c r="H1879" s="1">
        <v>106.0</v>
      </c>
      <c r="I1879" s="1">
        <v>3940000.0</v>
      </c>
      <c r="J1879" s="1" t="s">
        <v>2468</v>
      </c>
      <c r="K1879" s="5">
        <f t="shared" si="2"/>
        <v>0.06064949239</v>
      </c>
      <c r="L1879" s="6">
        <f t="shared" si="3"/>
        <v>2446</v>
      </c>
      <c r="M1879" s="6">
        <f t="shared" si="4"/>
        <v>97.69378577</v>
      </c>
      <c r="N1879" s="7">
        <f t="shared" si="5"/>
        <v>0.0000247953771</v>
      </c>
      <c r="O1879" s="7"/>
      <c r="P1879" s="4">
        <f t="shared" si="6"/>
        <v>-0.4320609849</v>
      </c>
      <c r="Q1879" s="4">
        <f t="shared" si="7"/>
        <v>9</v>
      </c>
      <c r="R1879" s="4">
        <f t="shared" si="8"/>
        <v>0</v>
      </c>
      <c r="S1879" s="4">
        <f t="shared" si="9"/>
        <v>-0.4320609849</v>
      </c>
      <c r="T1879" s="4">
        <f t="shared" si="10"/>
        <v>36</v>
      </c>
      <c r="U1879" s="4">
        <f t="shared" si="1"/>
        <v>-0.4320609849</v>
      </c>
      <c r="V1879" s="4"/>
    </row>
    <row r="1880">
      <c r="A1880" s="1" t="s">
        <v>19465</v>
      </c>
      <c r="B1880" s="1" t="s">
        <v>19466</v>
      </c>
      <c r="C1880" s="1" t="s">
        <v>19467</v>
      </c>
      <c r="D1880" s="1" t="s">
        <v>19352</v>
      </c>
      <c r="E1880" s="1" t="s">
        <v>19353</v>
      </c>
      <c r="F1880" s="1">
        <v>0.0</v>
      </c>
      <c r="G1880" s="1">
        <v>0.0</v>
      </c>
      <c r="H1880" s="1">
        <v>1127.0</v>
      </c>
      <c r="I1880" s="1">
        <v>3940000.0</v>
      </c>
      <c r="J1880" s="1" t="s">
        <v>2468</v>
      </c>
      <c r="K1880" s="5">
        <f t="shared" si="2"/>
        <v>0</v>
      </c>
      <c r="L1880" s="6">
        <f t="shared" si="3"/>
        <v>2453</v>
      </c>
      <c r="M1880" s="6">
        <f t="shared" si="4"/>
        <v>0</v>
      </c>
      <c r="N1880" s="7">
        <f t="shared" si="5"/>
        <v>0</v>
      </c>
      <c r="O1880" s="7"/>
      <c r="P1880" s="4">
        <f t="shared" si="6"/>
        <v>-0.4495259417</v>
      </c>
      <c r="Q1880" s="4">
        <f t="shared" si="7"/>
        <v>4</v>
      </c>
      <c r="R1880" s="4">
        <f t="shared" si="8"/>
        <v>1</v>
      </c>
      <c r="S1880" s="4">
        <f t="shared" si="9"/>
        <v>-0.4495259417</v>
      </c>
      <c r="T1880" s="4">
        <f t="shared" si="10"/>
        <v>20</v>
      </c>
      <c r="U1880" s="4">
        <f t="shared" si="1"/>
        <v>-0.4495259417</v>
      </c>
      <c r="V1880" s="4"/>
    </row>
    <row r="1881">
      <c r="A1881" s="1" t="s">
        <v>19468</v>
      </c>
      <c r="B1881" s="1" t="s">
        <v>19469</v>
      </c>
      <c r="C1881" s="1" t="s">
        <v>19470</v>
      </c>
      <c r="D1881" s="1" t="s">
        <v>19352</v>
      </c>
      <c r="E1881" s="1" t="s">
        <v>19353</v>
      </c>
      <c r="F1881" s="1">
        <v>0.0</v>
      </c>
      <c r="G1881" s="1">
        <v>0.0</v>
      </c>
      <c r="H1881" s="1">
        <v>1151.0</v>
      </c>
      <c r="I1881" s="1">
        <v>3940000.0</v>
      </c>
      <c r="J1881" s="1" t="s">
        <v>2468</v>
      </c>
      <c r="K1881" s="5">
        <f t="shared" si="2"/>
        <v>0</v>
      </c>
      <c r="L1881" s="6">
        <f t="shared" si="3"/>
        <v>2453</v>
      </c>
      <c r="M1881" s="6">
        <f t="shared" si="4"/>
        <v>0</v>
      </c>
      <c r="N1881" s="7">
        <f t="shared" si="5"/>
        <v>0</v>
      </c>
      <c r="O1881" s="7"/>
      <c r="P1881" s="4">
        <f t="shared" si="6"/>
        <v>-0.4495259417</v>
      </c>
      <c r="Q1881" s="4">
        <f t="shared" si="7"/>
        <v>5</v>
      </c>
      <c r="R1881" s="4">
        <f t="shared" si="8"/>
        <v>1</v>
      </c>
      <c r="S1881" s="4">
        <f t="shared" si="9"/>
        <v>-0.4495259417</v>
      </c>
      <c r="T1881" s="4">
        <f t="shared" si="10"/>
        <v>22</v>
      </c>
      <c r="U1881" s="4">
        <f t="shared" si="1"/>
        <v>-0.4495259417</v>
      </c>
      <c r="V1881" s="4"/>
    </row>
    <row r="1882">
      <c r="A1882" s="1" t="s">
        <v>19471</v>
      </c>
      <c r="B1882" s="1" t="s">
        <v>19472</v>
      </c>
      <c r="C1882" s="1" t="s">
        <v>19473</v>
      </c>
      <c r="D1882" s="1" t="s">
        <v>19352</v>
      </c>
      <c r="E1882" s="1" t="s">
        <v>19353</v>
      </c>
      <c r="F1882" s="1">
        <v>652699.0</v>
      </c>
      <c r="G1882" s="1">
        <v>4031.0</v>
      </c>
      <c r="H1882" s="1">
        <v>64.0</v>
      </c>
      <c r="I1882" s="1">
        <v>3940000.0</v>
      </c>
      <c r="J1882" s="1" t="s">
        <v>2468</v>
      </c>
      <c r="K1882" s="5">
        <f t="shared" si="2"/>
        <v>0.1656596447</v>
      </c>
      <c r="L1882" s="6">
        <f t="shared" si="3"/>
        <v>2453</v>
      </c>
      <c r="M1882" s="6">
        <f t="shared" si="4"/>
        <v>266.0819405</v>
      </c>
      <c r="N1882" s="7">
        <f t="shared" si="5"/>
        <v>0.00006753348743</v>
      </c>
      <c r="O1882" s="7"/>
      <c r="P1882" s="4">
        <f t="shared" si="6"/>
        <v>-0.4019578231</v>
      </c>
      <c r="Q1882" s="4">
        <f t="shared" si="7"/>
        <v>9</v>
      </c>
      <c r="R1882" s="4">
        <f t="shared" si="8"/>
        <v>0</v>
      </c>
      <c r="S1882" s="4">
        <f t="shared" si="9"/>
        <v>-0.4019578231</v>
      </c>
      <c r="T1882" s="4">
        <f t="shared" si="10"/>
        <v>57</v>
      </c>
      <c r="U1882" s="4">
        <f t="shared" si="1"/>
        <v>-0.4019578231</v>
      </c>
      <c r="V1882" s="4"/>
    </row>
    <row r="1883">
      <c r="A1883" s="1" t="s">
        <v>19474</v>
      </c>
      <c r="B1883" s="1" t="s">
        <v>19475</v>
      </c>
      <c r="C1883" s="1" t="s">
        <v>19476</v>
      </c>
      <c r="D1883" s="1" t="s">
        <v>19352</v>
      </c>
      <c r="E1883" s="1" t="s">
        <v>19353</v>
      </c>
      <c r="F1883" s="1">
        <v>2.482335E7</v>
      </c>
      <c r="G1883" s="1">
        <v>206697.0</v>
      </c>
      <c r="H1883" s="1">
        <v>4094.0</v>
      </c>
      <c r="I1883" s="1">
        <v>3940000.0</v>
      </c>
      <c r="J1883" s="1" t="s">
        <v>2468</v>
      </c>
      <c r="K1883" s="5">
        <f t="shared" si="2"/>
        <v>6.30034264</v>
      </c>
      <c r="L1883" s="6">
        <f t="shared" si="3"/>
        <v>2453</v>
      </c>
      <c r="M1883" s="6">
        <f t="shared" si="4"/>
        <v>10119.58826</v>
      </c>
      <c r="N1883" s="7">
        <f t="shared" si="5"/>
        <v>0.002568423416</v>
      </c>
      <c r="O1883" s="7"/>
      <c r="P1883" s="4">
        <f t="shared" si="6"/>
        <v>1.359577577</v>
      </c>
      <c r="Q1883" s="4">
        <f t="shared" si="7"/>
        <v>4</v>
      </c>
      <c r="R1883" s="4">
        <f t="shared" si="8"/>
        <v>1</v>
      </c>
      <c r="S1883" s="4">
        <f t="shared" si="9"/>
        <v>1.359577577</v>
      </c>
      <c r="T1883" s="4">
        <f t="shared" si="10"/>
        <v>22</v>
      </c>
      <c r="U1883" s="4">
        <f t="shared" si="1"/>
        <v>1.359577577</v>
      </c>
      <c r="V1883" s="4"/>
    </row>
    <row r="1884">
      <c r="A1884" s="1" t="s">
        <v>19477</v>
      </c>
      <c r="B1884" s="1" t="s">
        <v>19478</v>
      </c>
      <c r="C1884" s="1" t="s">
        <v>19479</v>
      </c>
      <c r="D1884" s="1" t="s">
        <v>19352</v>
      </c>
      <c r="E1884" s="1" t="s">
        <v>19353</v>
      </c>
      <c r="F1884" s="1">
        <v>260358.0</v>
      </c>
      <c r="G1884" s="1">
        <v>3806.0</v>
      </c>
      <c r="H1884" s="1">
        <v>108.0</v>
      </c>
      <c r="I1884" s="1">
        <v>3940000.0</v>
      </c>
      <c r="J1884" s="1" t="s">
        <v>2468</v>
      </c>
      <c r="K1884" s="5">
        <f t="shared" si="2"/>
        <v>0.06608071066</v>
      </c>
      <c r="L1884" s="6">
        <f t="shared" si="3"/>
        <v>2495</v>
      </c>
      <c r="M1884" s="6">
        <f t="shared" si="4"/>
        <v>104.3519038</v>
      </c>
      <c r="N1884" s="7">
        <f t="shared" si="5"/>
        <v>0.00002648525477</v>
      </c>
      <c r="O1884" s="7"/>
      <c r="P1884" s="4">
        <f t="shared" si="6"/>
        <v>-0.4308706969</v>
      </c>
      <c r="Q1884" s="4">
        <f t="shared" si="7"/>
        <v>9</v>
      </c>
      <c r="R1884" s="4">
        <f t="shared" si="8"/>
        <v>0</v>
      </c>
      <c r="S1884" s="4">
        <f t="shared" si="9"/>
        <v>-0.4308706969</v>
      </c>
      <c r="T1884" s="4">
        <f t="shared" si="10"/>
        <v>47</v>
      </c>
      <c r="U1884" s="4">
        <f t="shared" si="1"/>
        <v>-0.4308706969</v>
      </c>
      <c r="V1884" s="4"/>
    </row>
    <row r="1885">
      <c r="A1885" s="1" t="s">
        <v>19480</v>
      </c>
      <c r="B1885" s="1" t="s">
        <v>19481</v>
      </c>
      <c r="C1885" s="1" t="s">
        <v>19482</v>
      </c>
      <c r="D1885" s="1" t="s">
        <v>19352</v>
      </c>
      <c r="E1885" s="1" t="s">
        <v>19353</v>
      </c>
      <c r="F1885" s="1">
        <v>839858.0</v>
      </c>
      <c r="G1885" s="1">
        <v>7635.0</v>
      </c>
      <c r="H1885" s="1">
        <v>151.0</v>
      </c>
      <c r="I1885" s="1">
        <v>3940000.0</v>
      </c>
      <c r="J1885" s="1" t="s">
        <v>2468</v>
      </c>
      <c r="K1885" s="5">
        <f t="shared" si="2"/>
        <v>0.2131619289</v>
      </c>
      <c r="L1885" s="6">
        <f t="shared" si="3"/>
        <v>2502</v>
      </c>
      <c r="M1885" s="6">
        <f t="shared" si="4"/>
        <v>335.6746603</v>
      </c>
      <c r="N1885" s="7">
        <f t="shared" si="5"/>
        <v>0.00008519661428</v>
      </c>
      <c r="O1885" s="7"/>
      <c r="P1885" s="4">
        <f t="shared" si="6"/>
        <v>-0.3895165625</v>
      </c>
      <c r="Q1885" s="4">
        <f t="shared" si="7"/>
        <v>10</v>
      </c>
      <c r="R1885" s="4">
        <f t="shared" si="8"/>
        <v>0</v>
      </c>
      <c r="S1885" s="4">
        <f t="shared" si="9"/>
        <v>-0.3895165625</v>
      </c>
      <c r="T1885" s="4">
        <f t="shared" si="10"/>
        <v>42</v>
      </c>
      <c r="U1885" s="4">
        <f t="shared" si="1"/>
        <v>-0.3895165625</v>
      </c>
      <c r="V1885" s="4"/>
    </row>
    <row r="1886">
      <c r="A1886" s="1" t="s">
        <v>19483</v>
      </c>
      <c r="B1886" s="1" t="s">
        <v>19484</v>
      </c>
      <c r="C1886" s="1" t="s">
        <v>19485</v>
      </c>
      <c r="D1886" s="1" t="s">
        <v>19352</v>
      </c>
      <c r="E1886" s="1" t="s">
        <v>19353</v>
      </c>
      <c r="F1886" s="1">
        <v>0.0</v>
      </c>
      <c r="G1886" s="1">
        <v>0.0</v>
      </c>
      <c r="H1886" s="1">
        <v>741.0</v>
      </c>
      <c r="I1886" s="1">
        <v>3940000.0</v>
      </c>
      <c r="J1886" s="1" t="s">
        <v>2468</v>
      </c>
      <c r="K1886" s="5">
        <f t="shared" si="2"/>
        <v>0</v>
      </c>
      <c r="L1886" s="6">
        <f t="shared" si="3"/>
        <v>2509</v>
      </c>
      <c r="M1886" s="6">
        <f t="shared" si="4"/>
        <v>0</v>
      </c>
      <c r="N1886" s="7">
        <f t="shared" si="5"/>
        <v>0</v>
      </c>
      <c r="O1886" s="7"/>
      <c r="P1886" s="4">
        <f t="shared" si="6"/>
        <v>-0.4495259417</v>
      </c>
      <c r="Q1886" s="4">
        <f t="shared" si="7"/>
        <v>4</v>
      </c>
      <c r="R1886" s="4">
        <f t="shared" si="8"/>
        <v>1</v>
      </c>
      <c r="S1886" s="4">
        <f t="shared" si="9"/>
        <v>-0.4495259417</v>
      </c>
      <c r="T1886" s="4">
        <f t="shared" si="10"/>
        <v>27</v>
      </c>
      <c r="U1886" s="4">
        <f t="shared" si="1"/>
        <v>-0.4495259417</v>
      </c>
      <c r="V1886" s="4"/>
    </row>
    <row r="1887">
      <c r="A1887" s="1" t="s">
        <v>19486</v>
      </c>
      <c r="B1887" s="1" t="s">
        <v>19487</v>
      </c>
      <c r="C1887" s="1" t="s">
        <v>19488</v>
      </c>
      <c r="D1887" s="1" t="s">
        <v>19352</v>
      </c>
      <c r="E1887" s="1" t="s">
        <v>19353</v>
      </c>
      <c r="F1887" s="1">
        <v>0.0</v>
      </c>
      <c r="G1887" s="1">
        <v>0.0</v>
      </c>
      <c r="H1887" s="1">
        <v>4711.0</v>
      </c>
      <c r="I1887" s="1">
        <v>3940000.0</v>
      </c>
      <c r="J1887" s="1" t="s">
        <v>2468</v>
      </c>
      <c r="K1887" s="5">
        <f t="shared" si="2"/>
        <v>0</v>
      </c>
      <c r="L1887" s="6">
        <f t="shared" si="3"/>
        <v>2509</v>
      </c>
      <c r="M1887" s="6">
        <f t="shared" si="4"/>
        <v>0</v>
      </c>
      <c r="N1887" s="7">
        <f t="shared" si="5"/>
        <v>0</v>
      </c>
      <c r="O1887" s="7"/>
      <c r="P1887" s="4">
        <f t="shared" si="6"/>
        <v>-0.4495259417</v>
      </c>
      <c r="Q1887" s="4">
        <f t="shared" si="7"/>
        <v>6</v>
      </c>
      <c r="R1887" s="4">
        <f t="shared" si="8"/>
        <v>1</v>
      </c>
      <c r="S1887" s="4">
        <f t="shared" si="9"/>
        <v>-0.4495259417</v>
      </c>
      <c r="T1887" s="4">
        <f t="shared" si="10"/>
        <v>25</v>
      </c>
      <c r="U1887" s="4">
        <f t="shared" si="1"/>
        <v>-0.4495259417</v>
      </c>
      <c r="V1887" s="4"/>
    </row>
    <row r="1888">
      <c r="A1888" s="1" t="s">
        <v>19489</v>
      </c>
      <c r="B1888" s="1" t="s">
        <v>19490</v>
      </c>
      <c r="C1888" s="1" t="s">
        <v>19491</v>
      </c>
      <c r="D1888" s="1" t="s">
        <v>19352</v>
      </c>
      <c r="E1888" s="1" t="s">
        <v>19353</v>
      </c>
      <c r="F1888" s="1">
        <v>397431.0</v>
      </c>
      <c r="G1888" s="1">
        <v>7391.0</v>
      </c>
      <c r="H1888" s="1">
        <v>183.0</v>
      </c>
      <c r="I1888" s="1">
        <v>3940000.0</v>
      </c>
      <c r="J1888" s="1" t="s">
        <v>2468</v>
      </c>
      <c r="K1888" s="5">
        <f t="shared" si="2"/>
        <v>0.1008708122</v>
      </c>
      <c r="L1888" s="6">
        <f t="shared" si="3"/>
        <v>2509</v>
      </c>
      <c r="M1888" s="6">
        <f t="shared" si="4"/>
        <v>158.4021523</v>
      </c>
      <c r="N1888" s="7">
        <f t="shared" si="5"/>
        <v>0.00004020359194</v>
      </c>
      <c r="O1888" s="7"/>
      <c r="P1888" s="4">
        <f t="shared" si="6"/>
        <v>-0.4212080019</v>
      </c>
      <c r="Q1888" s="4">
        <f t="shared" si="7"/>
        <v>7</v>
      </c>
      <c r="R1888" s="4">
        <f t="shared" si="8"/>
        <v>0</v>
      </c>
      <c r="S1888" s="4">
        <f t="shared" si="9"/>
        <v>-0.4212080019</v>
      </c>
      <c r="T1888" s="4">
        <f t="shared" si="10"/>
        <v>34</v>
      </c>
      <c r="U1888" s="4">
        <f t="shared" si="1"/>
        <v>-0.4212080019</v>
      </c>
      <c r="V1888" s="4"/>
    </row>
    <row r="1889">
      <c r="A1889" s="1" t="s">
        <v>19492</v>
      </c>
      <c r="B1889" s="1" t="s">
        <v>19493</v>
      </c>
      <c r="C1889" s="1" t="s">
        <v>19494</v>
      </c>
      <c r="D1889" s="1" t="s">
        <v>19352</v>
      </c>
      <c r="E1889" s="1" t="s">
        <v>19353</v>
      </c>
      <c r="F1889" s="1">
        <v>8091733.0</v>
      </c>
      <c r="G1889" s="1">
        <v>132068.0</v>
      </c>
      <c r="H1889" s="1">
        <v>4716.0</v>
      </c>
      <c r="I1889" s="1">
        <v>3940000.0</v>
      </c>
      <c r="J1889" s="1" t="s">
        <v>2468</v>
      </c>
      <c r="K1889" s="5">
        <f t="shared" si="2"/>
        <v>2.05373934</v>
      </c>
      <c r="L1889" s="6">
        <f t="shared" si="3"/>
        <v>2509</v>
      </c>
      <c r="M1889" s="6">
        <f t="shared" si="4"/>
        <v>3225.082902</v>
      </c>
      <c r="N1889" s="7">
        <f t="shared" si="5"/>
        <v>0.0008185489598</v>
      </c>
      <c r="O1889" s="7"/>
      <c r="P1889" s="4">
        <f t="shared" si="6"/>
        <v>0.1270300086</v>
      </c>
      <c r="Q1889" s="4">
        <f t="shared" si="7"/>
        <v>7</v>
      </c>
      <c r="R1889" s="4">
        <f t="shared" si="8"/>
        <v>1</v>
      </c>
      <c r="S1889" s="4">
        <f t="shared" si="9"/>
        <v>0.1270300086</v>
      </c>
      <c r="T1889" s="4">
        <f t="shared" si="10"/>
        <v>30</v>
      </c>
      <c r="U1889" s="4">
        <f t="shared" si="1"/>
        <v>0.1270300086</v>
      </c>
      <c r="V1889" s="4"/>
    </row>
    <row r="1890">
      <c r="A1890" s="1" t="s">
        <v>19495</v>
      </c>
      <c r="B1890" s="1" t="s">
        <v>19496</v>
      </c>
      <c r="C1890" s="1" t="s">
        <v>19497</v>
      </c>
      <c r="D1890" s="1" t="s">
        <v>19352</v>
      </c>
      <c r="E1890" s="1" t="s">
        <v>19353</v>
      </c>
      <c r="F1890" s="1">
        <v>517432.0</v>
      </c>
      <c r="G1890" s="1">
        <v>17925.0</v>
      </c>
      <c r="H1890" s="1">
        <v>851.0</v>
      </c>
      <c r="I1890" s="1">
        <v>3940000.0</v>
      </c>
      <c r="J1890" s="1" t="s">
        <v>2468</v>
      </c>
      <c r="K1890" s="5">
        <f t="shared" si="2"/>
        <v>0.1313279188</v>
      </c>
      <c r="L1890" s="6">
        <f t="shared" si="3"/>
        <v>2516</v>
      </c>
      <c r="M1890" s="6">
        <f t="shared" si="4"/>
        <v>205.6565978</v>
      </c>
      <c r="N1890" s="7">
        <f t="shared" si="5"/>
        <v>0.00005219710603</v>
      </c>
      <c r="O1890" s="7"/>
      <c r="P1890" s="4">
        <f t="shared" si="6"/>
        <v>-0.4127602092</v>
      </c>
      <c r="Q1890" s="4">
        <f t="shared" si="7"/>
        <v>8</v>
      </c>
      <c r="R1890" s="4">
        <f t="shared" si="8"/>
        <v>1</v>
      </c>
      <c r="S1890" s="4">
        <f t="shared" si="9"/>
        <v>-0.4127602092</v>
      </c>
      <c r="T1890" s="4">
        <f t="shared" si="10"/>
        <v>40</v>
      </c>
      <c r="U1890" s="4">
        <f t="shared" si="1"/>
        <v>-0.4127602092</v>
      </c>
      <c r="V1890" s="4"/>
    </row>
    <row r="1891">
      <c r="A1891" s="1" t="s">
        <v>19498</v>
      </c>
      <c r="B1891" s="1" t="s">
        <v>19499</v>
      </c>
      <c r="C1891" s="1" t="s">
        <v>19500</v>
      </c>
      <c r="D1891" s="1" t="s">
        <v>19352</v>
      </c>
      <c r="E1891" s="1" t="s">
        <v>19353</v>
      </c>
      <c r="F1891" s="1">
        <v>411181.0</v>
      </c>
      <c r="G1891" s="1">
        <v>30508.0</v>
      </c>
      <c r="H1891" s="1">
        <v>1136.0</v>
      </c>
      <c r="I1891" s="1">
        <v>3940000.0</v>
      </c>
      <c r="J1891" s="1" t="s">
        <v>2468</v>
      </c>
      <c r="K1891" s="5">
        <f t="shared" si="2"/>
        <v>0.1043606599</v>
      </c>
      <c r="L1891" s="6">
        <f t="shared" si="3"/>
        <v>2520</v>
      </c>
      <c r="M1891" s="6">
        <f t="shared" si="4"/>
        <v>163.1670635</v>
      </c>
      <c r="N1891" s="7">
        <f t="shared" si="5"/>
        <v>0.00004141296028</v>
      </c>
      <c r="O1891" s="7"/>
      <c r="P1891" s="4">
        <f t="shared" si="6"/>
        <v>-0.4203561671</v>
      </c>
      <c r="Q1891" s="4">
        <f t="shared" si="7"/>
        <v>4</v>
      </c>
      <c r="R1891" s="4">
        <f t="shared" si="8"/>
        <v>0</v>
      </c>
      <c r="S1891" s="4">
        <f t="shared" si="9"/>
        <v>-0.4203561671</v>
      </c>
      <c r="T1891" s="4">
        <f t="shared" si="10"/>
        <v>17</v>
      </c>
      <c r="U1891" s="4">
        <f t="shared" si="1"/>
        <v>-0.4203561671</v>
      </c>
      <c r="V1891" s="4"/>
    </row>
    <row r="1892">
      <c r="A1892" s="1" t="s">
        <v>19501</v>
      </c>
      <c r="B1892" s="1" t="s">
        <v>19502</v>
      </c>
      <c r="C1892" s="1" t="s">
        <v>19503</v>
      </c>
      <c r="D1892" s="1" t="s">
        <v>19352</v>
      </c>
      <c r="E1892" s="1" t="s">
        <v>19353</v>
      </c>
      <c r="F1892" s="1">
        <v>1453196.0</v>
      </c>
      <c r="G1892" s="1">
        <v>65397.0</v>
      </c>
      <c r="H1892" s="1">
        <v>2222.0</v>
      </c>
      <c r="I1892" s="1">
        <v>3940000.0</v>
      </c>
      <c r="J1892" s="1" t="s">
        <v>2468</v>
      </c>
      <c r="K1892" s="5">
        <f t="shared" si="2"/>
        <v>0.3688314721</v>
      </c>
      <c r="L1892" s="6">
        <f t="shared" si="3"/>
        <v>2521</v>
      </c>
      <c r="M1892" s="6">
        <f t="shared" si="4"/>
        <v>576.4363348</v>
      </c>
      <c r="N1892" s="7">
        <f t="shared" si="5"/>
        <v>0.0001463036383</v>
      </c>
      <c r="O1892" s="7"/>
      <c r="P1892" s="4">
        <f t="shared" si="6"/>
        <v>-0.3464750097</v>
      </c>
      <c r="Q1892" s="4">
        <f t="shared" si="7"/>
        <v>6</v>
      </c>
      <c r="R1892" s="4">
        <f t="shared" si="8"/>
        <v>0</v>
      </c>
      <c r="S1892" s="4">
        <f t="shared" si="9"/>
        <v>-0.3464750097</v>
      </c>
      <c r="T1892" s="4">
        <f t="shared" si="10"/>
        <v>39</v>
      </c>
      <c r="U1892" s="4">
        <f t="shared" si="1"/>
        <v>-0.3464750097</v>
      </c>
      <c r="V1892" s="4"/>
    </row>
    <row r="1893">
      <c r="A1893" s="1" t="s">
        <v>19504</v>
      </c>
      <c r="B1893" s="1" t="s">
        <v>19505</v>
      </c>
      <c r="C1893" s="1" t="s">
        <v>19506</v>
      </c>
      <c r="D1893" s="1" t="s">
        <v>19352</v>
      </c>
      <c r="E1893" s="1" t="s">
        <v>19353</v>
      </c>
      <c r="F1893" s="1">
        <v>2357399.0</v>
      </c>
      <c r="G1893" s="1">
        <v>93242.0</v>
      </c>
      <c r="H1893" s="1">
        <v>6355.0</v>
      </c>
      <c r="I1893" s="1">
        <v>3940000.0</v>
      </c>
      <c r="J1893" s="1" t="s">
        <v>2468</v>
      </c>
      <c r="K1893" s="5">
        <f t="shared" si="2"/>
        <v>0.5983246193</v>
      </c>
      <c r="L1893" s="6">
        <f t="shared" si="3"/>
        <v>2716</v>
      </c>
      <c r="M1893" s="6">
        <f t="shared" si="4"/>
        <v>867.9672312</v>
      </c>
      <c r="N1893" s="7">
        <f t="shared" si="5"/>
        <v>0.0002202962516</v>
      </c>
      <c r="O1893" s="7"/>
      <c r="P1893" s="4">
        <f t="shared" si="6"/>
        <v>-0.294357319</v>
      </c>
      <c r="Q1893" s="4">
        <f t="shared" si="7"/>
        <v>3</v>
      </c>
      <c r="R1893" s="4">
        <f t="shared" si="8"/>
        <v>0</v>
      </c>
      <c r="S1893" s="4">
        <f t="shared" si="9"/>
        <v>-0.294357319</v>
      </c>
      <c r="T1893" s="4">
        <f t="shared" si="10"/>
        <v>16</v>
      </c>
      <c r="U1893" s="4">
        <f t="shared" si="1"/>
        <v>-0.294357319</v>
      </c>
      <c r="V1893" s="4"/>
    </row>
    <row r="1894">
      <c r="A1894" s="1" t="s">
        <v>19507</v>
      </c>
      <c r="B1894" s="1" t="s">
        <v>19508</v>
      </c>
      <c r="C1894" s="1" t="s">
        <v>19509</v>
      </c>
      <c r="D1894" s="1" t="s">
        <v>19352</v>
      </c>
      <c r="E1894" s="1" t="s">
        <v>19353</v>
      </c>
      <c r="F1894" s="1">
        <v>514891.0</v>
      </c>
      <c r="G1894" s="1">
        <v>25087.0</v>
      </c>
      <c r="H1894" s="1">
        <v>1791.0</v>
      </c>
      <c r="I1894" s="1">
        <v>3940000.0</v>
      </c>
      <c r="J1894" s="1" t="s">
        <v>2468</v>
      </c>
      <c r="K1894" s="5">
        <f t="shared" si="2"/>
        <v>0.1306829949</v>
      </c>
      <c r="L1894" s="6">
        <f t="shared" si="3"/>
        <v>2751</v>
      </c>
      <c r="M1894" s="6">
        <f t="shared" si="4"/>
        <v>187.1650309</v>
      </c>
      <c r="N1894" s="7">
        <f t="shared" si="5"/>
        <v>0.00004750381495</v>
      </c>
      <c r="O1894" s="7"/>
      <c r="P1894" s="4">
        <f t="shared" si="6"/>
        <v>-0.4160659918</v>
      </c>
      <c r="Q1894" s="4">
        <f t="shared" si="7"/>
        <v>8</v>
      </c>
      <c r="R1894" s="4">
        <f t="shared" si="8"/>
        <v>0</v>
      </c>
      <c r="S1894" s="4">
        <f t="shared" si="9"/>
        <v>-0.4160659918</v>
      </c>
      <c r="T1894" s="4">
        <f t="shared" si="10"/>
        <v>48</v>
      </c>
      <c r="U1894" s="4">
        <f t="shared" si="1"/>
        <v>-0.4160659918</v>
      </c>
      <c r="V1894" s="4"/>
    </row>
    <row r="1895">
      <c r="A1895" s="1" t="s">
        <v>19510</v>
      </c>
      <c r="B1895" s="1" t="s">
        <v>19511</v>
      </c>
      <c r="C1895" s="1" t="s">
        <v>19512</v>
      </c>
      <c r="D1895" s="1" t="s">
        <v>19352</v>
      </c>
      <c r="E1895" s="1" t="s">
        <v>19353</v>
      </c>
      <c r="F1895" s="1">
        <v>90265.0</v>
      </c>
      <c r="G1895" s="1">
        <v>1381.0</v>
      </c>
      <c r="H1895" s="1">
        <v>85.0</v>
      </c>
      <c r="I1895" s="1">
        <v>3940000.0</v>
      </c>
      <c r="J1895" s="1" t="s">
        <v>2468</v>
      </c>
      <c r="K1895" s="5">
        <f t="shared" si="2"/>
        <v>0.02290989848</v>
      </c>
      <c r="L1895" s="6">
        <f t="shared" si="3"/>
        <v>2884</v>
      </c>
      <c r="M1895" s="6">
        <f t="shared" si="4"/>
        <v>31.29854369</v>
      </c>
      <c r="N1895" s="7">
        <f t="shared" si="5"/>
        <v>0.000007943792815</v>
      </c>
      <c r="O1895" s="7"/>
      <c r="P1895" s="4">
        <f t="shared" si="6"/>
        <v>-0.4439306246</v>
      </c>
      <c r="Q1895" s="4">
        <f t="shared" si="7"/>
        <v>15</v>
      </c>
      <c r="R1895" s="4">
        <f t="shared" si="8"/>
        <v>0</v>
      </c>
      <c r="S1895" s="4">
        <f t="shared" si="9"/>
        <v>-0.4439306246</v>
      </c>
      <c r="T1895" s="4">
        <f t="shared" si="10"/>
        <v>65</v>
      </c>
      <c r="U1895" s="4">
        <f t="shared" si="1"/>
        <v>-0.4439306246</v>
      </c>
      <c r="V1895" s="4"/>
    </row>
    <row r="1896">
      <c r="A1896" s="1" t="s">
        <v>19513</v>
      </c>
      <c r="B1896" s="1" t="s">
        <v>19514</v>
      </c>
      <c r="C1896" s="1" t="s">
        <v>19515</v>
      </c>
      <c r="D1896" s="1" t="s">
        <v>19352</v>
      </c>
      <c r="E1896" s="1" t="s">
        <v>19353</v>
      </c>
      <c r="F1896" s="1">
        <v>0.0</v>
      </c>
      <c r="G1896" s="1">
        <v>2.0</v>
      </c>
      <c r="H1896" s="1">
        <v>0.0</v>
      </c>
      <c r="I1896" s="1">
        <v>3940000.0</v>
      </c>
      <c r="J1896" s="1" t="s">
        <v>2468</v>
      </c>
      <c r="K1896" s="5">
        <f t="shared" si="2"/>
        <v>0</v>
      </c>
      <c r="L1896" s="6">
        <f t="shared" si="3"/>
        <v>2884</v>
      </c>
      <c r="M1896" s="6">
        <f t="shared" si="4"/>
        <v>0</v>
      </c>
      <c r="N1896" s="7">
        <f t="shared" si="5"/>
        <v>0</v>
      </c>
      <c r="O1896" s="7"/>
      <c r="P1896" s="4">
        <f t="shared" si="6"/>
        <v>-0.4495259417</v>
      </c>
      <c r="Q1896" s="4">
        <f t="shared" si="7"/>
        <v>13</v>
      </c>
      <c r="R1896" s="4">
        <f t="shared" si="8"/>
        <v>0</v>
      </c>
      <c r="S1896" s="4">
        <f t="shared" si="9"/>
        <v>-0.4495259417</v>
      </c>
      <c r="T1896" s="4">
        <f t="shared" si="10"/>
        <v>59</v>
      </c>
      <c r="U1896" s="4">
        <f t="shared" si="1"/>
        <v>-0.4495259417</v>
      </c>
      <c r="V1896" s="4"/>
    </row>
    <row r="1897">
      <c r="A1897" s="1" t="s">
        <v>19516</v>
      </c>
      <c r="B1897" s="1" t="s">
        <v>19514</v>
      </c>
      <c r="C1897" s="1" t="s">
        <v>19517</v>
      </c>
      <c r="D1897" s="1" t="s">
        <v>19352</v>
      </c>
      <c r="E1897" s="1" t="s">
        <v>19353</v>
      </c>
      <c r="F1897" s="1">
        <v>132817.0</v>
      </c>
      <c r="G1897" s="1">
        <v>1965.0</v>
      </c>
      <c r="H1897" s="1">
        <v>99.0</v>
      </c>
      <c r="I1897" s="1">
        <v>3940000.0</v>
      </c>
      <c r="J1897" s="1" t="s">
        <v>2468</v>
      </c>
      <c r="K1897" s="5">
        <f t="shared" si="2"/>
        <v>0.03370989848</v>
      </c>
      <c r="L1897" s="6">
        <f t="shared" si="3"/>
        <v>2884</v>
      </c>
      <c r="M1897" s="6">
        <f t="shared" si="4"/>
        <v>46.05305132</v>
      </c>
      <c r="N1897" s="7">
        <f t="shared" si="5"/>
        <v>0.0000116885917</v>
      </c>
      <c r="O1897" s="7"/>
      <c r="P1897" s="4">
        <f t="shared" si="6"/>
        <v>-0.4412929252</v>
      </c>
      <c r="Q1897" s="4">
        <f t="shared" si="7"/>
        <v>13</v>
      </c>
      <c r="R1897" s="4">
        <f t="shared" si="8"/>
        <v>0</v>
      </c>
      <c r="S1897" s="4">
        <f t="shared" si="9"/>
        <v>-0.4412929252</v>
      </c>
      <c r="T1897" s="4">
        <f t="shared" si="10"/>
        <v>59</v>
      </c>
      <c r="U1897" s="4">
        <f t="shared" si="1"/>
        <v>-0.4412929252</v>
      </c>
      <c r="V1897" s="4"/>
    </row>
    <row r="1898">
      <c r="A1898" s="1" t="s">
        <v>19518</v>
      </c>
      <c r="B1898" s="1" t="s">
        <v>19519</v>
      </c>
      <c r="C1898" s="1" t="s">
        <v>19520</v>
      </c>
      <c r="D1898" s="1" t="s">
        <v>19352</v>
      </c>
      <c r="E1898" s="1" t="s">
        <v>19353</v>
      </c>
      <c r="F1898" s="1">
        <v>419731.0</v>
      </c>
      <c r="G1898" s="1">
        <v>4454.0</v>
      </c>
      <c r="H1898" s="1">
        <v>178.0</v>
      </c>
      <c r="I1898" s="1">
        <v>3940000.0</v>
      </c>
      <c r="J1898" s="1" t="s">
        <v>2468</v>
      </c>
      <c r="K1898" s="5">
        <f t="shared" si="2"/>
        <v>0.1065307107</v>
      </c>
      <c r="L1898" s="6">
        <f t="shared" si="3"/>
        <v>2885</v>
      </c>
      <c r="M1898" s="6">
        <f t="shared" si="4"/>
        <v>145.4873484</v>
      </c>
      <c r="N1898" s="7">
        <f t="shared" si="5"/>
        <v>0.00003692572293</v>
      </c>
      <c r="O1898" s="7"/>
      <c r="P1898" s="4">
        <f t="shared" si="6"/>
        <v>-0.423516813</v>
      </c>
      <c r="Q1898" s="4">
        <f t="shared" si="7"/>
        <v>8</v>
      </c>
      <c r="R1898" s="4">
        <f t="shared" si="8"/>
        <v>0</v>
      </c>
      <c r="S1898" s="4">
        <f t="shared" si="9"/>
        <v>-0.423516813</v>
      </c>
      <c r="T1898" s="4">
        <f t="shared" si="10"/>
        <v>32</v>
      </c>
      <c r="U1898" s="4">
        <f t="shared" si="1"/>
        <v>-0.423516813</v>
      </c>
      <c r="V1898" s="4"/>
    </row>
    <row r="1899">
      <c r="A1899" s="1" t="s">
        <v>19521</v>
      </c>
      <c r="B1899" s="1" t="s">
        <v>19522</v>
      </c>
      <c r="C1899" s="1" t="s">
        <v>19523</v>
      </c>
      <c r="D1899" s="1" t="s">
        <v>19352</v>
      </c>
      <c r="E1899" s="1" t="s">
        <v>19353</v>
      </c>
      <c r="F1899" s="1">
        <v>972307.0</v>
      </c>
      <c r="G1899" s="1">
        <v>4198.0</v>
      </c>
      <c r="H1899" s="1">
        <v>485.0</v>
      </c>
      <c r="I1899" s="1">
        <v>3940000.0</v>
      </c>
      <c r="J1899" s="1" t="s">
        <v>2468</v>
      </c>
      <c r="K1899" s="5">
        <f t="shared" si="2"/>
        <v>0.2467784264</v>
      </c>
      <c r="L1899" s="6">
        <f t="shared" si="3"/>
        <v>2885</v>
      </c>
      <c r="M1899" s="6">
        <f t="shared" si="4"/>
        <v>337.0214905</v>
      </c>
      <c r="N1899" s="7">
        <f t="shared" si="5"/>
        <v>0.00008553844936</v>
      </c>
      <c r="O1899" s="7"/>
      <c r="P1899" s="4">
        <f t="shared" si="6"/>
        <v>-0.3892757864</v>
      </c>
      <c r="Q1899" s="4">
        <f t="shared" si="7"/>
        <v>7</v>
      </c>
      <c r="R1899" s="4">
        <f t="shared" si="8"/>
        <v>0</v>
      </c>
      <c r="S1899" s="4">
        <f t="shared" si="9"/>
        <v>-0.3892757864</v>
      </c>
      <c r="T1899" s="4">
        <f t="shared" si="10"/>
        <v>37</v>
      </c>
      <c r="U1899" s="4">
        <f t="shared" si="1"/>
        <v>-0.3892757864</v>
      </c>
      <c r="V1899" s="4"/>
    </row>
    <row r="1900">
      <c r="A1900" s="1" t="s">
        <v>19524</v>
      </c>
      <c r="B1900" s="1" t="s">
        <v>19525</v>
      </c>
      <c r="C1900" s="1" t="s">
        <v>19526</v>
      </c>
      <c r="D1900" s="1" t="s">
        <v>19352</v>
      </c>
      <c r="E1900" s="1" t="s">
        <v>19353</v>
      </c>
      <c r="F1900" s="1">
        <v>1602707.0</v>
      </c>
      <c r="G1900" s="1">
        <v>6505.0</v>
      </c>
      <c r="H1900" s="1">
        <v>256.0</v>
      </c>
      <c r="I1900" s="1">
        <v>3940000.0</v>
      </c>
      <c r="J1900" s="1" t="s">
        <v>2468</v>
      </c>
      <c r="K1900" s="5">
        <f t="shared" si="2"/>
        <v>0.4067784264</v>
      </c>
      <c r="L1900" s="6">
        <f t="shared" si="3"/>
        <v>2885</v>
      </c>
      <c r="M1900" s="6">
        <f t="shared" si="4"/>
        <v>555.5310225</v>
      </c>
      <c r="N1900" s="7">
        <f t="shared" si="5"/>
        <v>0.0001409977215</v>
      </c>
      <c r="O1900" s="7"/>
      <c r="P1900" s="4">
        <f t="shared" si="6"/>
        <v>-0.3502123035</v>
      </c>
      <c r="Q1900" s="4">
        <f t="shared" si="7"/>
        <v>7</v>
      </c>
      <c r="R1900" s="4">
        <f t="shared" si="8"/>
        <v>1</v>
      </c>
      <c r="S1900" s="4">
        <f t="shared" si="9"/>
        <v>-0.3502123035</v>
      </c>
      <c r="T1900" s="4">
        <f t="shared" si="10"/>
        <v>32</v>
      </c>
      <c r="U1900" s="4">
        <f t="shared" si="1"/>
        <v>-0.3502123035</v>
      </c>
      <c r="V1900" s="4"/>
    </row>
    <row r="1901">
      <c r="A1901" s="1" t="s">
        <v>19527</v>
      </c>
      <c r="B1901" s="1" t="s">
        <v>19528</v>
      </c>
      <c r="C1901" s="1" t="s">
        <v>19529</v>
      </c>
      <c r="D1901" s="1" t="s">
        <v>19352</v>
      </c>
      <c r="E1901" s="1" t="s">
        <v>19353</v>
      </c>
      <c r="F1901" s="1">
        <v>4985376.0</v>
      </c>
      <c r="G1901" s="1">
        <v>117013.0</v>
      </c>
      <c r="H1901" s="1">
        <v>6059.0</v>
      </c>
      <c r="I1901" s="1">
        <v>3940000.0</v>
      </c>
      <c r="J1901" s="1" t="s">
        <v>2468</v>
      </c>
      <c r="K1901" s="5">
        <f t="shared" si="2"/>
        <v>1.265323858</v>
      </c>
      <c r="L1901" s="6">
        <f t="shared" si="3"/>
        <v>2885</v>
      </c>
      <c r="M1901" s="6">
        <f t="shared" si="4"/>
        <v>1728.033276</v>
      </c>
      <c r="N1901" s="7">
        <f t="shared" si="5"/>
        <v>0.0004385871258</v>
      </c>
      <c r="O1901" s="7"/>
      <c r="P1901" s="4">
        <f t="shared" si="6"/>
        <v>-0.1406012109</v>
      </c>
      <c r="Q1901" s="4">
        <f t="shared" si="7"/>
        <v>5</v>
      </c>
      <c r="R1901" s="4">
        <f t="shared" si="8"/>
        <v>1</v>
      </c>
      <c r="S1901" s="4">
        <f t="shared" si="9"/>
        <v>-0.1406012109</v>
      </c>
      <c r="T1901" s="4">
        <f t="shared" si="10"/>
        <v>21</v>
      </c>
      <c r="U1901" s="4">
        <f t="shared" si="1"/>
        <v>-0.1406012109</v>
      </c>
      <c r="V1901" s="4"/>
    </row>
    <row r="1902">
      <c r="A1902" s="1" t="s">
        <v>19530</v>
      </c>
      <c r="B1902" s="1" t="s">
        <v>19531</v>
      </c>
      <c r="C1902" s="1" t="s">
        <v>19532</v>
      </c>
      <c r="D1902" s="1" t="s">
        <v>19352</v>
      </c>
      <c r="E1902" s="1" t="s">
        <v>19353</v>
      </c>
      <c r="F1902" s="1">
        <v>1866743.0</v>
      </c>
      <c r="G1902" s="1">
        <v>71512.0</v>
      </c>
      <c r="H1902" s="1">
        <v>3048.0</v>
      </c>
      <c r="I1902" s="1">
        <v>3940000.0</v>
      </c>
      <c r="J1902" s="1" t="s">
        <v>2468</v>
      </c>
      <c r="K1902" s="5">
        <f t="shared" si="2"/>
        <v>0.4737926396</v>
      </c>
      <c r="L1902" s="6">
        <f t="shared" si="3"/>
        <v>3052</v>
      </c>
      <c r="M1902" s="6">
        <f t="shared" si="4"/>
        <v>611.645806</v>
      </c>
      <c r="N1902" s="7">
        <f t="shared" si="5"/>
        <v>0.0001552400523</v>
      </c>
      <c r="O1902" s="7"/>
      <c r="P1902" s="4">
        <f t="shared" si="6"/>
        <v>-0.3401805265</v>
      </c>
      <c r="Q1902" s="4">
        <f t="shared" si="7"/>
        <v>7</v>
      </c>
      <c r="R1902" s="4">
        <f t="shared" si="8"/>
        <v>0</v>
      </c>
      <c r="S1902" s="4">
        <f t="shared" si="9"/>
        <v>-0.3401805265</v>
      </c>
      <c r="T1902" s="4">
        <f t="shared" si="10"/>
        <v>34</v>
      </c>
      <c r="U1902" s="4">
        <f t="shared" si="1"/>
        <v>-0.3401805265</v>
      </c>
      <c r="V1902" s="4"/>
    </row>
    <row r="1903">
      <c r="A1903" s="1" t="s">
        <v>19533</v>
      </c>
      <c r="B1903" s="1" t="s">
        <v>19534</v>
      </c>
      <c r="C1903" s="1" t="s">
        <v>19535</v>
      </c>
      <c r="D1903" s="1" t="s">
        <v>19352</v>
      </c>
      <c r="E1903" s="1" t="s">
        <v>19353</v>
      </c>
      <c r="F1903" s="1">
        <v>642751.0</v>
      </c>
      <c r="G1903" s="1">
        <v>34445.0</v>
      </c>
      <c r="H1903" s="1">
        <v>1603.0</v>
      </c>
      <c r="I1903" s="1">
        <v>3940000.0</v>
      </c>
      <c r="J1903" s="1" t="s">
        <v>2468</v>
      </c>
      <c r="K1903" s="5">
        <f t="shared" si="2"/>
        <v>0.1631347716</v>
      </c>
      <c r="L1903" s="6">
        <f t="shared" si="3"/>
        <v>3136</v>
      </c>
      <c r="M1903" s="6">
        <f t="shared" si="4"/>
        <v>204.9588648</v>
      </c>
      <c r="N1903" s="7">
        <f t="shared" si="5"/>
        <v>0.00005202001645</v>
      </c>
      <c r="O1903" s="7"/>
      <c r="P1903" s="4">
        <f t="shared" si="6"/>
        <v>-0.4128849447</v>
      </c>
      <c r="Q1903" s="4">
        <f t="shared" si="7"/>
        <v>4</v>
      </c>
      <c r="R1903" s="4">
        <f t="shared" si="8"/>
        <v>0</v>
      </c>
      <c r="S1903" s="4">
        <f t="shared" si="9"/>
        <v>-0.4128849447</v>
      </c>
      <c r="T1903" s="4">
        <f t="shared" si="10"/>
        <v>18</v>
      </c>
      <c r="U1903" s="4">
        <f t="shared" si="1"/>
        <v>-0.4128849447</v>
      </c>
      <c r="V1903" s="4"/>
    </row>
    <row r="1904">
      <c r="A1904" s="1" t="s">
        <v>19536</v>
      </c>
      <c r="B1904" s="1" t="s">
        <v>19537</v>
      </c>
      <c r="C1904" s="1" t="s">
        <v>19538</v>
      </c>
      <c r="D1904" s="1" t="s">
        <v>19352</v>
      </c>
      <c r="E1904" s="1" t="s">
        <v>19353</v>
      </c>
      <c r="F1904" s="1">
        <v>1386983.0</v>
      </c>
      <c r="G1904" s="1">
        <v>82137.0</v>
      </c>
      <c r="H1904" s="1">
        <v>5829.0</v>
      </c>
      <c r="I1904" s="1">
        <v>3940000.0</v>
      </c>
      <c r="J1904" s="1" t="s">
        <v>2468</v>
      </c>
      <c r="K1904" s="5">
        <f t="shared" si="2"/>
        <v>0.3520261421</v>
      </c>
      <c r="L1904" s="6">
        <f t="shared" si="3"/>
        <v>3184</v>
      </c>
      <c r="M1904" s="6">
        <f t="shared" si="4"/>
        <v>435.6102387</v>
      </c>
      <c r="N1904" s="7">
        <f t="shared" si="5"/>
        <v>0.0001105609743</v>
      </c>
      <c r="O1904" s="7"/>
      <c r="P1904" s="4">
        <f t="shared" si="6"/>
        <v>-0.371650835</v>
      </c>
      <c r="Q1904" s="4">
        <f t="shared" si="7"/>
        <v>5</v>
      </c>
      <c r="R1904" s="4">
        <f t="shared" si="8"/>
        <v>1</v>
      </c>
      <c r="S1904" s="4">
        <f t="shared" si="9"/>
        <v>-0.371650835</v>
      </c>
      <c r="T1904" s="4">
        <f t="shared" si="10"/>
        <v>19</v>
      </c>
      <c r="U1904" s="4">
        <f t="shared" si="1"/>
        <v>-0.371650835</v>
      </c>
      <c r="V1904" s="4"/>
    </row>
    <row r="1905">
      <c r="A1905" s="1" t="s">
        <v>19539</v>
      </c>
      <c r="B1905" s="1" t="s">
        <v>19540</v>
      </c>
      <c r="C1905" s="1" t="s">
        <v>19541</v>
      </c>
      <c r="D1905" s="1" t="s">
        <v>19352</v>
      </c>
      <c r="E1905" s="1" t="s">
        <v>19353</v>
      </c>
      <c r="F1905" s="1">
        <v>1145714.0</v>
      </c>
      <c r="G1905" s="1">
        <v>65688.0</v>
      </c>
      <c r="H1905" s="1">
        <v>2980.0</v>
      </c>
      <c r="I1905" s="1">
        <v>3940000.0</v>
      </c>
      <c r="J1905" s="1" t="s">
        <v>2468</v>
      </c>
      <c r="K1905" s="5">
        <f t="shared" si="2"/>
        <v>0.2907903553</v>
      </c>
      <c r="L1905" s="6">
        <f t="shared" si="3"/>
        <v>3254</v>
      </c>
      <c r="M1905" s="6">
        <f t="shared" si="4"/>
        <v>352.0940381</v>
      </c>
      <c r="N1905" s="7">
        <f t="shared" si="5"/>
        <v>0.00008936396906</v>
      </c>
      <c r="O1905" s="7"/>
      <c r="P1905" s="4">
        <f t="shared" si="6"/>
        <v>-0.3865812302</v>
      </c>
      <c r="Q1905" s="4">
        <f t="shared" si="7"/>
        <v>7</v>
      </c>
      <c r="R1905" s="4">
        <f t="shared" si="8"/>
        <v>0</v>
      </c>
      <c r="S1905" s="4">
        <f t="shared" si="9"/>
        <v>-0.3865812302</v>
      </c>
      <c r="T1905" s="4">
        <f t="shared" si="10"/>
        <v>25</v>
      </c>
      <c r="U1905" s="4">
        <f t="shared" si="1"/>
        <v>-0.3865812302</v>
      </c>
      <c r="V1905" s="4"/>
    </row>
    <row r="1906">
      <c r="A1906" s="1" t="s">
        <v>19542</v>
      </c>
      <c r="B1906" s="1" t="s">
        <v>19543</v>
      </c>
      <c r="C1906" s="1" t="s">
        <v>19544</v>
      </c>
      <c r="D1906" s="1" t="s">
        <v>19352</v>
      </c>
      <c r="E1906" s="1" t="s">
        <v>19353</v>
      </c>
      <c r="F1906" s="1">
        <v>4132926.0</v>
      </c>
      <c r="G1906" s="1">
        <v>150714.0</v>
      </c>
      <c r="H1906" s="1">
        <v>12122.0</v>
      </c>
      <c r="I1906" s="1">
        <v>3940000.0</v>
      </c>
      <c r="J1906" s="1" t="s">
        <v>2468</v>
      </c>
      <c r="K1906" s="5">
        <f t="shared" si="2"/>
        <v>1.04896599</v>
      </c>
      <c r="L1906" s="6">
        <f t="shared" si="3"/>
        <v>3269</v>
      </c>
      <c r="M1906" s="6">
        <f t="shared" si="4"/>
        <v>1264.278373</v>
      </c>
      <c r="N1906" s="7">
        <f t="shared" si="5"/>
        <v>0.0003208828357</v>
      </c>
      <c r="O1906" s="7"/>
      <c r="P1906" s="4">
        <f t="shared" si="6"/>
        <v>-0.223507808</v>
      </c>
      <c r="Q1906" s="4">
        <f t="shared" si="7"/>
        <v>5</v>
      </c>
      <c r="R1906" s="4">
        <f t="shared" si="8"/>
        <v>1</v>
      </c>
      <c r="S1906" s="4">
        <f t="shared" si="9"/>
        <v>-0.223507808</v>
      </c>
      <c r="T1906" s="4">
        <f t="shared" si="10"/>
        <v>19</v>
      </c>
      <c r="U1906" s="4">
        <f t="shared" si="1"/>
        <v>-0.223507808</v>
      </c>
      <c r="V1906" s="4"/>
    </row>
    <row r="1907">
      <c r="A1907" s="1" t="s">
        <v>19545</v>
      </c>
      <c r="B1907" s="1" t="s">
        <v>19546</v>
      </c>
      <c r="C1907" s="1" t="s">
        <v>19547</v>
      </c>
      <c r="D1907" s="1" t="s">
        <v>19352</v>
      </c>
      <c r="E1907" s="1" t="s">
        <v>19353</v>
      </c>
      <c r="F1907" s="1">
        <v>2414214.0</v>
      </c>
      <c r="G1907" s="1">
        <v>118444.0</v>
      </c>
      <c r="H1907" s="1">
        <v>8140.0</v>
      </c>
      <c r="I1907" s="1">
        <v>3940000.0</v>
      </c>
      <c r="J1907" s="1" t="s">
        <v>2468</v>
      </c>
      <c r="K1907" s="5">
        <f t="shared" si="2"/>
        <v>0.6127446701</v>
      </c>
      <c r="L1907" s="6">
        <f t="shared" si="3"/>
        <v>3374</v>
      </c>
      <c r="M1907" s="6">
        <f t="shared" si="4"/>
        <v>715.5346769</v>
      </c>
      <c r="N1907" s="7">
        <f t="shared" si="5"/>
        <v>0.000181607786</v>
      </c>
      <c r="O1907" s="7"/>
      <c r="P1907" s="4">
        <f t="shared" si="6"/>
        <v>-0.3216080592</v>
      </c>
      <c r="Q1907" s="4">
        <f t="shared" si="7"/>
        <v>4</v>
      </c>
      <c r="R1907" s="4">
        <f t="shared" si="8"/>
        <v>0</v>
      </c>
      <c r="S1907" s="4">
        <f t="shared" si="9"/>
        <v>-0.3216080592</v>
      </c>
      <c r="T1907" s="4">
        <f t="shared" si="10"/>
        <v>17</v>
      </c>
      <c r="U1907" s="4">
        <f t="shared" si="1"/>
        <v>-0.3216080592</v>
      </c>
      <c r="V1907" s="4"/>
    </row>
    <row r="1908">
      <c r="A1908" s="1" t="s">
        <v>19548</v>
      </c>
      <c r="B1908" s="1" t="s">
        <v>19549</v>
      </c>
      <c r="C1908" s="1" t="s">
        <v>19550</v>
      </c>
      <c r="D1908" s="1" t="s">
        <v>19352</v>
      </c>
      <c r="E1908" s="1" t="s">
        <v>19353</v>
      </c>
      <c r="F1908" s="1">
        <v>4678054.0</v>
      </c>
      <c r="G1908" s="1">
        <v>152024.0</v>
      </c>
      <c r="H1908" s="1">
        <v>9544.0</v>
      </c>
      <c r="I1908" s="1">
        <v>3940000.0</v>
      </c>
      <c r="J1908" s="1" t="s">
        <v>2468</v>
      </c>
      <c r="K1908" s="5">
        <f t="shared" si="2"/>
        <v>1.18732335</v>
      </c>
      <c r="L1908" s="6">
        <f t="shared" si="3"/>
        <v>3467</v>
      </c>
      <c r="M1908" s="6">
        <f t="shared" si="4"/>
        <v>1349.308913</v>
      </c>
      <c r="N1908" s="7">
        <f t="shared" si="5"/>
        <v>0.000342464191</v>
      </c>
      <c r="O1908" s="7"/>
      <c r="P1908" s="4">
        <f t="shared" si="6"/>
        <v>-0.2083066906</v>
      </c>
      <c r="Q1908" s="4">
        <f t="shared" si="7"/>
        <v>5</v>
      </c>
      <c r="R1908" s="4">
        <f t="shared" si="8"/>
        <v>0</v>
      </c>
      <c r="S1908" s="4">
        <f t="shared" si="9"/>
        <v>-0.2083066906</v>
      </c>
      <c r="T1908" s="4">
        <f t="shared" si="10"/>
        <v>23</v>
      </c>
      <c r="U1908" s="4">
        <f t="shared" si="1"/>
        <v>-0.2083066906</v>
      </c>
      <c r="V1908" s="4"/>
    </row>
    <row r="1909">
      <c r="A1909" s="1" t="s">
        <v>19551</v>
      </c>
      <c r="B1909" s="1" t="s">
        <v>19552</v>
      </c>
      <c r="C1909" s="1" t="s">
        <v>19553</v>
      </c>
      <c r="D1909" s="1" t="s">
        <v>19352</v>
      </c>
      <c r="E1909" s="1" t="s">
        <v>19353</v>
      </c>
      <c r="F1909" s="1">
        <v>2481457.0</v>
      </c>
      <c r="G1909" s="1">
        <v>107963.0</v>
      </c>
      <c r="H1909" s="1">
        <v>7190.0</v>
      </c>
      <c r="I1909" s="1">
        <v>3940000.0</v>
      </c>
      <c r="J1909" s="1" t="s">
        <v>2468</v>
      </c>
      <c r="K1909" s="5">
        <f t="shared" si="2"/>
        <v>0.6298114213</v>
      </c>
      <c r="L1909" s="6">
        <f t="shared" si="3"/>
        <v>3490</v>
      </c>
      <c r="M1909" s="6">
        <f t="shared" si="4"/>
        <v>711.0191977</v>
      </c>
      <c r="N1909" s="7">
        <f t="shared" si="5"/>
        <v>0.0001804617253</v>
      </c>
      <c r="O1909" s="7"/>
      <c r="P1909" s="4">
        <f t="shared" si="6"/>
        <v>-0.3224153025</v>
      </c>
      <c r="Q1909" s="4">
        <f t="shared" si="7"/>
        <v>4</v>
      </c>
      <c r="R1909" s="4">
        <f t="shared" si="8"/>
        <v>1</v>
      </c>
      <c r="S1909" s="4">
        <f t="shared" si="9"/>
        <v>-0.3224153025</v>
      </c>
      <c r="T1909" s="4">
        <f t="shared" si="10"/>
        <v>11</v>
      </c>
      <c r="U1909" s="4">
        <f t="shared" si="1"/>
        <v>-0.3224153025</v>
      </c>
      <c r="V1909" s="4"/>
    </row>
    <row r="1910">
      <c r="A1910" s="1" t="s">
        <v>19554</v>
      </c>
      <c r="B1910" s="1" t="s">
        <v>19555</v>
      </c>
      <c r="C1910" s="1" t="s">
        <v>19556</v>
      </c>
      <c r="D1910" s="1" t="s">
        <v>19352</v>
      </c>
      <c r="E1910" s="1" t="s">
        <v>19353</v>
      </c>
      <c r="F1910" s="1">
        <v>1223154.0</v>
      </c>
      <c r="G1910" s="1">
        <v>31247.0</v>
      </c>
      <c r="H1910" s="1">
        <v>791.0</v>
      </c>
      <c r="I1910" s="1">
        <v>3940000.0</v>
      </c>
      <c r="J1910" s="1" t="s">
        <v>2468</v>
      </c>
      <c r="K1910" s="5">
        <f t="shared" si="2"/>
        <v>0.3104451777</v>
      </c>
      <c r="L1910" s="6">
        <f t="shared" si="3"/>
        <v>3515</v>
      </c>
      <c r="M1910" s="6">
        <f t="shared" si="4"/>
        <v>347.9812233</v>
      </c>
      <c r="N1910" s="7">
        <f t="shared" si="5"/>
        <v>0.00008832010744</v>
      </c>
      <c r="O1910" s="7"/>
      <c r="P1910" s="4">
        <f t="shared" si="6"/>
        <v>-0.3873164882</v>
      </c>
      <c r="Q1910" s="4">
        <f t="shared" si="7"/>
        <v>3</v>
      </c>
      <c r="R1910" s="4">
        <f t="shared" si="8"/>
        <v>0</v>
      </c>
      <c r="S1910" s="4">
        <f t="shared" si="9"/>
        <v>-0.3873164882</v>
      </c>
      <c r="T1910" s="4">
        <f t="shared" si="10"/>
        <v>15</v>
      </c>
      <c r="U1910" s="4">
        <f t="shared" si="1"/>
        <v>-0.3873164882</v>
      </c>
      <c r="V1910" s="4"/>
    </row>
    <row r="1911">
      <c r="A1911" s="1" t="s">
        <v>19557</v>
      </c>
      <c r="B1911" s="1" t="s">
        <v>19558</v>
      </c>
      <c r="C1911" s="1" t="s">
        <v>19559</v>
      </c>
      <c r="D1911" s="1" t="s">
        <v>19352</v>
      </c>
      <c r="E1911" s="1" t="s">
        <v>19353</v>
      </c>
      <c r="F1911" s="1">
        <v>3679877.0</v>
      </c>
      <c r="G1911" s="1">
        <v>97282.0</v>
      </c>
      <c r="H1911" s="1">
        <v>14592.0</v>
      </c>
      <c r="I1911" s="1">
        <v>3940000.0</v>
      </c>
      <c r="J1911" s="1" t="s">
        <v>2468</v>
      </c>
      <c r="K1911" s="5">
        <f t="shared" si="2"/>
        <v>0.933978934</v>
      </c>
      <c r="L1911" s="6">
        <f t="shared" si="3"/>
        <v>3535</v>
      </c>
      <c r="M1911" s="6">
        <f t="shared" si="4"/>
        <v>1040.983593</v>
      </c>
      <c r="N1911" s="7">
        <f t="shared" si="5"/>
        <v>0.0002642090337</v>
      </c>
      <c r="O1911" s="7"/>
      <c r="P1911" s="4">
        <f t="shared" si="6"/>
        <v>-0.2634267614</v>
      </c>
      <c r="Q1911" s="4">
        <f t="shared" si="7"/>
        <v>1</v>
      </c>
      <c r="R1911" s="4">
        <f t="shared" si="8"/>
        <v>0</v>
      </c>
      <c r="S1911" s="4">
        <f t="shared" si="9"/>
        <v>-0.2634267614</v>
      </c>
      <c r="T1911" s="4">
        <f t="shared" si="10"/>
        <v>1</v>
      </c>
      <c r="U1911" s="4">
        <f t="shared" si="1"/>
        <v>-0.2634267614</v>
      </c>
      <c r="V1911" s="4"/>
    </row>
    <row r="1912">
      <c r="A1912" s="1" t="s">
        <v>19560</v>
      </c>
      <c r="B1912" s="1" t="s">
        <v>19561</v>
      </c>
      <c r="C1912" s="1" t="s">
        <v>19562</v>
      </c>
      <c r="D1912" s="1" t="s">
        <v>19352</v>
      </c>
      <c r="E1912" s="1" t="s">
        <v>19353</v>
      </c>
      <c r="F1912" s="1">
        <v>2.0945028E7</v>
      </c>
      <c r="G1912" s="1">
        <v>327445.0</v>
      </c>
      <c r="H1912" s="1">
        <v>13786.0</v>
      </c>
      <c r="I1912" s="1">
        <v>3940000.0</v>
      </c>
      <c r="J1912" s="1" t="s">
        <v>2468</v>
      </c>
      <c r="K1912" s="5">
        <f t="shared" si="2"/>
        <v>5.315996954</v>
      </c>
      <c r="L1912" s="6">
        <f t="shared" si="3"/>
        <v>3549</v>
      </c>
      <c r="M1912" s="6">
        <f t="shared" si="4"/>
        <v>5901.67033</v>
      </c>
      <c r="N1912" s="7">
        <f t="shared" si="5"/>
        <v>0.00149788587</v>
      </c>
      <c r="O1912" s="7"/>
      <c r="P1912" s="4">
        <f t="shared" si="6"/>
        <v>0.6055300829</v>
      </c>
      <c r="Q1912" s="4">
        <f t="shared" si="7"/>
        <v>5</v>
      </c>
      <c r="R1912" s="4">
        <f t="shared" si="8"/>
        <v>1</v>
      </c>
      <c r="S1912" s="4">
        <f t="shared" si="9"/>
        <v>0.6055300829</v>
      </c>
      <c r="T1912" s="4">
        <f t="shared" si="10"/>
        <v>24</v>
      </c>
      <c r="U1912" s="4">
        <f t="shared" si="1"/>
        <v>0.6055300829</v>
      </c>
      <c r="V1912" s="4"/>
    </row>
    <row r="1913">
      <c r="A1913" s="1" t="s">
        <v>19563</v>
      </c>
      <c r="B1913" s="1" t="s">
        <v>19564</v>
      </c>
      <c r="C1913" s="1" t="s">
        <v>19565</v>
      </c>
      <c r="D1913" s="1" t="s">
        <v>19352</v>
      </c>
      <c r="E1913" s="1" t="s">
        <v>19353</v>
      </c>
      <c r="F1913" s="1">
        <v>1887260.0</v>
      </c>
      <c r="G1913" s="1">
        <v>50174.0</v>
      </c>
      <c r="H1913" s="1">
        <v>3004.0</v>
      </c>
      <c r="I1913" s="1">
        <v>3940000.0</v>
      </c>
      <c r="J1913" s="1" t="s">
        <v>2468</v>
      </c>
      <c r="K1913" s="5">
        <f t="shared" si="2"/>
        <v>0.479</v>
      </c>
      <c r="L1913" s="6">
        <f t="shared" si="3"/>
        <v>3576</v>
      </c>
      <c r="M1913" s="6">
        <f t="shared" si="4"/>
        <v>527.7572707</v>
      </c>
      <c r="N1913" s="7">
        <f t="shared" si="5"/>
        <v>0.0001339485459</v>
      </c>
      <c r="O1913" s="7"/>
      <c r="P1913" s="4">
        <f t="shared" si="6"/>
        <v>-0.3551774849</v>
      </c>
      <c r="Q1913" s="4">
        <f t="shared" si="7"/>
        <v>5</v>
      </c>
      <c r="R1913" s="4">
        <f t="shared" si="8"/>
        <v>1</v>
      </c>
      <c r="S1913" s="4">
        <f t="shared" si="9"/>
        <v>-0.3551774849</v>
      </c>
      <c r="T1913" s="4">
        <f t="shared" si="10"/>
        <v>25</v>
      </c>
      <c r="U1913" s="4">
        <f t="shared" si="1"/>
        <v>-0.3551774849</v>
      </c>
      <c r="V1913" s="4"/>
    </row>
    <row r="1914">
      <c r="A1914" s="1" t="s">
        <v>19566</v>
      </c>
      <c r="B1914" s="1" t="s">
        <v>19567</v>
      </c>
      <c r="C1914" s="1" t="s">
        <v>19568</v>
      </c>
      <c r="D1914" s="1" t="s">
        <v>19352</v>
      </c>
      <c r="E1914" s="1" t="s">
        <v>19353</v>
      </c>
      <c r="F1914" s="1">
        <v>3225726.0</v>
      </c>
      <c r="G1914" s="1">
        <v>102722.0</v>
      </c>
      <c r="H1914" s="1">
        <v>5280.0</v>
      </c>
      <c r="I1914" s="1">
        <v>3940000.0</v>
      </c>
      <c r="J1914" s="1" t="s">
        <v>2468</v>
      </c>
      <c r="K1914" s="5">
        <f t="shared" si="2"/>
        <v>0.8187121827</v>
      </c>
      <c r="L1914" s="6">
        <f t="shared" si="3"/>
        <v>3584</v>
      </c>
      <c r="M1914" s="6">
        <f t="shared" si="4"/>
        <v>900.0351563</v>
      </c>
      <c r="N1914" s="7">
        <f t="shared" si="5"/>
        <v>0.0002284353188</v>
      </c>
      <c r="O1914" s="7"/>
      <c r="P1914" s="4">
        <f t="shared" si="6"/>
        <v>-0.2886244577</v>
      </c>
      <c r="Q1914" s="4">
        <f t="shared" si="7"/>
        <v>2</v>
      </c>
      <c r="R1914" s="4">
        <f t="shared" si="8"/>
        <v>1</v>
      </c>
      <c r="S1914" s="4">
        <f t="shared" si="9"/>
        <v>-0.2886244577</v>
      </c>
      <c r="T1914" s="4">
        <f t="shared" si="10"/>
        <v>7</v>
      </c>
      <c r="U1914" s="4">
        <f t="shared" si="1"/>
        <v>-0.2886244577</v>
      </c>
      <c r="V1914" s="4"/>
    </row>
    <row r="1915">
      <c r="A1915" s="1" t="s">
        <v>19569</v>
      </c>
      <c r="B1915" s="1" t="s">
        <v>19570</v>
      </c>
      <c r="C1915" s="1" t="s">
        <v>19571</v>
      </c>
      <c r="D1915" s="1" t="s">
        <v>19352</v>
      </c>
      <c r="E1915" s="1" t="s">
        <v>19353</v>
      </c>
      <c r="F1915" s="1">
        <v>1795680.0</v>
      </c>
      <c r="G1915" s="1">
        <v>70715.0</v>
      </c>
      <c r="H1915" s="1">
        <v>4769.0</v>
      </c>
      <c r="I1915" s="1">
        <v>3940000.0</v>
      </c>
      <c r="J1915" s="1" t="s">
        <v>2468</v>
      </c>
      <c r="K1915" s="5">
        <f t="shared" si="2"/>
        <v>0.4557563452</v>
      </c>
      <c r="L1915" s="6">
        <f t="shared" si="3"/>
        <v>3620</v>
      </c>
      <c r="M1915" s="6">
        <f t="shared" si="4"/>
        <v>496.0441989</v>
      </c>
      <c r="N1915" s="7">
        <f t="shared" si="5"/>
        <v>0.0001258995429</v>
      </c>
      <c r="O1915" s="7"/>
      <c r="P1915" s="4">
        <f t="shared" si="6"/>
        <v>-0.3608469083</v>
      </c>
      <c r="Q1915" s="4">
        <f t="shared" si="7"/>
        <v>6</v>
      </c>
      <c r="R1915" s="4">
        <f t="shared" si="8"/>
        <v>0</v>
      </c>
      <c r="S1915" s="4">
        <f t="shared" si="9"/>
        <v>-0.3608469083</v>
      </c>
      <c r="T1915" s="4">
        <f t="shared" si="10"/>
        <v>34</v>
      </c>
      <c r="U1915" s="4">
        <f t="shared" si="1"/>
        <v>-0.3608469083</v>
      </c>
      <c r="V1915" s="4"/>
    </row>
    <row r="1916">
      <c r="A1916" s="1" t="s">
        <v>19572</v>
      </c>
      <c r="B1916" s="1" t="s">
        <v>19573</v>
      </c>
      <c r="C1916" s="1" t="s">
        <v>19574</v>
      </c>
      <c r="D1916" s="1" t="s">
        <v>19352</v>
      </c>
      <c r="E1916" s="1" t="s">
        <v>19353</v>
      </c>
      <c r="F1916" s="1">
        <v>649287.0</v>
      </c>
      <c r="G1916" s="1">
        <v>29117.0</v>
      </c>
      <c r="H1916" s="1">
        <v>2522.0</v>
      </c>
      <c r="I1916" s="1">
        <v>3940000.0</v>
      </c>
      <c r="J1916" s="1" t="s">
        <v>2468</v>
      </c>
      <c r="K1916" s="5">
        <f t="shared" si="2"/>
        <v>0.1647936548</v>
      </c>
      <c r="L1916" s="6">
        <f t="shared" si="3"/>
        <v>3652</v>
      </c>
      <c r="M1916" s="6">
        <f t="shared" si="4"/>
        <v>177.7894304</v>
      </c>
      <c r="N1916" s="7">
        <f t="shared" si="5"/>
        <v>0.00004512422093</v>
      </c>
      <c r="O1916" s="7"/>
      <c r="P1916" s="4">
        <f t="shared" si="6"/>
        <v>-0.4177420908</v>
      </c>
      <c r="Q1916" s="4">
        <f t="shared" si="7"/>
        <v>1</v>
      </c>
      <c r="R1916" s="4">
        <f t="shared" si="8"/>
        <v>0</v>
      </c>
      <c r="S1916" s="4">
        <f t="shared" si="9"/>
        <v>-0.4177420908</v>
      </c>
      <c r="T1916" s="4">
        <f t="shared" si="10"/>
        <v>11</v>
      </c>
      <c r="U1916" s="4">
        <f t="shared" si="1"/>
        <v>-0.4177420908</v>
      </c>
      <c r="V1916" s="4"/>
    </row>
    <row r="1917">
      <c r="A1917" s="1" t="s">
        <v>19575</v>
      </c>
      <c r="B1917" s="1" t="s">
        <v>19576</v>
      </c>
      <c r="C1917" s="1" t="s">
        <v>19577</v>
      </c>
      <c r="D1917" s="1" t="s">
        <v>19352</v>
      </c>
      <c r="E1917" s="1" t="s">
        <v>19353</v>
      </c>
      <c r="F1917" s="1">
        <v>2006850.0</v>
      </c>
      <c r="G1917" s="1">
        <v>89259.0</v>
      </c>
      <c r="H1917" s="1">
        <v>7191.0</v>
      </c>
      <c r="I1917" s="1">
        <v>3940000.0</v>
      </c>
      <c r="J1917" s="1" t="s">
        <v>2468</v>
      </c>
      <c r="K1917" s="5">
        <f t="shared" si="2"/>
        <v>0.5093527919</v>
      </c>
      <c r="L1917" s="6">
        <f t="shared" si="3"/>
        <v>3661</v>
      </c>
      <c r="M1917" s="6">
        <f t="shared" si="4"/>
        <v>548.1698989</v>
      </c>
      <c r="N1917" s="7">
        <f t="shared" si="5"/>
        <v>0.000139129416</v>
      </c>
      <c r="O1917" s="7"/>
      <c r="P1917" s="4">
        <f t="shared" si="6"/>
        <v>-0.3515282695</v>
      </c>
      <c r="Q1917" s="4">
        <f t="shared" si="7"/>
        <v>6</v>
      </c>
      <c r="R1917" s="4">
        <f t="shared" si="8"/>
        <v>0</v>
      </c>
      <c r="S1917" s="4">
        <f t="shared" si="9"/>
        <v>-0.3515282695</v>
      </c>
      <c r="T1917" s="4">
        <f t="shared" si="10"/>
        <v>39</v>
      </c>
      <c r="U1917" s="4">
        <f t="shared" si="1"/>
        <v>-0.3515282695</v>
      </c>
      <c r="V1917" s="4"/>
    </row>
    <row r="1918">
      <c r="A1918" s="1" t="s">
        <v>19578</v>
      </c>
      <c r="B1918" s="1" t="s">
        <v>19579</v>
      </c>
      <c r="C1918" s="1" t="s">
        <v>19580</v>
      </c>
      <c r="D1918" s="1" t="s">
        <v>19352</v>
      </c>
      <c r="E1918" s="1" t="s">
        <v>19353</v>
      </c>
      <c r="F1918" s="1">
        <v>2542060.0</v>
      </c>
      <c r="G1918" s="1">
        <v>69300.0</v>
      </c>
      <c r="H1918" s="1">
        <v>4531.0</v>
      </c>
      <c r="I1918" s="1">
        <v>3940000.0</v>
      </c>
      <c r="J1918" s="1" t="s">
        <v>2468</v>
      </c>
      <c r="K1918" s="5">
        <f t="shared" si="2"/>
        <v>0.6451928934</v>
      </c>
      <c r="L1918" s="6">
        <f t="shared" si="3"/>
        <v>3714</v>
      </c>
      <c r="M1918" s="6">
        <f t="shared" si="4"/>
        <v>684.4534195</v>
      </c>
      <c r="N1918" s="7">
        <f t="shared" si="5"/>
        <v>0.000173719142</v>
      </c>
      <c r="O1918" s="7"/>
      <c r="P1918" s="4">
        <f t="shared" si="6"/>
        <v>-0.3271645316</v>
      </c>
      <c r="Q1918" s="4">
        <f t="shared" si="7"/>
        <v>6</v>
      </c>
      <c r="R1918" s="4">
        <f t="shared" si="8"/>
        <v>1</v>
      </c>
      <c r="S1918" s="4">
        <f t="shared" si="9"/>
        <v>-0.3271645316</v>
      </c>
      <c r="T1918" s="4">
        <f t="shared" si="10"/>
        <v>19</v>
      </c>
      <c r="U1918" s="4">
        <f t="shared" si="1"/>
        <v>-0.3271645316</v>
      </c>
      <c r="V1918" s="4"/>
    </row>
    <row r="1919">
      <c r="A1919" s="1" t="s">
        <v>19581</v>
      </c>
      <c r="B1919" s="1" t="s">
        <v>19582</v>
      </c>
      <c r="C1919" s="1" t="s">
        <v>19583</v>
      </c>
      <c r="D1919" s="1" t="s">
        <v>19352</v>
      </c>
      <c r="E1919" s="1" t="s">
        <v>19353</v>
      </c>
      <c r="F1919" s="1">
        <v>3070883.0</v>
      </c>
      <c r="G1919" s="1">
        <v>121411.0</v>
      </c>
      <c r="H1919" s="1">
        <v>9219.0</v>
      </c>
      <c r="I1919" s="1">
        <v>3940000.0</v>
      </c>
      <c r="J1919" s="1" t="s">
        <v>2468</v>
      </c>
      <c r="K1919" s="5">
        <f t="shared" si="2"/>
        <v>0.7794119289</v>
      </c>
      <c r="L1919" s="6">
        <f t="shared" si="3"/>
        <v>3752</v>
      </c>
      <c r="M1919" s="6">
        <f t="shared" si="4"/>
        <v>818.4656183</v>
      </c>
      <c r="N1919" s="7">
        <f t="shared" si="5"/>
        <v>0.0002077323904</v>
      </c>
      <c r="O1919" s="7"/>
      <c r="P1919" s="4">
        <f t="shared" si="6"/>
        <v>-0.3032068433</v>
      </c>
      <c r="Q1919" s="4">
        <f t="shared" si="7"/>
        <v>5</v>
      </c>
      <c r="R1919" s="4">
        <f t="shared" si="8"/>
        <v>1</v>
      </c>
      <c r="S1919" s="4">
        <f t="shared" si="9"/>
        <v>-0.3032068433</v>
      </c>
      <c r="T1919" s="4">
        <f t="shared" si="10"/>
        <v>19</v>
      </c>
      <c r="U1919" s="4">
        <f t="shared" si="1"/>
        <v>-0.3032068433</v>
      </c>
      <c r="V1919" s="4"/>
    </row>
    <row r="1920">
      <c r="A1920" s="1" t="s">
        <v>19584</v>
      </c>
      <c r="B1920" s="1" t="s">
        <v>19585</v>
      </c>
      <c r="C1920" s="1" t="s">
        <v>19586</v>
      </c>
      <c r="D1920" s="1" t="s">
        <v>19352</v>
      </c>
      <c r="E1920" s="1" t="s">
        <v>19353</v>
      </c>
      <c r="F1920" s="1">
        <v>2237785.0</v>
      </c>
      <c r="G1920" s="1">
        <v>63576.0</v>
      </c>
      <c r="H1920" s="1">
        <v>3921.0</v>
      </c>
      <c r="I1920" s="1">
        <v>3940000.0</v>
      </c>
      <c r="J1920" s="1" t="s">
        <v>2468</v>
      </c>
      <c r="K1920" s="5">
        <f t="shared" si="2"/>
        <v>0.567965736</v>
      </c>
      <c r="L1920" s="6">
        <f t="shared" si="3"/>
        <v>3766</v>
      </c>
      <c r="M1920" s="6">
        <f t="shared" si="4"/>
        <v>594.2073818</v>
      </c>
      <c r="N1920" s="7">
        <f t="shared" si="5"/>
        <v>0.0001508140563</v>
      </c>
      <c r="O1920" s="7"/>
      <c r="P1920" s="4">
        <f t="shared" si="6"/>
        <v>-0.3432980362</v>
      </c>
      <c r="Q1920" s="4">
        <f t="shared" si="7"/>
        <v>7</v>
      </c>
      <c r="R1920" s="4">
        <f t="shared" si="8"/>
        <v>1</v>
      </c>
      <c r="S1920" s="4">
        <f t="shared" si="9"/>
        <v>-0.3432980362</v>
      </c>
      <c r="T1920" s="4">
        <f t="shared" si="10"/>
        <v>34</v>
      </c>
      <c r="U1920" s="4">
        <f t="shared" si="1"/>
        <v>-0.3432980362</v>
      </c>
      <c r="V1920" s="4"/>
    </row>
    <row r="1921">
      <c r="A1921" s="1" t="s">
        <v>19587</v>
      </c>
      <c r="B1921" s="1" t="s">
        <v>19588</v>
      </c>
      <c r="C1921" s="1" t="s">
        <v>19589</v>
      </c>
      <c r="D1921" s="1" t="s">
        <v>19352</v>
      </c>
      <c r="E1921" s="1" t="s">
        <v>19353</v>
      </c>
      <c r="F1921" s="1">
        <v>2053882.0</v>
      </c>
      <c r="G1921" s="1">
        <v>81950.0</v>
      </c>
      <c r="H1921" s="1">
        <v>5232.0</v>
      </c>
      <c r="I1921" s="1">
        <v>3940000.0</v>
      </c>
      <c r="J1921" s="1" t="s">
        <v>2468</v>
      </c>
      <c r="K1921" s="5">
        <f t="shared" si="2"/>
        <v>0.5212898477</v>
      </c>
      <c r="L1921" s="6">
        <f t="shared" si="3"/>
        <v>3786</v>
      </c>
      <c r="M1921" s="6">
        <f t="shared" si="4"/>
        <v>542.493925</v>
      </c>
      <c r="N1921" s="7">
        <f t="shared" si="5"/>
        <v>0.0001376888134</v>
      </c>
      <c r="O1921" s="7"/>
      <c r="P1921" s="4">
        <f t="shared" si="6"/>
        <v>-0.3525429772</v>
      </c>
      <c r="Q1921" s="4">
        <f t="shared" si="7"/>
        <v>4</v>
      </c>
      <c r="R1921" s="4">
        <f t="shared" si="8"/>
        <v>1</v>
      </c>
      <c r="S1921" s="4">
        <f t="shared" si="9"/>
        <v>-0.3525429772</v>
      </c>
      <c r="T1921" s="4">
        <f t="shared" si="10"/>
        <v>13</v>
      </c>
      <c r="U1921" s="4">
        <f t="shared" si="1"/>
        <v>-0.3525429772</v>
      </c>
      <c r="V1921" s="4"/>
    </row>
    <row r="1922">
      <c r="A1922" s="1" t="s">
        <v>19590</v>
      </c>
      <c r="B1922" s="1" t="s">
        <v>19591</v>
      </c>
      <c r="C1922" s="1" t="s">
        <v>19592</v>
      </c>
      <c r="D1922" s="1" t="s">
        <v>19352</v>
      </c>
      <c r="E1922" s="1" t="s">
        <v>19353</v>
      </c>
      <c r="F1922" s="1">
        <v>6221796.0</v>
      </c>
      <c r="G1922" s="1">
        <v>196870.0</v>
      </c>
      <c r="H1922" s="1">
        <v>20210.0</v>
      </c>
      <c r="I1922" s="1">
        <v>3940000.0</v>
      </c>
      <c r="J1922" s="1" t="s">
        <v>2468</v>
      </c>
      <c r="K1922" s="5">
        <f t="shared" si="2"/>
        <v>1.579136041</v>
      </c>
      <c r="L1922" s="6">
        <f t="shared" si="3"/>
        <v>3831</v>
      </c>
      <c r="M1922" s="6">
        <f t="shared" si="4"/>
        <v>1624.065779</v>
      </c>
      <c r="N1922" s="7">
        <f t="shared" si="5"/>
        <v>0.0004121994363</v>
      </c>
      <c r="O1922" s="7"/>
      <c r="P1922" s="4">
        <f t="shared" si="6"/>
        <v>-0.1591877342</v>
      </c>
      <c r="Q1922" s="4">
        <f t="shared" si="7"/>
        <v>3</v>
      </c>
      <c r="R1922" s="4">
        <f t="shared" si="8"/>
        <v>0</v>
      </c>
      <c r="S1922" s="4">
        <f t="shared" si="9"/>
        <v>-0.1591877342</v>
      </c>
      <c r="T1922" s="4">
        <f t="shared" si="10"/>
        <v>18</v>
      </c>
      <c r="U1922" s="4">
        <f t="shared" si="1"/>
        <v>-0.1591877342</v>
      </c>
      <c r="V1922" s="4"/>
    </row>
    <row r="1923">
      <c r="A1923" s="1" t="s">
        <v>19593</v>
      </c>
      <c r="B1923" s="1" t="s">
        <v>19594</v>
      </c>
      <c r="C1923" s="1" t="s">
        <v>19595</v>
      </c>
      <c r="D1923" s="1" t="s">
        <v>19352</v>
      </c>
      <c r="E1923" s="1" t="s">
        <v>19353</v>
      </c>
      <c r="F1923" s="1">
        <v>2509484.0</v>
      </c>
      <c r="G1923" s="1">
        <v>59422.0</v>
      </c>
      <c r="H1923" s="1">
        <v>3273.0</v>
      </c>
      <c r="I1923" s="1">
        <v>3940000.0</v>
      </c>
      <c r="J1923" s="1" t="s">
        <v>2468</v>
      </c>
      <c r="K1923" s="5">
        <f t="shared" si="2"/>
        <v>0.6369248731</v>
      </c>
      <c r="L1923" s="6">
        <f t="shared" si="3"/>
        <v>3925</v>
      </c>
      <c r="M1923" s="6">
        <f t="shared" si="4"/>
        <v>639.3589809</v>
      </c>
      <c r="N1923" s="7">
        <f t="shared" si="5"/>
        <v>0.000162273853</v>
      </c>
      <c r="O1923" s="7"/>
      <c r="P1923" s="4">
        <f t="shared" si="6"/>
        <v>-0.3352261745</v>
      </c>
      <c r="Q1923" s="4">
        <f t="shared" si="7"/>
        <v>5</v>
      </c>
      <c r="R1923" s="4">
        <f t="shared" si="8"/>
        <v>1</v>
      </c>
      <c r="S1923" s="4">
        <f t="shared" si="9"/>
        <v>-0.3352261745</v>
      </c>
      <c r="T1923" s="4">
        <f t="shared" si="10"/>
        <v>24</v>
      </c>
      <c r="U1923" s="4">
        <f t="shared" si="1"/>
        <v>-0.3352261745</v>
      </c>
      <c r="V1923" s="4"/>
    </row>
    <row r="1924">
      <c r="A1924" s="1" t="s">
        <v>19596</v>
      </c>
      <c r="B1924" s="1" t="s">
        <v>19597</v>
      </c>
      <c r="C1924" s="1" t="s">
        <v>19598</v>
      </c>
      <c r="D1924" s="1" t="s">
        <v>19352</v>
      </c>
      <c r="E1924" s="1" t="s">
        <v>19353</v>
      </c>
      <c r="F1924" s="1">
        <v>5252539.0</v>
      </c>
      <c r="G1924" s="1">
        <v>164247.0</v>
      </c>
      <c r="H1924" s="1">
        <v>14483.0</v>
      </c>
      <c r="I1924" s="1">
        <v>3940000.0</v>
      </c>
      <c r="J1924" s="1" t="s">
        <v>2468</v>
      </c>
      <c r="K1924" s="5">
        <f t="shared" si="2"/>
        <v>1.333131726</v>
      </c>
      <c r="L1924" s="6">
        <f t="shared" si="3"/>
        <v>3937</v>
      </c>
      <c r="M1924" s="6">
        <f t="shared" si="4"/>
        <v>1334.147574</v>
      </c>
      <c r="N1924" s="7">
        <f t="shared" si="5"/>
        <v>0.0003386161356</v>
      </c>
      <c r="O1924" s="7"/>
      <c r="P1924" s="4">
        <f t="shared" si="6"/>
        <v>-0.2110171201</v>
      </c>
      <c r="Q1924" s="4">
        <f t="shared" si="7"/>
        <v>5</v>
      </c>
      <c r="R1924" s="4">
        <f t="shared" si="8"/>
        <v>1</v>
      </c>
      <c r="S1924" s="4">
        <f t="shared" si="9"/>
        <v>-0.2110171201</v>
      </c>
      <c r="T1924" s="4">
        <f t="shared" si="10"/>
        <v>23</v>
      </c>
      <c r="U1924" s="4">
        <f t="shared" si="1"/>
        <v>-0.2110171201</v>
      </c>
      <c r="V1924" s="4"/>
    </row>
    <row r="1925">
      <c r="A1925" s="1" t="s">
        <v>19599</v>
      </c>
      <c r="B1925" s="1" t="s">
        <v>19600</v>
      </c>
      <c r="C1925" s="1" t="s">
        <v>19601</v>
      </c>
      <c r="D1925" s="1" t="s">
        <v>19352</v>
      </c>
      <c r="E1925" s="1" t="s">
        <v>19353</v>
      </c>
      <c r="F1925" s="1">
        <v>2005250.0</v>
      </c>
      <c r="G1925" s="1">
        <v>53273.0</v>
      </c>
      <c r="H1925" s="1">
        <v>2577.0</v>
      </c>
      <c r="I1925" s="1">
        <v>3940000.0</v>
      </c>
      <c r="J1925" s="1" t="s">
        <v>2468</v>
      </c>
      <c r="K1925" s="5">
        <f t="shared" si="2"/>
        <v>0.5089467005</v>
      </c>
      <c r="L1925" s="6">
        <f t="shared" si="3"/>
        <v>3945</v>
      </c>
      <c r="M1925" s="6">
        <f t="shared" si="4"/>
        <v>508.3016477</v>
      </c>
      <c r="N1925" s="7">
        <f t="shared" si="5"/>
        <v>0.0001290105705</v>
      </c>
      <c r="O1925" s="7"/>
      <c r="P1925" s="4">
        <f t="shared" si="6"/>
        <v>-0.3586556142</v>
      </c>
      <c r="Q1925" s="4">
        <f t="shared" si="7"/>
        <v>6</v>
      </c>
      <c r="R1925" s="4">
        <f t="shared" si="8"/>
        <v>1</v>
      </c>
      <c r="S1925" s="4">
        <f t="shared" si="9"/>
        <v>-0.3586556142</v>
      </c>
      <c r="T1925" s="4">
        <f t="shared" si="10"/>
        <v>20</v>
      </c>
      <c r="U1925" s="4">
        <f t="shared" si="1"/>
        <v>-0.3586556142</v>
      </c>
      <c r="V1925" s="4"/>
    </row>
    <row r="1926">
      <c r="A1926" s="1" t="s">
        <v>19602</v>
      </c>
      <c r="B1926" s="1" t="s">
        <v>19603</v>
      </c>
      <c r="C1926" s="1" t="s">
        <v>19604</v>
      </c>
      <c r="D1926" s="1" t="s">
        <v>19352</v>
      </c>
      <c r="E1926" s="1" t="s">
        <v>19353</v>
      </c>
      <c r="F1926" s="1">
        <v>1618727.0</v>
      </c>
      <c r="G1926" s="1">
        <v>24796.0</v>
      </c>
      <c r="H1926" s="1">
        <v>881.0</v>
      </c>
      <c r="I1926" s="1">
        <v>3940000.0</v>
      </c>
      <c r="J1926" s="1" t="s">
        <v>2468</v>
      </c>
      <c r="K1926" s="5">
        <f t="shared" si="2"/>
        <v>0.4108444162</v>
      </c>
      <c r="L1926" s="6">
        <f t="shared" si="3"/>
        <v>3971</v>
      </c>
      <c r="M1926" s="6">
        <f t="shared" si="4"/>
        <v>407.6371191</v>
      </c>
      <c r="N1926" s="7">
        <f t="shared" si="5"/>
        <v>0.0001034611977</v>
      </c>
      <c r="O1926" s="7"/>
      <c r="P1926" s="4">
        <f t="shared" si="6"/>
        <v>-0.3766516579</v>
      </c>
      <c r="Q1926" s="4">
        <f t="shared" si="7"/>
        <v>9</v>
      </c>
      <c r="R1926" s="4">
        <f t="shared" si="8"/>
        <v>0</v>
      </c>
      <c r="S1926" s="4">
        <f t="shared" si="9"/>
        <v>-0.3766516579</v>
      </c>
      <c r="T1926" s="4">
        <f t="shared" si="10"/>
        <v>37</v>
      </c>
      <c r="U1926" s="4">
        <f t="shared" si="1"/>
        <v>-0.3766516579</v>
      </c>
      <c r="V1926" s="4"/>
    </row>
    <row r="1927">
      <c r="A1927" s="1" t="s">
        <v>19605</v>
      </c>
      <c r="B1927" s="1" t="s">
        <v>19606</v>
      </c>
      <c r="C1927" s="1" t="s">
        <v>19607</v>
      </c>
      <c r="D1927" s="1" t="s">
        <v>19352</v>
      </c>
      <c r="E1927" s="1" t="s">
        <v>19353</v>
      </c>
      <c r="F1927" s="1">
        <v>3229142.0</v>
      </c>
      <c r="G1927" s="1">
        <v>102536.0</v>
      </c>
      <c r="H1927" s="1">
        <v>6302.0</v>
      </c>
      <c r="I1927" s="1">
        <v>3940000.0</v>
      </c>
      <c r="J1927" s="1" t="s">
        <v>2468</v>
      </c>
      <c r="K1927" s="5">
        <f t="shared" si="2"/>
        <v>0.8195791878</v>
      </c>
      <c r="L1927" s="6">
        <f t="shared" si="3"/>
        <v>3979</v>
      </c>
      <c r="M1927" s="6">
        <f t="shared" si="4"/>
        <v>811.5461171</v>
      </c>
      <c r="N1927" s="7">
        <f t="shared" si="5"/>
        <v>0.0002059761719</v>
      </c>
      <c r="O1927" s="7"/>
      <c r="P1927" s="4">
        <f t="shared" si="6"/>
        <v>-0.3044438595</v>
      </c>
      <c r="Q1927" s="4">
        <f t="shared" si="7"/>
        <v>7</v>
      </c>
      <c r="R1927" s="4">
        <f t="shared" si="8"/>
        <v>0</v>
      </c>
      <c r="S1927" s="4">
        <f t="shared" si="9"/>
        <v>-0.3044438595</v>
      </c>
      <c r="T1927" s="4">
        <f t="shared" si="10"/>
        <v>41</v>
      </c>
      <c r="U1927" s="4">
        <f t="shared" si="1"/>
        <v>-0.3044438595</v>
      </c>
      <c r="V1927" s="4"/>
    </row>
    <row r="1928">
      <c r="A1928" s="1" t="s">
        <v>19608</v>
      </c>
      <c r="B1928" s="1" t="s">
        <v>19609</v>
      </c>
      <c r="C1928" s="1" t="s">
        <v>19610</v>
      </c>
      <c r="D1928" s="1" t="s">
        <v>19352</v>
      </c>
      <c r="E1928" s="1" t="s">
        <v>19353</v>
      </c>
      <c r="F1928" s="1">
        <v>1468616.0</v>
      </c>
      <c r="G1928" s="1">
        <v>39132.0</v>
      </c>
      <c r="H1928" s="1">
        <v>1981.0</v>
      </c>
      <c r="I1928" s="1">
        <v>3940000.0</v>
      </c>
      <c r="J1928" s="1" t="s">
        <v>2468</v>
      </c>
      <c r="K1928" s="5">
        <f t="shared" si="2"/>
        <v>0.3727451777</v>
      </c>
      <c r="L1928" s="6">
        <f t="shared" si="3"/>
        <v>3983</v>
      </c>
      <c r="M1928" s="6">
        <f t="shared" si="4"/>
        <v>368.7210645</v>
      </c>
      <c r="N1928" s="7">
        <f t="shared" si="5"/>
        <v>0.00009358402653</v>
      </c>
      <c r="O1928" s="7"/>
      <c r="P1928" s="4">
        <f t="shared" si="6"/>
        <v>-0.3836087761</v>
      </c>
      <c r="Q1928" s="4">
        <f t="shared" si="7"/>
        <v>5</v>
      </c>
      <c r="R1928" s="4">
        <f t="shared" si="8"/>
        <v>1</v>
      </c>
      <c r="S1928" s="4">
        <f t="shared" si="9"/>
        <v>-0.3836087761</v>
      </c>
      <c r="T1928" s="4">
        <f t="shared" si="10"/>
        <v>21</v>
      </c>
      <c r="U1928" s="4">
        <f t="shared" si="1"/>
        <v>-0.3836087761</v>
      </c>
      <c r="V1928" s="4"/>
    </row>
    <row r="1929">
      <c r="A1929" s="1" t="s">
        <v>19611</v>
      </c>
      <c r="B1929" s="1" t="s">
        <v>19612</v>
      </c>
      <c r="C1929" s="1" t="s">
        <v>19613</v>
      </c>
      <c r="D1929" s="1" t="s">
        <v>19352</v>
      </c>
      <c r="E1929" s="1" t="s">
        <v>19353</v>
      </c>
      <c r="F1929" s="1">
        <v>1729687.0</v>
      </c>
      <c r="G1929" s="1">
        <v>47598.0</v>
      </c>
      <c r="H1929" s="1">
        <v>2266.0</v>
      </c>
      <c r="I1929" s="1">
        <v>3940000.0</v>
      </c>
      <c r="J1929" s="1" t="s">
        <v>2468</v>
      </c>
      <c r="K1929" s="5">
        <f t="shared" si="2"/>
        <v>0.4390068528</v>
      </c>
      <c r="L1929" s="6">
        <f t="shared" si="3"/>
        <v>3991</v>
      </c>
      <c r="M1929" s="6">
        <f t="shared" si="4"/>
        <v>433.396893</v>
      </c>
      <c r="N1929" s="7">
        <f t="shared" si="5"/>
        <v>0.0001099992114</v>
      </c>
      <c r="O1929" s="7"/>
      <c r="P1929" s="4">
        <f t="shared" si="6"/>
        <v>-0.3720465202</v>
      </c>
      <c r="Q1929" s="4">
        <f t="shared" si="7"/>
        <v>10</v>
      </c>
      <c r="R1929" s="4">
        <f t="shared" si="8"/>
        <v>0</v>
      </c>
      <c r="S1929" s="4">
        <f t="shared" si="9"/>
        <v>-0.3720465202</v>
      </c>
      <c r="T1929" s="4">
        <f t="shared" si="10"/>
        <v>39</v>
      </c>
      <c r="U1929" s="4">
        <f t="shared" si="1"/>
        <v>-0.3720465202</v>
      </c>
      <c r="V1929" s="4"/>
    </row>
    <row r="1930">
      <c r="A1930" s="1" t="s">
        <v>19614</v>
      </c>
      <c r="B1930" s="1" t="s">
        <v>19615</v>
      </c>
      <c r="C1930" s="1" t="s">
        <v>19616</v>
      </c>
      <c r="D1930" s="1" t="s">
        <v>19352</v>
      </c>
      <c r="E1930" s="1" t="s">
        <v>19353</v>
      </c>
      <c r="F1930" s="1">
        <v>2775129.0</v>
      </c>
      <c r="G1930" s="1">
        <v>55741.0</v>
      </c>
      <c r="H1930" s="1">
        <v>2613.0</v>
      </c>
      <c r="I1930" s="1">
        <v>3940000.0</v>
      </c>
      <c r="J1930" s="1" t="s">
        <v>2468</v>
      </c>
      <c r="K1930" s="5">
        <f t="shared" si="2"/>
        <v>0.7043474619</v>
      </c>
      <c r="L1930" s="6">
        <f t="shared" si="3"/>
        <v>3997</v>
      </c>
      <c r="M1930" s="6">
        <f t="shared" si="4"/>
        <v>694.3029772</v>
      </c>
      <c r="N1930" s="7">
        <f t="shared" si="5"/>
        <v>0.0001762190298</v>
      </c>
      <c r="O1930" s="7"/>
      <c r="P1930" s="4">
        <f t="shared" si="6"/>
        <v>-0.3254037021</v>
      </c>
      <c r="Q1930" s="4">
        <f t="shared" si="7"/>
        <v>7</v>
      </c>
      <c r="R1930" s="4">
        <f t="shared" si="8"/>
        <v>1</v>
      </c>
      <c r="S1930" s="4">
        <f t="shared" si="9"/>
        <v>-0.3254037021</v>
      </c>
      <c r="T1930" s="4">
        <f t="shared" si="10"/>
        <v>37</v>
      </c>
      <c r="U1930" s="4">
        <f t="shared" si="1"/>
        <v>-0.3254037021</v>
      </c>
      <c r="V1930" s="4"/>
    </row>
    <row r="1931">
      <c r="A1931" s="1" t="s">
        <v>19617</v>
      </c>
      <c r="B1931" s="1" t="s">
        <v>19618</v>
      </c>
      <c r="C1931" s="1" t="s">
        <v>19619</v>
      </c>
      <c r="D1931" s="1" t="s">
        <v>19352</v>
      </c>
      <c r="E1931" s="1" t="s">
        <v>19353</v>
      </c>
      <c r="F1931" s="1">
        <v>1692747.0</v>
      </c>
      <c r="G1931" s="1">
        <v>29245.0</v>
      </c>
      <c r="H1931" s="1">
        <v>1021.0</v>
      </c>
      <c r="I1931" s="1">
        <v>3940000.0</v>
      </c>
      <c r="J1931" s="1" t="s">
        <v>2468</v>
      </c>
      <c r="K1931" s="5">
        <f t="shared" si="2"/>
        <v>0.4296312183</v>
      </c>
      <c r="L1931" s="6">
        <f t="shared" si="3"/>
        <v>4012</v>
      </c>
      <c r="M1931" s="6">
        <f t="shared" si="4"/>
        <v>421.920987</v>
      </c>
      <c r="N1931" s="7">
        <f t="shared" si="5"/>
        <v>0.0001070865449</v>
      </c>
      <c r="O1931" s="7"/>
      <c r="P1931" s="4">
        <f t="shared" si="6"/>
        <v>-0.374098096</v>
      </c>
      <c r="Q1931" s="4">
        <f t="shared" si="7"/>
        <v>8</v>
      </c>
      <c r="R1931" s="4">
        <f t="shared" si="8"/>
        <v>0</v>
      </c>
      <c r="S1931" s="4">
        <f t="shared" si="9"/>
        <v>-0.374098096</v>
      </c>
      <c r="T1931" s="4">
        <f t="shared" si="10"/>
        <v>31</v>
      </c>
      <c r="U1931" s="4">
        <f t="shared" si="1"/>
        <v>-0.374098096</v>
      </c>
      <c r="V1931" s="4"/>
    </row>
    <row r="1932">
      <c r="A1932" s="1" t="s">
        <v>19620</v>
      </c>
      <c r="B1932" s="1" t="s">
        <v>19621</v>
      </c>
      <c r="C1932" s="1" t="s">
        <v>19622</v>
      </c>
      <c r="D1932" s="1" t="s">
        <v>19352</v>
      </c>
      <c r="E1932" s="1" t="s">
        <v>19353</v>
      </c>
      <c r="F1932" s="1">
        <v>1842417.0</v>
      </c>
      <c r="G1932" s="1">
        <v>39037.0</v>
      </c>
      <c r="H1932" s="1">
        <v>1561.0</v>
      </c>
      <c r="I1932" s="1">
        <v>3940000.0</v>
      </c>
      <c r="J1932" s="1" t="s">
        <v>2468</v>
      </c>
      <c r="K1932" s="5">
        <f t="shared" si="2"/>
        <v>0.4676185279</v>
      </c>
      <c r="L1932" s="6">
        <f t="shared" si="3"/>
        <v>4024</v>
      </c>
      <c r="M1932" s="6">
        <f t="shared" si="4"/>
        <v>457.8571074</v>
      </c>
      <c r="N1932" s="7">
        <f t="shared" si="5"/>
        <v>0.0001162073877</v>
      </c>
      <c r="O1932" s="7"/>
      <c r="P1932" s="4">
        <f t="shared" si="6"/>
        <v>-0.3676737079</v>
      </c>
      <c r="Q1932" s="4">
        <f t="shared" si="7"/>
        <v>9</v>
      </c>
      <c r="R1932" s="4">
        <f t="shared" si="8"/>
        <v>1</v>
      </c>
      <c r="S1932" s="4">
        <f t="shared" si="9"/>
        <v>-0.3676737079</v>
      </c>
      <c r="T1932" s="4">
        <f t="shared" si="10"/>
        <v>39</v>
      </c>
      <c r="U1932" s="4">
        <f t="shared" si="1"/>
        <v>-0.3676737079</v>
      </c>
      <c r="V1932" s="4"/>
    </row>
    <row r="1933">
      <c r="A1933" s="1" t="s">
        <v>19623</v>
      </c>
      <c r="B1933" s="1" t="s">
        <v>19624</v>
      </c>
      <c r="C1933" s="1" t="s">
        <v>19625</v>
      </c>
      <c r="D1933" s="1" t="s">
        <v>19352</v>
      </c>
      <c r="E1933" s="1" t="s">
        <v>19353</v>
      </c>
      <c r="F1933" s="1">
        <v>3023816.0</v>
      </c>
      <c r="G1933" s="1">
        <v>68134.0</v>
      </c>
      <c r="H1933" s="1">
        <v>5467.0</v>
      </c>
      <c r="I1933" s="1">
        <v>3940000.0</v>
      </c>
      <c r="J1933" s="1" t="s">
        <v>2468</v>
      </c>
      <c r="K1933" s="5">
        <f t="shared" si="2"/>
        <v>0.7674659898</v>
      </c>
      <c r="L1933" s="6">
        <f t="shared" si="3"/>
        <v>4038</v>
      </c>
      <c r="M1933" s="6">
        <f t="shared" si="4"/>
        <v>748.8400198</v>
      </c>
      <c r="N1933" s="7">
        <f t="shared" si="5"/>
        <v>0.0001900609187</v>
      </c>
      <c r="O1933" s="7"/>
      <c r="P1933" s="4">
        <f t="shared" si="6"/>
        <v>-0.3156539817</v>
      </c>
      <c r="Q1933" s="4">
        <f t="shared" si="7"/>
        <v>4</v>
      </c>
      <c r="R1933" s="4">
        <f t="shared" si="8"/>
        <v>1</v>
      </c>
      <c r="S1933" s="4">
        <f t="shared" si="9"/>
        <v>-0.3156539817</v>
      </c>
      <c r="T1933" s="4">
        <f t="shared" si="10"/>
        <v>17</v>
      </c>
      <c r="U1933" s="4">
        <f t="shared" si="1"/>
        <v>-0.3156539817</v>
      </c>
      <c r="V1933" s="4"/>
    </row>
    <row r="1934">
      <c r="A1934" s="1" t="s">
        <v>19626</v>
      </c>
      <c r="B1934" s="1" t="s">
        <v>19627</v>
      </c>
      <c r="C1934" s="1" t="s">
        <v>19628</v>
      </c>
      <c r="D1934" s="1" t="s">
        <v>19352</v>
      </c>
      <c r="E1934" s="1" t="s">
        <v>19353</v>
      </c>
      <c r="F1934" s="1">
        <v>972359.0</v>
      </c>
      <c r="G1934" s="1">
        <v>21409.0</v>
      </c>
      <c r="H1934" s="1">
        <v>951.0</v>
      </c>
      <c r="I1934" s="1">
        <v>3940000.0</v>
      </c>
      <c r="J1934" s="1" t="s">
        <v>2468</v>
      </c>
      <c r="K1934" s="5">
        <f t="shared" si="2"/>
        <v>0.2467916244</v>
      </c>
      <c r="L1934" s="6">
        <f t="shared" si="3"/>
        <v>4048</v>
      </c>
      <c r="M1934" s="6">
        <f t="shared" si="4"/>
        <v>240.2072628</v>
      </c>
      <c r="N1934" s="7">
        <f t="shared" si="5"/>
        <v>0.00006096631037</v>
      </c>
      <c r="O1934" s="7"/>
      <c r="P1934" s="4">
        <f t="shared" si="6"/>
        <v>-0.4065835024</v>
      </c>
      <c r="Q1934" s="4">
        <f t="shared" si="7"/>
        <v>9</v>
      </c>
      <c r="R1934" s="4">
        <f t="shared" si="8"/>
        <v>0</v>
      </c>
      <c r="S1934" s="4">
        <f t="shared" si="9"/>
        <v>-0.4065835024</v>
      </c>
      <c r="T1934" s="4">
        <f t="shared" si="10"/>
        <v>36</v>
      </c>
      <c r="U1934" s="4">
        <f t="shared" si="1"/>
        <v>-0.4065835024</v>
      </c>
      <c r="V1934" s="4"/>
    </row>
    <row r="1935">
      <c r="A1935" s="1" t="s">
        <v>19629</v>
      </c>
      <c r="B1935" s="1" t="s">
        <v>19630</v>
      </c>
      <c r="C1935" s="1" t="s">
        <v>19631</v>
      </c>
      <c r="D1935" s="1" t="s">
        <v>19352</v>
      </c>
      <c r="E1935" s="1" t="s">
        <v>19353</v>
      </c>
      <c r="F1935" s="1">
        <v>4907380.0</v>
      </c>
      <c r="G1935" s="1">
        <v>61387.0</v>
      </c>
      <c r="H1935" s="1">
        <v>4324.0</v>
      </c>
      <c r="I1935" s="1">
        <v>3940000.0</v>
      </c>
      <c r="J1935" s="1" t="s">
        <v>2468</v>
      </c>
      <c r="K1935" s="5">
        <f t="shared" si="2"/>
        <v>1.245527919</v>
      </c>
      <c r="L1935" s="6">
        <f t="shared" si="3"/>
        <v>4061</v>
      </c>
      <c r="M1935" s="6">
        <f t="shared" si="4"/>
        <v>1208.416646</v>
      </c>
      <c r="N1935" s="7">
        <f t="shared" si="5"/>
        <v>0.0003067047325</v>
      </c>
      <c r="O1935" s="7"/>
      <c r="P1935" s="4">
        <f t="shared" si="6"/>
        <v>-0.2334943453</v>
      </c>
      <c r="Q1935" s="4">
        <f t="shared" si="7"/>
        <v>4</v>
      </c>
      <c r="R1935" s="4">
        <f t="shared" si="8"/>
        <v>0</v>
      </c>
      <c r="S1935" s="4">
        <f t="shared" si="9"/>
        <v>-0.2334943453</v>
      </c>
      <c r="T1935" s="4">
        <f t="shared" si="10"/>
        <v>18</v>
      </c>
      <c r="U1935" s="4">
        <f t="shared" si="1"/>
        <v>-0.2334943453</v>
      </c>
      <c r="V1935" s="4"/>
    </row>
    <row r="1936">
      <c r="A1936" s="1" t="s">
        <v>19632</v>
      </c>
      <c r="B1936" s="1" t="s">
        <v>19633</v>
      </c>
      <c r="C1936" s="1" t="s">
        <v>19634</v>
      </c>
      <c r="D1936" s="1" t="s">
        <v>19352</v>
      </c>
      <c r="E1936" s="1" t="s">
        <v>19353</v>
      </c>
      <c r="F1936" s="1">
        <v>3457067.0</v>
      </c>
      <c r="G1936" s="1">
        <v>104825.0</v>
      </c>
      <c r="H1936" s="1">
        <v>6017.0</v>
      </c>
      <c r="I1936" s="1">
        <v>3940000.0</v>
      </c>
      <c r="J1936" s="1" t="s">
        <v>2468</v>
      </c>
      <c r="K1936" s="5">
        <f t="shared" si="2"/>
        <v>0.8774281726</v>
      </c>
      <c r="L1936" s="6">
        <f t="shared" si="3"/>
        <v>4069</v>
      </c>
      <c r="M1936" s="6">
        <f t="shared" si="4"/>
        <v>849.6109609</v>
      </c>
      <c r="N1936" s="7">
        <f t="shared" si="5"/>
        <v>0.0002156372997</v>
      </c>
      <c r="O1936" s="7"/>
      <c r="P1936" s="4">
        <f t="shared" si="6"/>
        <v>-0.2976389143</v>
      </c>
      <c r="Q1936" s="4">
        <f t="shared" si="7"/>
        <v>7</v>
      </c>
      <c r="R1936" s="4">
        <f t="shared" si="8"/>
        <v>1</v>
      </c>
      <c r="S1936" s="4">
        <f t="shared" si="9"/>
        <v>-0.2976389143</v>
      </c>
      <c r="T1936" s="4">
        <f t="shared" si="10"/>
        <v>30</v>
      </c>
      <c r="U1936" s="4">
        <f t="shared" si="1"/>
        <v>-0.2976389143</v>
      </c>
      <c r="V1936" s="4"/>
    </row>
    <row r="1937">
      <c r="A1937" s="1" t="s">
        <v>19635</v>
      </c>
      <c r="B1937" s="1" t="s">
        <v>19636</v>
      </c>
      <c r="C1937" s="1" t="s">
        <v>19637</v>
      </c>
      <c r="D1937" s="1" t="s">
        <v>19352</v>
      </c>
      <c r="E1937" s="1" t="s">
        <v>19353</v>
      </c>
      <c r="F1937" s="1">
        <v>1831796.0</v>
      </c>
      <c r="G1937" s="1">
        <v>35653.0</v>
      </c>
      <c r="H1937" s="1">
        <v>1331.0</v>
      </c>
      <c r="I1937" s="1">
        <v>3940000.0</v>
      </c>
      <c r="J1937" s="1" t="s">
        <v>2468</v>
      </c>
      <c r="K1937" s="5">
        <f t="shared" si="2"/>
        <v>0.4649228426</v>
      </c>
      <c r="L1937" s="6">
        <f t="shared" si="3"/>
        <v>4071</v>
      </c>
      <c r="M1937" s="6">
        <f t="shared" si="4"/>
        <v>449.9621715</v>
      </c>
      <c r="N1937" s="7">
        <f t="shared" si="5"/>
        <v>0.0001142035968</v>
      </c>
      <c r="O1937" s="7"/>
      <c r="P1937" s="4">
        <f t="shared" si="6"/>
        <v>-0.3690851049</v>
      </c>
      <c r="Q1937" s="4">
        <f t="shared" si="7"/>
        <v>6</v>
      </c>
      <c r="R1937" s="4">
        <f t="shared" si="8"/>
        <v>1</v>
      </c>
      <c r="S1937" s="4">
        <f t="shared" si="9"/>
        <v>-0.3690851049</v>
      </c>
      <c r="T1937" s="4">
        <f t="shared" si="10"/>
        <v>22</v>
      </c>
      <c r="U1937" s="4">
        <f t="shared" si="1"/>
        <v>-0.3690851049</v>
      </c>
      <c r="V1937" s="4"/>
    </row>
    <row r="1938">
      <c r="A1938" s="1" t="s">
        <v>19638</v>
      </c>
      <c r="B1938" s="1" t="s">
        <v>19639</v>
      </c>
      <c r="C1938" s="1" t="s">
        <v>19640</v>
      </c>
      <c r="D1938" s="1" t="s">
        <v>19352</v>
      </c>
      <c r="E1938" s="1" t="s">
        <v>19353</v>
      </c>
      <c r="F1938" s="1">
        <v>1381980.0</v>
      </c>
      <c r="G1938" s="1">
        <v>25052.0</v>
      </c>
      <c r="H1938" s="1">
        <v>915.0</v>
      </c>
      <c r="I1938" s="1">
        <v>3940000.0</v>
      </c>
      <c r="J1938" s="1" t="s">
        <v>2468</v>
      </c>
      <c r="K1938" s="5">
        <f t="shared" si="2"/>
        <v>0.3507563452</v>
      </c>
      <c r="L1938" s="6">
        <f t="shared" si="3"/>
        <v>4111</v>
      </c>
      <c r="M1938" s="6">
        <f t="shared" si="4"/>
        <v>336.1663829</v>
      </c>
      <c r="N1938" s="7">
        <f t="shared" si="5"/>
        <v>0.00008532141697</v>
      </c>
      <c r="O1938" s="7"/>
      <c r="P1938" s="4">
        <f t="shared" si="6"/>
        <v>-0.3894286561</v>
      </c>
      <c r="Q1938" s="4">
        <f t="shared" si="7"/>
        <v>6</v>
      </c>
      <c r="R1938" s="4">
        <f t="shared" si="8"/>
        <v>0</v>
      </c>
      <c r="S1938" s="4">
        <f t="shared" si="9"/>
        <v>-0.3894286561</v>
      </c>
      <c r="T1938" s="4">
        <f t="shared" si="10"/>
        <v>17</v>
      </c>
      <c r="U1938" s="4">
        <f t="shared" si="1"/>
        <v>-0.3894286561</v>
      </c>
      <c r="V1938" s="4"/>
    </row>
    <row r="1939">
      <c r="A1939" s="1" t="s">
        <v>19641</v>
      </c>
      <c r="B1939" s="1" t="s">
        <v>19642</v>
      </c>
      <c r="C1939" s="1" t="s">
        <v>19643</v>
      </c>
      <c r="D1939" s="1" t="s">
        <v>19352</v>
      </c>
      <c r="E1939" s="1" t="s">
        <v>19353</v>
      </c>
      <c r="F1939" s="1">
        <v>1661993.0</v>
      </c>
      <c r="G1939" s="1">
        <v>26163.0</v>
      </c>
      <c r="H1939" s="1">
        <v>833.0</v>
      </c>
      <c r="I1939" s="1">
        <v>3940000.0</v>
      </c>
      <c r="J1939" s="1" t="s">
        <v>2468</v>
      </c>
      <c r="K1939" s="5">
        <f t="shared" si="2"/>
        <v>0.4218256345</v>
      </c>
      <c r="L1939" s="6">
        <f t="shared" si="3"/>
        <v>4123</v>
      </c>
      <c r="M1939" s="6">
        <f t="shared" si="4"/>
        <v>403.1028377</v>
      </c>
      <c r="N1939" s="7">
        <f t="shared" si="5"/>
        <v>0.0001023103649</v>
      </c>
      <c r="O1939" s="7"/>
      <c r="P1939" s="4">
        <f t="shared" si="6"/>
        <v>-0.3774622625</v>
      </c>
      <c r="Q1939" s="4">
        <f t="shared" si="7"/>
        <v>9</v>
      </c>
      <c r="R1939" s="4">
        <f t="shared" si="8"/>
        <v>0</v>
      </c>
      <c r="S1939" s="4">
        <f t="shared" si="9"/>
        <v>-0.3774622625</v>
      </c>
      <c r="T1939" s="4">
        <f t="shared" si="10"/>
        <v>37</v>
      </c>
      <c r="U1939" s="4">
        <f t="shared" si="1"/>
        <v>-0.3774622625</v>
      </c>
      <c r="V1939" s="4"/>
    </row>
    <row r="1940">
      <c r="A1940" s="1" t="s">
        <v>19644</v>
      </c>
      <c r="B1940" s="1" t="s">
        <v>19645</v>
      </c>
      <c r="C1940" s="1" t="s">
        <v>19646</v>
      </c>
      <c r="D1940" s="1" t="s">
        <v>19352</v>
      </c>
      <c r="E1940" s="1" t="s">
        <v>19353</v>
      </c>
      <c r="F1940" s="1">
        <v>2206704.0</v>
      </c>
      <c r="G1940" s="1">
        <v>39194.0</v>
      </c>
      <c r="H1940" s="1">
        <v>1921.0</v>
      </c>
      <c r="I1940" s="1">
        <v>3940000.0</v>
      </c>
      <c r="J1940" s="1" t="s">
        <v>2468</v>
      </c>
      <c r="K1940" s="5">
        <f t="shared" si="2"/>
        <v>0.5600771574</v>
      </c>
      <c r="L1940" s="6">
        <f t="shared" si="3"/>
        <v>4132</v>
      </c>
      <c r="M1940" s="6">
        <f t="shared" si="4"/>
        <v>534.0522749</v>
      </c>
      <c r="N1940" s="7">
        <f t="shared" si="5"/>
        <v>0.0001355462627</v>
      </c>
      <c r="O1940" s="7"/>
      <c r="P1940" s="4">
        <f t="shared" si="6"/>
        <v>-0.3540521117</v>
      </c>
      <c r="Q1940" s="4">
        <f t="shared" si="7"/>
        <v>9</v>
      </c>
      <c r="R1940" s="4">
        <f t="shared" si="8"/>
        <v>0</v>
      </c>
      <c r="S1940" s="4">
        <f t="shared" si="9"/>
        <v>-0.3540521117</v>
      </c>
      <c r="T1940" s="4">
        <f t="shared" si="10"/>
        <v>33</v>
      </c>
      <c r="U1940" s="4">
        <f t="shared" si="1"/>
        <v>-0.3540521117</v>
      </c>
      <c r="V1940" s="4"/>
    </row>
    <row r="1941">
      <c r="A1941" s="1" t="s">
        <v>19647</v>
      </c>
      <c r="B1941" s="1" t="s">
        <v>19648</v>
      </c>
      <c r="C1941" s="1" t="s">
        <v>19649</v>
      </c>
      <c r="D1941" s="1" t="s">
        <v>19352</v>
      </c>
      <c r="E1941" s="1" t="s">
        <v>19353</v>
      </c>
      <c r="F1941" s="1">
        <v>4767358.0</v>
      </c>
      <c r="G1941" s="1">
        <v>155341.0</v>
      </c>
      <c r="H1941" s="1">
        <v>11706.0</v>
      </c>
      <c r="I1941" s="1">
        <v>3940000.0</v>
      </c>
      <c r="J1941" s="1" t="s">
        <v>2468</v>
      </c>
      <c r="K1941" s="5">
        <f t="shared" si="2"/>
        <v>1.20998934</v>
      </c>
      <c r="L1941" s="6">
        <f t="shared" si="3"/>
        <v>4146</v>
      </c>
      <c r="M1941" s="6">
        <f t="shared" si="4"/>
        <v>1149.869272</v>
      </c>
      <c r="N1941" s="7">
        <f t="shared" si="5"/>
        <v>0.0002918449928</v>
      </c>
      <c r="O1941" s="7"/>
      <c r="P1941" s="4">
        <f t="shared" si="6"/>
        <v>-0.2439610025</v>
      </c>
      <c r="Q1941" s="4">
        <f t="shared" si="7"/>
        <v>4</v>
      </c>
      <c r="R1941" s="4">
        <f t="shared" si="8"/>
        <v>1</v>
      </c>
      <c r="S1941" s="4">
        <f t="shared" si="9"/>
        <v>-0.2439610025</v>
      </c>
      <c r="T1941" s="4">
        <f t="shared" si="10"/>
        <v>19</v>
      </c>
      <c r="U1941" s="4">
        <f t="shared" si="1"/>
        <v>-0.2439610025</v>
      </c>
      <c r="V1941" s="4"/>
    </row>
    <row r="1942">
      <c r="A1942" s="1" t="s">
        <v>19650</v>
      </c>
      <c r="B1942" s="1" t="s">
        <v>19651</v>
      </c>
      <c r="C1942" s="1" t="s">
        <v>19652</v>
      </c>
      <c r="D1942" s="1" t="s">
        <v>19653</v>
      </c>
      <c r="E1942" s="1" t="s">
        <v>19654</v>
      </c>
      <c r="F1942" s="1">
        <v>499772.0</v>
      </c>
      <c r="G1942" s="1">
        <v>19065.0</v>
      </c>
      <c r="H1942" s="1">
        <v>2371.0</v>
      </c>
      <c r="I1942" s="1">
        <v>1350000.0</v>
      </c>
      <c r="J1942" s="1" t="s">
        <v>2468</v>
      </c>
      <c r="K1942" s="5">
        <f t="shared" si="2"/>
        <v>0.3702014815</v>
      </c>
      <c r="L1942" s="6">
        <f t="shared" si="3"/>
        <v>59</v>
      </c>
      <c r="M1942" s="6">
        <f t="shared" si="4"/>
        <v>8470.711864</v>
      </c>
      <c r="N1942" s="7">
        <f t="shared" si="5"/>
        <v>0.006274601381</v>
      </c>
      <c r="O1942" s="7"/>
      <c r="P1942" s="4">
        <f t="shared" si="6"/>
        <v>3.970073789</v>
      </c>
      <c r="Q1942" s="4">
        <f t="shared" si="7"/>
        <v>6</v>
      </c>
      <c r="R1942" s="4">
        <f t="shared" si="8"/>
        <v>1</v>
      </c>
      <c r="S1942" s="4">
        <f t="shared" si="9"/>
        <v>3.970073789</v>
      </c>
      <c r="T1942" s="4">
        <f t="shared" si="10"/>
        <v>25</v>
      </c>
      <c r="U1942" s="4">
        <f t="shared" si="1"/>
        <v>3.970073789</v>
      </c>
      <c r="V1942" s="4"/>
    </row>
    <row r="1943">
      <c r="A1943" s="1" t="s">
        <v>19655</v>
      </c>
      <c r="B1943" s="1" t="s">
        <v>19656</v>
      </c>
      <c r="C1943" s="1" t="s">
        <v>19657</v>
      </c>
      <c r="D1943" s="1" t="s">
        <v>19653</v>
      </c>
      <c r="E1943" s="1" t="s">
        <v>19654</v>
      </c>
      <c r="F1943" s="1">
        <v>521462.0</v>
      </c>
      <c r="G1943" s="1">
        <v>21939.0</v>
      </c>
      <c r="H1943" s="1">
        <v>2523.0</v>
      </c>
      <c r="I1943" s="1">
        <v>1350000.0</v>
      </c>
      <c r="J1943" s="1" t="s">
        <v>2468</v>
      </c>
      <c r="K1943" s="5">
        <f t="shared" si="2"/>
        <v>0.3862681481</v>
      </c>
      <c r="L1943" s="6">
        <f t="shared" si="3"/>
        <v>112</v>
      </c>
      <c r="M1943" s="6">
        <f t="shared" si="4"/>
        <v>4655.910714</v>
      </c>
      <c r="N1943" s="7">
        <f t="shared" si="5"/>
        <v>0.003448822751</v>
      </c>
      <c r="O1943" s="7"/>
      <c r="P1943" s="4">
        <f t="shared" si="6"/>
        <v>1.97969867</v>
      </c>
      <c r="Q1943" s="4">
        <f t="shared" si="7"/>
        <v>6</v>
      </c>
      <c r="R1943" s="4">
        <f t="shared" si="8"/>
        <v>0</v>
      </c>
      <c r="S1943" s="4">
        <f t="shared" si="9"/>
        <v>1.97969867</v>
      </c>
      <c r="T1943" s="4">
        <f t="shared" si="10"/>
        <v>27</v>
      </c>
      <c r="U1943" s="4">
        <f t="shared" si="1"/>
        <v>1.97969867</v>
      </c>
      <c r="V1943" s="4"/>
    </row>
    <row r="1944">
      <c r="A1944" s="1" t="s">
        <v>19658</v>
      </c>
      <c r="B1944" s="1" t="s">
        <v>19659</v>
      </c>
      <c r="C1944" s="1" t="s">
        <v>19660</v>
      </c>
      <c r="D1944" s="1" t="s">
        <v>19653</v>
      </c>
      <c r="E1944" s="1" t="s">
        <v>19654</v>
      </c>
      <c r="F1944" s="1">
        <v>610293.0</v>
      </c>
      <c r="G1944" s="1">
        <v>25785.0</v>
      </c>
      <c r="H1944" s="1">
        <v>3442.0</v>
      </c>
      <c r="I1944" s="1">
        <v>1350000.0</v>
      </c>
      <c r="J1944" s="1" t="s">
        <v>2468</v>
      </c>
      <c r="K1944" s="5">
        <f t="shared" si="2"/>
        <v>0.4520688889</v>
      </c>
      <c r="L1944" s="6">
        <f t="shared" si="3"/>
        <v>129</v>
      </c>
      <c r="M1944" s="6">
        <f t="shared" si="4"/>
        <v>4730.953488</v>
      </c>
      <c r="N1944" s="7">
        <f t="shared" si="5"/>
        <v>0.003504409991</v>
      </c>
      <c r="O1944" s="7"/>
      <c r="P1944" s="4">
        <f t="shared" si="6"/>
        <v>2.018852289</v>
      </c>
      <c r="Q1944" s="4">
        <f t="shared" si="7"/>
        <v>8</v>
      </c>
      <c r="R1944" s="4">
        <f t="shared" si="8"/>
        <v>1</v>
      </c>
      <c r="S1944" s="4">
        <f t="shared" si="9"/>
        <v>2.018852289</v>
      </c>
      <c r="T1944" s="4">
        <f t="shared" si="10"/>
        <v>31</v>
      </c>
      <c r="U1944" s="4">
        <f t="shared" si="1"/>
        <v>2.018852289</v>
      </c>
      <c r="V1944" s="4"/>
    </row>
    <row r="1945">
      <c r="A1945" s="1" t="s">
        <v>19661</v>
      </c>
      <c r="B1945" s="1" t="s">
        <v>19662</v>
      </c>
      <c r="C1945" s="1" t="s">
        <v>19663</v>
      </c>
      <c r="D1945" s="1" t="s">
        <v>19653</v>
      </c>
      <c r="E1945" s="1" t="s">
        <v>19654</v>
      </c>
      <c r="F1945" s="1">
        <v>666858.0</v>
      </c>
      <c r="G1945" s="1">
        <v>27401.0</v>
      </c>
      <c r="H1945" s="1">
        <v>3661.0</v>
      </c>
      <c r="I1945" s="1">
        <v>1350000.0</v>
      </c>
      <c r="J1945" s="1" t="s">
        <v>2468</v>
      </c>
      <c r="K1945" s="5">
        <f t="shared" si="2"/>
        <v>0.4939688889</v>
      </c>
      <c r="L1945" s="6">
        <f t="shared" si="3"/>
        <v>156</v>
      </c>
      <c r="M1945" s="6">
        <f t="shared" si="4"/>
        <v>4274.730769</v>
      </c>
      <c r="N1945" s="7">
        <f t="shared" si="5"/>
        <v>0.003166467236</v>
      </c>
      <c r="O1945" s="7"/>
      <c r="P1945" s="4">
        <f t="shared" si="6"/>
        <v>1.780817772</v>
      </c>
      <c r="Q1945" s="4">
        <f t="shared" si="7"/>
        <v>6</v>
      </c>
      <c r="R1945" s="4">
        <f t="shared" si="8"/>
        <v>0</v>
      </c>
      <c r="S1945" s="4">
        <f t="shared" si="9"/>
        <v>1.780817772</v>
      </c>
      <c r="T1945" s="4">
        <f t="shared" si="10"/>
        <v>27</v>
      </c>
      <c r="U1945" s="4">
        <f t="shared" si="1"/>
        <v>1.780817772</v>
      </c>
      <c r="V1945" s="4"/>
    </row>
    <row r="1946">
      <c r="A1946" s="1" t="s">
        <v>19664</v>
      </c>
      <c r="B1946" s="1" t="s">
        <v>19665</v>
      </c>
      <c r="C1946" s="1" t="s">
        <v>19666</v>
      </c>
      <c r="D1946" s="1" t="s">
        <v>19653</v>
      </c>
      <c r="E1946" s="1" t="s">
        <v>19654</v>
      </c>
      <c r="F1946" s="1">
        <v>376592.0</v>
      </c>
      <c r="G1946" s="1">
        <v>16929.0</v>
      </c>
      <c r="H1946" s="1">
        <v>1562.0</v>
      </c>
      <c r="I1946" s="1">
        <v>1350000.0</v>
      </c>
      <c r="J1946" s="1" t="s">
        <v>2468</v>
      </c>
      <c r="K1946" s="5">
        <f t="shared" si="2"/>
        <v>0.278957037</v>
      </c>
      <c r="L1946" s="6">
        <f t="shared" si="3"/>
        <v>173</v>
      </c>
      <c r="M1946" s="6">
        <f t="shared" si="4"/>
        <v>2176.83237</v>
      </c>
      <c r="N1946" s="7">
        <f t="shared" si="5"/>
        <v>0.001612468422</v>
      </c>
      <c r="O1946" s="7"/>
      <c r="P1946" s="4">
        <f t="shared" si="6"/>
        <v>0.6862378417</v>
      </c>
      <c r="Q1946" s="4">
        <f t="shared" si="7"/>
        <v>7</v>
      </c>
      <c r="R1946" s="4">
        <f t="shared" si="8"/>
        <v>0</v>
      </c>
      <c r="S1946" s="4">
        <f t="shared" si="9"/>
        <v>0.6862378417</v>
      </c>
      <c r="T1946" s="4">
        <f t="shared" si="10"/>
        <v>44</v>
      </c>
      <c r="U1946" s="4">
        <f t="shared" si="1"/>
        <v>0.6862378417</v>
      </c>
      <c r="V1946" s="4"/>
    </row>
    <row r="1947">
      <c r="A1947" s="1" t="s">
        <v>19667</v>
      </c>
      <c r="B1947" s="1" t="s">
        <v>19668</v>
      </c>
      <c r="C1947" s="1" t="s">
        <v>19669</v>
      </c>
      <c r="D1947" s="1" t="s">
        <v>19653</v>
      </c>
      <c r="E1947" s="1" t="s">
        <v>19654</v>
      </c>
      <c r="F1947" s="1">
        <v>132125.0</v>
      </c>
      <c r="G1947" s="1">
        <v>6998.0</v>
      </c>
      <c r="H1947" s="1">
        <v>699.0</v>
      </c>
      <c r="I1947" s="1">
        <v>1350000.0</v>
      </c>
      <c r="J1947" s="1" t="s">
        <v>2468</v>
      </c>
      <c r="K1947" s="5">
        <f t="shared" si="2"/>
        <v>0.09787037037</v>
      </c>
      <c r="L1947" s="6">
        <f t="shared" si="3"/>
        <v>178</v>
      </c>
      <c r="M1947" s="6">
        <f t="shared" si="4"/>
        <v>742.2752809</v>
      </c>
      <c r="N1947" s="7">
        <f t="shared" si="5"/>
        <v>0.0005498335414</v>
      </c>
      <c r="O1947" s="7"/>
      <c r="P1947" s="4">
        <f t="shared" si="6"/>
        <v>-0.06224330433</v>
      </c>
      <c r="Q1947" s="4">
        <f t="shared" si="7"/>
        <v>9</v>
      </c>
      <c r="R1947" s="4">
        <f t="shared" si="8"/>
        <v>0</v>
      </c>
      <c r="S1947" s="4">
        <f t="shared" si="9"/>
        <v>-0.06224330433</v>
      </c>
      <c r="T1947" s="4">
        <f t="shared" si="10"/>
        <v>42</v>
      </c>
      <c r="U1947" s="4">
        <f t="shared" si="1"/>
        <v>-0.06224330433</v>
      </c>
      <c r="V1947" s="4"/>
    </row>
    <row r="1948">
      <c r="A1948" s="1" t="s">
        <v>19670</v>
      </c>
      <c r="B1948" s="1" t="s">
        <v>19671</v>
      </c>
      <c r="C1948" s="1" t="s">
        <v>19672</v>
      </c>
      <c r="D1948" s="1" t="s">
        <v>19653</v>
      </c>
      <c r="E1948" s="1" t="s">
        <v>19654</v>
      </c>
      <c r="F1948" s="1">
        <v>872673.0</v>
      </c>
      <c r="G1948" s="1">
        <v>39851.0</v>
      </c>
      <c r="H1948" s="1">
        <v>3285.0</v>
      </c>
      <c r="I1948" s="1">
        <v>1350000.0</v>
      </c>
      <c r="J1948" s="1" t="s">
        <v>2468</v>
      </c>
      <c r="K1948" s="5">
        <f t="shared" si="2"/>
        <v>0.6464244444</v>
      </c>
      <c r="L1948" s="6">
        <f t="shared" si="3"/>
        <v>186</v>
      </c>
      <c r="M1948" s="6">
        <f t="shared" si="4"/>
        <v>4691.790323</v>
      </c>
      <c r="N1948" s="7">
        <f t="shared" si="5"/>
        <v>0.003475400239</v>
      </c>
      <c r="O1948" s="7"/>
      <c r="P1948" s="4">
        <f t="shared" si="6"/>
        <v>1.99841888</v>
      </c>
      <c r="Q1948" s="4">
        <f t="shared" si="7"/>
        <v>11</v>
      </c>
      <c r="R1948" s="4">
        <f t="shared" si="8"/>
        <v>0</v>
      </c>
      <c r="S1948" s="4">
        <f t="shared" si="9"/>
        <v>1.99841888</v>
      </c>
      <c r="T1948" s="4">
        <f t="shared" si="10"/>
        <v>48</v>
      </c>
      <c r="U1948" s="4">
        <f t="shared" si="1"/>
        <v>1.99841888</v>
      </c>
      <c r="V1948" s="4"/>
    </row>
    <row r="1949">
      <c r="A1949" s="1" t="s">
        <v>19673</v>
      </c>
      <c r="B1949" s="1" t="s">
        <v>19674</v>
      </c>
      <c r="C1949" s="1" t="s">
        <v>19675</v>
      </c>
      <c r="D1949" s="1" t="s">
        <v>19653</v>
      </c>
      <c r="E1949" s="1" t="s">
        <v>19654</v>
      </c>
      <c r="F1949" s="1">
        <v>353192.0</v>
      </c>
      <c r="G1949" s="1">
        <v>16268.0</v>
      </c>
      <c r="H1949" s="1">
        <v>2925.0</v>
      </c>
      <c r="I1949" s="1">
        <v>1350000.0</v>
      </c>
      <c r="J1949" s="1" t="s">
        <v>2468</v>
      </c>
      <c r="K1949" s="5">
        <f t="shared" si="2"/>
        <v>0.2616237037</v>
      </c>
      <c r="L1949" s="6">
        <f t="shared" si="3"/>
        <v>192</v>
      </c>
      <c r="M1949" s="6">
        <f t="shared" si="4"/>
        <v>1839.541667</v>
      </c>
      <c r="N1949" s="7">
        <f t="shared" si="5"/>
        <v>0.001362623457</v>
      </c>
      <c r="O1949" s="7"/>
      <c r="P1949" s="4">
        <f t="shared" si="6"/>
        <v>0.5102561857</v>
      </c>
      <c r="Q1949" s="4">
        <f t="shared" si="7"/>
        <v>5</v>
      </c>
      <c r="R1949" s="4">
        <f t="shared" si="8"/>
        <v>0</v>
      </c>
      <c r="S1949" s="4">
        <f t="shared" si="9"/>
        <v>0.5102561857</v>
      </c>
      <c r="T1949" s="4">
        <f t="shared" si="10"/>
        <v>27</v>
      </c>
      <c r="U1949" s="4">
        <f t="shared" si="1"/>
        <v>0.5102561857</v>
      </c>
      <c r="V1949" s="4"/>
    </row>
    <row r="1950">
      <c r="A1950" s="1" t="s">
        <v>19676</v>
      </c>
      <c r="B1950" s="1" t="s">
        <v>19677</v>
      </c>
      <c r="C1950" s="1" t="s">
        <v>19678</v>
      </c>
      <c r="D1950" s="1" t="s">
        <v>19653</v>
      </c>
      <c r="E1950" s="1" t="s">
        <v>19654</v>
      </c>
      <c r="F1950" s="1">
        <v>281925.0</v>
      </c>
      <c r="G1950" s="1">
        <v>10509.0</v>
      </c>
      <c r="H1950" s="1">
        <v>1304.0</v>
      </c>
      <c r="I1950" s="1">
        <v>1350000.0</v>
      </c>
      <c r="J1950" s="1" t="s">
        <v>2468</v>
      </c>
      <c r="K1950" s="5">
        <f t="shared" si="2"/>
        <v>0.2088333333</v>
      </c>
      <c r="L1950" s="6">
        <f t="shared" si="3"/>
        <v>266</v>
      </c>
      <c r="M1950" s="6">
        <f t="shared" si="4"/>
        <v>1059.868421</v>
      </c>
      <c r="N1950" s="7">
        <f t="shared" si="5"/>
        <v>0.0007850877193</v>
      </c>
      <c r="O1950" s="7"/>
      <c r="P1950" s="4">
        <f t="shared" si="6"/>
        <v>0.1034611346</v>
      </c>
      <c r="Q1950" s="4">
        <f t="shared" si="7"/>
        <v>8</v>
      </c>
      <c r="R1950" s="4">
        <f t="shared" si="8"/>
        <v>1</v>
      </c>
      <c r="S1950" s="4">
        <f t="shared" si="9"/>
        <v>0.1034611346</v>
      </c>
      <c r="T1950" s="4">
        <f t="shared" si="10"/>
        <v>34</v>
      </c>
      <c r="U1950" s="4">
        <f t="shared" si="1"/>
        <v>0.1034611346</v>
      </c>
      <c r="V1950" s="4"/>
    </row>
    <row r="1951">
      <c r="A1951" s="1" t="s">
        <v>19679</v>
      </c>
      <c r="B1951" s="1" t="s">
        <v>19680</v>
      </c>
      <c r="C1951" s="1" t="s">
        <v>19681</v>
      </c>
      <c r="D1951" s="1" t="s">
        <v>19653</v>
      </c>
      <c r="E1951" s="1" t="s">
        <v>19654</v>
      </c>
      <c r="F1951" s="1">
        <v>542317.0</v>
      </c>
      <c r="G1951" s="1">
        <v>19400.0</v>
      </c>
      <c r="H1951" s="1">
        <v>1176.0</v>
      </c>
      <c r="I1951" s="1">
        <v>1350000.0</v>
      </c>
      <c r="J1951" s="1" t="s">
        <v>2468</v>
      </c>
      <c r="K1951" s="5">
        <f t="shared" si="2"/>
        <v>0.4017162963</v>
      </c>
      <c r="L1951" s="6">
        <f t="shared" si="3"/>
        <v>272</v>
      </c>
      <c r="M1951" s="6">
        <f t="shared" si="4"/>
        <v>1993.8125</v>
      </c>
      <c r="N1951" s="7">
        <f t="shared" si="5"/>
        <v>0.001476898148</v>
      </c>
      <c r="O1951" s="7"/>
      <c r="P1951" s="4">
        <f t="shared" si="6"/>
        <v>0.5907470989</v>
      </c>
      <c r="Q1951" s="4">
        <f t="shared" si="7"/>
        <v>3</v>
      </c>
      <c r="R1951" s="4">
        <f t="shared" si="8"/>
        <v>0</v>
      </c>
      <c r="S1951" s="4">
        <f t="shared" si="9"/>
        <v>0.5907470989</v>
      </c>
      <c r="T1951" s="4">
        <f t="shared" si="10"/>
        <v>18</v>
      </c>
      <c r="U1951" s="4">
        <f t="shared" si="1"/>
        <v>0.5907470989</v>
      </c>
      <c r="V1951" s="4"/>
    </row>
    <row r="1952">
      <c r="A1952" s="1" t="s">
        <v>19682</v>
      </c>
      <c r="B1952" s="1" t="s">
        <v>19683</v>
      </c>
      <c r="C1952" s="1" t="s">
        <v>19684</v>
      </c>
      <c r="D1952" s="1" t="s">
        <v>19653</v>
      </c>
      <c r="E1952" s="1" t="s">
        <v>19654</v>
      </c>
      <c r="F1952" s="1">
        <v>399955.0</v>
      </c>
      <c r="G1952" s="1">
        <v>21072.0</v>
      </c>
      <c r="H1952" s="1">
        <v>2259.0</v>
      </c>
      <c r="I1952" s="1">
        <v>1350000.0</v>
      </c>
      <c r="J1952" s="1" t="s">
        <v>2468</v>
      </c>
      <c r="K1952" s="5">
        <f t="shared" si="2"/>
        <v>0.296262963</v>
      </c>
      <c r="L1952" s="6">
        <f t="shared" si="3"/>
        <v>281</v>
      </c>
      <c r="M1952" s="6">
        <f t="shared" si="4"/>
        <v>1423.327402</v>
      </c>
      <c r="N1952" s="7">
        <f t="shared" si="5"/>
        <v>0.001054316594</v>
      </c>
      <c r="O1952" s="7"/>
      <c r="P1952" s="4">
        <f t="shared" si="6"/>
        <v>0.2930961075</v>
      </c>
      <c r="Q1952" s="4">
        <f t="shared" si="7"/>
        <v>10</v>
      </c>
      <c r="R1952" s="4">
        <f t="shared" si="8"/>
        <v>0</v>
      </c>
      <c r="S1952" s="4">
        <f t="shared" si="9"/>
        <v>0.2930961075</v>
      </c>
      <c r="T1952" s="4">
        <f t="shared" si="10"/>
        <v>44</v>
      </c>
      <c r="U1952" s="4">
        <f t="shared" si="1"/>
        <v>0.2930961075</v>
      </c>
      <c r="V1952" s="4"/>
    </row>
    <row r="1953">
      <c r="A1953" s="1" t="s">
        <v>19685</v>
      </c>
      <c r="B1953" s="1" t="s">
        <v>19686</v>
      </c>
      <c r="C1953" s="1" t="s">
        <v>19687</v>
      </c>
      <c r="D1953" s="1" t="s">
        <v>19653</v>
      </c>
      <c r="E1953" s="1" t="s">
        <v>19654</v>
      </c>
      <c r="F1953" s="1">
        <v>216947.0</v>
      </c>
      <c r="G1953" s="1">
        <v>9682.0</v>
      </c>
      <c r="H1953" s="1">
        <v>603.0</v>
      </c>
      <c r="I1953" s="1">
        <v>1350000.0</v>
      </c>
      <c r="J1953" s="1" t="s">
        <v>2468</v>
      </c>
      <c r="K1953" s="5">
        <f t="shared" si="2"/>
        <v>0.1607014815</v>
      </c>
      <c r="L1953" s="6">
        <f t="shared" si="3"/>
        <v>284</v>
      </c>
      <c r="M1953" s="6">
        <f t="shared" si="4"/>
        <v>763.8978873</v>
      </c>
      <c r="N1953" s="7">
        <f t="shared" si="5"/>
        <v>0.0005658502869</v>
      </c>
      <c r="O1953" s="7"/>
      <c r="P1953" s="4">
        <f t="shared" si="6"/>
        <v>-0.05096169459</v>
      </c>
      <c r="Q1953" s="4">
        <f t="shared" si="7"/>
        <v>6</v>
      </c>
      <c r="R1953" s="4">
        <f t="shared" si="8"/>
        <v>0</v>
      </c>
      <c r="S1953" s="4">
        <f t="shared" si="9"/>
        <v>-0.05096169459</v>
      </c>
      <c r="T1953" s="4">
        <f t="shared" si="10"/>
        <v>25</v>
      </c>
      <c r="U1953" s="4">
        <f t="shared" si="1"/>
        <v>-0.05096169459</v>
      </c>
      <c r="V1953" s="4"/>
    </row>
    <row r="1954">
      <c r="A1954" s="1" t="s">
        <v>19688</v>
      </c>
      <c r="B1954" s="1" t="s">
        <v>19689</v>
      </c>
      <c r="C1954" s="1" t="s">
        <v>19690</v>
      </c>
      <c r="D1954" s="1" t="s">
        <v>19653</v>
      </c>
      <c r="E1954" s="1" t="s">
        <v>19654</v>
      </c>
      <c r="F1954" s="1">
        <v>269327.0</v>
      </c>
      <c r="G1954" s="1">
        <v>11991.0</v>
      </c>
      <c r="H1954" s="1">
        <v>837.0</v>
      </c>
      <c r="I1954" s="1">
        <v>1350000.0</v>
      </c>
      <c r="J1954" s="1" t="s">
        <v>2468</v>
      </c>
      <c r="K1954" s="5">
        <f t="shared" si="2"/>
        <v>0.1995014815</v>
      </c>
      <c r="L1954" s="6">
        <f t="shared" si="3"/>
        <v>289</v>
      </c>
      <c r="M1954" s="6">
        <f t="shared" si="4"/>
        <v>931.9273356</v>
      </c>
      <c r="N1954" s="7">
        <f t="shared" si="5"/>
        <v>0.0006903165449</v>
      </c>
      <c r="O1954" s="7"/>
      <c r="P1954" s="4">
        <f t="shared" si="6"/>
        <v>0.03670778543</v>
      </c>
      <c r="Q1954" s="4">
        <f t="shared" si="7"/>
        <v>7</v>
      </c>
      <c r="R1954" s="4">
        <f t="shared" si="8"/>
        <v>1</v>
      </c>
      <c r="S1954" s="4">
        <f t="shared" si="9"/>
        <v>0.03670778543</v>
      </c>
      <c r="T1954" s="4">
        <f t="shared" si="10"/>
        <v>27</v>
      </c>
      <c r="U1954" s="4">
        <f t="shared" si="1"/>
        <v>0.03670778543</v>
      </c>
      <c r="V1954" s="4"/>
    </row>
    <row r="1955">
      <c r="A1955" s="1" t="s">
        <v>19691</v>
      </c>
      <c r="B1955" s="1" t="s">
        <v>19692</v>
      </c>
      <c r="C1955" s="1" t="s">
        <v>19693</v>
      </c>
      <c r="D1955" s="1" t="s">
        <v>19653</v>
      </c>
      <c r="E1955" s="1" t="s">
        <v>19654</v>
      </c>
      <c r="F1955" s="1">
        <v>266238.0</v>
      </c>
      <c r="G1955" s="1">
        <v>10795.0</v>
      </c>
      <c r="H1955" s="1">
        <v>1139.0</v>
      </c>
      <c r="I1955" s="1">
        <v>1350000.0</v>
      </c>
      <c r="J1955" s="1" t="s">
        <v>2468</v>
      </c>
      <c r="K1955" s="5">
        <f t="shared" si="2"/>
        <v>0.1972133333</v>
      </c>
      <c r="L1955" s="6">
        <f t="shared" si="3"/>
        <v>338</v>
      </c>
      <c r="M1955" s="6">
        <f t="shared" si="4"/>
        <v>787.6863905</v>
      </c>
      <c r="N1955" s="7">
        <f t="shared" si="5"/>
        <v>0.0005834714004</v>
      </c>
      <c r="O1955" s="7"/>
      <c r="P1955" s="4">
        <f t="shared" si="6"/>
        <v>-0.03855002671</v>
      </c>
      <c r="Q1955" s="4">
        <f t="shared" si="7"/>
        <v>9</v>
      </c>
      <c r="R1955" s="4">
        <f t="shared" si="8"/>
        <v>1</v>
      </c>
      <c r="S1955" s="4">
        <f t="shared" si="9"/>
        <v>-0.03855002671</v>
      </c>
      <c r="T1955" s="4">
        <f t="shared" si="10"/>
        <v>39</v>
      </c>
      <c r="U1955" s="4">
        <f t="shared" si="1"/>
        <v>-0.03855002671</v>
      </c>
      <c r="V1955" s="4"/>
    </row>
    <row r="1956">
      <c r="A1956" s="1" t="s">
        <v>19694</v>
      </c>
      <c r="B1956" s="1" t="s">
        <v>19695</v>
      </c>
      <c r="C1956" s="1" t="s">
        <v>19696</v>
      </c>
      <c r="D1956" s="1" t="s">
        <v>19653</v>
      </c>
      <c r="E1956" s="1" t="s">
        <v>19654</v>
      </c>
      <c r="F1956" s="1">
        <v>392217.0</v>
      </c>
      <c r="G1956" s="1">
        <v>17314.0</v>
      </c>
      <c r="H1956" s="1">
        <v>1317.0</v>
      </c>
      <c r="I1956" s="1">
        <v>1350000.0</v>
      </c>
      <c r="J1956" s="1" t="s">
        <v>2468</v>
      </c>
      <c r="K1956" s="5">
        <f t="shared" si="2"/>
        <v>0.2905311111</v>
      </c>
      <c r="L1956" s="6">
        <f t="shared" si="3"/>
        <v>342</v>
      </c>
      <c r="M1956" s="6">
        <f t="shared" si="4"/>
        <v>1146.833333</v>
      </c>
      <c r="N1956" s="7">
        <f t="shared" si="5"/>
        <v>0.0008495061728</v>
      </c>
      <c r="O1956" s="7"/>
      <c r="P1956" s="4">
        <f t="shared" si="6"/>
        <v>0.1488351373</v>
      </c>
      <c r="Q1956" s="4">
        <f t="shared" si="7"/>
        <v>8</v>
      </c>
      <c r="R1956" s="4">
        <f t="shared" si="8"/>
        <v>0</v>
      </c>
      <c r="S1956" s="4">
        <f t="shared" si="9"/>
        <v>0.1488351373</v>
      </c>
      <c r="T1956" s="4">
        <f t="shared" si="10"/>
        <v>41</v>
      </c>
      <c r="U1956" s="4">
        <f t="shared" si="1"/>
        <v>0.1488351373</v>
      </c>
      <c r="V1956" s="4"/>
    </row>
    <row r="1957">
      <c r="A1957" s="1" t="s">
        <v>19697</v>
      </c>
      <c r="B1957" s="1" t="s">
        <v>19698</v>
      </c>
      <c r="C1957" s="1" t="s">
        <v>19699</v>
      </c>
      <c r="D1957" s="1" t="s">
        <v>19653</v>
      </c>
      <c r="E1957" s="1" t="s">
        <v>19654</v>
      </c>
      <c r="F1957" s="1">
        <v>488960.0</v>
      </c>
      <c r="G1957" s="1">
        <v>24401.0</v>
      </c>
      <c r="H1957" s="1">
        <v>3557.0</v>
      </c>
      <c r="I1957" s="1">
        <v>1350000.0</v>
      </c>
      <c r="J1957" s="1" t="s">
        <v>2468</v>
      </c>
      <c r="K1957" s="5">
        <f t="shared" si="2"/>
        <v>0.3621925926</v>
      </c>
      <c r="L1957" s="6">
        <f t="shared" si="3"/>
        <v>346</v>
      </c>
      <c r="M1957" s="6">
        <f t="shared" si="4"/>
        <v>1413.179191</v>
      </c>
      <c r="N1957" s="7">
        <f t="shared" si="5"/>
        <v>0.001046799401</v>
      </c>
      <c r="O1957" s="7"/>
      <c r="P1957" s="4">
        <f t="shared" si="6"/>
        <v>0.2878012712</v>
      </c>
      <c r="Q1957" s="4">
        <f t="shared" si="7"/>
        <v>9</v>
      </c>
      <c r="R1957" s="4">
        <f t="shared" si="8"/>
        <v>0</v>
      </c>
      <c r="S1957" s="4">
        <f t="shared" si="9"/>
        <v>0.2878012712</v>
      </c>
      <c r="T1957" s="4">
        <f t="shared" si="10"/>
        <v>50</v>
      </c>
      <c r="U1957" s="4">
        <f t="shared" si="1"/>
        <v>0.2878012712</v>
      </c>
      <c r="V1957" s="4"/>
    </row>
    <row r="1958">
      <c r="A1958" s="1" t="s">
        <v>19700</v>
      </c>
      <c r="B1958" s="1" t="s">
        <v>19701</v>
      </c>
      <c r="C1958" s="1" t="s">
        <v>19702</v>
      </c>
      <c r="D1958" s="1" t="s">
        <v>19653</v>
      </c>
      <c r="E1958" s="1" t="s">
        <v>19654</v>
      </c>
      <c r="F1958" s="1">
        <v>643597.0</v>
      </c>
      <c r="G1958" s="1">
        <v>22695.0</v>
      </c>
      <c r="H1958" s="1">
        <v>1879.0</v>
      </c>
      <c r="I1958" s="1">
        <v>1350000.0</v>
      </c>
      <c r="J1958" s="1" t="s">
        <v>2468</v>
      </c>
      <c r="K1958" s="5">
        <f t="shared" si="2"/>
        <v>0.4767385185</v>
      </c>
      <c r="L1958" s="6">
        <f t="shared" si="3"/>
        <v>366</v>
      </c>
      <c r="M1958" s="6">
        <f t="shared" si="4"/>
        <v>1758.461749</v>
      </c>
      <c r="N1958" s="7">
        <f t="shared" si="5"/>
        <v>0.001302564258</v>
      </c>
      <c r="O1958" s="7"/>
      <c r="P1958" s="4">
        <f t="shared" si="6"/>
        <v>0.4679526828</v>
      </c>
      <c r="Q1958" s="4">
        <f t="shared" si="7"/>
        <v>7</v>
      </c>
      <c r="R1958" s="4">
        <f t="shared" si="8"/>
        <v>0</v>
      </c>
      <c r="S1958" s="4">
        <f t="shared" si="9"/>
        <v>0.4679526828</v>
      </c>
      <c r="T1958" s="4">
        <f t="shared" si="10"/>
        <v>50</v>
      </c>
      <c r="U1958" s="4">
        <f t="shared" si="1"/>
        <v>0.4679526828</v>
      </c>
      <c r="V1958" s="4"/>
    </row>
    <row r="1959">
      <c r="A1959" s="1" t="s">
        <v>19703</v>
      </c>
      <c r="B1959" s="1" t="s">
        <v>19704</v>
      </c>
      <c r="C1959" s="1" t="s">
        <v>19705</v>
      </c>
      <c r="D1959" s="1" t="s">
        <v>19653</v>
      </c>
      <c r="E1959" s="1" t="s">
        <v>19654</v>
      </c>
      <c r="F1959" s="1">
        <v>276008.0</v>
      </c>
      <c r="G1959" s="1">
        <v>13828.0</v>
      </c>
      <c r="H1959" s="1">
        <v>1004.0</v>
      </c>
      <c r="I1959" s="1">
        <v>1350000.0</v>
      </c>
      <c r="J1959" s="1" t="s">
        <v>2468</v>
      </c>
      <c r="K1959" s="5">
        <f t="shared" si="2"/>
        <v>0.2044503704</v>
      </c>
      <c r="L1959" s="6">
        <f t="shared" si="3"/>
        <v>371</v>
      </c>
      <c r="M1959" s="6">
        <f t="shared" si="4"/>
        <v>743.9568733</v>
      </c>
      <c r="N1959" s="7">
        <f t="shared" si="5"/>
        <v>0.0005510791654</v>
      </c>
      <c r="O1959" s="7"/>
      <c r="P1959" s="4">
        <f t="shared" si="6"/>
        <v>-0.06136593233</v>
      </c>
      <c r="Q1959" s="4">
        <f t="shared" si="7"/>
        <v>7</v>
      </c>
      <c r="R1959" s="4">
        <f t="shared" si="8"/>
        <v>0</v>
      </c>
      <c r="S1959" s="4">
        <f t="shared" si="9"/>
        <v>-0.06136593233</v>
      </c>
      <c r="T1959" s="4">
        <f t="shared" si="10"/>
        <v>31</v>
      </c>
      <c r="U1959" s="4">
        <f t="shared" si="1"/>
        <v>-0.06136593233</v>
      </c>
      <c r="V1959" s="4"/>
    </row>
    <row r="1960">
      <c r="A1960" s="1" t="s">
        <v>19706</v>
      </c>
      <c r="B1960" s="1" t="s">
        <v>19707</v>
      </c>
      <c r="C1960" s="1" t="s">
        <v>19708</v>
      </c>
      <c r="D1960" s="1" t="s">
        <v>19653</v>
      </c>
      <c r="E1960" s="1" t="s">
        <v>19654</v>
      </c>
      <c r="F1960" s="1">
        <v>405792.0</v>
      </c>
      <c r="G1960" s="1">
        <v>14293.0</v>
      </c>
      <c r="H1960" s="1">
        <v>1485.0</v>
      </c>
      <c r="I1960" s="1">
        <v>1350000.0</v>
      </c>
      <c r="J1960" s="1" t="s">
        <v>2468</v>
      </c>
      <c r="K1960" s="5">
        <f t="shared" si="2"/>
        <v>0.3005866667</v>
      </c>
      <c r="L1960" s="6">
        <f t="shared" si="3"/>
        <v>399</v>
      </c>
      <c r="M1960" s="6">
        <f t="shared" si="4"/>
        <v>1017.022556</v>
      </c>
      <c r="N1960" s="7">
        <f t="shared" si="5"/>
        <v>0.0007533500418</v>
      </c>
      <c r="O1960" s="7"/>
      <c r="P1960" s="4">
        <f t="shared" si="6"/>
        <v>0.08110627527</v>
      </c>
      <c r="Q1960" s="4">
        <f t="shared" si="7"/>
        <v>4</v>
      </c>
      <c r="R1960" s="4">
        <f t="shared" si="8"/>
        <v>0</v>
      </c>
      <c r="S1960" s="4">
        <f t="shared" si="9"/>
        <v>0.08110627527</v>
      </c>
      <c r="T1960" s="4">
        <f t="shared" si="10"/>
        <v>26</v>
      </c>
      <c r="U1960" s="4">
        <f t="shared" si="1"/>
        <v>0.08110627527</v>
      </c>
      <c r="V1960" s="4"/>
    </row>
    <row r="1961">
      <c r="A1961" s="1" t="s">
        <v>19709</v>
      </c>
      <c r="B1961" s="1" t="s">
        <v>19710</v>
      </c>
      <c r="C1961" s="1" t="s">
        <v>19711</v>
      </c>
      <c r="D1961" s="1" t="s">
        <v>19653</v>
      </c>
      <c r="E1961" s="1" t="s">
        <v>19654</v>
      </c>
      <c r="F1961" s="1">
        <v>456752.0</v>
      </c>
      <c r="G1961" s="1">
        <v>14938.0</v>
      </c>
      <c r="H1961" s="1">
        <v>902.0</v>
      </c>
      <c r="I1961" s="1">
        <v>1350000.0</v>
      </c>
      <c r="J1961" s="1" t="s">
        <v>2468</v>
      </c>
      <c r="K1961" s="5">
        <f t="shared" si="2"/>
        <v>0.3383348148</v>
      </c>
      <c r="L1961" s="6">
        <f t="shared" si="3"/>
        <v>430</v>
      </c>
      <c r="M1961" s="6">
        <f t="shared" si="4"/>
        <v>1062.213953</v>
      </c>
      <c r="N1961" s="7">
        <f t="shared" si="5"/>
        <v>0.0007868251507</v>
      </c>
      <c r="O1961" s="7"/>
      <c r="P1961" s="4">
        <f t="shared" si="6"/>
        <v>0.1046849177</v>
      </c>
      <c r="Q1961" s="4">
        <f t="shared" si="7"/>
        <v>6</v>
      </c>
      <c r="R1961" s="4">
        <f t="shared" si="8"/>
        <v>1</v>
      </c>
      <c r="S1961" s="4">
        <f t="shared" si="9"/>
        <v>0.1046849177</v>
      </c>
      <c r="T1961" s="4">
        <f t="shared" si="10"/>
        <v>24</v>
      </c>
      <c r="U1961" s="4">
        <f t="shared" si="1"/>
        <v>0.1046849177</v>
      </c>
      <c r="V1961" s="4"/>
    </row>
    <row r="1962">
      <c r="A1962" s="1" t="s">
        <v>19712</v>
      </c>
      <c r="B1962" s="1" t="s">
        <v>19713</v>
      </c>
      <c r="C1962" s="1" t="s">
        <v>19714</v>
      </c>
      <c r="D1962" s="1" t="s">
        <v>19653</v>
      </c>
      <c r="E1962" s="1" t="s">
        <v>19654</v>
      </c>
      <c r="F1962" s="1">
        <v>373425.0</v>
      </c>
      <c r="G1962" s="1">
        <v>15565.0</v>
      </c>
      <c r="H1962" s="1">
        <v>1158.0</v>
      </c>
      <c r="I1962" s="1">
        <v>1350000.0</v>
      </c>
      <c r="J1962" s="1" t="s">
        <v>2468</v>
      </c>
      <c r="K1962" s="5">
        <f t="shared" si="2"/>
        <v>0.2766111111</v>
      </c>
      <c r="L1962" s="6">
        <f t="shared" si="3"/>
        <v>432</v>
      </c>
      <c r="M1962" s="6">
        <f t="shared" si="4"/>
        <v>864.4097222</v>
      </c>
      <c r="N1962" s="7">
        <f t="shared" si="5"/>
        <v>0.0006403034979</v>
      </c>
      <c r="O1962" s="7"/>
      <c r="P1962" s="4">
        <f t="shared" si="6"/>
        <v>0.001480424275</v>
      </c>
      <c r="Q1962" s="4">
        <f t="shared" si="7"/>
        <v>9</v>
      </c>
      <c r="R1962" s="4">
        <f t="shared" si="8"/>
        <v>0</v>
      </c>
      <c r="S1962" s="4">
        <f t="shared" si="9"/>
        <v>0.001480424275</v>
      </c>
      <c r="T1962" s="4">
        <f t="shared" si="10"/>
        <v>43</v>
      </c>
      <c r="U1962" s="4">
        <f t="shared" si="1"/>
        <v>0.001480424275</v>
      </c>
      <c r="V1962" s="4"/>
    </row>
    <row r="1963">
      <c r="A1963" s="1" t="s">
        <v>19715</v>
      </c>
      <c r="B1963" s="1" t="s">
        <v>19716</v>
      </c>
      <c r="C1963" s="1" t="s">
        <v>19717</v>
      </c>
      <c r="D1963" s="1" t="s">
        <v>19653</v>
      </c>
      <c r="E1963" s="1" t="s">
        <v>19654</v>
      </c>
      <c r="F1963" s="1">
        <v>181655.0</v>
      </c>
      <c r="G1963" s="1">
        <v>7464.0</v>
      </c>
      <c r="H1963" s="1">
        <v>519.0</v>
      </c>
      <c r="I1963" s="1">
        <v>1350000.0</v>
      </c>
      <c r="J1963" s="1" t="s">
        <v>2468</v>
      </c>
      <c r="K1963" s="5">
        <f t="shared" si="2"/>
        <v>0.1345592593</v>
      </c>
      <c r="L1963" s="6">
        <f t="shared" si="3"/>
        <v>443</v>
      </c>
      <c r="M1963" s="6">
        <f t="shared" si="4"/>
        <v>410.0564334</v>
      </c>
      <c r="N1963" s="7">
        <f t="shared" si="5"/>
        <v>0.0003037455062</v>
      </c>
      <c r="O1963" s="7"/>
      <c r="P1963" s="4">
        <f t="shared" si="6"/>
        <v>-0.2355787161</v>
      </c>
      <c r="Q1963" s="4">
        <f t="shared" si="7"/>
        <v>8</v>
      </c>
      <c r="R1963" s="4">
        <f t="shared" si="8"/>
        <v>1</v>
      </c>
      <c r="S1963" s="4">
        <f t="shared" si="9"/>
        <v>-0.2355787161</v>
      </c>
      <c r="T1963" s="4">
        <f t="shared" si="10"/>
        <v>44</v>
      </c>
      <c r="U1963" s="4">
        <f t="shared" si="1"/>
        <v>-0.2355787161</v>
      </c>
      <c r="V1963" s="4"/>
    </row>
    <row r="1964">
      <c r="A1964" s="1" t="s">
        <v>19718</v>
      </c>
      <c r="B1964" s="1" t="s">
        <v>19719</v>
      </c>
      <c r="C1964" s="1" t="s">
        <v>19720</v>
      </c>
      <c r="D1964" s="1" t="s">
        <v>19653</v>
      </c>
      <c r="E1964" s="1" t="s">
        <v>19654</v>
      </c>
      <c r="F1964" s="1">
        <v>263389.0</v>
      </c>
      <c r="G1964" s="1">
        <v>13572.0</v>
      </c>
      <c r="H1964" s="1">
        <v>1597.0</v>
      </c>
      <c r="I1964" s="1">
        <v>1350000.0</v>
      </c>
      <c r="J1964" s="1" t="s">
        <v>2468</v>
      </c>
      <c r="K1964" s="5">
        <f t="shared" si="2"/>
        <v>0.195102963</v>
      </c>
      <c r="L1964" s="6">
        <f t="shared" si="3"/>
        <v>449</v>
      </c>
      <c r="M1964" s="6">
        <f t="shared" si="4"/>
        <v>586.6124722</v>
      </c>
      <c r="N1964" s="7">
        <f t="shared" si="5"/>
        <v>0.0004345277572</v>
      </c>
      <c r="O1964" s="7"/>
      <c r="P1964" s="4">
        <f t="shared" si="6"/>
        <v>-0.1434604817</v>
      </c>
      <c r="Q1964" s="4">
        <f t="shared" si="7"/>
        <v>9</v>
      </c>
      <c r="R1964" s="4">
        <f t="shared" si="8"/>
        <v>0</v>
      </c>
      <c r="S1964" s="4">
        <f t="shared" si="9"/>
        <v>-0.1434604817</v>
      </c>
      <c r="T1964" s="4">
        <f t="shared" si="10"/>
        <v>39</v>
      </c>
      <c r="U1964" s="4">
        <f t="shared" si="1"/>
        <v>-0.1434604817</v>
      </c>
      <c r="V1964" s="4"/>
    </row>
    <row r="1965">
      <c r="A1965" s="1" t="s">
        <v>19721</v>
      </c>
      <c r="B1965" s="1" t="s">
        <v>19722</v>
      </c>
      <c r="C1965" s="1" t="s">
        <v>19723</v>
      </c>
      <c r="D1965" s="1" t="s">
        <v>19653</v>
      </c>
      <c r="E1965" s="1" t="s">
        <v>19654</v>
      </c>
      <c r="F1965" s="1">
        <v>885130.0</v>
      </c>
      <c r="G1965" s="1">
        <v>38801.0</v>
      </c>
      <c r="H1965" s="1">
        <v>3193.0</v>
      </c>
      <c r="I1965" s="1">
        <v>1350000.0</v>
      </c>
      <c r="J1965" s="1" t="s">
        <v>2468</v>
      </c>
      <c r="K1965" s="5">
        <f t="shared" si="2"/>
        <v>0.6556518519</v>
      </c>
      <c r="L1965" s="6">
        <f t="shared" si="3"/>
        <v>461</v>
      </c>
      <c r="M1965" s="6">
        <f t="shared" si="4"/>
        <v>1920.021692</v>
      </c>
      <c r="N1965" s="7">
        <f t="shared" si="5"/>
        <v>0.00142223829</v>
      </c>
      <c r="O1965" s="7"/>
      <c r="P1965" s="4">
        <f t="shared" si="6"/>
        <v>0.5522466942</v>
      </c>
      <c r="Q1965" s="4">
        <f t="shared" si="7"/>
        <v>7</v>
      </c>
      <c r="R1965" s="4">
        <f t="shared" si="8"/>
        <v>1</v>
      </c>
      <c r="S1965" s="4">
        <f t="shared" si="9"/>
        <v>0.5522466942</v>
      </c>
      <c r="T1965" s="4">
        <f t="shared" si="10"/>
        <v>32</v>
      </c>
      <c r="U1965" s="4">
        <f t="shared" si="1"/>
        <v>0.5522466942</v>
      </c>
      <c r="V1965" s="4"/>
    </row>
    <row r="1966">
      <c r="A1966" s="1" t="s">
        <v>19724</v>
      </c>
      <c r="B1966" s="1" t="s">
        <v>19725</v>
      </c>
      <c r="C1966" s="1" t="s">
        <v>19726</v>
      </c>
      <c r="D1966" s="1" t="s">
        <v>19653</v>
      </c>
      <c r="E1966" s="1" t="s">
        <v>19654</v>
      </c>
      <c r="F1966" s="1">
        <v>703852.0</v>
      </c>
      <c r="G1966" s="1">
        <v>30511.0</v>
      </c>
      <c r="H1966" s="1">
        <v>1754.0</v>
      </c>
      <c r="I1966" s="1">
        <v>1350000.0</v>
      </c>
      <c r="J1966" s="1" t="s">
        <v>2468</v>
      </c>
      <c r="K1966" s="5">
        <f t="shared" si="2"/>
        <v>0.5213718519</v>
      </c>
      <c r="L1966" s="6">
        <f t="shared" si="3"/>
        <v>477</v>
      </c>
      <c r="M1966" s="6">
        <f t="shared" si="4"/>
        <v>1475.580713</v>
      </c>
      <c r="N1966" s="7">
        <f t="shared" si="5"/>
        <v>0.00109302275</v>
      </c>
      <c r="O1966" s="7"/>
      <c r="P1966" s="4">
        <f t="shared" si="6"/>
        <v>0.3203593082</v>
      </c>
      <c r="Q1966" s="4">
        <f t="shared" si="7"/>
        <v>7</v>
      </c>
      <c r="R1966" s="4">
        <f t="shared" si="8"/>
        <v>0</v>
      </c>
      <c r="S1966" s="4">
        <f t="shared" si="9"/>
        <v>0.3203593082</v>
      </c>
      <c r="T1966" s="4">
        <f t="shared" si="10"/>
        <v>38</v>
      </c>
      <c r="U1966" s="4">
        <f t="shared" si="1"/>
        <v>0.3203593082</v>
      </c>
      <c r="V1966" s="4"/>
    </row>
    <row r="1967">
      <c r="A1967" s="1" t="s">
        <v>19727</v>
      </c>
      <c r="B1967" s="1" t="s">
        <v>19728</v>
      </c>
      <c r="C1967" s="1" t="s">
        <v>19729</v>
      </c>
      <c r="D1967" s="1" t="s">
        <v>19653</v>
      </c>
      <c r="E1967" s="1" t="s">
        <v>19654</v>
      </c>
      <c r="F1967" s="1">
        <v>515530.0</v>
      </c>
      <c r="G1967" s="1">
        <v>17743.0</v>
      </c>
      <c r="H1967" s="1">
        <v>3434.0</v>
      </c>
      <c r="I1967" s="1">
        <v>1350000.0</v>
      </c>
      <c r="J1967" s="1" t="s">
        <v>2468</v>
      </c>
      <c r="K1967" s="5">
        <f t="shared" si="2"/>
        <v>0.3818740741</v>
      </c>
      <c r="L1967" s="6">
        <f t="shared" si="3"/>
        <v>491</v>
      </c>
      <c r="M1967" s="6">
        <f t="shared" si="4"/>
        <v>1049.959267</v>
      </c>
      <c r="N1967" s="7">
        <f t="shared" si="5"/>
        <v>0.000777747605</v>
      </c>
      <c r="O1967" s="7"/>
      <c r="P1967" s="4">
        <f t="shared" si="6"/>
        <v>0.09829102654</v>
      </c>
      <c r="Q1967" s="4">
        <f t="shared" si="7"/>
        <v>9</v>
      </c>
      <c r="R1967" s="4">
        <f t="shared" si="8"/>
        <v>0</v>
      </c>
      <c r="S1967" s="4">
        <f t="shared" si="9"/>
        <v>0.09829102654</v>
      </c>
      <c r="T1967" s="4">
        <f t="shared" si="10"/>
        <v>31</v>
      </c>
      <c r="U1967" s="4">
        <f t="shared" si="1"/>
        <v>0.09829102654</v>
      </c>
      <c r="V1967" s="4"/>
    </row>
    <row r="1968">
      <c r="A1968" s="1" t="s">
        <v>19730</v>
      </c>
      <c r="B1968" s="1" t="s">
        <v>19731</v>
      </c>
      <c r="C1968" s="1" t="s">
        <v>19732</v>
      </c>
      <c r="D1968" s="1" t="s">
        <v>19653</v>
      </c>
      <c r="E1968" s="1" t="s">
        <v>19654</v>
      </c>
      <c r="F1968" s="1">
        <v>2019215.0</v>
      </c>
      <c r="G1968" s="1">
        <v>105067.0</v>
      </c>
      <c r="H1968" s="1">
        <v>12621.0</v>
      </c>
      <c r="I1968" s="1">
        <v>1350000.0</v>
      </c>
      <c r="J1968" s="1" t="s">
        <v>2468</v>
      </c>
      <c r="K1968" s="5">
        <f t="shared" si="2"/>
        <v>1.495714815</v>
      </c>
      <c r="L1968" s="6">
        <f t="shared" si="3"/>
        <v>514</v>
      </c>
      <c r="M1968" s="6">
        <f t="shared" si="4"/>
        <v>3928.433852</v>
      </c>
      <c r="N1968" s="7">
        <f t="shared" si="5"/>
        <v>0.002909951002</v>
      </c>
      <c r="O1968" s="7"/>
      <c r="P1968" s="4">
        <f t="shared" si="6"/>
        <v>1.600137118</v>
      </c>
      <c r="Q1968" s="4">
        <f t="shared" si="7"/>
        <v>5</v>
      </c>
      <c r="R1968" s="4">
        <f t="shared" si="8"/>
        <v>0</v>
      </c>
      <c r="S1968" s="4">
        <f t="shared" si="9"/>
        <v>1.600137118</v>
      </c>
      <c r="T1968" s="4">
        <f t="shared" si="10"/>
        <v>31</v>
      </c>
      <c r="U1968" s="4">
        <f t="shared" si="1"/>
        <v>1.600137118</v>
      </c>
      <c r="V1968" s="4"/>
    </row>
    <row r="1969">
      <c r="A1969" s="1" t="s">
        <v>19733</v>
      </c>
      <c r="B1969" s="1" t="s">
        <v>19734</v>
      </c>
      <c r="C1969" s="1" t="s">
        <v>19735</v>
      </c>
      <c r="D1969" s="1" t="s">
        <v>19653</v>
      </c>
      <c r="E1969" s="1" t="s">
        <v>19654</v>
      </c>
      <c r="F1969" s="1">
        <v>1145850.0</v>
      </c>
      <c r="G1969" s="1">
        <v>43518.0</v>
      </c>
      <c r="H1969" s="1">
        <v>2521.0</v>
      </c>
      <c r="I1969" s="1">
        <v>1350000.0</v>
      </c>
      <c r="J1969" s="1" t="s">
        <v>2468</v>
      </c>
      <c r="K1969" s="5">
        <f t="shared" si="2"/>
        <v>0.8487777778</v>
      </c>
      <c r="L1969" s="6">
        <f t="shared" si="3"/>
        <v>539</v>
      </c>
      <c r="M1969" s="6">
        <f t="shared" si="4"/>
        <v>2125.881262</v>
      </c>
      <c r="N1969" s="7">
        <f t="shared" si="5"/>
        <v>0.00157472686</v>
      </c>
      <c r="O1969" s="7"/>
      <c r="P1969" s="4">
        <f t="shared" si="6"/>
        <v>0.659654066</v>
      </c>
      <c r="Q1969" s="4">
        <f t="shared" si="7"/>
        <v>6</v>
      </c>
      <c r="R1969" s="4">
        <f t="shared" si="8"/>
        <v>0</v>
      </c>
      <c r="S1969" s="4">
        <f t="shared" si="9"/>
        <v>0.659654066</v>
      </c>
      <c r="T1969" s="4">
        <f t="shared" si="10"/>
        <v>32</v>
      </c>
      <c r="U1969" s="4">
        <f t="shared" si="1"/>
        <v>0.659654066</v>
      </c>
      <c r="V1969" s="4"/>
    </row>
    <row r="1970">
      <c r="A1970" s="1" t="s">
        <v>19736</v>
      </c>
      <c r="B1970" s="1" t="s">
        <v>19737</v>
      </c>
      <c r="C1970" s="1" t="s">
        <v>19738</v>
      </c>
      <c r="D1970" s="1" t="s">
        <v>19653</v>
      </c>
      <c r="E1970" s="1" t="s">
        <v>19654</v>
      </c>
      <c r="F1970" s="1">
        <v>440298.0</v>
      </c>
      <c r="G1970" s="1">
        <v>15527.0</v>
      </c>
      <c r="H1970" s="1">
        <v>1498.0</v>
      </c>
      <c r="I1970" s="1">
        <v>1350000.0</v>
      </c>
      <c r="J1970" s="1" t="s">
        <v>2468</v>
      </c>
      <c r="K1970" s="5">
        <f t="shared" si="2"/>
        <v>0.3261466667</v>
      </c>
      <c r="L1970" s="6">
        <f t="shared" si="3"/>
        <v>545</v>
      </c>
      <c r="M1970" s="6">
        <f t="shared" si="4"/>
        <v>807.8862385</v>
      </c>
      <c r="N1970" s="7">
        <f t="shared" si="5"/>
        <v>0.0005984342508</v>
      </c>
      <c r="O1970" s="7"/>
      <c r="P1970" s="4">
        <f t="shared" si="6"/>
        <v>-0.02801074214</v>
      </c>
      <c r="Q1970" s="4">
        <f t="shared" si="7"/>
        <v>7</v>
      </c>
      <c r="R1970" s="4">
        <f t="shared" si="8"/>
        <v>0</v>
      </c>
      <c r="S1970" s="4">
        <f t="shared" si="9"/>
        <v>-0.02801074214</v>
      </c>
      <c r="T1970" s="4">
        <f t="shared" si="10"/>
        <v>44</v>
      </c>
      <c r="U1970" s="4">
        <f t="shared" si="1"/>
        <v>-0.02801074214</v>
      </c>
      <c r="V1970" s="4"/>
    </row>
    <row r="1971">
      <c r="A1971" s="1" t="s">
        <v>19739</v>
      </c>
      <c r="B1971" s="1" t="s">
        <v>19740</v>
      </c>
      <c r="C1971" s="1" t="s">
        <v>19741</v>
      </c>
      <c r="D1971" s="1" t="s">
        <v>19653</v>
      </c>
      <c r="E1971" s="1" t="s">
        <v>19654</v>
      </c>
      <c r="F1971" s="1">
        <v>306207.0</v>
      </c>
      <c r="G1971" s="1">
        <v>12707.0</v>
      </c>
      <c r="H1971" s="1">
        <v>863.0</v>
      </c>
      <c r="I1971" s="1">
        <v>1350000.0</v>
      </c>
      <c r="J1971" s="1" t="s">
        <v>2468</v>
      </c>
      <c r="K1971" s="5">
        <f t="shared" si="2"/>
        <v>0.22682</v>
      </c>
      <c r="L1971" s="6">
        <f t="shared" si="3"/>
        <v>553</v>
      </c>
      <c r="M1971" s="6">
        <f t="shared" si="4"/>
        <v>553.7197107</v>
      </c>
      <c r="N1971" s="7">
        <f t="shared" si="5"/>
        <v>0.0004101627486</v>
      </c>
      <c r="O1971" s="7"/>
      <c r="P1971" s="4">
        <f t="shared" si="6"/>
        <v>-0.1606223025</v>
      </c>
      <c r="Q1971" s="4">
        <f t="shared" si="7"/>
        <v>7</v>
      </c>
      <c r="R1971" s="4">
        <f t="shared" si="8"/>
        <v>1</v>
      </c>
      <c r="S1971" s="4">
        <f t="shared" si="9"/>
        <v>-0.1606223025</v>
      </c>
      <c r="T1971" s="4">
        <f t="shared" si="10"/>
        <v>27</v>
      </c>
      <c r="U1971" s="4">
        <f t="shared" si="1"/>
        <v>-0.1606223025</v>
      </c>
      <c r="V1971" s="4"/>
    </row>
    <row r="1972">
      <c r="A1972" s="1" t="s">
        <v>19742</v>
      </c>
      <c r="B1972" s="1" t="s">
        <v>19743</v>
      </c>
      <c r="C1972" s="1" t="s">
        <v>19744</v>
      </c>
      <c r="D1972" s="1" t="s">
        <v>19653</v>
      </c>
      <c r="E1972" s="1" t="s">
        <v>19654</v>
      </c>
      <c r="F1972" s="1">
        <v>325712.0</v>
      </c>
      <c r="G1972" s="1">
        <v>11953.0</v>
      </c>
      <c r="H1972" s="1">
        <v>901.0</v>
      </c>
      <c r="I1972" s="1">
        <v>1350000.0</v>
      </c>
      <c r="J1972" s="1" t="s">
        <v>2468</v>
      </c>
      <c r="K1972" s="5">
        <f t="shared" si="2"/>
        <v>0.2412681481</v>
      </c>
      <c r="L1972" s="6">
        <f t="shared" si="3"/>
        <v>566</v>
      </c>
      <c r="M1972" s="6">
        <f t="shared" si="4"/>
        <v>575.4628975</v>
      </c>
      <c r="N1972" s="7">
        <f t="shared" si="5"/>
        <v>0.000426268813</v>
      </c>
      <c r="O1972" s="7"/>
      <c r="P1972" s="4">
        <f t="shared" si="6"/>
        <v>-0.1492777799</v>
      </c>
      <c r="Q1972" s="4">
        <f t="shared" si="7"/>
        <v>8</v>
      </c>
      <c r="R1972" s="4">
        <f t="shared" si="8"/>
        <v>1</v>
      </c>
      <c r="S1972" s="4">
        <f t="shared" si="9"/>
        <v>-0.1492777799</v>
      </c>
      <c r="T1972" s="4">
        <f t="shared" si="10"/>
        <v>34</v>
      </c>
      <c r="U1972" s="4">
        <f t="shared" si="1"/>
        <v>-0.1492777799</v>
      </c>
      <c r="V1972" s="4"/>
    </row>
    <row r="1973">
      <c r="A1973" s="1" t="s">
        <v>19745</v>
      </c>
      <c r="B1973" s="1" t="s">
        <v>19746</v>
      </c>
      <c r="C1973" s="1" t="s">
        <v>19747</v>
      </c>
      <c r="D1973" s="1" t="s">
        <v>19653</v>
      </c>
      <c r="E1973" s="1" t="s">
        <v>19654</v>
      </c>
      <c r="F1973" s="1">
        <v>232379.0</v>
      </c>
      <c r="G1973" s="1">
        <v>9011.0</v>
      </c>
      <c r="H1973" s="1">
        <v>1024.0</v>
      </c>
      <c r="I1973" s="1">
        <v>1350000.0</v>
      </c>
      <c r="J1973" s="1" t="s">
        <v>2468</v>
      </c>
      <c r="K1973" s="5">
        <f t="shared" si="2"/>
        <v>0.1721325926</v>
      </c>
      <c r="L1973" s="6">
        <f t="shared" si="3"/>
        <v>579</v>
      </c>
      <c r="M1973" s="6">
        <f t="shared" si="4"/>
        <v>401.3454231</v>
      </c>
      <c r="N1973" s="7">
        <f t="shared" si="5"/>
        <v>0.000297292906</v>
      </c>
      <c r="O1973" s="7"/>
      <c r="P1973" s="4">
        <f t="shared" si="6"/>
        <v>-0.2401236917</v>
      </c>
      <c r="Q1973" s="4">
        <f t="shared" si="7"/>
        <v>8</v>
      </c>
      <c r="R1973" s="4">
        <f t="shared" si="8"/>
        <v>0</v>
      </c>
      <c r="S1973" s="4">
        <f t="shared" si="9"/>
        <v>-0.2401236917</v>
      </c>
      <c r="T1973" s="4">
        <f t="shared" si="10"/>
        <v>28</v>
      </c>
      <c r="U1973" s="4">
        <f t="shared" si="1"/>
        <v>-0.2401236917</v>
      </c>
      <c r="V1973" s="4"/>
    </row>
    <row r="1974">
      <c r="A1974" s="1" t="s">
        <v>19748</v>
      </c>
      <c r="B1974" s="1" t="s">
        <v>19749</v>
      </c>
      <c r="C1974" s="1" t="s">
        <v>19750</v>
      </c>
      <c r="D1974" s="1" t="s">
        <v>19653</v>
      </c>
      <c r="E1974" s="1" t="s">
        <v>19654</v>
      </c>
      <c r="F1974" s="1">
        <v>761043.0</v>
      </c>
      <c r="G1974" s="1">
        <v>23704.0</v>
      </c>
      <c r="H1974" s="1">
        <v>2146.0</v>
      </c>
      <c r="I1974" s="1">
        <v>1350000.0</v>
      </c>
      <c r="J1974" s="1" t="s">
        <v>2468</v>
      </c>
      <c r="K1974" s="5">
        <f t="shared" si="2"/>
        <v>0.5637355556</v>
      </c>
      <c r="L1974" s="6">
        <f t="shared" si="3"/>
        <v>595</v>
      </c>
      <c r="M1974" s="6">
        <f t="shared" si="4"/>
        <v>1279.063866</v>
      </c>
      <c r="N1974" s="7">
        <f t="shared" si="5"/>
        <v>0.0009474547152</v>
      </c>
      <c r="O1974" s="7"/>
      <c r="P1974" s="4">
        <f t="shared" si="6"/>
        <v>0.2178265082</v>
      </c>
      <c r="Q1974" s="4">
        <f t="shared" si="7"/>
        <v>6</v>
      </c>
      <c r="R1974" s="4">
        <f t="shared" si="8"/>
        <v>1</v>
      </c>
      <c r="S1974" s="4">
        <f t="shared" si="9"/>
        <v>0.2178265082</v>
      </c>
      <c r="T1974" s="4">
        <f t="shared" si="10"/>
        <v>33</v>
      </c>
      <c r="U1974" s="4">
        <f t="shared" si="1"/>
        <v>0.2178265082</v>
      </c>
      <c r="V1974" s="4"/>
    </row>
    <row r="1975">
      <c r="A1975" s="1" t="s">
        <v>19751</v>
      </c>
      <c r="B1975" s="1" t="s">
        <v>19752</v>
      </c>
      <c r="C1975" s="1" t="s">
        <v>19753</v>
      </c>
      <c r="D1975" s="1" t="s">
        <v>19653</v>
      </c>
      <c r="E1975" s="1" t="s">
        <v>19654</v>
      </c>
      <c r="F1975" s="1">
        <v>374708.0</v>
      </c>
      <c r="G1975" s="1">
        <v>14463.0</v>
      </c>
      <c r="H1975" s="1">
        <v>1205.0</v>
      </c>
      <c r="I1975" s="1">
        <v>1350000.0</v>
      </c>
      <c r="J1975" s="1" t="s">
        <v>2468</v>
      </c>
      <c r="K1975" s="5">
        <f t="shared" si="2"/>
        <v>0.2775614815</v>
      </c>
      <c r="L1975" s="6">
        <f t="shared" si="3"/>
        <v>619</v>
      </c>
      <c r="M1975" s="6">
        <f t="shared" si="4"/>
        <v>605.3441034</v>
      </c>
      <c r="N1975" s="7">
        <f t="shared" si="5"/>
        <v>0.0004484030396</v>
      </c>
      <c r="O1975" s="7"/>
      <c r="P1975" s="4">
        <f t="shared" si="6"/>
        <v>-0.1336872402</v>
      </c>
      <c r="Q1975" s="4">
        <f t="shared" si="7"/>
        <v>7</v>
      </c>
      <c r="R1975" s="4">
        <f t="shared" si="8"/>
        <v>0</v>
      </c>
      <c r="S1975" s="4">
        <f t="shared" si="9"/>
        <v>-0.1336872402</v>
      </c>
      <c r="T1975" s="4">
        <f t="shared" si="10"/>
        <v>39</v>
      </c>
      <c r="U1975" s="4">
        <f t="shared" si="1"/>
        <v>-0.1336872402</v>
      </c>
      <c r="V1975" s="4"/>
    </row>
    <row r="1976">
      <c r="A1976" s="1" t="s">
        <v>19754</v>
      </c>
      <c r="B1976" s="1" t="s">
        <v>19755</v>
      </c>
      <c r="C1976" s="1" t="s">
        <v>19756</v>
      </c>
      <c r="D1976" s="1" t="s">
        <v>19653</v>
      </c>
      <c r="E1976" s="1" t="s">
        <v>19654</v>
      </c>
      <c r="F1976" s="1">
        <v>537806.0</v>
      </c>
      <c r="G1976" s="1">
        <v>23001.0</v>
      </c>
      <c r="H1976" s="1">
        <v>1490.0</v>
      </c>
      <c r="I1976" s="1">
        <v>1350000.0</v>
      </c>
      <c r="J1976" s="1" t="s">
        <v>2468</v>
      </c>
      <c r="K1976" s="5">
        <f t="shared" si="2"/>
        <v>0.3983748148</v>
      </c>
      <c r="L1976" s="6">
        <f t="shared" si="3"/>
        <v>651</v>
      </c>
      <c r="M1976" s="6">
        <f t="shared" si="4"/>
        <v>826.1228879</v>
      </c>
      <c r="N1976" s="7">
        <f t="shared" si="5"/>
        <v>0.0006119428799</v>
      </c>
      <c r="O1976" s="7"/>
      <c r="P1976" s="4">
        <f t="shared" si="6"/>
        <v>-0.01849575784</v>
      </c>
      <c r="Q1976" s="4">
        <f t="shared" si="7"/>
        <v>6</v>
      </c>
      <c r="R1976" s="4">
        <f t="shared" si="8"/>
        <v>0</v>
      </c>
      <c r="S1976" s="4">
        <f t="shared" si="9"/>
        <v>-0.01849575784</v>
      </c>
      <c r="T1976" s="4">
        <f t="shared" si="10"/>
        <v>33</v>
      </c>
      <c r="U1976" s="4">
        <f t="shared" si="1"/>
        <v>-0.01849575784</v>
      </c>
      <c r="V1976" s="4"/>
    </row>
    <row r="1977">
      <c r="A1977" s="1" t="s">
        <v>19757</v>
      </c>
      <c r="B1977" s="1" t="s">
        <v>19758</v>
      </c>
      <c r="C1977" s="1" t="s">
        <v>19759</v>
      </c>
      <c r="D1977" s="1" t="s">
        <v>19653</v>
      </c>
      <c r="E1977" s="1" t="s">
        <v>19654</v>
      </c>
      <c r="F1977" s="1">
        <v>239494.0</v>
      </c>
      <c r="G1977" s="1">
        <v>9506.0</v>
      </c>
      <c r="H1977" s="1">
        <v>1132.0</v>
      </c>
      <c r="I1977" s="1">
        <v>1350000.0</v>
      </c>
      <c r="J1977" s="1" t="s">
        <v>2468</v>
      </c>
      <c r="K1977" s="5">
        <f t="shared" si="2"/>
        <v>0.177402963</v>
      </c>
      <c r="L1977" s="6">
        <f t="shared" si="3"/>
        <v>667</v>
      </c>
      <c r="M1977" s="6">
        <f t="shared" si="4"/>
        <v>359.0614693</v>
      </c>
      <c r="N1977" s="7">
        <f t="shared" si="5"/>
        <v>0.0002659714587</v>
      </c>
      <c r="O1977" s="7"/>
      <c r="P1977" s="4">
        <f t="shared" si="6"/>
        <v>-0.2621853736</v>
      </c>
      <c r="Q1977" s="4">
        <f t="shared" si="7"/>
        <v>13</v>
      </c>
      <c r="R1977" s="4">
        <f t="shared" si="8"/>
        <v>1</v>
      </c>
      <c r="S1977" s="4">
        <f t="shared" si="9"/>
        <v>-0.2621853736</v>
      </c>
      <c r="T1977" s="4">
        <f t="shared" si="10"/>
        <v>62</v>
      </c>
      <c r="U1977" s="4">
        <f t="shared" si="1"/>
        <v>-0.2621853736</v>
      </c>
      <c r="V1977" s="4"/>
    </row>
    <row r="1978">
      <c r="A1978" s="1" t="s">
        <v>19760</v>
      </c>
      <c r="B1978" s="1" t="s">
        <v>19761</v>
      </c>
      <c r="C1978" s="1" t="s">
        <v>19762</v>
      </c>
      <c r="D1978" s="1" t="s">
        <v>19653</v>
      </c>
      <c r="E1978" s="1" t="s">
        <v>19654</v>
      </c>
      <c r="F1978" s="1">
        <v>522067.0</v>
      </c>
      <c r="G1978" s="1">
        <v>25747.0</v>
      </c>
      <c r="H1978" s="1">
        <v>2301.0</v>
      </c>
      <c r="I1978" s="1">
        <v>1350000.0</v>
      </c>
      <c r="J1978" s="1" t="s">
        <v>2468</v>
      </c>
      <c r="K1978" s="5">
        <f t="shared" si="2"/>
        <v>0.3867162963</v>
      </c>
      <c r="L1978" s="6">
        <f t="shared" si="3"/>
        <v>672</v>
      </c>
      <c r="M1978" s="6">
        <f t="shared" si="4"/>
        <v>776.8854167</v>
      </c>
      <c r="N1978" s="7">
        <f t="shared" si="5"/>
        <v>0.000575470679</v>
      </c>
      <c r="O1978" s="7"/>
      <c r="P1978" s="4">
        <f t="shared" si="6"/>
        <v>-0.04418544223</v>
      </c>
      <c r="Q1978" s="4">
        <f t="shared" si="7"/>
        <v>7</v>
      </c>
      <c r="R1978" s="4">
        <f t="shared" si="8"/>
        <v>3</v>
      </c>
      <c r="S1978" s="4">
        <f t="shared" si="9"/>
        <v>-0.04418544223</v>
      </c>
      <c r="T1978" s="4">
        <f t="shared" si="10"/>
        <v>43</v>
      </c>
      <c r="U1978" s="4">
        <f t="shared" si="1"/>
        <v>-0.04418544223</v>
      </c>
      <c r="V1978" s="4"/>
    </row>
    <row r="1979">
      <c r="A1979" s="1" t="s">
        <v>19763</v>
      </c>
      <c r="B1979" s="1" t="s">
        <v>19764</v>
      </c>
      <c r="C1979" s="1" t="s">
        <v>19765</v>
      </c>
      <c r="D1979" s="1" t="s">
        <v>19653</v>
      </c>
      <c r="E1979" s="1" t="s">
        <v>19654</v>
      </c>
      <c r="F1979" s="1">
        <v>291753.0</v>
      </c>
      <c r="G1979" s="1">
        <v>12105.0</v>
      </c>
      <c r="H1979" s="1">
        <v>1254.0</v>
      </c>
      <c r="I1979" s="1">
        <v>1350000.0</v>
      </c>
      <c r="J1979" s="1" t="s">
        <v>2468</v>
      </c>
      <c r="K1979" s="5">
        <f t="shared" si="2"/>
        <v>0.2161133333</v>
      </c>
      <c r="L1979" s="6">
        <f t="shared" si="3"/>
        <v>678</v>
      </c>
      <c r="M1979" s="6">
        <f t="shared" si="4"/>
        <v>430.3141593</v>
      </c>
      <c r="N1979" s="7">
        <f t="shared" si="5"/>
        <v>0.0003187512291</v>
      </c>
      <c r="O1979" s="7"/>
      <c r="P1979" s="4">
        <f t="shared" si="6"/>
        <v>-0.2250092337</v>
      </c>
      <c r="Q1979" s="4">
        <f t="shared" si="7"/>
        <v>9</v>
      </c>
      <c r="R1979" s="4">
        <f t="shared" si="8"/>
        <v>1</v>
      </c>
      <c r="S1979" s="4">
        <f t="shared" si="9"/>
        <v>-0.2250092337</v>
      </c>
      <c r="T1979" s="4">
        <f t="shared" si="10"/>
        <v>46</v>
      </c>
      <c r="U1979" s="4">
        <f t="shared" si="1"/>
        <v>-0.2250092337</v>
      </c>
      <c r="V1979" s="4"/>
    </row>
    <row r="1980">
      <c r="A1980" s="1" t="s">
        <v>19766</v>
      </c>
      <c r="B1980" s="1" t="s">
        <v>19767</v>
      </c>
      <c r="C1980" s="1" t="s">
        <v>19768</v>
      </c>
      <c r="D1980" s="1" t="s">
        <v>19653</v>
      </c>
      <c r="E1980" s="1" t="s">
        <v>19654</v>
      </c>
      <c r="F1980" s="1">
        <v>491320.0</v>
      </c>
      <c r="G1980" s="1">
        <v>24778.0</v>
      </c>
      <c r="H1980" s="1">
        <v>2209.0</v>
      </c>
      <c r="I1980" s="1">
        <v>1350000.0</v>
      </c>
      <c r="J1980" s="1" t="s">
        <v>2468</v>
      </c>
      <c r="K1980" s="5">
        <f t="shared" si="2"/>
        <v>0.3639407407</v>
      </c>
      <c r="L1980" s="6">
        <f t="shared" si="3"/>
        <v>682</v>
      </c>
      <c r="M1980" s="6">
        <f t="shared" si="4"/>
        <v>720.4105572</v>
      </c>
      <c r="N1980" s="7">
        <f t="shared" si="5"/>
        <v>0.0005336374498</v>
      </c>
      <c r="O1980" s="7"/>
      <c r="P1980" s="4">
        <f t="shared" si="6"/>
        <v>-0.07365123894</v>
      </c>
      <c r="Q1980" s="4">
        <f t="shared" si="7"/>
        <v>9</v>
      </c>
      <c r="R1980" s="4">
        <f t="shared" si="8"/>
        <v>0</v>
      </c>
      <c r="S1980" s="4">
        <f t="shared" si="9"/>
        <v>-0.07365123894</v>
      </c>
      <c r="T1980" s="4">
        <f t="shared" si="10"/>
        <v>49</v>
      </c>
      <c r="U1980" s="4">
        <f t="shared" si="1"/>
        <v>-0.07365123894</v>
      </c>
      <c r="V1980" s="4"/>
    </row>
    <row r="1981">
      <c r="A1981" s="1" t="s">
        <v>19769</v>
      </c>
      <c r="B1981" s="1" t="s">
        <v>19770</v>
      </c>
      <c r="C1981" s="1" t="s">
        <v>19005</v>
      </c>
      <c r="D1981" s="1" t="s">
        <v>19653</v>
      </c>
      <c r="E1981" s="1" t="s">
        <v>19654</v>
      </c>
      <c r="F1981" s="1">
        <v>714920.0</v>
      </c>
      <c r="G1981" s="1">
        <v>24386.0</v>
      </c>
      <c r="H1981" s="1">
        <v>1440.0</v>
      </c>
      <c r="I1981" s="1">
        <v>1350000.0</v>
      </c>
      <c r="J1981" s="1" t="s">
        <v>2468</v>
      </c>
      <c r="K1981" s="5">
        <f t="shared" si="2"/>
        <v>0.5295703704</v>
      </c>
      <c r="L1981" s="6">
        <f t="shared" si="3"/>
        <v>719</v>
      </c>
      <c r="M1981" s="6">
        <f t="shared" si="4"/>
        <v>994.325452</v>
      </c>
      <c r="N1981" s="7">
        <f t="shared" si="5"/>
        <v>0.0007365373719</v>
      </c>
      <c r="O1981" s="7"/>
      <c r="P1981" s="4">
        <f t="shared" si="6"/>
        <v>0.06926404548</v>
      </c>
      <c r="Q1981" s="4">
        <f t="shared" si="7"/>
        <v>8</v>
      </c>
      <c r="R1981" s="4">
        <f t="shared" si="8"/>
        <v>1</v>
      </c>
      <c r="S1981" s="4">
        <f t="shared" si="9"/>
        <v>0.06926404548</v>
      </c>
      <c r="T1981" s="4">
        <f t="shared" si="10"/>
        <v>37</v>
      </c>
      <c r="U1981" s="4">
        <f t="shared" si="1"/>
        <v>0.06926404548</v>
      </c>
      <c r="V1981" s="4"/>
    </row>
    <row r="1982">
      <c r="A1982" s="1" t="s">
        <v>19771</v>
      </c>
      <c r="B1982" s="1" t="s">
        <v>19772</v>
      </c>
      <c r="C1982" s="1" t="s">
        <v>19773</v>
      </c>
      <c r="D1982" s="1" t="s">
        <v>19653</v>
      </c>
      <c r="E1982" s="1" t="s">
        <v>19654</v>
      </c>
      <c r="F1982" s="1">
        <v>1101646.0</v>
      </c>
      <c r="G1982" s="1">
        <v>35467.0</v>
      </c>
      <c r="H1982" s="1">
        <v>2425.0</v>
      </c>
      <c r="I1982" s="1">
        <v>1350000.0</v>
      </c>
      <c r="J1982" s="1" t="s">
        <v>2468</v>
      </c>
      <c r="K1982" s="5">
        <f t="shared" si="2"/>
        <v>0.8160340741</v>
      </c>
      <c r="L1982" s="6">
        <f t="shared" si="3"/>
        <v>723</v>
      </c>
      <c r="M1982" s="6">
        <f t="shared" si="4"/>
        <v>1523.715076</v>
      </c>
      <c r="N1982" s="7">
        <f t="shared" si="5"/>
        <v>0.001128677834</v>
      </c>
      <c r="O1982" s="7"/>
      <c r="P1982" s="4">
        <f t="shared" si="6"/>
        <v>0.3454734453</v>
      </c>
      <c r="Q1982" s="4">
        <f t="shared" si="7"/>
        <v>6</v>
      </c>
      <c r="R1982" s="4">
        <f t="shared" si="8"/>
        <v>0</v>
      </c>
      <c r="S1982" s="4">
        <f t="shared" si="9"/>
        <v>0.3454734453</v>
      </c>
      <c r="T1982" s="4">
        <f t="shared" si="10"/>
        <v>46</v>
      </c>
      <c r="U1982" s="4">
        <f t="shared" si="1"/>
        <v>0.3454734453</v>
      </c>
      <c r="V1982" s="4"/>
    </row>
    <row r="1983">
      <c r="A1983" s="1" t="s">
        <v>19774</v>
      </c>
      <c r="B1983" s="1" t="s">
        <v>19775</v>
      </c>
      <c r="C1983" s="1" t="s">
        <v>19776</v>
      </c>
      <c r="D1983" s="1" t="s">
        <v>19653</v>
      </c>
      <c r="E1983" s="1" t="s">
        <v>19654</v>
      </c>
      <c r="F1983" s="1">
        <v>248816.0</v>
      </c>
      <c r="G1983" s="1">
        <v>9277.0</v>
      </c>
      <c r="H1983" s="1">
        <v>506.0</v>
      </c>
      <c r="I1983" s="1">
        <v>1350000.0</v>
      </c>
      <c r="J1983" s="1" t="s">
        <v>2468</v>
      </c>
      <c r="K1983" s="5">
        <f t="shared" si="2"/>
        <v>0.1843081481</v>
      </c>
      <c r="L1983" s="6">
        <f t="shared" si="3"/>
        <v>733</v>
      </c>
      <c r="M1983" s="6">
        <f t="shared" si="4"/>
        <v>339.4488404</v>
      </c>
      <c r="N1983" s="7">
        <f t="shared" si="5"/>
        <v>0.0002514435855</v>
      </c>
      <c r="O1983" s="7"/>
      <c r="P1983" s="4">
        <f t="shared" si="6"/>
        <v>-0.2724182762</v>
      </c>
      <c r="Q1983" s="4">
        <f t="shared" si="7"/>
        <v>7</v>
      </c>
      <c r="R1983" s="4">
        <f t="shared" si="8"/>
        <v>1</v>
      </c>
      <c r="S1983" s="4">
        <f t="shared" si="9"/>
        <v>-0.2724182762</v>
      </c>
      <c r="T1983" s="4">
        <f t="shared" si="10"/>
        <v>41</v>
      </c>
      <c r="U1983" s="4">
        <f t="shared" si="1"/>
        <v>-0.2724182762</v>
      </c>
      <c r="V1983" s="4"/>
    </row>
    <row r="1984">
      <c r="A1984" s="1" t="s">
        <v>19777</v>
      </c>
      <c r="B1984" s="1" t="s">
        <v>19778</v>
      </c>
      <c r="C1984" s="1" t="s">
        <v>19779</v>
      </c>
      <c r="D1984" s="1" t="s">
        <v>19653</v>
      </c>
      <c r="E1984" s="1" t="s">
        <v>19654</v>
      </c>
      <c r="F1984" s="1">
        <v>959484.0</v>
      </c>
      <c r="G1984" s="1">
        <v>56923.0</v>
      </c>
      <c r="H1984" s="1">
        <v>3605.0</v>
      </c>
      <c r="I1984" s="1">
        <v>1350000.0</v>
      </c>
      <c r="J1984" s="1" t="s">
        <v>2468</v>
      </c>
      <c r="K1984" s="5">
        <f t="shared" si="2"/>
        <v>0.7107288889</v>
      </c>
      <c r="L1984" s="6">
        <f t="shared" si="3"/>
        <v>738</v>
      </c>
      <c r="M1984" s="6">
        <f t="shared" si="4"/>
        <v>1300.113821</v>
      </c>
      <c r="N1984" s="7">
        <f t="shared" si="5"/>
        <v>0.0009630472749</v>
      </c>
      <c r="O1984" s="7"/>
      <c r="P1984" s="4">
        <f t="shared" si="6"/>
        <v>0.228809337</v>
      </c>
      <c r="Q1984" s="4">
        <f t="shared" si="7"/>
        <v>11</v>
      </c>
      <c r="R1984" s="4">
        <f t="shared" si="8"/>
        <v>0</v>
      </c>
      <c r="S1984" s="4">
        <f t="shared" si="9"/>
        <v>0.228809337</v>
      </c>
      <c r="T1984" s="4">
        <f t="shared" si="10"/>
        <v>44</v>
      </c>
      <c r="U1984" s="4">
        <f t="shared" si="1"/>
        <v>0.228809337</v>
      </c>
      <c r="V1984" s="4"/>
    </row>
    <row r="1985">
      <c r="A1985" s="1" t="s">
        <v>19780</v>
      </c>
      <c r="B1985" s="1" t="s">
        <v>19781</v>
      </c>
      <c r="C1985" s="1" t="s">
        <v>19782</v>
      </c>
      <c r="D1985" s="1" t="s">
        <v>19653</v>
      </c>
      <c r="E1985" s="1" t="s">
        <v>19654</v>
      </c>
      <c r="F1985" s="1">
        <v>945967.0</v>
      </c>
      <c r="G1985" s="1">
        <v>23311.0</v>
      </c>
      <c r="H1985" s="1">
        <v>2568.0</v>
      </c>
      <c r="I1985" s="1">
        <v>1350000.0</v>
      </c>
      <c r="J1985" s="1" t="s">
        <v>2468</v>
      </c>
      <c r="K1985" s="5">
        <f t="shared" si="2"/>
        <v>0.7007162963</v>
      </c>
      <c r="L1985" s="6">
        <f t="shared" si="3"/>
        <v>743</v>
      </c>
      <c r="M1985" s="6">
        <f t="shared" si="4"/>
        <v>1273.172275</v>
      </c>
      <c r="N1985" s="7">
        <f t="shared" si="5"/>
        <v>0.0009430905738</v>
      </c>
      <c r="O1985" s="7"/>
      <c r="P1985" s="4">
        <f t="shared" si="6"/>
        <v>0.2147525666</v>
      </c>
      <c r="Q1985" s="4">
        <f t="shared" si="7"/>
        <v>8</v>
      </c>
      <c r="R1985" s="4">
        <f t="shared" si="8"/>
        <v>0</v>
      </c>
      <c r="S1985" s="4">
        <f t="shared" si="9"/>
        <v>0.2147525666</v>
      </c>
      <c r="T1985" s="4">
        <f t="shared" si="10"/>
        <v>32</v>
      </c>
      <c r="U1985" s="4">
        <f t="shared" si="1"/>
        <v>0.2147525666</v>
      </c>
      <c r="V1985" s="4"/>
    </row>
    <row r="1986">
      <c r="A1986" s="1" t="s">
        <v>19783</v>
      </c>
      <c r="B1986" s="1" t="s">
        <v>19784</v>
      </c>
      <c r="C1986" s="1" t="s">
        <v>19785</v>
      </c>
      <c r="D1986" s="1" t="s">
        <v>19653</v>
      </c>
      <c r="E1986" s="1" t="s">
        <v>19654</v>
      </c>
      <c r="F1986" s="1">
        <v>405828.0</v>
      </c>
      <c r="G1986" s="1">
        <v>18333.0</v>
      </c>
      <c r="H1986" s="1">
        <v>1389.0</v>
      </c>
      <c r="I1986" s="1">
        <v>1350000.0</v>
      </c>
      <c r="J1986" s="1" t="s">
        <v>2468</v>
      </c>
      <c r="K1986" s="5">
        <f t="shared" si="2"/>
        <v>0.3006133333</v>
      </c>
      <c r="L1986" s="6">
        <f t="shared" si="3"/>
        <v>748</v>
      </c>
      <c r="M1986" s="6">
        <f t="shared" si="4"/>
        <v>542.5508021</v>
      </c>
      <c r="N1986" s="7">
        <f t="shared" si="5"/>
        <v>0.0004018894831</v>
      </c>
      <c r="O1986" s="7"/>
      <c r="P1986" s="4">
        <f t="shared" si="6"/>
        <v>-0.1664496882</v>
      </c>
      <c r="Q1986" s="4">
        <f t="shared" si="7"/>
        <v>9</v>
      </c>
      <c r="R1986" s="4">
        <f t="shared" si="8"/>
        <v>0</v>
      </c>
      <c r="S1986" s="4">
        <f t="shared" si="9"/>
        <v>-0.1664496882</v>
      </c>
      <c r="T1986" s="4">
        <f t="shared" si="10"/>
        <v>40</v>
      </c>
      <c r="U1986" s="4">
        <f t="shared" si="1"/>
        <v>-0.1664496882</v>
      </c>
      <c r="V1986" s="4"/>
    </row>
    <row r="1987">
      <c r="A1987" s="1" t="s">
        <v>19786</v>
      </c>
      <c r="B1987" s="1" t="s">
        <v>19787</v>
      </c>
      <c r="C1987" s="1" t="s">
        <v>19788</v>
      </c>
      <c r="D1987" s="1" t="s">
        <v>19653</v>
      </c>
      <c r="E1987" s="1" t="s">
        <v>19654</v>
      </c>
      <c r="F1987" s="1">
        <v>741604.0</v>
      </c>
      <c r="G1987" s="1">
        <v>29235.0</v>
      </c>
      <c r="H1987" s="1">
        <v>1751.0</v>
      </c>
      <c r="I1987" s="1">
        <v>1350000.0</v>
      </c>
      <c r="J1987" s="1" t="s">
        <v>2468</v>
      </c>
      <c r="K1987" s="5">
        <f t="shared" si="2"/>
        <v>0.5493362963</v>
      </c>
      <c r="L1987" s="6">
        <f t="shared" si="3"/>
        <v>756</v>
      </c>
      <c r="M1987" s="6">
        <f t="shared" si="4"/>
        <v>980.957672</v>
      </c>
      <c r="N1987" s="7">
        <f t="shared" si="5"/>
        <v>0.0007266353126</v>
      </c>
      <c r="O1987" s="7"/>
      <c r="P1987" s="4">
        <f t="shared" si="6"/>
        <v>0.06228939706</v>
      </c>
      <c r="Q1987" s="4">
        <f t="shared" si="7"/>
        <v>6</v>
      </c>
      <c r="R1987" s="4">
        <f t="shared" si="8"/>
        <v>0</v>
      </c>
      <c r="S1987" s="4">
        <f t="shared" si="9"/>
        <v>0.06228939706</v>
      </c>
      <c r="T1987" s="4">
        <f t="shared" si="10"/>
        <v>37</v>
      </c>
      <c r="U1987" s="4">
        <f t="shared" si="1"/>
        <v>0.06228939706</v>
      </c>
      <c r="V1987" s="4"/>
    </row>
    <row r="1988">
      <c r="A1988" s="1" t="s">
        <v>19789</v>
      </c>
      <c r="B1988" s="1" t="s">
        <v>19790</v>
      </c>
      <c r="C1988" s="1" t="s">
        <v>19791</v>
      </c>
      <c r="D1988" s="1" t="s">
        <v>19653</v>
      </c>
      <c r="E1988" s="1" t="s">
        <v>19654</v>
      </c>
      <c r="F1988" s="1">
        <v>1380697.0</v>
      </c>
      <c r="G1988" s="1">
        <v>40206.0</v>
      </c>
      <c r="H1988" s="1">
        <v>3106.0</v>
      </c>
      <c r="I1988" s="1">
        <v>1350000.0</v>
      </c>
      <c r="J1988" s="1" t="s">
        <v>2468</v>
      </c>
      <c r="K1988" s="5">
        <f t="shared" si="2"/>
        <v>1.022738519</v>
      </c>
      <c r="L1988" s="6">
        <f t="shared" si="3"/>
        <v>762</v>
      </c>
      <c r="M1988" s="6">
        <f t="shared" si="4"/>
        <v>1811.93832</v>
      </c>
      <c r="N1988" s="7">
        <f t="shared" si="5"/>
        <v>0.001342176533</v>
      </c>
      <c r="O1988" s="7"/>
      <c r="P1988" s="4">
        <f t="shared" si="6"/>
        <v>0.4958541208</v>
      </c>
      <c r="Q1988" s="4">
        <f t="shared" si="7"/>
        <v>8</v>
      </c>
      <c r="R1988" s="4">
        <f t="shared" si="8"/>
        <v>0</v>
      </c>
      <c r="S1988" s="4">
        <f t="shared" si="9"/>
        <v>0.4958541208</v>
      </c>
      <c r="T1988" s="4">
        <f t="shared" si="10"/>
        <v>36</v>
      </c>
      <c r="U1988" s="4">
        <f t="shared" si="1"/>
        <v>0.4958541208</v>
      </c>
      <c r="V1988" s="4"/>
    </row>
    <row r="1989">
      <c r="A1989" s="1" t="s">
        <v>19792</v>
      </c>
      <c r="B1989" s="1" t="s">
        <v>19793</v>
      </c>
      <c r="C1989" s="1" t="s">
        <v>19794</v>
      </c>
      <c r="D1989" s="1" t="s">
        <v>19653</v>
      </c>
      <c r="E1989" s="1" t="s">
        <v>19654</v>
      </c>
      <c r="F1989" s="1">
        <v>468279.0</v>
      </c>
      <c r="G1989" s="1">
        <v>18479.0</v>
      </c>
      <c r="H1989" s="1">
        <v>1629.0</v>
      </c>
      <c r="I1989" s="1">
        <v>1350000.0</v>
      </c>
      <c r="J1989" s="1" t="s">
        <v>2468</v>
      </c>
      <c r="K1989" s="5">
        <f t="shared" si="2"/>
        <v>0.3468733333</v>
      </c>
      <c r="L1989" s="6">
        <f t="shared" si="3"/>
        <v>783</v>
      </c>
      <c r="M1989" s="6">
        <f t="shared" si="4"/>
        <v>598.0574713</v>
      </c>
      <c r="N1989" s="7">
        <f t="shared" si="5"/>
        <v>0.0004430055343</v>
      </c>
      <c r="O1989" s="7"/>
      <c r="P1989" s="4">
        <f t="shared" si="6"/>
        <v>-0.1374890455</v>
      </c>
      <c r="Q1989" s="4">
        <f t="shared" si="7"/>
        <v>9</v>
      </c>
      <c r="R1989" s="4">
        <f t="shared" si="8"/>
        <v>0</v>
      </c>
      <c r="S1989" s="4">
        <f t="shared" si="9"/>
        <v>-0.1374890455</v>
      </c>
      <c r="T1989" s="4">
        <f t="shared" si="10"/>
        <v>42</v>
      </c>
      <c r="U1989" s="4">
        <f t="shared" si="1"/>
        <v>-0.1374890455</v>
      </c>
      <c r="V1989" s="4"/>
    </row>
    <row r="1990">
      <c r="A1990" s="1" t="s">
        <v>19795</v>
      </c>
      <c r="B1990" s="1" t="s">
        <v>19796</v>
      </c>
      <c r="C1990" s="1" t="s">
        <v>19797</v>
      </c>
      <c r="D1990" s="1" t="s">
        <v>19653</v>
      </c>
      <c r="E1990" s="1" t="s">
        <v>19654</v>
      </c>
      <c r="F1990" s="1">
        <v>412548.0</v>
      </c>
      <c r="G1990" s="1">
        <v>17451.0</v>
      </c>
      <c r="H1990" s="1">
        <v>2066.0</v>
      </c>
      <c r="I1990" s="1">
        <v>1350000.0</v>
      </c>
      <c r="J1990" s="1" t="s">
        <v>2468</v>
      </c>
      <c r="K1990" s="5">
        <f t="shared" si="2"/>
        <v>0.3055911111</v>
      </c>
      <c r="L1990" s="6">
        <f t="shared" si="3"/>
        <v>792</v>
      </c>
      <c r="M1990" s="6">
        <f t="shared" si="4"/>
        <v>520.8939394</v>
      </c>
      <c r="N1990" s="7">
        <f t="shared" si="5"/>
        <v>0.0003858473625</v>
      </c>
      <c r="O1990" s="7"/>
      <c r="P1990" s="4">
        <f t="shared" si="6"/>
        <v>-0.1777491712</v>
      </c>
      <c r="Q1990" s="4">
        <f t="shared" si="7"/>
        <v>6</v>
      </c>
      <c r="R1990" s="4">
        <f t="shared" si="8"/>
        <v>0</v>
      </c>
      <c r="S1990" s="4">
        <f t="shared" si="9"/>
        <v>-0.1777491712</v>
      </c>
      <c r="T1990" s="4">
        <f t="shared" si="10"/>
        <v>28</v>
      </c>
      <c r="U1990" s="4">
        <f t="shared" si="1"/>
        <v>-0.1777491712</v>
      </c>
      <c r="V1990" s="4"/>
    </row>
    <row r="1991">
      <c r="A1991" s="1" t="s">
        <v>19798</v>
      </c>
      <c r="B1991" s="1" t="s">
        <v>19799</v>
      </c>
      <c r="C1991" s="1" t="s">
        <v>19800</v>
      </c>
      <c r="D1991" s="1" t="s">
        <v>19653</v>
      </c>
      <c r="E1991" s="1" t="s">
        <v>19654</v>
      </c>
      <c r="F1991" s="1">
        <v>1230242.0</v>
      </c>
      <c r="G1991" s="1">
        <v>42106.0</v>
      </c>
      <c r="H1991" s="1">
        <v>2072.0</v>
      </c>
      <c r="I1991" s="1">
        <v>1350000.0</v>
      </c>
      <c r="J1991" s="1" t="s">
        <v>2468</v>
      </c>
      <c r="K1991" s="5">
        <f t="shared" si="2"/>
        <v>0.9112903704</v>
      </c>
      <c r="L1991" s="6">
        <f t="shared" si="3"/>
        <v>804</v>
      </c>
      <c r="M1991" s="6">
        <f t="shared" si="4"/>
        <v>1530.151741</v>
      </c>
      <c r="N1991" s="7">
        <f t="shared" si="5"/>
        <v>0.001133445734</v>
      </c>
      <c r="O1991" s="7"/>
      <c r="P1991" s="4">
        <f t="shared" si="6"/>
        <v>0.3488317798</v>
      </c>
      <c r="Q1991" s="4">
        <f t="shared" si="7"/>
        <v>5</v>
      </c>
      <c r="R1991" s="4">
        <f t="shared" si="8"/>
        <v>1</v>
      </c>
      <c r="S1991" s="4">
        <f t="shared" si="9"/>
        <v>0.3488317798</v>
      </c>
      <c r="T1991" s="4">
        <f t="shared" si="10"/>
        <v>29</v>
      </c>
      <c r="U1991" s="4">
        <f t="shared" si="1"/>
        <v>0.3488317798</v>
      </c>
      <c r="V1991" s="4"/>
    </row>
    <row r="1992">
      <c r="A1992" s="1" t="s">
        <v>19801</v>
      </c>
      <c r="B1992" s="1" t="s">
        <v>19802</v>
      </c>
      <c r="C1992" s="1" t="s">
        <v>19803</v>
      </c>
      <c r="D1992" s="1" t="s">
        <v>19653</v>
      </c>
      <c r="E1992" s="1" t="s">
        <v>19654</v>
      </c>
      <c r="F1992" s="1">
        <v>197898.0</v>
      </c>
      <c r="G1992" s="1">
        <v>9077.0</v>
      </c>
      <c r="H1992" s="1">
        <v>758.0</v>
      </c>
      <c r="I1992" s="1">
        <v>1350000.0</v>
      </c>
      <c r="J1992" s="1" t="s">
        <v>2468</v>
      </c>
      <c r="K1992" s="5">
        <f t="shared" si="2"/>
        <v>0.1465911111</v>
      </c>
      <c r="L1992" s="6">
        <f t="shared" si="3"/>
        <v>812</v>
      </c>
      <c r="M1992" s="6">
        <f t="shared" si="4"/>
        <v>243.7167488</v>
      </c>
      <c r="N1992" s="7">
        <f t="shared" si="5"/>
        <v>0.000180530925</v>
      </c>
      <c r="O1992" s="7"/>
      <c r="P1992" s="4">
        <f t="shared" si="6"/>
        <v>-0.3223665607</v>
      </c>
      <c r="Q1992" s="4">
        <f t="shared" si="7"/>
        <v>5</v>
      </c>
      <c r="R1992" s="4">
        <f t="shared" si="8"/>
        <v>0</v>
      </c>
      <c r="S1992" s="4">
        <f t="shared" si="9"/>
        <v>-0.3223665607</v>
      </c>
      <c r="T1992" s="4">
        <f t="shared" si="10"/>
        <v>23</v>
      </c>
      <c r="U1992" s="4">
        <f t="shared" si="1"/>
        <v>-0.3223665607</v>
      </c>
      <c r="V1992" s="4"/>
    </row>
    <row r="1993">
      <c r="A1993" s="1" t="s">
        <v>19804</v>
      </c>
      <c r="B1993" s="1" t="s">
        <v>19805</v>
      </c>
      <c r="C1993" s="1" t="s">
        <v>19806</v>
      </c>
      <c r="D1993" s="1" t="s">
        <v>19653</v>
      </c>
      <c r="E1993" s="1" t="s">
        <v>19654</v>
      </c>
      <c r="F1993" s="1">
        <v>691771.0</v>
      </c>
      <c r="G1993" s="1">
        <v>20607.0</v>
      </c>
      <c r="H1993" s="1">
        <v>1022.0</v>
      </c>
      <c r="I1993" s="1">
        <v>1350000.0</v>
      </c>
      <c r="J1993" s="1" t="s">
        <v>2468</v>
      </c>
      <c r="K1993" s="5">
        <f t="shared" si="2"/>
        <v>0.512422963</v>
      </c>
      <c r="L1993" s="6">
        <f t="shared" si="3"/>
        <v>820</v>
      </c>
      <c r="M1993" s="6">
        <f t="shared" si="4"/>
        <v>843.6231707</v>
      </c>
      <c r="N1993" s="7">
        <f t="shared" si="5"/>
        <v>0.0006249060524</v>
      </c>
      <c r="O1993" s="7"/>
      <c r="P1993" s="4">
        <f t="shared" si="6"/>
        <v>-0.009364973235</v>
      </c>
      <c r="Q1993" s="4">
        <f t="shared" si="7"/>
        <v>6</v>
      </c>
      <c r="R1993" s="4">
        <f t="shared" si="8"/>
        <v>0</v>
      </c>
      <c r="S1993" s="4">
        <f t="shared" si="9"/>
        <v>-0.009364973235</v>
      </c>
      <c r="T1993" s="4">
        <f t="shared" si="10"/>
        <v>30</v>
      </c>
      <c r="U1993" s="4">
        <f t="shared" si="1"/>
        <v>-0.009364973235</v>
      </c>
      <c r="V1993" s="4"/>
    </row>
    <row r="1994">
      <c r="A1994" s="1" t="s">
        <v>19807</v>
      </c>
      <c r="B1994" s="1" t="s">
        <v>19808</v>
      </c>
      <c r="C1994" s="1" t="s">
        <v>19809</v>
      </c>
      <c r="D1994" s="1" t="s">
        <v>19653</v>
      </c>
      <c r="E1994" s="1" t="s">
        <v>19654</v>
      </c>
      <c r="F1994" s="1">
        <v>310567.0</v>
      </c>
      <c r="G1994" s="1">
        <v>11349.0</v>
      </c>
      <c r="H1994" s="1">
        <v>751.0</v>
      </c>
      <c r="I1994" s="1">
        <v>1350000.0</v>
      </c>
      <c r="J1994" s="1" t="s">
        <v>2468</v>
      </c>
      <c r="K1994" s="5">
        <f t="shared" si="2"/>
        <v>0.2300496296</v>
      </c>
      <c r="L1994" s="6">
        <f t="shared" si="3"/>
        <v>825</v>
      </c>
      <c r="M1994" s="6">
        <f t="shared" si="4"/>
        <v>376.4448485</v>
      </c>
      <c r="N1994" s="7">
        <f t="shared" si="5"/>
        <v>0.0002788480359</v>
      </c>
      <c r="O1994" s="7"/>
      <c r="P1994" s="4">
        <f t="shared" si="6"/>
        <v>-0.2531155836</v>
      </c>
      <c r="Q1994" s="4">
        <f t="shared" si="7"/>
        <v>5</v>
      </c>
      <c r="R1994" s="4">
        <f t="shared" si="8"/>
        <v>0</v>
      </c>
      <c r="S1994" s="4">
        <f t="shared" si="9"/>
        <v>-0.2531155836</v>
      </c>
      <c r="T1994" s="4">
        <f t="shared" si="10"/>
        <v>35</v>
      </c>
      <c r="U1994" s="4">
        <f t="shared" si="1"/>
        <v>-0.2531155836</v>
      </c>
      <c r="V1994" s="4"/>
    </row>
    <row r="1995">
      <c r="A1995" s="1" t="s">
        <v>19810</v>
      </c>
      <c r="B1995" s="1" t="s">
        <v>19811</v>
      </c>
      <c r="C1995" s="1" t="s">
        <v>19812</v>
      </c>
      <c r="D1995" s="1" t="s">
        <v>19653</v>
      </c>
      <c r="E1995" s="1" t="s">
        <v>19654</v>
      </c>
      <c r="F1995" s="1">
        <v>405264.0</v>
      </c>
      <c r="G1995" s="1">
        <v>19737.0</v>
      </c>
      <c r="H1995" s="1">
        <v>1665.0</v>
      </c>
      <c r="I1995" s="1">
        <v>1350000.0</v>
      </c>
      <c r="J1995" s="1" t="s">
        <v>2468</v>
      </c>
      <c r="K1995" s="5">
        <f t="shared" si="2"/>
        <v>0.3001955556</v>
      </c>
      <c r="L1995" s="6">
        <f t="shared" si="3"/>
        <v>834</v>
      </c>
      <c r="M1995" s="6">
        <f t="shared" si="4"/>
        <v>485.9280576</v>
      </c>
      <c r="N1995" s="7">
        <f t="shared" si="5"/>
        <v>0.0003599467093</v>
      </c>
      <c r="O1995" s="7"/>
      <c r="P1995" s="4">
        <f t="shared" si="6"/>
        <v>-0.1959926441</v>
      </c>
      <c r="Q1995" s="4">
        <f t="shared" si="7"/>
        <v>7</v>
      </c>
      <c r="R1995" s="4">
        <f t="shared" si="8"/>
        <v>0</v>
      </c>
      <c r="S1995" s="4">
        <f t="shared" si="9"/>
        <v>-0.1959926441</v>
      </c>
      <c r="T1995" s="4">
        <f t="shared" si="10"/>
        <v>49</v>
      </c>
      <c r="U1995" s="4">
        <f t="shared" si="1"/>
        <v>-0.1959926441</v>
      </c>
      <c r="V1995" s="4"/>
    </row>
    <row r="1996">
      <c r="A1996" s="1" t="s">
        <v>19813</v>
      </c>
      <c r="B1996" s="1" t="s">
        <v>19814</v>
      </c>
      <c r="C1996" s="1" t="s">
        <v>19815</v>
      </c>
      <c r="D1996" s="1" t="s">
        <v>19653</v>
      </c>
      <c r="E1996" s="1" t="s">
        <v>19654</v>
      </c>
      <c r="F1996" s="1">
        <v>277956.0</v>
      </c>
      <c r="G1996" s="1">
        <v>16935.0</v>
      </c>
      <c r="H1996" s="1">
        <v>1502.0</v>
      </c>
      <c r="I1996" s="1">
        <v>1350000.0</v>
      </c>
      <c r="J1996" s="1" t="s">
        <v>2468</v>
      </c>
      <c r="K1996" s="5">
        <f t="shared" si="2"/>
        <v>0.2058933333</v>
      </c>
      <c r="L1996" s="6">
        <f t="shared" si="3"/>
        <v>839</v>
      </c>
      <c r="M1996" s="6">
        <f t="shared" si="4"/>
        <v>331.2943981</v>
      </c>
      <c r="N1996" s="7">
        <f t="shared" si="5"/>
        <v>0.0002454032578</v>
      </c>
      <c r="O1996" s="7"/>
      <c r="P1996" s="4">
        <f t="shared" si="6"/>
        <v>-0.2766728621</v>
      </c>
      <c r="Q1996" s="4">
        <f t="shared" si="7"/>
        <v>6</v>
      </c>
      <c r="R1996" s="4">
        <f t="shared" si="8"/>
        <v>0</v>
      </c>
      <c r="S1996" s="4">
        <f t="shared" si="9"/>
        <v>-0.2766728621</v>
      </c>
      <c r="T1996" s="4">
        <f t="shared" si="10"/>
        <v>40</v>
      </c>
      <c r="U1996" s="4">
        <f t="shared" si="1"/>
        <v>-0.2766728621</v>
      </c>
      <c r="V1996" s="4"/>
    </row>
    <row r="1997">
      <c r="A1997" s="1" t="s">
        <v>19816</v>
      </c>
      <c r="B1997" s="1" t="s">
        <v>19817</v>
      </c>
      <c r="C1997" s="1" t="s">
        <v>19818</v>
      </c>
      <c r="D1997" s="1" t="s">
        <v>19653</v>
      </c>
      <c r="E1997" s="1" t="s">
        <v>19654</v>
      </c>
      <c r="F1997" s="1">
        <v>1526741.0</v>
      </c>
      <c r="G1997" s="1">
        <v>77402.0</v>
      </c>
      <c r="H1997" s="1">
        <v>3294.0</v>
      </c>
      <c r="I1997" s="1">
        <v>1350000.0</v>
      </c>
      <c r="J1997" s="1" t="s">
        <v>2468</v>
      </c>
      <c r="K1997" s="5">
        <f t="shared" si="2"/>
        <v>1.130919259</v>
      </c>
      <c r="L1997" s="6">
        <f t="shared" si="3"/>
        <v>887</v>
      </c>
      <c r="M1997" s="6">
        <f t="shared" si="4"/>
        <v>1721.241263</v>
      </c>
      <c r="N1997" s="7">
        <f t="shared" si="5"/>
        <v>0.001274993528</v>
      </c>
      <c r="O1997" s="7"/>
      <c r="P1997" s="4">
        <f t="shared" si="6"/>
        <v>0.4485328687</v>
      </c>
      <c r="Q1997" s="4">
        <f t="shared" si="7"/>
        <v>4</v>
      </c>
      <c r="R1997" s="4">
        <f t="shared" si="8"/>
        <v>0</v>
      </c>
      <c r="S1997" s="4">
        <f t="shared" si="9"/>
        <v>0.4485328687</v>
      </c>
      <c r="T1997" s="4">
        <f t="shared" si="10"/>
        <v>27</v>
      </c>
      <c r="U1997" s="4">
        <f t="shared" si="1"/>
        <v>0.4485328687</v>
      </c>
      <c r="V1997" s="4"/>
    </row>
    <row r="1998">
      <c r="A1998" s="1" t="s">
        <v>19819</v>
      </c>
      <c r="B1998" s="1" t="s">
        <v>19820</v>
      </c>
      <c r="C1998" s="1" t="s">
        <v>19821</v>
      </c>
      <c r="D1998" s="1" t="s">
        <v>19653</v>
      </c>
      <c r="E1998" s="1" t="s">
        <v>19654</v>
      </c>
      <c r="F1998" s="1">
        <v>543566.0</v>
      </c>
      <c r="G1998" s="1">
        <v>24185.0</v>
      </c>
      <c r="H1998" s="1">
        <v>1877.0</v>
      </c>
      <c r="I1998" s="1">
        <v>1350000.0</v>
      </c>
      <c r="J1998" s="1" t="s">
        <v>2468</v>
      </c>
      <c r="K1998" s="5">
        <f t="shared" si="2"/>
        <v>0.4026414815</v>
      </c>
      <c r="L1998" s="6">
        <f t="shared" si="3"/>
        <v>904</v>
      </c>
      <c r="M1998" s="6">
        <f t="shared" si="4"/>
        <v>601.289823</v>
      </c>
      <c r="N1998" s="7">
        <f t="shared" si="5"/>
        <v>0.0004453998689</v>
      </c>
      <c r="O1998" s="7"/>
      <c r="P1998" s="4">
        <f t="shared" si="6"/>
        <v>-0.1358025638</v>
      </c>
      <c r="Q1998" s="4">
        <f t="shared" si="7"/>
        <v>10</v>
      </c>
      <c r="R1998" s="4">
        <f t="shared" si="8"/>
        <v>0</v>
      </c>
      <c r="S1998" s="4">
        <f t="shared" si="9"/>
        <v>-0.1358025638</v>
      </c>
      <c r="T1998" s="4">
        <f t="shared" si="10"/>
        <v>46</v>
      </c>
      <c r="U1998" s="4">
        <f t="shared" si="1"/>
        <v>-0.1358025638</v>
      </c>
      <c r="V1998" s="4"/>
    </row>
    <row r="1999">
      <c r="A1999" s="1" t="s">
        <v>19822</v>
      </c>
      <c r="B1999" s="1" t="s">
        <v>19823</v>
      </c>
      <c r="C1999" s="1" t="s">
        <v>19824</v>
      </c>
      <c r="D1999" s="1" t="s">
        <v>19653</v>
      </c>
      <c r="E1999" s="1" t="s">
        <v>19654</v>
      </c>
      <c r="F1999" s="1">
        <v>1316523.0</v>
      </c>
      <c r="G1999" s="1">
        <v>39390.0</v>
      </c>
      <c r="H1999" s="1">
        <v>1977.0</v>
      </c>
      <c r="I1999" s="1">
        <v>1350000.0</v>
      </c>
      <c r="J1999" s="1" t="s">
        <v>2468</v>
      </c>
      <c r="K1999" s="5">
        <f t="shared" si="2"/>
        <v>0.9752022222</v>
      </c>
      <c r="L1999" s="6">
        <f t="shared" si="3"/>
        <v>909</v>
      </c>
      <c r="M1999" s="6">
        <f t="shared" si="4"/>
        <v>1448.320132</v>
      </c>
      <c r="N1999" s="7">
        <f t="shared" si="5"/>
        <v>0.001072829727</v>
      </c>
      <c r="O1999" s="7"/>
      <c r="P1999" s="4">
        <f t="shared" si="6"/>
        <v>0.3061360814</v>
      </c>
      <c r="Q1999" s="4">
        <f t="shared" si="7"/>
        <v>3</v>
      </c>
      <c r="R1999" s="4">
        <f t="shared" si="8"/>
        <v>0</v>
      </c>
      <c r="S1999" s="4">
        <f t="shared" si="9"/>
        <v>0.3061360814</v>
      </c>
      <c r="T1999" s="4">
        <f t="shared" si="10"/>
        <v>23</v>
      </c>
      <c r="U1999" s="4">
        <f t="shared" si="1"/>
        <v>0.3061360814</v>
      </c>
      <c r="V1999" s="4"/>
    </row>
    <row r="2000">
      <c r="A2000" s="1" t="s">
        <v>19825</v>
      </c>
      <c r="B2000" s="1" t="s">
        <v>19826</v>
      </c>
      <c r="C2000" s="1" t="s">
        <v>19827</v>
      </c>
      <c r="D2000" s="1" t="s">
        <v>19653</v>
      </c>
      <c r="E2000" s="1" t="s">
        <v>19654</v>
      </c>
      <c r="F2000" s="1">
        <v>218258.0</v>
      </c>
      <c r="G2000" s="1">
        <v>12587.0</v>
      </c>
      <c r="H2000" s="1">
        <v>833.0</v>
      </c>
      <c r="I2000" s="1">
        <v>1350000.0</v>
      </c>
      <c r="J2000" s="1" t="s">
        <v>2468</v>
      </c>
      <c r="K2000" s="5">
        <f t="shared" si="2"/>
        <v>0.1616725926</v>
      </c>
      <c r="L2000" s="6">
        <f t="shared" si="3"/>
        <v>911</v>
      </c>
      <c r="M2000" s="6">
        <f t="shared" si="4"/>
        <v>239.5806806</v>
      </c>
      <c r="N2000" s="7">
        <f t="shared" si="5"/>
        <v>0.0001774671708</v>
      </c>
      <c r="O2000" s="7"/>
      <c r="P2000" s="4">
        <f t="shared" si="6"/>
        <v>-0.3245245572</v>
      </c>
      <c r="Q2000" s="4">
        <f t="shared" si="7"/>
        <v>5</v>
      </c>
      <c r="R2000" s="4">
        <f t="shared" si="8"/>
        <v>0</v>
      </c>
      <c r="S2000" s="4">
        <f t="shared" si="9"/>
        <v>-0.3245245572</v>
      </c>
      <c r="T2000" s="4">
        <f t="shared" si="10"/>
        <v>28</v>
      </c>
      <c r="U2000" s="4">
        <f t="shared" si="1"/>
        <v>-0.3245245572</v>
      </c>
      <c r="V2000" s="4"/>
    </row>
    <row r="2001">
      <c r="A2001" s="1" t="s">
        <v>19828</v>
      </c>
      <c r="B2001" s="1" t="s">
        <v>19829</v>
      </c>
      <c r="C2001" s="1" t="s">
        <v>19830</v>
      </c>
      <c r="D2001" s="1" t="s">
        <v>19653</v>
      </c>
      <c r="E2001" s="1" t="s">
        <v>19654</v>
      </c>
      <c r="F2001" s="1">
        <v>692774.0</v>
      </c>
      <c r="G2001" s="1">
        <v>31051.0</v>
      </c>
      <c r="H2001" s="1">
        <v>1538.0</v>
      </c>
      <c r="I2001" s="1">
        <v>1350000.0</v>
      </c>
      <c r="J2001" s="1" t="s">
        <v>2468</v>
      </c>
      <c r="K2001" s="5">
        <f t="shared" si="2"/>
        <v>0.5131659259</v>
      </c>
      <c r="L2001" s="6">
        <f t="shared" si="3"/>
        <v>917</v>
      </c>
      <c r="M2001" s="6">
        <f t="shared" si="4"/>
        <v>755.478735</v>
      </c>
      <c r="N2001" s="7">
        <f t="shared" si="5"/>
        <v>0.0005596138778</v>
      </c>
      <c r="O2001" s="7"/>
      <c r="P2001" s="4">
        <f t="shared" si="6"/>
        <v>-0.05535439309</v>
      </c>
      <c r="Q2001" s="4">
        <f t="shared" si="7"/>
        <v>14</v>
      </c>
      <c r="R2001" s="4">
        <f t="shared" si="8"/>
        <v>0</v>
      </c>
      <c r="S2001" s="4">
        <f t="shared" si="9"/>
        <v>-0.05535439309</v>
      </c>
      <c r="T2001" s="4">
        <f t="shared" si="10"/>
        <v>67</v>
      </c>
      <c r="U2001" s="4">
        <f t="shared" si="1"/>
        <v>-0.05535439309</v>
      </c>
      <c r="V2001" s="4"/>
    </row>
    <row r="2002">
      <c r="A2002" s="1" t="s">
        <v>19831</v>
      </c>
      <c r="B2002" s="1" t="s">
        <v>19832</v>
      </c>
      <c r="C2002" s="1" t="s">
        <v>19833</v>
      </c>
      <c r="D2002" s="1" t="s">
        <v>19653</v>
      </c>
      <c r="E2002" s="1" t="s">
        <v>19654</v>
      </c>
      <c r="F2002" s="1">
        <v>3391262.0</v>
      </c>
      <c r="G2002" s="1">
        <v>72770.0</v>
      </c>
      <c r="H2002" s="1">
        <v>10382.0</v>
      </c>
      <c r="I2002" s="1">
        <v>1350000.0</v>
      </c>
      <c r="J2002" s="1" t="s">
        <v>2468</v>
      </c>
      <c r="K2002" s="5">
        <f t="shared" si="2"/>
        <v>2.512045926</v>
      </c>
      <c r="L2002" s="6">
        <f t="shared" si="3"/>
        <v>924</v>
      </c>
      <c r="M2002" s="6">
        <f t="shared" si="4"/>
        <v>3670.19697</v>
      </c>
      <c r="N2002" s="7">
        <f t="shared" si="5"/>
        <v>0.002718664422</v>
      </c>
      <c r="O2002" s="7"/>
      <c r="P2002" s="4">
        <f t="shared" si="6"/>
        <v>1.465401847</v>
      </c>
      <c r="Q2002" s="4">
        <f t="shared" si="7"/>
        <v>5</v>
      </c>
      <c r="R2002" s="4">
        <f t="shared" si="8"/>
        <v>0</v>
      </c>
      <c r="S2002" s="4">
        <f t="shared" si="9"/>
        <v>1.465401847</v>
      </c>
      <c r="T2002" s="4">
        <f t="shared" si="10"/>
        <v>23</v>
      </c>
      <c r="U2002" s="4">
        <f t="shared" si="1"/>
        <v>1.465401847</v>
      </c>
      <c r="V2002" s="4"/>
    </row>
    <row r="2003">
      <c r="A2003" s="1" t="s">
        <v>19834</v>
      </c>
      <c r="B2003" s="1" t="s">
        <v>19835</v>
      </c>
      <c r="C2003" s="1" t="s">
        <v>19836</v>
      </c>
      <c r="D2003" s="1" t="s">
        <v>19653</v>
      </c>
      <c r="E2003" s="1" t="s">
        <v>19654</v>
      </c>
      <c r="F2003" s="1">
        <v>400793.0</v>
      </c>
      <c r="G2003" s="1">
        <v>20696.0</v>
      </c>
      <c r="H2003" s="1">
        <v>751.0</v>
      </c>
      <c r="I2003" s="1">
        <v>1350000.0</v>
      </c>
      <c r="J2003" s="1" t="s">
        <v>2468</v>
      </c>
      <c r="K2003" s="5">
        <f t="shared" si="2"/>
        <v>0.2968837037</v>
      </c>
      <c r="L2003" s="6">
        <f t="shared" si="3"/>
        <v>933</v>
      </c>
      <c r="M2003" s="6">
        <f t="shared" si="4"/>
        <v>429.5744909</v>
      </c>
      <c r="N2003" s="7">
        <f t="shared" si="5"/>
        <v>0.0003182033266</v>
      </c>
      <c r="O2003" s="7"/>
      <c r="P2003" s="4">
        <f t="shared" si="6"/>
        <v>-0.2253951562</v>
      </c>
      <c r="Q2003" s="4">
        <f t="shared" si="7"/>
        <v>4</v>
      </c>
      <c r="R2003" s="4">
        <f t="shared" si="8"/>
        <v>0</v>
      </c>
      <c r="S2003" s="4">
        <f t="shared" si="9"/>
        <v>-0.2253951562</v>
      </c>
      <c r="T2003" s="4">
        <f t="shared" si="10"/>
        <v>80</v>
      </c>
      <c r="U2003" s="4">
        <f t="shared" si="1"/>
        <v>-0.2253951562</v>
      </c>
      <c r="V2003" s="4"/>
    </row>
    <row r="2004">
      <c r="A2004" s="1" t="s">
        <v>19837</v>
      </c>
      <c r="B2004" s="1" t="s">
        <v>19838</v>
      </c>
      <c r="C2004" s="1" t="s">
        <v>19839</v>
      </c>
      <c r="D2004" s="1" t="s">
        <v>19653</v>
      </c>
      <c r="E2004" s="1" t="s">
        <v>19654</v>
      </c>
      <c r="F2004" s="1">
        <v>259873.0</v>
      </c>
      <c r="G2004" s="1">
        <v>9286.0</v>
      </c>
      <c r="H2004" s="1">
        <v>821.0</v>
      </c>
      <c r="I2004" s="1">
        <v>1350000.0</v>
      </c>
      <c r="J2004" s="1" t="s">
        <v>2468</v>
      </c>
      <c r="K2004" s="5">
        <f t="shared" si="2"/>
        <v>0.1924985185</v>
      </c>
      <c r="L2004" s="6">
        <f t="shared" si="3"/>
        <v>946</v>
      </c>
      <c r="M2004" s="6">
        <f t="shared" si="4"/>
        <v>274.7071882</v>
      </c>
      <c r="N2004" s="7">
        <f t="shared" si="5"/>
        <v>0.000203486806</v>
      </c>
      <c r="O2004" s="7"/>
      <c r="P2004" s="4">
        <f t="shared" si="6"/>
        <v>-0.3061972777</v>
      </c>
      <c r="Q2004" s="4">
        <f t="shared" si="7"/>
        <v>9</v>
      </c>
      <c r="R2004" s="4">
        <f t="shared" si="8"/>
        <v>1</v>
      </c>
      <c r="S2004" s="4">
        <f t="shared" si="9"/>
        <v>-0.3061972777</v>
      </c>
      <c r="T2004" s="4">
        <f t="shared" si="10"/>
        <v>37</v>
      </c>
      <c r="U2004" s="4">
        <f t="shared" si="1"/>
        <v>-0.3061972777</v>
      </c>
      <c r="V2004" s="4"/>
    </row>
    <row r="2005">
      <c r="A2005" s="1" t="s">
        <v>19840</v>
      </c>
      <c r="B2005" s="1" t="s">
        <v>19841</v>
      </c>
      <c r="C2005" s="1" t="s">
        <v>19842</v>
      </c>
      <c r="D2005" s="1" t="s">
        <v>19653</v>
      </c>
      <c r="E2005" s="1" t="s">
        <v>19654</v>
      </c>
      <c r="F2005" s="1">
        <v>114908.0</v>
      </c>
      <c r="G2005" s="1">
        <v>6067.0</v>
      </c>
      <c r="H2005" s="1">
        <v>372.0</v>
      </c>
      <c r="I2005" s="1">
        <v>1350000.0</v>
      </c>
      <c r="J2005" s="1" t="s">
        <v>2468</v>
      </c>
      <c r="K2005" s="5">
        <f t="shared" si="2"/>
        <v>0.08511703704</v>
      </c>
      <c r="L2005" s="6">
        <f t="shared" si="3"/>
        <v>950</v>
      </c>
      <c r="M2005" s="6">
        <f t="shared" si="4"/>
        <v>120.9557895</v>
      </c>
      <c r="N2005" s="7">
        <f t="shared" si="5"/>
        <v>0.00008959688109</v>
      </c>
      <c r="O2005" s="7"/>
      <c r="P2005" s="4">
        <f t="shared" si="6"/>
        <v>-0.3864171755</v>
      </c>
      <c r="Q2005" s="4">
        <f t="shared" si="7"/>
        <v>6</v>
      </c>
      <c r="R2005" s="4">
        <f t="shared" si="8"/>
        <v>0</v>
      </c>
      <c r="S2005" s="4">
        <f t="shared" si="9"/>
        <v>-0.3864171755</v>
      </c>
      <c r="T2005" s="4">
        <f t="shared" si="10"/>
        <v>39</v>
      </c>
      <c r="U2005" s="4">
        <f t="shared" si="1"/>
        <v>-0.3864171755</v>
      </c>
      <c r="V2005" s="4"/>
    </row>
    <row r="2006">
      <c r="A2006" s="1" t="s">
        <v>19843</v>
      </c>
      <c r="B2006" s="1" t="s">
        <v>19844</v>
      </c>
      <c r="C2006" s="1" t="s">
        <v>19845</v>
      </c>
      <c r="D2006" s="1" t="s">
        <v>19653</v>
      </c>
      <c r="E2006" s="1" t="s">
        <v>19654</v>
      </c>
      <c r="F2006" s="1">
        <v>177031.0</v>
      </c>
      <c r="G2006" s="1">
        <v>6846.0</v>
      </c>
      <c r="H2006" s="1">
        <v>487.0</v>
      </c>
      <c r="I2006" s="1">
        <v>1350000.0</v>
      </c>
      <c r="J2006" s="1" t="s">
        <v>2468</v>
      </c>
      <c r="K2006" s="5">
        <f t="shared" si="2"/>
        <v>0.1311340741</v>
      </c>
      <c r="L2006" s="6">
        <f t="shared" si="3"/>
        <v>972</v>
      </c>
      <c r="M2006" s="6">
        <f t="shared" si="4"/>
        <v>182.1306584</v>
      </c>
      <c r="N2006" s="7">
        <f t="shared" si="5"/>
        <v>0.0001349115988</v>
      </c>
      <c r="O2006" s="7"/>
      <c r="P2006" s="4">
        <f t="shared" si="6"/>
        <v>-0.3544991456</v>
      </c>
      <c r="Q2006" s="4">
        <f t="shared" si="7"/>
        <v>6</v>
      </c>
      <c r="R2006" s="4">
        <f t="shared" si="8"/>
        <v>1</v>
      </c>
      <c r="S2006" s="4">
        <f t="shared" si="9"/>
        <v>-0.3544991456</v>
      </c>
      <c r="T2006" s="4">
        <f t="shared" si="10"/>
        <v>29</v>
      </c>
      <c r="U2006" s="4">
        <f t="shared" si="1"/>
        <v>-0.3544991456</v>
      </c>
      <c r="V2006" s="4"/>
    </row>
    <row r="2007">
      <c r="A2007" s="1" t="s">
        <v>19846</v>
      </c>
      <c r="B2007" s="1" t="s">
        <v>19847</v>
      </c>
      <c r="C2007" s="1" t="s">
        <v>19848</v>
      </c>
      <c r="D2007" s="1" t="s">
        <v>19653</v>
      </c>
      <c r="E2007" s="1" t="s">
        <v>19654</v>
      </c>
      <c r="F2007" s="1">
        <v>325521.0</v>
      </c>
      <c r="G2007" s="1">
        <v>13128.0</v>
      </c>
      <c r="H2007" s="1">
        <v>780.0</v>
      </c>
      <c r="I2007" s="1">
        <v>1350000.0</v>
      </c>
      <c r="J2007" s="1" t="s">
        <v>2468</v>
      </c>
      <c r="K2007" s="5">
        <f t="shared" si="2"/>
        <v>0.2411266667</v>
      </c>
      <c r="L2007" s="6">
        <f t="shared" si="3"/>
        <v>1011</v>
      </c>
      <c r="M2007" s="6">
        <f t="shared" si="4"/>
        <v>321.9792285</v>
      </c>
      <c r="N2007" s="7">
        <f t="shared" si="5"/>
        <v>0.0002385031322</v>
      </c>
      <c r="O2007" s="7"/>
      <c r="P2007" s="4">
        <f t="shared" si="6"/>
        <v>-0.2815330582</v>
      </c>
      <c r="Q2007" s="4">
        <f t="shared" si="7"/>
        <v>7</v>
      </c>
      <c r="R2007" s="4">
        <f t="shared" si="8"/>
        <v>0</v>
      </c>
      <c r="S2007" s="4">
        <f t="shared" si="9"/>
        <v>-0.2815330582</v>
      </c>
      <c r="T2007" s="4">
        <f t="shared" si="10"/>
        <v>41</v>
      </c>
      <c r="U2007" s="4">
        <f t="shared" si="1"/>
        <v>-0.2815330582</v>
      </c>
      <c r="V2007" s="4"/>
    </row>
    <row r="2008">
      <c r="A2008" s="1" t="s">
        <v>19849</v>
      </c>
      <c r="B2008" s="1" t="s">
        <v>19850</v>
      </c>
      <c r="C2008" s="1" t="s">
        <v>19851</v>
      </c>
      <c r="D2008" s="1" t="s">
        <v>19653</v>
      </c>
      <c r="E2008" s="1" t="s">
        <v>19654</v>
      </c>
      <c r="F2008" s="1">
        <v>647111.0</v>
      </c>
      <c r="G2008" s="1">
        <v>25229.0</v>
      </c>
      <c r="H2008" s="1">
        <v>1754.0</v>
      </c>
      <c r="I2008" s="1">
        <v>1350000.0</v>
      </c>
      <c r="J2008" s="1" t="s">
        <v>2468</v>
      </c>
      <c r="K2008" s="5">
        <f t="shared" si="2"/>
        <v>0.4793414815</v>
      </c>
      <c r="L2008" s="6">
        <f t="shared" si="3"/>
        <v>1039</v>
      </c>
      <c r="M2008" s="6">
        <f t="shared" si="4"/>
        <v>622.8209817</v>
      </c>
      <c r="N2008" s="7">
        <f t="shared" si="5"/>
        <v>0.0004613488753</v>
      </c>
      <c r="O2008" s="7"/>
      <c r="P2008" s="4">
        <f t="shared" si="6"/>
        <v>-0.1245686669</v>
      </c>
      <c r="Q2008" s="4">
        <f t="shared" si="7"/>
        <v>8</v>
      </c>
      <c r="R2008" s="4">
        <f t="shared" si="8"/>
        <v>0</v>
      </c>
      <c r="S2008" s="4">
        <f t="shared" si="9"/>
        <v>-0.1245686669</v>
      </c>
      <c r="T2008" s="4">
        <f t="shared" si="10"/>
        <v>34</v>
      </c>
      <c r="U2008" s="4">
        <f t="shared" si="1"/>
        <v>-0.1245686669</v>
      </c>
      <c r="V2008" s="4"/>
    </row>
    <row r="2009">
      <c r="A2009" s="1" t="s">
        <v>19852</v>
      </c>
      <c r="B2009" s="1" t="s">
        <v>19853</v>
      </c>
      <c r="C2009" s="1" t="s">
        <v>19854</v>
      </c>
      <c r="D2009" s="1" t="s">
        <v>19653</v>
      </c>
      <c r="E2009" s="1" t="s">
        <v>19654</v>
      </c>
      <c r="F2009" s="1">
        <v>915775.0</v>
      </c>
      <c r="G2009" s="1">
        <v>31849.0</v>
      </c>
      <c r="H2009" s="1">
        <v>2778.0</v>
      </c>
      <c r="I2009" s="1">
        <v>1350000.0</v>
      </c>
      <c r="J2009" s="1" t="s">
        <v>2468</v>
      </c>
      <c r="K2009" s="5">
        <f t="shared" si="2"/>
        <v>0.6783518519</v>
      </c>
      <c r="L2009" s="6">
        <f t="shared" si="3"/>
        <v>1045</v>
      </c>
      <c r="M2009" s="6">
        <f t="shared" si="4"/>
        <v>876.3397129</v>
      </c>
      <c r="N2009" s="7">
        <f t="shared" si="5"/>
        <v>0.0006491405281</v>
      </c>
      <c r="O2009" s="7"/>
      <c r="P2009" s="4">
        <f t="shared" si="6"/>
        <v>0.007704905111</v>
      </c>
      <c r="Q2009" s="4">
        <f t="shared" si="7"/>
        <v>9</v>
      </c>
      <c r="R2009" s="4">
        <f t="shared" si="8"/>
        <v>1</v>
      </c>
      <c r="S2009" s="4">
        <f t="shared" si="9"/>
        <v>0.007704905111</v>
      </c>
      <c r="T2009" s="4">
        <f t="shared" si="10"/>
        <v>31</v>
      </c>
      <c r="U2009" s="4">
        <f t="shared" si="1"/>
        <v>0.007704905111</v>
      </c>
      <c r="V2009" s="4"/>
    </row>
    <row r="2010">
      <c r="A2010" s="1" t="s">
        <v>19855</v>
      </c>
      <c r="B2010" s="1" t="s">
        <v>19856</v>
      </c>
      <c r="C2010" s="1" t="s">
        <v>19857</v>
      </c>
      <c r="D2010" s="1" t="s">
        <v>19653</v>
      </c>
      <c r="E2010" s="1" t="s">
        <v>19654</v>
      </c>
      <c r="F2010" s="1">
        <v>267009.0</v>
      </c>
      <c r="G2010" s="1">
        <v>10766.0</v>
      </c>
      <c r="H2010" s="1">
        <v>825.0</v>
      </c>
      <c r="I2010" s="1">
        <v>1350000.0</v>
      </c>
      <c r="J2010" s="1" t="s">
        <v>2468</v>
      </c>
      <c r="K2010" s="5">
        <f t="shared" si="2"/>
        <v>0.1977844444</v>
      </c>
      <c r="L2010" s="6">
        <f t="shared" si="3"/>
        <v>1051</v>
      </c>
      <c r="M2010" s="6">
        <f t="shared" si="4"/>
        <v>254.0523311</v>
      </c>
      <c r="N2010" s="7">
        <f t="shared" si="5"/>
        <v>0.0001881869119</v>
      </c>
      <c r="O2010" s="7"/>
      <c r="P2010" s="4">
        <f t="shared" si="6"/>
        <v>-0.3169739636</v>
      </c>
      <c r="Q2010" s="4">
        <f t="shared" si="7"/>
        <v>8</v>
      </c>
      <c r="R2010" s="4">
        <f t="shared" si="8"/>
        <v>0</v>
      </c>
      <c r="S2010" s="4">
        <f t="shared" si="9"/>
        <v>-0.3169739636</v>
      </c>
      <c r="T2010" s="4">
        <f t="shared" si="10"/>
        <v>43</v>
      </c>
      <c r="U2010" s="4">
        <f t="shared" si="1"/>
        <v>-0.3169739636</v>
      </c>
      <c r="V2010" s="4"/>
    </row>
    <row r="2011">
      <c r="A2011" s="1" t="s">
        <v>19858</v>
      </c>
      <c r="B2011" s="1" t="s">
        <v>19859</v>
      </c>
      <c r="C2011" s="1" t="s">
        <v>19860</v>
      </c>
      <c r="D2011" s="1" t="s">
        <v>19653</v>
      </c>
      <c r="E2011" s="1" t="s">
        <v>19654</v>
      </c>
      <c r="F2011" s="1">
        <v>814341.0</v>
      </c>
      <c r="G2011" s="1">
        <v>23705.0</v>
      </c>
      <c r="H2011" s="1">
        <v>1627.0</v>
      </c>
      <c r="I2011" s="1">
        <v>1350000.0</v>
      </c>
      <c r="J2011" s="1" t="s">
        <v>2468</v>
      </c>
      <c r="K2011" s="5">
        <f t="shared" si="2"/>
        <v>0.6032155556</v>
      </c>
      <c r="L2011" s="6">
        <f t="shared" si="3"/>
        <v>1099</v>
      </c>
      <c r="M2011" s="6">
        <f t="shared" si="4"/>
        <v>740.9836215</v>
      </c>
      <c r="N2011" s="7">
        <f t="shared" si="5"/>
        <v>0.0005488767566</v>
      </c>
      <c r="O2011" s="7"/>
      <c r="P2011" s="4">
        <f t="shared" si="6"/>
        <v>-0.06291722852</v>
      </c>
      <c r="Q2011" s="4">
        <f t="shared" si="7"/>
        <v>6</v>
      </c>
      <c r="R2011" s="4">
        <f t="shared" si="8"/>
        <v>0</v>
      </c>
      <c r="S2011" s="4">
        <f t="shared" si="9"/>
        <v>-0.06291722852</v>
      </c>
      <c r="T2011" s="4">
        <f t="shared" si="10"/>
        <v>38</v>
      </c>
      <c r="U2011" s="4">
        <f t="shared" si="1"/>
        <v>-0.06291722852</v>
      </c>
      <c r="V2011" s="4"/>
    </row>
    <row r="2012">
      <c r="A2012" s="1" t="s">
        <v>19861</v>
      </c>
      <c r="B2012" s="1" t="s">
        <v>19862</v>
      </c>
      <c r="C2012" s="1" t="s">
        <v>19863</v>
      </c>
      <c r="D2012" s="1" t="s">
        <v>19653</v>
      </c>
      <c r="E2012" s="1" t="s">
        <v>19654</v>
      </c>
      <c r="F2012" s="1">
        <v>120515.0</v>
      </c>
      <c r="G2012" s="1">
        <v>7240.0</v>
      </c>
      <c r="H2012" s="1">
        <v>397.0</v>
      </c>
      <c r="I2012" s="1">
        <v>1350000.0</v>
      </c>
      <c r="J2012" s="1" t="s">
        <v>2468</v>
      </c>
      <c r="K2012" s="5">
        <f t="shared" si="2"/>
        <v>0.08927037037</v>
      </c>
      <c r="L2012" s="6">
        <f t="shared" si="3"/>
        <v>1109</v>
      </c>
      <c r="M2012" s="6">
        <f t="shared" si="4"/>
        <v>108.6699729</v>
      </c>
      <c r="N2012" s="7">
        <f t="shared" si="5"/>
        <v>0.00008049627626</v>
      </c>
      <c r="O2012" s="7"/>
      <c r="P2012" s="4">
        <f t="shared" si="6"/>
        <v>-0.3928273087</v>
      </c>
      <c r="Q2012" s="4">
        <f t="shared" si="7"/>
        <v>7</v>
      </c>
      <c r="R2012" s="4">
        <f t="shared" si="8"/>
        <v>0</v>
      </c>
      <c r="S2012" s="4">
        <f t="shared" si="9"/>
        <v>-0.3928273087</v>
      </c>
      <c r="T2012" s="4">
        <f t="shared" si="10"/>
        <v>70</v>
      </c>
      <c r="U2012" s="4">
        <f t="shared" si="1"/>
        <v>-0.3928273087</v>
      </c>
      <c r="V2012" s="4"/>
    </row>
    <row r="2013">
      <c r="A2013" s="1" t="s">
        <v>19864</v>
      </c>
      <c r="B2013" s="1" t="s">
        <v>19865</v>
      </c>
      <c r="C2013" s="1" t="s">
        <v>19866</v>
      </c>
      <c r="D2013" s="1" t="s">
        <v>19653</v>
      </c>
      <c r="E2013" s="1" t="s">
        <v>19654</v>
      </c>
      <c r="F2013" s="1">
        <v>334117.0</v>
      </c>
      <c r="G2013" s="1">
        <v>14785.0</v>
      </c>
      <c r="H2013" s="1">
        <v>1799.0</v>
      </c>
      <c r="I2013" s="1">
        <v>1350000.0</v>
      </c>
      <c r="J2013" s="1" t="s">
        <v>2468</v>
      </c>
      <c r="K2013" s="5">
        <f t="shared" si="2"/>
        <v>0.2474940741</v>
      </c>
      <c r="L2013" s="6">
        <f t="shared" si="3"/>
        <v>1129</v>
      </c>
      <c r="M2013" s="6">
        <f t="shared" si="4"/>
        <v>295.9406554</v>
      </c>
      <c r="N2013" s="7">
        <f t="shared" si="5"/>
        <v>0.0002192153003</v>
      </c>
      <c r="O2013" s="7"/>
      <c r="P2013" s="4">
        <f t="shared" si="6"/>
        <v>-0.2951187016</v>
      </c>
      <c r="Q2013" s="4">
        <f t="shared" si="7"/>
        <v>6</v>
      </c>
      <c r="R2013" s="4">
        <f t="shared" si="8"/>
        <v>0</v>
      </c>
      <c r="S2013" s="4">
        <f t="shared" si="9"/>
        <v>-0.2951187016</v>
      </c>
      <c r="T2013" s="4">
        <f t="shared" si="10"/>
        <v>40</v>
      </c>
      <c r="U2013" s="4">
        <f t="shared" si="1"/>
        <v>-0.2951187016</v>
      </c>
      <c r="V2013" s="4"/>
    </row>
    <row r="2014">
      <c r="A2014" s="1" t="s">
        <v>19867</v>
      </c>
      <c r="B2014" s="1" t="s">
        <v>19868</v>
      </c>
      <c r="C2014" s="1" t="s">
        <v>19869</v>
      </c>
      <c r="D2014" s="1" t="s">
        <v>19653</v>
      </c>
      <c r="E2014" s="1" t="s">
        <v>19654</v>
      </c>
      <c r="F2014" s="1">
        <v>277218.0</v>
      </c>
      <c r="G2014" s="1">
        <v>30616.0</v>
      </c>
      <c r="H2014" s="1">
        <v>1362.0</v>
      </c>
      <c r="I2014" s="1">
        <v>1350000.0</v>
      </c>
      <c r="J2014" s="1" t="s">
        <v>2468</v>
      </c>
      <c r="K2014" s="5">
        <f t="shared" si="2"/>
        <v>0.2053466667</v>
      </c>
      <c r="L2014" s="6">
        <f t="shared" si="3"/>
        <v>1154</v>
      </c>
      <c r="M2014" s="6">
        <f t="shared" si="4"/>
        <v>240.2235702</v>
      </c>
      <c r="N2014" s="7">
        <f t="shared" si="5"/>
        <v>0.0001779433853</v>
      </c>
      <c r="O2014" s="7"/>
      <c r="P2014" s="4">
        <f t="shared" si="6"/>
        <v>-0.3241891291</v>
      </c>
      <c r="Q2014" s="4">
        <f t="shared" si="7"/>
        <v>8</v>
      </c>
      <c r="R2014" s="4">
        <f t="shared" si="8"/>
        <v>1</v>
      </c>
      <c r="S2014" s="4">
        <f t="shared" si="9"/>
        <v>-0.3241891291</v>
      </c>
      <c r="T2014" s="4">
        <f t="shared" si="10"/>
        <v>37</v>
      </c>
      <c r="U2014" s="4">
        <f t="shared" si="1"/>
        <v>-0.3241891291</v>
      </c>
      <c r="V2014" s="4"/>
    </row>
    <row r="2015">
      <c r="A2015" s="1" t="s">
        <v>19870</v>
      </c>
      <c r="B2015" s="1" t="s">
        <v>19871</v>
      </c>
      <c r="C2015" s="1" t="s">
        <v>19872</v>
      </c>
      <c r="D2015" s="1" t="s">
        <v>19653</v>
      </c>
      <c r="E2015" s="1" t="s">
        <v>19654</v>
      </c>
      <c r="F2015" s="1">
        <v>286328.0</v>
      </c>
      <c r="G2015" s="1">
        <v>12302.0</v>
      </c>
      <c r="H2015" s="1">
        <v>909.0</v>
      </c>
      <c r="I2015" s="1">
        <v>1350000.0</v>
      </c>
      <c r="J2015" s="1" t="s">
        <v>2468</v>
      </c>
      <c r="K2015" s="5">
        <f t="shared" si="2"/>
        <v>0.2120948148</v>
      </c>
      <c r="L2015" s="6">
        <f t="shared" si="3"/>
        <v>1185</v>
      </c>
      <c r="M2015" s="6">
        <f t="shared" si="4"/>
        <v>241.6270042</v>
      </c>
      <c r="N2015" s="7">
        <f t="shared" si="5"/>
        <v>0.0001789829661</v>
      </c>
      <c r="O2015" s="7"/>
      <c r="P2015" s="4">
        <f t="shared" si="6"/>
        <v>-0.3234568864</v>
      </c>
      <c r="Q2015" s="4">
        <f t="shared" si="7"/>
        <v>8</v>
      </c>
      <c r="R2015" s="4">
        <f t="shared" si="8"/>
        <v>0</v>
      </c>
      <c r="S2015" s="4">
        <f t="shared" si="9"/>
        <v>-0.3234568864</v>
      </c>
      <c r="T2015" s="4">
        <f t="shared" si="10"/>
        <v>56</v>
      </c>
      <c r="U2015" s="4">
        <f t="shared" si="1"/>
        <v>-0.3234568864</v>
      </c>
      <c r="V2015" s="4"/>
    </row>
    <row r="2016">
      <c r="A2016" s="1" t="s">
        <v>19873</v>
      </c>
      <c r="B2016" s="1" t="s">
        <v>19874</v>
      </c>
      <c r="C2016" s="1" t="s">
        <v>19875</v>
      </c>
      <c r="D2016" s="1" t="s">
        <v>19653</v>
      </c>
      <c r="E2016" s="1" t="s">
        <v>19654</v>
      </c>
      <c r="F2016" s="1">
        <v>359459.0</v>
      </c>
      <c r="G2016" s="1">
        <v>15215.0</v>
      </c>
      <c r="H2016" s="1">
        <v>965.0</v>
      </c>
      <c r="I2016" s="1">
        <v>1350000.0</v>
      </c>
      <c r="J2016" s="1" t="s">
        <v>2468</v>
      </c>
      <c r="K2016" s="5">
        <f t="shared" si="2"/>
        <v>0.2662659259</v>
      </c>
      <c r="L2016" s="6">
        <f t="shared" si="3"/>
        <v>1192</v>
      </c>
      <c r="M2016" s="6">
        <f t="shared" si="4"/>
        <v>301.5595638</v>
      </c>
      <c r="N2016" s="7">
        <f t="shared" si="5"/>
        <v>0.0002233774546</v>
      </c>
      <c r="O2016" s="7"/>
      <c r="P2016" s="4">
        <f t="shared" si="6"/>
        <v>-0.2921870323</v>
      </c>
      <c r="Q2016" s="4">
        <f t="shared" si="7"/>
        <v>5</v>
      </c>
      <c r="R2016" s="4">
        <f t="shared" si="8"/>
        <v>0</v>
      </c>
      <c r="S2016" s="4">
        <f t="shared" si="9"/>
        <v>-0.2921870323</v>
      </c>
      <c r="T2016" s="4">
        <f t="shared" si="10"/>
        <v>26</v>
      </c>
      <c r="U2016" s="4">
        <f t="shared" si="1"/>
        <v>-0.2921870323</v>
      </c>
      <c r="V2016" s="4"/>
    </row>
    <row r="2017">
      <c r="A2017" s="1" t="s">
        <v>19876</v>
      </c>
      <c r="B2017" s="1" t="s">
        <v>19877</v>
      </c>
      <c r="C2017" s="1" t="s">
        <v>19878</v>
      </c>
      <c r="D2017" s="1" t="s">
        <v>19653</v>
      </c>
      <c r="E2017" s="1" t="s">
        <v>19654</v>
      </c>
      <c r="F2017" s="1">
        <v>475074.0</v>
      </c>
      <c r="G2017" s="1">
        <v>17839.0</v>
      </c>
      <c r="H2017" s="1">
        <v>860.0</v>
      </c>
      <c r="I2017" s="1">
        <v>1350000.0</v>
      </c>
      <c r="J2017" s="1" t="s">
        <v>2468</v>
      </c>
      <c r="K2017" s="5">
        <f t="shared" si="2"/>
        <v>0.3519066667</v>
      </c>
      <c r="L2017" s="6">
        <f t="shared" si="3"/>
        <v>1226</v>
      </c>
      <c r="M2017" s="6">
        <f t="shared" si="4"/>
        <v>387.4991843</v>
      </c>
      <c r="N2017" s="7">
        <f t="shared" si="5"/>
        <v>0.0002870364328</v>
      </c>
      <c r="O2017" s="7"/>
      <c r="P2017" s="4">
        <f t="shared" si="6"/>
        <v>-0.2473479763</v>
      </c>
      <c r="Q2017" s="4">
        <f t="shared" si="7"/>
        <v>5</v>
      </c>
      <c r="R2017" s="4">
        <f t="shared" si="8"/>
        <v>0</v>
      </c>
      <c r="S2017" s="4">
        <f t="shared" si="9"/>
        <v>-0.2473479763</v>
      </c>
      <c r="T2017" s="4">
        <f t="shared" si="10"/>
        <v>34</v>
      </c>
      <c r="U2017" s="4">
        <f t="shared" si="1"/>
        <v>-0.2473479763</v>
      </c>
      <c r="V2017" s="4"/>
    </row>
    <row r="2018">
      <c r="A2018" s="1" t="s">
        <v>19879</v>
      </c>
      <c r="B2018" s="1" t="s">
        <v>19880</v>
      </c>
      <c r="C2018" s="1" t="s">
        <v>19881</v>
      </c>
      <c r="D2018" s="1" t="s">
        <v>19653</v>
      </c>
      <c r="E2018" s="1" t="s">
        <v>19654</v>
      </c>
      <c r="F2018" s="1">
        <v>564408.0</v>
      </c>
      <c r="G2018" s="1">
        <v>19977.0</v>
      </c>
      <c r="H2018" s="1">
        <v>1659.0</v>
      </c>
      <c r="I2018" s="1">
        <v>1350000.0</v>
      </c>
      <c r="J2018" s="1" t="s">
        <v>2468</v>
      </c>
      <c r="K2018" s="5">
        <f t="shared" si="2"/>
        <v>0.41808</v>
      </c>
      <c r="L2018" s="6">
        <f t="shared" si="3"/>
        <v>1232</v>
      </c>
      <c r="M2018" s="6">
        <f t="shared" si="4"/>
        <v>458.1233766</v>
      </c>
      <c r="N2018" s="7">
        <f t="shared" si="5"/>
        <v>0.0003393506494</v>
      </c>
      <c r="O2018" s="7"/>
      <c r="P2018" s="4">
        <f t="shared" si="6"/>
        <v>-0.2104997555</v>
      </c>
      <c r="Q2018" s="4">
        <f t="shared" si="7"/>
        <v>8</v>
      </c>
      <c r="R2018" s="4">
        <f t="shared" si="8"/>
        <v>0</v>
      </c>
      <c r="S2018" s="4">
        <f t="shared" si="9"/>
        <v>-0.2104997555</v>
      </c>
      <c r="T2018" s="4">
        <f t="shared" si="10"/>
        <v>31</v>
      </c>
      <c r="U2018" s="4">
        <f t="shared" si="1"/>
        <v>-0.2104997555</v>
      </c>
      <c r="V2018" s="4"/>
    </row>
    <row r="2019">
      <c r="A2019" s="1" t="s">
        <v>19882</v>
      </c>
      <c r="B2019" s="1" t="s">
        <v>19883</v>
      </c>
      <c r="C2019" s="1" t="s">
        <v>19884</v>
      </c>
      <c r="D2019" s="1" t="s">
        <v>19653</v>
      </c>
      <c r="E2019" s="1" t="s">
        <v>19654</v>
      </c>
      <c r="F2019" s="1">
        <v>762847.0</v>
      </c>
      <c r="G2019" s="1">
        <v>24081.0</v>
      </c>
      <c r="H2019" s="1">
        <v>2925.0</v>
      </c>
      <c r="I2019" s="1">
        <v>1350000.0</v>
      </c>
      <c r="J2019" s="1" t="s">
        <v>2468</v>
      </c>
      <c r="K2019" s="5">
        <f t="shared" si="2"/>
        <v>0.5650718519</v>
      </c>
      <c r="L2019" s="6">
        <f t="shared" si="3"/>
        <v>1249</v>
      </c>
      <c r="M2019" s="6">
        <f t="shared" si="4"/>
        <v>610.766213</v>
      </c>
      <c r="N2019" s="7">
        <f t="shared" si="5"/>
        <v>0.000452419417</v>
      </c>
      <c r="O2019" s="7"/>
      <c r="P2019" s="4">
        <f t="shared" si="6"/>
        <v>-0.1308582508</v>
      </c>
      <c r="Q2019" s="4">
        <f t="shared" si="7"/>
        <v>5</v>
      </c>
      <c r="R2019" s="4">
        <f t="shared" si="8"/>
        <v>1</v>
      </c>
      <c r="S2019" s="4">
        <f t="shared" si="9"/>
        <v>-0.1308582508</v>
      </c>
      <c r="T2019" s="4">
        <f t="shared" si="10"/>
        <v>32</v>
      </c>
      <c r="U2019" s="4">
        <f t="shared" si="1"/>
        <v>-0.1308582508</v>
      </c>
      <c r="V2019" s="4"/>
    </row>
    <row r="2020">
      <c r="A2020" s="1" t="s">
        <v>19885</v>
      </c>
      <c r="B2020" s="1" t="s">
        <v>19886</v>
      </c>
      <c r="C2020" s="1" t="s">
        <v>19887</v>
      </c>
      <c r="D2020" s="1" t="s">
        <v>19653</v>
      </c>
      <c r="E2020" s="1" t="s">
        <v>19654</v>
      </c>
      <c r="F2020" s="1">
        <v>359654.0</v>
      </c>
      <c r="G2020" s="1">
        <v>20715.0</v>
      </c>
      <c r="H2020" s="1">
        <v>1472.0</v>
      </c>
      <c r="I2020" s="1">
        <v>1350000.0</v>
      </c>
      <c r="J2020" s="1" t="s">
        <v>2468</v>
      </c>
      <c r="K2020" s="5">
        <f t="shared" si="2"/>
        <v>0.2664103704</v>
      </c>
      <c r="L2020" s="6">
        <f t="shared" si="3"/>
        <v>1266</v>
      </c>
      <c r="M2020" s="6">
        <f t="shared" si="4"/>
        <v>284.0868878</v>
      </c>
      <c r="N2020" s="7">
        <f t="shared" si="5"/>
        <v>0.0002104347317</v>
      </c>
      <c r="O2020" s="7"/>
      <c r="P2020" s="4">
        <f t="shared" si="6"/>
        <v>-0.301303413</v>
      </c>
      <c r="Q2020" s="4">
        <f t="shared" si="7"/>
        <v>16</v>
      </c>
      <c r="R2020" s="4">
        <f t="shared" si="8"/>
        <v>1</v>
      </c>
      <c r="S2020" s="4">
        <f t="shared" si="9"/>
        <v>-0.301303413</v>
      </c>
      <c r="T2020" s="4">
        <f t="shared" si="10"/>
        <v>71</v>
      </c>
      <c r="U2020" s="4">
        <f t="shared" si="1"/>
        <v>-0.301303413</v>
      </c>
      <c r="V2020" s="4"/>
    </row>
    <row r="2021">
      <c r="A2021" s="1" t="s">
        <v>19888</v>
      </c>
      <c r="B2021" s="1" t="s">
        <v>19889</v>
      </c>
      <c r="C2021" s="1" t="s">
        <v>19890</v>
      </c>
      <c r="D2021" s="1" t="s">
        <v>19653</v>
      </c>
      <c r="E2021" s="1" t="s">
        <v>19654</v>
      </c>
      <c r="F2021" s="1">
        <v>295585.0</v>
      </c>
      <c r="G2021" s="1">
        <v>15113.0</v>
      </c>
      <c r="H2021" s="1">
        <v>1244.0</v>
      </c>
      <c r="I2021" s="1">
        <v>1350000.0</v>
      </c>
      <c r="J2021" s="1" t="s">
        <v>2468</v>
      </c>
      <c r="K2021" s="5">
        <f t="shared" si="2"/>
        <v>0.2189518519</v>
      </c>
      <c r="L2021" s="6">
        <f t="shared" si="3"/>
        <v>1273</v>
      </c>
      <c r="M2021" s="6">
        <f t="shared" si="4"/>
        <v>232.1956009</v>
      </c>
      <c r="N2021" s="7">
        <f t="shared" si="5"/>
        <v>0.0001719967414</v>
      </c>
      <c r="O2021" s="7"/>
      <c r="P2021" s="4">
        <f t="shared" si="6"/>
        <v>-0.3283777275</v>
      </c>
      <c r="Q2021" s="4">
        <f t="shared" si="7"/>
        <v>7</v>
      </c>
      <c r="R2021" s="4">
        <f t="shared" si="8"/>
        <v>0</v>
      </c>
      <c r="S2021" s="4">
        <f t="shared" si="9"/>
        <v>-0.3283777275</v>
      </c>
      <c r="T2021" s="4">
        <f t="shared" si="10"/>
        <v>36</v>
      </c>
      <c r="U2021" s="4">
        <f t="shared" si="1"/>
        <v>-0.3283777275</v>
      </c>
      <c r="V2021" s="4"/>
    </row>
    <row r="2022">
      <c r="A2022" s="1" t="s">
        <v>19891</v>
      </c>
      <c r="B2022" s="1" t="s">
        <v>19892</v>
      </c>
      <c r="C2022" s="1" t="s">
        <v>19893</v>
      </c>
      <c r="D2022" s="1" t="s">
        <v>19653</v>
      </c>
      <c r="E2022" s="1" t="s">
        <v>19654</v>
      </c>
      <c r="F2022" s="1">
        <v>683483.0</v>
      </c>
      <c r="G2022" s="1">
        <v>22982.0</v>
      </c>
      <c r="H2022" s="1">
        <v>2044.0</v>
      </c>
      <c r="I2022" s="1">
        <v>1350000.0</v>
      </c>
      <c r="J2022" s="1" t="s">
        <v>2468</v>
      </c>
      <c r="K2022" s="5">
        <f t="shared" si="2"/>
        <v>0.5062837037</v>
      </c>
      <c r="L2022" s="6">
        <f t="shared" si="3"/>
        <v>1284</v>
      </c>
      <c r="M2022" s="6">
        <f t="shared" si="4"/>
        <v>532.3076324</v>
      </c>
      <c r="N2022" s="7">
        <f t="shared" si="5"/>
        <v>0.0003943019499</v>
      </c>
      <c r="O2022" s="7"/>
      <c r="P2022" s="4">
        <f t="shared" si="6"/>
        <v>-0.1717940691</v>
      </c>
      <c r="Q2022" s="4">
        <f t="shared" si="7"/>
        <v>7</v>
      </c>
      <c r="R2022" s="4">
        <f t="shared" si="8"/>
        <v>0</v>
      </c>
      <c r="S2022" s="4">
        <f t="shared" si="9"/>
        <v>-0.1717940691</v>
      </c>
      <c r="T2022" s="4">
        <f t="shared" si="10"/>
        <v>34</v>
      </c>
      <c r="U2022" s="4">
        <f t="shared" si="1"/>
        <v>-0.1717940691</v>
      </c>
      <c r="V2022" s="4"/>
    </row>
    <row r="2023">
      <c r="A2023" s="1" t="s">
        <v>19894</v>
      </c>
      <c r="B2023" s="1" t="s">
        <v>19895</v>
      </c>
      <c r="C2023" s="1" t="s">
        <v>19896</v>
      </c>
      <c r="D2023" s="1" t="s">
        <v>19653</v>
      </c>
      <c r="E2023" s="1" t="s">
        <v>19654</v>
      </c>
      <c r="F2023" s="1">
        <v>556084.0</v>
      </c>
      <c r="G2023" s="1">
        <v>21984.0</v>
      </c>
      <c r="H2023" s="1">
        <v>1493.0</v>
      </c>
      <c r="I2023" s="1">
        <v>1350000.0</v>
      </c>
      <c r="J2023" s="1" t="s">
        <v>2468</v>
      </c>
      <c r="K2023" s="5">
        <f t="shared" si="2"/>
        <v>0.4119140741</v>
      </c>
      <c r="L2023" s="6">
        <f t="shared" si="3"/>
        <v>1305</v>
      </c>
      <c r="M2023" s="6">
        <f t="shared" si="4"/>
        <v>426.1180077</v>
      </c>
      <c r="N2023" s="7">
        <f t="shared" si="5"/>
        <v>0.0003156429686</v>
      </c>
      <c r="O2023" s="7"/>
      <c r="P2023" s="4">
        <f t="shared" si="6"/>
        <v>-0.2271985787</v>
      </c>
      <c r="Q2023" s="4">
        <f t="shared" si="7"/>
        <v>4</v>
      </c>
      <c r="R2023" s="4">
        <f t="shared" si="8"/>
        <v>0</v>
      </c>
      <c r="S2023" s="4">
        <f t="shared" si="9"/>
        <v>-0.2271985787</v>
      </c>
      <c r="T2023" s="4">
        <f t="shared" si="10"/>
        <v>20</v>
      </c>
      <c r="U2023" s="4">
        <f t="shared" si="1"/>
        <v>-0.2271985787</v>
      </c>
      <c r="V2023" s="4"/>
    </row>
    <row r="2024">
      <c r="A2024" s="1" t="s">
        <v>19897</v>
      </c>
      <c r="B2024" s="1" t="s">
        <v>19898</v>
      </c>
      <c r="C2024" s="1" t="s">
        <v>19899</v>
      </c>
      <c r="D2024" s="1" t="s">
        <v>19653</v>
      </c>
      <c r="E2024" s="1" t="s">
        <v>19654</v>
      </c>
      <c r="F2024" s="1">
        <v>264262.0</v>
      </c>
      <c r="G2024" s="1">
        <v>11652.0</v>
      </c>
      <c r="H2024" s="1">
        <v>748.0</v>
      </c>
      <c r="I2024" s="1">
        <v>1350000.0</v>
      </c>
      <c r="J2024" s="1" t="s">
        <v>2468</v>
      </c>
      <c r="K2024" s="5">
        <f t="shared" si="2"/>
        <v>0.1957496296</v>
      </c>
      <c r="L2024" s="6">
        <f t="shared" si="3"/>
        <v>1324</v>
      </c>
      <c r="M2024" s="6">
        <f t="shared" si="4"/>
        <v>199.5936556</v>
      </c>
      <c r="N2024" s="7">
        <f t="shared" si="5"/>
        <v>0.0001478471523</v>
      </c>
      <c r="O2024" s="7"/>
      <c r="P2024" s="4">
        <f t="shared" si="6"/>
        <v>-0.3453878149</v>
      </c>
      <c r="Q2024" s="4">
        <f t="shared" si="7"/>
        <v>9</v>
      </c>
      <c r="R2024" s="4">
        <f t="shared" si="8"/>
        <v>0</v>
      </c>
      <c r="S2024" s="4">
        <f t="shared" si="9"/>
        <v>-0.3453878149</v>
      </c>
      <c r="T2024" s="4">
        <f t="shared" si="10"/>
        <v>44</v>
      </c>
      <c r="U2024" s="4">
        <f t="shared" si="1"/>
        <v>-0.3453878149</v>
      </c>
      <c r="V2024" s="4"/>
    </row>
    <row r="2025">
      <c r="A2025" s="1" t="s">
        <v>19900</v>
      </c>
      <c r="B2025" s="1" t="s">
        <v>19901</v>
      </c>
      <c r="C2025" s="1" t="s">
        <v>19902</v>
      </c>
      <c r="D2025" s="1" t="s">
        <v>19653</v>
      </c>
      <c r="E2025" s="1" t="s">
        <v>19654</v>
      </c>
      <c r="F2025" s="1">
        <v>455531.0</v>
      </c>
      <c r="G2025" s="1">
        <v>27754.0</v>
      </c>
      <c r="H2025" s="1">
        <v>1392.0</v>
      </c>
      <c r="I2025" s="1">
        <v>1350000.0</v>
      </c>
      <c r="J2025" s="1" t="s">
        <v>2468</v>
      </c>
      <c r="K2025" s="5">
        <f t="shared" si="2"/>
        <v>0.3374303704</v>
      </c>
      <c r="L2025" s="6">
        <f t="shared" si="3"/>
        <v>1354</v>
      </c>
      <c r="M2025" s="6">
        <f t="shared" si="4"/>
        <v>336.4335303</v>
      </c>
      <c r="N2025" s="7">
        <f t="shared" si="5"/>
        <v>0.0002492100224</v>
      </c>
      <c r="O2025" s="7"/>
      <c r="P2025" s="4">
        <f t="shared" si="6"/>
        <v>-0.2739915163</v>
      </c>
      <c r="Q2025" s="4">
        <f t="shared" si="7"/>
        <v>8</v>
      </c>
      <c r="R2025" s="4">
        <f t="shared" si="8"/>
        <v>0</v>
      </c>
      <c r="S2025" s="4">
        <f t="shared" si="9"/>
        <v>-0.2739915163</v>
      </c>
      <c r="T2025" s="4">
        <f t="shared" si="10"/>
        <v>39</v>
      </c>
      <c r="U2025" s="4">
        <f t="shared" si="1"/>
        <v>-0.2739915163</v>
      </c>
      <c r="V2025" s="4"/>
    </row>
    <row r="2026">
      <c r="A2026" s="1" t="s">
        <v>19903</v>
      </c>
      <c r="B2026" s="1" t="s">
        <v>19904</v>
      </c>
      <c r="C2026" s="1" t="s">
        <v>19905</v>
      </c>
      <c r="D2026" s="1" t="s">
        <v>19653</v>
      </c>
      <c r="E2026" s="1" t="s">
        <v>19654</v>
      </c>
      <c r="F2026" s="1">
        <v>179431.0</v>
      </c>
      <c r="G2026" s="1">
        <v>10149.0</v>
      </c>
      <c r="H2026" s="1">
        <v>540.0</v>
      </c>
      <c r="I2026" s="1">
        <v>1350000.0</v>
      </c>
      <c r="J2026" s="1" t="s">
        <v>2468</v>
      </c>
      <c r="K2026" s="5">
        <f t="shared" si="2"/>
        <v>0.1329118519</v>
      </c>
      <c r="L2026" s="6">
        <f t="shared" si="3"/>
        <v>1367</v>
      </c>
      <c r="M2026" s="6">
        <f t="shared" si="4"/>
        <v>131.2589612</v>
      </c>
      <c r="N2026" s="7">
        <f t="shared" si="5"/>
        <v>0.00009722886017</v>
      </c>
      <c r="O2026" s="7"/>
      <c r="P2026" s="4">
        <f t="shared" si="6"/>
        <v>-0.3810414886</v>
      </c>
      <c r="Q2026" s="4">
        <f t="shared" si="7"/>
        <v>9</v>
      </c>
      <c r="R2026" s="4">
        <f t="shared" si="8"/>
        <v>0</v>
      </c>
      <c r="S2026" s="4">
        <f t="shared" si="9"/>
        <v>-0.3810414886</v>
      </c>
      <c r="T2026" s="4">
        <f t="shared" si="10"/>
        <v>57</v>
      </c>
      <c r="U2026" s="4">
        <f t="shared" si="1"/>
        <v>-0.3810414886</v>
      </c>
      <c r="V2026" s="4"/>
    </row>
    <row r="2027">
      <c r="A2027" s="1" t="s">
        <v>19906</v>
      </c>
      <c r="B2027" s="1" t="s">
        <v>19907</v>
      </c>
      <c r="C2027" s="1" t="s">
        <v>19908</v>
      </c>
      <c r="D2027" s="1" t="s">
        <v>19653</v>
      </c>
      <c r="E2027" s="1" t="s">
        <v>19654</v>
      </c>
      <c r="F2027" s="1">
        <v>398683.0</v>
      </c>
      <c r="G2027" s="1">
        <v>18671.0</v>
      </c>
      <c r="H2027" s="1">
        <v>1535.0</v>
      </c>
      <c r="I2027" s="1">
        <v>1350000.0</v>
      </c>
      <c r="J2027" s="1" t="s">
        <v>2468</v>
      </c>
      <c r="K2027" s="5">
        <f t="shared" si="2"/>
        <v>0.2953207407</v>
      </c>
      <c r="L2027" s="6">
        <f t="shared" si="3"/>
        <v>1370</v>
      </c>
      <c r="M2027" s="6">
        <f t="shared" si="4"/>
        <v>291.0094891</v>
      </c>
      <c r="N2027" s="7">
        <f t="shared" si="5"/>
        <v>0.0002155625845</v>
      </c>
      <c r="O2027" s="7"/>
      <c r="P2027" s="4">
        <f t="shared" si="6"/>
        <v>-0.297691541</v>
      </c>
      <c r="Q2027" s="4">
        <f t="shared" si="7"/>
        <v>8</v>
      </c>
      <c r="R2027" s="4">
        <f t="shared" si="8"/>
        <v>1</v>
      </c>
      <c r="S2027" s="4">
        <f t="shared" si="9"/>
        <v>-0.297691541</v>
      </c>
      <c r="T2027" s="4">
        <f t="shared" si="10"/>
        <v>30</v>
      </c>
      <c r="U2027" s="4">
        <f t="shared" si="1"/>
        <v>-0.297691541</v>
      </c>
      <c r="V2027" s="4"/>
    </row>
    <row r="2028">
      <c r="A2028" s="1" t="s">
        <v>19909</v>
      </c>
      <c r="B2028" s="1" t="s">
        <v>19910</v>
      </c>
      <c r="C2028" s="1" t="s">
        <v>19911</v>
      </c>
      <c r="D2028" s="1" t="s">
        <v>19653</v>
      </c>
      <c r="E2028" s="1" t="s">
        <v>19654</v>
      </c>
      <c r="F2028" s="1">
        <v>1683828.0</v>
      </c>
      <c r="G2028" s="1">
        <v>66759.0</v>
      </c>
      <c r="H2028" s="1">
        <v>9908.0</v>
      </c>
      <c r="I2028" s="1">
        <v>1350000.0</v>
      </c>
      <c r="J2028" s="1" t="s">
        <v>2468</v>
      </c>
      <c r="K2028" s="5">
        <f t="shared" si="2"/>
        <v>1.24728</v>
      </c>
      <c r="L2028" s="6">
        <f t="shared" si="3"/>
        <v>1403</v>
      </c>
      <c r="M2028" s="6">
        <f t="shared" si="4"/>
        <v>1200.162509</v>
      </c>
      <c r="N2028" s="7">
        <f t="shared" si="5"/>
        <v>0.0008890092659</v>
      </c>
      <c r="O2028" s="7"/>
      <c r="P2028" s="4">
        <f t="shared" si="6"/>
        <v>0.1766596712</v>
      </c>
      <c r="Q2028" s="4">
        <f t="shared" si="7"/>
        <v>18</v>
      </c>
      <c r="R2028" s="4">
        <f t="shared" si="8"/>
        <v>0</v>
      </c>
      <c r="S2028" s="4">
        <f t="shared" si="9"/>
        <v>0.1766596712</v>
      </c>
      <c r="T2028" s="4">
        <f t="shared" si="10"/>
        <v>72</v>
      </c>
      <c r="U2028" s="4">
        <f t="shared" si="1"/>
        <v>0.1766596712</v>
      </c>
      <c r="V2028" s="4"/>
    </row>
    <row r="2029">
      <c r="A2029" s="1" t="s">
        <v>19912</v>
      </c>
      <c r="B2029" s="1" t="s">
        <v>19913</v>
      </c>
      <c r="C2029" s="1" t="s">
        <v>19914</v>
      </c>
      <c r="D2029" s="1" t="s">
        <v>19653</v>
      </c>
      <c r="E2029" s="1" t="s">
        <v>19654</v>
      </c>
      <c r="F2029" s="1">
        <v>281044.0</v>
      </c>
      <c r="G2029" s="1">
        <v>13140.0</v>
      </c>
      <c r="H2029" s="1">
        <v>818.0</v>
      </c>
      <c r="I2029" s="1">
        <v>1350000.0</v>
      </c>
      <c r="J2029" s="1" t="s">
        <v>2468</v>
      </c>
      <c r="K2029" s="5">
        <f t="shared" si="2"/>
        <v>0.2081807407</v>
      </c>
      <c r="L2029" s="6">
        <f t="shared" si="3"/>
        <v>1405</v>
      </c>
      <c r="M2029" s="6">
        <f t="shared" si="4"/>
        <v>200.0313167</v>
      </c>
      <c r="N2029" s="7">
        <f t="shared" si="5"/>
        <v>0.0001481713457</v>
      </c>
      <c r="O2029" s="7"/>
      <c r="P2029" s="4">
        <f t="shared" si="6"/>
        <v>-0.3451594649</v>
      </c>
      <c r="Q2029" s="4">
        <f t="shared" si="7"/>
        <v>6</v>
      </c>
      <c r="R2029" s="4">
        <f t="shared" si="8"/>
        <v>0</v>
      </c>
      <c r="S2029" s="4">
        <f t="shared" si="9"/>
        <v>-0.3451594649</v>
      </c>
      <c r="T2029" s="4">
        <f t="shared" si="10"/>
        <v>22</v>
      </c>
      <c r="U2029" s="4">
        <f t="shared" si="1"/>
        <v>-0.3451594649</v>
      </c>
      <c r="V2029" s="4"/>
    </row>
    <row r="2030">
      <c r="A2030" s="1" t="s">
        <v>19915</v>
      </c>
      <c r="B2030" s="1" t="s">
        <v>19916</v>
      </c>
      <c r="C2030" s="1" t="s">
        <v>19917</v>
      </c>
      <c r="D2030" s="1" t="s">
        <v>19653</v>
      </c>
      <c r="E2030" s="1" t="s">
        <v>19654</v>
      </c>
      <c r="F2030" s="1">
        <v>3019398.0</v>
      </c>
      <c r="G2030" s="1">
        <v>104425.0</v>
      </c>
      <c r="H2030" s="1">
        <v>5209.0</v>
      </c>
      <c r="I2030" s="1">
        <v>1350000.0</v>
      </c>
      <c r="J2030" s="1" t="s">
        <v>2468</v>
      </c>
      <c r="K2030" s="5">
        <f t="shared" si="2"/>
        <v>2.236591111</v>
      </c>
      <c r="L2030" s="6">
        <f t="shared" si="3"/>
        <v>1417</v>
      </c>
      <c r="M2030" s="6">
        <f t="shared" si="4"/>
        <v>2130.838391</v>
      </c>
      <c r="N2030" s="7">
        <f t="shared" si="5"/>
        <v>0.001578398808</v>
      </c>
      <c r="O2030" s="7"/>
      <c r="P2030" s="4">
        <f t="shared" si="6"/>
        <v>0.6622404516</v>
      </c>
      <c r="Q2030" s="4">
        <f t="shared" si="7"/>
        <v>6</v>
      </c>
      <c r="R2030" s="4">
        <f t="shared" si="8"/>
        <v>0</v>
      </c>
      <c r="S2030" s="4">
        <f t="shared" si="9"/>
        <v>0.6622404516</v>
      </c>
      <c r="T2030" s="4">
        <f t="shared" si="10"/>
        <v>37</v>
      </c>
      <c r="U2030" s="4">
        <f t="shared" si="1"/>
        <v>0.6622404516</v>
      </c>
      <c r="V2030" s="4"/>
    </row>
    <row r="2031">
      <c r="A2031" s="1" t="s">
        <v>19918</v>
      </c>
      <c r="B2031" s="1" t="s">
        <v>19919</v>
      </c>
      <c r="C2031" s="1" t="s">
        <v>19920</v>
      </c>
      <c r="D2031" s="1" t="s">
        <v>19653</v>
      </c>
      <c r="E2031" s="1" t="s">
        <v>19654</v>
      </c>
      <c r="F2031" s="1">
        <v>348388.0</v>
      </c>
      <c r="G2031" s="1">
        <v>16331.0</v>
      </c>
      <c r="H2031" s="1">
        <v>789.0</v>
      </c>
      <c r="I2031" s="1">
        <v>1350000.0</v>
      </c>
      <c r="J2031" s="1" t="s">
        <v>2468</v>
      </c>
      <c r="K2031" s="5">
        <f t="shared" si="2"/>
        <v>0.2580651852</v>
      </c>
      <c r="L2031" s="6">
        <f t="shared" si="3"/>
        <v>1451</v>
      </c>
      <c r="M2031" s="6">
        <f t="shared" si="4"/>
        <v>240.1019986</v>
      </c>
      <c r="N2031" s="7">
        <f t="shared" si="5"/>
        <v>0.0001778533323</v>
      </c>
      <c r="O2031" s="7"/>
      <c r="P2031" s="4">
        <f t="shared" si="6"/>
        <v>-0.3242525591</v>
      </c>
      <c r="Q2031" s="4">
        <f t="shared" si="7"/>
        <v>6</v>
      </c>
      <c r="R2031" s="4">
        <f t="shared" si="8"/>
        <v>1</v>
      </c>
      <c r="S2031" s="4">
        <f t="shared" si="9"/>
        <v>-0.3242525591</v>
      </c>
      <c r="T2031" s="4">
        <f t="shared" si="10"/>
        <v>30</v>
      </c>
      <c r="U2031" s="4">
        <f t="shared" si="1"/>
        <v>-0.3242525591</v>
      </c>
      <c r="V2031" s="4"/>
    </row>
    <row r="2032">
      <c r="A2032" s="1" t="s">
        <v>19921</v>
      </c>
      <c r="B2032" s="1" t="s">
        <v>19922</v>
      </c>
      <c r="C2032" s="1" t="s">
        <v>19923</v>
      </c>
      <c r="D2032" s="1" t="s">
        <v>19653</v>
      </c>
      <c r="E2032" s="1" t="s">
        <v>19654</v>
      </c>
      <c r="F2032" s="1">
        <v>472706.0</v>
      </c>
      <c r="G2032" s="1">
        <v>22115.0</v>
      </c>
      <c r="H2032" s="1">
        <v>1942.0</v>
      </c>
      <c r="I2032" s="1">
        <v>1350000.0</v>
      </c>
      <c r="J2032" s="1" t="s">
        <v>2468</v>
      </c>
      <c r="K2032" s="5">
        <f t="shared" si="2"/>
        <v>0.3501525926</v>
      </c>
      <c r="L2032" s="6">
        <f t="shared" si="3"/>
        <v>1492</v>
      </c>
      <c r="M2032" s="6">
        <f t="shared" si="4"/>
        <v>316.8270777</v>
      </c>
      <c r="N2032" s="7">
        <f t="shared" si="5"/>
        <v>0.0002346867243</v>
      </c>
      <c r="O2032" s="7"/>
      <c r="P2032" s="4">
        <f t="shared" si="6"/>
        <v>-0.2842211964</v>
      </c>
      <c r="Q2032" s="4">
        <f t="shared" si="7"/>
        <v>10</v>
      </c>
      <c r="R2032" s="4">
        <f t="shared" si="8"/>
        <v>1</v>
      </c>
      <c r="S2032" s="4">
        <f t="shared" si="9"/>
        <v>-0.2842211964</v>
      </c>
      <c r="T2032" s="4">
        <f t="shared" si="10"/>
        <v>59</v>
      </c>
      <c r="U2032" s="4">
        <f t="shared" si="1"/>
        <v>-0.2842211964</v>
      </c>
      <c r="V2032" s="4"/>
    </row>
    <row r="2033">
      <c r="A2033" s="1" t="s">
        <v>19924</v>
      </c>
      <c r="B2033" s="1" t="s">
        <v>19925</v>
      </c>
      <c r="C2033" s="1" t="s">
        <v>19926</v>
      </c>
      <c r="D2033" s="1" t="s">
        <v>19653</v>
      </c>
      <c r="E2033" s="1" t="s">
        <v>19654</v>
      </c>
      <c r="F2033" s="1">
        <v>1869341.0</v>
      </c>
      <c r="G2033" s="1">
        <v>59650.0</v>
      </c>
      <c r="H2033" s="1">
        <v>4258.0</v>
      </c>
      <c r="I2033" s="1">
        <v>1350000.0</v>
      </c>
      <c r="J2033" s="1" t="s">
        <v>2468</v>
      </c>
      <c r="K2033" s="5">
        <f t="shared" si="2"/>
        <v>1.384697037</v>
      </c>
      <c r="L2033" s="6">
        <f t="shared" si="3"/>
        <v>1525</v>
      </c>
      <c r="M2033" s="6">
        <f t="shared" si="4"/>
        <v>1225.797377</v>
      </c>
      <c r="N2033" s="7">
        <f t="shared" si="5"/>
        <v>0.0009079980571</v>
      </c>
      <c r="O2033" s="7"/>
      <c r="P2033" s="4">
        <f t="shared" si="6"/>
        <v>0.1900346813</v>
      </c>
      <c r="Q2033" s="4">
        <f t="shared" si="7"/>
        <v>11</v>
      </c>
      <c r="R2033" s="4">
        <f t="shared" si="8"/>
        <v>0</v>
      </c>
      <c r="S2033" s="4">
        <f t="shared" si="9"/>
        <v>0.1900346813</v>
      </c>
      <c r="T2033" s="4">
        <f t="shared" si="10"/>
        <v>63</v>
      </c>
      <c r="U2033" s="4">
        <f t="shared" si="1"/>
        <v>0.1900346813</v>
      </c>
      <c r="V2033" s="4"/>
    </row>
    <row r="2034">
      <c r="A2034" s="1" t="s">
        <v>19927</v>
      </c>
      <c r="B2034" s="1" t="s">
        <v>19928</v>
      </c>
      <c r="C2034" s="1" t="s">
        <v>19929</v>
      </c>
      <c r="D2034" s="1" t="s">
        <v>19653</v>
      </c>
      <c r="E2034" s="1" t="s">
        <v>19654</v>
      </c>
      <c r="F2034" s="1">
        <v>307993.0</v>
      </c>
      <c r="G2034" s="1">
        <v>15878.0</v>
      </c>
      <c r="H2034" s="1">
        <v>1310.0</v>
      </c>
      <c r="I2034" s="1">
        <v>1350000.0</v>
      </c>
      <c r="J2034" s="1" t="s">
        <v>2468</v>
      </c>
      <c r="K2034" s="5">
        <f t="shared" si="2"/>
        <v>0.228142963</v>
      </c>
      <c r="L2034" s="6">
        <f t="shared" si="3"/>
        <v>1536</v>
      </c>
      <c r="M2034" s="6">
        <f t="shared" si="4"/>
        <v>200.516276</v>
      </c>
      <c r="N2034" s="7">
        <f t="shared" si="5"/>
        <v>0.0001485305748</v>
      </c>
      <c r="O2034" s="7"/>
      <c r="P2034" s="4">
        <f t="shared" si="6"/>
        <v>-0.344906437</v>
      </c>
      <c r="Q2034" s="4">
        <f t="shared" si="7"/>
        <v>8</v>
      </c>
      <c r="R2034" s="4">
        <f t="shared" si="8"/>
        <v>1</v>
      </c>
      <c r="S2034" s="4">
        <f t="shared" si="9"/>
        <v>-0.344906437</v>
      </c>
      <c r="T2034" s="4">
        <f t="shared" si="10"/>
        <v>42</v>
      </c>
      <c r="U2034" s="4">
        <f t="shared" si="1"/>
        <v>-0.344906437</v>
      </c>
      <c r="V2034" s="4"/>
    </row>
    <row r="2035">
      <c r="A2035" s="1" t="s">
        <v>19930</v>
      </c>
      <c r="B2035" s="1" t="s">
        <v>19931</v>
      </c>
      <c r="C2035" s="1" t="s">
        <v>19932</v>
      </c>
      <c r="D2035" s="1" t="s">
        <v>19653</v>
      </c>
      <c r="E2035" s="1" t="s">
        <v>19654</v>
      </c>
      <c r="F2035" s="1">
        <v>291788.0</v>
      </c>
      <c r="G2035" s="1">
        <v>15505.0</v>
      </c>
      <c r="H2035" s="1">
        <v>1592.0</v>
      </c>
      <c r="I2035" s="1">
        <v>1350000.0</v>
      </c>
      <c r="J2035" s="1" t="s">
        <v>2468</v>
      </c>
      <c r="K2035" s="5">
        <f t="shared" si="2"/>
        <v>0.2161392593</v>
      </c>
      <c r="L2035" s="6">
        <f t="shared" si="3"/>
        <v>1541</v>
      </c>
      <c r="M2035" s="6">
        <f t="shared" si="4"/>
        <v>189.3497729</v>
      </c>
      <c r="N2035" s="7">
        <f t="shared" si="5"/>
        <v>0.000140259091</v>
      </c>
      <c r="O2035" s="7"/>
      <c r="P2035" s="4">
        <f t="shared" si="6"/>
        <v>-0.3507325677</v>
      </c>
      <c r="Q2035" s="4">
        <f t="shared" si="7"/>
        <v>8</v>
      </c>
      <c r="R2035" s="4">
        <f t="shared" si="8"/>
        <v>0</v>
      </c>
      <c r="S2035" s="4">
        <f t="shared" si="9"/>
        <v>-0.3507325677</v>
      </c>
      <c r="T2035" s="4">
        <f t="shared" si="10"/>
        <v>35</v>
      </c>
      <c r="U2035" s="4">
        <f t="shared" si="1"/>
        <v>-0.3507325677</v>
      </c>
      <c r="V2035" s="4"/>
    </row>
    <row r="2036">
      <c r="A2036" s="1" t="s">
        <v>19933</v>
      </c>
      <c r="B2036" s="1" t="s">
        <v>19934</v>
      </c>
      <c r="C2036" s="1" t="s">
        <v>19935</v>
      </c>
      <c r="D2036" s="1" t="s">
        <v>19653</v>
      </c>
      <c r="E2036" s="1" t="s">
        <v>19654</v>
      </c>
      <c r="F2036" s="1">
        <v>634012.0</v>
      </c>
      <c r="G2036" s="1">
        <v>34283.0</v>
      </c>
      <c r="H2036" s="1">
        <v>2104.0</v>
      </c>
      <c r="I2036" s="1">
        <v>1350000.0</v>
      </c>
      <c r="J2036" s="1" t="s">
        <v>2468</v>
      </c>
      <c r="K2036" s="5">
        <f t="shared" si="2"/>
        <v>0.4696385185</v>
      </c>
      <c r="L2036" s="6">
        <f t="shared" si="3"/>
        <v>1588</v>
      </c>
      <c r="M2036" s="6">
        <f t="shared" si="4"/>
        <v>399.2518892</v>
      </c>
      <c r="N2036" s="7">
        <f t="shared" si="5"/>
        <v>0.0002957421401</v>
      </c>
      <c r="O2036" s="7"/>
      <c r="P2036" s="4">
        <f t="shared" si="6"/>
        <v>-0.2412159945</v>
      </c>
      <c r="Q2036" s="4">
        <f t="shared" si="7"/>
        <v>8</v>
      </c>
      <c r="R2036" s="4">
        <f t="shared" si="8"/>
        <v>0</v>
      </c>
      <c r="S2036" s="4">
        <f t="shared" si="9"/>
        <v>-0.2412159945</v>
      </c>
      <c r="T2036" s="4">
        <f t="shared" si="10"/>
        <v>27</v>
      </c>
      <c r="U2036" s="4">
        <f t="shared" si="1"/>
        <v>-0.2412159945</v>
      </c>
      <c r="V2036" s="4"/>
    </row>
    <row r="2037">
      <c r="A2037" s="1" t="s">
        <v>19936</v>
      </c>
      <c r="B2037" s="1" t="s">
        <v>19937</v>
      </c>
      <c r="C2037" s="1" t="s">
        <v>19938</v>
      </c>
      <c r="D2037" s="1" t="s">
        <v>19653</v>
      </c>
      <c r="E2037" s="1" t="s">
        <v>19654</v>
      </c>
      <c r="F2037" s="1">
        <v>869031.0</v>
      </c>
      <c r="G2037" s="1">
        <v>36770.0</v>
      </c>
      <c r="H2037" s="1">
        <v>4130.0</v>
      </c>
      <c r="I2037" s="1">
        <v>1350000.0</v>
      </c>
      <c r="J2037" s="1" t="s">
        <v>2468</v>
      </c>
      <c r="K2037" s="5">
        <f t="shared" si="2"/>
        <v>0.6437266667</v>
      </c>
      <c r="L2037" s="6">
        <f t="shared" si="3"/>
        <v>1603</v>
      </c>
      <c r="M2037" s="6">
        <f t="shared" si="4"/>
        <v>542.1278852</v>
      </c>
      <c r="N2037" s="7">
        <f t="shared" si="5"/>
        <v>0.0004015762113</v>
      </c>
      <c r="O2037" s="7"/>
      <c r="P2037" s="4">
        <f t="shared" si="6"/>
        <v>-0.1666703454</v>
      </c>
      <c r="Q2037" s="4">
        <f t="shared" si="7"/>
        <v>8</v>
      </c>
      <c r="R2037" s="4">
        <f t="shared" si="8"/>
        <v>0</v>
      </c>
      <c r="S2037" s="4">
        <f t="shared" si="9"/>
        <v>-0.1666703454</v>
      </c>
      <c r="T2037" s="4">
        <f t="shared" si="10"/>
        <v>43</v>
      </c>
      <c r="U2037" s="4">
        <f t="shared" si="1"/>
        <v>-0.1666703454</v>
      </c>
      <c r="V2037" s="4"/>
    </row>
    <row r="2038">
      <c r="A2038" s="1" t="s">
        <v>19939</v>
      </c>
      <c r="B2038" s="1" t="s">
        <v>19940</v>
      </c>
      <c r="C2038" s="1" t="s">
        <v>19941</v>
      </c>
      <c r="D2038" s="1" t="s">
        <v>19653</v>
      </c>
      <c r="E2038" s="1" t="s">
        <v>19654</v>
      </c>
      <c r="F2038" s="1">
        <v>505328.0</v>
      </c>
      <c r="G2038" s="1">
        <v>23394.0</v>
      </c>
      <c r="H2038" s="1">
        <v>890.0</v>
      </c>
      <c r="I2038" s="1">
        <v>1350000.0</v>
      </c>
      <c r="J2038" s="1" t="s">
        <v>2468</v>
      </c>
      <c r="K2038" s="5">
        <f t="shared" si="2"/>
        <v>0.374317037</v>
      </c>
      <c r="L2038" s="6">
        <f t="shared" si="3"/>
        <v>1608</v>
      </c>
      <c r="M2038" s="6">
        <f t="shared" si="4"/>
        <v>314.2587065</v>
      </c>
      <c r="N2038" s="7">
        <f t="shared" si="5"/>
        <v>0.000232784227</v>
      </c>
      <c r="O2038" s="7"/>
      <c r="P2038" s="4">
        <f t="shared" si="6"/>
        <v>-0.2855612459</v>
      </c>
      <c r="Q2038" s="4">
        <f t="shared" si="7"/>
        <v>7</v>
      </c>
      <c r="R2038" s="4">
        <f t="shared" si="8"/>
        <v>1</v>
      </c>
      <c r="S2038" s="4">
        <f t="shared" si="9"/>
        <v>-0.2855612459</v>
      </c>
      <c r="T2038" s="4">
        <f t="shared" si="10"/>
        <v>31</v>
      </c>
      <c r="U2038" s="4">
        <f t="shared" si="1"/>
        <v>-0.2855612459</v>
      </c>
      <c r="V2038" s="4"/>
    </row>
    <row r="2039">
      <c r="A2039" s="1" t="s">
        <v>19942</v>
      </c>
      <c r="B2039" s="1" t="s">
        <v>19943</v>
      </c>
      <c r="C2039" s="1" t="s">
        <v>19944</v>
      </c>
      <c r="D2039" s="1" t="s">
        <v>19653</v>
      </c>
      <c r="E2039" s="1" t="s">
        <v>19654</v>
      </c>
      <c r="F2039" s="1">
        <v>462762.0</v>
      </c>
      <c r="G2039" s="1">
        <v>20399.0</v>
      </c>
      <c r="H2039" s="1">
        <v>1252.0</v>
      </c>
      <c r="I2039" s="1">
        <v>1350000.0</v>
      </c>
      <c r="J2039" s="1" t="s">
        <v>2468</v>
      </c>
      <c r="K2039" s="5">
        <f t="shared" si="2"/>
        <v>0.3427866667</v>
      </c>
      <c r="L2039" s="6">
        <f t="shared" si="3"/>
        <v>1634</v>
      </c>
      <c r="M2039" s="6">
        <f t="shared" si="4"/>
        <v>283.2080783</v>
      </c>
      <c r="N2039" s="7">
        <f t="shared" si="5"/>
        <v>0.0002097837617</v>
      </c>
      <c r="O2039" s="7"/>
      <c r="P2039" s="4">
        <f t="shared" si="6"/>
        <v>-0.3017619324</v>
      </c>
      <c r="Q2039" s="4">
        <f t="shared" si="7"/>
        <v>13</v>
      </c>
      <c r="R2039" s="4">
        <f t="shared" si="8"/>
        <v>1</v>
      </c>
      <c r="S2039" s="4">
        <f t="shared" si="9"/>
        <v>-0.3017619324</v>
      </c>
      <c r="T2039" s="4">
        <f t="shared" si="10"/>
        <v>55</v>
      </c>
      <c r="U2039" s="4">
        <f t="shared" si="1"/>
        <v>-0.3017619324</v>
      </c>
      <c r="V2039" s="4"/>
    </row>
    <row r="2040">
      <c r="A2040" s="1" t="s">
        <v>19945</v>
      </c>
      <c r="B2040" s="1" t="s">
        <v>19946</v>
      </c>
      <c r="C2040" s="1" t="s">
        <v>19947</v>
      </c>
      <c r="D2040" s="1" t="s">
        <v>19948</v>
      </c>
      <c r="E2040" s="1" t="s">
        <v>19949</v>
      </c>
      <c r="F2040" s="1">
        <v>16957.0</v>
      </c>
      <c r="G2040" s="1">
        <v>971.0</v>
      </c>
      <c r="H2040" s="1">
        <v>126.0</v>
      </c>
      <c r="I2040" s="1">
        <v>622000.0</v>
      </c>
      <c r="J2040" s="1" t="s">
        <v>2468</v>
      </c>
      <c r="K2040" s="5">
        <f t="shared" si="2"/>
        <v>0.02726205788</v>
      </c>
      <c r="L2040" s="6">
        <f t="shared" si="3"/>
        <v>48</v>
      </c>
      <c r="M2040" s="6">
        <f t="shared" si="4"/>
        <v>353.2708333</v>
      </c>
      <c r="N2040" s="7">
        <f t="shared" si="5"/>
        <v>0.0005679595391</v>
      </c>
      <c r="O2040" s="7"/>
      <c r="P2040" s="4">
        <f t="shared" si="6"/>
        <v>-0.04947601447</v>
      </c>
      <c r="Q2040" s="4">
        <f t="shared" si="7"/>
        <v>10</v>
      </c>
      <c r="R2040" s="4">
        <f t="shared" si="8"/>
        <v>0</v>
      </c>
      <c r="S2040" s="4">
        <f t="shared" si="9"/>
        <v>-0.04947601447</v>
      </c>
      <c r="T2040" s="4">
        <f t="shared" si="10"/>
        <v>45</v>
      </c>
      <c r="U2040" s="4">
        <f t="shared" si="1"/>
        <v>-0.04947601447</v>
      </c>
      <c r="V2040" s="4"/>
    </row>
    <row r="2041">
      <c r="A2041" s="1" t="s">
        <v>19950</v>
      </c>
      <c r="B2041" s="1" t="s">
        <v>19951</v>
      </c>
      <c r="C2041" s="1" t="s">
        <v>15072</v>
      </c>
      <c r="D2041" s="1" t="s">
        <v>19948</v>
      </c>
      <c r="E2041" s="1" t="s">
        <v>19949</v>
      </c>
      <c r="F2041" s="1">
        <v>8796.0</v>
      </c>
      <c r="G2041" s="1">
        <v>274.0</v>
      </c>
      <c r="H2041" s="1">
        <v>65.0</v>
      </c>
      <c r="I2041" s="1">
        <v>622000.0</v>
      </c>
      <c r="J2041" s="1" t="s">
        <v>2468</v>
      </c>
      <c r="K2041" s="5">
        <f t="shared" si="2"/>
        <v>0.0141414791</v>
      </c>
      <c r="L2041" s="6">
        <f t="shared" si="3"/>
        <v>49</v>
      </c>
      <c r="M2041" s="6">
        <f t="shared" si="4"/>
        <v>179.5102041</v>
      </c>
      <c r="N2041" s="7">
        <f t="shared" si="5"/>
        <v>0.0002886016143</v>
      </c>
      <c r="O2041" s="7"/>
      <c r="P2041" s="4">
        <f t="shared" si="6"/>
        <v>-0.2462455197</v>
      </c>
      <c r="Q2041" s="4">
        <f t="shared" si="7"/>
        <v>13</v>
      </c>
      <c r="R2041" s="4">
        <f t="shared" si="8"/>
        <v>0</v>
      </c>
      <c r="S2041" s="4">
        <f t="shared" si="9"/>
        <v>-0.2462455197</v>
      </c>
      <c r="T2041" s="4">
        <f t="shared" si="10"/>
        <v>52</v>
      </c>
      <c r="U2041" s="4">
        <f t="shared" si="1"/>
        <v>-0.2462455197</v>
      </c>
      <c r="V2041" s="4"/>
    </row>
    <row r="2042">
      <c r="A2042" s="1" t="s">
        <v>19952</v>
      </c>
      <c r="B2042" s="1" t="s">
        <v>19953</v>
      </c>
      <c r="C2042" s="1" t="s">
        <v>19954</v>
      </c>
      <c r="D2042" s="1" t="s">
        <v>19948</v>
      </c>
      <c r="E2042" s="1" t="s">
        <v>19949</v>
      </c>
      <c r="F2042" s="1">
        <v>5672.0</v>
      </c>
      <c r="G2042" s="1">
        <v>279.0</v>
      </c>
      <c r="H2042" s="1">
        <v>20.0</v>
      </c>
      <c r="I2042" s="1">
        <v>622000.0</v>
      </c>
      <c r="J2042" s="1" t="s">
        <v>2468</v>
      </c>
      <c r="K2042" s="5">
        <f t="shared" si="2"/>
        <v>0.009118971061</v>
      </c>
      <c r="L2042" s="6">
        <f t="shared" si="3"/>
        <v>66</v>
      </c>
      <c r="M2042" s="6">
        <f t="shared" si="4"/>
        <v>85.93939394</v>
      </c>
      <c r="N2042" s="7">
        <f t="shared" si="5"/>
        <v>0.0001381662282</v>
      </c>
      <c r="O2042" s="7"/>
      <c r="P2042" s="4">
        <f t="shared" si="6"/>
        <v>-0.3522067038</v>
      </c>
      <c r="Q2042" s="4">
        <f t="shared" si="7"/>
        <v>8</v>
      </c>
      <c r="R2042" s="4">
        <f t="shared" si="8"/>
        <v>1</v>
      </c>
      <c r="S2042" s="4">
        <f t="shared" si="9"/>
        <v>-0.3522067038</v>
      </c>
      <c r="T2042" s="4">
        <f t="shared" si="10"/>
        <v>41</v>
      </c>
      <c r="U2042" s="4">
        <f t="shared" si="1"/>
        <v>-0.3522067038</v>
      </c>
      <c r="V2042" s="4"/>
    </row>
    <row r="2043">
      <c r="A2043" s="1" t="s">
        <v>19955</v>
      </c>
      <c r="B2043" s="1" t="s">
        <v>19956</v>
      </c>
      <c r="C2043" s="1" t="s">
        <v>19957</v>
      </c>
      <c r="D2043" s="1" t="s">
        <v>19948</v>
      </c>
      <c r="E2043" s="1" t="s">
        <v>19949</v>
      </c>
      <c r="F2043" s="1">
        <v>7776.0</v>
      </c>
      <c r="G2043" s="1">
        <v>274.0</v>
      </c>
      <c r="H2043" s="1">
        <v>12.0</v>
      </c>
      <c r="I2043" s="1">
        <v>622000.0</v>
      </c>
      <c r="J2043" s="1" t="s">
        <v>2468</v>
      </c>
      <c r="K2043" s="5">
        <f t="shared" si="2"/>
        <v>0.01250160772</v>
      </c>
      <c r="L2043" s="6">
        <f t="shared" si="3"/>
        <v>71</v>
      </c>
      <c r="M2043" s="6">
        <f t="shared" si="4"/>
        <v>109.5211268</v>
      </c>
      <c r="N2043" s="7">
        <f t="shared" si="5"/>
        <v>0.0001760789819</v>
      </c>
      <c r="O2043" s="7"/>
      <c r="P2043" s="4">
        <f t="shared" si="6"/>
        <v>-0.3255023466</v>
      </c>
      <c r="Q2043" s="4">
        <f t="shared" si="7"/>
        <v>5</v>
      </c>
      <c r="R2043" s="4">
        <f t="shared" si="8"/>
        <v>0</v>
      </c>
      <c r="S2043" s="4">
        <f t="shared" si="9"/>
        <v>-0.3255023466</v>
      </c>
      <c r="T2043" s="4">
        <f t="shared" si="10"/>
        <v>26</v>
      </c>
      <c r="U2043" s="4">
        <f t="shared" si="1"/>
        <v>-0.3255023466</v>
      </c>
      <c r="V2043" s="4"/>
    </row>
    <row r="2044">
      <c r="A2044" s="1" t="s">
        <v>19958</v>
      </c>
      <c r="B2044" s="1" t="s">
        <v>19959</v>
      </c>
      <c r="C2044" s="1" t="s">
        <v>19960</v>
      </c>
      <c r="D2044" s="1" t="s">
        <v>19948</v>
      </c>
      <c r="E2044" s="1" t="s">
        <v>19949</v>
      </c>
      <c r="F2044" s="1">
        <v>11505.0</v>
      </c>
      <c r="G2044" s="1">
        <v>634.0</v>
      </c>
      <c r="H2044" s="1">
        <v>164.0</v>
      </c>
      <c r="I2044" s="1">
        <v>622000.0</v>
      </c>
      <c r="J2044" s="1" t="s">
        <v>2468</v>
      </c>
      <c r="K2044" s="5">
        <f t="shared" si="2"/>
        <v>0.01849678457</v>
      </c>
      <c r="L2044" s="6">
        <f t="shared" si="3"/>
        <v>84</v>
      </c>
      <c r="M2044" s="6">
        <f t="shared" si="4"/>
        <v>136.9642857</v>
      </c>
      <c r="N2044" s="7">
        <f t="shared" si="5"/>
        <v>0.0002201998163</v>
      </c>
      <c r="O2044" s="7"/>
      <c r="P2044" s="4">
        <f t="shared" si="6"/>
        <v>-0.2944252446</v>
      </c>
      <c r="Q2044" s="4">
        <f t="shared" si="7"/>
        <v>6</v>
      </c>
      <c r="R2044" s="4">
        <f t="shared" si="8"/>
        <v>1</v>
      </c>
      <c r="S2044" s="4">
        <f t="shared" si="9"/>
        <v>-0.2944252446</v>
      </c>
      <c r="T2044" s="4">
        <f t="shared" si="10"/>
        <v>26</v>
      </c>
      <c r="U2044" s="4">
        <f t="shared" si="1"/>
        <v>-0.2944252446</v>
      </c>
      <c r="V2044" s="4"/>
    </row>
    <row r="2045">
      <c r="A2045" s="1" t="s">
        <v>19961</v>
      </c>
      <c r="B2045" s="1" t="s">
        <v>19962</v>
      </c>
      <c r="C2045" s="1" t="s">
        <v>19963</v>
      </c>
      <c r="D2045" s="1" t="s">
        <v>19948</v>
      </c>
      <c r="E2045" s="1" t="s">
        <v>19949</v>
      </c>
      <c r="F2045" s="1">
        <v>7920.0</v>
      </c>
      <c r="G2045" s="1">
        <v>210.0</v>
      </c>
      <c r="H2045" s="1">
        <v>10.0</v>
      </c>
      <c r="I2045" s="1">
        <v>622000.0</v>
      </c>
      <c r="J2045" s="1" t="s">
        <v>2468</v>
      </c>
      <c r="K2045" s="5">
        <f t="shared" si="2"/>
        <v>0.01273311897</v>
      </c>
      <c r="L2045" s="6">
        <f t="shared" si="3"/>
        <v>97</v>
      </c>
      <c r="M2045" s="6">
        <f t="shared" si="4"/>
        <v>81.64948454</v>
      </c>
      <c r="N2045" s="7">
        <f t="shared" si="5"/>
        <v>0.0001312692677</v>
      </c>
      <c r="O2045" s="7"/>
      <c r="P2045" s="4">
        <f t="shared" si="6"/>
        <v>-0.3570646705</v>
      </c>
      <c r="Q2045" s="4">
        <f t="shared" si="7"/>
        <v>11</v>
      </c>
      <c r="R2045" s="4">
        <f t="shared" si="8"/>
        <v>0</v>
      </c>
      <c r="S2045" s="4">
        <f t="shared" si="9"/>
        <v>-0.3570646705</v>
      </c>
      <c r="T2045" s="4">
        <f t="shared" si="10"/>
        <v>49</v>
      </c>
      <c r="U2045" s="4">
        <f t="shared" si="1"/>
        <v>-0.3570646705</v>
      </c>
      <c r="V2045" s="4"/>
    </row>
    <row r="2046">
      <c r="A2046" s="1" t="s">
        <v>19964</v>
      </c>
      <c r="B2046" s="1" t="s">
        <v>19965</v>
      </c>
      <c r="C2046" s="1" t="s">
        <v>19966</v>
      </c>
      <c r="D2046" s="1" t="s">
        <v>19948</v>
      </c>
      <c r="E2046" s="1" t="s">
        <v>19949</v>
      </c>
      <c r="F2046" s="1">
        <v>9782.0</v>
      </c>
      <c r="G2046" s="1">
        <v>486.0</v>
      </c>
      <c r="H2046" s="1">
        <v>12.0</v>
      </c>
      <c r="I2046" s="1">
        <v>622000.0</v>
      </c>
      <c r="J2046" s="1" t="s">
        <v>2468</v>
      </c>
      <c r="K2046" s="5">
        <f t="shared" si="2"/>
        <v>0.0157266881</v>
      </c>
      <c r="L2046" s="6">
        <f t="shared" si="3"/>
        <v>110</v>
      </c>
      <c r="M2046" s="6">
        <f t="shared" si="4"/>
        <v>88.92727273</v>
      </c>
      <c r="N2046" s="7">
        <f t="shared" si="5"/>
        <v>0.0001429698918</v>
      </c>
      <c r="O2046" s="7"/>
      <c r="P2046" s="4">
        <f t="shared" si="6"/>
        <v>-0.3488231788</v>
      </c>
      <c r="Q2046" s="4">
        <f t="shared" si="7"/>
        <v>8</v>
      </c>
      <c r="R2046" s="4">
        <f t="shared" si="8"/>
        <v>0</v>
      </c>
      <c r="S2046" s="4">
        <f t="shared" si="9"/>
        <v>-0.3488231788</v>
      </c>
      <c r="T2046" s="4">
        <f t="shared" si="10"/>
        <v>40</v>
      </c>
      <c r="U2046" s="4">
        <f t="shared" si="1"/>
        <v>-0.3488231788</v>
      </c>
      <c r="V2046" s="4"/>
    </row>
    <row r="2047">
      <c r="A2047" s="1" t="s">
        <v>19967</v>
      </c>
      <c r="B2047" s="1" t="s">
        <v>19968</v>
      </c>
      <c r="C2047" s="1" t="s">
        <v>19969</v>
      </c>
      <c r="D2047" s="1" t="s">
        <v>19948</v>
      </c>
      <c r="E2047" s="1" t="s">
        <v>19949</v>
      </c>
      <c r="F2047" s="1">
        <v>12104.0</v>
      </c>
      <c r="G2047" s="1">
        <v>917.0</v>
      </c>
      <c r="H2047" s="1">
        <v>151.0</v>
      </c>
      <c r="I2047" s="1">
        <v>622000.0</v>
      </c>
      <c r="J2047" s="1" t="s">
        <v>2468</v>
      </c>
      <c r="K2047" s="5">
        <f t="shared" si="2"/>
        <v>0.01945980707</v>
      </c>
      <c r="L2047" s="6">
        <f t="shared" si="3"/>
        <v>113</v>
      </c>
      <c r="M2047" s="6">
        <f t="shared" si="4"/>
        <v>107.1150442</v>
      </c>
      <c r="N2047" s="7">
        <f t="shared" si="5"/>
        <v>0.0001722106821</v>
      </c>
      <c r="O2047" s="7"/>
      <c r="P2047" s="4">
        <f t="shared" si="6"/>
        <v>-0.3282270356</v>
      </c>
      <c r="Q2047" s="4">
        <f t="shared" si="7"/>
        <v>11</v>
      </c>
      <c r="R2047" s="4">
        <f t="shared" si="8"/>
        <v>0</v>
      </c>
      <c r="S2047" s="4">
        <f t="shared" si="9"/>
        <v>-0.3282270356</v>
      </c>
      <c r="T2047" s="4">
        <f t="shared" si="10"/>
        <v>39</v>
      </c>
      <c r="U2047" s="4">
        <f t="shared" si="1"/>
        <v>-0.3282270356</v>
      </c>
      <c r="V2047" s="4"/>
    </row>
    <row r="2048">
      <c r="A2048" s="1" t="s">
        <v>19970</v>
      </c>
      <c r="B2048" s="1" t="s">
        <v>19971</v>
      </c>
      <c r="C2048" s="1" t="s">
        <v>19972</v>
      </c>
      <c r="D2048" s="1" t="s">
        <v>19948</v>
      </c>
      <c r="E2048" s="1" t="s">
        <v>19949</v>
      </c>
      <c r="F2048" s="1">
        <v>6666.0</v>
      </c>
      <c r="G2048" s="1">
        <v>280.0</v>
      </c>
      <c r="H2048" s="1">
        <v>10.0</v>
      </c>
      <c r="I2048" s="1">
        <v>622000.0</v>
      </c>
      <c r="J2048" s="1" t="s">
        <v>2468</v>
      </c>
      <c r="K2048" s="5">
        <f t="shared" si="2"/>
        <v>0.0107170418</v>
      </c>
      <c r="L2048" s="6">
        <f t="shared" si="3"/>
        <v>125</v>
      </c>
      <c r="M2048" s="6">
        <f t="shared" si="4"/>
        <v>53.328</v>
      </c>
      <c r="N2048" s="7">
        <f t="shared" si="5"/>
        <v>0.00008573633441</v>
      </c>
      <c r="O2048" s="7"/>
      <c r="P2048" s="4">
        <f t="shared" si="6"/>
        <v>-0.3891364034</v>
      </c>
      <c r="Q2048" s="4">
        <f t="shared" si="7"/>
        <v>10</v>
      </c>
      <c r="R2048" s="4">
        <f t="shared" si="8"/>
        <v>0</v>
      </c>
      <c r="S2048" s="4">
        <f t="shared" si="9"/>
        <v>-0.3891364034</v>
      </c>
      <c r="T2048" s="4">
        <f t="shared" si="10"/>
        <v>53</v>
      </c>
      <c r="U2048" s="4">
        <f t="shared" si="1"/>
        <v>-0.3891364034</v>
      </c>
      <c r="V2048" s="4"/>
    </row>
    <row r="2049">
      <c r="A2049" s="1" t="s">
        <v>19973</v>
      </c>
      <c r="B2049" s="1" t="s">
        <v>19974</v>
      </c>
      <c r="C2049" s="1" t="s">
        <v>19975</v>
      </c>
      <c r="D2049" s="1" t="s">
        <v>19948</v>
      </c>
      <c r="E2049" s="1" t="s">
        <v>19949</v>
      </c>
      <c r="F2049" s="1">
        <v>11132.0</v>
      </c>
      <c r="G2049" s="1">
        <v>380.0</v>
      </c>
      <c r="H2049" s="1">
        <v>14.0</v>
      </c>
      <c r="I2049" s="1">
        <v>622000.0</v>
      </c>
      <c r="J2049" s="1" t="s">
        <v>2468</v>
      </c>
      <c r="K2049" s="5">
        <f t="shared" si="2"/>
        <v>0.01789710611</v>
      </c>
      <c r="L2049" s="6">
        <f t="shared" si="3"/>
        <v>140</v>
      </c>
      <c r="M2049" s="6">
        <f t="shared" si="4"/>
        <v>79.51428571</v>
      </c>
      <c r="N2049" s="7">
        <f t="shared" si="5"/>
        <v>0.0001278364722</v>
      </c>
      <c r="O2049" s="7"/>
      <c r="P2049" s="4">
        <f t="shared" si="6"/>
        <v>-0.3594826061</v>
      </c>
      <c r="Q2049" s="4">
        <f t="shared" si="7"/>
        <v>14</v>
      </c>
      <c r="R2049" s="4">
        <f t="shared" si="8"/>
        <v>0</v>
      </c>
      <c r="S2049" s="4">
        <f t="shared" si="9"/>
        <v>-0.3594826061</v>
      </c>
      <c r="T2049" s="4">
        <f t="shared" si="10"/>
        <v>65</v>
      </c>
      <c r="U2049" s="4">
        <f t="shared" si="1"/>
        <v>-0.3594826061</v>
      </c>
      <c r="V2049" s="4"/>
    </row>
    <row r="2050">
      <c r="A2050" s="1" t="s">
        <v>19976</v>
      </c>
      <c r="B2050" s="1" t="s">
        <v>19977</v>
      </c>
      <c r="C2050" s="1" t="s">
        <v>19978</v>
      </c>
      <c r="D2050" s="1" t="s">
        <v>19948</v>
      </c>
      <c r="E2050" s="1" t="s">
        <v>19949</v>
      </c>
      <c r="F2050" s="1">
        <v>11105.0</v>
      </c>
      <c r="G2050" s="1">
        <v>336.0</v>
      </c>
      <c r="H2050" s="1">
        <v>17.0</v>
      </c>
      <c r="I2050" s="1">
        <v>622000.0</v>
      </c>
      <c r="J2050" s="1" t="s">
        <v>2468</v>
      </c>
      <c r="K2050" s="5">
        <f t="shared" si="2"/>
        <v>0.01785369775</v>
      </c>
      <c r="L2050" s="6">
        <f t="shared" si="3"/>
        <v>148</v>
      </c>
      <c r="M2050" s="6">
        <f t="shared" si="4"/>
        <v>75.03378378</v>
      </c>
      <c r="N2050" s="7">
        <f t="shared" si="5"/>
        <v>0.0001206330929</v>
      </c>
      <c r="O2050" s="7"/>
      <c r="P2050" s="4">
        <f t="shared" si="6"/>
        <v>-0.364556403</v>
      </c>
      <c r="Q2050" s="4">
        <f t="shared" si="7"/>
        <v>8</v>
      </c>
      <c r="R2050" s="4">
        <f t="shared" si="8"/>
        <v>0</v>
      </c>
      <c r="S2050" s="4">
        <f t="shared" si="9"/>
        <v>-0.364556403</v>
      </c>
      <c r="T2050" s="4">
        <f t="shared" si="10"/>
        <v>47</v>
      </c>
      <c r="U2050" s="4">
        <f t="shared" si="1"/>
        <v>-0.364556403</v>
      </c>
      <c r="V2050" s="4"/>
    </row>
    <row r="2051">
      <c r="A2051" s="1" t="s">
        <v>19979</v>
      </c>
      <c r="B2051" s="1" t="s">
        <v>19980</v>
      </c>
      <c r="C2051" s="1" t="s">
        <v>19981</v>
      </c>
      <c r="D2051" s="1" t="s">
        <v>19948</v>
      </c>
      <c r="E2051" s="1" t="s">
        <v>19949</v>
      </c>
      <c r="F2051" s="1">
        <v>25466.0</v>
      </c>
      <c r="G2051" s="1">
        <v>1173.0</v>
      </c>
      <c r="H2051" s="1">
        <v>51.0</v>
      </c>
      <c r="I2051" s="1">
        <v>622000.0</v>
      </c>
      <c r="J2051" s="1" t="s">
        <v>2468</v>
      </c>
      <c r="K2051" s="5">
        <f t="shared" si="2"/>
        <v>0.04094212219</v>
      </c>
      <c r="L2051" s="6">
        <f t="shared" si="3"/>
        <v>168</v>
      </c>
      <c r="M2051" s="6">
        <f t="shared" si="4"/>
        <v>151.5833333</v>
      </c>
      <c r="N2051" s="7">
        <f t="shared" si="5"/>
        <v>0.0002437031083</v>
      </c>
      <c r="O2051" s="7"/>
      <c r="P2051" s="4">
        <f t="shared" si="6"/>
        <v>-0.2778703853</v>
      </c>
      <c r="Q2051" s="4">
        <f t="shared" si="7"/>
        <v>9</v>
      </c>
      <c r="R2051" s="4">
        <f t="shared" si="8"/>
        <v>0</v>
      </c>
      <c r="S2051" s="4">
        <f t="shared" si="9"/>
        <v>-0.2778703853</v>
      </c>
      <c r="T2051" s="4">
        <f t="shared" si="10"/>
        <v>36</v>
      </c>
      <c r="U2051" s="4">
        <f t="shared" si="1"/>
        <v>-0.2778703853</v>
      </c>
      <c r="V2051" s="4"/>
    </row>
    <row r="2052">
      <c r="A2052" s="1" t="s">
        <v>19982</v>
      </c>
      <c r="B2052" s="1" t="s">
        <v>19983</v>
      </c>
      <c r="C2052" s="1" t="s">
        <v>19984</v>
      </c>
      <c r="D2052" s="1" t="s">
        <v>19948</v>
      </c>
      <c r="E2052" s="1" t="s">
        <v>19949</v>
      </c>
      <c r="F2052" s="1">
        <v>36031.0</v>
      </c>
      <c r="G2052" s="1">
        <v>980.0</v>
      </c>
      <c r="H2052" s="1">
        <v>103.0</v>
      </c>
      <c r="I2052" s="1">
        <v>622000.0</v>
      </c>
      <c r="J2052" s="1" t="s">
        <v>2468</v>
      </c>
      <c r="K2052" s="5">
        <f t="shared" si="2"/>
        <v>0.05792765273</v>
      </c>
      <c r="L2052" s="6">
        <f t="shared" si="3"/>
        <v>174</v>
      </c>
      <c r="M2052" s="6">
        <f t="shared" si="4"/>
        <v>207.0747126</v>
      </c>
      <c r="N2052" s="7">
        <f t="shared" si="5"/>
        <v>0.0003329175444</v>
      </c>
      <c r="O2052" s="7"/>
      <c r="P2052" s="4">
        <f t="shared" si="6"/>
        <v>-0.2150309993</v>
      </c>
      <c r="Q2052" s="4">
        <f t="shared" si="7"/>
        <v>12</v>
      </c>
      <c r="R2052" s="4">
        <f t="shared" si="8"/>
        <v>0</v>
      </c>
      <c r="S2052" s="4">
        <f t="shared" si="9"/>
        <v>-0.2150309993</v>
      </c>
      <c r="T2052" s="4">
        <f t="shared" si="10"/>
        <v>55</v>
      </c>
      <c r="U2052" s="4">
        <f t="shared" si="1"/>
        <v>-0.2150309993</v>
      </c>
      <c r="V2052" s="4"/>
    </row>
    <row r="2053">
      <c r="A2053" s="1" t="s">
        <v>19985</v>
      </c>
      <c r="B2053" s="1" t="s">
        <v>19986</v>
      </c>
      <c r="C2053" s="1" t="s">
        <v>19987</v>
      </c>
      <c r="D2053" s="1" t="s">
        <v>19948</v>
      </c>
      <c r="E2053" s="1" t="s">
        <v>19949</v>
      </c>
      <c r="F2053" s="1">
        <v>16009.0</v>
      </c>
      <c r="G2053" s="1">
        <v>772.0</v>
      </c>
      <c r="H2053" s="1">
        <v>85.0</v>
      </c>
      <c r="I2053" s="1">
        <v>622000.0</v>
      </c>
      <c r="J2053" s="1" t="s">
        <v>2468</v>
      </c>
      <c r="K2053" s="5">
        <f t="shared" si="2"/>
        <v>0.02573794212</v>
      </c>
      <c r="L2053" s="6">
        <f t="shared" si="3"/>
        <v>181</v>
      </c>
      <c r="M2053" s="6">
        <f t="shared" si="4"/>
        <v>88.44751381</v>
      </c>
      <c r="N2053" s="7">
        <f t="shared" si="5"/>
        <v>0.0001421985753</v>
      </c>
      <c r="O2053" s="7"/>
      <c r="P2053" s="4">
        <f t="shared" si="6"/>
        <v>-0.349366466</v>
      </c>
      <c r="Q2053" s="4">
        <f t="shared" si="7"/>
        <v>8</v>
      </c>
      <c r="R2053" s="4">
        <f t="shared" si="8"/>
        <v>0</v>
      </c>
      <c r="S2053" s="4">
        <f t="shared" si="9"/>
        <v>-0.349366466</v>
      </c>
      <c r="T2053" s="4">
        <f t="shared" si="10"/>
        <v>47</v>
      </c>
      <c r="U2053" s="4">
        <f t="shared" si="1"/>
        <v>-0.349366466</v>
      </c>
      <c r="V2053" s="4"/>
    </row>
    <row r="2054">
      <c r="A2054" s="1" t="s">
        <v>19988</v>
      </c>
      <c r="B2054" s="1" t="s">
        <v>19989</v>
      </c>
      <c r="C2054" s="1" t="s">
        <v>19990</v>
      </c>
      <c r="D2054" s="1" t="s">
        <v>19948</v>
      </c>
      <c r="E2054" s="1" t="s">
        <v>19949</v>
      </c>
      <c r="F2054" s="1">
        <v>15690.0</v>
      </c>
      <c r="G2054" s="1">
        <v>755.0</v>
      </c>
      <c r="H2054" s="1">
        <v>25.0</v>
      </c>
      <c r="I2054" s="1">
        <v>622000.0</v>
      </c>
      <c r="J2054" s="1" t="s">
        <v>2468</v>
      </c>
      <c r="K2054" s="5">
        <f t="shared" si="2"/>
        <v>0.02522508039</v>
      </c>
      <c r="L2054" s="6">
        <f t="shared" si="3"/>
        <v>191</v>
      </c>
      <c r="M2054" s="6">
        <f t="shared" si="4"/>
        <v>82.14659686</v>
      </c>
      <c r="N2054" s="7">
        <f t="shared" si="5"/>
        <v>0.0001320684837</v>
      </c>
      <c r="O2054" s="7"/>
      <c r="P2054" s="4">
        <f t="shared" si="6"/>
        <v>-0.356501732</v>
      </c>
      <c r="Q2054" s="4">
        <f t="shared" si="7"/>
        <v>9</v>
      </c>
      <c r="R2054" s="4">
        <f t="shared" si="8"/>
        <v>0</v>
      </c>
      <c r="S2054" s="4">
        <f t="shared" si="9"/>
        <v>-0.356501732</v>
      </c>
      <c r="T2054" s="4">
        <f t="shared" si="10"/>
        <v>51</v>
      </c>
      <c r="U2054" s="4">
        <f t="shared" si="1"/>
        <v>-0.356501732</v>
      </c>
      <c r="V2054" s="4"/>
    </row>
    <row r="2055">
      <c r="A2055" s="1" t="s">
        <v>19991</v>
      </c>
      <c r="B2055" s="1" t="s">
        <v>19992</v>
      </c>
      <c r="C2055" s="1" t="s">
        <v>19993</v>
      </c>
      <c r="D2055" s="1" t="s">
        <v>19948</v>
      </c>
      <c r="E2055" s="1" t="s">
        <v>19949</v>
      </c>
      <c r="F2055" s="1">
        <v>12740.0</v>
      </c>
      <c r="G2055" s="1">
        <v>528.0</v>
      </c>
      <c r="H2055" s="1">
        <v>14.0</v>
      </c>
      <c r="I2055" s="1">
        <v>622000.0</v>
      </c>
      <c r="J2055" s="1" t="s">
        <v>2468</v>
      </c>
      <c r="K2055" s="5">
        <f t="shared" si="2"/>
        <v>0.02048231511</v>
      </c>
      <c r="L2055" s="6">
        <f t="shared" si="3"/>
        <v>240</v>
      </c>
      <c r="M2055" s="6">
        <f t="shared" si="4"/>
        <v>53.08333333</v>
      </c>
      <c r="N2055" s="7">
        <f t="shared" si="5"/>
        <v>0.00008534297964</v>
      </c>
      <c r="O2055" s="7"/>
      <c r="P2055" s="4">
        <f t="shared" si="6"/>
        <v>-0.3894134681</v>
      </c>
      <c r="Q2055" s="4">
        <f t="shared" si="7"/>
        <v>6</v>
      </c>
      <c r="R2055" s="4">
        <f t="shared" si="8"/>
        <v>0</v>
      </c>
      <c r="S2055" s="4">
        <f t="shared" si="9"/>
        <v>-0.3894134681</v>
      </c>
      <c r="T2055" s="4">
        <f t="shared" si="10"/>
        <v>27</v>
      </c>
      <c r="U2055" s="4">
        <f t="shared" si="1"/>
        <v>-0.3894134681</v>
      </c>
      <c r="V2055" s="4"/>
    </row>
    <row r="2056">
      <c r="A2056" s="1" t="s">
        <v>19994</v>
      </c>
      <c r="B2056" s="1" t="s">
        <v>19995</v>
      </c>
      <c r="C2056" s="1" t="s">
        <v>19996</v>
      </c>
      <c r="D2056" s="1" t="s">
        <v>19948</v>
      </c>
      <c r="E2056" s="1" t="s">
        <v>19949</v>
      </c>
      <c r="F2056" s="1">
        <v>49720.0</v>
      </c>
      <c r="G2056" s="1">
        <v>722.0</v>
      </c>
      <c r="H2056" s="1">
        <v>67.0</v>
      </c>
      <c r="I2056" s="1">
        <v>622000.0</v>
      </c>
      <c r="J2056" s="1" t="s">
        <v>2468</v>
      </c>
      <c r="K2056" s="5">
        <f t="shared" si="2"/>
        <v>0.07993569132</v>
      </c>
      <c r="L2056" s="6">
        <f t="shared" si="3"/>
        <v>260</v>
      </c>
      <c r="M2056" s="6">
        <f t="shared" si="4"/>
        <v>191.2307692</v>
      </c>
      <c r="N2056" s="7">
        <f t="shared" si="5"/>
        <v>0.0003074449666</v>
      </c>
      <c r="O2056" s="7"/>
      <c r="P2056" s="4">
        <f t="shared" si="6"/>
        <v>-0.2329729515</v>
      </c>
      <c r="Q2056" s="4">
        <f t="shared" si="7"/>
        <v>8</v>
      </c>
      <c r="R2056" s="4">
        <f t="shared" si="8"/>
        <v>0</v>
      </c>
      <c r="S2056" s="4">
        <f t="shared" si="9"/>
        <v>-0.2329729515</v>
      </c>
      <c r="T2056" s="4">
        <f t="shared" si="10"/>
        <v>34</v>
      </c>
      <c r="U2056" s="4">
        <f t="shared" si="1"/>
        <v>-0.2329729515</v>
      </c>
      <c r="V2056" s="4"/>
    </row>
    <row r="2057">
      <c r="A2057" s="1" t="s">
        <v>19997</v>
      </c>
      <c r="B2057" s="1" t="s">
        <v>19998</v>
      </c>
      <c r="C2057" s="1" t="s">
        <v>19999</v>
      </c>
      <c r="D2057" s="1" t="s">
        <v>19948</v>
      </c>
      <c r="E2057" s="1" t="s">
        <v>19949</v>
      </c>
      <c r="F2057" s="1">
        <v>35491.0</v>
      </c>
      <c r="G2057" s="1">
        <v>635.0</v>
      </c>
      <c r="H2057" s="1">
        <v>19.0</v>
      </c>
      <c r="I2057" s="1">
        <v>622000.0</v>
      </c>
      <c r="J2057" s="1" t="s">
        <v>2468</v>
      </c>
      <c r="K2057" s="5">
        <f t="shared" si="2"/>
        <v>0.05705948553</v>
      </c>
      <c r="L2057" s="6">
        <f t="shared" si="3"/>
        <v>273</v>
      </c>
      <c r="M2057" s="6">
        <f t="shared" si="4"/>
        <v>130.003663</v>
      </c>
      <c r="N2057" s="7">
        <f t="shared" si="5"/>
        <v>0.0002090091045</v>
      </c>
      <c r="O2057" s="7"/>
      <c r="P2057" s="4">
        <f t="shared" si="6"/>
        <v>-0.3023075726</v>
      </c>
      <c r="Q2057" s="4">
        <f t="shared" si="7"/>
        <v>7</v>
      </c>
      <c r="R2057" s="4">
        <f t="shared" si="8"/>
        <v>0</v>
      </c>
      <c r="S2057" s="4">
        <f t="shared" si="9"/>
        <v>-0.3023075726</v>
      </c>
      <c r="T2057" s="4">
        <f t="shared" si="10"/>
        <v>38</v>
      </c>
      <c r="U2057" s="4">
        <f t="shared" si="1"/>
        <v>-0.3023075726</v>
      </c>
      <c r="V2057" s="4"/>
    </row>
    <row r="2058">
      <c r="A2058" s="1" t="s">
        <v>20000</v>
      </c>
      <c r="B2058" s="1" t="s">
        <v>20001</v>
      </c>
      <c r="C2058" s="1" t="s">
        <v>20002</v>
      </c>
      <c r="D2058" s="1" t="s">
        <v>19948</v>
      </c>
      <c r="E2058" s="1" t="s">
        <v>19949</v>
      </c>
      <c r="F2058" s="1">
        <v>9191.0</v>
      </c>
      <c r="G2058" s="1">
        <v>224.0</v>
      </c>
      <c r="H2058" s="1">
        <v>21.0</v>
      </c>
      <c r="I2058" s="1">
        <v>622000.0</v>
      </c>
      <c r="J2058" s="1" t="s">
        <v>2468</v>
      </c>
      <c r="K2058" s="5">
        <f t="shared" si="2"/>
        <v>0.01477652733</v>
      </c>
      <c r="L2058" s="6">
        <f t="shared" si="3"/>
        <v>280</v>
      </c>
      <c r="M2058" s="6">
        <f t="shared" si="4"/>
        <v>32.825</v>
      </c>
      <c r="N2058" s="7">
        <f t="shared" si="5"/>
        <v>0.0000527733119</v>
      </c>
      <c r="O2058" s="7"/>
      <c r="P2058" s="4">
        <f t="shared" si="6"/>
        <v>-0.4123543509</v>
      </c>
      <c r="Q2058" s="4">
        <f t="shared" si="7"/>
        <v>8</v>
      </c>
      <c r="R2058" s="4">
        <f t="shared" si="8"/>
        <v>0</v>
      </c>
      <c r="S2058" s="4">
        <f t="shared" si="9"/>
        <v>-0.4123543509</v>
      </c>
      <c r="T2058" s="4">
        <f t="shared" si="10"/>
        <v>28</v>
      </c>
      <c r="U2058" s="4">
        <f t="shared" si="1"/>
        <v>-0.4123543509</v>
      </c>
      <c r="V2058" s="4"/>
    </row>
    <row r="2059">
      <c r="A2059" s="1" t="s">
        <v>20003</v>
      </c>
      <c r="B2059" s="1" t="s">
        <v>20004</v>
      </c>
      <c r="C2059" s="1" t="s">
        <v>20005</v>
      </c>
      <c r="D2059" s="1" t="s">
        <v>19948</v>
      </c>
      <c r="E2059" s="1" t="s">
        <v>19949</v>
      </c>
      <c r="F2059" s="1">
        <v>9183.0</v>
      </c>
      <c r="G2059" s="1">
        <v>450.0</v>
      </c>
      <c r="H2059" s="1">
        <v>40.0</v>
      </c>
      <c r="I2059" s="1">
        <v>622000.0</v>
      </c>
      <c r="J2059" s="1" t="s">
        <v>2468</v>
      </c>
      <c r="K2059" s="5">
        <f t="shared" si="2"/>
        <v>0.01476366559</v>
      </c>
      <c r="L2059" s="6">
        <f t="shared" si="3"/>
        <v>289</v>
      </c>
      <c r="M2059" s="6">
        <f t="shared" si="4"/>
        <v>31.77508651</v>
      </c>
      <c r="N2059" s="7">
        <f t="shared" si="5"/>
        <v>0.00005108534808</v>
      </c>
      <c r="O2059" s="7"/>
      <c r="P2059" s="4">
        <f t="shared" si="6"/>
        <v>-0.4135432909</v>
      </c>
      <c r="Q2059" s="4">
        <f t="shared" si="7"/>
        <v>8</v>
      </c>
      <c r="R2059" s="4">
        <f t="shared" si="8"/>
        <v>0</v>
      </c>
      <c r="S2059" s="4">
        <f t="shared" si="9"/>
        <v>-0.4135432909</v>
      </c>
      <c r="T2059" s="4">
        <f t="shared" si="10"/>
        <v>38</v>
      </c>
      <c r="U2059" s="4">
        <f t="shared" si="1"/>
        <v>-0.4135432909</v>
      </c>
      <c r="V2059" s="4"/>
    </row>
    <row r="2060">
      <c r="A2060" s="1" t="s">
        <v>20006</v>
      </c>
      <c r="B2060" s="1" t="s">
        <v>20007</v>
      </c>
      <c r="C2060" s="1" t="s">
        <v>20008</v>
      </c>
      <c r="D2060" s="1" t="s">
        <v>19948</v>
      </c>
      <c r="E2060" s="1" t="s">
        <v>19949</v>
      </c>
      <c r="F2060" s="1">
        <v>6551.0</v>
      </c>
      <c r="G2060" s="1">
        <v>150.0</v>
      </c>
      <c r="H2060" s="1">
        <v>4.0</v>
      </c>
      <c r="I2060" s="1">
        <v>622000.0</v>
      </c>
      <c r="J2060" s="1" t="s">
        <v>2468</v>
      </c>
      <c r="K2060" s="5">
        <f t="shared" si="2"/>
        <v>0.01053215434</v>
      </c>
      <c r="L2060" s="6">
        <f t="shared" si="3"/>
        <v>303</v>
      </c>
      <c r="M2060" s="6">
        <f t="shared" si="4"/>
        <v>21.62046205</v>
      </c>
      <c r="N2060" s="7">
        <f t="shared" si="5"/>
        <v>0.00003475958528</v>
      </c>
      <c r="O2060" s="7"/>
      <c r="P2060" s="4">
        <f t="shared" si="6"/>
        <v>-0.4250425611</v>
      </c>
      <c r="Q2060" s="4">
        <f t="shared" si="7"/>
        <v>8</v>
      </c>
      <c r="R2060" s="4">
        <f t="shared" si="8"/>
        <v>1</v>
      </c>
      <c r="S2060" s="4">
        <f t="shared" si="9"/>
        <v>-0.4250425611</v>
      </c>
      <c r="T2060" s="4">
        <f t="shared" si="10"/>
        <v>33</v>
      </c>
      <c r="U2060" s="4">
        <f t="shared" si="1"/>
        <v>-0.4250425611</v>
      </c>
      <c r="V2060" s="4"/>
    </row>
    <row r="2061">
      <c r="A2061" s="1" t="s">
        <v>20009</v>
      </c>
      <c r="B2061" s="1" t="s">
        <v>20010</v>
      </c>
      <c r="C2061" s="1" t="s">
        <v>20011</v>
      </c>
      <c r="D2061" s="1" t="s">
        <v>19948</v>
      </c>
      <c r="E2061" s="1" t="s">
        <v>19949</v>
      </c>
      <c r="F2061" s="1">
        <v>10087.0</v>
      </c>
      <c r="G2061" s="1">
        <v>574.0</v>
      </c>
      <c r="H2061" s="1">
        <v>20.0</v>
      </c>
      <c r="I2061" s="1">
        <v>622000.0</v>
      </c>
      <c r="J2061" s="1" t="s">
        <v>2468</v>
      </c>
      <c r="K2061" s="5">
        <f t="shared" si="2"/>
        <v>0.0162170418</v>
      </c>
      <c r="L2061" s="6">
        <f t="shared" si="3"/>
        <v>317</v>
      </c>
      <c r="M2061" s="6">
        <f t="shared" si="4"/>
        <v>31.82018927</v>
      </c>
      <c r="N2061" s="7">
        <f t="shared" si="5"/>
        <v>0.00005115786057</v>
      </c>
      <c r="O2061" s="7"/>
      <c r="P2061" s="4">
        <f t="shared" si="6"/>
        <v>-0.4134922157</v>
      </c>
      <c r="Q2061" s="4">
        <f t="shared" si="7"/>
        <v>11</v>
      </c>
      <c r="R2061" s="4">
        <f t="shared" si="8"/>
        <v>0</v>
      </c>
      <c r="S2061" s="4">
        <f t="shared" si="9"/>
        <v>-0.4134922157</v>
      </c>
      <c r="T2061" s="4">
        <f t="shared" si="10"/>
        <v>56</v>
      </c>
      <c r="U2061" s="4">
        <f t="shared" si="1"/>
        <v>-0.4134922157</v>
      </c>
      <c r="V2061" s="4"/>
    </row>
    <row r="2062">
      <c r="A2062" s="1" t="s">
        <v>20012</v>
      </c>
      <c r="B2062" s="1" t="s">
        <v>20013</v>
      </c>
      <c r="C2062" s="1" t="s">
        <v>20014</v>
      </c>
      <c r="D2062" s="1" t="s">
        <v>19948</v>
      </c>
      <c r="E2062" s="1" t="s">
        <v>19949</v>
      </c>
      <c r="F2062" s="1">
        <v>20146.0</v>
      </c>
      <c r="G2062" s="1">
        <v>700.0</v>
      </c>
      <c r="H2062" s="1">
        <v>26.0</v>
      </c>
      <c r="I2062" s="1">
        <v>622000.0</v>
      </c>
      <c r="J2062" s="1" t="s">
        <v>2468</v>
      </c>
      <c r="K2062" s="5">
        <f t="shared" si="2"/>
        <v>0.03238906752</v>
      </c>
      <c r="L2062" s="6">
        <f t="shared" si="3"/>
        <v>350</v>
      </c>
      <c r="M2062" s="6">
        <f t="shared" si="4"/>
        <v>57.56</v>
      </c>
      <c r="N2062" s="7">
        <f t="shared" si="5"/>
        <v>0.00009254019293</v>
      </c>
      <c r="O2062" s="7"/>
      <c r="P2062" s="4">
        <f t="shared" si="6"/>
        <v>-0.3843440143</v>
      </c>
      <c r="Q2062" s="4">
        <f t="shared" si="7"/>
        <v>8</v>
      </c>
      <c r="R2062" s="4">
        <f t="shared" si="8"/>
        <v>0</v>
      </c>
      <c r="S2062" s="4">
        <f t="shared" si="9"/>
        <v>-0.3843440143</v>
      </c>
      <c r="T2062" s="4">
        <f t="shared" si="10"/>
        <v>35</v>
      </c>
      <c r="U2062" s="4">
        <f t="shared" si="1"/>
        <v>-0.3843440143</v>
      </c>
      <c r="V2062" s="4"/>
    </row>
    <row r="2063">
      <c r="A2063" s="1" t="s">
        <v>20015</v>
      </c>
      <c r="B2063" s="1" t="s">
        <v>20016</v>
      </c>
      <c r="C2063" s="1" t="s">
        <v>20017</v>
      </c>
      <c r="D2063" s="1" t="s">
        <v>19948</v>
      </c>
      <c r="E2063" s="1" t="s">
        <v>19949</v>
      </c>
      <c r="F2063" s="1">
        <v>9105.0</v>
      </c>
      <c r="G2063" s="1">
        <v>488.0</v>
      </c>
      <c r="H2063" s="1">
        <v>17.0</v>
      </c>
      <c r="I2063" s="1">
        <v>622000.0</v>
      </c>
      <c r="J2063" s="1" t="s">
        <v>2468</v>
      </c>
      <c r="K2063" s="5">
        <f t="shared" si="2"/>
        <v>0.01463826367</v>
      </c>
      <c r="L2063" s="6">
        <f t="shared" si="3"/>
        <v>359</v>
      </c>
      <c r="M2063" s="6">
        <f t="shared" si="4"/>
        <v>25.36211699</v>
      </c>
      <c r="N2063" s="7">
        <f t="shared" si="5"/>
        <v>0.0000407751077</v>
      </c>
      <c r="O2063" s="7"/>
      <c r="P2063" s="4">
        <f t="shared" si="6"/>
        <v>-0.4208054471</v>
      </c>
      <c r="Q2063" s="4">
        <f t="shared" si="7"/>
        <v>8</v>
      </c>
      <c r="R2063" s="4">
        <f t="shared" si="8"/>
        <v>0</v>
      </c>
      <c r="S2063" s="4">
        <f t="shared" si="9"/>
        <v>-0.4208054471</v>
      </c>
      <c r="T2063" s="4">
        <f t="shared" si="10"/>
        <v>34</v>
      </c>
      <c r="U2063" s="4">
        <f t="shared" si="1"/>
        <v>-0.4208054471</v>
      </c>
      <c r="V2063" s="4"/>
    </row>
    <row r="2064">
      <c r="A2064" s="1" t="s">
        <v>20018</v>
      </c>
      <c r="B2064" s="1" t="s">
        <v>20019</v>
      </c>
      <c r="C2064" s="1" t="s">
        <v>20020</v>
      </c>
      <c r="D2064" s="1" t="s">
        <v>19948</v>
      </c>
      <c r="E2064" s="1" t="s">
        <v>19949</v>
      </c>
      <c r="F2064" s="1">
        <v>21409.0</v>
      </c>
      <c r="G2064" s="1">
        <v>359.0</v>
      </c>
      <c r="H2064" s="1">
        <v>17.0</v>
      </c>
      <c r="I2064" s="1">
        <v>622000.0</v>
      </c>
      <c r="J2064" s="1" t="s">
        <v>2468</v>
      </c>
      <c r="K2064" s="5">
        <f t="shared" si="2"/>
        <v>0.03441961415</v>
      </c>
      <c r="L2064" s="6">
        <f t="shared" si="3"/>
        <v>370</v>
      </c>
      <c r="M2064" s="6">
        <f t="shared" si="4"/>
        <v>57.86216216</v>
      </c>
      <c r="N2064" s="7">
        <f t="shared" si="5"/>
        <v>0.00009302598418</v>
      </c>
      <c r="O2064" s="7"/>
      <c r="P2064" s="4">
        <f t="shared" si="6"/>
        <v>-0.3840018407</v>
      </c>
      <c r="Q2064" s="4">
        <f t="shared" si="7"/>
        <v>7</v>
      </c>
      <c r="R2064" s="4">
        <f t="shared" si="8"/>
        <v>0</v>
      </c>
      <c r="S2064" s="4">
        <f t="shared" si="9"/>
        <v>-0.3840018407</v>
      </c>
      <c r="T2064" s="4">
        <f t="shared" si="10"/>
        <v>33</v>
      </c>
      <c r="U2064" s="4">
        <f t="shared" si="1"/>
        <v>-0.3840018407</v>
      </c>
      <c r="V2064" s="4"/>
    </row>
    <row r="2065">
      <c r="A2065" s="1" t="s">
        <v>20021</v>
      </c>
      <c r="B2065" s="1" t="s">
        <v>20022</v>
      </c>
      <c r="C2065" s="1" t="s">
        <v>20023</v>
      </c>
      <c r="D2065" s="1" t="s">
        <v>19948</v>
      </c>
      <c r="E2065" s="1" t="s">
        <v>19949</v>
      </c>
      <c r="F2065" s="1">
        <v>8701.0</v>
      </c>
      <c r="G2065" s="1">
        <v>529.0</v>
      </c>
      <c r="H2065" s="1">
        <v>25.0</v>
      </c>
      <c r="I2065" s="1">
        <v>622000.0</v>
      </c>
      <c r="J2065" s="1" t="s">
        <v>2468</v>
      </c>
      <c r="K2065" s="5">
        <f t="shared" si="2"/>
        <v>0.01398874598</v>
      </c>
      <c r="L2065" s="6">
        <f t="shared" si="3"/>
        <v>377</v>
      </c>
      <c r="M2065" s="6">
        <f t="shared" si="4"/>
        <v>23.0795756</v>
      </c>
      <c r="N2065" s="7">
        <f t="shared" si="5"/>
        <v>0.000037105427</v>
      </c>
      <c r="O2065" s="7"/>
      <c r="P2065" s="4">
        <f t="shared" si="6"/>
        <v>-0.423390236</v>
      </c>
      <c r="Q2065" s="4">
        <f t="shared" si="7"/>
        <v>8</v>
      </c>
      <c r="R2065" s="4">
        <f t="shared" si="8"/>
        <v>0</v>
      </c>
      <c r="S2065" s="4">
        <f t="shared" si="9"/>
        <v>-0.423390236</v>
      </c>
      <c r="T2065" s="4">
        <f t="shared" si="10"/>
        <v>46</v>
      </c>
      <c r="U2065" s="4">
        <f t="shared" si="1"/>
        <v>-0.423390236</v>
      </c>
      <c r="V2065" s="4"/>
    </row>
    <row r="2066">
      <c r="A2066" s="1" t="s">
        <v>20024</v>
      </c>
      <c r="B2066" s="1" t="s">
        <v>20025</v>
      </c>
      <c r="C2066" s="1" t="s">
        <v>20026</v>
      </c>
      <c r="D2066" s="1" t="s">
        <v>19948</v>
      </c>
      <c r="E2066" s="1" t="s">
        <v>19949</v>
      </c>
      <c r="F2066" s="1">
        <v>19616.0</v>
      </c>
      <c r="G2066" s="1">
        <v>1231.0</v>
      </c>
      <c r="H2066" s="1">
        <v>302.0</v>
      </c>
      <c r="I2066" s="1">
        <v>622000.0</v>
      </c>
      <c r="J2066" s="1" t="s">
        <v>2468</v>
      </c>
      <c r="K2066" s="5">
        <f t="shared" si="2"/>
        <v>0.03153697749</v>
      </c>
      <c r="L2066" s="6">
        <f t="shared" si="3"/>
        <v>384</v>
      </c>
      <c r="M2066" s="6">
        <f t="shared" si="4"/>
        <v>51.08333333</v>
      </c>
      <c r="N2066" s="7">
        <f t="shared" si="5"/>
        <v>0.00008212754555</v>
      </c>
      <c r="O2066" s="7"/>
      <c r="P2066" s="4">
        <f t="shared" si="6"/>
        <v>-0.3916783023</v>
      </c>
      <c r="Q2066" s="4">
        <f t="shared" si="7"/>
        <v>9</v>
      </c>
      <c r="R2066" s="4">
        <f t="shared" si="8"/>
        <v>0</v>
      </c>
      <c r="S2066" s="4">
        <f t="shared" si="9"/>
        <v>-0.3916783023</v>
      </c>
      <c r="T2066" s="4">
        <f t="shared" si="10"/>
        <v>39</v>
      </c>
      <c r="U2066" s="4">
        <f t="shared" si="1"/>
        <v>-0.3916783023</v>
      </c>
      <c r="V2066" s="4"/>
    </row>
    <row r="2067">
      <c r="A2067" s="1" t="s">
        <v>20027</v>
      </c>
      <c r="B2067" s="1" t="s">
        <v>20028</v>
      </c>
      <c r="C2067" s="1" t="s">
        <v>20029</v>
      </c>
      <c r="D2067" s="1" t="s">
        <v>19948</v>
      </c>
      <c r="E2067" s="1" t="s">
        <v>19949</v>
      </c>
      <c r="F2067" s="1">
        <v>13365.0</v>
      </c>
      <c r="G2067" s="1">
        <v>155.0</v>
      </c>
      <c r="H2067" s="1">
        <v>7.0</v>
      </c>
      <c r="I2067" s="1">
        <v>622000.0</v>
      </c>
      <c r="J2067" s="1" t="s">
        <v>2468</v>
      </c>
      <c r="K2067" s="5">
        <f t="shared" si="2"/>
        <v>0.02148713826</v>
      </c>
      <c r="L2067" s="6">
        <f t="shared" si="3"/>
        <v>391</v>
      </c>
      <c r="M2067" s="6">
        <f t="shared" si="4"/>
        <v>34.18158568</v>
      </c>
      <c r="N2067" s="7">
        <f t="shared" si="5"/>
        <v>0.00005495431781</v>
      </c>
      <c r="O2067" s="7"/>
      <c r="P2067" s="4">
        <f t="shared" si="6"/>
        <v>-0.4108181301</v>
      </c>
      <c r="Q2067" s="4">
        <f t="shared" si="7"/>
        <v>4</v>
      </c>
      <c r="R2067" s="4">
        <f t="shared" si="8"/>
        <v>0</v>
      </c>
      <c r="S2067" s="4">
        <f t="shared" si="9"/>
        <v>-0.4108181301</v>
      </c>
      <c r="T2067" s="4">
        <f t="shared" si="10"/>
        <v>34</v>
      </c>
      <c r="U2067" s="4">
        <f t="shared" si="1"/>
        <v>-0.4108181301</v>
      </c>
      <c r="V2067" s="4"/>
    </row>
    <row r="2068">
      <c r="A2068" s="1" t="s">
        <v>20030</v>
      </c>
      <c r="B2068" s="1" t="s">
        <v>20031</v>
      </c>
      <c r="C2068" s="1" t="s">
        <v>20032</v>
      </c>
      <c r="D2068" s="1" t="s">
        <v>19948</v>
      </c>
      <c r="E2068" s="1" t="s">
        <v>19949</v>
      </c>
      <c r="F2068" s="1">
        <v>24705.0</v>
      </c>
      <c r="G2068" s="1">
        <v>799.0</v>
      </c>
      <c r="H2068" s="1">
        <v>104.0</v>
      </c>
      <c r="I2068" s="1">
        <v>622000.0</v>
      </c>
      <c r="J2068" s="1" t="s">
        <v>2468</v>
      </c>
      <c r="K2068" s="5">
        <f t="shared" si="2"/>
        <v>0.03971864952</v>
      </c>
      <c r="L2068" s="6">
        <f t="shared" si="3"/>
        <v>392</v>
      </c>
      <c r="M2068" s="6">
        <f t="shared" si="4"/>
        <v>63.02295918</v>
      </c>
      <c r="N2068" s="7">
        <f t="shared" si="5"/>
        <v>0.0001013230855</v>
      </c>
      <c r="O2068" s="7"/>
      <c r="P2068" s="4">
        <f t="shared" si="6"/>
        <v>-0.378157666</v>
      </c>
      <c r="Q2068" s="4">
        <f t="shared" si="7"/>
        <v>6</v>
      </c>
      <c r="R2068" s="4">
        <f t="shared" si="8"/>
        <v>0</v>
      </c>
      <c r="S2068" s="4">
        <f t="shared" si="9"/>
        <v>-0.378157666</v>
      </c>
      <c r="T2068" s="4">
        <f t="shared" si="10"/>
        <v>25</v>
      </c>
      <c r="U2068" s="4">
        <f t="shared" si="1"/>
        <v>-0.378157666</v>
      </c>
      <c r="V2068" s="4"/>
    </row>
    <row r="2069">
      <c r="A2069" s="1" t="s">
        <v>20033</v>
      </c>
      <c r="B2069" s="1" t="s">
        <v>20034</v>
      </c>
      <c r="C2069" s="1" t="s">
        <v>20035</v>
      </c>
      <c r="D2069" s="1" t="s">
        <v>19948</v>
      </c>
      <c r="E2069" s="1" t="s">
        <v>19949</v>
      </c>
      <c r="F2069" s="1">
        <v>10756.0</v>
      </c>
      <c r="G2069" s="1">
        <v>980.0</v>
      </c>
      <c r="H2069" s="1">
        <v>102.0</v>
      </c>
      <c r="I2069" s="1">
        <v>622000.0</v>
      </c>
      <c r="J2069" s="1" t="s">
        <v>2468</v>
      </c>
      <c r="K2069" s="5">
        <f t="shared" si="2"/>
        <v>0.0172926045</v>
      </c>
      <c r="L2069" s="6">
        <f t="shared" si="3"/>
        <v>428</v>
      </c>
      <c r="M2069" s="6">
        <f t="shared" si="4"/>
        <v>25.13084112</v>
      </c>
      <c r="N2069" s="7">
        <f t="shared" si="5"/>
        <v>0.00004040328155</v>
      </c>
      <c r="O2069" s="7"/>
      <c r="P2069" s="4">
        <f t="shared" si="6"/>
        <v>-0.4210673479</v>
      </c>
      <c r="Q2069" s="4">
        <f t="shared" si="7"/>
        <v>6</v>
      </c>
      <c r="R2069" s="4">
        <f t="shared" si="8"/>
        <v>1</v>
      </c>
      <c r="S2069" s="4">
        <f t="shared" si="9"/>
        <v>-0.4210673479</v>
      </c>
      <c r="T2069" s="4">
        <f t="shared" si="10"/>
        <v>22</v>
      </c>
      <c r="U2069" s="4">
        <f t="shared" si="1"/>
        <v>-0.4210673479</v>
      </c>
      <c r="V2069" s="4"/>
    </row>
    <row r="2070">
      <c r="A2070" s="1" t="s">
        <v>20036</v>
      </c>
      <c r="B2070" s="1" t="s">
        <v>20037</v>
      </c>
      <c r="C2070" s="1" t="s">
        <v>20038</v>
      </c>
      <c r="D2070" s="1" t="s">
        <v>19948</v>
      </c>
      <c r="E2070" s="1" t="s">
        <v>19949</v>
      </c>
      <c r="F2070" s="1">
        <v>12667.0</v>
      </c>
      <c r="G2070" s="1">
        <v>642.0</v>
      </c>
      <c r="H2070" s="1">
        <v>46.0</v>
      </c>
      <c r="I2070" s="1">
        <v>622000.0</v>
      </c>
      <c r="J2070" s="1" t="s">
        <v>2468</v>
      </c>
      <c r="K2070" s="5">
        <f t="shared" si="2"/>
        <v>0.02036495177</v>
      </c>
      <c r="L2070" s="6">
        <f t="shared" si="3"/>
        <v>481</v>
      </c>
      <c r="M2070" s="6">
        <f t="shared" si="4"/>
        <v>26.33471933</v>
      </c>
      <c r="N2070" s="7">
        <f t="shared" si="5"/>
        <v>0.00004233877707</v>
      </c>
      <c r="O2070" s="7"/>
      <c r="P2070" s="4">
        <f t="shared" si="6"/>
        <v>-0.4197040556</v>
      </c>
      <c r="Q2070" s="4">
        <f t="shared" si="7"/>
        <v>5</v>
      </c>
      <c r="R2070" s="4">
        <f t="shared" si="8"/>
        <v>0</v>
      </c>
      <c r="S2070" s="4">
        <f t="shared" si="9"/>
        <v>-0.4197040556</v>
      </c>
      <c r="T2070" s="4">
        <f t="shared" si="10"/>
        <v>20</v>
      </c>
      <c r="U2070" s="4">
        <f t="shared" si="1"/>
        <v>-0.4197040556</v>
      </c>
      <c r="V2070" s="4"/>
    </row>
    <row r="2071">
      <c r="A2071" s="1" t="s">
        <v>20039</v>
      </c>
      <c r="B2071" s="1" t="s">
        <v>20040</v>
      </c>
      <c r="C2071" s="1" t="s">
        <v>20041</v>
      </c>
      <c r="D2071" s="1" t="s">
        <v>19948</v>
      </c>
      <c r="E2071" s="1" t="s">
        <v>19949</v>
      </c>
      <c r="F2071" s="1">
        <v>10808.0</v>
      </c>
      <c r="G2071" s="1">
        <v>235.0</v>
      </c>
      <c r="H2071" s="1">
        <v>2.0</v>
      </c>
      <c r="I2071" s="1">
        <v>622000.0</v>
      </c>
      <c r="J2071" s="1" t="s">
        <v>2468</v>
      </c>
      <c r="K2071" s="5">
        <f t="shared" si="2"/>
        <v>0.01737620579</v>
      </c>
      <c r="L2071" s="6">
        <f t="shared" si="3"/>
        <v>559</v>
      </c>
      <c r="M2071" s="6">
        <f t="shared" si="4"/>
        <v>19.33452594</v>
      </c>
      <c r="N2071" s="7">
        <f t="shared" si="5"/>
        <v>0.00003108444685</v>
      </c>
      <c r="O2071" s="7"/>
      <c r="P2071" s="4">
        <f t="shared" si="6"/>
        <v>-0.4276311942</v>
      </c>
      <c r="Q2071" s="4">
        <f t="shared" si="7"/>
        <v>7</v>
      </c>
      <c r="R2071" s="4">
        <f t="shared" si="8"/>
        <v>1</v>
      </c>
      <c r="S2071" s="4">
        <f t="shared" si="9"/>
        <v>-0.4276311942</v>
      </c>
      <c r="T2071" s="4">
        <f t="shared" si="10"/>
        <v>35</v>
      </c>
      <c r="U2071" s="4">
        <f t="shared" si="1"/>
        <v>-0.4276311942</v>
      </c>
      <c r="V2071" s="4"/>
    </row>
    <row r="2072">
      <c r="A2072" s="1" t="s">
        <v>20042</v>
      </c>
      <c r="B2072" s="1" t="s">
        <v>20043</v>
      </c>
      <c r="C2072" s="1" t="s">
        <v>20044</v>
      </c>
      <c r="D2072" s="1" t="s">
        <v>19948</v>
      </c>
      <c r="E2072" s="1" t="s">
        <v>19949</v>
      </c>
      <c r="F2072" s="1">
        <v>10541.0</v>
      </c>
      <c r="G2072" s="1">
        <v>222.0</v>
      </c>
      <c r="H2072" s="1">
        <v>10.0</v>
      </c>
      <c r="I2072" s="1">
        <v>622000.0</v>
      </c>
      <c r="J2072" s="1" t="s">
        <v>2468</v>
      </c>
      <c r="K2072" s="5">
        <f t="shared" si="2"/>
        <v>0.01694694534</v>
      </c>
      <c r="L2072" s="6">
        <f t="shared" si="3"/>
        <v>622</v>
      </c>
      <c r="M2072" s="6">
        <f t="shared" si="4"/>
        <v>16.94694534</v>
      </c>
      <c r="N2072" s="7">
        <f t="shared" si="5"/>
        <v>0.00002724589283</v>
      </c>
      <c r="O2072" s="7"/>
      <c r="P2072" s="4">
        <f t="shared" si="6"/>
        <v>-0.4303349313</v>
      </c>
      <c r="Q2072" s="4">
        <f t="shared" si="7"/>
        <v>6</v>
      </c>
      <c r="R2072" s="4">
        <f t="shared" si="8"/>
        <v>0</v>
      </c>
      <c r="S2072" s="4">
        <f t="shared" si="9"/>
        <v>-0.4303349313</v>
      </c>
      <c r="T2072" s="4">
        <f t="shared" si="10"/>
        <v>36</v>
      </c>
      <c r="U2072" s="4">
        <f t="shared" si="1"/>
        <v>-0.4303349313</v>
      </c>
      <c r="V2072" s="4"/>
    </row>
    <row r="2073">
      <c r="A2073" s="1" t="s">
        <v>20045</v>
      </c>
      <c r="B2073" s="1" t="s">
        <v>20046</v>
      </c>
      <c r="C2073" s="1" t="s">
        <v>20047</v>
      </c>
      <c r="D2073" s="1" t="s">
        <v>19948</v>
      </c>
      <c r="E2073" s="1" t="s">
        <v>19949</v>
      </c>
      <c r="F2073" s="1">
        <v>29224.0</v>
      </c>
      <c r="G2073" s="1">
        <v>1098.0</v>
      </c>
      <c r="H2073" s="1">
        <v>85.0</v>
      </c>
      <c r="I2073" s="1">
        <v>622000.0</v>
      </c>
      <c r="J2073" s="1" t="s">
        <v>2468</v>
      </c>
      <c r="K2073" s="5">
        <f t="shared" si="2"/>
        <v>0.04698392283</v>
      </c>
      <c r="L2073" s="6">
        <f t="shared" si="3"/>
        <v>625</v>
      </c>
      <c r="M2073" s="6">
        <f t="shared" si="4"/>
        <v>46.7584</v>
      </c>
      <c r="N2073" s="7">
        <f t="shared" si="5"/>
        <v>0.00007517427653</v>
      </c>
      <c r="O2073" s="7"/>
      <c r="P2073" s="4">
        <f t="shared" si="6"/>
        <v>-0.3965759307</v>
      </c>
      <c r="Q2073" s="4">
        <f t="shared" si="7"/>
        <v>12</v>
      </c>
      <c r="R2073" s="4">
        <f t="shared" si="8"/>
        <v>0</v>
      </c>
      <c r="S2073" s="4">
        <f t="shared" si="9"/>
        <v>-0.3965759307</v>
      </c>
      <c r="T2073" s="4">
        <f t="shared" si="10"/>
        <v>50</v>
      </c>
      <c r="U2073" s="4">
        <f t="shared" si="1"/>
        <v>-0.3965759307</v>
      </c>
      <c r="V2073" s="4"/>
    </row>
    <row r="2074">
      <c r="A2074" s="1" t="s">
        <v>20048</v>
      </c>
      <c r="B2074" s="1" t="s">
        <v>20049</v>
      </c>
      <c r="C2074" s="1" t="s">
        <v>20050</v>
      </c>
      <c r="D2074" s="1" t="s">
        <v>19948</v>
      </c>
      <c r="E2074" s="1" t="s">
        <v>19949</v>
      </c>
      <c r="F2074" s="1">
        <v>12589.0</v>
      </c>
      <c r="G2074" s="1">
        <v>612.0</v>
      </c>
      <c r="H2074" s="1">
        <v>31.0</v>
      </c>
      <c r="I2074" s="1">
        <v>622000.0</v>
      </c>
      <c r="J2074" s="1" t="s">
        <v>2468</v>
      </c>
      <c r="K2074" s="5">
        <f t="shared" si="2"/>
        <v>0.02023954984</v>
      </c>
      <c r="L2074" s="6">
        <f t="shared" si="3"/>
        <v>700</v>
      </c>
      <c r="M2074" s="6">
        <f t="shared" si="4"/>
        <v>17.98428571</v>
      </c>
      <c r="N2074" s="7">
        <f t="shared" si="5"/>
        <v>0.00002891364263</v>
      </c>
      <c r="O2074" s="7"/>
      <c r="P2074" s="4">
        <f t="shared" si="6"/>
        <v>-0.4291602293</v>
      </c>
      <c r="Q2074" s="4">
        <f t="shared" si="7"/>
        <v>8</v>
      </c>
      <c r="R2074" s="4">
        <f t="shared" si="8"/>
        <v>0</v>
      </c>
      <c r="S2074" s="4">
        <f t="shared" si="9"/>
        <v>-0.4291602293</v>
      </c>
      <c r="T2074" s="4">
        <f t="shared" si="10"/>
        <v>37</v>
      </c>
      <c r="U2074" s="4">
        <f t="shared" si="1"/>
        <v>-0.4291602293</v>
      </c>
      <c r="V2074" s="4"/>
    </row>
    <row r="2075">
      <c r="A2075" s="1" t="s">
        <v>20051</v>
      </c>
      <c r="B2075" s="1" t="s">
        <v>20052</v>
      </c>
      <c r="C2075" s="1" t="s">
        <v>20053</v>
      </c>
      <c r="D2075" s="1" t="s">
        <v>19948</v>
      </c>
      <c r="E2075" s="1" t="s">
        <v>19949</v>
      </c>
      <c r="F2075" s="1">
        <v>7079.0</v>
      </c>
      <c r="G2075" s="1">
        <v>272.0</v>
      </c>
      <c r="H2075" s="1">
        <v>14.0</v>
      </c>
      <c r="I2075" s="1">
        <v>622000.0</v>
      </c>
      <c r="J2075" s="1" t="s">
        <v>2468</v>
      </c>
      <c r="K2075" s="5">
        <f t="shared" si="2"/>
        <v>0.01138102894</v>
      </c>
      <c r="L2075" s="6">
        <f t="shared" si="3"/>
        <v>707</v>
      </c>
      <c r="M2075" s="6">
        <f t="shared" si="4"/>
        <v>10.01272984</v>
      </c>
      <c r="N2075" s="7">
        <f t="shared" si="5"/>
        <v>0.00001609763641</v>
      </c>
      <c r="O2075" s="7"/>
      <c r="P2075" s="4">
        <f t="shared" si="6"/>
        <v>-0.4381873554</v>
      </c>
      <c r="Q2075" s="4">
        <f t="shared" si="7"/>
        <v>6</v>
      </c>
      <c r="R2075" s="4">
        <f t="shared" si="8"/>
        <v>0</v>
      </c>
      <c r="S2075" s="4">
        <f t="shared" si="9"/>
        <v>-0.4381873554</v>
      </c>
      <c r="T2075" s="4">
        <f t="shared" si="10"/>
        <v>35</v>
      </c>
      <c r="U2075" s="4">
        <f t="shared" si="1"/>
        <v>-0.4381873554</v>
      </c>
      <c r="V2075" s="4"/>
    </row>
    <row r="2076">
      <c r="A2076" s="1" t="s">
        <v>20054</v>
      </c>
      <c r="B2076" s="1" t="s">
        <v>20055</v>
      </c>
      <c r="C2076" s="1" t="s">
        <v>20056</v>
      </c>
      <c r="D2076" s="1" t="s">
        <v>19948</v>
      </c>
      <c r="E2076" s="1" t="s">
        <v>19949</v>
      </c>
      <c r="F2076" s="1">
        <v>57046.0</v>
      </c>
      <c r="G2076" s="1">
        <v>2197.0</v>
      </c>
      <c r="H2076" s="1">
        <v>141.0</v>
      </c>
      <c r="I2076" s="1">
        <v>622000.0</v>
      </c>
      <c r="J2076" s="1" t="s">
        <v>2468</v>
      </c>
      <c r="K2076" s="5">
        <f t="shared" si="2"/>
        <v>0.09171382637</v>
      </c>
      <c r="L2076" s="6">
        <f t="shared" si="3"/>
        <v>709</v>
      </c>
      <c r="M2076" s="6">
        <f t="shared" si="4"/>
        <v>80.45980254</v>
      </c>
      <c r="N2076" s="7">
        <f t="shared" si="5"/>
        <v>0.0001293565957</v>
      </c>
      <c r="O2076" s="7"/>
      <c r="P2076" s="4">
        <f t="shared" si="6"/>
        <v>-0.3584118867</v>
      </c>
      <c r="Q2076" s="4">
        <f t="shared" si="7"/>
        <v>6</v>
      </c>
      <c r="R2076" s="4">
        <f t="shared" si="8"/>
        <v>0</v>
      </c>
      <c r="S2076" s="4">
        <f t="shared" si="9"/>
        <v>-0.3584118867</v>
      </c>
      <c r="T2076" s="4">
        <f t="shared" si="10"/>
        <v>27</v>
      </c>
      <c r="U2076" s="4">
        <f t="shared" si="1"/>
        <v>-0.3584118867</v>
      </c>
      <c r="V2076" s="4"/>
    </row>
    <row r="2077">
      <c r="A2077" s="1" t="s">
        <v>20057</v>
      </c>
      <c r="B2077" s="1" t="s">
        <v>20058</v>
      </c>
      <c r="C2077" s="1" t="s">
        <v>20059</v>
      </c>
      <c r="D2077" s="1" t="s">
        <v>19948</v>
      </c>
      <c r="E2077" s="1" t="s">
        <v>19949</v>
      </c>
      <c r="F2077" s="1">
        <v>14483.0</v>
      </c>
      <c r="G2077" s="1">
        <v>0.0</v>
      </c>
      <c r="H2077" s="1">
        <v>35.0</v>
      </c>
      <c r="I2077" s="1">
        <v>622000.0</v>
      </c>
      <c r="J2077" s="1" t="s">
        <v>2468</v>
      </c>
      <c r="K2077" s="5">
        <f t="shared" si="2"/>
        <v>0.02328456592</v>
      </c>
      <c r="L2077" s="6">
        <f t="shared" si="3"/>
        <v>818</v>
      </c>
      <c r="M2077" s="6">
        <f t="shared" si="4"/>
        <v>17.70537897</v>
      </c>
      <c r="N2077" s="7">
        <f t="shared" si="5"/>
        <v>0.00002846523951</v>
      </c>
      <c r="O2077" s="7"/>
      <c r="P2077" s="4">
        <f t="shared" si="6"/>
        <v>-0.4294760681</v>
      </c>
      <c r="Q2077" s="4">
        <f t="shared" si="7"/>
        <v>6</v>
      </c>
      <c r="R2077" s="4">
        <f t="shared" si="8"/>
        <v>1</v>
      </c>
      <c r="S2077" s="4">
        <f t="shared" si="9"/>
        <v>-0.4294760681</v>
      </c>
      <c r="T2077" s="4">
        <f t="shared" si="10"/>
        <v>34</v>
      </c>
      <c r="U2077" s="4">
        <f t="shared" si="1"/>
        <v>-0.4294760681</v>
      </c>
      <c r="V2077" s="4"/>
    </row>
    <row r="2078">
      <c r="A2078" s="1" t="s">
        <v>20060</v>
      </c>
      <c r="B2078" s="1" t="s">
        <v>20061</v>
      </c>
      <c r="C2078" s="1" t="s">
        <v>20062</v>
      </c>
      <c r="D2078" s="1" t="s">
        <v>19948</v>
      </c>
      <c r="E2078" s="1" t="s">
        <v>19949</v>
      </c>
      <c r="F2078" s="1">
        <v>26084.0</v>
      </c>
      <c r="G2078" s="1">
        <v>803.0</v>
      </c>
      <c r="H2078" s="1">
        <v>56.0</v>
      </c>
      <c r="I2078" s="1">
        <v>622000.0</v>
      </c>
      <c r="J2078" s="1" t="s">
        <v>2468</v>
      </c>
      <c r="K2078" s="5">
        <f t="shared" si="2"/>
        <v>0.04193569132</v>
      </c>
      <c r="L2078" s="6">
        <f t="shared" si="3"/>
        <v>825</v>
      </c>
      <c r="M2078" s="6">
        <f t="shared" si="4"/>
        <v>31.6169697</v>
      </c>
      <c r="N2078" s="7">
        <f t="shared" si="5"/>
        <v>0.00005083114099</v>
      </c>
      <c r="O2078" s="7"/>
      <c r="P2078" s="4">
        <f t="shared" si="6"/>
        <v>-0.4137223451</v>
      </c>
      <c r="Q2078" s="4">
        <f t="shared" si="7"/>
        <v>8</v>
      </c>
      <c r="R2078" s="4">
        <f t="shared" si="8"/>
        <v>1</v>
      </c>
      <c r="S2078" s="4">
        <f t="shared" si="9"/>
        <v>-0.4137223451</v>
      </c>
      <c r="T2078" s="4">
        <f t="shared" si="10"/>
        <v>37</v>
      </c>
      <c r="U2078" s="4">
        <f t="shared" si="1"/>
        <v>-0.4137223451</v>
      </c>
      <c r="V2078" s="4"/>
    </row>
    <row r="2079">
      <c r="A2079" s="1" t="s">
        <v>20063</v>
      </c>
      <c r="B2079" s="1" t="s">
        <v>20064</v>
      </c>
      <c r="C2079" s="1" t="s">
        <v>20065</v>
      </c>
      <c r="D2079" s="1" t="s">
        <v>19948</v>
      </c>
      <c r="E2079" s="1" t="s">
        <v>19949</v>
      </c>
      <c r="F2079" s="1">
        <v>6565.0</v>
      </c>
      <c r="G2079" s="1">
        <v>266.0</v>
      </c>
      <c r="H2079" s="1">
        <v>23.0</v>
      </c>
      <c r="I2079" s="1">
        <v>622000.0</v>
      </c>
      <c r="J2079" s="1" t="s">
        <v>2468</v>
      </c>
      <c r="K2079" s="5">
        <f t="shared" si="2"/>
        <v>0.01055466238</v>
      </c>
      <c r="L2079" s="6">
        <f t="shared" si="3"/>
        <v>854</v>
      </c>
      <c r="M2079" s="6">
        <f t="shared" si="4"/>
        <v>7.68735363</v>
      </c>
      <c r="N2079" s="7">
        <f t="shared" si="5"/>
        <v>0.00001235908944</v>
      </c>
      <c r="O2079" s="7"/>
      <c r="P2079" s="4">
        <f t="shared" si="6"/>
        <v>-0.4408206511</v>
      </c>
      <c r="Q2079" s="4">
        <f t="shared" si="7"/>
        <v>10</v>
      </c>
      <c r="R2079" s="4">
        <f t="shared" si="8"/>
        <v>0</v>
      </c>
      <c r="S2079" s="4">
        <f t="shared" si="9"/>
        <v>-0.4408206511</v>
      </c>
      <c r="T2079" s="4">
        <f t="shared" si="10"/>
        <v>73</v>
      </c>
      <c r="U2079" s="4">
        <f t="shared" si="1"/>
        <v>-0.4408206511</v>
      </c>
      <c r="V2079" s="4"/>
    </row>
    <row r="2080">
      <c r="A2080" s="1" t="s">
        <v>20066</v>
      </c>
      <c r="B2080" s="1" t="s">
        <v>20067</v>
      </c>
      <c r="C2080" s="1" t="s">
        <v>20068</v>
      </c>
      <c r="D2080" s="1" t="s">
        <v>19948</v>
      </c>
      <c r="E2080" s="1" t="s">
        <v>19949</v>
      </c>
      <c r="F2080" s="1">
        <v>42567.0</v>
      </c>
      <c r="G2080" s="1">
        <v>3535.0</v>
      </c>
      <c r="H2080" s="1">
        <v>233.0</v>
      </c>
      <c r="I2080" s="1">
        <v>622000.0</v>
      </c>
      <c r="J2080" s="1" t="s">
        <v>2468</v>
      </c>
      <c r="K2080" s="5">
        <f t="shared" si="2"/>
        <v>0.06843569132</v>
      </c>
      <c r="L2080" s="6">
        <f t="shared" si="3"/>
        <v>877</v>
      </c>
      <c r="M2080" s="6">
        <f t="shared" si="4"/>
        <v>48.53705815</v>
      </c>
      <c r="N2080" s="7">
        <f t="shared" si="5"/>
        <v>0.00007803385555</v>
      </c>
      <c r="O2080" s="7"/>
      <c r="P2080" s="4">
        <f t="shared" si="6"/>
        <v>-0.3945617478</v>
      </c>
      <c r="Q2080" s="4">
        <f t="shared" si="7"/>
        <v>7</v>
      </c>
      <c r="R2080" s="4">
        <f t="shared" si="8"/>
        <v>0</v>
      </c>
      <c r="S2080" s="4">
        <f t="shared" si="9"/>
        <v>-0.3945617478</v>
      </c>
      <c r="T2080" s="4">
        <f t="shared" si="10"/>
        <v>26</v>
      </c>
      <c r="U2080" s="4">
        <f t="shared" si="1"/>
        <v>-0.3945617478</v>
      </c>
      <c r="V2080" s="4"/>
    </row>
    <row r="2081">
      <c r="A2081" s="1" t="s">
        <v>20069</v>
      </c>
      <c r="B2081" s="1" t="s">
        <v>20070</v>
      </c>
      <c r="C2081" s="1" t="s">
        <v>20071</v>
      </c>
      <c r="D2081" s="1" t="s">
        <v>19948</v>
      </c>
      <c r="E2081" s="1" t="s">
        <v>19949</v>
      </c>
      <c r="F2081" s="1">
        <v>8456.0</v>
      </c>
      <c r="G2081" s="1">
        <v>431.0</v>
      </c>
      <c r="H2081" s="1">
        <v>16.0</v>
      </c>
      <c r="I2081" s="1">
        <v>622000.0</v>
      </c>
      <c r="J2081" s="1" t="s">
        <v>2468</v>
      </c>
      <c r="K2081" s="5">
        <f t="shared" si="2"/>
        <v>0.01359485531</v>
      </c>
      <c r="L2081" s="6">
        <f t="shared" si="3"/>
        <v>927</v>
      </c>
      <c r="M2081" s="6">
        <f t="shared" si="4"/>
        <v>9.121898598</v>
      </c>
      <c r="N2081" s="7">
        <f t="shared" si="5"/>
        <v>0.00001466543183</v>
      </c>
      <c r="O2081" s="7"/>
      <c r="P2081" s="4">
        <f t="shared" si="6"/>
        <v>-0.4391961479</v>
      </c>
      <c r="Q2081" s="4">
        <f t="shared" si="7"/>
        <v>9</v>
      </c>
      <c r="R2081" s="4">
        <f t="shared" si="8"/>
        <v>0</v>
      </c>
      <c r="S2081" s="4">
        <f t="shared" si="9"/>
        <v>-0.4391961479</v>
      </c>
      <c r="T2081" s="4">
        <f t="shared" si="10"/>
        <v>54</v>
      </c>
      <c r="U2081" s="4">
        <f t="shared" si="1"/>
        <v>-0.4391961479</v>
      </c>
      <c r="V2081" s="4"/>
    </row>
    <row r="2082">
      <c r="A2082" s="1" t="s">
        <v>20072</v>
      </c>
      <c r="B2082" s="1" t="s">
        <v>20073</v>
      </c>
      <c r="C2082" s="1" t="s">
        <v>20074</v>
      </c>
      <c r="D2082" s="1" t="s">
        <v>19948</v>
      </c>
      <c r="E2082" s="1" t="s">
        <v>19949</v>
      </c>
      <c r="F2082" s="1">
        <v>7980.0</v>
      </c>
      <c r="G2082" s="1">
        <v>369.0</v>
      </c>
      <c r="H2082" s="1">
        <v>26.0</v>
      </c>
      <c r="I2082" s="1">
        <v>622000.0</v>
      </c>
      <c r="J2082" s="1" t="s">
        <v>2468</v>
      </c>
      <c r="K2082" s="5">
        <f t="shared" si="2"/>
        <v>0.01282958199</v>
      </c>
      <c r="L2082" s="6">
        <f t="shared" si="3"/>
        <v>947</v>
      </c>
      <c r="M2082" s="6">
        <f t="shared" si="4"/>
        <v>8.426610348</v>
      </c>
      <c r="N2082" s="7">
        <f t="shared" si="5"/>
        <v>0.00001354760506</v>
      </c>
      <c r="O2082" s="7"/>
      <c r="P2082" s="4">
        <f t="shared" si="6"/>
        <v>-0.4399835042</v>
      </c>
      <c r="Q2082" s="4">
        <f t="shared" si="7"/>
        <v>10</v>
      </c>
      <c r="R2082" s="4">
        <f t="shared" si="8"/>
        <v>0</v>
      </c>
      <c r="S2082" s="4">
        <f t="shared" si="9"/>
        <v>-0.4399835042</v>
      </c>
      <c r="T2082" s="4">
        <f t="shared" si="10"/>
        <v>43</v>
      </c>
      <c r="U2082" s="4">
        <f t="shared" si="1"/>
        <v>-0.4399835042</v>
      </c>
      <c r="V2082" s="4"/>
    </row>
    <row r="2083">
      <c r="A2083" s="1" t="s">
        <v>20075</v>
      </c>
      <c r="B2083" s="1" t="s">
        <v>20076</v>
      </c>
      <c r="C2083" s="1" t="s">
        <v>20077</v>
      </c>
      <c r="D2083" s="1" t="s">
        <v>19948</v>
      </c>
      <c r="E2083" s="1" t="s">
        <v>19949</v>
      </c>
      <c r="F2083" s="1">
        <v>8621.0</v>
      </c>
      <c r="G2083" s="1">
        <v>350.0</v>
      </c>
      <c r="H2083" s="1">
        <v>20.0</v>
      </c>
      <c r="I2083" s="1">
        <v>622000.0</v>
      </c>
      <c r="J2083" s="1" t="s">
        <v>2468</v>
      </c>
      <c r="K2083" s="5">
        <f t="shared" si="2"/>
        <v>0.01386012862</v>
      </c>
      <c r="L2083" s="6">
        <f t="shared" si="3"/>
        <v>1000</v>
      </c>
      <c r="M2083" s="6">
        <f t="shared" si="4"/>
        <v>8.621</v>
      </c>
      <c r="N2083" s="7">
        <f t="shared" si="5"/>
        <v>0.00001386012862</v>
      </c>
      <c r="O2083" s="7"/>
      <c r="P2083" s="4">
        <f t="shared" si="6"/>
        <v>-0.439763374</v>
      </c>
      <c r="Q2083" s="4">
        <f t="shared" si="7"/>
        <v>7</v>
      </c>
      <c r="R2083" s="4">
        <f t="shared" si="8"/>
        <v>1</v>
      </c>
      <c r="S2083" s="4">
        <f t="shared" si="9"/>
        <v>-0.439763374</v>
      </c>
      <c r="T2083" s="4">
        <f t="shared" si="10"/>
        <v>38</v>
      </c>
      <c r="U2083" s="4">
        <f t="shared" si="1"/>
        <v>-0.439763374</v>
      </c>
      <c r="V2083" s="4"/>
    </row>
    <row r="2084">
      <c r="A2084" s="1" t="s">
        <v>20078</v>
      </c>
      <c r="B2084" s="1" t="s">
        <v>20079</v>
      </c>
      <c r="C2084" s="1" t="s">
        <v>20080</v>
      </c>
      <c r="D2084" s="1" t="s">
        <v>19948</v>
      </c>
      <c r="E2084" s="1" t="s">
        <v>19949</v>
      </c>
      <c r="F2084" s="1">
        <v>31859.0</v>
      </c>
      <c r="G2084" s="1">
        <v>2394.0</v>
      </c>
      <c r="H2084" s="1">
        <v>125.0</v>
      </c>
      <c r="I2084" s="1">
        <v>622000.0</v>
      </c>
      <c r="J2084" s="1" t="s">
        <v>2468</v>
      </c>
      <c r="K2084" s="5">
        <f t="shared" si="2"/>
        <v>0.05122025723</v>
      </c>
      <c r="L2084" s="6">
        <f t="shared" si="3"/>
        <v>1002</v>
      </c>
      <c r="M2084" s="6">
        <f t="shared" si="4"/>
        <v>31.79540918</v>
      </c>
      <c r="N2084" s="7">
        <f t="shared" si="5"/>
        <v>0.00005111802119</v>
      </c>
      <c r="O2084" s="7"/>
      <c r="P2084" s="4">
        <f t="shared" si="6"/>
        <v>-0.4135202771</v>
      </c>
      <c r="Q2084" s="4">
        <f t="shared" si="7"/>
        <v>9</v>
      </c>
      <c r="R2084" s="4">
        <f t="shared" si="8"/>
        <v>2</v>
      </c>
      <c r="S2084" s="4">
        <f t="shared" si="9"/>
        <v>-0.4135202771</v>
      </c>
      <c r="T2084" s="4">
        <f t="shared" si="10"/>
        <v>39</v>
      </c>
      <c r="U2084" s="4">
        <f t="shared" si="1"/>
        <v>-0.4135202771</v>
      </c>
      <c r="V2084" s="4"/>
    </row>
    <row r="2085">
      <c r="A2085" s="1" t="s">
        <v>20081</v>
      </c>
      <c r="B2085" s="1" t="s">
        <v>20082</v>
      </c>
      <c r="C2085" s="1" t="s">
        <v>20083</v>
      </c>
      <c r="D2085" s="1" t="s">
        <v>19948</v>
      </c>
      <c r="E2085" s="1" t="s">
        <v>19949</v>
      </c>
      <c r="F2085" s="1">
        <v>8395.0</v>
      </c>
      <c r="G2085" s="1">
        <v>364.0</v>
      </c>
      <c r="H2085" s="1">
        <v>47.0</v>
      </c>
      <c r="I2085" s="1">
        <v>622000.0</v>
      </c>
      <c r="J2085" s="1" t="s">
        <v>2468</v>
      </c>
      <c r="K2085" s="5">
        <f t="shared" si="2"/>
        <v>0.01349678457</v>
      </c>
      <c r="L2085" s="6">
        <f t="shared" si="3"/>
        <v>1014</v>
      </c>
      <c r="M2085" s="6">
        <f t="shared" si="4"/>
        <v>8.279092702</v>
      </c>
      <c r="N2085" s="7">
        <f t="shared" si="5"/>
        <v>0.00001331043843</v>
      </c>
      <c r="O2085" s="7"/>
      <c r="P2085" s="4">
        <f t="shared" si="6"/>
        <v>-0.4401505557</v>
      </c>
      <c r="Q2085" s="4">
        <f t="shared" si="7"/>
        <v>17</v>
      </c>
      <c r="R2085" s="4">
        <f t="shared" si="8"/>
        <v>0</v>
      </c>
      <c r="S2085" s="4">
        <f t="shared" si="9"/>
        <v>-0.4401505557</v>
      </c>
      <c r="T2085" s="4">
        <f t="shared" si="10"/>
        <v>69</v>
      </c>
      <c r="U2085" s="4">
        <f t="shared" si="1"/>
        <v>-0.4401505557</v>
      </c>
      <c r="V2085" s="4"/>
    </row>
    <row r="2086">
      <c r="A2086" s="1" t="s">
        <v>20084</v>
      </c>
      <c r="B2086" s="1" t="s">
        <v>20085</v>
      </c>
      <c r="C2086" s="1" t="s">
        <v>20086</v>
      </c>
      <c r="D2086" s="1" t="s">
        <v>19948</v>
      </c>
      <c r="E2086" s="1" t="s">
        <v>19949</v>
      </c>
      <c r="F2086" s="1">
        <v>6401.0</v>
      </c>
      <c r="G2086" s="1">
        <v>322.0</v>
      </c>
      <c r="H2086" s="1">
        <v>26.0</v>
      </c>
      <c r="I2086" s="1">
        <v>622000.0</v>
      </c>
      <c r="J2086" s="1" t="s">
        <v>2468</v>
      </c>
      <c r="K2086" s="5">
        <f t="shared" si="2"/>
        <v>0.01029099678</v>
      </c>
      <c r="L2086" s="6">
        <f t="shared" si="3"/>
        <v>1017</v>
      </c>
      <c r="M2086" s="6">
        <f t="shared" si="4"/>
        <v>6.294001967</v>
      </c>
      <c r="N2086" s="7">
        <f t="shared" si="5"/>
        <v>0.00001011897422</v>
      </c>
      <c r="O2086" s="7"/>
      <c r="P2086" s="4">
        <f t="shared" si="6"/>
        <v>-0.4423985064</v>
      </c>
      <c r="Q2086" s="4">
        <f t="shared" si="7"/>
        <v>10</v>
      </c>
      <c r="R2086" s="4">
        <f t="shared" si="8"/>
        <v>0</v>
      </c>
      <c r="S2086" s="4">
        <f t="shared" si="9"/>
        <v>-0.4423985064</v>
      </c>
      <c r="T2086" s="4">
        <f t="shared" si="10"/>
        <v>52</v>
      </c>
      <c r="U2086" s="4">
        <f t="shared" si="1"/>
        <v>-0.4423985064</v>
      </c>
      <c r="V2086" s="4"/>
    </row>
    <row r="2087">
      <c r="A2087" s="1" t="s">
        <v>20087</v>
      </c>
      <c r="B2087" s="1" t="s">
        <v>20088</v>
      </c>
      <c r="C2087" s="1" t="s">
        <v>20089</v>
      </c>
      <c r="D2087" s="1" t="s">
        <v>19948</v>
      </c>
      <c r="E2087" s="1" t="s">
        <v>19949</v>
      </c>
      <c r="F2087" s="1">
        <v>13935.0</v>
      </c>
      <c r="G2087" s="1">
        <v>731.0</v>
      </c>
      <c r="H2087" s="1">
        <v>11.0</v>
      </c>
      <c r="I2087" s="1">
        <v>622000.0</v>
      </c>
      <c r="J2087" s="1" t="s">
        <v>2468</v>
      </c>
      <c r="K2087" s="5">
        <f t="shared" si="2"/>
        <v>0.02240353698</v>
      </c>
      <c r="L2087" s="6">
        <f t="shared" si="3"/>
        <v>1042</v>
      </c>
      <c r="M2087" s="6">
        <f t="shared" si="4"/>
        <v>13.37332054</v>
      </c>
      <c r="N2087" s="7">
        <f t="shared" si="5"/>
        <v>0.00002150051533</v>
      </c>
      <c r="O2087" s="7"/>
      <c r="P2087" s="4">
        <f t="shared" si="6"/>
        <v>-0.4343817651</v>
      </c>
      <c r="Q2087" s="4">
        <f t="shared" si="7"/>
        <v>10</v>
      </c>
      <c r="R2087" s="4">
        <f t="shared" si="8"/>
        <v>0</v>
      </c>
      <c r="S2087" s="4">
        <f t="shared" si="9"/>
        <v>-0.4343817651</v>
      </c>
      <c r="T2087" s="4">
        <f t="shared" si="10"/>
        <v>60</v>
      </c>
      <c r="U2087" s="4">
        <f t="shared" si="1"/>
        <v>-0.4343817651</v>
      </c>
      <c r="V2087" s="4"/>
    </row>
    <row r="2088">
      <c r="A2088" s="1" t="s">
        <v>20090</v>
      </c>
      <c r="B2088" s="1" t="s">
        <v>20091</v>
      </c>
      <c r="C2088" s="1" t="s">
        <v>20092</v>
      </c>
      <c r="D2088" s="1" t="s">
        <v>19948</v>
      </c>
      <c r="E2088" s="1" t="s">
        <v>19949</v>
      </c>
      <c r="F2088" s="1">
        <v>8829.0</v>
      </c>
      <c r="G2088" s="1">
        <v>446.0</v>
      </c>
      <c r="H2088" s="1">
        <v>26.0</v>
      </c>
      <c r="I2088" s="1">
        <v>622000.0</v>
      </c>
      <c r="J2088" s="1" t="s">
        <v>2468</v>
      </c>
      <c r="K2088" s="5">
        <f t="shared" si="2"/>
        <v>0.01419453376</v>
      </c>
      <c r="L2088" s="6">
        <f t="shared" si="3"/>
        <v>1045</v>
      </c>
      <c r="M2088" s="6">
        <f t="shared" si="4"/>
        <v>8.448803828</v>
      </c>
      <c r="N2088" s="7">
        <f t="shared" si="5"/>
        <v>0.0000135832859</v>
      </c>
      <c r="O2088" s="7"/>
      <c r="P2088" s="4">
        <f t="shared" si="6"/>
        <v>-0.4399583719</v>
      </c>
      <c r="Q2088" s="4">
        <f t="shared" si="7"/>
        <v>9</v>
      </c>
      <c r="R2088" s="4">
        <f t="shared" si="8"/>
        <v>0</v>
      </c>
      <c r="S2088" s="4">
        <f t="shared" si="9"/>
        <v>-0.4399583719</v>
      </c>
      <c r="T2088" s="4">
        <f t="shared" si="10"/>
        <v>52</v>
      </c>
      <c r="U2088" s="4">
        <f t="shared" si="1"/>
        <v>-0.4399583719</v>
      </c>
      <c r="V2088" s="4"/>
    </row>
    <row r="2089">
      <c r="A2089" s="1" t="s">
        <v>20093</v>
      </c>
      <c r="B2089" s="1" t="s">
        <v>20094</v>
      </c>
      <c r="C2089" s="1" t="s">
        <v>20095</v>
      </c>
      <c r="D2089" s="1" t="s">
        <v>19948</v>
      </c>
      <c r="E2089" s="1" t="s">
        <v>19949</v>
      </c>
      <c r="F2089" s="1">
        <v>32998.0</v>
      </c>
      <c r="G2089" s="1">
        <v>1260.0</v>
      </c>
      <c r="H2089" s="1">
        <v>169.0</v>
      </c>
      <c r="I2089" s="1">
        <v>622000.0</v>
      </c>
      <c r="J2089" s="1" t="s">
        <v>2468</v>
      </c>
      <c r="K2089" s="5">
        <f t="shared" si="2"/>
        <v>0.05305144695</v>
      </c>
      <c r="L2089" s="6">
        <f t="shared" si="3"/>
        <v>1049</v>
      </c>
      <c r="M2089" s="6">
        <f t="shared" si="4"/>
        <v>31.45662536</v>
      </c>
      <c r="N2089" s="7">
        <f t="shared" si="5"/>
        <v>0.00005057335266</v>
      </c>
      <c r="O2089" s="7"/>
      <c r="P2089" s="4">
        <f t="shared" si="6"/>
        <v>-0.4139039217</v>
      </c>
      <c r="Q2089" s="4">
        <f t="shared" si="7"/>
        <v>10</v>
      </c>
      <c r="R2089" s="4">
        <f t="shared" si="8"/>
        <v>2</v>
      </c>
      <c r="S2089" s="4">
        <f t="shared" si="9"/>
        <v>-0.4139039217</v>
      </c>
      <c r="T2089" s="4">
        <f t="shared" si="10"/>
        <v>46</v>
      </c>
      <c r="U2089" s="4">
        <f t="shared" si="1"/>
        <v>-0.4139039217</v>
      </c>
      <c r="V2089" s="4"/>
    </row>
    <row r="2090">
      <c r="A2090" s="1" t="s">
        <v>20096</v>
      </c>
      <c r="B2090" s="1" t="s">
        <v>20097</v>
      </c>
      <c r="C2090" s="1" t="s">
        <v>20098</v>
      </c>
      <c r="D2090" s="1" t="s">
        <v>19948</v>
      </c>
      <c r="E2090" s="1" t="s">
        <v>19949</v>
      </c>
      <c r="F2090" s="1">
        <v>7143.0</v>
      </c>
      <c r="G2090" s="1">
        <v>469.0</v>
      </c>
      <c r="H2090" s="1">
        <v>16.0</v>
      </c>
      <c r="I2090" s="1">
        <v>622000.0</v>
      </c>
      <c r="J2090" s="1" t="s">
        <v>2468</v>
      </c>
      <c r="K2090" s="5">
        <f t="shared" si="2"/>
        <v>0.01148392283</v>
      </c>
      <c r="L2090" s="6">
        <f t="shared" si="3"/>
        <v>1063</v>
      </c>
      <c r="M2090" s="6">
        <f t="shared" si="4"/>
        <v>6.719661336</v>
      </c>
      <c r="N2090" s="7">
        <f t="shared" si="5"/>
        <v>0.00001080331404</v>
      </c>
      <c r="O2090" s="7"/>
      <c r="P2090" s="4">
        <f t="shared" si="6"/>
        <v>-0.4419164824</v>
      </c>
      <c r="Q2090" s="4">
        <f t="shared" si="7"/>
        <v>9</v>
      </c>
      <c r="R2090" s="4">
        <f t="shared" si="8"/>
        <v>0</v>
      </c>
      <c r="S2090" s="4">
        <f t="shared" si="9"/>
        <v>-0.4419164824</v>
      </c>
      <c r="T2090" s="4">
        <f t="shared" si="10"/>
        <v>53</v>
      </c>
      <c r="U2090" s="4">
        <f t="shared" si="1"/>
        <v>-0.4419164824</v>
      </c>
      <c r="V2090" s="4"/>
    </row>
    <row r="2091">
      <c r="A2091" s="1" t="s">
        <v>20099</v>
      </c>
      <c r="B2091" s="1" t="s">
        <v>20100</v>
      </c>
      <c r="C2091" s="1" t="s">
        <v>20101</v>
      </c>
      <c r="D2091" s="1" t="s">
        <v>19948</v>
      </c>
      <c r="E2091" s="1" t="s">
        <v>19949</v>
      </c>
      <c r="F2091" s="1">
        <v>23693.0</v>
      </c>
      <c r="G2091" s="1">
        <v>909.0</v>
      </c>
      <c r="H2091" s="1">
        <v>95.0</v>
      </c>
      <c r="I2091" s="1">
        <v>622000.0</v>
      </c>
      <c r="J2091" s="1" t="s">
        <v>2468</v>
      </c>
      <c r="K2091" s="5">
        <f t="shared" si="2"/>
        <v>0.03809163987</v>
      </c>
      <c r="L2091" s="6">
        <f t="shared" si="3"/>
        <v>1086</v>
      </c>
      <c r="M2091" s="6">
        <f t="shared" si="4"/>
        <v>21.81675875</v>
      </c>
      <c r="N2091" s="7">
        <f t="shared" si="5"/>
        <v>0.00003507517484</v>
      </c>
      <c r="O2091" s="7"/>
      <c r="P2091" s="4">
        <f t="shared" si="6"/>
        <v>-0.4248202714</v>
      </c>
      <c r="Q2091" s="4">
        <f t="shared" si="7"/>
        <v>11</v>
      </c>
      <c r="R2091" s="4">
        <f t="shared" si="8"/>
        <v>1</v>
      </c>
      <c r="S2091" s="4">
        <f t="shared" si="9"/>
        <v>-0.4248202714</v>
      </c>
      <c r="T2091" s="4">
        <f t="shared" si="10"/>
        <v>58</v>
      </c>
      <c r="U2091" s="4">
        <f t="shared" si="1"/>
        <v>-0.4248202714</v>
      </c>
      <c r="V2091" s="4"/>
    </row>
    <row r="2092">
      <c r="A2092" s="1" t="s">
        <v>20102</v>
      </c>
      <c r="B2092" s="1" t="s">
        <v>20103</v>
      </c>
      <c r="C2092" s="1" t="s">
        <v>20104</v>
      </c>
      <c r="D2092" s="1" t="s">
        <v>19948</v>
      </c>
      <c r="E2092" s="1" t="s">
        <v>19949</v>
      </c>
      <c r="F2092" s="1">
        <v>75509.0</v>
      </c>
      <c r="G2092" s="1">
        <v>3710.0</v>
      </c>
      <c r="H2092" s="1">
        <v>242.0</v>
      </c>
      <c r="I2092" s="1">
        <v>622000.0</v>
      </c>
      <c r="J2092" s="1" t="s">
        <v>2468</v>
      </c>
      <c r="K2092" s="5">
        <f t="shared" si="2"/>
        <v>0.1213971061</v>
      </c>
      <c r="L2092" s="6">
        <f t="shared" si="3"/>
        <v>1127</v>
      </c>
      <c r="M2092" s="6">
        <f t="shared" si="4"/>
        <v>67</v>
      </c>
      <c r="N2092" s="7">
        <f t="shared" si="5"/>
        <v>0.0001077170418</v>
      </c>
      <c r="O2092" s="7"/>
      <c r="P2092" s="4">
        <f t="shared" si="6"/>
        <v>-0.373653997</v>
      </c>
      <c r="Q2092" s="4">
        <f t="shared" si="7"/>
        <v>11</v>
      </c>
      <c r="R2092" s="4">
        <f t="shared" si="8"/>
        <v>0</v>
      </c>
      <c r="S2092" s="4">
        <f t="shared" si="9"/>
        <v>-0.373653997</v>
      </c>
      <c r="T2092" s="4">
        <f t="shared" si="10"/>
        <v>46</v>
      </c>
      <c r="U2092" s="4">
        <f t="shared" si="1"/>
        <v>-0.373653997</v>
      </c>
      <c r="V2092" s="4"/>
    </row>
    <row r="2093">
      <c r="A2093" s="1" t="s">
        <v>20105</v>
      </c>
      <c r="B2093" s="1" t="s">
        <v>20106</v>
      </c>
      <c r="C2093" s="1" t="s">
        <v>20107</v>
      </c>
      <c r="D2093" s="1" t="s">
        <v>19948</v>
      </c>
      <c r="E2093" s="1" t="s">
        <v>19949</v>
      </c>
      <c r="F2093" s="1">
        <v>28010.0</v>
      </c>
      <c r="G2093" s="1">
        <v>1012.0</v>
      </c>
      <c r="H2093" s="1">
        <v>108.0</v>
      </c>
      <c r="I2093" s="1">
        <v>622000.0</v>
      </c>
      <c r="J2093" s="1" t="s">
        <v>2468</v>
      </c>
      <c r="K2093" s="5">
        <f t="shared" si="2"/>
        <v>0.04503215434</v>
      </c>
      <c r="L2093" s="6">
        <f t="shared" si="3"/>
        <v>1169</v>
      </c>
      <c r="M2093" s="6">
        <f t="shared" si="4"/>
        <v>23.96065013</v>
      </c>
      <c r="N2093" s="7">
        <f t="shared" si="5"/>
        <v>0.00003852194554</v>
      </c>
      <c r="O2093" s="7"/>
      <c r="P2093" s="4">
        <f t="shared" si="6"/>
        <v>-0.4223924921</v>
      </c>
      <c r="Q2093" s="4">
        <f t="shared" si="7"/>
        <v>7</v>
      </c>
      <c r="R2093" s="4">
        <f t="shared" si="8"/>
        <v>0</v>
      </c>
      <c r="S2093" s="4">
        <f t="shared" si="9"/>
        <v>-0.4223924921</v>
      </c>
      <c r="T2093" s="4">
        <f t="shared" si="10"/>
        <v>31</v>
      </c>
      <c r="U2093" s="4">
        <f t="shared" si="1"/>
        <v>-0.4223924921</v>
      </c>
      <c r="V2093" s="4"/>
    </row>
    <row r="2094">
      <c r="A2094" s="1" t="s">
        <v>20108</v>
      </c>
      <c r="B2094" s="1" t="s">
        <v>20109</v>
      </c>
      <c r="C2094" s="1" t="s">
        <v>20110</v>
      </c>
      <c r="D2094" s="1" t="s">
        <v>19948</v>
      </c>
      <c r="E2094" s="1" t="s">
        <v>19949</v>
      </c>
      <c r="F2094" s="1">
        <v>8489.0</v>
      </c>
      <c r="G2094" s="1">
        <v>410.0</v>
      </c>
      <c r="H2094" s="1">
        <v>24.0</v>
      </c>
      <c r="I2094" s="1">
        <v>622000.0</v>
      </c>
      <c r="J2094" s="1" t="s">
        <v>2468</v>
      </c>
      <c r="K2094" s="5">
        <f t="shared" si="2"/>
        <v>0.01364790997</v>
      </c>
      <c r="L2094" s="6">
        <f t="shared" si="3"/>
        <v>1172</v>
      </c>
      <c r="M2094" s="6">
        <f t="shared" si="4"/>
        <v>7.243174061</v>
      </c>
      <c r="N2094" s="7">
        <f t="shared" si="5"/>
        <v>0.00001164497438</v>
      </c>
      <c r="O2094" s="7"/>
      <c r="P2094" s="4">
        <f t="shared" si="6"/>
        <v>-0.4413236477</v>
      </c>
      <c r="Q2094" s="4">
        <f t="shared" si="7"/>
        <v>9</v>
      </c>
      <c r="R2094" s="4">
        <f t="shared" si="8"/>
        <v>1</v>
      </c>
      <c r="S2094" s="4">
        <f t="shared" si="9"/>
        <v>-0.4413236477</v>
      </c>
      <c r="T2094" s="4">
        <f t="shared" si="10"/>
        <v>63</v>
      </c>
      <c r="U2094" s="4">
        <f t="shared" si="1"/>
        <v>-0.4413236477</v>
      </c>
      <c r="V2094" s="4"/>
    </row>
    <row r="2095">
      <c r="A2095" s="1" t="s">
        <v>20111</v>
      </c>
      <c r="B2095" s="1" t="s">
        <v>20112</v>
      </c>
      <c r="C2095" s="1" t="s">
        <v>20113</v>
      </c>
      <c r="D2095" s="1" t="s">
        <v>19948</v>
      </c>
      <c r="E2095" s="1" t="s">
        <v>19949</v>
      </c>
      <c r="F2095" s="1">
        <v>9332.0</v>
      </c>
      <c r="G2095" s="1">
        <v>623.0</v>
      </c>
      <c r="H2095" s="1">
        <v>18.0</v>
      </c>
      <c r="I2095" s="1">
        <v>622000.0</v>
      </c>
      <c r="J2095" s="1" t="s">
        <v>2468</v>
      </c>
      <c r="K2095" s="5">
        <f t="shared" si="2"/>
        <v>0.01500321543</v>
      </c>
      <c r="L2095" s="6">
        <f t="shared" si="3"/>
        <v>1184</v>
      </c>
      <c r="M2095" s="6">
        <f t="shared" si="4"/>
        <v>7.881756757</v>
      </c>
      <c r="N2095" s="7">
        <f t="shared" si="5"/>
        <v>0.00001267163466</v>
      </c>
      <c r="O2095" s="7"/>
      <c r="P2095" s="4">
        <f t="shared" si="6"/>
        <v>-0.4406005057</v>
      </c>
      <c r="Q2095" s="4">
        <f t="shared" si="7"/>
        <v>9</v>
      </c>
      <c r="R2095" s="4">
        <f t="shared" si="8"/>
        <v>0</v>
      </c>
      <c r="S2095" s="4">
        <f t="shared" si="9"/>
        <v>-0.4406005057</v>
      </c>
      <c r="T2095" s="4">
        <f t="shared" si="10"/>
        <v>42</v>
      </c>
      <c r="U2095" s="4">
        <f t="shared" si="1"/>
        <v>-0.4406005057</v>
      </c>
      <c r="V2095" s="4"/>
    </row>
    <row r="2096">
      <c r="A2096" s="1" t="s">
        <v>20114</v>
      </c>
      <c r="B2096" s="1" t="s">
        <v>20115</v>
      </c>
      <c r="C2096" s="1" t="s">
        <v>20116</v>
      </c>
      <c r="D2096" s="1" t="s">
        <v>19948</v>
      </c>
      <c r="E2096" s="1" t="s">
        <v>19949</v>
      </c>
      <c r="F2096" s="1">
        <v>135091.0</v>
      </c>
      <c r="G2096" s="1">
        <v>4339.0</v>
      </c>
      <c r="H2096" s="1">
        <v>331.0</v>
      </c>
      <c r="I2096" s="1">
        <v>622000.0</v>
      </c>
      <c r="J2096" s="1" t="s">
        <v>2468</v>
      </c>
      <c r="K2096" s="5">
        <f t="shared" si="2"/>
        <v>0.2171881029</v>
      </c>
      <c r="L2096" s="6">
        <f t="shared" si="3"/>
        <v>1253</v>
      </c>
      <c r="M2096" s="6">
        <f t="shared" si="4"/>
        <v>107.8140463</v>
      </c>
      <c r="N2096" s="7">
        <f t="shared" si="5"/>
        <v>0.0001733344796</v>
      </c>
      <c r="O2096" s="7"/>
      <c r="P2096" s="4">
        <f t="shared" si="6"/>
        <v>-0.3274354737</v>
      </c>
      <c r="Q2096" s="4">
        <f t="shared" si="7"/>
        <v>11</v>
      </c>
      <c r="R2096" s="4">
        <f t="shared" si="8"/>
        <v>0</v>
      </c>
      <c r="S2096" s="4">
        <f t="shared" si="9"/>
        <v>-0.3274354737</v>
      </c>
      <c r="T2096" s="4">
        <f t="shared" si="10"/>
        <v>40</v>
      </c>
      <c r="U2096" s="4">
        <f t="shared" si="1"/>
        <v>-0.3274354737</v>
      </c>
      <c r="V2096" s="4"/>
    </row>
    <row r="2097">
      <c r="A2097" s="1" t="s">
        <v>20117</v>
      </c>
      <c r="B2097" s="1" t="s">
        <v>20118</v>
      </c>
      <c r="C2097" s="1" t="s">
        <v>20119</v>
      </c>
      <c r="D2097" s="1" t="s">
        <v>19948</v>
      </c>
      <c r="E2097" s="1" t="s">
        <v>19949</v>
      </c>
      <c r="F2097" s="1">
        <v>15554.0</v>
      </c>
      <c r="G2097" s="1">
        <v>566.0</v>
      </c>
      <c r="H2097" s="1">
        <v>60.0</v>
      </c>
      <c r="I2097" s="1">
        <v>622000.0</v>
      </c>
      <c r="J2097" s="1" t="s">
        <v>2468</v>
      </c>
      <c r="K2097" s="5">
        <f t="shared" si="2"/>
        <v>0.02500643087</v>
      </c>
      <c r="L2097" s="6">
        <f t="shared" si="3"/>
        <v>1267</v>
      </c>
      <c r="M2097" s="6">
        <f t="shared" si="4"/>
        <v>12.27624309</v>
      </c>
      <c r="N2097" s="7">
        <f t="shared" si="5"/>
        <v>0.00001973672523</v>
      </c>
      <c r="O2097" s="7"/>
      <c r="P2097" s="4">
        <f t="shared" si="6"/>
        <v>-0.4356241143</v>
      </c>
      <c r="Q2097" s="4">
        <f t="shared" si="7"/>
        <v>14</v>
      </c>
      <c r="R2097" s="4">
        <f t="shared" si="8"/>
        <v>0</v>
      </c>
      <c r="S2097" s="4">
        <f t="shared" si="9"/>
        <v>-0.4356241143</v>
      </c>
      <c r="T2097" s="4">
        <f t="shared" si="10"/>
        <v>56</v>
      </c>
      <c r="U2097" s="4">
        <f t="shared" si="1"/>
        <v>-0.4356241143</v>
      </c>
      <c r="V2097" s="4"/>
    </row>
    <row r="2098">
      <c r="A2098" s="1" t="s">
        <v>20120</v>
      </c>
      <c r="B2098" s="1" t="s">
        <v>20121</v>
      </c>
      <c r="C2098" s="1" t="s">
        <v>20122</v>
      </c>
      <c r="D2098" s="1" t="s">
        <v>19948</v>
      </c>
      <c r="E2098" s="1" t="s">
        <v>19949</v>
      </c>
      <c r="F2098" s="1">
        <v>16648.0</v>
      </c>
      <c r="G2098" s="1">
        <v>730.0</v>
      </c>
      <c r="H2098" s="1">
        <v>173.0</v>
      </c>
      <c r="I2098" s="1">
        <v>622000.0</v>
      </c>
      <c r="J2098" s="1" t="s">
        <v>2468</v>
      </c>
      <c r="K2098" s="5">
        <f t="shared" si="2"/>
        <v>0.02676527331</v>
      </c>
      <c r="L2098" s="6">
        <f t="shared" si="3"/>
        <v>1272</v>
      </c>
      <c r="M2098" s="6">
        <f t="shared" si="4"/>
        <v>13.08805031</v>
      </c>
      <c r="N2098" s="7">
        <f t="shared" si="5"/>
        <v>0.00002104188153</v>
      </c>
      <c r="O2098" s="7"/>
      <c r="P2098" s="4">
        <f t="shared" si="6"/>
        <v>-0.4347048099</v>
      </c>
      <c r="Q2098" s="4">
        <f t="shared" si="7"/>
        <v>6</v>
      </c>
      <c r="R2098" s="4">
        <f t="shared" si="8"/>
        <v>1</v>
      </c>
      <c r="S2098" s="4">
        <f t="shared" si="9"/>
        <v>-0.4347048099</v>
      </c>
      <c r="T2098" s="4">
        <f t="shared" si="10"/>
        <v>31</v>
      </c>
      <c r="U2098" s="4">
        <f t="shared" si="1"/>
        <v>-0.4347048099</v>
      </c>
      <c r="V2098" s="4"/>
    </row>
    <row r="2099">
      <c r="A2099" s="1" t="s">
        <v>20123</v>
      </c>
      <c r="B2099" s="1" t="s">
        <v>20124</v>
      </c>
      <c r="C2099" s="1" t="s">
        <v>20125</v>
      </c>
      <c r="D2099" s="1" t="s">
        <v>19948</v>
      </c>
      <c r="E2099" s="1" t="s">
        <v>19949</v>
      </c>
      <c r="F2099" s="1">
        <v>23926.0</v>
      </c>
      <c r="G2099" s="1">
        <v>843.0</v>
      </c>
      <c r="H2099" s="1">
        <v>157.0</v>
      </c>
      <c r="I2099" s="1">
        <v>622000.0</v>
      </c>
      <c r="J2099" s="1" t="s">
        <v>2468</v>
      </c>
      <c r="K2099" s="5">
        <f t="shared" si="2"/>
        <v>0.03846623794</v>
      </c>
      <c r="L2099" s="6">
        <f t="shared" si="3"/>
        <v>1371</v>
      </c>
      <c r="M2099" s="6">
        <f t="shared" si="4"/>
        <v>17.45149526</v>
      </c>
      <c r="N2099" s="7">
        <f t="shared" si="5"/>
        <v>0.00002805706633</v>
      </c>
      <c r="O2099" s="7"/>
      <c r="P2099" s="4">
        <f t="shared" si="6"/>
        <v>-0.4297635703</v>
      </c>
      <c r="Q2099" s="4">
        <f t="shared" si="7"/>
        <v>16</v>
      </c>
      <c r="R2099" s="4">
        <f t="shared" si="8"/>
        <v>0</v>
      </c>
      <c r="S2099" s="4">
        <f t="shared" si="9"/>
        <v>-0.4297635703</v>
      </c>
      <c r="T2099" s="4">
        <f t="shared" si="10"/>
        <v>62</v>
      </c>
      <c r="U2099" s="4">
        <f t="shared" si="1"/>
        <v>-0.4297635703</v>
      </c>
      <c r="V2099" s="4"/>
    </row>
    <row r="2100">
      <c r="A2100" s="1" t="s">
        <v>20126</v>
      </c>
      <c r="B2100" s="1" t="s">
        <v>20127</v>
      </c>
      <c r="C2100" s="1" t="s">
        <v>20128</v>
      </c>
      <c r="D2100" s="1" t="s">
        <v>19948</v>
      </c>
      <c r="E2100" s="1" t="s">
        <v>19949</v>
      </c>
      <c r="F2100" s="1">
        <v>16158.0</v>
      </c>
      <c r="G2100" s="1">
        <v>1148.0</v>
      </c>
      <c r="H2100" s="1">
        <v>61.0</v>
      </c>
      <c r="I2100" s="1">
        <v>622000.0</v>
      </c>
      <c r="J2100" s="1" t="s">
        <v>2468</v>
      </c>
      <c r="K2100" s="5">
        <f t="shared" si="2"/>
        <v>0.02597749196</v>
      </c>
      <c r="L2100" s="6">
        <f t="shared" si="3"/>
        <v>1381</v>
      </c>
      <c r="M2100" s="6">
        <f t="shared" si="4"/>
        <v>11.70021723</v>
      </c>
      <c r="N2100" s="7">
        <f t="shared" si="5"/>
        <v>0.00001881063864</v>
      </c>
      <c r="O2100" s="7"/>
      <c r="P2100" s="4">
        <f t="shared" si="6"/>
        <v>-0.4362764158</v>
      </c>
      <c r="Q2100" s="4">
        <f t="shared" si="7"/>
        <v>7</v>
      </c>
      <c r="R2100" s="4">
        <f t="shared" si="8"/>
        <v>0</v>
      </c>
      <c r="S2100" s="4">
        <f t="shared" si="9"/>
        <v>-0.4362764158</v>
      </c>
      <c r="T2100" s="4">
        <f t="shared" si="10"/>
        <v>49</v>
      </c>
      <c r="U2100" s="4">
        <f t="shared" si="1"/>
        <v>-0.4362764158</v>
      </c>
      <c r="V2100" s="4"/>
    </row>
    <row r="2101">
      <c r="A2101" s="1" t="s">
        <v>20129</v>
      </c>
      <c r="B2101" s="1" t="s">
        <v>20130</v>
      </c>
      <c r="C2101" s="1" t="s">
        <v>20131</v>
      </c>
      <c r="D2101" s="1" t="s">
        <v>19948</v>
      </c>
      <c r="E2101" s="1" t="s">
        <v>19949</v>
      </c>
      <c r="F2101" s="1">
        <v>41943.0</v>
      </c>
      <c r="G2101" s="1">
        <v>2763.0</v>
      </c>
      <c r="H2101" s="1">
        <v>714.0</v>
      </c>
      <c r="I2101" s="1">
        <v>622000.0</v>
      </c>
      <c r="J2101" s="1" t="s">
        <v>2468</v>
      </c>
      <c r="K2101" s="5">
        <f t="shared" si="2"/>
        <v>0.06743247588</v>
      </c>
      <c r="L2101" s="6">
        <f t="shared" si="3"/>
        <v>1400</v>
      </c>
      <c r="M2101" s="6">
        <f t="shared" si="4"/>
        <v>29.95928571</v>
      </c>
      <c r="N2101" s="7">
        <f t="shared" si="5"/>
        <v>0.0000481660542</v>
      </c>
      <c r="O2101" s="7"/>
      <c r="P2101" s="4">
        <f t="shared" si="6"/>
        <v>-0.4155995347</v>
      </c>
      <c r="Q2101" s="4">
        <f t="shared" si="7"/>
        <v>7</v>
      </c>
      <c r="R2101" s="4">
        <f t="shared" si="8"/>
        <v>0</v>
      </c>
      <c r="S2101" s="4">
        <f t="shared" si="9"/>
        <v>-0.4155995347</v>
      </c>
      <c r="T2101" s="4">
        <f t="shared" si="10"/>
        <v>33</v>
      </c>
      <c r="U2101" s="4">
        <f t="shared" si="1"/>
        <v>-0.4155995347</v>
      </c>
      <c r="V2101" s="4"/>
    </row>
    <row r="2102">
      <c r="A2102" s="1" t="s">
        <v>20132</v>
      </c>
      <c r="B2102" s="1" t="s">
        <v>20133</v>
      </c>
      <c r="C2102" s="1" t="s">
        <v>20134</v>
      </c>
      <c r="D2102" s="1" t="s">
        <v>19948</v>
      </c>
      <c r="E2102" s="1" t="s">
        <v>19949</v>
      </c>
      <c r="F2102" s="1">
        <v>14907.0</v>
      </c>
      <c r="G2102" s="1">
        <v>1005.0</v>
      </c>
      <c r="H2102" s="1">
        <v>30.0</v>
      </c>
      <c r="I2102" s="1">
        <v>622000.0</v>
      </c>
      <c r="J2102" s="1" t="s">
        <v>2468</v>
      </c>
      <c r="K2102" s="5">
        <f t="shared" si="2"/>
        <v>0.02396623794</v>
      </c>
      <c r="L2102" s="6">
        <f t="shared" si="3"/>
        <v>1412</v>
      </c>
      <c r="M2102" s="6">
        <f t="shared" si="4"/>
        <v>10.55736544</v>
      </c>
      <c r="N2102" s="7">
        <f t="shared" si="5"/>
        <v>0.00001697325633</v>
      </c>
      <c r="O2102" s="7"/>
      <c r="P2102" s="4">
        <f t="shared" si="6"/>
        <v>-0.4375706007</v>
      </c>
      <c r="Q2102" s="4">
        <f t="shared" si="7"/>
        <v>6</v>
      </c>
      <c r="R2102" s="4">
        <f t="shared" si="8"/>
        <v>0</v>
      </c>
      <c r="S2102" s="4">
        <f t="shared" si="9"/>
        <v>-0.4375706007</v>
      </c>
      <c r="T2102" s="4">
        <f t="shared" si="10"/>
        <v>41</v>
      </c>
      <c r="U2102" s="4">
        <f t="shared" si="1"/>
        <v>-0.4375706007</v>
      </c>
      <c r="V2102" s="4"/>
    </row>
    <row r="2103">
      <c r="A2103" s="1" t="s">
        <v>20135</v>
      </c>
      <c r="B2103" s="1" t="s">
        <v>20136</v>
      </c>
      <c r="C2103" s="1" t="s">
        <v>20137</v>
      </c>
      <c r="D2103" s="1" t="s">
        <v>19948</v>
      </c>
      <c r="E2103" s="1" t="s">
        <v>19949</v>
      </c>
      <c r="F2103" s="1">
        <v>36942.0</v>
      </c>
      <c r="G2103" s="1">
        <v>1300.0</v>
      </c>
      <c r="H2103" s="1">
        <v>90.0</v>
      </c>
      <c r="I2103" s="1">
        <v>622000.0</v>
      </c>
      <c r="J2103" s="1" t="s">
        <v>2468</v>
      </c>
      <c r="K2103" s="5">
        <f t="shared" si="2"/>
        <v>0.05939228296</v>
      </c>
      <c r="L2103" s="6">
        <f t="shared" si="3"/>
        <v>1448</v>
      </c>
      <c r="M2103" s="6">
        <f t="shared" si="4"/>
        <v>25.51243094</v>
      </c>
      <c r="N2103" s="7">
        <f t="shared" si="5"/>
        <v>0.00004101677</v>
      </c>
      <c r="O2103" s="7"/>
      <c r="P2103" s="4">
        <f t="shared" si="6"/>
        <v>-0.420635229</v>
      </c>
      <c r="Q2103" s="4">
        <f t="shared" si="7"/>
        <v>5</v>
      </c>
      <c r="R2103" s="4">
        <f t="shared" si="8"/>
        <v>0</v>
      </c>
      <c r="S2103" s="4">
        <f t="shared" si="9"/>
        <v>-0.420635229</v>
      </c>
      <c r="T2103" s="4">
        <f t="shared" si="10"/>
        <v>29</v>
      </c>
      <c r="U2103" s="4">
        <f t="shared" si="1"/>
        <v>-0.420635229</v>
      </c>
      <c r="V2103" s="4"/>
    </row>
    <row r="2104">
      <c r="A2104" s="1" t="s">
        <v>20138</v>
      </c>
      <c r="B2104" s="1" t="s">
        <v>20139</v>
      </c>
      <c r="C2104" s="1" t="s">
        <v>20140</v>
      </c>
      <c r="D2104" s="1" t="s">
        <v>19948</v>
      </c>
      <c r="E2104" s="1" t="s">
        <v>19949</v>
      </c>
      <c r="F2104" s="1">
        <v>17375.0</v>
      </c>
      <c r="G2104" s="1">
        <v>1375.0</v>
      </c>
      <c r="H2104" s="1">
        <v>43.0</v>
      </c>
      <c r="I2104" s="1">
        <v>622000.0</v>
      </c>
      <c r="J2104" s="1" t="s">
        <v>2468</v>
      </c>
      <c r="K2104" s="5">
        <f t="shared" si="2"/>
        <v>0.0279340836</v>
      </c>
      <c r="L2104" s="6">
        <f t="shared" si="3"/>
        <v>1462</v>
      </c>
      <c r="M2104" s="6">
        <f t="shared" si="4"/>
        <v>11.88440492</v>
      </c>
      <c r="N2104" s="7">
        <f t="shared" si="5"/>
        <v>0.00001910676033</v>
      </c>
      <c r="O2104" s="7"/>
      <c r="P2104" s="4">
        <f t="shared" si="6"/>
        <v>-0.4360678385</v>
      </c>
      <c r="Q2104" s="4">
        <f t="shared" si="7"/>
        <v>9</v>
      </c>
      <c r="R2104" s="4">
        <f t="shared" si="8"/>
        <v>0</v>
      </c>
      <c r="S2104" s="4">
        <f t="shared" si="9"/>
        <v>-0.4360678385</v>
      </c>
      <c r="T2104" s="4">
        <f t="shared" si="10"/>
        <v>38</v>
      </c>
      <c r="U2104" s="4">
        <f t="shared" si="1"/>
        <v>-0.4360678385</v>
      </c>
      <c r="V2104" s="4"/>
    </row>
    <row r="2105">
      <c r="A2105" s="1" t="s">
        <v>20141</v>
      </c>
      <c r="B2105" s="1" t="s">
        <v>20142</v>
      </c>
      <c r="C2105" s="1" t="s">
        <v>20143</v>
      </c>
      <c r="D2105" s="1" t="s">
        <v>19948</v>
      </c>
      <c r="E2105" s="1" t="s">
        <v>19949</v>
      </c>
      <c r="F2105" s="1">
        <v>133044.0</v>
      </c>
      <c r="G2105" s="1">
        <v>4698.0</v>
      </c>
      <c r="H2105" s="1">
        <v>318.0</v>
      </c>
      <c r="I2105" s="1">
        <v>622000.0</v>
      </c>
      <c r="J2105" s="1" t="s">
        <v>2468</v>
      </c>
      <c r="K2105" s="5">
        <f t="shared" si="2"/>
        <v>0.2138971061</v>
      </c>
      <c r="L2105" s="6">
        <f t="shared" si="3"/>
        <v>1526</v>
      </c>
      <c r="M2105" s="6">
        <f t="shared" si="4"/>
        <v>87.18479685</v>
      </c>
      <c r="N2105" s="7">
        <f t="shared" si="5"/>
        <v>0.0001401684837</v>
      </c>
      <c r="O2105" s="7"/>
      <c r="P2105" s="4">
        <f t="shared" si="6"/>
        <v>-0.3507963882</v>
      </c>
      <c r="Q2105" s="4">
        <f t="shared" si="7"/>
        <v>7</v>
      </c>
      <c r="R2105" s="4">
        <f t="shared" si="8"/>
        <v>0</v>
      </c>
      <c r="S2105" s="4">
        <f t="shared" si="9"/>
        <v>-0.3507963882</v>
      </c>
      <c r="T2105" s="4">
        <f t="shared" si="10"/>
        <v>40</v>
      </c>
      <c r="U2105" s="4">
        <f t="shared" si="1"/>
        <v>-0.3507963882</v>
      </c>
      <c r="V2105" s="4"/>
    </row>
    <row r="2106">
      <c r="A2106" s="1" t="s">
        <v>20144</v>
      </c>
      <c r="B2106" s="1" t="s">
        <v>20145</v>
      </c>
      <c r="C2106" s="1" t="s">
        <v>20146</v>
      </c>
      <c r="D2106" s="1" t="s">
        <v>19948</v>
      </c>
      <c r="E2106" s="1" t="s">
        <v>19949</v>
      </c>
      <c r="F2106" s="1">
        <v>14694.0</v>
      </c>
      <c r="G2106" s="1">
        <v>963.0</v>
      </c>
      <c r="H2106" s="1">
        <v>95.0</v>
      </c>
      <c r="I2106" s="1">
        <v>622000.0</v>
      </c>
      <c r="J2106" s="1" t="s">
        <v>2468</v>
      </c>
      <c r="K2106" s="5">
        <f t="shared" si="2"/>
        <v>0.02362379421</v>
      </c>
      <c r="L2106" s="6">
        <f t="shared" si="3"/>
        <v>1539</v>
      </c>
      <c r="M2106" s="6">
        <f t="shared" si="4"/>
        <v>9.547758285</v>
      </c>
      <c r="N2106" s="7">
        <f t="shared" si="5"/>
        <v>0.00001535009371</v>
      </c>
      <c r="O2106" s="7"/>
      <c r="P2106" s="4">
        <f t="shared" si="6"/>
        <v>-0.4387138971</v>
      </c>
      <c r="Q2106" s="4">
        <f t="shared" si="7"/>
        <v>9</v>
      </c>
      <c r="R2106" s="4">
        <f t="shared" si="8"/>
        <v>1</v>
      </c>
      <c r="S2106" s="4">
        <f t="shared" si="9"/>
        <v>-0.4387138971</v>
      </c>
      <c r="T2106" s="4">
        <f t="shared" si="10"/>
        <v>35</v>
      </c>
      <c r="U2106" s="4">
        <f t="shared" si="1"/>
        <v>-0.4387138971</v>
      </c>
      <c r="V2106" s="4"/>
    </row>
    <row r="2107">
      <c r="A2107" s="1" t="s">
        <v>20147</v>
      </c>
      <c r="B2107" s="1" t="s">
        <v>20148</v>
      </c>
      <c r="C2107" s="1" t="s">
        <v>20149</v>
      </c>
      <c r="D2107" s="1" t="s">
        <v>19948</v>
      </c>
      <c r="E2107" s="1" t="s">
        <v>19949</v>
      </c>
      <c r="F2107" s="1">
        <v>16124.0</v>
      </c>
      <c r="G2107" s="1">
        <v>1037.0</v>
      </c>
      <c r="H2107" s="1">
        <v>31.0</v>
      </c>
      <c r="I2107" s="1">
        <v>622000.0</v>
      </c>
      <c r="J2107" s="1" t="s">
        <v>2468</v>
      </c>
      <c r="K2107" s="5">
        <f t="shared" si="2"/>
        <v>0.02592282958</v>
      </c>
      <c r="L2107" s="6">
        <f t="shared" si="3"/>
        <v>1550</v>
      </c>
      <c r="M2107" s="6">
        <f t="shared" si="4"/>
        <v>10.40258065</v>
      </c>
      <c r="N2107" s="7">
        <f t="shared" si="5"/>
        <v>0.00001672440618</v>
      </c>
      <c r="O2107" s="7"/>
      <c r="P2107" s="4">
        <f t="shared" si="6"/>
        <v>-0.4377458817</v>
      </c>
      <c r="Q2107" s="4">
        <f t="shared" si="7"/>
        <v>6</v>
      </c>
      <c r="R2107" s="4">
        <f t="shared" si="8"/>
        <v>0</v>
      </c>
      <c r="S2107" s="4">
        <f t="shared" si="9"/>
        <v>-0.4377458817</v>
      </c>
      <c r="T2107" s="4">
        <f t="shared" si="10"/>
        <v>30</v>
      </c>
      <c r="U2107" s="4">
        <f t="shared" si="1"/>
        <v>-0.4377458817</v>
      </c>
      <c r="V2107" s="4"/>
    </row>
    <row r="2108">
      <c r="A2108" s="1" t="s">
        <v>20150</v>
      </c>
      <c r="B2108" s="1" t="s">
        <v>20151</v>
      </c>
      <c r="C2108" s="1" t="s">
        <v>20152</v>
      </c>
      <c r="D2108" s="1" t="s">
        <v>19948</v>
      </c>
      <c r="E2108" s="1" t="s">
        <v>19949</v>
      </c>
      <c r="F2108" s="1">
        <v>18207.0</v>
      </c>
      <c r="G2108" s="1">
        <v>1080.0</v>
      </c>
      <c r="H2108" s="1">
        <v>57.0</v>
      </c>
      <c r="I2108" s="1">
        <v>622000.0</v>
      </c>
      <c r="J2108" s="1" t="s">
        <v>2468</v>
      </c>
      <c r="K2108" s="5">
        <f t="shared" si="2"/>
        <v>0.02927170418</v>
      </c>
      <c r="L2108" s="6">
        <f t="shared" si="3"/>
        <v>1571</v>
      </c>
      <c r="M2108" s="6">
        <f t="shared" si="4"/>
        <v>11.58943348</v>
      </c>
      <c r="N2108" s="7">
        <f t="shared" si="5"/>
        <v>0.00001863252971</v>
      </c>
      <c r="O2108" s="7"/>
      <c r="P2108" s="4">
        <f t="shared" si="6"/>
        <v>-0.4364018692</v>
      </c>
      <c r="Q2108" s="4">
        <f t="shared" si="7"/>
        <v>7</v>
      </c>
      <c r="R2108" s="4">
        <f t="shared" si="8"/>
        <v>0</v>
      </c>
      <c r="S2108" s="4">
        <f t="shared" si="9"/>
        <v>-0.4364018692</v>
      </c>
      <c r="T2108" s="4">
        <f t="shared" si="10"/>
        <v>37</v>
      </c>
      <c r="U2108" s="4">
        <f t="shared" si="1"/>
        <v>-0.4364018692</v>
      </c>
      <c r="V2108" s="4"/>
    </row>
    <row r="2109">
      <c r="A2109" s="1" t="s">
        <v>20153</v>
      </c>
      <c r="B2109" s="1" t="s">
        <v>20154</v>
      </c>
      <c r="C2109" s="1" t="s">
        <v>20155</v>
      </c>
      <c r="D2109" s="1" t="s">
        <v>19948</v>
      </c>
      <c r="E2109" s="1" t="s">
        <v>19949</v>
      </c>
      <c r="F2109" s="1">
        <v>41579.0</v>
      </c>
      <c r="G2109" s="1">
        <v>1652.0</v>
      </c>
      <c r="H2109" s="1">
        <v>291.0</v>
      </c>
      <c r="I2109" s="1">
        <v>622000.0</v>
      </c>
      <c r="J2109" s="1" t="s">
        <v>2468</v>
      </c>
      <c r="K2109" s="5">
        <f t="shared" si="2"/>
        <v>0.06684726688</v>
      </c>
      <c r="L2109" s="6">
        <f t="shared" si="3"/>
        <v>1604</v>
      </c>
      <c r="M2109" s="6">
        <f t="shared" si="4"/>
        <v>25.92206983</v>
      </c>
      <c r="N2109" s="7">
        <f t="shared" si="5"/>
        <v>0.00004167535342</v>
      </c>
      <c r="O2109" s="7"/>
      <c r="P2109" s="4">
        <f t="shared" si="6"/>
        <v>-0.420171347</v>
      </c>
      <c r="Q2109" s="4">
        <f t="shared" si="7"/>
        <v>9</v>
      </c>
      <c r="R2109" s="4">
        <f t="shared" si="8"/>
        <v>1</v>
      </c>
      <c r="S2109" s="4">
        <f t="shared" si="9"/>
        <v>-0.420171347</v>
      </c>
      <c r="T2109" s="4">
        <f t="shared" si="10"/>
        <v>53</v>
      </c>
      <c r="U2109" s="4">
        <f t="shared" si="1"/>
        <v>-0.420171347</v>
      </c>
      <c r="V2109" s="4"/>
    </row>
    <row r="2110">
      <c r="A2110" s="1" t="s">
        <v>20156</v>
      </c>
      <c r="B2110" s="1" t="s">
        <v>20157</v>
      </c>
      <c r="C2110" s="1" t="s">
        <v>20158</v>
      </c>
      <c r="D2110" s="1" t="s">
        <v>19948</v>
      </c>
      <c r="E2110" s="1" t="s">
        <v>19949</v>
      </c>
      <c r="F2110" s="1">
        <v>55657.0</v>
      </c>
      <c r="G2110" s="1">
        <v>2124.0</v>
      </c>
      <c r="H2110" s="1">
        <v>130.0</v>
      </c>
      <c r="I2110" s="1">
        <v>622000.0</v>
      </c>
      <c r="J2110" s="1" t="s">
        <v>2468</v>
      </c>
      <c r="K2110" s="5">
        <f t="shared" si="2"/>
        <v>0.0894807074</v>
      </c>
      <c r="L2110" s="6">
        <f t="shared" si="3"/>
        <v>1640</v>
      </c>
      <c r="M2110" s="6">
        <f t="shared" si="4"/>
        <v>33.93719512</v>
      </c>
      <c r="N2110" s="7">
        <f t="shared" si="5"/>
        <v>0.00005456140695</v>
      </c>
      <c r="O2110" s="7"/>
      <c r="P2110" s="4">
        <f t="shared" si="6"/>
        <v>-0.4110948822</v>
      </c>
      <c r="Q2110" s="4">
        <f t="shared" si="7"/>
        <v>8</v>
      </c>
      <c r="R2110" s="4">
        <f t="shared" si="8"/>
        <v>0</v>
      </c>
      <c r="S2110" s="4">
        <f t="shared" si="9"/>
        <v>-0.4110948822</v>
      </c>
      <c r="T2110" s="4">
        <f t="shared" si="10"/>
        <v>40</v>
      </c>
      <c r="U2110" s="4">
        <f t="shared" si="1"/>
        <v>-0.4110948822</v>
      </c>
      <c r="V2110" s="4"/>
    </row>
    <row r="2111">
      <c r="A2111" s="1" t="s">
        <v>20159</v>
      </c>
      <c r="B2111" s="1" t="s">
        <v>20160</v>
      </c>
      <c r="C2111" s="1" t="s">
        <v>20161</v>
      </c>
      <c r="D2111" s="1" t="s">
        <v>19948</v>
      </c>
      <c r="E2111" s="1" t="s">
        <v>19949</v>
      </c>
      <c r="F2111" s="1">
        <v>51704.0</v>
      </c>
      <c r="G2111" s="1">
        <v>2708.0</v>
      </c>
      <c r="H2111" s="1">
        <v>1738.0</v>
      </c>
      <c r="I2111" s="1">
        <v>622000.0</v>
      </c>
      <c r="J2111" s="1" t="s">
        <v>2468</v>
      </c>
      <c r="K2111" s="5">
        <f t="shared" si="2"/>
        <v>0.08312540193</v>
      </c>
      <c r="L2111" s="6">
        <f t="shared" si="3"/>
        <v>1688</v>
      </c>
      <c r="M2111" s="6">
        <f t="shared" si="4"/>
        <v>30.63033175</v>
      </c>
      <c r="N2111" s="7">
        <f t="shared" si="5"/>
        <v>0.00004924490636</v>
      </c>
      <c r="O2111" s="7"/>
      <c r="P2111" s="4">
        <f t="shared" si="6"/>
        <v>-0.4148396307</v>
      </c>
      <c r="Q2111" s="4">
        <f t="shared" si="7"/>
        <v>7</v>
      </c>
      <c r="R2111" s="4">
        <f t="shared" si="8"/>
        <v>0</v>
      </c>
      <c r="S2111" s="4">
        <f t="shared" si="9"/>
        <v>-0.4148396307</v>
      </c>
      <c r="T2111" s="4">
        <f t="shared" si="10"/>
        <v>39</v>
      </c>
      <c r="U2111" s="4">
        <f t="shared" si="1"/>
        <v>-0.4148396307</v>
      </c>
      <c r="V2111" s="4"/>
    </row>
    <row r="2112">
      <c r="A2112" s="1" t="s">
        <v>20162</v>
      </c>
      <c r="B2112" s="1" t="s">
        <v>20163</v>
      </c>
      <c r="C2112" s="1" t="s">
        <v>20164</v>
      </c>
      <c r="D2112" s="1" t="s">
        <v>19948</v>
      </c>
      <c r="E2112" s="1" t="s">
        <v>19949</v>
      </c>
      <c r="F2112" s="1">
        <v>36917.0</v>
      </c>
      <c r="G2112" s="1">
        <v>1665.0</v>
      </c>
      <c r="H2112" s="1">
        <v>162.0</v>
      </c>
      <c r="I2112" s="1">
        <v>622000.0</v>
      </c>
      <c r="J2112" s="1" t="s">
        <v>2468</v>
      </c>
      <c r="K2112" s="5">
        <f t="shared" si="2"/>
        <v>0.05935209003</v>
      </c>
      <c r="L2112" s="6">
        <f t="shared" si="3"/>
        <v>1728</v>
      </c>
      <c r="M2112" s="6">
        <f t="shared" si="4"/>
        <v>21.36400463</v>
      </c>
      <c r="N2112" s="7">
        <f t="shared" si="5"/>
        <v>0.00003434727432</v>
      </c>
      <c r="O2112" s="7"/>
      <c r="P2112" s="4">
        <f t="shared" si="6"/>
        <v>-0.4253329779</v>
      </c>
      <c r="Q2112" s="4">
        <f t="shared" si="7"/>
        <v>10</v>
      </c>
      <c r="R2112" s="4">
        <f t="shared" si="8"/>
        <v>0</v>
      </c>
      <c r="S2112" s="4">
        <f t="shared" si="9"/>
        <v>-0.4253329779</v>
      </c>
      <c r="T2112" s="4">
        <f t="shared" si="10"/>
        <v>25</v>
      </c>
      <c r="U2112" s="4">
        <f t="shared" si="1"/>
        <v>-0.4253329779</v>
      </c>
      <c r="V2112" s="4"/>
    </row>
    <row r="2113">
      <c r="A2113" s="1" t="s">
        <v>20165</v>
      </c>
      <c r="B2113" s="1" t="s">
        <v>20166</v>
      </c>
      <c r="C2113" s="1" t="s">
        <v>20167</v>
      </c>
      <c r="D2113" s="1" t="s">
        <v>19948</v>
      </c>
      <c r="E2113" s="1" t="s">
        <v>19949</v>
      </c>
      <c r="F2113" s="1">
        <v>20966.0</v>
      </c>
      <c r="G2113" s="1">
        <v>1269.0</v>
      </c>
      <c r="H2113" s="1">
        <v>145.0</v>
      </c>
      <c r="I2113" s="1">
        <v>622000.0</v>
      </c>
      <c r="J2113" s="1" t="s">
        <v>2468</v>
      </c>
      <c r="K2113" s="5">
        <f t="shared" si="2"/>
        <v>0.0337073955</v>
      </c>
      <c r="L2113" s="6">
        <f t="shared" si="3"/>
        <v>1751</v>
      </c>
      <c r="M2113" s="6">
        <f t="shared" si="4"/>
        <v>11.9737293</v>
      </c>
      <c r="N2113" s="7">
        <f t="shared" si="5"/>
        <v>0.00001925036865</v>
      </c>
      <c r="O2113" s="7"/>
      <c r="P2113" s="4">
        <f t="shared" si="6"/>
        <v>-0.4359666861</v>
      </c>
      <c r="Q2113" s="4">
        <f t="shared" si="7"/>
        <v>9</v>
      </c>
      <c r="R2113" s="4">
        <f t="shared" si="8"/>
        <v>0</v>
      </c>
      <c r="S2113" s="4">
        <f t="shared" si="9"/>
        <v>-0.4359666861</v>
      </c>
      <c r="T2113" s="4">
        <f t="shared" si="10"/>
        <v>33</v>
      </c>
      <c r="U2113" s="4">
        <f t="shared" si="1"/>
        <v>-0.4359666861</v>
      </c>
      <c r="V2113" s="4"/>
    </row>
    <row r="2114">
      <c r="A2114" s="1" t="s">
        <v>20168</v>
      </c>
      <c r="B2114" s="1" t="s">
        <v>20169</v>
      </c>
      <c r="C2114" s="1" t="s">
        <v>20170</v>
      </c>
      <c r="D2114" s="1" t="s">
        <v>19948</v>
      </c>
      <c r="E2114" s="1" t="s">
        <v>19949</v>
      </c>
      <c r="F2114" s="1">
        <v>58327.0</v>
      </c>
      <c r="G2114" s="1">
        <v>2793.0</v>
      </c>
      <c r="H2114" s="1">
        <v>447.0</v>
      </c>
      <c r="I2114" s="1">
        <v>622000.0</v>
      </c>
      <c r="J2114" s="1" t="s">
        <v>2468</v>
      </c>
      <c r="K2114" s="5">
        <f t="shared" si="2"/>
        <v>0.0937733119</v>
      </c>
      <c r="L2114" s="6">
        <f t="shared" si="3"/>
        <v>1801</v>
      </c>
      <c r="M2114" s="6">
        <f t="shared" si="4"/>
        <v>32.38589672</v>
      </c>
      <c r="N2114" s="7">
        <f t="shared" si="5"/>
        <v>0.00005206735808</v>
      </c>
      <c r="O2114" s="7"/>
      <c r="P2114" s="4">
        <f t="shared" si="6"/>
        <v>-0.412851599</v>
      </c>
      <c r="Q2114" s="4">
        <f t="shared" si="7"/>
        <v>7</v>
      </c>
      <c r="R2114" s="4">
        <f t="shared" si="8"/>
        <v>0</v>
      </c>
      <c r="S2114" s="4">
        <f t="shared" si="9"/>
        <v>-0.412851599</v>
      </c>
      <c r="T2114" s="4">
        <f t="shared" si="10"/>
        <v>47</v>
      </c>
      <c r="U2114" s="4">
        <f t="shared" si="1"/>
        <v>-0.412851599</v>
      </c>
      <c r="V2114" s="4"/>
    </row>
    <row r="2115">
      <c r="A2115" s="1" t="s">
        <v>20171</v>
      </c>
      <c r="B2115" s="1" t="s">
        <v>20172</v>
      </c>
      <c r="C2115" s="1" t="s">
        <v>20173</v>
      </c>
      <c r="D2115" s="1" t="s">
        <v>19948</v>
      </c>
      <c r="E2115" s="1" t="s">
        <v>19949</v>
      </c>
      <c r="F2115" s="1">
        <v>77323.0</v>
      </c>
      <c r="G2115" s="1">
        <v>1354.0</v>
      </c>
      <c r="H2115" s="1">
        <v>122.0</v>
      </c>
      <c r="I2115" s="1">
        <v>622000.0</v>
      </c>
      <c r="J2115" s="1" t="s">
        <v>2468</v>
      </c>
      <c r="K2115" s="5">
        <f t="shared" si="2"/>
        <v>0.1243135048</v>
      </c>
      <c r="L2115" s="6">
        <f t="shared" si="3"/>
        <v>1808</v>
      </c>
      <c r="M2115" s="6">
        <f t="shared" si="4"/>
        <v>42.76714602</v>
      </c>
      <c r="N2115" s="7">
        <f t="shared" si="5"/>
        <v>0.00006875746948</v>
      </c>
      <c r="O2115" s="7"/>
      <c r="P2115" s="4">
        <f t="shared" si="6"/>
        <v>-0.4010956949</v>
      </c>
      <c r="Q2115" s="4">
        <f t="shared" si="7"/>
        <v>11</v>
      </c>
      <c r="R2115" s="4">
        <f t="shared" si="8"/>
        <v>0</v>
      </c>
      <c r="S2115" s="4">
        <f t="shared" si="9"/>
        <v>-0.4010956949</v>
      </c>
      <c r="T2115" s="4">
        <f t="shared" si="10"/>
        <v>53</v>
      </c>
      <c r="U2115" s="4">
        <f t="shared" si="1"/>
        <v>-0.4010956949</v>
      </c>
      <c r="V2115" s="4"/>
    </row>
    <row r="2116">
      <c r="A2116" s="1" t="s">
        <v>20174</v>
      </c>
      <c r="B2116" s="1" t="s">
        <v>20175</v>
      </c>
      <c r="C2116" s="1" t="s">
        <v>20176</v>
      </c>
      <c r="D2116" s="1" t="s">
        <v>19948</v>
      </c>
      <c r="E2116" s="1" t="s">
        <v>19949</v>
      </c>
      <c r="F2116" s="1">
        <v>39558.0</v>
      </c>
      <c r="G2116" s="1">
        <v>2287.0</v>
      </c>
      <c r="H2116" s="1">
        <v>122.0</v>
      </c>
      <c r="I2116" s="1">
        <v>622000.0</v>
      </c>
      <c r="J2116" s="1" t="s">
        <v>2468</v>
      </c>
      <c r="K2116" s="5">
        <f t="shared" si="2"/>
        <v>0.06359807074</v>
      </c>
      <c r="L2116" s="6">
        <f t="shared" si="3"/>
        <v>1822</v>
      </c>
      <c r="M2116" s="6">
        <f t="shared" si="4"/>
        <v>21.71130626</v>
      </c>
      <c r="N2116" s="7">
        <f t="shared" si="5"/>
        <v>0.00003490563707</v>
      </c>
      <c r="O2116" s="7"/>
      <c r="P2116" s="4">
        <f t="shared" si="6"/>
        <v>-0.4249396876</v>
      </c>
      <c r="Q2116" s="4">
        <f t="shared" si="7"/>
        <v>6</v>
      </c>
      <c r="R2116" s="4">
        <f t="shared" si="8"/>
        <v>0</v>
      </c>
      <c r="S2116" s="4">
        <f t="shared" si="9"/>
        <v>-0.4249396876</v>
      </c>
      <c r="T2116" s="4">
        <f t="shared" si="10"/>
        <v>37</v>
      </c>
      <c r="U2116" s="4">
        <f t="shared" si="1"/>
        <v>-0.4249396876</v>
      </c>
      <c r="V2116" s="4"/>
    </row>
    <row r="2117">
      <c r="A2117" s="1" t="s">
        <v>20177</v>
      </c>
      <c r="B2117" s="1" t="s">
        <v>20178</v>
      </c>
      <c r="C2117" s="1" t="s">
        <v>20179</v>
      </c>
      <c r="D2117" s="1" t="s">
        <v>19948</v>
      </c>
      <c r="E2117" s="1" t="s">
        <v>19949</v>
      </c>
      <c r="F2117" s="1">
        <v>42193.0</v>
      </c>
      <c r="G2117" s="1">
        <v>2177.0</v>
      </c>
      <c r="H2117" s="1">
        <v>129.0</v>
      </c>
      <c r="I2117" s="1">
        <v>622000.0</v>
      </c>
      <c r="J2117" s="1" t="s">
        <v>2468</v>
      </c>
      <c r="K2117" s="5">
        <f t="shared" si="2"/>
        <v>0.06783440514</v>
      </c>
      <c r="L2117" s="6">
        <f t="shared" si="3"/>
        <v>1847</v>
      </c>
      <c r="M2117" s="6">
        <f t="shared" si="4"/>
        <v>22.84407147</v>
      </c>
      <c r="N2117" s="7">
        <f t="shared" si="5"/>
        <v>0.000036726803</v>
      </c>
      <c r="O2117" s="7"/>
      <c r="P2117" s="4">
        <f t="shared" si="6"/>
        <v>-0.4236569249</v>
      </c>
      <c r="Q2117" s="4">
        <f t="shared" si="7"/>
        <v>10</v>
      </c>
      <c r="R2117" s="4">
        <f t="shared" si="8"/>
        <v>0</v>
      </c>
      <c r="S2117" s="4">
        <f t="shared" si="9"/>
        <v>-0.4236569249</v>
      </c>
      <c r="T2117" s="4">
        <f t="shared" si="10"/>
        <v>45</v>
      </c>
      <c r="U2117" s="4">
        <f t="shared" si="1"/>
        <v>-0.4236569249</v>
      </c>
      <c r="V2117" s="4"/>
    </row>
    <row r="2118">
      <c r="A2118" s="1" t="s">
        <v>20180</v>
      </c>
      <c r="B2118" s="1" t="s">
        <v>20181</v>
      </c>
      <c r="C2118" s="1" t="s">
        <v>20182</v>
      </c>
      <c r="D2118" s="1" t="s">
        <v>19948</v>
      </c>
      <c r="E2118" s="1" t="s">
        <v>19949</v>
      </c>
      <c r="F2118" s="1">
        <v>76443.0</v>
      </c>
      <c r="G2118" s="1">
        <v>6337.0</v>
      </c>
      <c r="H2118" s="1">
        <v>374.0</v>
      </c>
      <c r="I2118" s="1">
        <v>622000.0</v>
      </c>
      <c r="J2118" s="1" t="s">
        <v>2468</v>
      </c>
      <c r="K2118" s="5">
        <f t="shared" si="2"/>
        <v>0.1228987138</v>
      </c>
      <c r="L2118" s="6">
        <f t="shared" si="3"/>
        <v>1883</v>
      </c>
      <c r="M2118" s="6">
        <f t="shared" si="4"/>
        <v>40.59638874</v>
      </c>
      <c r="N2118" s="7">
        <f t="shared" si="5"/>
        <v>0.00006526750602</v>
      </c>
      <c r="O2118" s="7"/>
      <c r="P2118" s="4">
        <f t="shared" si="6"/>
        <v>-0.4035538975</v>
      </c>
      <c r="Q2118" s="4">
        <f t="shared" si="7"/>
        <v>6</v>
      </c>
      <c r="R2118" s="4">
        <f t="shared" si="8"/>
        <v>0</v>
      </c>
      <c r="S2118" s="4">
        <f t="shared" si="9"/>
        <v>-0.4035538975</v>
      </c>
      <c r="T2118" s="4">
        <f t="shared" si="10"/>
        <v>40</v>
      </c>
      <c r="U2118" s="4">
        <f t="shared" si="1"/>
        <v>-0.4035538975</v>
      </c>
      <c r="V2118" s="4"/>
    </row>
    <row r="2119">
      <c r="A2119" s="1" t="s">
        <v>20183</v>
      </c>
      <c r="B2119" s="1" t="s">
        <v>20184</v>
      </c>
      <c r="C2119" s="1" t="s">
        <v>20185</v>
      </c>
      <c r="D2119" s="1" t="s">
        <v>19948</v>
      </c>
      <c r="E2119" s="1" t="s">
        <v>19949</v>
      </c>
      <c r="F2119" s="1">
        <v>433949.0</v>
      </c>
      <c r="G2119" s="1">
        <v>21640.0</v>
      </c>
      <c r="H2119" s="1">
        <v>4374.0</v>
      </c>
      <c r="I2119" s="1">
        <v>622000.0</v>
      </c>
      <c r="J2119" s="1" t="s">
        <v>2468</v>
      </c>
      <c r="K2119" s="5">
        <f t="shared" si="2"/>
        <v>0.6976672026</v>
      </c>
      <c r="L2119" s="6">
        <f t="shared" si="3"/>
        <v>1931</v>
      </c>
      <c r="M2119" s="6">
        <f t="shared" si="4"/>
        <v>224.7276023</v>
      </c>
      <c r="N2119" s="7">
        <f t="shared" si="5"/>
        <v>0.0003612983959</v>
      </c>
      <c r="O2119" s="7"/>
      <c r="P2119" s="4">
        <f t="shared" si="6"/>
        <v>-0.1950405655</v>
      </c>
      <c r="Q2119" s="4">
        <f t="shared" si="7"/>
        <v>10</v>
      </c>
      <c r="R2119" s="4">
        <f t="shared" si="8"/>
        <v>0</v>
      </c>
      <c r="S2119" s="4">
        <f t="shared" si="9"/>
        <v>-0.1950405655</v>
      </c>
      <c r="T2119" s="4">
        <f t="shared" si="10"/>
        <v>51</v>
      </c>
      <c r="U2119" s="4">
        <f t="shared" si="1"/>
        <v>-0.1950405655</v>
      </c>
      <c r="V2119" s="4"/>
    </row>
    <row r="2120">
      <c r="A2120" s="1" t="s">
        <v>20186</v>
      </c>
      <c r="B2120" s="1" t="s">
        <v>20187</v>
      </c>
      <c r="C2120" s="1" t="s">
        <v>20188</v>
      </c>
      <c r="D2120" s="1" t="s">
        <v>19948</v>
      </c>
      <c r="E2120" s="1" t="s">
        <v>19949</v>
      </c>
      <c r="F2120" s="1">
        <v>48069.0</v>
      </c>
      <c r="G2120" s="1">
        <v>2651.0</v>
      </c>
      <c r="H2120" s="1">
        <v>226.0</v>
      </c>
      <c r="I2120" s="1">
        <v>622000.0</v>
      </c>
      <c r="J2120" s="1" t="s">
        <v>2468</v>
      </c>
      <c r="K2120" s="5">
        <f t="shared" si="2"/>
        <v>0.07728135048</v>
      </c>
      <c r="L2120" s="6">
        <f t="shared" si="3"/>
        <v>1984</v>
      </c>
      <c r="M2120" s="6">
        <f t="shared" si="4"/>
        <v>24.22832661</v>
      </c>
      <c r="N2120" s="7">
        <f t="shared" si="5"/>
        <v>0.00003895229359</v>
      </c>
      <c r="O2120" s="7"/>
      <c r="P2120" s="4">
        <f t="shared" si="6"/>
        <v>-0.4220893707</v>
      </c>
      <c r="Q2120" s="4">
        <f t="shared" si="7"/>
        <v>8</v>
      </c>
      <c r="R2120" s="4">
        <f t="shared" si="8"/>
        <v>0</v>
      </c>
      <c r="S2120" s="4">
        <f t="shared" si="9"/>
        <v>-0.4220893707</v>
      </c>
      <c r="T2120" s="4">
        <f t="shared" si="10"/>
        <v>41</v>
      </c>
      <c r="U2120" s="4">
        <f t="shared" si="1"/>
        <v>-0.4220893707</v>
      </c>
      <c r="V2120" s="4"/>
    </row>
    <row r="2121">
      <c r="A2121" s="1" t="s">
        <v>20189</v>
      </c>
      <c r="B2121" s="1" t="s">
        <v>20190</v>
      </c>
      <c r="C2121" s="1" t="s">
        <v>20191</v>
      </c>
      <c r="D2121" s="1" t="s">
        <v>19948</v>
      </c>
      <c r="E2121" s="1" t="s">
        <v>19949</v>
      </c>
      <c r="F2121" s="1">
        <v>32149.0</v>
      </c>
      <c r="G2121" s="1">
        <v>2039.0</v>
      </c>
      <c r="H2121" s="1">
        <v>199.0</v>
      </c>
      <c r="I2121" s="1">
        <v>622000.0</v>
      </c>
      <c r="J2121" s="1" t="s">
        <v>2468</v>
      </c>
      <c r="K2121" s="5">
        <f t="shared" si="2"/>
        <v>0.05168649518</v>
      </c>
      <c r="L2121" s="6">
        <f t="shared" si="3"/>
        <v>2015</v>
      </c>
      <c r="M2121" s="6">
        <f t="shared" si="4"/>
        <v>15.95483871</v>
      </c>
      <c r="N2121" s="7">
        <f t="shared" si="5"/>
        <v>0.00002565086609</v>
      </c>
      <c r="O2121" s="7"/>
      <c r="P2121" s="4">
        <f t="shared" si="6"/>
        <v>-0.4314584098</v>
      </c>
      <c r="Q2121" s="4">
        <f t="shared" si="7"/>
        <v>12</v>
      </c>
      <c r="R2121" s="4">
        <f t="shared" si="8"/>
        <v>0</v>
      </c>
      <c r="S2121" s="4">
        <f t="shared" si="9"/>
        <v>-0.4314584098</v>
      </c>
      <c r="T2121" s="4">
        <f t="shared" si="10"/>
        <v>53</v>
      </c>
      <c r="U2121" s="4">
        <f t="shared" si="1"/>
        <v>-0.4314584098</v>
      </c>
      <c r="V2121" s="4"/>
    </row>
    <row r="2122">
      <c r="A2122" s="1" t="s">
        <v>20192</v>
      </c>
      <c r="B2122" s="1" t="s">
        <v>20193</v>
      </c>
      <c r="C2122" s="1" t="s">
        <v>20194</v>
      </c>
      <c r="D2122" s="1" t="s">
        <v>19948</v>
      </c>
      <c r="E2122" s="1" t="s">
        <v>19949</v>
      </c>
      <c r="F2122" s="1">
        <v>156864.0</v>
      </c>
      <c r="G2122" s="1">
        <v>5039.0</v>
      </c>
      <c r="H2122" s="1">
        <v>829.0</v>
      </c>
      <c r="I2122" s="1">
        <v>622000.0</v>
      </c>
      <c r="J2122" s="1" t="s">
        <v>2468</v>
      </c>
      <c r="K2122" s="5">
        <f t="shared" si="2"/>
        <v>0.252192926</v>
      </c>
      <c r="L2122" s="6">
        <f t="shared" si="3"/>
        <v>2047</v>
      </c>
      <c r="M2122" s="6">
        <f t="shared" si="4"/>
        <v>76.63116756</v>
      </c>
      <c r="N2122" s="7">
        <f t="shared" si="5"/>
        <v>0.000123201234</v>
      </c>
      <c r="O2122" s="7"/>
      <c r="P2122" s="4">
        <f t="shared" si="6"/>
        <v>-0.3627474983</v>
      </c>
      <c r="Q2122" s="4">
        <f t="shared" si="7"/>
        <v>11</v>
      </c>
      <c r="R2122" s="4">
        <f t="shared" si="8"/>
        <v>0</v>
      </c>
      <c r="S2122" s="4">
        <f t="shared" si="9"/>
        <v>-0.3627474983</v>
      </c>
      <c r="T2122" s="4">
        <f t="shared" si="10"/>
        <v>50</v>
      </c>
      <c r="U2122" s="4">
        <f t="shared" si="1"/>
        <v>-0.3627474983</v>
      </c>
      <c r="V2122" s="4"/>
    </row>
    <row r="2123">
      <c r="A2123" s="1" t="s">
        <v>20195</v>
      </c>
      <c r="B2123" s="1" t="s">
        <v>20196</v>
      </c>
      <c r="C2123" s="1" t="s">
        <v>20197</v>
      </c>
      <c r="D2123" s="1" t="s">
        <v>19948</v>
      </c>
      <c r="E2123" s="1" t="s">
        <v>19949</v>
      </c>
      <c r="F2123" s="1">
        <v>39011.0</v>
      </c>
      <c r="G2123" s="1">
        <v>1380.0</v>
      </c>
      <c r="H2123" s="1">
        <v>120.0</v>
      </c>
      <c r="I2123" s="1">
        <v>622000.0</v>
      </c>
      <c r="J2123" s="1" t="s">
        <v>2468</v>
      </c>
      <c r="K2123" s="5">
        <f t="shared" si="2"/>
        <v>0.06271864952</v>
      </c>
      <c r="L2123" s="6">
        <f t="shared" si="3"/>
        <v>2057</v>
      </c>
      <c r="M2123" s="6">
        <f t="shared" si="4"/>
        <v>18.96499757</v>
      </c>
      <c r="N2123" s="7">
        <f t="shared" si="5"/>
        <v>0.00003049034979</v>
      </c>
      <c r="O2123" s="7"/>
      <c r="P2123" s="4">
        <f t="shared" si="6"/>
        <v>-0.4280496545</v>
      </c>
      <c r="Q2123" s="4">
        <f t="shared" si="7"/>
        <v>7</v>
      </c>
      <c r="R2123" s="4">
        <f t="shared" si="8"/>
        <v>0</v>
      </c>
      <c r="S2123" s="4">
        <f t="shared" si="9"/>
        <v>-0.4280496545</v>
      </c>
      <c r="T2123" s="4">
        <f t="shared" si="10"/>
        <v>52</v>
      </c>
      <c r="U2123" s="4">
        <f t="shared" si="1"/>
        <v>-0.4280496545</v>
      </c>
      <c r="V2123" s="4"/>
    </row>
    <row r="2124">
      <c r="A2124" s="1" t="s">
        <v>20198</v>
      </c>
      <c r="B2124" s="1" t="s">
        <v>20199</v>
      </c>
      <c r="C2124" s="1" t="s">
        <v>20200</v>
      </c>
      <c r="D2124" s="1" t="s">
        <v>19948</v>
      </c>
      <c r="E2124" s="1" t="s">
        <v>19949</v>
      </c>
      <c r="F2124" s="1">
        <v>51781.0</v>
      </c>
      <c r="G2124" s="1">
        <v>3267.0</v>
      </c>
      <c r="H2124" s="1">
        <v>232.0</v>
      </c>
      <c r="I2124" s="1">
        <v>622000.0</v>
      </c>
      <c r="J2124" s="1" t="s">
        <v>2468</v>
      </c>
      <c r="K2124" s="5">
        <f t="shared" si="2"/>
        <v>0.08324919614</v>
      </c>
      <c r="L2124" s="6">
        <f t="shared" si="3"/>
        <v>2085</v>
      </c>
      <c r="M2124" s="6">
        <f t="shared" si="4"/>
        <v>24.83501199</v>
      </c>
      <c r="N2124" s="7">
        <f t="shared" si="5"/>
        <v>0.00003992767201</v>
      </c>
      <c r="O2124" s="7"/>
      <c r="P2124" s="4">
        <f t="shared" si="6"/>
        <v>-0.4214023498</v>
      </c>
      <c r="Q2124" s="4">
        <f t="shared" si="7"/>
        <v>7</v>
      </c>
      <c r="R2124" s="4">
        <f t="shared" si="8"/>
        <v>0</v>
      </c>
      <c r="S2124" s="4">
        <f t="shared" si="9"/>
        <v>-0.4214023498</v>
      </c>
      <c r="T2124" s="4">
        <f t="shared" si="10"/>
        <v>38</v>
      </c>
      <c r="U2124" s="4">
        <f t="shared" si="1"/>
        <v>-0.4214023498</v>
      </c>
      <c r="V2124" s="4"/>
    </row>
    <row r="2125">
      <c r="A2125" s="1" t="s">
        <v>20201</v>
      </c>
      <c r="B2125" s="1" t="s">
        <v>20202</v>
      </c>
      <c r="C2125" s="1" t="s">
        <v>20203</v>
      </c>
      <c r="D2125" s="1" t="s">
        <v>19948</v>
      </c>
      <c r="E2125" s="1" t="s">
        <v>19949</v>
      </c>
      <c r="F2125" s="1">
        <v>25805.0</v>
      </c>
      <c r="G2125" s="1">
        <v>2008.0</v>
      </c>
      <c r="H2125" s="1">
        <v>172.0</v>
      </c>
      <c r="I2125" s="1">
        <v>622000.0</v>
      </c>
      <c r="J2125" s="1" t="s">
        <v>2468</v>
      </c>
      <c r="K2125" s="5">
        <f t="shared" si="2"/>
        <v>0.04148713826</v>
      </c>
      <c r="L2125" s="6">
        <f t="shared" si="3"/>
        <v>2095</v>
      </c>
      <c r="M2125" s="6">
        <f t="shared" si="4"/>
        <v>12.31742243</v>
      </c>
      <c r="N2125" s="7">
        <f t="shared" si="5"/>
        <v>0.00001980292996</v>
      </c>
      <c r="O2125" s="7"/>
      <c r="P2125" s="4">
        <f t="shared" si="6"/>
        <v>-0.4355774821</v>
      </c>
      <c r="Q2125" s="4">
        <f t="shared" si="7"/>
        <v>9</v>
      </c>
      <c r="R2125" s="4">
        <f t="shared" si="8"/>
        <v>0</v>
      </c>
      <c r="S2125" s="4">
        <f t="shared" si="9"/>
        <v>-0.4355774821</v>
      </c>
      <c r="T2125" s="4">
        <f t="shared" si="10"/>
        <v>43</v>
      </c>
      <c r="U2125" s="4">
        <f t="shared" si="1"/>
        <v>-0.4355774821</v>
      </c>
      <c r="V2125" s="4"/>
    </row>
    <row r="2126">
      <c r="A2126" s="1" t="s">
        <v>20204</v>
      </c>
      <c r="B2126" s="1" t="s">
        <v>20205</v>
      </c>
      <c r="C2126" s="1" t="s">
        <v>20206</v>
      </c>
      <c r="D2126" s="1" t="s">
        <v>19948</v>
      </c>
      <c r="E2126" s="1" t="s">
        <v>19949</v>
      </c>
      <c r="F2126" s="1">
        <v>83400.0</v>
      </c>
      <c r="G2126" s="1">
        <v>4750.0</v>
      </c>
      <c r="H2126" s="1">
        <v>273.0</v>
      </c>
      <c r="I2126" s="1">
        <v>622000.0</v>
      </c>
      <c r="J2126" s="1" t="s">
        <v>2468</v>
      </c>
      <c r="K2126" s="5">
        <f t="shared" si="2"/>
        <v>0.1340836013</v>
      </c>
      <c r="L2126" s="6">
        <f t="shared" si="3"/>
        <v>2113</v>
      </c>
      <c r="M2126" s="6">
        <f t="shared" si="4"/>
        <v>39.46994794</v>
      </c>
      <c r="N2126" s="7">
        <f t="shared" si="5"/>
        <v>0.00006345650794</v>
      </c>
      <c r="O2126" s="7"/>
      <c r="P2126" s="4">
        <f t="shared" si="6"/>
        <v>-0.4048294983</v>
      </c>
      <c r="Q2126" s="4">
        <f t="shared" si="7"/>
        <v>9</v>
      </c>
      <c r="R2126" s="4">
        <f t="shared" si="8"/>
        <v>0</v>
      </c>
      <c r="S2126" s="4">
        <f t="shared" si="9"/>
        <v>-0.4048294983</v>
      </c>
      <c r="T2126" s="4">
        <f t="shared" si="10"/>
        <v>53</v>
      </c>
      <c r="U2126" s="4">
        <f t="shared" si="1"/>
        <v>-0.4048294983</v>
      </c>
      <c r="V2126" s="4"/>
    </row>
    <row r="2127">
      <c r="A2127" s="1" t="s">
        <v>20207</v>
      </c>
      <c r="B2127" s="1" t="s">
        <v>20208</v>
      </c>
      <c r="C2127" s="1" t="s">
        <v>20209</v>
      </c>
      <c r="D2127" s="1" t="s">
        <v>19948</v>
      </c>
      <c r="E2127" s="1" t="s">
        <v>19949</v>
      </c>
      <c r="F2127" s="1">
        <v>113206.0</v>
      </c>
      <c r="G2127" s="1">
        <v>4518.0</v>
      </c>
      <c r="H2127" s="1">
        <v>197.0</v>
      </c>
      <c r="I2127" s="1">
        <v>622000.0</v>
      </c>
      <c r="J2127" s="1" t="s">
        <v>2468</v>
      </c>
      <c r="K2127" s="5">
        <f t="shared" si="2"/>
        <v>0.1820032154</v>
      </c>
      <c r="L2127" s="6">
        <f t="shared" si="3"/>
        <v>2155</v>
      </c>
      <c r="M2127" s="6">
        <f t="shared" si="4"/>
        <v>52.53178654</v>
      </c>
      <c r="N2127" s="7">
        <f t="shared" si="5"/>
        <v>0.00008445624846</v>
      </c>
      <c r="O2127" s="7"/>
      <c r="P2127" s="4">
        <f t="shared" si="6"/>
        <v>-0.3900380491</v>
      </c>
      <c r="Q2127" s="4">
        <f t="shared" si="7"/>
        <v>6</v>
      </c>
      <c r="R2127" s="4">
        <f t="shared" si="8"/>
        <v>0</v>
      </c>
      <c r="S2127" s="4">
        <f t="shared" si="9"/>
        <v>-0.3900380491</v>
      </c>
      <c r="T2127" s="4">
        <f t="shared" si="10"/>
        <v>25</v>
      </c>
      <c r="U2127" s="4">
        <f t="shared" si="1"/>
        <v>-0.3900380491</v>
      </c>
      <c r="V2127" s="4"/>
    </row>
    <row r="2128">
      <c r="A2128" s="1" t="s">
        <v>20210</v>
      </c>
      <c r="B2128" s="1" t="s">
        <v>20211</v>
      </c>
      <c r="C2128" s="1" t="s">
        <v>20212</v>
      </c>
      <c r="D2128" s="1" t="s">
        <v>19948</v>
      </c>
      <c r="E2128" s="1" t="s">
        <v>19949</v>
      </c>
      <c r="F2128" s="1">
        <v>77114.0</v>
      </c>
      <c r="G2128" s="1">
        <v>5044.0</v>
      </c>
      <c r="H2128" s="1">
        <v>416.0</v>
      </c>
      <c r="I2128" s="1">
        <v>622000.0</v>
      </c>
      <c r="J2128" s="1" t="s">
        <v>2468</v>
      </c>
      <c r="K2128" s="5">
        <f t="shared" si="2"/>
        <v>0.123977492</v>
      </c>
      <c r="L2128" s="6">
        <f t="shared" si="3"/>
        <v>2191</v>
      </c>
      <c r="M2128" s="6">
        <f t="shared" si="4"/>
        <v>35.195801</v>
      </c>
      <c r="N2128" s="7">
        <f t="shared" si="5"/>
        <v>0.00005658488907</v>
      </c>
      <c r="O2128" s="7"/>
      <c r="P2128" s="4">
        <f t="shared" si="6"/>
        <v>-0.4096696153</v>
      </c>
      <c r="Q2128" s="4">
        <f t="shared" si="7"/>
        <v>8</v>
      </c>
      <c r="R2128" s="4">
        <f t="shared" si="8"/>
        <v>0</v>
      </c>
      <c r="S2128" s="4">
        <f t="shared" si="9"/>
        <v>-0.4096696153</v>
      </c>
      <c r="T2128" s="4">
        <f t="shared" si="10"/>
        <v>33</v>
      </c>
      <c r="U2128" s="4">
        <f t="shared" si="1"/>
        <v>-0.4096696153</v>
      </c>
      <c r="V2128" s="4"/>
    </row>
    <row r="2129">
      <c r="A2129" s="1" t="s">
        <v>20213</v>
      </c>
      <c r="B2129" s="1" t="s">
        <v>20214</v>
      </c>
      <c r="C2129" s="1" t="s">
        <v>20215</v>
      </c>
      <c r="D2129" s="1" t="s">
        <v>19948</v>
      </c>
      <c r="E2129" s="1" t="s">
        <v>19949</v>
      </c>
      <c r="F2129" s="1">
        <v>74941.0</v>
      </c>
      <c r="G2129" s="1">
        <v>3287.0</v>
      </c>
      <c r="H2129" s="1">
        <v>192.0</v>
      </c>
      <c r="I2129" s="1">
        <v>622000.0</v>
      </c>
      <c r="J2129" s="1" t="s">
        <v>2468</v>
      </c>
      <c r="K2129" s="5">
        <f t="shared" si="2"/>
        <v>0.1204839228</v>
      </c>
      <c r="L2129" s="6">
        <f t="shared" si="3"/>
        <v>2214</v>
      </c>
      <c r="M2129" s="6">
        <f t="shared" si="4"/>
        <v>33.84869015</v>
      </c>
      <c r="N2129" s="7">
        <f t="shared" si="5"/>
        <v>0.000054419116</v>
      </c>
      <c r="O2129" s="7"/>
      <c r="P2129" s="4">
        <f t="shared" si="6"/>
        <v>-0.4111951067</v>
      </c>
      <c r="Q2129" s="4">
        <f t="shared" si="7"/>
        <v>10</v>
      </c>
      <c r="R2129" s="4">
        <f t="shared" si="8"/>
        <v>1</v>
      </c>
      <c r="S2129" s="4">
        <f t="shared" si="9"/>
        <v>-0.4111951067</v>
      </c>
      <c r="T2129" s="4">
        <f t="shared" si="10"/>
        <v>45</v>
      </c>
      <c r="U2129" s="4">
        <f t="shared" si="1"/>
        <v>-0.4111951067</v>
      </c>
      <c r="V2129" s="4"/>
    </row>
    <row r="2130">
      <c r="A2130" s="1" t="s">
        <v>20216</v>
      </c>
      <c r="B2130" s="1" t="s">
        <v>20217</v>
      </c>
      <c r="C2130" s="1" t="s">
        <v>20218</v>
      </c>
      <c r="D2130" s="1" t="s">
        <v>19948</v>
      </c>
      <c r="E2130" s="1" t="s">
        <v>19949</v>
      </c>
      <c r="F2130" s="1">
        <v>33457.0</v>
      </c>
      <c r="G2130" s="1">
        <v>2027.0</v>
      </c>
      <c r="H2130" s="1">
        <v>365.0</v>
      </c>
      <c r="I2130" s="1">
        <v>622000.0</v>
      </c>
      <c r="J2130" s="1" t="s">
        <v>2468</v>
      </c>
      <c r="K2130" s="5">
        <f t="shared" si="2"/>
        <v>0.05378938907</v>
      </c>
      <c r="L2130" s="6">
        <f t="shared" si="3"/>
        <v>2242</v>
      </c>
      <c r="M2130" s="6">
        <f t="shared" si="4"/>
        <v>14.92283675</v>
      </c>
      <c r="N2130" s="7">
        <f t="shared" si="5"/>
        <v>0.00002399169896</v>
      </c>
      <c r="O2130" s="7"/>
      <c r="P2130" s="4">
        <f t="shared" si="6"/>
        <v>-0.4326270664</v>
      </c>
      <c r="Q2130" s="4">
        <f t="shared" si="7"/>
        <v>8</v>
      </c>
      <c r="R2130" s="4">
        <f t="shared" si="8"/>
        <v>0</v>
      </c>
      <c r="S2130" s="4">
        <f t="shared" si="9"/>
        <v>-0.4326270664</v>
      </c>
      <c r="T2130" s="4">
        <f t="shared" si="10"/>
        <v>29</v>
      </c>
      <c r="U2130" s="4">
        <f t="shared" si="1"/>
        <v>-0.4326270664</v>
      </c>
      <c r="V2130" s="4"/>
    </row>
    <row r="2131">
      <c r="A2131" s="1" t="s">
        <v>20219</v>
      </c>
      <c r="B2131" s="1" t="s">
        <v>20220</v>
      </c>
      <c r="C2131" s="1" t="s">
        <v>20221</v>
      </c>
      <c r="D2131" s="1" t="s">
        <v>19948</v>
      </c>
      <c r="E2131" s="1" t="s">
        <v>19949</v>
      </c>
      <c r="F2131" s="1">
        <v>83621.0</v>
      </c>
      <c r="G2131" s="1">
        <v>3834.0</v>
      </c>
      <c r="H2131" s="1">
        <v>519.0</v>
      </c>
      <c r="I2131" s="1">
        <v>622000.0</v>
      </c>
      <c r="J2131" s="1" t="s">
        <v>2468</v>
      </c>
      <c r="K2131" s="5">
        <f t="shared" si="2"/>
        <v>0.1344389068</v>
      </c>
      <c r="L2131" s="6">
        <f t="shared" si="3"/>
        <v>2260</v>
      </c>
      <c r="M2131" s="6">
        <f t="shared" si="4"/>
        <v>37.00044248</v>
      </c>
      <c r="N2131" s="7">
        <f t="shared" si="5"/>
        <v>0.00005948624193</v>
      </c>
      <c r="O2131" s="7"/>
      <c r="P2131" s="4">
        <f t="shared" si="6"/>
        <v>-0.4076260085</v>
      </c>
      <c r="Q2131" s="4">
        <f t="shared" si="7"/>
        <v>5</v>
      </c>
      <c r="R2131" s="4">
        <f t="shared" si="8"/>
        <v>0</v>
      </c>
      <c r="S2131" s="4">
        <f t="shared" si="9"/>
        <v>-0.4076260085</v>
      </c>
      <c r="T2131" s="4">
        <f t="shared" si="10"/>
        <v>25</v>
      </c>
      <c r="U2131" s="4">
        <f t="shared" si="1"/>
        <v>-0.4076260085</v>
      </c>
      <c r="V2131" s="4"/>
    </row>
    <row r="2132">
      <c r="A2132" s="1" t="s">
        <v>20222</v>
      </c>
      <c r="B2132" s="1" t="s">
        <v>20223</v>
      </c>
      <c r="C2132" s="1" t="s">
        <v>20224</v>
      </c>
      <c r="D2132" s="1" t="s">
        <v>19948</v>
      </c>
      <c r="E2132" s="1" t="s">
        <v>19949</v>
      </c>
      <c r="F2132" s="1">
        <v>9360.0</v>
      </c>
      <c r="G2132" s="1">
        <v>294.0</v>
      </c>
      <c r="H2132" s="1">
        <v>30.0</v>
      </c>
      <c r="I2132" s="1">
        <v>622000.0</v>
      </c>
      <c r="J2132" s="1" t="s">
        <v>2468</v>
      </c>
      <c r="K2132" s="5">
        <f t="shared" si="2"/>
        <v>0.01504823151</v>
      </c>
      <c r="L2132" s="6">
        <f t="shared" si="3"/>
        <v>2295</v>
      </c>
      <c r="M2132" s="6">
        <f t="shared" si="4"/>
        <v>4.078431373</v>
      </c>
      <c r="N2132" s="7">
        <f t="shared" si="5"/>
        <v>0.000006556963621</v>
      </c>
      <c r="O2132" s="7"/>
      <c r="P2132" s="4">
        <f t="shared" si="6"/>
        <v>-0.4449074564</v>
      </c>
      <c r="Q2132" s="4">
        <f t="shared" si="7"/>
        <v>6</v>
      </c>
      <c r="R2132" s="4">
        <f t="shared" si="8"/>
        <v>0</v>
      </c>
      <c r="S2132" s="4">
        <f t="shared" si="9"/>
        <v>-0.4449074564</v>
      </c>
      <c r="T2132" s="4">
        <f t="shared" si="10"/>
        <v>33</v>
      </c>
      <c r="U2132" s="4">
        <f t="shared" si="1"/>
        <v>-0.4449074564</v>
      </c>
      <c r="V2132" s="4"/>
    </row>
    <row r="2133">
      <c r="A2133" s="1" t="s">
        <v>20225</v>
      </c>
      <c r="B2133" s="1" t="s">
        <v>20226</v>
      </c>
      <c r="C2133" s="1" t="s">
        <v>20227</v>
      </c>
      <c r="D2133" s="1" t="s">
        <v>19948</v>
      </c>
      <c r="E2133" s="1" t="s">
        <v>19949</v>
      </c>
      <c r="F2133" s="1">
        <v>73369.0</v>
      </c>
      <c r="G2133" s="1">
        <v>982.0</v>
      </c>
      <c r="H2133" s="1">
        <v>119.0</v>
      </c>
      <c r="I2133" s="1">
        <v>622000.0</v>
      </c>
      <c r="J2133" s="1" t="s">
        <v>2468</v>
      </c>
      <c r="K2133" s="5">
        <f t="shared" si="2"/>
        <v>0.1179565916</v>
      </c>
      <c r="L2133" s="6">
        <f t="shared" si="3"/>
        <v>2297</v>
      </c>
      <c r="M2133" s="6">
        <f t="shared" si="4"/>
        <v>31.94122769</v>
      </c>
      <c r="N2133" s="7">
        <f t="shared" si="5"/>
        <v>0.00005135245609</v>
      </c>
      <c r="O2133" s="7"/>
      <c r="P2133" s="4">
        <f t="shared" si="6"/>
        <v>-0.4133551498</v>
      </c>
      <c r="Q2133" s="4">
        <f t="shared" si="7"/>
        <v>9</v>
      </c>
      <c r="R2133" s="4">
        <f t="shared" si="8"/>
        <v>0</v>
      </c>
      <c r="S2133" s="4">
        <f t="shared" si="9"/>
        <v>-0.4133551498</v>
      </c>
      <c r="T2133" s="4">
        <f t="shared" si="10"/>
        <v>40</v>
      </c>
      <c r="U2133" s="4">
        <f t="shared" si="1"/>
        <v>-0.4133551498</v>
      </c>
      <c r="V2133" s="4"/>
    </row>
    <row r="2134">
      <c r="A2134" s="1" t="s">
        <v>20228</v>
      </c>
      <c r="B2134" s="1" t="s">
        <v>20229</v>
      </c>
      <c r="C2134" s="1" t="s">
        <v>20230</v>
      </c>
      <c r="D2134" s="1" t="s">
        <v>19948</v>
      </c>
      <c r="E2134" s="1" t="s">
        <v>19949</v>
      </c>
      <c r="F2134" s="1">
        <v>150707.0</v>
      </c>
      <c r="G2134" s="1">
        <v>1524.0</v>
      </c>
      <c r="H2134" s="1">
        <v>216.0</v>
      </c>
      <c r="I2134" s="1">
        <v>622000.0</v>
      </c>
      <c r="J2134" s="1" t="s">
        <v>2468</v>
      </c>
      <c r="K2134" s="5">
        <f t="shared" si="2"/>
        <v>0.2422942122</v>
      </c>
      <c r="L2134" s="6">
        <f t="shared" si="3"/>
        <v>2297</v>
      </c>
      <c r="M2134" s="6">
        <f t="shared" si="4"/>
        <v>65.61036134</v>
      </c>
      <c r="N2134" s="7">
        <f t="shared" si="5"/>
        <v>0.000105482896</v>
      </c>
      <c r="O2134" s="7"/>
      <c r="P2134" s="4">
        <f t="shared" si="6"/>
        <v>-0.3752276476</v>
      </c>
      <c r="Q2134" s="4">
        <f t="shared" si="7"/>
        <v>10</v>
      </c>
      <c r="R2134" s="4">
        <f t="shared" si="8"/>
        <v>1</v>
      </c>
      <c r="S2134" s="4">
        <f t="shared" si="9"/>
        <v>-0.3752276476</v>
      </c>
      <c r="T2134" s="4">
        <f t="shared" si="10"/>
        <v>50</v>
      </c>
      <c r="U2134" s="4">
        <f t="shared" si="1"/>
        <v>-0.3752276476</v>
      </c>
      <c r="V2134" s="4"/>
    </row>
    <row r="2135">
      <c r="A2135" s="1" t="s">
        <v>20231</v>
      </c>
      <c r="B2135" s="1" t="s">
        <v>20232</v>
      </c>
      <c r="C2135" s="1" t="s">
        <v>20233</v>
      </c>
      <c r="D2135" s="1" t="s">
        <v>19948</v>
      </c>
      <c r="E2135" s="1" t="s">
        <v>19949</v>
      </c>
      <c r="F2135" s="1">
        <v>1436962.0</v>
      </c>
      <c r="G2135" s="1">
        <v>7935.0</v>
      </c>
      <c r="H2135" s="1">
        <v>765.0</v>
      </c>
      <c r="I2135" s="1">
        <v>622000.0</v>
      </c>
      <c r="J2135" s="1" t="s">
        <v>2468</v>
      </c>
      <c r="K2135" s="5">
        <f t="shared" si="2"/>
        <v>2.310228296</v>
      </c>
      <c r="L2135" s="6">
        <f t="shared" si="3"/>
        <v>2297</v>
      </c>
      <c r="M2135" s="6">
        <f t="shared" si="4"/>
        <v>625.5820636</v>
      </c>
      <c r="N2135" s="7">
        <f t="shared" si="5"/>
        <v>0.001005758945</v>
      </c>
      <c r="O2135" s="7"/>
      <c r="P2135" s="4">
        <f t="shared" si="6"/>
        <v>0.258893875</v>
      </c>
      <c r="Q2135" s="4">
        <f t="shared" si="7"/>
        <v>7</v>
      </c>
      <c r="R2135" s="4">
        <f t="shared" si="8"/>
        <v>0</v>
      </c>
      <c r="S2135" s="4">
        <f t="shared" si="9"/>
        <v>0.258893875</v>
      </c>
      <c r="T2135" s="4">
        <f t="shared" si="10"/>
        <v>34</v>
      </c>
      <c r="U2135" s="4">
        <f t="shared" si="1"/>
        <v>0.258893875</v>
      </c>
      <c r="V2135" s="4"/>
    </row>
    <row r="2136">
      <c r="A2136" s="1" t="s">
        <v>20234</v>
      </c>
      <c r="B2136" s="1" t="s">
        <v>20235</v>
      </c>
      <c r="C2136" s="1" t="s">
        <v>20236</v>
      </c>
      <c r="D2136" s="1" t="s">
        <v>19948</v>
      </c>
      <c r="E2136" s="1" t="s">
        <v>19949</v>
      </c>
      <c r="F2136" s="1">
        <v>33311.0</v>
      </c>
      <c r="G2136" s="1">
        <v>1551.0</v>
      </c>
      <c r="H2136" s="1">
        <v>204.0</v>
      </c>
      <c r="I2136" s="1">
        <v>622000.0</v>
      </c>
      <c r="J2136" s="1" t="s">
        <v>2468</v>
      </c>
      <c r="K2136" s="5">
        <f t="shared" si="2"/>
        <v>0.05355466238</v>
      </c>
      <c r="L2136" s="6">
        <f t="shared" si="3"/>
        <v>2304</v>
      </c>
      <c r="M2136" s="6">
        <f t="shared" si="4"/>
        <v>14.45789931</v>
      </c>
      <c r="N2136" s="7">
        <f t="shared" si="5"/>
        <v>0.0000232442111</v>
      </c>
      <c r="O2136" s="7"/>
      <c r="P2136" s="4">
        <f t="shared" si="6"/>
        <v>-0.4331535695</v>
      </c>
      <c r="Q2136" s="4">
        <f t="shared" si="7"/>
        <v>5</v>
      </c>
      <c r="R2136" s="4">
        <f t="shared" si="8"/>
        <v>0</v>
      </c>
      <c r="S2136" s="4">
        <f t="shared" si="9"/>
        <v>-0.4331535695</v>
      </c>
      <c r="T2136" s="4">
        <f t="shared" si="10"/>
        <v>35</v>
      </c>
      <c r="U2136" s="4">
        <f t="shared" si="1"/>
        <v>-0.4331535695</v>
      </c>
      <c r="V2136" s="4"/>
    </row>
    <row r="2137">
      <c r="A2137" s="1" t="s">
        <v>20237</v>
      </c>
      <c r="B2137" s="1" t="s">
        <v>20238</v>
      </c>
      <c r="C2137" s="1" t="s">
        <v>20239</v>
      </c>
      <c r="D2137" s="1" t="s">
        <v>19948</v>
      </c>
      <c r="E2137" s="1" t="s">
        <v>19949</v>
      </c>
      <c r="F2137" s="1">
        <v>134667.0</v>
      </c>
      <c r="G2137" s="1">
        <v>3421.0</v>
      </c>
      <c r="H2137" s="1">
        <v>197.0</v>
      </c>
      <c r="I2137" s="1">
        <v>622000.0</v>
      </c>
      <c r="J2137" s="1" t="s">
        <v>2468</v>
      </c>
      <c r="K2137" s="5">
        <f t="shared" si="2"/>
        <v>0.2165064309</v>
      </c>
      <c r="L2137" s="6">
        <f t="shared" si="3"/>
        <v>2305</v>
      </c>
      <c r="M2137" s="6">
        <f t="shared" si="4"/>
        <v>58.42386117</v>
      </c>
      <c r="N2137" s="7">
        <f t="shared" si="5"/>
        <v>0.00009392903725</v>
      </c>
      <c r="O2137" s="7"/>
      <c r="P2137" s="4">
        <f t="shared" si="6"/>
        <v>-0.3833657632</v>
      </c>
      <c r="Q2137" s="4">
        <f t="shared" si="7"/>
        <v>9</v>
      </c>
      <c r="R2137" s="4">
        <f t="shared" si="8"/>
        <v>0</v>
      </c>
      <c r="S2137" s="4">
        <f t="shared" si="9"/>
        <v>-0.3833657632</v>
      </c>
      <c r="T2137" s="4">
        <f t="shared" si="10"/>
        <v>37</v>
      </c>
      <c r="U2137" s="4">
        <f t="shared" si="1"/>
        <v>-0.3833657632</v>
      </c>
      <c r="V2137" s="4"/>
    </row>
    <row r="2138">
      <c r="A2138" s="1" t="s">
        <v>20240</v>
      </c>
      <c r="B2138" s="1" t="s">
        <v>20241</v>
      </c>
      <c r="C2138" s="1" t="s">
        <v>20242</v>
      </c>
      <c r="D2138" s="1" t="s">
        <v>19948</v>
      </c>
      <c r="E2138" s="1" t="s">
        <v>19949</v>
      </c>
      <c r="F2138" s="1">
        <v>32198.0</v>
      </c>
      <c r="G2138" s="1">
        <v>1862.0</v>
      </c>
      <c r="H2138" s="1">
        <v>218.0</v>
      </c>
      <c r="I2138" s="1">
        <v>622000.0</v>
      </c>
      <c r="J2138" s="1" t="s">
        <v>2468</v>
      </c>
      <c r="K2138" s="5">
        <f t="shared" si="2"/>
        <v>0.05176527331</v>
      </c>
      <c r="L2138" s="6">
        <f t="shared" si="3"/>
        <v>2336</v>
      </c>
      <c r="M2138" s="6">
        <f t="shared" si="4"/>
        <v>13.78339041</v>
      </c>
      <c r="N2138" s="7">
        <f t="shared" si="5"/>
        <v>0.00002215979166</v>
      </c>
      <c r="O2138" s="7"/>
      <c r="P2138" s="4">
        <f t="shared" si="6"/>
        <v>-0.4339173949</v>
      </c>
      <c r="Q2138" s="4">
        <f t="shared" si="7"/>
        <v>10</v>
      </c>
      <c r="R2138" s="4">
        <f t="shared" si="8"/>
        <v>0</v>
      </c>
      <c r="S2138" s="4">
        <f t="shared" si="9"/>
        <v>-0.4339173949</v>
      </c>
      <c r="T2138" s="4">
        <f t="shared" si="10"/>
        <v>48</v>
      </c>
      <c r="U2138" s="4">
        <f t="shared" si="1"/>
        <v>-0.4339173949</v>
      </c>
      <c r="V2138" s="4"/>
    </row>
    <row r="2139">
      <c r="A2139" s="1" t="s">
        <v>20243</v>
      </c>
      <c r="B2139" s="1" t="s">
        <v>20244</v>
      </c>
      <c r="C2139" s="1" t="s">
        <v>20245</v>
      </c>
      <c r="D2139" s="1" t="s">
        <v>20246</v>
      </c>
      <c r="E2139" s="1" t="s">
        <v>20247</v>
      </c>
      <c r="F2139" s="1">
        <v>4572824.0</v>
      </c>
      <c r="G2139" s="1">
        <v>158244.0</v>
      </c>
      <c r="H2139" s="1">
        <v>3806.0</v>
      </c>
      <c r="I2139" s="1">
        <v>8770000.0</v>
      </c>
      <c r="J2139" s="1" t="s">
        <v>2468</v>
      </c>
      <c r="K2139" s="5">
        <f t="shared" si="2"/>
        <v>0.5214166477</v>
      </c>
      <c r="L2139" s="6">
        <f t="shared" si="3"/>
        <v>39</v>
      </c>
      <c r="M2139" s="6">
        <f t="shared" si="4"/>
        <v>117251.8974</v>
      </c>
      <c r="N2139" s="7">
        <f t="shared" si="5"/>
        <v>0.01336965763</v>
      </c>
      <c r="O2139" s="7"/>
      <c r="P2139" s="4">
        <f t="shared" si="6"/>
        <v>8.967571923</v>
      </c>
      <c r="Q2139" s="4">
        <f t="shared" si="7"/>
        <v>8</v>
      </c>
      <c r="R2139" s="4">
        <f t="shared" si="8"/>
        <v>0</v>
      </c>
      <c r="S2139" s="4">
        <f t="shared" si="9"/>
        <v>8.967571923</v>
      </c>
      <c r="T2139" s="4">
        <f t="shared" si="10"/>
        <v>47</v>
      </c>
      <c r="U2139" s="4">
        <f t="shared" si="1"/>
        <v>8.967571923</v>
      </c>
      <c r="V2139" s="4"/>
    </row>
    <row r="2140">
      <c r="A2140" s="1" t="s">
        <v>20248</v>
      </c>
      <c r="B2140" s="1" t="s">
        <v>20249</v>
      </c>
      <c r="C2140" s="1" t="s">
        <v>20250</v>
      </c>
      <c r="D2140" s="1" t="s">
        <v>20246</v>
      </c>
      <c r="E2140" s="1" t="s">
        <v>20247</v>
      </c>
      <c r="F2140" s="1">
        <v>393685.0</v>
      </c>
      <c r="G2140" s="1">
        <v>21186.0</v>
      </c>
      <c r="H2140" s="1">
        <v>1291.0</v>
      </c>
      <c r="I2140" s="1">
        <v>8770000.0</v>
      </c>
      <c r="J2140" s="1" t="s">
        <v>2468</v>
      </c>
      <c r="K2140" s="5">
        <f t="shared" si="2"/>
        <v>0.04488996579</v>
      </c>
      <c r="L2140" s="6">
        <f t="shared" si="3"/>
        <v>76</v>
      </c>
      <c r="M2140" s="6">
        <f t="shared" si="4"/>
        <v>5180.065789</v>
      </c>
      <c r="N2140" s="7">
        <f t="shared" si="5"/>
        <v>0.0005906574446</v>
      </c>
      <c r="O2140" s="7"/>
      <c r="P2140" s="4">
        <f t="shared" si="6"/>
        <v>-0.03348843996</v>
      </c>
      <c r="Q2140" s="4">
        <f t="shared" si="7"/>
        <v>7</v>
      </c>
      <c r="R2140" s="4">
        <f t="shared" si="8"/>
        <v>0</v>
      </c>
      <c r="S2140" s="4">
        <f t="shared" si="9"/>
        <v>-0.03348843996</v>
      </c>
      <c r="T2140" s="4">
        <f t="shared" si="10"/>
        <v>36</v>
      </c>
      <c r="U2140" s="4">
        <f t="shared" si="1"/>
        <v>-0.03348843996</v>
      </c>
      <c r="V2140" s="4"/>
    </row>
    <row r="2141">
      <c r="A2141" s="1" t="s">
        <v>20251</v>
      </c>
      <c r="B2141" s="1" t="s">
        <v>20252</v>
      </c>
      <c r="C2141" s="1" t="s">
        <v>20253</v>
      </c>
      <c r="D2141" s="1" t="s">
        <v>20246</v>
      </c>
      <c r="E2141" s="1" t="s">
        <v>20247</v>
      </c>
      <c r="F2141" s="1">
        <v>894248.0</v>
      </c>
      <c r="G2141" s="1">
        <v>37879.0</v>
      </c>
      <c r="H2141" s="1">
        <v>733.0</v>
      </c>
      <c r="I2141" s="1">
        <v>8770000.0</v>
      </c>
      <c r="J2141" s="1" t="s">
        <v>2468</v>
      </c>
      <c r="K2141" s="5">
        <f t="shared" si="2"/>
        <v>0.1019667047</v>
      </c>
      <c r="L2141" s="6">
        <f t="shared" si="3"/>
        <v>84</v>
      </c>
      <c r="M2141" s="6">
        <f t="shared" si="4"/>
        <v>10645.80952</v>
      </c>
      <c r="N2141" s="7">
        <f t="shared" si="5"/>
        <v>0.001213889341</v>
      </c>
      <c r="O2141" s="7"/>
      <c r="P2141" s="4">
        <f t="shared" si="6"/>
        <v>0.4054933145</v>
      </c>
      <c r="Q2141" s="4">
        <f t="shared" si="7"/>
        <v>6</v>
      </c>
      <c r="R2141" s="4">
        <f t="shared" si="8"/>
        <v>0</v>
      </c>
      <c r="S2141" s="4">
        <f t="shared" si="9"/>
        <v>0.4054933145</v>
      </c>
      <c r="T2141" s="4">
        <f t="shared" si="10"/>
        <v>37</v>
      </c>
      <c r="U2141" s="4">
        <f t="shared" si="1"/>
        <v>0.4054933145</v>
      </c>
      <c r="V2141" s="4"/>
    </row>
    <row r="2142">
      <c r="A2142" s="1" t="s">
        <v>20254</v>
      </c>
      <c r="B2142" s="1" t="s">
        <v>20255</v>
      </c>
      <c r="C2142" s="1" t="s">
        <v>20256</v>
      </c>
      <c r="D2142" s="1" t="s">
        <v>20246</v>
      </c>
      <c r="E2142" s="1" t="s">
        <v>20247</v>
      </c>
      <c r="F2142" s="1">
        <v>181595.0</v>
      </c>
      <c r="G2142" s="1">
        <v>10784.0</v>
      </c>
      <c r="H2142" s="1">
        <v>410.0</v>
      </c>
      <c r="I2142" s="1">
        <v>8770000.0</v>
      </c>
      <c r="J2142" s="1" t="s">
        <v>2468</v>
      </c>
      <c r="K2142" s="5">
        <f t="shared" si="2"/>
        <v>0.0207063854</v>
      </c>
      <c r="L2142" s="6">
        <f t="shared" si="3"/>
        <v>100</v>
      </c>
      <c r="M2142" s="6">
        <f t="shared" si="4"/>
        <v>1815.95</v>
      </c>
      <c r="N2142" s="7">
        <f t="shared" si="5"/>
        <v>0.000207063854</v>
      </c>
      <c r="O2142" s="7"/>
      <c r="P2142" s="4">
        <f t="shared" si="6"/>
        <v>-0.3036777359</v>
      </c>
      <c r="Q2142" s="4">
        <f t="shared" si="7"/>
        <v>7</v>
      </c>
      <c r="R2142" s="4">
        <f t="shared" si="8"/>
        <v>0</v>
      </c>
      <c r="S2142" s="4">
        <f t="shared" si="9"/>
        <v>-0.3036777359</v>
      </c>
      <c r="T2142" s="4">
        <f t="shared" si="10"/>
        <v>51</v>
      </c>
      <c r="U2142" s="4">
        <f t="shared" si="1"/>
        <v>-0.3036777359</v>
      </c>
      <c r="V2142" s="4"/>
    </row>
    <row r="2143">
      <c r="A2143" s="1" t="s">
        <v>20257</v>
      </c>
      <c r="B2143" s="1" t="s">
        <v>20258</v>
      </c>
      <c r="C2143" s="1" t="s">
        <v>20259</v>
      </c>
      <c r="D2143" s="1" t="s">
        <v>20246</v>
      </c>
      <c r="E2143" s="1" t="s">
        <v>20247</v>
      </c>
      <c r="F2143" s="1">
        <v>458077.0</v>
      </c>
      <c r="G2143" s="1">
        <v>13818.0</v>
      </c>
      <c r="H2143" s="1">
        <v>218.0</v>
      </c>
      <c r="I2143" s="1">
        <v>8770000.0</v>
      </c>
      <c r="J2143" s="1" t="s">
        <v>2468</v>
      </c>
      <c r="K2143" s="5">
        <f t="shared" si="2"/>
        <v>0.0522322691</v>
      </c>
      <c r="L2143" s="6">
        <f t="shared" si="3"/>
        <v>110</v>
      </c>
      <c r="M2143" s="6">
        <f t="shared" si="4"/>
        <v>4164.336364</v>
      </c>
      <c r="N2143" s="7">
        <f t="shared" si="5"/>
        <v>0.00047483881</v>
      </c>
      <c r="O2143" s="7"/>
      <c r="P2143" s="4">
        <f t="shared" si="6"/>
        <v>-0.1150668503</v>
      </c>
      <c r="Q2143" s="4">
        <f t="shared" si="7"/>
        <v>7</v>
      </c>
      <c r="R2143" s="4">
        <f t="shared" si="8"/>
        <v>0</v>
      </c>
      <c r="S2143" s="4">
        <f t="shared" si="9"/>
        <v>-0.1150668503</v>
      </c>
      <c r="T2143" s="4">
        <f t="shared" si="10"/>
        <v>55</v>
      </c>
      <c r="U2143" s="4">
        <f t="shared" si="1"/>
        <v>-0.1150668503</v>
      </c>
      <c r="V2143" s="4"/>
    </row>
    <row r="2144">
      <c r="A2144" s="1" t="s">
        <v>20260</v>
      </c>
      <c r="B2144" s="1" t="s">
        <v>20261</v>
      </c>
      <c r="C2144" s="1" t="s">
        <v>20262</v>
      </c>
      <c r="D2144" s="1" t="s">
        <v>20246</v>
      </c>
      <c r="E2144" s="1" t="s">
        <v>20247</v>
      </c>
      <c r="F2144" s="1">
        <v>1546833.0</v>
      </c>
      <c r="G2144" s="1">
        <v>60619.0</v>
      </c>
      <c r="H2144" s="1">
        <v>1454.0</v>
      </c>
      <c r="I2144" s="1">
        <v>8770000.0</v>
      </c>
      <c r="J2144" s="1" t="s">
        <v>2468</v>
      </c>
      <c r="K2144" s="5">
        <f t="shared" si="2"/>
        <v>0.1763777651</v>
      </c>
      <c r="L2144" s="6">
        <f t="shared" si="3"/>
        <v>118</v>
      </c>
      <c r="M2144" s="6">
        <f t="shared" si="4"/>
        <v>13108.75424</v>
      </c>
      <c r="N2144" s="7">
        <f t="shared" si="5"/>
        <v>0.001494726823</v>
      </c>
      <c r="O2144" s="7"/>
      <c r="P2144" s="4">
        <f t="shared" si="6"/>
        <v>0.6033049654</v>
      </c>
      <c r="Q2144" s="4">
        <f t="shared" si="7"/>
        <v>7</v>
      </c>
      <c r="R2144" s="4">
        <f t="shared" si="8"/>
        <v>0</v>
      </c>
      <c r="S2144" s="4">
        <f t="shared" si="9"/>
        <v>0.6033049654</v>
      </c>
      <c r="T2144" s="4">
        <f t="shared" si="10"/>
        <v>48</v>
      </c>
      <c r="U2144" s="4">
        <f t="shared" si="1"/>
        <v>0.6033049654</v>
      </c>
      <c r="V2144" s="4"/>
    </row>
    <row r="2145">
      <c r="A2145" s="1" t="s">
        <v>20263</v>
      </c>
      <c r="B2145" s="1" t="s">
        <v>20264</v>
      </c>
      <c r="C2145" s="1" t="s">
        <v>20265</v>
      </c>
      <c r="D2145" s="1" t="s">
        <v>20246</v>
      </c>
      <c r="E2145" s="1" t="s">
        <v>20247</v>
      </c>
      <c r="F2145" s="1">
        <v>349451.0</v>
      </c>
      <c r="G2145" s="1">
        <v>8850.0</v>
      </c>
      <c r="H2145" s="1">
        <v>115.0</v>
      </c>
      <c r="I2145" s="1">
        <v>8770000.0</v>
      </c>
      <c r="J2145" s="1" t="s">
        <v>2468</v>
      </c>
      <c r="K2145" s="5">
        <f t="shared" si="2"/>
        <v>0.03984618016</v>
      </c>
      <c r="L2145" s="6">
        <f t="shared" si="3"/>
        <v>127</v>
      </c>
      <c r="M2145" s="6">
        <f t="shared" si="4"/>
        <v>2751.582677</v>
      </c>
      <c r="N2145" s="7">
        <f t="shared" si="5"/>
        <v>0.0003137494501</v>
      </c>
      <c r="O2145" s="7"/>
      <c r="P2145" s="4">
        <f t="shared" si="6"/>
        <v>-0.2285323039</v>
      </c>
      <c r="Q2145" s="4">
        <f t="shared" si="7"/>
        <v>5</v>
      </c>
      <c r="R2145" s="4">
        <f t="shared" si="8"/>
        <v>0</v>
      </c>
      <c r="S2145" s="4">
        <f t="shared" si="9"/>
        <v>-0.2285323039</v>
      </c>
      <c r="T2145" s="4">
        <f t="shared" si="10"/>
        <v>52</v>
      </c>
      <c r="U2145" s="4">
        <f t="shared" si="1"/>
        <v>-0.2285323039</v>
      </c>
      <c r="V2145" s="4"/>
    </row>
    <row r="2146">
      <c r="A2146" s="1" t="s">
        <v>20266</v>
      </c>
      <c r="B2146" s="1" t="s">
        <v>20267</v>
      </c>
      <c r="C2146" s="1" t="s">
        <v>20268</v>
      </c>
      <c r="D2146" s="1" t="s">
        <v>20246</v>
      </c>
      <c r="E2146" s="1" t="s">
        <v>20247</v>
      </c>
      <c r="F2146" s="1">
        <v>900010.0</v>
      </c>
      <c r="G2146" s="1">
        <v>32762.0</v>
      </c>
      <c r="H2146" s="1">
        <v>408.0</v>
      </c>
      <c r="I2146" s="1">
        <v>8770000.0</v>
      </c>
      <c r="J2146" s="1" t="s">
        <v>2468</v>
      </c>
      <c r="K2146" s="5">
        <f t="shared" si="2"/>
        <v>0.1026237172</v>
      </c>
      <c r="L2146" s="6">
        <f t="shared" si="3"/>
        <v>132</v>
      </c>
      <c r="M2146" s="6">
        <f t="shared" si="4"/>
        <v>6818.257576</v>
      </c>
      <c r="N2146" s="7">
        <f t="shared" si="5"/>
        <v>0.0007774524032</v>
      </c>
      <c r="O2146" s="7"/>
      <c r="P2146" s="4">
        <f t="shared" si="6"/>
        <v>0.09808309714</v>
      </c>
      <c r="Q2146" s="4">
        <f t="shared" si="7"/>
        <v>6</v>
      </c>
      <c r="R2146" s="4">
        <f t="shared" si="8"/>
        <v>0</v>
      </c>
      <c r="S2146" s="4">
        <f t="shared" si="9"/>
        <v>0.09808309714</v>
      </c>
      <c r="T2146" s="4">
        <f t="shared" si="10"/>
        <v>52</v>
      </c>
      <c r="U2146" s="4">
        <f t="shared" si="1"/>
        <v>0.09808309714</v>
      </c>
      <c r="V2146" s="4"/>
    </row>
    <row r="2147">
      <c r="A2147" s="1" t="s">
        <v>20269</v>
      </c>
      <c r="B2147" s="1" t="s">
        <v>20270</v>
      </c>
      <c r="C2147" s="1" t="s">
        <v>20271</v>
      </c>
      <c r="D2147" s="1" t="s">
        <v>20246</v>
      </c>
      <c r="E2147" s="1" t="s">
        <v>20247</v>
      </c>
      <c r="F2147" s="1">
        <v>350378.0</v>
      </c>
      <c r="G2147" s="1">
        <v>10576.0</v>
      </c>
      <c r="H2147" s="1">
        <v>112.0</v>
      </c>
      <c r="I2147" s="1">
        <v>8770000.0</v>
      </c>
      <c r="J2147" s="1" t="s">
        <v>2468</v>
      </c>
      <c r="K2147" s="5">
        <f t="shared" si="2"/>
        <v>0.03995188141</v>
      </c>
      <c r="L2147" s="6">
        <f t="shared" si="3"/>
        <v>135</v>
      </c>
      <c r="M2147" s="6">
        <f t="shared" si="4"/>
        <v>2595.392593</v>
      </c>
      <c r="N2147" s="7">
        <f t="shared" si="5"/>
        <v>0.0002959398623</v>
      </c>
      <c r="O2147" s="7"/>
      <c r="P2147" s="4">
        <f t="shared" si="6"/>
        <v>-0.2410767262</v>
      </c>
      <c r="Q2147" s="4">
        <f t="shared" si="7"/>
        <v>8</v>
      </c>
      <c r="R2147" s="4">
        <f t="shared" si="8"/>
        <v>0</v>
      </c>
      <c r="S2147" s="4">
        <f t="shared" si="9"/>
        <v>-0.2410767262</v>
      </c>
      <c r="T2147" s="4">
        <f t="shared" si="10"/>
        <v>48</v>
      </c>
      <c r="U2147" s="4">
        <f t="shared" si="1"/>
        <v>-0.2410767262</v>
      </c>
      <c r="V2147" s="4"/>
    </row>
    <row r="2148">
      <c r="A2148" s="1" t="s">
        <v>20272</v>
      </c>
      <c r="B2148" s="1" t="s">
        <v>20273</v>
      </c>
      <c r="C2148" s="1" t="s">
        <v>20274</v>
      </c>
      <c r="D2148" s="1" t="s">
        <v>20246</v>
      </c>
      <c r="E2148" s="1" t="s">
        <v>20247</v>
      </c>
      <c r="F2148" s="1">
        <v>848064.0</v>
      </c>
      <c r="G2148" s="1">
        <v>35399.0</v>
      </c>
      <c r="H2148" s="1">
        <v>1707.0</v>
      </c>
      <c r="I2148" s="1">
        <v>8770000.0</v>
      </c>
      <c r="J2148" s="1" t="s">
        <v>2468</v>
      </c>
      <c r="K2148" s="5">
        <f t="shared" si="2"/>
        <v>0.09670057013</v>
      </c>
      <c r="L2148" s="6">
        <f t="shared" si="3"/>
        <v>153</v>
      </c>
      <c r="M2148" s="6">
        <f t="shared" si="4"/>
        <v>5542.901961</v>
      </c>
      <c r="N2148" s="7">
        <f t="shared" si="5"/>
        <v>0.0006320298701</v>
      </c>
      <c r="O2148" s="7"/>
      <c r="P2148" s="4">
        <f t="shared" si="6"/>
        <v>-0.004347216583</v>
      </c>
      <c r="Q2148" s="4">
        <f t="shared" si="7"/>
        <v>4</v>
      </c>
      <c r="R2148" s="4">
        <f t="shared" si="8"/>
        <v>1</v>
      </c>
      <c r="S2148" s="4">
        <f t="shared" si="9"/>
        <v>-0.004347216583</v>
      </c>
      <c r="T2148" s="4">
        <f t="shared" si="10"/>
        <v>34</v>
      </c>
      <c r="U2148" s="4">
        <f t="shared" si="1"/>
        <v>-0.004347216583</v>
      </c>
      <c r="V2148" s="4"/>
    </row>
    <row r="2149">
      <c r="A2149" s="1" t="s">
        <v>20275</v>
      </c>
      <c r="B2149" s="1" t="s">
        <v>20276</v>
      </c>
      <c r="C2149" s="1" t="s">
        <v>20277</v>
      </c>
      <c r="D2149" s="1" t="s">
        <v>20246</v>
      </c>
      <c r="E2149" s="1" t="s">
        <v>20247</v>
      </c>
      <c r="F2149" s="1">
        <v>646091.0</v>
      </c>
      <c r="G2149" s="1">
        <v>28714.0</v>
      </c>
      <c r="H2149" s="1">
        <v>1397.0</v>
      </c>
      <c r="I2149" s="1">
        <v>8770000.0</v>
      </c>
      <c r="J2149" s="1" t="s">
        <v>2468</v>
      </c>
      <c r="K2149" s="5">
        <f t="shared" si="2"/>
        <v>0.07367058153</v>
      </c>
      <c r="L2149" s="6">
        <f t="shared" si="3"/>
        <v>167</v>
      </c>
      <c r="M2149" s="6">
        <f t="shared" si="4"/>
        <v>3868.808383</v>
      </c>
      <c r="N2149" s="7">
        <f t="shared" si="5"/>
        <v>0.0004411412068</v>
      </c>
      <c r="O2149" s="7"/>
      <c r="P2149" s="4">
        <f t="shared" si="6"/>
        <v>-0.1388022096</v>
      </c>
      <c r="Q2149" s="4">
        <f t="shared" si="7"/>
        <v>5</v>
      </c>
      <c r="R2149" s="4">
        <f t="shared" si="8"/>
        <v>0</v>
      </c>
      <c r="S2149" s="4">
        <f t="shared" si="9"/>
        <v>-0.1388022096</v>
      </c>
      <c r="T2149" s="4">
        <f t="shared" si="10"/>
        <v>21</v>
      </c>
      <c r="U2149" s="4">
        <f t="shared" si="1"/>
        <v>-0.1388022096</v>
      </c>
      <c r="V2149" s="4"/>
    </row>
    <row r="2150">
      <c r="A2150" s="1" t="s">
        <v>20278</v>
      </c>
      <c r="B2150" s="1" t="s">
        <v>20279</v>
      </c>
      <c r="C2150" s="1" t="s">
        <v>20280</v>
      </c>
      <c r="D2150" s="1" t="s">
        <v>20246</v>
      </c>
      <c r="E2150" s="1" t="s">
        <v>20247</v>
      </c>
      <c r="F2150" s="1">
        <v>2552337.0</v>
      </c>
      <c r="G2150" s="1">
        <v>86568.0</v>
      </c>
      <c r="H2150" s="1">
        <v>2055.0</v>
      </c>
      <c r="I2150" s="1">
        <v>8770000.0</v>
      </c>
      <c r="J2150" s="1" t="s">
        <v>2468</v>
      </c>
      <c r="K2150" s="5">
        <f t="shared" si="2"/>
        <v>0.2910304447</v>
      </c>
      <c r="L2150" s="6">
        <f t="shared" si="3"/>
        <v>185</v>
      </c>
      <c r="M2150" s="6">
        <f t="shared" si="4"/>
        <v>13796.41622</v>
      </c>
      <c r="N2150" s="7">
        <f t="shared" si="5"/>
        <v>0.001573137539</v>
      </c>
      <c r="O2150" s="7"/>
      <c r="P2150" s="4">
        <f t="shared" si="6"/>
        <v>0.658534606</v>
      </c>
      <c r="Q2150" s="4">
        <f t="shared" si="7"/>
        <v>6</v>
      </c>
      <c r="R2150" s="4">
        <f t="shared" si="8"/>
        <v>0</v>
      </c>
      <c r="S2150" s="4">
        <f t="shared" si="9"/>
        <v>0.658534606</v>
      </c>
      <c r="T2150" s="4">
        <f t="shared" si="10"/>
        <v>35</v>
      </c>
      <c r="U2150" s="4">
        <f t="shared" si="1"/>
        <v>0.658534606</v>
      </c>
      <c r="V2150" s="4"/>
    </row>
    <row r="2151">
      <c r="A2151" s="1" t="s">
        <v>20281</v>
      </c>
      <c r="B2151" s="1" t="s">
        <v>20282</v>
      </c>
      <c r="C2151" s="1" t="s">
        <v>20283</v>
      </c>
      <c r="D2151" s="1" t="s">
        <v>20246</v>
      </c>
      <c r="E2151" s="1" t="s">
        <v>20247</v>
      </c>
      <c r="F2151" s="1">
        <v>486137.0</v>
      </c>
      <c r="G2151" s="1">
        <v>28525.0</v>
      </c>
      <c r="H2151" s="1">
        <v>4205.0</v>
      </c>
      <c r="I2151" s="1">
        <v>8770000.0</v>
      </c>
      <c r="J2151" s="1" t="s">
        <v>2468</v>
      </c>
      <c r="K2151" s="5">
        <f t="shared" si="2"/>
        <v>0.055431813</v>
      </c>
      <c r="L2151" s="6">
        <f t="shared" si="3"/>
        <v>188</v>
      </c>
      <c r="M2151" s="6">
        <f t="shared" si="4"/>
        <v>2585.835106</v>
      </c>
      <c r="N2151" s="7">
        <f t="shared" si="5"/>
        <v>0.0002948500691</v>
      </c>
      <c r="O2151" s="7"/>
      <c r="P2151" s="4">
        <f t="shared" si="6"/>
        <v>-0.2418443366</v>
      </c>
      <c r="Q2151" s="4">
        <f t="shared" si="7"/>
        <v>5</v>
      </c>
      <c r="R2151" s="4">
        <f t="shared" si="8"/>
        <v>0</v>
      </c>
      <c r="S2151" s="4">
        <f t="shared" si="9"/>
        <v>-0.2418443366</v>
      </c>
      <c r="T2151" s="4">
        <f t="shared" si="10"/>
        <v>32</v>
      </c>
      <c r="U2151" s="4">
        <f t="shared" si="1"/>
        <v>-0.2418443366</v>
      </c>
      <c r="V2151" s="4"/>
    </row>
    <row r="2152">
      <c r="A2152" s="1" t="s">
        <v>20284</v>
      </c>
      <c r="B2152" s="1" t="s">
        <v>20285</v>
      </c>
      <c r="C2152" s="1" t="s">
        <v>20286</v>
      </c>
      <c r="D2152" s="1" t="s">
        <v>20246</v>
      </c>
      <c r="E2152" s="1" t="s">
        <v>20247</v>
      </c>
      <c r="F2152" s="1">
        <v>568172.0</v>
      </c>
      <c r="G2152" s="1">
        <v>34856.0</v>
      </c>
      <c r="H2152" s="1">
        <v>3098.0</v>
      </c>
      <c r="I2152" s="1">
        <v>8770000.0</v>
      </c>
      <c r="J2152" s="1" t="s">
        <v>2468</v>
      </c>
      <c r="K2152" s="5">
        <f t="shared" si="2"/>
        <v>0.06478586089</v>
      </c>
      <c r="L2152" s="6">
        <f t="shared" si="3"/>
        <v>217</v>
      </c>
      <c r="M2152" s="6">
        <f t="shared" si="4"/>
        <v>2618.304147</v>
      </c>
      <c r="N2152" s="7">
        <f t="shared" si="5"/>
        <v>0.0002985523543</v>
      </c>
      <c r="O2152" s="7"/>
      <c r="P2152" s="4">
        <f t="shared" si="6"/>
        <v>-0.2392365823</v>
      </c>
      <c r="Q2152" s="4">
        <f t="shared" si="7"/>
        <v>3</v>
      </c>
      <c r="R2152" s="4">
        <f t="shared" si="8"/>
        <v>0</v>
      </c>
      <c r="S2152" s="4">
        <f t="shared" si="9"/>
        <v>-0.2392365823</v>
      </c>
      <c r="T2152" s="4">
        <f t="shared" si="10"/>
        <v>27</v>
      </c>
      <c r="U2152" s="4">
        <f t="shared" si="1"/>
        <v>-0.2392365823</v>
      </c>
      <c r="V2152" s="4"/>
    </row>
    <row r="2153">
      <c r="A2153" s="1" t="s">
        <v>20287</v>
      </c>
      <c r="B2153" s="1" t="s">
        <v>20288</v>
      </c>
      <c r="C2153" s="1" t="s">
        <v>20289</v>
      </c>
      <c r="D2153" s="1" t="s">
        <v>20246</v>
      </c>
      <c r="E2153" s="1" t="s">
        <v>20247</v>
      </c>
      <c r="F2153" s="1">
        <v>351737.0</v>
      </c>
      <c r="G2153" s="1">
        <v>16215.0</v>
      </c>
      <c r="H2153" s="1">
        <v>1406.0</v>
      </c>
      <c r="I2153" s="1">
        <v>8770000.0</v>
      </c>
      <c r="J2153" s="1" t="s">
        <v>2468</v>
      </c>
      <c r="K2153" s="5">
        <f t="shared" si="2"/>
        <v>0.04010684151</v>
      </c>
      <c r="L2153" s="6">
        <f t="shared" si="3"/>
        <v>239</v>
      </c>
      <c r="M2153" s="6">
        <f t="shared" si="4"/>
        <v>1471.702929</v>
      </c>
      <c r="N2153" s="7">
        <f t="shared" si="5"/>
        <v>0.0001678110523</v>
      </c>
      <c r="O2153" s="7"/>
      <c r="P2153" s="4">
        <f t="shared" si="6"/>
        <v>-0.3313259739</v>
      </c>
      <c r="Q2153" s="4">
        <f t="shared" si="7"/>
        <v>5</v>
      </c>
      <c r="R2153" s="4">
        <f t="shared" si="8"/>
        <v>0</v>
      </c>
      <c r="S2153" s="4">
        <f t="shared" si="9"/>
        <v>-0.3313259739</v>
      </c>
      <c r="T2153" s="4">
        <f t="shared" si="10"/>
        <v>35</v>
      </c>
      <c r="U2153" s="4">
        <f t="shared" si="1"/>
        <v>-0.3313259739</v>
      </c>
      <c r="V2153" s="4"/>
    </row>
    <row r="2154">
      <c r="A2154" s="1" t="s">
        <v>20290</v>
      </c>
      <c r="B2154" s="1" t="s">
        <v>20291</v>
      </c>
      <c r="C2154" s="1" t="s">
        <v>20292</v>
      </c>
      <c r="D2154" s="1" t="s">
        <v>20246</v>
      </c>
      <c r="E2154" s="1" t="s">
        <v>20247</v>
      </c>
      <c r="F2154" s="1">
        <v>3786061.0</v>
      </c>
      <c r="G2154" s="1">
        <v>124115.0</v>
      </c>
      <c r="H2154" s="1">
        <v>800.0</v>
      </c>
      <c r="I2154" s="1">
        <v>8770000.0</v>
      </c>
      <c r="J2154" s="1" t="s">
        <v>2468</v>
      </c>
      <c r="K2154" s="5">
        <f t="shared" si="2"/>
        <v>0.4317059293</v>
      </c>
      <c r="L2154" s="6">
        <f t="shared" si="3"/>
        <v>261</v>
      </c>
      <c r="M2154" s="6">
        <f t="shared" si="4"/>
        <v>14505.98084</v>
      </c>
      <c r="N2154" s="7">
        <f t="shared" si="5"/>
        <v>0.001654045706</v>
      </c>
      <c r="O2154" s="7"/>
      <c r="P2154" s="4">
        <f t="shared" si="6"/>
        <v>0.7155233599</v>
      </c>
      <c r="Q2154" s="4">
        <f t="shared" si="7"/>
        <v>7</v>
      </c>
      <c r="R2154" s="4">
        <f t="shared" si="8"/>
        <v>0</v>
      </c>
      <c r="S2154" s="4">
        <f t="shared" si="9"/>
        <v>0.7155233599</v>
      </c>
      <c r="T2154" s="4">
        <f t="shared" si="10"/>
        <v>71</v>
      </c>
      <c r="U2154" s="4">
        <f t="shared" si="1"/>
        <v>0.7155233599</v>
      </c>
      <c r="V2154" s="4"/>
    </row>
    <row r="2155">
      <c r="A2155" s="1" t="s">
        <v>20293</v>
      </c>
      <c r="B2155" s="1" t="s">
        <v>20294</v>
      </c>
      <c r="C2155" s="1" t="s">
        <v>20295</v>
      </c>
      <c r="D2155" s="1" t="s">
        <v>20246</v>
      </c>
      <c r="E2155" s="1" t="s">
        <v>20247</v>
      </c>
      <c r="F2155" s="1">
        <v>964976.0</v>
      </c>
      <c r="G2155" s="1">
        <v>39041.0</v>
      </c>
      <c r="H2155" s="1">
        <v>2252.0</v>
      </c>
      <c r="I2155" s="1">
        <v>8770000.0</v>
      </c>
      <c r="J2155" s="1" t="s">
        <v>2468</v>
      </c>
      <c r="K2155" s="5">
        <f t="shared" si="2"/>
        <v>0.1100314709</v>
      </c>
      <c r="L2155" s="6">
        <f t="shared" si="3"/>
        <v>265</v>
      </c>
      <c r="M2155" s="6">
        <f t="shared" si="4"/>
        <v>3641.418868</v>
      </c>
      <c r="N2155" s="7">
        <f t="shared" si="5"/>
        <v>0.0004152130978</v>
      </c>
      <c r="O2155" s="7"/>
      <c r="P2155" s="4">
        <f t="shared" si="6"/>
        <v>-0.1570650213</v>
      </c>
      <c r="Q2155" s="4">
        <f t="shared" si="7"/>
        <v>7</v>
      </c>
      <c r="R2155" s="4">
        <f t="shared" si="8"/>
        <v>1</v>
      </c>
      <c r="S2155" s="4">
        <f t="shared" si="9"/>
        <v>-0.1570650213</v>
      </c>
      <c r="T2155" s="4">
        <f t="shared" si="10"/>
        <v>31</v>
      </c>
      <c r="U2155" s="4">
        <f t="shared" si="1"/>
        <v>-0.1570650213</v>
      </c>
      <c r="V2155" s="4"/>
    </row>
    <row r="2156">
      <c r="A2156" s="1" t="s">
        <v>20296</v>
      </c>
      <c r="B2156" s="1" t="s">
        <v>20297</v>
      </c>
      <c r="C2156" s="1" t="s">
        <v>20298</v>
      </c>
      <c r="D2156" s="1" t="s">
        <v>20246</v>
      </c>
      <c r="E2156" s="1" t="s">
        <v>20247</v>
      </c>
      <c r="F2156" s="1">
        <v>540120.0</v>
      </c>
      <c r="G2156" s="1">
        <v>31708.0</v>
      </c>
      <c r="H2156" s="1">
        <v>1782.0</v>
      </c>
      <c r="I2156" s="1">
        <v>8770000.0</v>
      </c>
      <c r="J2156" s="1" t="s">
        <v>2468</v>
      </c>
      <c r="K2156" s="5">
        <f t="shared" si="2"/>
        <v>0.06158722919</v>
      </c>
      <c r="L2156" s="6">
        <f t="shared" si="3"/>
        <v>270</v>
      </c>
      <c r="M2156" s="6">
        <f t="shared" si="4"/>
        <v>2000.444444</v>
      </c>
      <c r="N2156" s="7">
        <f t="shared" si="5"/>
        <v>0.0002281008489</v>
      </c>
      <c r="O2156" s="7"/>
      <c r="P2156" s="4">
        <f t="shared" si="6"/>
        <v>-0.2888600462</v>
      </c>
      <c r="Q2156" s="4">
        <f t="shared" si="7"/>
        <v>3</v>
      </c>
      <c r="R2156" s="4">
        <f t="shared" si="8"/>
        <v>0</v>
      </c>
      <c r="S2156" s="4">
        <f t="shared" si="9"/>
        <v>-0.2888600462</v>
      </c>
      <c r="T2156" s="4">
        <f t="shared" si="10"/>
        <v>15</v>
      </c>
      <c r="U2156" s="4">
        <f t="shared" si="1"/>
        <v>-0.2888600462</v>
      </c>
      <c r="V2156" s="4"/>
    </row>
    <row r="2157">
      <c r="A2157" s="1" t="s">
        <v>20299</v>
      </c>
      <c r="B2157" s="1" t="s">
        <v>20300</v>
      </c>
      <c r="C2157" s="1" t="s">
        <v>20301</v>
      </c>
      <c r="D2157" s="1" t="s">
        <v>20246</v>
      </c>
      <c r="E2157" s="1" t="s">
        <v>20247</v>
      </c>
      <c r="F2157" s="1">
        <v>3634773.0</v>
      </c>
      <c r="G2157" s="1">
        <v>115264.0</v>
      </c>
      <c r="H2157" s="1">
        <v>1577.0</v>
      </c>
      <c r="I2157" s="1">
        <v>8770000.0</v>
      </c>
      <c r="J2157" s="1" t="s">
        <v>2468</v>
      </c>
      <c r="K2157" s="5">
        <f t="shared" si="2"/>
        <v>0.4144553022</v>
      </c>
      <c r="L2157" s="6">
        <f t="shared" si="3"/>
        <v>291</v>
      </c>
      <c r="M2157" s="6">
        <f t="shared" si="4"/>
        <v>12490.62887</v>
      </c>
      <c r="N2157" s="7">
        <f t="shared" si="5"/>
        <v>0.001424245025</v>
      </c>
      <c r="O2157" s="7"/>
      <c r="P2157" s="4">
        <f t="shared" si="6"/>
        <v>0.5536601644</v>
      </c>
      <c r="Q2157" s="4">
        <f t="shared" si="7"/>
        <v>12</v>
      </c>
      <c r="R2157" s="4">
        <f t="shared" si="8"/>
        <v>0</v>
      </c>
      <c r="S2157" s="4">
        <f t="shared" si="9"/>
        <v>0.5536601644</v>
      </c>
      <c r="T2157" s="4">
        <f t="shared" si="10"/>
        <v>69</v>
      </c>
      <c r="U2157" s="4">
        <f t="shared" si="1"/>
        <v>0.5536601644</v>
      </c>
      <c r="V2157" s="4"/>
    </row>
    <row r="2158">
      <c r="A2158" s="1" t="s">
        <v>20302</v>
      </c>
      <c r="B2158" s="1" t="s">
        <v>20303</v>
      </c>
      <c r="C2158" s="1" t="s">
        <v>9290</v>
      </c>
      <c r="D2158" s="1" t="s">
        <v>20246</v>
      </c>
      <c r="E2158" s="1" t="s">
        <v>20247</v>
      </c>
      <c r="F2158" s="1">
        <v>463047.0</v>
      </c>
      <c r="G2158" s="1">
        <v>27171.0</v>
      </c>
      <c r="H2158" s="1">
        <v>1826.0</v>
      </c>
      <c r="I2158" s="1">
        <v>8770000.0</v>
      </c>
      <c r="J2158" s="1" t="s">
        <v>2468</v>
      </c>
      <c r="K2158" s="5">
        <f t="shared" si="2"/>
        <v>0.05279897377</v>
      </c>
      <c r="L2158" s="6">
        <f t="shared" si="3"/>
        <v>293</v>
      </c>
      <c r="M2158" s="6">
        <f t="shared" si="4"/>
        <v>1580.365188</v>
      </c>
      <c r="N2158" s="7">
        <f t="shared" si="5"/>
        <v>0.0001802012757</v>
      </c>
      <c r="O2158" s="7"/>
      <c r="P2158" s="4">
        <f t="shared" si="6"/>
        <v>-0.3225987537</v>
      </c>
      <c r="Q2158" s="4">
        <f t="shared" si="7"/>
        <v>7</v>
      </c>
      <c r="R2158" s="4">
        <f t="shared" si="8"/>
        <v>0</v>
      </c>
      <c r="S2158" s="4">
        <f t="shared" si="9"/>
        <v>-0.3225987537</v>
      </c>
      <c r="T2158" s="4">
        <f t="shared" si="10"/>
        <v>23</v>
      </c>
      <c r="U2158" s="4">
        <f t="shared" si="1"/>
        <v>-0.3225987537</v>
      </c>
      <c r="V2158" s="4"/>
    </row>
    <row r="2159">
      <c r="A2159" s="1" t="s">
        <v>20304</v>
      </c>
      <c r="B2159" s="1" t="s">
        <v>20305</v>
      </c>
      <c r="C2159" s="1" t="s">
        <v>20306</v>
      </c>
      <c r="D2159" s="1" t="s">
        <v>20246</v>
      </c>
      <c r="E2159" s="1" t="s">
        <v>20247</v>
      </c>
      <c r="F2159" s="1">
        <v>776829.0</v>
      </c>
      <c r="G2159" s="1">
        <v>31491.0</v>
      </c>
      <c r="H2159" s="1">
        <v>617.0</v>
      </c>
      <c r="I2159" s="1">
        <v>8770000.0</v>
      </c>
      <c r="J2159" s="1" t="s">
        <v>2468</v>
      </c>
      <c r="K2159" s="5">
        <f t="shared" si="2"/>
        <v>0.08857799316</v>
      </c>
      <c r="L2159" s="6">
        <f t="shared" si="3"/>
        <v>295</v>
      </c>
      <c r="M2159" s="6">
        <f t="shared" si="4"/>
        <v>2633.318644</v>
      </c>
      <c r="N2159" s="7">
        <f t="shared" si="5"/>
        <v>0.0003002643836</v>
      </c>
      <c r="O2159" s="7"/>
      <c r="P2159" s="4">
        <f t="shared" si="6"/>
        <v>-0.2380306916</v>
      </c>
      <c r="Q2159" s="4">
        <f t="shared" si="7"/>
        <v>5</v>
      </c>
      <c r="R2159" s="4">
        <f t="shared" si="8"/>
        <v>0</v>
      </c>
      <c r="S2159" s="4">
        <f t="shared" si="9"/>
        <v>-0.2380306916</v>
      </c>
      <c r="T2159" s="4">
        <f t="shared" si="10"/>
        <v>35</v>
      </c>
      <c r="U2159" s="4">
        <f t="shared" si="1"/>
        <v>-0.2380306916</v>
      </c>
      <c r="V2159" s="4"/>
    </row>
    <row r="2160">
      <c r="A2160" s="1" t="s">
        <v>20307</v>
      </c>
      <c r="B2160" s="1" t="s">
        <v>20308</v>
      </c>
      <c r="C2160" s="1" t="s">
        <v>20309</v>
      </c>
      <c r="D2160" s="1" t="s">
        <v>20246</v>
      </c>
      <c r="E2160" s="1" t="s">
        <v>20247</v>
      </c>
      <c r="F2160" s="1">
        <v>609106.0</v>
      </c>
      <c r="G2160" s="1">
        <v>28112.0</v>
      </c>
      <c r="H2160" s="1">
        <v>547.0</v>
      </c>
      <c r="I2160" s="1">
        <v>8770000.0</v>
      </c>
      <c r="J2160" s="1" t="s">
        <v>2468</v>
      </c>
      <c r="K2160" s="5">
        <f t="shared" si="2"/>
        <v>0.06945336374</v>
      </c>
      <c r="L2160" s="6">
        <f t="shared" si="3"/>
        <v>304</v>
      </c>
      <c r="M2160" s="6">
        <f t="shared" si="4"/>
        <v>2003.638158</v>
      </c>
      <c r="N2160" s="7">
        <f t="shared" si="5"/>
        <v>0.0002284650123</v>
      </c>
      <c r="O2160" s="7"/>
      <c r="P2160" s="4">
        <f t="shared" si="6"/>
        <v>-0.2886035428</v>
      </c>
      <c r="Q2160" s="4">
        <f t="shared" si="7"/>
        <v>8</v>
      </c>
      <c r="R2160" s="4">
        <f t="shared" si="8"/>
        <v>0</v>
      </c>
      <c r="S2160" s="4">
        <f t="shared" si="9"/>
        <v>-0.2886035428</v>
      </c>
      <c r="T2160" s="4">
        <f t="shared" si="10"/>
        <v>61</v>
      </c>
      <c r="U2160" s="4">
        <f t="shared" si="1"/>
        <v>-0.2886035428</v>
      </c>
      <c r="V2160" s="4"/>
    </row>
    <row r="2161">
      <c r="A2161" s="1" t="s">
        <v>20310</v>
      </c>
      <c r="B2161" s="1" t="s">
        <v>20311</v>
      </c>
      <c r="C2161" s="1" t="s">
        <v>20312</v>
      </c>
      <c r="D2161" s="1" t="s">
        <v>20246</v>
      </c>
      <c r="E2161" s="1" t="s">
        <v>20247</v>
      </c>
      <c r="F2161" s="1">
        <v>262544.0</v>
      </c>
      <c r="G2161" s="1">
        <v>7418.0</v>
      </c>
      <c r="H2161" s="1">
        <v>116.0</v>
      </c>
      <c r="I2161" s="1">
        <v>8770000.0</v>
      </c>
      <c r="J2161" s="1" t="s">
        <v>2468</v>
      </c>
      <c r="K2161" s="5">
        <f t="shared" si="2"/>
        <v>0.02993660205</v>
      </c>
      <c r="L2161" s="6">
        <f t="shared" si="3"/>
        <v>321</v>
      </c>
      <c r="M2161" s="6">
        <f t="shared" si="4"/>
        <v>817.894081</v>
      </c>
      <c r="N2161" s="7">
        <f t="shared" si="5"/>
        <v>0.00009326044253</v>
      </c>
      <c r="O2161" s="7"/>
      <c r="P2161" s="4">
        <f t="shared" si="6"/>
        <v>-0.3838366968</v>
      </c>
      <c r="Q2161" s="4">
        <f t="shared" si="7"/>
        <v>9</v>
      </c>
      <c r="R2161" s="4">
        <f t="shared" si="8"/>
        <v>0</v>
      </c>
      <c r="S2161" s="4">
        <f t="shared" si="9"/>
        <v>-0.3838366968</v>
      </c>
      <c r="T2161" s="4">
        <f t="shared" si="10"/>
        <v>58</v>
      </c>
      <c r="U2161" s="4">
        <f t="shared" si="1"/>
        <v>-0.3838366968</v>
      </c>
      <c r="V2161" s="4"/>
    </row>
    <row r="2162">
      <c r="A2162" s="1" t="s">
        <v>20313</v>
      </c>
      <c r="B2162" s="1" t="s">
        <v>20314</v>
      </c>
      <c r="C2162" s="1" t="s">
        <v>20315</v>
      </c>
      <c r="D2162" s="1" t="s">
        <v>20246</v>
      </c>
      <c r="E2162" s="1" t="s">
        <v>20247</v>
      </c>
      <c r="F2162" s="1">
        <v>807782.0</v>
      </c>
      <c r="G2162" s="1">
        <v>39731.0</v>
      </c>
      <c r="H2162" s="1">
        <v>2177.0</v>
      </c>
      <c r="I2162" s="1">
        <v>8770000.0</v>
      </c>
      <c r="J2162" s="1" t="s">
        <v>2468</v>
      </c>
      <c r="K2162" s="5">
        <f t="shared" si="2"/>
        <v>0.09210741163</v>
      </c>
      <c r="L2162" s="6">
        <f t="shared" si="3"/>
        <v>321</v>
      </c>
      <c r="M2162" s="6">
        <f t="shared" si="4"/>
        <v>2516.454829</v>
      </c>
      <c r="N2162" s="7">
        <f t="shared" si="5"/>
        <v>0.000286938977</v>
      </c>
      <c r="O2162" s="7"/>
      <c r="P2162" s="4">
        <f t="shared" si="6"/>
        <v>-0.2474166206</v>
      </c>
      <c r="Q2162" s="4">
        <f t="shared" si="7"/>
        <v>7</v>
      </c>
      <c r="R2162" s="4">
        <f t="shared" si="8"/>
        <v>0</v>
      </c>
      <c r="S2162" s="4">
        <f t="shared" si="9"/>
        <v>-0.2474166206</v>
      </c>
      <c r="T2162" s="4">
        <f t="shared" si="10"/>
        <v>33</v>
      </c>
      <c r="U2162" s="4">
        <f t="shared" si="1"/>
        <v>-0.2474166206</v>
      </c>
      <c r="V2162" s="4"/>
    </row>
    <row r="2163">
      <c r="A2163" s="1" t="s">
        <v>20316</v>
      </c>
      <c r="B2163" s="1" t="s">
        <v>20317</v>
      </c>
      <c r="C2163" s="1" t="s">
        <v>20318</v>
      </c>
      <c r="D2163" s="1" t="s">
        <v>20246</v>
      </c>
      <c r="E2163" s="1" t="s">
        <v>20247</v>
      </c>
      <c r="F2163" s="1">
        <v>965388.0</v>
      </c>
      <c r="G2163" s="1">
        <v>44139.0</v>
      </c>
      <c r="H2163" s="1">
        <v>762.0</v>
      </c>
      <c r="I2163" s="1">
        <v>8770000.0</v>
      </c>
      <c r="J2163" s="1" t="s">
        <v>2468</v>
      </c>
      <c r="K2163" s="5">
        <f t="shared" si="2"/>
        <v>0.1100784493</v>
      </c>
      <c r="L2163" s="6">
        <f t="shared" si="3"/>
        <v>330</v>
      </c>
      <c r="M2163" s="6">
        <f t="shared" si="4"/>
        <v>2925.418182</v>
      </c>
      <c r="N2163" s="7">
        <f t="shared" si="5"/>
        <v>0.0003335710584</v>
      </c>
      <c r="O2163" s="7"/>
      <c r="P2163" s="4">
        <f t="shared" si="6"/>
        <v>-0.214570688</v>
      </c>
      <c r="Q2163" s="4">
        <f t="shared" si="7"/>
        <v>8</v>
      </c>
      <c r="R2163" s="4">
        <f t="shared" si="8"/>
        <v>0</v>
      </c>
      <c r="S2163" s="4">
        <f t="shared" si="9"/>
        <v>-0.214570688</v>
      </c>
      <c r="T2163" s="4">
        <f t="shared" si="10"/>
        <v>49</v>
      </c>
      <c r="U2163" s="4">
        <f t="shared" si="1"/>
        <v>-0.214570688</v>
      </c>
      <c r="V2163" s="4"/>
    </row>
    <row r="2164">
      <c r="A2164" s="1" t="s">
        <v>20319</v>
      </c>
      <c r="B2164" s="1" t="s">
        <v>20320</v>
      </c>
      <c r="C2164" s="1" t="s">
        <v>20321</v>
      </c>
      <c r="D2164" s="1" t="s">
        <v>20246</v>
      </c>
      <c r="E2164" s="1" t="s">
        <v>20247</v>
      </c>
      <c r="F2164" s="1">
        <v>893927.0</v>
      </c>
      <c r="G2164" s="1">
        <v>27585.0</v>
      </c>
      <c r="H2164" s="1">
        <v>378.0</v>
      </c>
      <c r="I2164" s="1">
        <v>8770000.0</v>
      </c>
      <c r="J2164" s="1" t="s">
        <v>2468</v>
      </c>
      <c r="K2164" s="5">
        <f t="shared" si="2"/>
        <v>0.1019301026</v>
      </c>
      <c r="L2164" s="6">
        <f t="shared" si="3"/>
        <v>348</v>
      </c>
      <c r="M2164" s="6">
        <f t="shared" si="4"/>
        <v>2568.755747</v>
      </c>
      <c r="N2164" s="7">
        <f t="shared" si="5"/>
        <v>0.0002929025937</v>
      </c>
      <c r="O2164" s="7"/>
      <c r="P2164" s="4">
        <f t="shared" si="6"/>
        <v>-0.2432160671</v>
      </c>
      <c r="Q2164" s="4">
        <f t="shared" si="7"/>
        <v>6</v>
      </c>
      <c r="R2164" s="4">
        <f t="shared" si="8"/>
        <v>0</v>
      </c>
      <c r="S2164" s="4">
        <f t="shared" si="9"/>
        <v>-0.2432160671</v>
      </c>
      <c r="T2164" s="4">
        <f t="shared" si="10"/>
        <v>43</v>
      </c>
      <c r="U2164" s="4">
        <f t="shared" si="1"/>
        <v>-0.2432160671</v>
      </c>
      <c r="V2164" s="4"/>
    </row>
    <row r="2165">
      <c r="A2165" s="1" t="s">
        <v>20322</v>
      </c>
      <c r="B2165" s="1" t="s">
        <v>20323</v>
      </c>
      <c r="C2165" s="1" t="s">
        <v>20324</v>
      </c>
      <c r="D2165" s="1" t="s">
        <v>20246</v>
      </c>
      <c r="E2165" s="1" t="s">
        <v>20247</v>
      </c>
      <c r="F2165" s="1">
        <v>1127667.0</v>
      </c>
      <c r="G2165" s="1">
        <v>41867.0</v>
      </c>
      <c r="H2165" s="1">
        <v>2515.0</v>
      </c>
      <c r="I2165" s="1">
        <v>8770000.0</v>
      </c>
      <c r="J2165" s="1" t="s">
        <v>2468</v>
      </c>
      <c r="K2165" s="5">
        <f t="shared" si="2"/>
        <v>0.1285823261</v>
      </c>
      <c r="L2165" s="6">
        <f t="shared" si="3"/>
        <v>356</v>
      </c>
      <c r="M2165" s="6">
        <f t="shared" si="4"/>
        <v>3167.603933</v>
      </c>
      <c r="N2165" s="7">
        <f t="shared" si="5"/>
        <v>0.0003611863093</v>
      </c>
      <c r="O2165" s="7"/>
      <c r="P2165" s="4">
        <f t="shared" si="6"/>
        <v>-0.1951195152</v>
      </c>
      <c r="Q2165" s="4">
        <f t="shared" si="7"/>
        <v>10</v>
      </c>
      <c r="R2165" s="4">
        <f t="shared" si="8"/>
        <v>2</v>
      </c>
      <c r="S2165" s="4">
        <f t="shared" si="9"/>
        <v>-0.1951195152</v>
      </c>
      <c r="T2165" s="4">
        <f t="shared" si="10"/>
        <v>56</v>
      </c>
      <c r="U2165" s="4">
        <f t="shared" si="1"/>
        <v>-0.1951195152</v>
      </c>
      <c r="V2165" s="4"/>
    </row>
    <row r="2166">
      <c r="A2166" s="1" t="s">
        <v>20325</v>
      </c>
      <c r="B2166" s="1" t="s">
        <v>20326</v>
      </c>
      <c r="C2166" s="1" t="s">
        <v>20327</v>
      </c>
      <c r="D2166" s="1" t="s">
        <v>20246</v>
      </c>
      <c r="E2166" s="1" t="s">
        <v>20247</v>
      </c>
      <c r="F2166" s="1">
        <v>1167491.0</v>
      </c>
      <c r="G2166" s="1">
        <v>38508.0</v>
      </c>
      <c r="H2166" s="1">
        <v>640.0</v>
      </c>
      <c r="I2166" s="1">
        <v>8770000.0</v>
      </c>
      <c r="J2166" s="1" t="s">
        <v>2468</v>
      </c>
      <c r="K2166" s="5">
        <f t="shared" si="2"/>
        <v>0.1331232611</v>
      </c>
      <c r="L2166" s="6">
        <f t="shared" si="3"/>
        <v>364</v>
      </c>
      <c r="M2166" s="6">
        <f t="shared" si="4"/>
        <v>3207.392857</v>
      </c>
      <c r="N2166" s="7">
        <f t="shared" si="5"/>
        <v>0.0003657232448</v>
      </c>
      <c r="O2166" s="7"/>
      <c r="P2166" s="4">
        <f t="shared" si="6"/>
        <v>-0.1919238637</v>
      </c>
      <c r="Q2166" s="4">
        <f t="shared" si="7"/>
        <v>7</v>
      </c>
      <c r="R2166" s="4">
        <f t="shared" si="8"/>
        <v>0</v>
      </c>
      <c r="S2166" s="4">
        <f t="shared" si="9"/>
        <v>-0.1919238637</v>
      </c>
      <c r="T2166" s="4">
        <f t="shared" si="10"/>
        <v>42</v>
      </c>
      <c r="U2166" s="4">
        <f t="shared" si="1"/>
        <v>-0.1919238637</v>
      </c>
      <c r="V2166" s="4"/>
    </row>
    <row r="2167">
      <c r="A2167" s="1" t="s">
        <v>20328</v>
      </c>
      <c r="B2167" s="1" t="s">
        <v>20329</v>
      </c>
      <c r="C2167" s="1" t="s">
        <v>20330</v>
      </c>
      <c r="D2167" s="1" t="s">
        <v>20246</v>
      </c>
      <c r="E2167" s="1" t="s">
        <v>20247</v>
      </c>
      <c r="F2167" s="1">
        <v>792125.0</v>
      </c>
      <c r="G2167" s="1">
        <v>23920.0</v>
      </c>
      <c r="H2167" s="1">
        <v>362.0</v>
      </c>
      <c r="I2167" s="1">
        <v>8770000.0</v>
      </c>
      <c r="J2167" s="1" t="s">
        <v>2468</v>
      </c>
      <c r="K2167" s="5">
        <f t="shared" si="2"/>
        <v>0.09032212087</v>
      </c>
      <c r="L2167" s="6">
        <f t="shared" si="3"/>
        <v>371</v>
      </c>
      <c r="M2167" s="6">
        <f t="shared" si="4"/>
        <v>2135.107817</v>
      </c>
      <c r="N2167" s="7">
        <f t="shared" si="5"/>
        <v>0.0002434558514</v>
      </c>
      <c r="O2167" s="7"/>
      <c r="P2167" s="4">
        <f t="shared" si="6"/>
        <v>-0.278044544</v>
      </c>
      <c r="Q2167" s="4">
        <f t="shared" si="7"/>
        <v>3</v>
      </c>
      <c r="R2167" s="4">
        <f t="shared" si="8"/>
        <v>0</v>
      </c>
      <c r="S2167" s="4">
        <f t="shared" si="9"/>
        <v>-0.278044544</v>
      </c>
      <c r="T2167" s="4">
        <f t="shared" si="10"/>
        <v>24</v>
      </c>
      <c r="U2167" s="4">
        <f t="shared" si="1"/>
        <v>-0.278044544</v>
      </c>
      <c r="V2167" s="4"/>
    </row>
    <row r="2168">
      <c r="A2168" s="1" t="s">
        <v>20331</v>
      </c>
      <c r="B2168" s="1" t="s">
        <v>20332</v>
      </c>
      <c r="C2168" s="1" t="s">
        <v>20333</v>
      </c>
      <c r="D2168" s="1" t="s">
        <v>20246</v>
      </c>
      <c r="E2168" s="1" t="s">
        <v>20247</v>
      </c>
      <c r="F2168" s="1">
        <v>1839659.0</v>
      </c>
      <c r="G2168" s="1">
        <v>78888.0</v>
      </c>
      <c r="H2168" s="1">
        <v>8431.0</v>
      </c>
      <c r="I2168" s="1">
        <v>8770000.0</v>
      </c>
      <c r="J2168" s="1" t="s">
        <v>2468</v>
      </c>
      <c r="K2168" s="5">
        <f t="shared" si="2"/>
        <v>0.2097672748</v>
      </c>
      <c r="L2168" s="6">
        <f t="shared" si="3"/>
        <v>372</v>
      </c>
      <c r="M2168" s="6">
        <f t="shared" si="4"/>
        <v>4945.319892</v>
      </c>
      <c r="N2168" s="7">
        <f t="shared" si="5"/>
        <v>0.0005638905237</v>
      </c>
      <c r="O2168" s="7"/>
      <c r="P2168" s="4">
        <f t="shared" si="6"/>
        <v>-0.05234208014</v>
      </c>
      <c r="Q2168" s="4">
        <f t="shared" si="7"/>
        <v>8</v>
      </c>
      <c r="R2168" s="4">
        <f t="shared" si="8"/>
        <v>0</v>
      </c>
      <c r="S2168" s="4">
        <f t="shared" si="9"/>
        <v>-0.05234208014</v>
      </c>
      <c r="T2168" s="4">
        <f t="shared" si="10"/>
        <v>45</v>
      </c>
      <c r="U2168" s="4">
        <f t="shared" si="1"/>
        <v>-0.05234208014</v>
      </c>
      <c r="V2168" s="4"/>
    </row>
    <row r="2169">
      <c r="A2169" s="1" t="s">
        <v>20334</v>
      </c>
      <c r="B2169" s="1" t="s">
        <v>20335</v>
      </c>
      <c r="C2169" s="1" t="s">
        <v>20336</v>
      </c>
      <c r="D2169" s="1" t="s">
        <v>20246</v>
      </c>
      <c r="E2169" s="1" t="s">
        <v>20247</v>
      </c>
      <c r="F2169" s="1">
        <v>1264926.0</v>
      </c>
      <c r="G2169" s="1">
        <v>47515.0</v>
      </c>
      <c r="H2169" s="1">
        <v>727.0</v>
      </c>
      <c r="I2169" s="1">
        <v>8770000.0</v>
      </c>
      <c r="J2169" s="1" t="s">
        <v>2468</v>
      </c>
      <c r="K2169" s="5">
        <f t="shared" si="2"/>
        <v>0.1442332953</v>
      </c>
      <c r="L2169" s="6">
        <f t="shared" si="3"/>
        <v>393</v>
      </c>
      <c r="M2169" s="6">
        <f t="shared" si="4"/>
        <v>3218.641221</v>
      </c>
      <c r="N2169" s="7">
        <f t="shared" si="5"/>
        <v>0.0003670058405</v>
      </c>
      <c r="O2169" s="7"/>
      <c r="P2169" s="4">
        <f t="shared" si="6"/>
        <v>-0.1910204502</v>
      </c>
      <c r="Q2169" s="4">
        <f t="shared" si="7"/>
        <v>9</v>
      </c>
      <c r="R2169" s="4">
        <f t="shared" si="8"/>
        <v>0</v>
      </c>
      <c r="S2169" s="4">
        <f t="shared" si="9"/>
        <v>-0.1910204502</v>
      </c>
      <c r="T2169" s="4">
        <f t="shared" si="10"/>
        <v>61</v>
      </c>
      <c r="U2169" s="4">
        <f t="shared" si="1"/>
        <v>-0.1910204502</v>
      </c>
      <c r="V2169" s="4"/>
    </row>
    <row r="2170">
      <c r="A2170" s="1" t="s">
        <v>20337</v>
      </c>
      <c r="B2170" s="1" t="s">
        <v>20338</v>
      </c>
      <c r="C2170" s="1" t="s">
        <v>20339</v>
      </c>
      <c r="D2170" s="1" t="s">
        <v>20246</v>
      </c>
      <c r="E2170" s="1" t="s">
        <v>20247</v>
      </c>
      <c r="F2170" s="1">
        <v>926136.0</v>
      </c>
      <c r="G2170" s="1">
        <v>30354.0</v>
      </c>
      <c r="H2170" s="1">
        <v>412.0</v>
      </c>
      <c r="I2170" s="1">
        <v>8770000.0</v>
      </c>
      <c r="J2170" s="1" t="s">
        <v>2468</v>
      </c>
      <c r="K2170" s="5">
        <f t="shared" si="2"/>
        <v>0.1056027366</v>
      </c>
      <c r="L2170" s="6">
        <f t="shared" si="3"/>
        <v>399</v>
      </c>
      <c r="M2170" s="6">
        <f t="shared" si="4"/>
        <v>2321.142857</v>
      </c>
      <c r="N2170" s="7">
        <f t="shared" si="5"/>
        <v>0.0002646685128</v>
      </c>
      <c r="O2170" s="7"/>
      <c r="P2170" s="4">
        <f t="shared" si="6"/>
        <v>-0.2631031211</v>
      </c>
      <c r="Q2170" s="4">
        <f t="shared" si="7"/>
        <v>8</v>
      </c>
      <c r="R2170" s="4">
        <f t="shared" si="8"/>
        <v>0</v>
      </c>
      <c r="S2170" s="4">
        <f t="shared" si="9"/>
        <v>-0.2631031211</v>
      </c>
      <c r="T2170" s="4">
        <f t="shared" si="10"/>
        <v>50</v>
      </c>
      <c r="U2170" s="4">
        <f t="shared" si="1"/>
        <v>-0.2631031211</v>
      </c>
      <c r="V2170" s="4"/>
    </row>
    <row r="2171">
      <c r="A2171" s="1" t="s">
        <v>20340</v>
      </c>
      <c r="B2171" s="1" t="s">
        <v>20341</v>
      </c>
      <c r="C2171" s="1" t="s">
        <v>20342</v>
      </c>
      <c r="D2171" s="1" t="s">
        <v>20246</v>
      </c>
      <c r="E2171" s="1" t="s">
        <v>20247</v>
      </c>
      <c r="F2171" s="1">
        <v>1219050.0</v>
      </c>
      <c r="G2171" s="1">
        <v>60061.0</v>
      </c>
      <c r="H2171" s="1">
        <v>2942.0</v>
      </c>
      <c r="I2171" s="1">
        <v>8770000.0</v>
      </c>
      <c r="J2171" s="1" t="s">
        <v>2468</v>
      </c>
      <c r="K2171" s="5">
        <f t="shared" si="2"/>
        <v>0.1390022805</v>
      </c>
      <c r="L2171" s="6">
        <f t="shared" si="3"/>
        <v>402</v>
      </c>
      <c r="M2171" s="6">
        <f t="shared" si="4"/>
        <v>3032.462687</v>
      </c>
      <c r="N2171" s="7">
        <f t="shared" si="5"/>
        <v>0.0003457768172</v>
      </c>
      <c r="O2171" s="7"/>
      <c r="P2171" s="4">
        <f t="shared" si="6"/>
        <v>-0.2059733979</v>
      </c>
      <c r="Q2171" s="4">
        <f t="shared" si="7"/>
        <v>6</v>
      </c>
      <c r="R2171" s="4">
        <f t="shared" si="8"/>
        <v>0</v>
      </c>
      <c r="S2171" s="4">
        <f t="shared" si="9"/>
        <v>-0.2059733979</v>
      </c>
      <c r="T2171" s="4">
        <f t="shared" si="10"/>
        <v>33</v>
      </c>
      <c r="U2171" s="4">
        <f t="shared" si="1"/>
        <v>-0.2059733979</v>
      </c>
      <c r="V2171" s="4"/>
    </row>
    <row r="2172">
      <c r="A2172" s="1" t="s">
        <v>20343</v>
      </c>
      <c r="B2172" s="1" t="s">
        <v>20344</v>
      </c>
      <c r="C2172" s="1" t="s">
        <v>20345</v>
      </c>
      <c r="D2172" s="1" t="s">
        <v>20246</v>
      </c>
      <c r="E2172" s="1" t="s">
        <v>20247</v>
      </c>
      <c r="F2172" s="1">
        <v>833524.0</v>
      </c>
      <c r="G2172" s="1">
        <v>35552.0</v>
      </c>
      <c r="H2172" s="1">
        <v>852.0</v>
      </c>
      <c r="I2172" s="1">
        <v>8770000.0</v>
      </c>
      <c r="J2172" s="1" t="s">
        <v>2468</v>
      </c>
      <c r="K2172" s="5">
        <f t="shared" si="2"/>
        <v>0.09504264538</v>
      </c>
      <c r="L2172" s="6">
        <f t="shared" si="3"/>
        <v>417</v>
      </c>
      <c r="M2172" s="6">
        <f t="shared" si="4"/>
        <v>1998.858513</v>
      </c>
      <c r="N2172" s="7">
        <f t="shared" si="5"/>
        <v>0.0002279200129</v>
      </c>
      <c r="O2172" s="7"/>
      <c r="P2172" s="4">
        <f t="shared" si="6"/>
        <v>-0.2889874204</v>
      </c>
      <c r="Q2172" s="4">
        <f t="shared" si="7"/>
        <v>7</v>
      </c>
      <c r="R2172" s="4">
        <f t="shared" si="8"/>
        <v>0</v>
      </c>
      <c r="S2172" s="4">
        <f t="shared" si="9"/>
        <v>-0.2889874204</v>
      </c>
      <c r="T2172" s="4">
        <f t="shared" si="10"/>
        <v>43</v>
      </c>
      <c r="U2172" s="4">
        <f t="shared" si="1"/>
        <v>-0.2889874204</v>
      </c>
      <c r="V2172" s="4"/>
    </row>
    <row r="2173">
      <c r="A2173" s="1" t="s">
        <v>20346</v>
      </c>
      <c r="B2173" s="1" t="s">
        <v>20347</v>
      </c>
      <c r="C2173" s="1" t="s">
        <v>20348</v>
      </c>
      <c r="D2173" s="1" t="s">
        <v>20246</v>
      </c>
      <c r="E2173" s="1" t="s">
        <v>20247</v>
      </c>
      <c r="F2173" s="1">
        <v>543584.0</v>
      </c>
      <c r="G2173" s="1">
        <v>25917.0</v>
      </c>
      <c r="H2173" s="1">
        <v>2267.0</v>
      </c>
      <c r="I2173" s="1">
        <v>8770000.0</v>
      </c>
      <c r="J2173" s="1" t="s">
        <v>2468</v>
      </c>
      <c r="K2173" s="5">
        <f t="shared" si="2"/>
        <v>0.06198221209</v>
      </c>
      <c r="L2173" s="6">
        <f t="shared" si="3"/>
        <v>423</v>
      </c>
      <c r="M2173" s="6">
        <f t="shared" si="4"/>
        <v>1285.068558</v>
      </c>
      <c r="N2173" s="7">
        <f t="shared" si="5"/>
        <v>0.0001465300522</v>
      </c>
      <c r="O2173" s="7"/>
      <c r="P2173" s="4">
        <f t="shared" si="6"/>
        <v>-0.346315532</v>
      </c>
      <c r="Q2173" s="4">
        <f t="shared" si="7"/>
        <v>7</v>
      </c>
      <c r="R2173" s="4">
        <f t="shared" si="8"/>
        <v>0</v>
      </c>
      <c r="S2173" s="4">
        <f t="shared" si="9"/>
        <v>-0.346315532</v>
      </c>
      <c r="T2173" s="4">
        <f t="shared" si="10"/>
        <v>35</v>
      </c>
      <c r="U2173" s="4">
        <f t="shared" si="1"/>
        <v>-0.346315532</v>
      </c>
      <c r="V2173" s="4"/>
    </row>
    <row r="2174">
      <c r="A2174" s="1" t="s">
        <v>20349</v>
      </c>
      <c r="B2174" s="1" t="s">
        <v>20350</v>
      </c>
      <c r="C2174" s="1" t="s">
        <v>20351</v>
      </c>
      <c r="D2174" s="1" t="s">
        <v>20246</v>
      </c>
      <c r="E2174" s="1" t="s">
        <v>20247</v>
      </c>
      <c r="F2174" s="1">
        <v>1.0385315E7</v>
      </c>
      <c r="G2174" s="1">
        <v>341020.0</v>
      </c>
      <c r="H2174" s="1">
        <v>2774.0</v>
      </c>
      <c r="I2174" s="1">
        <v>8770000.0</v>
      </c>
      <c r="J2174" s="1" t="s">
        <v>2468</v>
      </c>
      <c r="K2174" s="5">
        <f t="shared" si="2"/>
        <v>1.184186431</v>
      </c>
      <c r="L2174" s="6">
        <f t="shared" si="3"/>
        <v>428</v>
      </c>
      <c r="M2174" s="6">
        <f t="shared" si="4"/>
        <v>24264.75467</v>
      </c>
      <c r="N2174" s="7">
        <f t="shared" si="5"/>
        <v>0.002766790727</v>
      </c>
      <c r="O2174" s="7"/>
      <c r="P2174" s="4">
        <f t="shared" si="6"/>
        <v>1.499300256</v>
      </c>
      <c r="Q2174" s="4">
        <f t="shared" si="7"/>
        <v>10</v>
      </c>
      <c r="R2174" s="4">
        <f t="shared" si="8"/>
        <v>2</v>
      </c>
      <c r="S2174" s="4">
        <f t="shared" si="9"/>
        <v>1.499300256</v>
      </c>
      <c r="T2174" s="4">
        <f t="shared" si="10"/>
        <v>58</v>
      </c>
      <c r="U2174" s="4">
        <f t="shared" si="1"/>
        <v>1.499300256</v>
      </c>
      <c r="V2174" s="4"/>
    </row>
    <row r="2175">
      <c r="A2175" s="1" t="s">
        <v>20352</v>
      </c>
      <c r="B2175" s="1" t="s">
        <v>20353</v>
      </c>
      <c r="C2175" s="1" t="s">
        <v>20354</v>
      </c>
      <c r="D2175" s="1" t="s">
        <v>20246</v>
      </c>
      <c r="E2175" s="1" t="s">
        <v>20247</v>
      </c>
      <c r="F2175" s="1">
        <v>3782668.0</v>
      </c>
      <c r="G2175" s="1">
        <v>128674.0</v>
      </c>
      <c r="H2175" s="1">
        <v>1094.0</v>
      </c>
      <c r="I2175" s="1">
        <v>8770000.0</v>
      </c>
      <c r="J2175" s="1" t="s">
        <v>2468</v>
      </c>
      <c r="K2175" s="5">
        <f t="shared" si="2"/>
        <v>0.4313190422</v>
      </c>
      <c r="L2175" s="6">
        <f t="shared" si="3"/>
        <v>431</v>
      </c>
      <c r="M2175" s="6">
        <f t="shared" si="4"/>
        <v>8776.491879</v>
      </c>
      <c r="N2175" s="7">
        <f t="shared" si="5"/>
        <v>0.001000740237</v>
      </c>
      <c r="O2175" s="7"/>
      <c r="P2175" s="4">
        <f t="shared" si="6"/>
        <v>0.255358881</v>
      </c>
      <c r="Q2175" s="4">
        <f t="shared" si="7"/>
        <v>7</v>
      </c>
      <c r="R2175" s="4">
        <f t="shared" si="8"/>
        <v>0</v>
      </c>
      <c r="S2175" s="4">
        <f t="shared" si="9"/>
        <v>0.255358881</v>
      </c>
      <c r="T2175" s="4">
        <f t="shared" si="10"/>
        <v>41</v>
      </c>
      <c r="U2175" s="4">
        <f t="shared" si="1"/>
        <v>0.255358881</v>
      </c>
      <c r="V2175" s="4"/>
    </row>
    <row r="2176">
      <c r="A2176" s="1" t="s">
        <v>20355</v>
      </c>
      <c r="B2176" s="1" t="s">
        <v>20356</v>
      </c>
      <c r="C2176" s="1" t="s">
        <v>20357</v>
      </c>
      <c r="D2176" s="1" t="s">
        <v>20246</v>
      </c>
      <c r="E2176" s="1" t="s">
        <v>20247</v>
      </c>
      <c r="F2176" s="1">
        <v>849279.0</v>
      </c>
      <c r="G2176" s="1">
        <v>34336.0</v>
      </c>
      <c r="H2176" s="1">
        <v>1799.0</v>
      </c>
      <c r="I2176" s="1">
        <v>8770000.0</v>
      </c>
      <c r="J2176" s="1" t="s">
        <v>2468</v>
      </c>
      <c r="K2176" s="5">
        <f t="shared" si="2"/>
        <v>0.0968391106</v>
      </c>
      <c r="L2176" s="6">
        <f t="shared" si="3"/>
        <v>461</v>
      </c>
      <c r="M2176" s="6">
        <f t="shared" si="4"/>
        <v>1842.253796</v>
      </c>
      <c r="N2176" s="7">
        <f t="shared" si="5"/>
        <v>0.0002100631466</v>
      </c>
      <c r="O2176" s="7"/>
      <c r="P2176" s="4">
        <f t="shared" si="6"/>
        <v>-0.3015651439</v>
      </c>
      <c r="Q2176" s="4">
        <f t="shared" si="7"/>
        <v>5</v>
      </c>
      <c r="R2176" s="4">
        <f t="shared" si="8"/>
        <v>0</v>
      </c>
      <c r="S2176" s="4">
        <f t="shared" si="9"/>
        <v>-0.3015651439</v>
      </c>
      <c r="T2176" s="4">
        <f t="shared" si="10"/>
        <v>27</v>
      </c>
      <c r="U2176" s="4">
        <f t="shared" si="1"/>
        <v>-0.3015651439</v>
      </c>
      <c r="V2176" s="4"/>
    </row>
    <row r="2177">
      <c r="A2177" s="1" t="s">
        <v>20358</v>
      </c>
      <c r="B2177" s="1" t="s">
        <v>20359</v>
      </c>
      <c r="C2177" s="1" t="s">
        <v>20360</v>
      </c>
      <c r="D2177" s="1" t="s">
        <v>20246</v>
      </c>
      <c r="E2177" s="1" t="s">
        <v>20247</v>
      </c>
      <c r="F2177" s="1">
        <v>1516844.0</v>
      </c>
      <c r="G2177" s="1">
        <v>56369.0</v>
      </c>
      <c r="H2177" s="1">
        <v>1212.0</v>
      </c>
      <c r="I2177" s="1">
        <v>8770000.0</v>
      </c>
      <c r="J2177" s="1" t="s">
        <v>2468</v>
      </c>
      <c r="K2177" s="5">
        <f t="shared" si="2"/>
        <v>0.1729582668</v>
      </c>
      <c r="L2177" s="6">
        <f t="shared" si="3"/>
        <v>471</v>
      </c>
      <c r="M2177" s="6">
        <f t="shared" si="4"/>
        <v>3220.475584</v>
      </c>
      <c r="N2177" s="7">
        <f t="shared" si="5"/>
        <v>0.0003672150039</v>
      </c>
      <c r="O2177" s="7"/>
      <c r="P2177" s="4">
        <f t="shared" si="6"/>
        <v>-0.1908731232</v>
      </c>
      <c r="Q2177" s="4">
        <f t="shared" si="7"/>
        <v>5</v>
      </c>
      <c r="R2177" s="4">
        <f t="shared" si="8"/>
        <v>0</v>
      </c>
      <c r="S2177" s="4">
        <f t="shared" si="9"/>
        <v>-0.1908731232</v>
      </c>
      <c r="T2177" s="4">
        <f t="shared" si="10"/>
        <v>40</v>
      </c>
      <c r="U2177" s="4">
        <f t="shared" si="1"/>
        <v>-0.1908731232</v>
      </c>
      <c r="V2177" s="4"/>
    </row>
    <row r="2178">
      <c r="A2178" s="1" t="s">
        <v>20361</v>
      </c>
      <c r="B2178" s="1" t="s">
        <v>20362</v>
      </c>
      <c r="C2178" s="1" t="s">
        <v>20363</v>
      </c>
      <c r="D2178" s="1" t="s">
        <v>20246</v>
      </c>
      <c r="E2178" s="1" t="s">
        <v>20247</v>
      </c>
      <c r="F2178" s="1">
        <v>693199.0</v>
      </c>
      <c r="G2178" s="1">
        <v>24021.0</v>
      </c>
      <c r="H2178" s="1">
        <v>250.0</v>
      </c>
      <c r="I2178" s="1">
        <v>8770000.0</v>
      </c>
      <c r="J2178" s="1" t="s">
        <v>2468</v>
      </c>
      <c r="K2178" s="5">
        <f t="shared" si="2"/>
        <v>0.07904207526</v>
      </c>
      <c r="L2178" s="6">
        <f t="shared" si="3"/>
        <v>482</v>
      </c>
      <c r="M2178" s="6">
        <f t="shared" si="4"/>
        <v>1438.172199</v>
      </c>
      <c r="N2178" s="7">
        <f t="shared" si="5"/>
        <v>0.000163987708</v>
      </c>
      <c r="O2178" s="7"/>
      <c r="P2178" s="4">
        <f t="shared" si="6"/>
        <v>-0.3340189978</v>
      </c>
      <c r="Q2178" s="4">
        <f t="shared" si="7"/>
        <v>7</v>
      </c>
      <c r="R2178" s="4">
        <f t="shared" si="8"/>
        <v>0</v>
      </c>
      <c r="S2178" s="4">
        <f t="shared" si="9"/>
        <v>-0.3340189978</v>
      </c>
      <c r="T2178" s="4">
        <f t="shared" si="10"/>
        <v>56</v>
      </c>
      <c r="U2178" s="4">
        <f t="shared" si="1"/>
        <v>-0.3340189978</v>
      </c>
      <c r="V2178" s="4"/>
    </row>
    <row r="2179">
      <c r="A2179" s="1" t="s">
        <v>20364</v>
      </c>
      <c r="B2179" s="1" t="s">
        <v>20365</v>
      </c>
      <c r="C2179" s="1" t="s">
        <v>20366</v>
      </c>
      <c r="D2179" s="1" t="s">
        <v>20246</v>
      </c>
      <c r="E2179" s="1" t="s">
        <v>20247</v>
      </c>
      <c r="F2179" s="1">
        <v>768268.0</v>
      </c>
      <c r="G2179" s="1">
        <v>36406.0</v>
      </c>
      <c r="H2179" s="1">
        <v>1336.0</v>
      </c>
      <c r="I2179" s="1">
        <v>8770000.0</v>
      </c>
      <c r="J2179" s="1" t="s">
        <v>2468</v>
      </c>
      <c r="K2179" s="5">
        <f t="shared" si="2"/>
        <v>0.0876018244</v>
      </c>
      <c r="L2179" s="6">
        <f t="shared" si="3"/>
        <v>483</v>
      </c>
      <c r="M2179" s="6">
        <f t="shared" si="4"/>
        <v>1590.616977</v>
      </c>
      <c r="N2179" s="7">
        <f t="shared" si="5"/>
        <v>0.0001813702369</v>
      </c>
      <c r="O2179" s="7"/>
      <c r="P2179" s="4">
        <f t="shared" si="6"/>
        <v>-0.3217753802</v>
      </c>
      <c r="Q2179" s="4">
        <f t="shared" si="7"/>
        <v>7</v>
      </c>
      <c r="R2179" s="4">
        <f t="shared" si="8"/>
        <v>0</v>
      </c>
      <c r="S2179" s="4">
        <f t="shared" si="9"/>
        <v>-0.3217753802</v>
      </c>
      <c r="T2179" s="4">
        <f t="shared" si="10"/>
        <v>45</v>
      </c>
      <c r="U2179" s="4">
        <f t="shared" si="1"/>
        <v>-0.3217753802</v>
      </c>
      <c r="V2179" s="4"/>
    </row>
    <row r="2180">
      <c r="A2180" s="1" t="s">
        <v>20367</v>
      </c>
      <c r="B2180" s="1" t="s">
        <v>20368</v>
      </c>
      <c r="C2180" s="1" t="s">
        <v>20369</v>
      </c>
      <c r="D2180" s="1" t="s">
        <v>20246</v>
      </c>
      <c r="E2180" s="1" t="s">
        <v>20247</v>
      </c>
      <c r="F2180" s="1">
        <v>941211.0</v>
      </c>
      <c r="G2180" s="1">
        <v>34758.0</v>
      </c>
      <c r="H2180" s="1">
        <v>577.0</v>
      </c>
      <c r="I2180" s="1">
        <v>8770000.0</v>
      </c>
      <c r="J2180" s="1" t="s">
        <v>2468</v>
      </c>
      <c r="K2180" s="5">
        <f t="shared" si="2"/>
        <v>0.1073216648</v>
      </c>
      <c r="L2180" s="6">
        <f t="shared" si="3"/>
        <v>496</v>
      </c>
      <c r="M2180" s="6">
        <f t="shared" si="4"/>
        <v>1897.602823</v>
      </c>
      <c r="N2180" s="7">
        <f t="shared" si="5"/>
        <v>0.0002163743241</v>
      </c>
      <c r="O2180" s="7"/>
      <c r="P2180" s="4">
        <f t="shared" si="6"/>
        <v>-0.2971197813</v>
      </c>
      <c r="Q2180" s="4">
        <f t="shared" si="7"/>
        <v>8</v>
      </c>
      <c r="R2180" s="4">
        <f t="shared" si="8"/>
        <v>0</v>
      </c>
      <c r="S2180" s="4">
        <f t="shared" si="9"/>
        <v>-0.2971197813</v>
      </c>
      <c r="T2180" s="4">
        <f t="shared" si="10"/>
        <v>47</v>
      </c>
      <c r="U2180" s="4">
        <f t="shared" si="1"/>
        <v>-0.2971197813</v>
      </c>
      <c r="V2180" s="4"/>
    </row>
    <row r="2181">
      <c r="A2181" s="1" t="s">
        <v>20370</v>
      </c>
      <c r="B2181" s="1" t="s">
        <v>20371</v>
      </c>
      <c r="C2181" s="1" t="s">
        <v>20372</v>
      </c>
      <c r="D2181" s="1" t="s">
        <v>20246</v>
      </c>
      <c r="E2181" s="1" t="s">
        <v>20247</v>
      </c>
      <c r="F2181" s="1">
        <v>903052.0</v>
      </c>
      <c r="G2181" s="1">
        <v>30368.0</v>
      </c>
      <c r="H2181" s="1">
        <v>357.0</v>
      </c>
      <c r="I2181" s="1">
        <v>8770000.0</v>
      </c>
      <c r="J2181" s="1" t="s">
        <v>2468</v>
      </c>
      <c r="K2181" s="5">
        <f t="shared" si="2"/>
        <v>0.1029705815</v>
      </c>
      <c r="L2181" s="6">
        <f t="shared" si="3"/>
        <v>504</v>
      </c>
      <c r="M2181" s="6">
        <f t="shared" si="4"/>
        <v>1791.769841</v>
      </c>
      <c r="N2181" s="7">
        <f t="shared" si="5"/>
        <v>0.0002043067094</v>
      </c>
      <c r="O2181" s="7"/>
      <c r="P2181" s="4">
        <f t="shared" si="6"/>
        <v>-0.3056197678</v>
      </c>
      <c r="Q2181" s="4">
        <f t="shared" si="7"/>
        <v>6</v>
      </c>
      <c r="R2181" s="4">
        <f t="shared" si="8"/>
        <v>0</v>
      </c>
      <c r="S2181" s="4">
        <f t="shared" si="9"/>
        <v>-0.3056197678</v>
      </c>
      <c r="T2181" s="4">
        <f t="shared" si="10"/>
        <v>51</v>
      </c>
      <c r="U2181" s="4">
        <f t="shared" si="1"/>
        <v>-0.3056197678</v>
      </c>
      <c r="V2181" s="4"/>
    </row>
    <row r="2182">
      <c r="A2182" s="1" t="s">
        <v>20373</v>
      </c>
      <c r="B2182" s="1" t="s">
        <v>20374</v>
      </c>
      <c r="C2182" s="1" t="s">
        <v>20375</v>
      </c>
      <c r="D2182" s="1" t="s">
        <v>20246</v>
      </c>
      <c r="E2182" s="1" t="s">
        <v>20247</v>
      </c>
      <c r="F2182" s="1">
        <v>984397.0</v>
      </c>
      <c r="G2182" s="1">
        <v>25475.0</v>
      </c>
      <c r="H2182" s="1">
        <v>342.0</v>
      </c>
      <c r="I2182" s="1">
        <v>8770000.0</v>
      </c>
      <c r="J2182" s="1" t="s">
        <v>2468</v>
      </c>
      <c r="K2182" s="5">
        <f t="shared" si="2"/>
        <v>0.1122459521</v>
      </c>
      <c r="L2182" s="6">
        <f t="shared" si="3"/>
        <v>510</v>
      </c>
      <c r="M2182" s="6">
        <f t="shared" si="4"/>
        <v>1930.190196</v>
      </c>
      <c r="N2182" s="7">
        <f t="shared" si="5"/>
        <v>0.0002200901022</v>
      </c>
      <c r="O2182" s="7"/>
      <c r="P2182" s="4">
        <f t="shared" si="6"/>
        <v>-0.2945025231</v>
      </c>
      <c r="Q2182" s="4">
        <f t="shared" si="7"/>
        <v>7</v>
      </c>
      <c r="R2182" s="4">
        <f t="shared" si="8"/>
        <v>0</v>
      </c>
      <c r="S2182" s="4">
        <f t="shared" si="9"/>
        <v>-0.2945025231</v>
      </c>
      <c r="T2182" s="4">
        <f t="shared" si="10"/>
        <v>45</v>
      </c>
      <c r="U2182" s="4">
        <f t="shared" si="1"/>
        <v>-0.2945025231</v>
      </c>
      <c r="V2182" s="4"/>
    </row>
    <row r="2183">
      <c r="A2183" s="1" t="s">
        <v>20376</v>
      </c>
      <c r="B2183" s="1" t="s">
        <v>20377</v>
      </c>
      <c r="C2183" s="1" t="s">
        <v>20378</v>
      </c>
      <c r="D2183" s="1" t="s">
        <v>20246</v>
      </c>
      <c r="E2183" s="1" t="s">
        <v>20247</v>
      </c>
      <c r="F2183" s="1">
        <v>1202436.0</v>
      </c>
      <c r="G2183" s="1">
        <v>47928.0</v>
      </c>
      <c r="H2183" s="1">
        <v>5717.0</v>
      </c>
      <c r="I2183" s="1">
        <v>8770000.0</v>
      </c>
      <c r="J2183" s="1" t="s">
        <v>2468</v>
      </c>
      <c r="K2183" s="5">
        <f t="shared" si="2"/>
        <v>0.1371078677</v>
      </c>
      <c r="L2183" s="6">
        <f t="shared" si="3"/>
        <v>511</v>
      </c>
      <c r="M2183" s="6">
        <f t="shared" si="4"/>
        <v>2353.103718</v>
      </c>
      <c r="N2183" s="7">
        <f t="shared" si="5"/>
        <v>0.0002683128527</v>
      </c>
      <c r="O2183" s="7"/>
      <c r="P2183" s="4">
        <f t="shared" si="6"/>
        <v>-0.2605361813</v>
      </c>
      <c r="Q2183" s="4">
        <f t="shared" si="7"/>
        <v>5</v>
      </c>
      <c r="R2183" s="4">
        <f t="shared" si="8"/>
        <v>1</v>
      </c>
      <c r="S2183" s="4">
        <f t="shared" si="9"/>
        <v>-0.2605361813</v>
      </c>
      <c r="T2183" s="4">
        <f t="shared" si="10"/>
        <v>30</v>
      </c>
      <c r="U2183" s="4">
        <f t="shared" si="1"/>
        <v>-0.2605361813</v>
      </c>
      <c r="V2183" s="4"/>
    </row>
    <row r="2184">
      <c r="A2184" s="1" t="s">
        <v>20379</v>
      </c>
      <c r="B2184" s="1" t="s">
        <v>20380</v>
      </c>
      <c r="C2184" s="1" t="s">
        <v>20381</v>
      </c>
      <c r="D2184" s="1" t="s">
        <v>20246</v>
      </c>
      <c r="E2184" s="1" t="s">
        <v>20247</v>
      </c>
      <c r="F2184" s="1">
        <v>681236.0</v>
      </c>
      <c r="G2184" s="1">
        <v>23807.0</v>
      </c>
      <c r="H2184" s="1">
        <v>426.0</v>
      </c>
      <c r="I2184" s="1">
        <v>8770000.0</v>
      </c>
      <c r="J2184" s="1" t="s">
        <v>2468</v>
      </c>
      <c r="K2184" s="5">
        <f t="shared" si="2"/>
        <v>0.07767799316</v>
      </c>
      <c r="L2184" s="6">
        <f t="shared" si="3"/>
        <v>518</v>
      </c>
      <c r="M2184" s="6">
        <f t="shared" si="4"/>
        <v>1315.127413</v>
      </c>
      <c r="N2184" s="7">
        <f t="shared" si="5"/>
        <v>0.0001499575157</v>
      </c>
      <c r="O2184" s="7"/>
      <c r="P2184" s="4">
        <f t="shared" si="6"/>
        <v>-0.3439013521</v>
      </c>
      <c r="Q2184" s="4">
        <f t="shared" si="7"/>
        <v>7</v>
      </c>
      <c r="R2184" s="4">
        <f t="shared" si="8"/>
        <v>0</v>
      </c>
      <c r="S2184" s="4">
        <f t="shared" si="9"/>
        <v>-0.3439013521</v>
      </c>
      <c r="T2184" s="4">
        <f t="shared" si="10"/>
        <v>48</v>
      </c>
      <c r="U2184" s="4">
        <f t="shared" si="1"/>
        <v>-0.3439013521</v>
      </c>
      <c r="V2184" s="4"/>
    </row>
    <row r="2185">
      <c r="A2185" s="1" t="s">
        <v>20382</v>
      </c>
      <c r="B2185" s="1" t="s">
        <v>20383</v>
      </c>
      <c r="C2185" s="1" t="s">
        <v>20384</v>
      </c>
      <c r="D2185" s="1" t="s">
        <v>20246</v>
      </c>
      <c r="E2185" s="1" t="s">
        <v>20247</v>
      </c>
      <c r="F2185" s="1">
        <v>2687632.0</v>
      </c>
      <c r="G2185" s="1">
        <v>115650.0</v>
      </c>
      <c r="H2185" s="1">
        <v>801.0</v>
      </c>
      <c r="I2185" s="1">
        <v>8770000.0</v>
      </c>
      <c r="J2185" s="1" t="s">
        <v>2468</v>
      </c>
      <c r="K2185" s="5">
        <f t="shared" si="2"/>
        <v>0.3064574686</v>
      </c>
      <c r="L2185" s="6">
        <f t="shared" si="3"/>
        <v>523</v>
      </c>
      <c r="M2185" s="6">
        <f t="shared" si="4"/>
        <v>5138.875717</v>
      </c>
      <c r="N2185" s="7">
        <f t="shared" si="5"/>
        <v>0.0005859607431</v>
      </c>
      <c r="O2185" s="7"/>
      <c r="P2185" s="4">
        <f t="shared" si="6"/>
        <v>-0.03679662474</v>
      </c>
      <c r="Q2185" s="4">
        <f t="shared" si="7"/>
        <v>7</v>
      </c>
      <c r="R2185" s="4">
        <f t="shared" si="8"/>
        <v>0</v>
      </c>
      <c r="S2185" s="4">
        <f t="shared" si="9"/>
        <v>-0.03679662474</v>
      </c>
      <c r="T2185" s="4">
        <f t="shared" si="10"/>
        <v>58</v>
      </c>
      <c r="U2185" s="4">
        <f t="shared" si="1"/>
        <v>-0.03679662474</v>
      </c>
      <c r="V2185" s="4"/>
    </row>
    <row r="2186">
      <c r="A2186" s="1" t="s">
        <v>20385</v>
      </c>
      <c r="B2186" s="1" t="s">
        <v>20386</v>
      </c>
      <c r="C2186" s="1" t="s">
        <v>20387</v>
      </c>
      <c r="D2186" s="1" t="s">
        <v>20246</v>
      </c>
      <c r="E2186" s="1" t="s">
        <v>20247</v>
      </c>
      <c r="F2186" s="1">
        <v>864026.0</v>
      </c>
      <c r="G2186" s="1">
        <v>38124.0</v>
      </c>
      <c r="H2186" s="1">
        <v>1563.0</v>
      </c>
      <c r="I2186" s="1">
        <v>8770000.0</v>
      </c>
      <c r="J2186" s="1" t="s">
        <v>2468</v>
      </c>
      <c r="K2186" s="5">
        <f t="shared" si="2"/>
        <v>0.09852063854</v>
      </c>
      <c r="L2186" s="6">
        <f t="shared" si="3"/>
        <v>537</v>
      </c>
      <c r="M2186" s="6">
        <f t="shared" si="4"/>
        <v>1608.986965</v>
      </c>
      <c r="N2186" s="7">
        <f t="shared" si="5"/>
        <v>0.0001834648762</v>
      </c>
      <c r="O2186" s="7"/>
      <c r="P2186" s="4">
        <f t="shared" si="6"/>
        <v>-0.3202999928</v>
      </c>
      <c r="Q2186" s="4">
        <f t="shared" si="7"/>
        <v>4</v>
      </c>
      <c r="R2186" s="4">
        <f t="shared" si="8"/>
        <v>0</v>
      </c>
      <c r="S2186" s="4">
        <f t="shared" si="9"/>
        <v>-0.3202999928</v>
      </c>
      <c r="T2186" s="4">
        <f t="shared" si="10"/>
        <v>26</v>
      </c>
      <c r="U2186" s="4">
        <f t="shared" si="1"/>
        <v>-0.3202999928</v>
      </c>
      <c r="V2186" s="4"/>
    </row>
    <row r="2187">
      <c r="A2187" s="1" t="s">
        <v>20388</v>
      </c>
      <c r="B2187" s="1" t="s">
        <v>20389</v>
      </c>
      <c r="C2187" s="1" t="s">
        <v>20390</v>
      </c>
      <c r="D2187" s="1" t="s">
        <v>20246</v>
      </c>
      <c r="E2187" s="1" t="s">
        <v>20247</v>
      </c>
      <c r="F2187" s="1">
        <v>691173.0</v>
      </c>
      <c r="G2187" s="1">
        <v>30449.0</v>
      </c>
      <c r="H2187" s="1">
        <v>449.0</v>
      </c>
      <c r="I2187" s="1">
        <v>8770000.0</v>
      </c>
      <c r="J2187" s="1" t="s">
        <v>2468</v>
      </c>
      <c r="K2187" s="5">
        <f t="shared" si="2"/>
        <v>0.07881106043</v>
      </c>
      <c r="L2187" s="6">
        <f t="shared" si="3"/>
        <v>548</v>
      </c>
      <c r="M2187" s="6">
        <f t="shared" si="4"/>
        <v>1261.264599</v>
      </c>
      <c r="N2187" s="7">
        <f t="shared" si="5"/>
        <v>0.0001438158037</v>
      </c>
      <c r="O2187" s="7"/>
      <c r="P2187" s="4">
        <f t="shared" si="6"/>
        <v>-0.3482273494</v>
      </c>
      <c r="Q2187" s="4">
        <f t="shared" si="7"/>
        <v>7</v>
      </c>
      <c r="R2187" s="4">
        <f t="shared" si="8"/>
        <v>0</v>
      </c>
      <c r="S2187" s="4">
        <f t="shared" si="9"/>
        <v>-0.3482273494</v>
      </c>
      <c r="T2187" s="4">
        <f t="shared" si="10"/>
        <v>41</v>
      </c>
      <c r="U2187" s="4">
        <f t="shared" si="1"/>
        <v>-0.3482273494</v>
      </c>
      <c r="V2187" s="4"/>
    </row>
    <row r="2188">
      <c r="A2188" s="1" t="s">
        <v>20391</v>
      </c>
      <c r="B2188" s="1" t="s">
        <v>20392</v>
      </c>
      <c r="C2188" s="1" t="s">
        <v>20393</v>
      </c>
      <c r="D2188" s="1" t="s">
        <v>20246</v>
      </c>
      <c r="E2188" s="1" t="s">
        <v>20247</v>
      </c>
      <c r="F2188" s="1">
        <v>1986927.0</v>
      </c>
      <c r="G2188" s="1">
        <v>82827.0</v>
      </c>
      <c r="H2188" s="1">
        <v>5477.0</v>
      </c>
      <c r="I2188" s="1">
        <v>8770000.0</v>
      </c>
      <c r="J2188" s="1" t="s">
        <v>2468</v>
      </c>
      <c r="K2188" s="5">
        <f t="shared" si="2"/>
        <v>0.2265595211</v>
      </c>
      <c r="L2188" s="6">
        <f t="shared" si="3"/>
        <v>553</v>
      </c>
      <c r="M2188" s="6">
        <f t="shared" si="4"/>
        <v>3592.996383</v>
      </c>
      <c r="N2188" s="7">
        <f t="shared" si="5"/>
        <v>0.0004096917199</v>
      </c>
      <c r="O2188" s="7"/>
      <c r="P2188" s="4">
        <f t="shared" si="6"/>
        <v>-0.160954078</v>
      </c>
      <c r="Q2188" s="4">
        <f t="shared" si="7"/>
        <v>3</v>
      </c>
      <c r="R2188" s="4">
        <f t="shared" si="8"/>
        <v>0</v>
      </c>
      <c r="S2188" s="4">
        <f t="shared" si="9"/>
        <v>-0.160954078</v>
      </c>
      <c r="T2188" s="4">
        <f t="shared" si="10"/>
        <v>18</v>
      </c>
      <c r="U2188" s="4">
        <f t="shared" si="1"/>
        <v>-0.160954078</v>
      </c>
      <c r="V2188" s="4"/>
    </row>
    <row r="2189">
      <c r="A2189" s="1" t="s">
        <v>20394</v>
      </c>
      <c r="B2189" s="1" t="s">
        <v>20395</v>
      </c>
      <c r="C2189" s="1" t="s">
        <v>20396</v>
      </c>
      <c r="D2189" s="1" t="s">
        <v>20246</v>
      </c>
      <c r="E2189" s="1" t="s">
        <v>20247</v>
      </c>
      <c r="F2189" s="1">
        <v>664645.0</v>
      </c>
      <c r="G2189" s="1">
        <v>31412.0</v>
      </c>
      <c r="H2189" s="1">
        <v>316.0</v>
      </c>
      <c r="I2189" s="1">
        <v>8770000.0</v>
      </c>
      <c r="J2189" s="1" t="s">
        <v>2468</v>
      </c>
      <c r="K2189" s="5">
        <f t="shared" si="2"/>
        <v>0.07578620296</v>
      </c>
      <c r="L2189" s="6">
        <f t="shared" si="3"/>
        <v>559</v>
      </c>
      <c r="M2189" s="6">
        <f t="shared" si="4"/>
        <v>1188.989267</v>
      </c>
      <c r="N2189" s="7">
        <f t="shared" si="5"/>
        <v>0.0001355746028</v>
      </c>
      <c r="O2189" s="7"/>
      <c r="P2189" s="4">
        <f t="shared" si="6"/>
        <v>-0.3540321499</v>
      </c>
      <c r="Q2189" s="4">
        <f t="shared" si="7"/>
        <v>5</v>
      </c>
      <c r="R2189" s="4">
        <f t="shared" si="8"/>
        <v>0</v>
      </c>
      <c r="S2189" s="4">
        <f t="shared" si="9"/>
        <v>-0.3540321499</v>
      </c>
      <c r="T2189" s="4">
        <f t="shared" si="10"/>
        <v>47</v>
      </c>
      <c r="U2189" s="4">
        <f t="shared" si="1"/>
        <v>-0.3540321499</v>
      </c>
      <c r="V2189" s="4"/>
    </row>
    <row r="2190">
      <c r="A2190" s="1" t="s">
        <v>20397</v>
      </c>
      <c r="B2190" s="1" t="s">
        <v>20398</v>
      </c>
      <c r="C2190" s="1" t="s">
        <v>20399</v>
      </c>
      <c r="D2190" s="1" t="s">
        <v>20246</v>
      </c>
      <c r="E2190" s="1" t="s">
        <v>20247</v>
      </c>
      <c r="F2190" s="1">
        <v>1431709.0</v>
      </c>
      <c r="G2190" s="1">
        <v>37562.0</v>
      </c>
      <c r="H2190" s="1">
        <v>451.0</v>
      </c>
      <c r="I2190" s="1">
        <v>8770000.0</v>
      </c>
      <c r="J2190" s="1" t="s">
        <v>2468</v>
      </c>
      <c r="K2190" s="5">
        <f t="shared" si="2"/>
        <v>0.1632507412</v>
      </c>
      <c r="L2190" s="6">
        <f t="shared" si="3"/>
        <v>562</v>
      </c>
      <c r="M2190" s="6">
        <f t="shared" si="4"/>
        <v>2547.524911</v>
      </c>
      <c r="N2190" s="7">
        <f t="shared" si="5"/>
        <v>0.0002904817458</v>
      </c>
      <c r="O2190" s="7"/>
      <c r="P2190" s="4">
        <f t="shared" si="6"/>
        <v>-0.2449212238</v>
      </c>
      <c r="Q2190" s="4">
        <f t="shared" si="7"/>
        <v>7</v>
      </c>
      <c r="R2190" s="4">
        <f t="shared" si="8"/>
        <v>0</v>
      </c>
      <c r="S2190" s="4">
        <f t="shared" si="9"/>
        <v>-0.2449212238</v>
      </c>
      <c r="T2190" s="4">
        <f t="shared" si="10"/>
        <v>34</v>
      </c>
      <c r="U2190" s="4">
        <f t="shared" si="1"/>
        <v>-0.2449212238</v>
      </c>
      <c r="V2190" s="4"/>
    </row>
    <row r="2191">
      <c r="A2191" s="1" t="s">
        <v>20400</v>
      </c>
      <c r="B2191" s="1" t="s">
        <v>20401</v>
      </c>
      <c r="C2191" s="1" t="s">
        <v>20402</v>
      </c>
      <c r="D2191" s="1" t="s">
        <v>20246</v>
      </c>
      <c r="E2191" s="1" t="s">
        <v>20247</v>
      </c>
      <c r="F2191" s="1">
        <v>817169.0</v>
      </c>
      <c r="G2191" s="1">
        <v>35338.0</v>
      </c>
      <c r="H2191" s="1">
        <v>387.0</v>
      </c>
      <c r="I2191" s="1">
        <v>8770000.0</v>
      </c>
      <c r="J2191" s="1" t="s">
        <v>2468</v>
      </c>
      <c r="K2191" s="5">
        <f t="shared" si="2"/>
        <v>0.09317776511</v>
      </c>
      <c r="L2191" s="6">
        <f t="shared" si="3"/>
        <v>565</v>
      </c>
      <c r="M2191" s="6">
        <f t="shared" si="4"/>
        <v>1446.316814</v>
      </c>
      <c r="N2191" s="7">
        <f t="shared" si="5"/>
        <v>0.0001649163984</v>
      </c>
      <c r="O2191" s="7"/>
      <c r="P2191" s="4">
        <f t="shared" si="6"/>
        <v>-0.3333648622</v>
      </c>
      <c r="Q2191" s="4">
        <f t="shared" si="7"/>
        <v>6</v>
      </c>
      <c r="R2191" s="4">
        <f t="shared" si="8"/>
        <v>0</v>
      </c>
      <c r="S2191" s="4">
        <f t="shared" si="9"/>
        <v>-0.3333648622</v>
      </c>
      <c r="T2191" s="4">
        <f t="shared" si="10"/>
        <v>53</v>
      </c>
      <c r="U2191" s="4">
        <f t="shared" si="1"/>
        <v>-0.3333648622</v>
      </c>
      <c r="V2191" s="4"/>
    </row>
    <row r="2192">
      <c r="A2192" s="1" t="s">
        <v>20403</v>
      </c>
      <c r="B2192" s="1" t="s">
        <v>20404</v>
      </c>
      <c r="C2192" s="1" t="s">
        <v>20405</v>
      </c>
      <c r="D2192" s="1" t="s">
        <v>20246</v>
      </c>
      <c r="E2192" s="1" t="s">
        <v>20247</v>
      </c>
      <c r="F2192" s="1">
        <v>1189261.0</v>
      </c>
      <c r="G2192" s="1">
        <v>43233.0</v>
      </c>
      <c r="H2192" s="1">
        <v>1644.0</v>
      </c>
      <c r="I2192" s="1">
        <v>8770000.0</v>
      </c>
      <c r="J2192" s="1" t="s">
        <v>2468</v>
      </c>
      <c r="K2192" s="5">
        <f t="shared" si="2"/>
        <v>0.1356055872</v>
      </c>
      <c r="L2192" s="6">
        <f t="shared" si="3"/>
        <v>566</v>
      </c>
      <c r="M2192" s="6">
        <f t="shared" si="4"/>
        <v>2101.167845</v>
      </c>
      <c r="N2192" s="7">
        <f t="shared" si="5"/>
        <v>0.0002395858432</v>
      </c>
      <c r="O2192" s="7"/>
      <c r="P2192" s="4">
        <f t="shared" si="6"/>
        <v>-0.2807704362</v>
      </c>
      <c r="Q2192" s="4">
        <f t="shared" si="7"/>
        <v>3</v>
      </c>
      <c r="R2192" s="4">
        <f t="shared" si="8"/>
        <v>0</v>
      </c>
      <c r="S2192" s="4">
        <f t="shared" si="9"/>
        <v>-0.2807704362</v>
      </c>
      <c r="T2192" s="4">
        <f t="shared" si="10"/>
        <v>21</v>
      </c>
      <c r="U2192" s="4">
        <f t="shared" si="1"/>
        <v>-0.2807704362</v>
      </c>
      <c r="V2192" s="4"/>
    </row>
    <row r="2193">
      <c r="A2193" s="1" t="s">
        <v>20406</v>
      </c>
      <c r="B2193" s="1" t="s">
        <v>20407</v>
      </c>
      <c r="C2193" s="1" t="s">
        <v>20408</v>
      </c>
      <c r="D2193" s="1" t="s">
        <v>20246</v>
      </c>
      <c r="E2193" s="1" t="s">
        <v>20247</v>
      </c>
      <c r="F2193" s="1">
        <v>1692642.0</v>
      </c>
      <c r="G2193" s="1">
        <v>47715.0</v>
      </c>
      <c r="H2193" s="1">
        <v>597.0</v>
      </c>
      <c r="I2193" s="1">
        <v>8770000.0</v>
      </c>
      <c r="J2193" s="1" t="s">
        <v>2468</v>
      </c>
      <c r="K2193" s="5">
        <f t="shared" si="2"/>
        <v>0.1930036488</v>
      </c>
      <c r="L2193" s="6">
        <f t="shared" si="3"/>
        <v>570</v>
      </c>
      <c r="M2193" s="6">
        <f t="shared" si="4"/>
        <v>2969.547368</v>
      </c>
      <c r="N2193" s="7">
        <f t="shared" si="5"/>
        <v>0.0003386028926</v>
      </c>
      <c r="O2193" s="7"/>
      <c r="P2193" s="4">
        <f t="shared" si="6"/>
        <v>-0.2110264479</v>
      </c>
      <c r="Q2193" s="4">
        <f t="shared" si="7"/>
        <v>9</v>
      </c>
      <c r="R2193" s="4">
        <f t="shared" si="8"/>
        <v>0</v>
      </c>
      <c r="S2193" s="4">
        <f t="shared" si="9"/>
        <v>-0.2110264479</v>
      </c>
      <c r="T2193" s="4">
        <f t="shared" si="10"/>
        <v>51</v>
      </c>
      <c r="U2193" s="4">
        <f t="shared" si="1"/>
        <v>-0.2110264479</v>
      </c>
      <c r="V2193" s="4"/>
    </row>
    <row r="2194">
      <c r="A2194" s="1" t="s">
        <v>20409</v>
      </c>
      <c r="B2194" s="1" t="s">
        <v>20410</v>
      </c>
      <c r="C2194" s="1" t="s">
        <v>20411</v>
      </c>
      <c r="D2194" s="1" t="s">
        <v>20246</v>
      </c>
      <c r="E2194" s="1" t="s">
        <v>20247</v>
      </c>
      <c r="F2194" s="1">
        <v>1239105.0</v>
      </c>
      <c r="G2194" s="1">
        <v>63537.0</v>
      </c>
      <c r="H2194" s="1">
        <v>458.0</v>
      </c>
      <c r="I2194" s="1">
        <v>8770000.0</v>
      </c>
      <c r="J2194" s="1" t="s">
        <v>2468</v>
      </c>
      <c r="K2194" s="5">
        <f t="shared" si="2"/>
        <v>0.1412890536</v>
      </c>
      <c r="L2194" s="6">
        <f t="shared" si="3"/>
        <v>573</v>
      </c>
      <c r="M2194" s="6">
        <f t="shared" si="4"/>
        <v>2162.486911</v>
      </c>
      <c r="N2194" s="7">
        <f t="shared" si="5"/>
        <v>0.000246577755</v>
      </c>
      <c r="O2194" s="7"/>
      <c r="P2194" s="4">
        <f t="shared" si="6"/>
        <v>-0.2758455893</v>
      </c>
      <c r="Q2194" s="4">
        <f t="shared" si="7"/>
        <v>7</v>
      </c>
      <c r="R2194" s="4">
        <f t="shared" si="8"/>
        <v>0</v>
      </c>
      <c r="S2194" s="4">
        <f t="shared" si="9"/>
        <v>-0.2758455893</v>
      </c>
      <c r="T2194" s="4">
        <f t="shared" si="10"/>
        <v>54</v>
      </c>
      <c r="U2194" s="4">
        <f t="shared" si="1"/>
        <v>-0.2758455893</v>
      </c>
      <c r="V2194" s="4"/>
    </row>
    <row r="2195">
      <c r="A2195" s="1" t="s">
        <v>20412</v>
      </c>
      <c r="B2195" s="1" t="s">
        <v>20413</v>
      </c>
      <c r="C2195" s="1" t="s">
        <v>20414</v>
      </c>
      <c r="D2195" s="1" t="s">
        <v>20246</v>
      </c>
      <c r="E2195" s="1" t="s">
        <v>20247</v>
      </c>
      <c r="F2195" s="1">
        <v>1978739.0</v>
      </c>
      <c r="G2195" s="1">
        <v>71018.0</v>
      </c>
      <c r="H2195" s="1">
        <v>431.0</v>
      </c>
      <c r="I2195" s="1">
        <v>8770000.0</v>
      </c>
      <c r="J2195" s="1" t="s">
        <v>2468</v>
      </c>
      <c r="K2195" s="5">
        <f t="shared" si="2"/>
        <v>0.2256258837</v>
      </c>
      <c r="L2195" s="6">
        <f t="shared" si="3"/>
        <v>579</v>
      </c>
      <c r="M2195" s="6">
        <f t="shared" si="4"/>
        <v>3417.511226</v>
      </c>
      <c r="N2195" s="7">
        <f t="shared" si="5"/>
        <v>0.0003896820098</v>
      </c>
      <c r="O2195" s="7"/>
      <c r="P2195" s="4">
        <f t="shared" si="6"/>
        <v>-0.1750481859</v>
      </c>
      <c r="Q2195" s="4">
        <f t="shared" si="7"/>
        <v>5</v>
      </c>
      <c r="R2195" s="4">
        <f t="shared" si="8"/>
        <v>0</v>
      </c>
      <c r="S2195" s="4">
        <f t="shared" si="9"/>
        <v>-0.1750481859</v>
      </c>
      <c r="T2195" s="4">
        <f t="shared" si="10"/>
        <v>41</v>
      </c>
      <c r="U2195" s="4">
        <f t="shared" si="1"/>
        <v>-0.1750481859</v>
      </c>
      <c r="V2195" s="4"/>
    </row>
    <row r="2196">
      <c r="A2196" s="1" t="s">
        <v>20415</v>
      </c>
      <c r="B2196" s="1" t="s">
        <v>20416</v>
      </c>
      <c r="C2196" s="1" t="s">
        <v>20417</v>
      </c>
      <c r="D2196" s="1" t="s">
        <v>20246</v>
      </c>
      <c r="E2196" s="1" t="s">
        <v>20247</v>
      </c>
      <c r="F2196" s="1">
        <v>479092.0</v>
      </c>
      <c r="G2196" s="1">
        <v>23020.0</v>
      </c>
      <c r="H2196" s="1">
        <v>238.0</v>
      </c>
      <c r="I2196" s="1">
        <v>8770000.0</v>
      </c>
      <c r="J2196" s="1" t="s">
        <v>2468</v>
      </c>
      <c r="K2196" s="5">
        <f t="shared" si="2"/>
        <v>0.05462850627</v>
      </c>
      <c r="L2196" s="6">
        <f t="shared" si="3"/>
        <v>586</v>
      </c>
      <c r="M2196" s="6">
        <f t="shared" si="4"/>
        <v>817.5631399</v>
      </c>
      <c r="N2196" s="7">
        <f t="shared" si="5"/>
        <v>0.00009322270695</v>
      </c>
      <c r="O2196" s="7"/>
      <c r="P2196" s="4">
        <f t="shared" si="6"/>
        <v>-0.3838632764</v>
      </c>
      <c r="Q2196" s="4">
        <f t="shared" si="7"/>
        <v>8</v>
      </c>
      <c r="R2196" s="4">
        <f t="shared" si="8"/>
        <v>0</v>
      </c>
      <c r="S2196" s="4">
        <f t="shared" si="9"/>
        <v>-0.3838632764</v>
      </c>
      <c r="T2196" s="4">
        <f t="shared" si="10"/>
        <v>58</v>
      </c>
      <c r="U2196" s="4">
        <f t="shared" si="1"/>
        <v>-0.3838632764</v>
      </c>
      <c r="V2196" s="4"/>
    </row>
    <row r="2197">
      <c r="A2197" s="1" t="s">
        <v>20418</v>
      </c>
      <c r="B2197" s="1" t="s">
        <v>20419</v>
      </c>
      <c r="C2197" s="1" t="s">
        <v>20420</v>
      </c>
      <c r="D2197" s="1" t="s">
        <v>20246</v>
      </c>
      <c r="E2197" s="1" t="s">
        <v>20247</v>
      </c>
      <c r="F2197" s="1">
        <v>884230.0</v>
      </c>
      <c r="G2197" s="1">
        <v>41935.0</v>
      </c>
      <c r="H2197" s="1">
        <v>1521.0</v>
      </c>
      <c r="I2197" s="1">
        <v>8770000.0</v>
      </c>
      <c r="J2197" s="1" t="s">
        <v>2468</v>
      </c>
      <c r="K2197" s="5">
        <f t="shared" si="2"/>
        <v>0.1008244014</v>
      </c>
      <c r="L2197" s="6">
        <f t="shared" si="3"/>
        <v>589</v>
      </c>
      <c r="M2197" s="6">
        <f t="shared" si="4"/>
        <v>1501.239389</v>
      </c>
      <c r="N2197" s="7">
        <f t="shared" si="5"/>
        <v>0.0001711789497</v>
      </c>
      <c r="O2197" s="7"/>
      <c r="P2197" s="4">
        <f t="shared" si="6"/>
        <v>-0.3289537501</v>
      </c>
      <c r="Q2197" s="4">
        <f t="shared" si="7"/>
        <v>4</v>
      </c>
      <c r="R2197" s="4">
        <f t="shared" si="8"/>
        <v>0</v>
      </c>
      <c r="S2197" s="4">
        <f t="shared" si="9"/>
        <v>-0.3289537501</v>
      </c>
      <c r="T2197" s="4">
        <f t="shared" si="10"/>
        <v>16</v>
      </c>
      <c r="U2197" s="4">
        <f t="shared" si="1"/>
        <v>-0.3289537501</v>
      </c>
      <c r="V2197" s="4"/>
    </row>
    <row r="2198">
      <c r="A2198" s="1" t="s">
        <v>20421</v>
      </c>
      <c r="B2198" s="1" t="s">
        <v>20422</v>
      </c>
      <c r="C2198" s="1" t="s">
        <v>20423</v>
      </c>
      <c r="D2198" s="1" t="s">
        <v>20246</v>
      </c>
      <c r="E2198" s="1" t="s">
        <v>20247</v>
      </c>
      <c r="F2198" s="1">
        <v>1459401.0</v>
      </c>
      <c r="G2198" s="1">
        <v>67063.0</v>
      </c>
      <c r="H2198" s="1">
        <v>562.0</v>
      </c>
      <c r="I2198" s="1">
        <v>8770000.0</v>
      </c>
      <c r="J2198" s="1" t="s">
        <v>2468</v>
      </c>
      <c r="K2198" s="5">
        <f t="shared" si="2"/>
        <v>0.1664083238</v>
      </c>
      <c r="L2198" s="6">
        <f t="shared" si="3"/>
        <v>593</v>
      </c>
      <c r="M2198" s="6">
        <f t="shared" si="4"/>
        <v>2461.047218</v>
      </c>
      <c r="N2198" s="7">
        <f t="shared" si="5"/>
        <v>0.0002806211194</v>
      </c>
      <c r="O2198" s="7"/>
      <c r="P2198" s="4">
        <f t="shared" si="6"/>
        <v>-0.2518666884</v>
      </c>
      <c r="Q2198" s="4">
        <f t="shared" si="7"/>
        <v>7</v>
      </c>
      <c r="R2198" s="4">
        <f t="shared" si="8"/>
        <v>0</v>
      </c>
      <c r="S2198" s="4">
        <f t="shared" si="9"/>
        <v>-0.2518666884</v>
      </c>
      <c r="T2198" s="4">
        <f t="shared" si="10"/>
        <v>49</v>
      </c>
      <c r="U2198" s="4">
        <f t="shared" si="1"/>
        <v>-0.2518666884</v>
      </c>
      <c r="V2198" s="4"/>
    </row>
    <row r="2199">
      <c r="A2199" s="1" t="s">
        <v>20424</v>
      </c>
      <c r="B2199" s="1" t="s">
        <v>20425</v>
      </c>
      <c r="C2199" s="1" t="s">
        <v>20426</v>
      </c>
      <c r="D2199" s="1" t="s">
        <v>20246</v>
      </c>
      <c r="E2199" s="1" t="s">
        <v>20247</v>
      </c>
      <c r="F2199" s="1">
        <v>1073269.0</v>
      </c>
      <c r="G2199" s="1">
        <v>73087.0</v>
      </c>
      <c r="H2199" s="1">
        <v>579.0</v>
      </c>
      <c r="I2199" s="1">
        <v>8770000.0</v>
      </c>
      <c r="J2199" s="1" t="s">
        <v>2468</v>
      </c>
      <c r="K2199" s="5">
        <f t="shared" si="2"/>
        <v>0.1223795895</v>
      </c>
      <c r="L2199" s="6">
        <f t="shared" si="3"/>
        <v>601</v>
      </c>
      <c r="M2199" s="6">
        <f t="shared" si="4"/>
        <v>1785.805324</v>
      </c>
      <c r="N2199" s="7">
        <f t="shared" si="5"/>
        <v>0.0002036266048</v>
      </c>
      <c r="O2199" s="7"/>
      <c r="P2199" s="4">
        <f t="shared" si="6"/>
        <v>-0.3060988085</v>
      </c>
      <c r="Q2199" s="4">
        <f t="shared" si="7"/>
        <v>7</v>
      </c>
      <c r="R2199" s="4">
        <f t="shared" si="8"/>
        <v>0</v>
      </c>
      <c r="S2199" s="4">
        <f t="shared" si="9"/>
        <v>-0.3060988085</v>
      </c>
      <c r="T2199" s="4">
        <f t="shared" si="10"/>
        <v>56</v>
      </c>
      <c r="U2199" s="4">
        <f t="shared" si="1"/>
        <v>-0.3060988085</v>
      </c>
      <c r="V2199" s="4"/>
    </row>
    <row r="2200">
      <c r="A2200" s="1" t="s">
        <v>20427</v>
      </c>
      <c r="B2200" s="1" t="s">
        <v>20428</v>
      </c>
      <c r="C2200" s="1" t="s">
        <v>20429</v>
      </c>
      <c r="D2200" s="1" t="s">
        <v>20246</v>
      </c>
      <c r="E2200" s="1" t="s">
        <v>20247</v>
      </c>
      <c r="F2200" s="1">
        <v>406614.0</v>
      </c>
      <c r="G2200" s="1">
        <v>22679.0</v>
      </c>
      <c r="H2200" s="1">
        <v>295.0</v>
      </c>
      <c r="I2200" s="1">
        <v>8770000.0</v>
      </c>
      <c r="J2200" s="1" t="s">
        <v>2468</v>
      </c>
      <c r="K2200" s="5">
        <f t="shared" si="2"/>
        <v>0.04636419612</v>
      </c>
      <c r="L2200" s="6">
        <f t="shared" si="3"/>
        <v>603</v>
      </c>
      <c r="M2200" s="6">
        <f t="shared" si="4"/>
        <v>674.318408</v>
      </c>
      <c r="N2200" s="7">
        <f t="shared" si="5"/>
        <v>0.00007688921413</v>
      </c>
      <c r="O2200" s="7"/>
      <c r="P2200" s="4">
        <f t="shared" si="6"/>
        <v>-0.3953679914</v>
      </c>
      <c r="Q2200" s="4">
        <f t="shared" si="7"/>
        <v>6</v>
      </c>
      <c r="R2200" s="4">
        <f t="shared" si="8"/>
        <v>0</v>
      </c>
      <c r="S2200" s="4">
        <f t="shared" si="9"/>
        <v>-0.3953679914</v>
      </c>
      <c r="T2200" s="4">
        <f t="shared" si="10"/>
        <v>44</v>
      </c>
      <c r="U2200" s="4">
        <f t="shared" si="1"/>
        <v>-0.3953679914</v>
      </c>
      <c r="V2200" s="4"/>
    </row>
    <row r="2201">
      <c r="A2201" s="1" t="s">
        <v>20430</v>
      </c>
      <c r="B2201" s="1" t="s">
        <v>20431</v>
      </c>
      <c r="C2201" s="1" t="s">
        <v>20432</v>
      </c>
      <c r="D2201" s="1" t="s">
        <v>20246</v>
      </c>
      <c r="E2201" s="1" t="s">
        <v>20247</v>
      </c>
      <c r="F2201" s="1">
        <v>2527540.0</v>
      </c>
      <c r="G2201" s="1">
        <v>122907.0</v>
      </c>
      <c r="H2201" s="1">
        <v>703.0</v>
      </c>
      <c r="I2201" s="1">
        <v>8770000.0</v>
      </c>
      <c r="J2201" s="1" t="s">
        <v>2468</v>
      </c>
      <c r="K2201" s="5">
        <f t="shared" si="2"/>
        <v>0.2882029647</v>
      </c>
      <c r="L2201" s="6">
        <f t="shared" si="3"/>
        <v>607</v>
      </c>
      <c r="M2201" s="6">
        <f t="shared" si="4"/>
        <v>4163.98682</v>
      </c>
      <c r="N2201" s="7">
        <f t="shared" si="5"/>
        <v>0.0004747989533</v>
      </c>
      <c r="O2201" s="7"/>
      <c r="P2201" s="4">
        <f t="shared" si="6"/>
        <v>-0.1150949239</v>
      </c>
      <c r="Q2201" s="4">
        <f t="shared" si="7"/>
        <v>9</v>
      </c>
      <c r="R2201" s="4">
        <f t="shared" si="8"/>
        <v>0</v>
      </c>
      <c r="S2201" s="4">
        <f t="shared" si="9"/>
        <v>-0.1150949239</v>
      </c>
      <c r="T2201" s="4">
        <f t="shared" si="10"/>
        <v>58</v>
      </c>
      <c r="U2201" s="4">
        <f t="shared" si="1"/>
        <v>-0.1150949239</v>
      </c>
      <c r="V2201" s="4"/>
    </row>
    <row r="2202">
      <c r="A2202" s="1" t="s">
        <v>20433</v>
      </c>
      <c r="B2202" s="1" t="s">
        <v>20434</v>
      </c>
      <c r="C2202" s="1" t="s">
        <v>20435</v>
      </c>
      <c r="D2202" s="1" t="s">
        <v>20246</v>
      </c>
      <c r="E2202" s="1" t="s">
        <v>20247</v>
      </c>
      <c r="F2202" s="1">
        <v>2052415.0</v>
      </c>
      <c r="G2202" s="1">
        <v>125067.0</v>
      </c>
      <c r="H2202" s="1">
        <v>1778.0</v>
      </c>
      <c r="I2202" s="1">
        <v>8770000.0</v>
      </c>
      <c r="J2202" s="1" t="s">
        <v>2468</v>
      </c>
      <c r="K2202" s="5">
        <f t="shared" si="2"/>
        <v>0.2340267959</v>
      </c>
      <c r="L2202" s="6">
        <f t="shared" si="3"/>
        <v>609</v>
      </c>
      <c r="M2202" s="6">
        <f t="shared" si="4"/>
        <v>3370.139573</v>
      </c>
      <c r="N2202" s="7">
        <f t="shared" si="5"/>
        <v>0.000384280453</v>
      </c>
      <c r="O2202" s="7"/>
      <c r="P2202" s="4">
        <f t="shared" si="6"/>
        <v>-0.178852845</v>
      </c>
      <c r="Q2202" s="4">
        <f t="shared" si="7"/>
        <v>6</v>
      </c>
      <c r="R2202" s="4">
        <f t="shared" si="8"/>
        <v>1</v>
      </c>
      <c r="S2202" s="4">
        <f t="shared" si="9"/>
        <v>-0.178852845</v>
      </c>
      <c r="T2202" s="4">
        <f t="shared" si="10"/>
        <v>39</v>
      </c>
      <c r="U2202" s="4">
        <f t="shared" si="1"/>
        <v>-0.178852845</v>
      </c>
      <c r="V2202" s="4"/>
    </row>
    <row r="2203">
      <c r="A2203" s="1" t="s">
        <v>20436</v>
      </c>
      <c r="B2203" s="1" t="s">
        <v>20437</v>
      </c>
      <c r="C2203" s="1" t="s">
        <v>20438</v>
      </c>
      <c r="D2203" s="1" t="s">
        <v>20246</v>
      </c>
      <c r="E2203" s="1" t="s">
        <v>20247</v>
      </c>
      <c r="F2203" s="1">
        <v>1192256.0</v>
      </c>
      <c r="G2203" s="1">
        <v>66245.0</v>
      </c>
      <c r="H2203" s="1">
        <v>395.0</v>
      </c>
      <c r="I2203" s="1">
        <v>8770000.0</v>
      </c>
      <c r="J2203" s="1" t="s">
        <v>2468</v>
      </c>
      <c r="K2203" s="5">
        <f t="shared" si="2"/>
        <v>0.1359470924</v>
      </c>
      <c r="L2203" s="6">
        <f t="shared" si="3"/>
        <v>619</v>
      </c>
      <c r="M2203" s="6">
        <f t="shared" si="4"/>
        <v>1926.100162</v>
      </c>
      <c r="N2203" s="7">
        <f t="shared" si="5"/>
        <v>0.0002196237356</v>
      </c>
      <c r="O2203" s="7"/>
      <c r="P2203" s="4">
        <f t="shared" si="6"/>
        <v>-0.2948310147</v>
      </c>
      <c r="Q2203" s="4">
        <f t="shared" si="7"/>
        <v>7</v>
      </c>
      <c r="R2203" s="4">
        <f t="shared" si="8"/>
        <v>0</v>
      </c>
      <c r="S2203" s="4">
        <f t="shared" si="9"/>
        <v>-0.2948310147</v>
      </c>
      <c r="T2203" s="4">
        <f t="shared" si="10"/>
        <v>58</v>
      </c>
      <c r="U2203" s="4">
        <f t="shared" si="1"/>
        <v>-0.2948310147</v>
      </c>
      <c r="V2203" s="4"/>
    </row>
    <row r="2204">
      <c r="A2204" s="1" t="s">
        <v>20439</v>
      </c>
      <c r="B2204" s="1" t="s">
        <v>20440</v>
      </c>
      <c r="C2204" s="1" t="s">
        <v>20441</v>
      </c>
      <c r="D2204" s="1" t="s">
        <v>20246</v>
      </c>
      <c r="E2204" s="1" t="s">
        <v>20247</v>
      </c>
      <c r="F2204" s="1">
        <v>1108930.0</v>
      </c>
      <c r="G2204" s="1">
        <v>51047.0</v>
      </c>
      <c r="H2204" s="1">
        <v>2817.0</v>
      </c>
      <c r="I2204" s="1">
        <v>8770000.0</v>
      </c>
      <c r="J2204" s="1" t="s">
        <v>2468</v>
      </c>
      <c r="K2204" s="5">
        <f t="shared" si="2"/>
        <v>0.1264458381</v>
      </c>
      <c r="L2204" s="6">
        <f t="shared" si="3"/>
        <v>620</v>
      </c>
      <c r="M2204" s="6">
        <f t="shared" si="4"/>
        <v>1788.596774</v>
      </c>
      <c r="N2204" s="7">
        <f t="shared" si="5"/>
        <v>0.0002039449001</v>
      </c>
      <c r="O2204" s="7"/>
      <c r="P2204" s="4">
        <f t="shared" si="6"/>
        <v>-0.305874613</v>
      </c>
      <c r="Q2204" s="4">
        <f t="shared" si="7"/>
        <v>6</v>
      </c>
      <c r="R2204" s="4">
        <f t="shared" si="8"/>
        <v>0</v>
      </c>
      <c r="S2204" s="4">
        <f t="shared" si="9"/>
        <v>-0.305874613</v>
      </c>
      <c r="T2204" s="4">
        <f t="shared" si="10"/>
        <v>36</v>
      </c>
      <c r="U2204" s="4">
        <f t="shared" si="1"/>
        <v>-0.305874613</v>
      </c>
      <c r="V2204" s="4"/>
    </row>
    <row r="2205">
      <c r="A2205" s="1" t="s">
        <v>20442</v>
      </c>
      <c r="B2205" s="1" t="s">
        <v>20443</v>
      </c>
      <c r="C2205" s="1" t="s">
        <v>20444</v>
      </c>
      <c r="D2205" s="1" t="s">
        <v>20246</v>
      </c>
      <c r="E2205" s="1" t="s">
        <v>20247</v>
      </c>
      <c r="F2205" s="1">
        <v>5299146.0</v>
      </c>
      <c r="G2205" s="1">
        <v>312223.0</v>
      </c>
      <c r="H2205" s="1">
        <v>2049.0</v>
      </c>
      <c r="I2205" s="1">
        <v>8770000.0</v>
      </c>
      <c r="J2205" s="1" t="s">
        <v>2468</v>
      </c>
      <c r="K2205" s="5">
        <f t="shared" si="2"/>
        <v>0.6042355758</v>
      </c>
      <c r="L2205" s="6">
        <f t="shared" si="3"/>
        <v>632</v>
      </c>
      <c r="M2205" s="6">
        <f t="shared" si="4"/>
        <v>8384.724684</v>
      </c>
      <c r="N2205" s="7">
        <f t="shared" si="5"/>
        <v>0.0009560689491</v>
      </c>
      <c r="O2205" s="7"/>
      <c r="P2205" s="4">
        <f t="shared" si="6"/>
        <v>0.2238940595</v>
      </c>
      <c r="Q2205" s="4">
        <f t="shared" si="7"/>
        <v>5</v>
      </c>
      <c r="R2205" s="4">
        <f t="shared" si="8"/>
        <v>0</v>
      </c>
      <c r="S2205" s="4">
        <f t="shared" si="9"/>
        <v>0.2238940595</v>
      </c>
      <c r="T2205" s="4">
        <f t="shared" si="10"/>
        <v>43</v>
      </c>
      <c r="U2205" s="4">
        <f t="shared" si="1"/>
        <v>0.2238940595</v>
      </c>
      <c r="V2205" s="4"/>
    </row>
    <row r="2206">
      <c r="A2206" s="1" t="s">
        <v>20445</v>
      </c>
      <c r="B2206" s="1" t="s">
        <v>20446</v>
      </c>
      <c r="C2206" s="1" t="s">
        <v>20447</v>
      </c>
      <c r="D2206" s="1" t="s">
        <v>20246</v>
      </c>
      <c r="E2206" s="1" t="s">
        <v>20247</v>
      </c>
      <c r="F2206" s="1">
        <v>1.6560625E7</v>
      </c>
      <c r="G2206" s="1">
        <v>750838.0</v>
      </c>
      <c r="H2206" s="1">
        <v>3774.0</v>
      </c>
      <c r="I2206" s="1">
        <v>8770000.0</v>
      </c>
      <c r="J2206" s="1" t="s">
        <v>2468</v>
      </c>
      <c r="K2206" s="5">
        <f t="shared" si="2"/>
        <v>1.888326682</v>
      </c>
      <c r="L2206" s="6">
        <f t="shared" si="3"/>
        <v>637</v>
      </c>
      <c r="M2206" s="6">
        <f t="shared" si="4"/>
        <v>25997.84144</v>
      </c>
      <c r="N2206" s="7">
        <f t="shared" si="5"/>
        <v>0.002964406094</v>
      </c>
      <c r="O2206" s="7"/>
      <c r="P2206" s="4">
        <f t="shared" si="6"/>
        <v>1.638493293</v>
      </c>
      <c r="Q2206" s="4">
        <f t="shared" si="7"/>
        <v>7</v>
      </c>
      <c r="R2206" s="4">
        <f t="shared" si="8"/>
        <v>0</v>
      </c>
      <c r="S2206" s="4">
        <f t="shared" si="9"/>
        <v>1.638493293</v>
      </c>
      <c r="T2206" s="4">
        <f t="shared" si="10"/>
        <v>47</v>
      </c>
      <c r="U2206" s="4">
        <f t="shared" si="1"/>
        <v>1.638493293</v>
      </c>
      <c r="V2206" s="4"/>
    </row>
    <row r="2207">
      <c r="A2207" s="1" t="s">
        <v>20448</v>
      </c>
      <c r="B2207" s="1" t="s">
        <v>20449</v>
      </c>
      <c r="C2207" s="1" t="s">
        <v>20450</v>
      </c>
      <c r="D2207" s="1" t="s">
        <v>20246</v>
      </c>
      <c r="E2207" s="1" t="s">
        <v>20247</v>
      </c>
      <c r="F2207" s="1">
        <v>784065.0</v>
      </c>
      <c r="G2207" s="1">
        <v>43771.0</v>
      </c>
      <c r="H2207" s="1">
        <v>1267.0</v>
      </c>
      <c r="I2207" s="1">
        <v>8770000.0</v>
      </c>
      <c r="J2207" s="1" t="s">
        <v>2468</v>
      </c>
      <c r="K2207" s="5">
        <f t="shared" si="2"/>
        <v>0.08940307868</v>
      </c>
      <c r="L2207" s="6">
        <f t="shared" si="3"/>
        <v>638</v>
      </c>
      <c r="M2207" s="6">
        <f t="shared" si="4"/>
        <v>1228.942006</v>
      </c>
      <c r="N2207" s="7">
        <f t="shared" si="5"/>
        <v>0.0001401302174</v>
      </c>
      <c r="O2207" s="7"/>
      <c r="P2207" s="4">
        <f t="shared" si="6"/>
        <v>-0.3508233416</v>
      </c>
      <c r="Q2207" s="4">
        <f t="shared" si="7"/>
        <v>11</v>
      </c>
      <c r="R2207" s="4">
        <f t="shared" si="8"/>
        <v>0</v>
      </c>
      <c r="S2207" s="4">
        <f t="shared" si="9"/>
        <v>-0.3508233416</v>
      </c>
      <c r="T2207" s="4">
        <f t="shared" si="10"/>
        <v>73</v>
      </c>
      <c r="U2207" s="4">
        <f t="shared" si="1"/>
        <v>-0.3508233416</v>
      </c>
      <c r="V2207" s="4"/>
    </row>
    <row r="2208">
      <c r="A2208" s="1" t="s">
        <v>20451</v>
      </c>
      <c r="B2208" s="1" t="s">
        <v>20452</v>
      </c>
      <c r="C2208" s="1" t="s">
        <v>20453</v>
      </c>
      <c r="D2208" s="1" t="s">
        <v>20246</v>
      </c>
      <c r="E2208" s="1" t="s">
        <v>20247</v>
      </c>
      <c r="F2208" s="1">
        <v>2065904.0</v>
      </c>
      <c r="G2208" s="1">
        <v>79698.0</v>
      </c>
      <c r="H2208" s="1">
        <v>3505.0</v>
      </c>
      <c r="I2208" s="1">
        <v>8770000.0</v>
      </c>
      <c r="J2208" s="1" t="s">
        <v>2468</v>
      </c>
      <c r="K2208" s="5">
        <f t="shared" si="2"/>
        <v>0.2355648803</v>
      </c>
      <c r="L2208" s="6">
        <f t="shared" si="3"/>
        <v>644</v>
      </c>
      <c r="M2208" s="6">
        <f t="shared" si="4"/>
        <v>3207.925466</v>
      </c>
      <c r="N2208" s="7">
        <f t="shared" si="5"/>
        <v>0.0003657839756</v>
      </c>
      <c r="O2208" s="7"/>
      <c r="P2208" s="4">
        <f t="shared" si="6"/>
        <v>-0.1918810872</v>
      </c>
      <c r="Q2208" s="4">
        <f t="shared" si="7"/>
        <v>5</v>
      </c>
      <c r="R2208" s="4">
        <f t="shared" si="8"/>
        <v>1</v>
      </c>
      <c r="S2208" s="4">
        <f t="shared" si="9"/>
        <v>-0.1918810872</v>
      </c>
      <c r="T2208" s="4">
        <f t="shared" si="10"/>
        <v>35</v>
      </c>
      <c r="U2208" s="4">
        <f t="shared" si="1"/>
        <v>-0.1918810872</v>
      </c>
      <c r="V2208" s="4"/>
    </row>
    <row r="2209">
      <c r="A2209" s="1" t="s">
        <v>20454</v>
      </c>
      <c r="B2209" s="1" t="s">
        <v>20455</v>
      </c>
      <c r="C2209" s="1" t="s">
        <v>20456</v>
      </c>
      <c r="D2209" s="1" t="s">
        <v>20246</v>
      </c>
      <c r="E2209" s="1" t="s">
        <v>20247</v>
      </c>
      <c r="F2209" s="1">
        <v>2947297.0</v>
      </c>
      <c r="G2209" s="1">
        <v>143305.0</v>
      </c>
      <c r="H2209" s="1">
        <v>626.0</v>
      </c>
      <c r="I2209" s="1">
        <v>8770000.0</v>
      </c>
      <c r="J2209" s="1" t="s">
        <v>2468</v>
      </c>
      <c r="K2209" s="5">
        <f t="shared" si="2"/>
        <v>0.3360657925</v>
      </c>
      <c r="L2209" s="6">
        <f t="shared" si="3"/>
        <v>654</v>
      </c>
      <c r="M2209" s="6">
        <f t="shared" si="4"/>
        <v>4506.570336</v>
      </c>
      <c r="N2209" s="7">
        <f t="shared" si="5"/>
        <v>0.000513862068</v>
      </c>
      <c r="O2209" s="7"/>
      <c r="P2209" s="4">
        <f t="shared" si="6"/>
        <v>-0.0875802946</v>
      </c>
      <c r="Q2209" s="4">
        <f t="shared" si="7"/>
        <v>8</v>
      </c>
      <c r="R2209" s="4">
        <f t="shared" si="8"/>
        <v>0</v>
      </c>
      <c r="S2209" s="4">
        <f t="shared" si="9"/>
        <v>-0.0875802946</v>
      </c>
      <c r="T2209" s="4">
        <f t="shared" si="10"/>
        <v>55</v>
      </c>
      <c r="U2209" s="4">
        <f t="shared" si="1"/>
        <v>-0.0875802946</v>
      </c>
      <c r="V2209" s="4"/>
    </row>
    <row r="2210">
      <c r="A2210" s="1" t="s">
        <v>20457</v>
      </c>
      <c r="B2210" s="1" t="s">
        <v>20458</v>
      </c>
      <c r="C2210" s="1" t="s">
        <v>20459</v>
      </c>
      <c r="D2210" s="1" t="s">
        <v>20246</v>
      </c>
      <c r="E2210" s="1" t="s">
        <v>20247</v>
      </c>
      <c r="F2210" s="1">
        <v>684885.0</v>
      </c>
      <c r="G2210" s="1">
        <v>37714.0</v>
      </c>
      <c r="H2210" s="1">
        <v>264.0</v>
      </c>
      <c r="I2210" s="1">
        <v>8770000.0</v>
      </c>
      <c r="J2210" s="1" t="s">
        <v>2468</v>
      </c>
      <c r="K2210" s="5">
        <f t="shared" si="2"/>
        <v>0.0780940707</v>
      </c>
      <c r="L2210" s="6">
        <f t="shared" si="3"/>
        <v>660</v>
      </c>
      <c r="M2210" s="6">
        <f t="shared" si="4"/>
        <v>1037.704545</v>
      </c>
      <c r="N2210" s="7">
        <f t="shared" si="5"/>
        <v>0.0001183243495</v>
      </c>
      <c r="O2210" s="7"/>
      <c r="P2210" s="4">
        <f t="shared" si="6"/>
        <v>-0.3661825974</v>
      </c>
      <c r="Q2210" s="4">
        <f t="shared" si="7"/>
        <v>6</v>
      </c>
      <c r="R2210" s="4">
        <f t="shared" si="8"/>
        <v>0</v>
      </c>
      <c r="S2210" s="4">
        <f t="shared" si="9"/>
        <v>-0.3661825974</v>
      </c>
      <c r="T2210" s="4">
        <f t="shared" si="10"/>
        <v>41</v>
      </c>
      <c r="U2210" s="4">
        <f t="shared" si="1"/>
        <v>-0.3661825974</v>
      </c>
      <c r="V2210" s="4"/>
    </row>
    <row r="2211">
      <c r="A2211" s="1" t="s">
        <v>20460</v>
      </c>
      <c r="B2211" s="1" t="s">
        <v>20461</v>
      </c>
      <c r="C2211" s="1" t="s">
        <v>20462</v>
      </c>
      <c r="D2211" s="1" t="s">
        <v>20246</v>
      </c>
      <c r="E2211" s="1" t="s">
        <v>20247</v>
      </c>
      <c r="F2211" s="1">
        <v>764503.0</v>
      </c>
      <c r="G2211" s="1">
        <v>39811.0</v>
      </c>
      <c r="H2211" s="1">
        <v>318.0</v>
      </c>
      <c r="I2211" s="1">
        <v>8770000.0</v>
      </c>
      <c r="J2211" s="1" t="s">
        <v>2468</v>
      </c>
      <c r="K2211" s="5">
        <f t="shared" si="2"/>
        <v>0.08717251995</v>
      </c>
      <c r="L2211" s="6">
        <f t="shared" si="3"/>
        <v>662</v>
      </c>
      <c r="M2211" s="6">
        <f t="shared" si="4"/>
        <v>1154.838369</v>
      </c>
      <c r="N2211" s="7">
        <f t="shared" si="5"/>
        <v>0.0001316805437</v>
      </c>
      <c r="O2211" s="7"/>
      <c r="P2211" s="4">
        <f t="shared" si="6"/>
        <v>-0.3567749827</v>
      </c>
      <c r="Q2211" s="4">
        <f t="shared" si="7"/>
        <v>7</v>
      </c>
      <c r="R2211" s="4">
        <f t="shared" si="8"/>
        <v>0</v>
      </c>
      <c r="S2211" s="4">
        <f t="shared" si="9"/>
        <v>-0.3567749827</v>
      </c>
      <c r="T2211" s="4">
        <f t="shared" si="10"/>
        <v>53</v>
      </c>
      <c r="U2211" s="4">
        <f t="shared" si="1"/>
        <v>-0.3567749827</v>
      </c>
      <c r="V2211" s="4"/>
    </row>
    <row r="2212">
      <c r="A2212" s="1" t="s">
        <v>20463</v>
      </c>
      <c r="B2212" s="1" t="s">
        <v>20464</v>
      </c>
      <c r="C2212" s="1" t="s">
        <v>20465</v>
      </c>
      <c r="D2212" s="1" t="s">
        <v>20246</v>
      </c>
      <c r="E2212" s="1" t="s">
        <v>20247</v>
      </c>
      <c r="F2212" s="1">
        <v>786088.0</v>
      </c>
      <c r="G2212" s="1">
        <v>35810.0</v>
      </c>
      <c r="H2212" s="1">
        <v>1102.0</v>
      </c>
      <c r="I2212" s="1">
        <v>8770000.0</v>
      </c>
      <c r="J2212" s="1" t="s">
        <v>2468</v>
      </c>
      <c r="K2212" s="5">
        <f t="shared" si="2"/>
        <v>0.08963375143</v>
      </c>
      <c r="L2212" s="6">
        <f t="shared" si="3"/>
        <v>664</v>
      </c>
      <c r="M2212" s="6">
        <f t="shared" si="4"/>
        <v>1183.86747</v>
      </c>
      <c r="N2212" s="7">
        <f t="shared" si="5"/>
        <v>0.0001349905895</v>
      </c>
      <c r="O2212" s="7"/>
      <c r="P2212" s="4">
        <f t="shared" si="6"/>
        <v>-0.3544435075</v>
      </c>
      <c r="Q2212" s="4">
        <f t="shared" si="7"/>
        <v>5</v>
      </c>
      <c r="R2212" s="4">
        <f t="shared" si="8"/>
        <v>0</v>
      </c>
      <c r="S2212" s="4">
        <f t="shared" si="9"/>
        <v>-0.3544435075</v>
      </c>
      <c r="T2212" s="4">
        <f t="shared" si="10"/>
        <v>30</v>
      </c>
      <c r="U2212" s="4">
        <f t="shared" si="1"/>
        <v>-0.3544435075</v>
      </c>
      <c r="V2212" s="4"/>
    </row>
    <row r="2213">
      <c r="A2213" s="1" t="s">
        <v>20466</v>
      </c>
      <c r="B2213" s="1" t="s">
        <v>20467</v>
      </c>
      <c r="C2213" s="1" t="s">
        <v>20468</v>
      </c>
      <c r="D2213" s="1" t="s">
        <v>20246</v>
      </c>
      <c r="E2213" s="1" t="s">
        <v>20247</v>
      </c>
      <c r="F2213" s="1">
        <v>443676.0</v>
      </c>
      <c r="G2213" s="1">
        <v>25440.0</v>
      </c>
      <c r="H2213" s="1">
        <v>174.0</v>
      </c>
      <c r="I2213" s="1">
        <v>8770000.0</v>
      </c>
      <c r="J2213" s="1" t="s">
        <v>2468</v>
      </c>
      <c r="K2213" s="5">
        <f t="shared" si="2"/>
        <v>0.05059019384</v>
      </c>
      <c r="L2213" s="6">
        <f t="shared" si="3"/>
        <v>670</v>
      </c>
      <c r="M2213" s="6">
        <f t="shared" si="4"/>
        <v>662.2029851</v>
      </c>
      <c r="N2213" s="7">
        <f t="shared" si="5"/>
        <v>0.000075507752</v>
      </c>
      <c r="O2213" s="7"/>
      <c r="P2213" s="4">
        <f t="shared" si="6"/>
        <v>-0.3963410428</v>
      </c>
      <c r="Q2213" s="4">
        <f t="shared" si="7"/>
        <v>7</v>
      </c>
      <c r="R2213" s="4">
        <f t="shared" si="8"/>
        <v>0</v>
      </c>
      <c r="S2213" s="4">
        <f t="shared" si="9"/>
        <v>-0.3963410428</v>
      </c>
      <c r="T2213" s="4">
        <f t="shared" si="10"/>
        <v>51</v>
      </c>
      <c r="U2213" s="4">
        <f t="shared" si="1"/>
        <v>-0.3963410428</v>
      </c>
      <c r="V2213" s="4"/>
    </row>
    <row r="2214">
      <c r="A2214" s="1" t="s">
        <v>20469</v>
      </c>
      <c r="B2214" s="1" t="s">
        <v>20470</v>
      </c>
      <c r="C2214" s="1" t="s">
        <v>20471</v>
      </c>
      <c r="D2214" s="1" t="s">
        <v>20246</v>
      </c>
      <c r="E2214" s="1" t="s">
        <v>20247</v>
      </c>
      <c r="F2214" s="1">
        <v>874332.0</v>
      </c>
      <c r="G2214" s="1">
        <v>41318.0</v>
      </c>
      <c r="H2214" s="1">
        <v>1324.0</v>
      </c>
      <c r="I2214" s="1">
        <v>8770000.0</v>
      </c>
      <c r="J2214" s="1" t="s">
        <v>2468</v>
      </c>
      <c r="K2214" s="5">
        <f t="shared" si="2"/>
        <v>0.09969578107</v>
      </c>
      <c r="L2214" s="6">
        <f t="shared" si="3"/>
        <v>674</v>
      </c>
      <c r="M2214" s="6">
        <f t="shared" si="4"/>
        <v>1297.228487</v>
      </c>
      <c r="N2214" s="7">
        <f t="shared" si="5"/>
        <v>0.0001479165891</v>
      </c>
      <c r="O2214" s="7"/>
      <c r="P2214" s="4">
        <f t="shared" si="6"/>
        <v>-0.3453389061</v>
      </c>
      <c r="Q2214" s="4">
        <f t="shared" si="7"/>
        <v>7</v>
      </c>
      <c r="R2214" s="4">
        <f t="shared" si="8"/>
        <v>1</v>
      </c>
      <c r="S2214" s="4">
        <f t="shared" si="9"/>
        <v>-0.3453389061</v>
      </c>
      <c r="T2214" s="4">
        <f t="shared" si="10"/>
        <v>47</v>
      </c>
      <c r="U2214" s="4">
        <f t="shared" si="1"/>
        <v>-0.3453389061</v>
      </c>
      <c r="V2214" s="4"/>
    </row>
    <row r="2215">
      <c r="A2215" s="1" t="s">
        <v>20472</v>
      </c>
      <c r="B2215" s="1" t="s">
        <v>20473</v>
      </c>
      <c r="C2215" s="1" t="s">
        <v>20474</v>
      </c>
      <c r="D2215" s="1" t="s">
        <v>20246</v>
      </c>
      <c r="E2215" s="1" t="s">
        <v>20247</v>
      </c>
      <c r="F2215" s="1">
        <v>1.0725359E7</v>
      </c>
      <c r="G2215" s="1">
        <v>501655.0</v>
      </c>
      <c r="H2215" s="1">
        <v>1273.0</v>
      </c>
      <c r="I2215" s="1">
        <v>8770000.0</v>
      </c>
      <c r="J2215" s="1" t="s">
        <v>2468</v>
      </c>
      <c r="K2215" s="5">
        <f t="shared" si="2"/>
        <v>1.222959977</v>
      </c>
      <c r="L2215" s="6">
        <f t="shared" si="3"/>
        <v>679</v>
      </c>
      <c r="M2215" s="6">
        <f t="shared" si="4"/>
        <v>15795.81591</v>
      </c>
      <c r="N2215" s="7">
        <f t="shared" si="5"/>
        <v>0.001801119259</v>
      </c>
      <c r="O2215" s="7"/>
      <c r="P2215" s="4">
        <f t="shared" si="6"/>
        <v>0.8191165919</v>
      </c>
      <c r="Q2215" s="4">
        <f t="shared" si="7"/>
        <v>8</v>
      </c>
      <c r="R2215" s="4">
        <f t="shared" si="8"/>
        <v>0</v>
      </c>
      <c r="S2215" s="4">
        <f t="shared" si="9"/>
        <v>0.8191165919</v>
      </c>
      <c r="T2215" s="4">
        <f t="shared" si="10"/>
        <v>49</v>
      </c>
      <c r="U2215" s="4">
        <f t="shared" si="1"/>
        <v>0.8191165919</v>
      </c>
      <c r="V2215" s="4"/>
    </row>
    <row r="2216">
      <c r="A2216" s="1" t="s">
        <v>20475</v>
      </c>
      <c r="B2216" s="1" t="s">
        <v>20476</v>
      </c>
      <c r="C2216" s="1" t="s">
        <v>20477</v>
      </c>
      <c r="D2216" s="1" t="s">
        <v>20246</v>
      </c>
      <c r="E2216" s="1" t="s">
        <v>20247</v>
      </c>
      <c r="F2216" s="1">
        <v>1007785.0</v>
      </c>
      <c r="G2216" s="1">
        <v>56445.0</v>
      </c>
      <c r="H2216" s="1">
        <v>525.0</v>
      </c>
      <c r="I2216" s="1">
        <v>8770000.0</v>
      </c>
      <c r="J2216" s="1" t="s">
        <v>2468</v>
      </c>
      <c r="K2216" s="5">
        <f t="shared" si="2"/>
        <v>0.1149127708</v>
      </c>
      <c r="L2216" s="6">
        <f t="shared" si="3"/>
        <v>683</v>
      </c>
      <c r="M2216" s="6">
        <f t="shared" si="4"/>
        <v>1475.527086</v>
      </c>
      <c r="N2216" s="7">
        <f t="shared" si="5"/>
        <v>0.0001682471022</v>
      </c>
      <c r="O2216" s="7"/>
      <c r="P2216" s="4">
        <f t="shared" si="6"/>
        <v>-0.3310188363</v>
      </c>
      <c r="Q2216" s="4">
        <f t="shared" si="7"/>
        <v>7</v>
      </c>
      <c r="R2216" s="4">
        <f t="shared" si="8"/>
        <v>0</v>
      </c>
      <c r="S2216" s="4">
        <f t="shared" si="9"/>
        <v>-0.3310188363</v>
      </c>
      <c r="T2216" s="4">
        <f t="shared" si="10"/>
        <v>52</v>
      </c>
      <c r="U2216" s="4">
        <f t="shared" si="1"/>
        <v>-0.3310188363</v>
      </c>
      <c r="V2216" s="4"/>
    </row>
    <row r="2217">
      <c r="A2217" s="1" t="s">
        <v>20478</v>
      </c>
      <c r="B2217" s="1" t="s">
        <v>20479</v>
      </c>
      <c r="C2217" s="1" t="s">
        <v>20480</v>
      </c>
      <c r="D2217" s="1" t="s">
        <v>20246</v>
      </c>
      <c r="E2217" s="1" t="s">
        <v>20247</v>
      </c>
      <c r="F2217" s="1">
        <v>1621280.0</v>
      </c>
      <c r="G2217" s="1">
        <v>65536.0</v>
      </c>
      <c r="H2217" s="1">
        <v>2105.0</v>
      </c>
      <c r="I2217" s="1">
        <v>8770000.0</v>
      </c>
      <c r="J2217" s="1" t="s">
        <v>2468</v>
      </c>
      <c r="K2217" s="5">
        <f t="shared" si="2"/>
        <v>0.1848665906</v>
      </c>
      <c r="L2217" s="6">
        <f t="shared" si="3"/>
        <v>685</v>
      </c>
      <c r="M2217" s="6">
        <f t="shared" si="4"/>
        <v>2366.832117</v>
      </c>
      <c r="N2217" s="7">
        <f t="shared" si="5"/>
        <v>0.0002698782345</v>
      </c>
      <c r="O2217" s="7"/>
      <c r="P2217" s="4">
        <f t="shared" si="6"/>
        <v>-0.2594335836</v>
      </c>
      <c r="Q2217" s="4">
        <f t="shared" si="7"/>
        <v>9</v>
      </c>
      <c r="R2217" s="4">
        <f t="shared" si="8"/>
        <v>0</v>
      </c>
      <c r="S2217" s="4">
        <f t="shared" si="9"/>
        <v>-0.2594335836</v>
      </c>
      <c r="T2217" s="4">
        <f t="shared" si="10"/>
        <v>49</v>
      </c>
      <c r="U2217" s="4">
        <f t="shared" si="1"/>
        <v>-0.2594335836</v>
      </c>
      <c r="V2217" s="4"/>
    </row>
    <row r="2218">
      <c r="A2218" s="1" t="s">
        <v>20481</v>
      </c>
      <c r="B2218" s="1" t="s">
        <v>20482</v>
      </c>
      <c r="C2218" s="1" t="s">
        <v>20483</v>
      </c>
      <c r="D2218" s="1" t="s">
        <v>20246</v>
      </c>
      <c r="E2218" s="1" t="s">
        <v>20247</v>
      </c>
      <c r="F2218" s="1">
        <v>357715.0</v>
      </c>
      <c r="G2218" s="1">
        <v>17211.0</v>
      </c>
      <c r="H2218" s="1">
        <v>205.0</v>
      </c>
      <c r="I2218" s="1">
        <v>8770000.0</v>
      </c>
      <c r="J2218" s="1" t="s">
        <v>2468</v>
      </c>
      <c r="K2218" s="5">
        <f t="shared" si="2"/>
        <v>0.04078848347</v>
      </c>
      <c r="L2218" s="6">
        <f t="shared" si="3"/>
        <v>692</v>
      </c>
      <c r="M2218" s="6">
        <f t="shared" si="4"/>
        <v>516.9291908</v>
      </c>
      <c r="N2218" s="7">
        <f t="shared" si="5"/>
        <v>0.00005894289518</v>
      </c>
      <c r="O2218" s="7"/>
      <c r="P2218" s="4">
        <f t="shared" si="6"/>
        <v>-0.4080087221</v>
      </c>
      <c r="Q2218" s="4">
        <f t="shared" si="7"/>
        <v>8</v>
      </c>
      <c r="R2218" s="4">
        <f t="shared" si="8"/>
        <v>0</v>
      </c>
      <c r="S2218" s="4">
        <f t="shared" si="9"/>
        <v>-0.4080087221</v>
      </c>
      <c r="T2218" s="4">
        <f t="shared" si="10"/>
        <v>55</v>
      </c>
      <c r="U2218" s="4">
        <f t="shared" si="1"/>
        <v>-0.4080087221</v>
      </c>
      <c r="V2218" s="4"/>
    </row>
    <row r="2219">
      <c r="A2219" s="1" t="s">
        <v>20484</v>
      </c>
      <c r="B2219" s="1" t="s">
        <v>20485</v>
      </c>
      <c r="C2219" s="1" t="s">
        <v>20486</v>
      </c>
      <c r="D2219" s="1" t="s">
        <v>20246</v>
      </c>
      <c r="E2219" s="1" t="s">
        <v>20247</v>
      </c>
      <c r="F2219" s="1">
        <v>782709.0</v>
      </c>
      <c r="G2219" s="1">
        <v>42289.0</v>
      </c>
      <c r="H2219" s="1">
        <v>439.0</v>
      </c>
      <c r="I2219" s="1">
        <v>8770000.0</v>
      </c>
      <c r="J2219" s="1" t="s">
        <v>2468</v>
      </c>
      <c r="K2219" s="5">
        <f t="shared" si="2"/>
        <v>0.08924846066</v>
      </c>
      <c r="L2219" s="6">
        <f t="shared" si="3"/>
        <v>696</v>
      </c>
      <c r="M2219" s="6">
        <f t="shared" si="4"/>
        <v>1124.581897</v>
      </c>
      <c r="N2219" s="7">
        <f t="shared" si="5"/>
        <v>0.0001282305469</v>
      </c>
      <c r="O2219" s="7"/>
      <c r="P2219" s="4">
        <f t="shared" si="6"/>
        <v>-0.3592050343</v>
      </c>
      <c r="Q2219" s="4">
        <f t="shared" si="7"/>
        <v>8</v>
      </c>
      <c r="R2219" s="4">
        <f t="shared" si="8"/>
        <v>0</v>
      </c>
      <c r="S2219" s="4">
        <f t="shared" si="9"/>
        <v>-0.3592050343</v>
      </c>
      <c r="T2219" s="4">
        <f t="shared" si="10"/>
        <v>60</v>
      </c>
      <c r="U2219" s="4">
        <f t="shared" si="1"/>
        <v>-0.3592050343</v>
      </c>
      <c r="V2219" s="4"/>
    </row>
    <row r="2220">
      <c r="A2220" s="1" t="s">
        <v>20487</v>
      </c>
      <c r="B2220" s="1" t="s">
        <v>20488</v>
      </c>
      <c r="C2220" s="1" t="s">
        <v>20489</v>
      </c>
      <c r="D2220" s="1" t="s">
        <v>20246</v>
      </c>
      <c r="E2220" s="1" t="s">
        <v>20247</v>
      </c>
      <c r="F2220" s="1">
        <v>590770.0</v>
      </c>
      <c r="G2220" s="1">
        <v>27851.0</v>
      </c>
      <c r="H2220" s="1">
        <v>194.0</v>
      </c>
      <c r="I2220" s="1">
        <v>8770000.0</v>
      </c>
      <c r="J2220" s="1" t="s">
        <v>2468</v>
      </c>
      <c r="K2220" s="5">
        <f t="shared" si="2"/>
        <v>0.06736259977</v>
      </c>
      <c r="L2220" s="6">
        <f t="shared" si="3"/>
        <v>699</v>
      </c>
      <c r="M2220" s="6">
        <f t="shared" si="4"/>
        <v>845.1645207</v>
      </c>
      <c r="N2220" s="7">
        <f t="shared" si="5"/>
        <v>0.00009636995676</v>
      </c>
      <c r="O2220" s="7"/>
      <c r="P2220" s="4">
        <f t="shared" si="6"/>
        <v>-0.3816464687</v>
      </c>
      <c r="Q2220" s="4">
        <f t="shared" si="7"/>
        <v>8</v>
      </c>
      <c r="R2220" s="4">
        <f t="shared" si="8"/>
        <v>0</v>
      </c>
      <c r="S2220" s="4">
        <f t="shared" si="9"/>
        <v>-0.3816464687</v>
      </c>
      <c r="T2220" s="4">
        <f t="shared" si="10"/>
        <v>60</v>
      </c>
      <c r="U2220" s="4">
        <f t="shared" si="1"/>
        <v>-0.3816464687</v>
      </c>
      <c r="V2220" s="4"/>
    </row>
    <row r="2221">
      <c r="A2221" s="1" t="s">
        <v>20490</v>
      </c>
      <c r="B2221" s="1" t="s">
        <v>20491</v>
      </c>
      <c r="C2221" s="1" t="s">
        <v>20492</v>
      </c>
      <c r="D2221" s="1" t="s">
        <v>20246</v>
      </c>
      <c r="E2221" s="1" t="s">
        <v>20247</v>
      </c>
      <c r="F2221" s="1">
        <v>1.1399088E7</v>
      </c>
      <c r="G2221" s="1">
        <v>556871.0</v>
      </c>
      <c r="H2221" s="1">
        <v>2605.0</v>
      </c>
      <c r="I2221" s="1">
        <v>8770000.0</v>
      </c>
      <c r="J2221" s="1" t="s">
        <v>2468</v>
      </c>
      <c r="K2221" s="5">
        <f t="shared" si="2"/>
        <v>1.299781984</v>
      </c>
      <c r="L2221" s="6">
        <f t="shared" si="3"/>
        <v>702</v>
      </c>
      <c r="M2221" s="6">
        <f t="shared" si="4"/>
        <v>16238.01709</v>
      </c>
      <c r="N2221" s="7">
        <f t="shared" si="5"/>
        <v>0.001851541288</v>
      </c>
      <c r="O2221" s="7"/>
      <c r="P2221" s="4">
        <f t="shared" si="6"/>
        <v>0.8546320246</v>
      </c>
      <c r="Q2221" s="4">
        <f t="shared" si="7"/>
        <v>9</v>
      </c>
      <c r="R2221" s="4">
        <f t="shared" si="8"/>
        <v>0</v>
      </c>
      <c r="S2221" s="4">
        <f t="shared" si="9"/>
        <v>0.8546320246</v>
      </c>
      <c r="T2221" s="4">
        <f t="shared" si="10"/>
        <v>62</v>
      </c>
      <c r="U2221" s="4">
        <f t="shared" si="1"/>
        <v>0.8546320246</v>
      </c>
      <c r="V2221" s="4"/>
    </row>
    <row r="2222">
      <c r="A2222" s="1" t="s">
        <v>20493</v>
      </c>
      <c r="B2222" s="1" t="s">
        <v>20494</v>
      </c>
      <c r="C2222" s="1" t="s">
        <v>20495</v>
      </c>
      <c r="D2222" s="1" t="s">
        <v>20246</v>
      </c>
      <c r="E2222" s="1" t="s">
        <v>20247</v>
      </c>
      <c r="F2222" s="1">
        <v>758246.0</v>
      </c>
      <c r="G2222" s="1">
        <v>37996.0</v>
      </c>
      <c r="H2222" s="1">
        <v>1131.0</v>
      </c>
      <c r="I2222" s="1">
        <v>8770000.0</v>
      </c>
      <c r="J2222" s="1" t="s">
        <v>2468</v>
      </c>
      <c r="K2222" s="5">
        <f t="shared" si="2"/>
        <v>0.08645906499</v>
      </c>
      <c r="L2222" s="6">
        <f t="shared" si="3"/>
        <v>704</v>
      </c>
      <c r="M2222" s="6">
        <f t="shared" si="4"/>
        <v>1077.053977</v>
      </c>
      <c r="N2222" s="7">
        <f t="shared" si="5"/>
        <v>0.0001228111719</v>
      </c>
      <c r="O2222" s="7"/>
      <c r="P2222" s="4">
        <f t="shared" si="6"/>
        <v>-0.3630222439</v>
      </c>
      <c r="Q2222" s="4">
        <f t="shared" si="7"/>
        <v>6</v>
      </c>
      <c r="R2222" s="4">
        <f t="shared" si="8"/>
        <v>1</v>
      </c>
      <c r="S2222" s="4">
        <f t="shared" si="9"/>
        <v>-0.3630222439</v>
      </c>
      <c r="T2222" s="4">
        <f t="shared" si="10"/>
        <v>34</v>
      </c>
      <c r="U2222" s="4">
        <f t="shared" si="1"/>
        <v>-0.3630222439</v>
      </c>
      <c r="V2222" s="4"/>
    </row>
    <row r="2223">
      <c r="A2223" s="1" t="s">
        <v>20496</v>
      </c>
      <c r="B2223" s="1" t="s">
        <v>20497</v>
      </c>
      <c r="C2223" s="1" t="s">
        <v>20498</v>
      </c>
      <c r="D2223" s="1" t="s">
        <v>20246</v>
      </c>
      <c r="E2223" s="1" t="s">
        <v>20247</v>
      </c>
      <c r="F2223" s="1">
        <v>2254437.0</v>
      </c>
      <c r="G2223" s="1">
        <v>94061.0</v>
      </c>
      <c r="H2223" s="1">
        <v>708.0</v>
      </c>
      <c r="I2223" s="1">
        <v>8770000.0</v>
      </c>
      <c r="J2223" s="1" t="s">
        <v>2468</v>
      </c>
      <c r="K2223" s="5">
        <f t="shared" si="2"/>
        <v>0.2570623717</v>
      </c>
      <c r="L2223" s="6">
        <f t="shared" si="3"/>
        <v>730</v>
      </c>
      <c r="M2223" s="6">
        <f t="shared" si="4"/>
        <v>3088.269863</v>
      </c>
      <c r="N2223" s="7">
        <f t="shared" si="5"/>
        <v>0.0003521402352</v>
      </c>
      <c r="O2223" s="7"/>
      <c r="P2223" s="4">
        <f t="shared" si="6"/>
        <v>-0.2014912389</v>
      </c>
      <c r="Q2223" s="4">
        <f t="shared" si="7"/>
        <v>7</v>
      </c>
      <c r="R2223" s="4">
        <f t="shared" si="8"/>
        <v>0</v>
      </c>
      <c r="S2223" s="4">
        <f t="shared" si="9"/>
        <v>-0.2014912389</v>
      </c>
      <c r="T2223" s="4">
        <f t="shared" si="10"/>
        <v>53</v>
      </c>
      <c r="U2223" s="4">
        <f t="shared" si="1"/>
        <v>-0.2014912389</v>
      </c>
      <c r="V2223" s="4"/>
    </row>
    <row r="2224">
      <c r="A2224" s="1" t="s">
        <v>20499</v>
      </c>
      <c r="B2224" s="1" t="s">
        <v>20500</v>
      </c>
      <c r="C2224" s="1" t="s">
        <v>20501</v>
      </c>
      <c r="D2224" s="1" t="s">
        <v>20246</v>
      </c>
      <c r="E2224" s="1" t="s">
        <v>20247</v>
      </c>
      <c r="F2224" s="1">
        <v>1909680.0</v>
      </c>
      <c r="G2224" s="1">
        <v>72497.0</v>
      </c>
      <c r="H2224" s="1">
        <v>6794.0</v>
      </c>
      <c r="I2224" s="1">
        <v>8770000.0</v>
      </c>
      <c r="J2224" s="1" t="s">
        <v>2468</v>
      </c>
      <c r="K2224" s="5">
        <f t="shared" si="2"/>
        <v>0.2177514253</v>
      </c>
      <c r="L2224" s="6">
        <f t="shared" si="3"/>
        <v>734</v>
      </c>
      <c r="M2224" s="6">
        <f t="shared" si="4"/>
        <v>2601.743869</v>
      </c>
      <c r="N2224" s="7">
        <f t="shared" si="5"/>
        <v>0.0002966640672</v>
      </c>
      <c r="O2224" s="7"/>
      <c r="P2224" s="4">
        <f t="shared" si="6"/>
        <v>-0.2405666228</v>
      </c>
      <c r="Q2224" s="4">
        <f t="shared" si="7"/>
        <v>4</v>
      </c>
      <c r="R2224" s="4">
        <f t="shared" si="8"/>
        <v>0</v>
      </c>
      <c r="S2224" s="4">
        <f t="shared" si="9"/>
        <v>-0.2405666228</v>
      </c>
      <c r="T2224" s="4">
        <f t="shared" si="10"/>
        <v>24</v>
      </c>
      <c r="U2224" s="4">
        <f t="shared" si="1"/>
        <v>-0.2405666228</v>
      </c>
      <c r="V2224" s="4"/>
    </row>
    <row r="2225">
      <c r="A2225" s="1" t="s">
        <v>20502</v>
      </c>
      <c r="B2225" s="1" t="s">
        <v>20503</v>
      </c>
      <c r="C2225" s="1" t="s">
        <v>20504</v>
      </c>
      <c r="D2225" s="1" t="s">
        <v>20246</v>
      </c>
      <c r="E2225" s="1" t="s">
        <v>20247</v>
      </c>
      <c r="F2225" s="1">
        <v>7087939.0</v>
      </c>
      <c r="G2225" s="1">
        <v>378234.0</v>
      </c>
      <c r="H2225" s="1">
        <v>1888.0</v>
      </c>
      <c r="I2225" s="1">
        <v>8770000.0</v>
      </c>
      <c r="J2225" s="1" t="s">
        <v>2468</v>
      </c>
      <c r="K2225" s="5">
        <f t="shared" si="2"/>
        <v>0.8082028506</v>
      </c>
      <c r="L2225" s="6">
        <f t="shared" si="3"/>
        <v>754</v>
      </c>
      <c r="M2225" s="6">
        <f t="shared" si="4"/>
        <v>9400.449602</v>
      </c>
      <c r="N2225" s="7">
        <f t="shared" si="5"/>
        <v>0.00107188707</v>
      </c>
      <c r="O2225" s="7"/>
      <c r="P2225" s="4">
        <f t="shared" si="6"/>
        <v>0.3054721079</v>
      </c>
      <c r="Q2225" s="4">
        <f t="shared" si="7"/>
        <v>6</v>
      </c>
      <c r="R2225" s="4">
        <f t="shared" si="8"/>
        <v>0</v>
      </c>
      <c r="S2225" s="4">
        <f t="shared" si="9"/>
        <v>0.3054721079</v>
      </c>
      <c r="T2225" s="4">
        <f t="shared" si="10"/>
        <v>47</v>
      </c>
      <c r="U2225" s="4">
        <f t="shared" si="1"/>
        <v>0.3054721079</v>
      </c>
      <c r="V2225" s="4"/>
    </row>
    <row r="2226">
      <c r="A2226" s="1" t="s">
        <v>20505</v>
      </c>
      <c r="B2226" s="1" t="s">
        <v>20506</v>
      </c>
      <c r="C2226" s="1" t="s">
        <v>20507</v>
      </c>
      <c r="D2226" s="1" t="s">
        <v>20246</v>
      </c>
      <c r="E2226" s="1" t="s">
        <v>20247</v>
      </c>
      <c r="F2226" s="1">
        <v>1374506.0</v>
      </c>
      <c r="G2226" s="1">
        <v>67634.0</v>
      </c>
      <c r="H2226" s="1">
        <v>2199.0</v>
      </c>
      <c r="I2226" s="1">
        <v>8770000.0</v>
      </c>
      <c r="J2226" s="1" t="s">
        <v>2468</v>
      </c>
      <c r="K2226" s="5">
        <f t="shared" si="2"/>
        <v>0.1567281642</v>
      </c>
      <c r="L2226" s="6">
        <f t="shared" si="3"/>
        <v>755</v>
      </c>
      <c r="M2226" s="6">
        <f t="shared" si="4"/>
        <v>1820.537748</v>
      </c>
      <c r="N2226" s="7">
        <f t="shared" si="5"/>
        <v>0.0002075869724</v>
      </c>
      <c r="O2226" s="7"/>
      <c r="P2226" s="4">
        <f t="shared" si="6"/>
        <v>-0.3033092705</v>
      </c>
      <c r="Q2226" s="4">
        <f t="shared" si="7"/>
        <v>4</v>
      </c>
      <c r="R2226" s="4">
        <f t="shared" si="8"/>
        <v>0</v>
      </c>
      <c r="S2226" s="4">
        <f t="shared" si="9"/>
        <v>-0.3033092705</v>
      </c>
      <c r="T2226" s="4">
        <f t="shared" si="10"/>
        <v>22</v>
      </c>
      <c r="U2226" s="4">
        <f t="shared" si="1"/>
        <v>-0.3033092705</v>
      </c>
      <c r="V2226" s="4"/>
    </row>
    <row r="2227">
      <c r="A2227" s="1" t="s">
        <v>20508</v>
      </c>
      <c r="B2227" s="1" t="s">
        <v>20509</v>
      </c>
      <c r="C2227" s="1" t="s">
        <v>20510</v>
      </c>
      <c r="D2227" s="1" t="s">
        <v>20246</v>
      </c>
      <c r="E2227" s="1" t="s">
        <v>20247</v>
      </c>
      <c r="F2227" s="1">
        <v>3308413.0</v>
      </c>
      <c r="G2227" s="1">
        <v>188733.0</v>
      </c>
      <c r="H2227" s="1">
        <v>1869.0</v>
      </c>
      <c r="I2227" s="1">
        <v>8770000.0</v>
      </c>
      <c r="J2227" s="1" t="s">
        <v>2468</v>
      </c>
      <c r="K2227" s="5">
        <f t="shared" si="2"/>
        <v>0.3772420753</v>
      </c>
      <c r="L2227" s="6">
        <f t="shared" si="3"/>
        <v>761</v>
      </c>
      <c r="M2227" s="6">
        <f t="shared" si="4"/>
        <v>4347.454665</v>
      </c>
      <c r="N2227" s="7">
        <f t="shared" si="5"/>
        <v>0.00049571889</v>
      </c>
      <c r="O2227" s="7"/>
      <c r="P2227" s="4">
        <f t="shared" si="6"/>
        <v>-0.1003596857</v>
      </c>
      <c r="Q2227" s="4">
        <f t="shared" si="7"/>
        <v>8</v>
      </c>
      <c r="R2227" s="4">
        <f t="shared" si="8"/>
        <v>0</v>
      </c>
      <c r="S2227" s="4">
        <f t="shared" si="9"/>
        <v>-0.1003596857</v>
      </c>
      <c r="T2227" s="4">
        <f t="shared" si="10"/>
        <v>53</v>
      </c>
      <c r="U2227" s="4">
        <f t="shared" si="1"/>
        <v>-0.1003596857</v>
      </c>
      <c r="V2227" s="4"/>
    </row>
    <row r="2228">
      <c r="A2228" s="1" t="s">
        <v>20511</v>
      </c>
      <c r="B2228" s="1" t="s">
        <v>20512</v>
      </c>
      <c r="C2228" s="1" t="s">
        <v>20513</v>
      </c>
      <c r="D2228" s="1" t="s">
        <v>20246</v>
      </c>
      <c r="E2228" s="1" t="s">
        <v>20247</v>
      </c>
      <c r="F2228" s="1">
        <v>1168197.0</v>
      </c>
      <c r="G2228" s="1">
        <v>66736.0</v>
      </c>
      <c r="H2228" s="1">
        <v>531.0</v>
      </c>
      <c r="I2228" s="1">
        <v>8770000.0</v>
      </c>
      <c r="J2228" s="1" t="s">
        <v>2468</v>
      </c>
      <c r="K2228" s="5">
        <f t="shared" si="2"/>
        <v>0.1332037628</v>
      </c>
      <c r="L2228" s="6">
        <f t="shared" si="3"/>
        <v>764</v>
      </c>
      <c r="M2228" s="6">
        <f t="shared" si="4"/>
        <v>1529.053665</v>
      </c>
      <c r="N2228" s="7">
        <f t="shared" si="5"/>
        <v>0.0001743504749</v>
      </c>
      <c r="O2228" s="7"/>
      <c r="P2228" s="4">
        <f t="shared" si="6"/>
        <v>-0.3267198438</v>
      </c>
      <c r="Q2228" s="4">
        <f t="shared" si="7"/>
        <v>6</v>
      </c>
      <c r="R2228" s="4">
        <f t="shared" si="8"/>
        <v>0</v>
      </c>
      <c r="S2228" s="4">
        <f t="shared" si="9"/>
        <v>-0.3267198438</v>
      </c>
      <c r="T2228" s="4">
        <f t="shared" si="10"/>
        <v>59</v>
      </c>
      <c r="U2228" s="4">
        <f t="shared" si="1"/>
        <v>-0.3267198438</v>
      </c>
      <c r="V2228" s="4"/>
    </row>
    <row r="2229">
      <c r="A2229" s="1" t="s">
        <v>20514</v>
      </c>
      <c r="B2229" s="1" t="s">
        <v>20515</v>
      </c>
      <c r="C2229" s="1" t="s">
        <v>20516</v>
      </c>
      <c r="D2229" s="1" t="s">
        <v>20246</v>
      </c>
      <c r="E2229" s="1" t="s">
        <v>20247</v>
      </c>
      <c r="F2229" s="1">
        <v>3.0405116E7</v>
      </c>
      <c r="G2229" s="1">
        <v>1191897.0</v>
      </c>
      <c r="H2229" s="1">
        <v>8368.0</v>
      </c>
      <c r="I2229" s="1">
        <v>8770000.0</v>
      </c>
      <c r="J2229" s="1" t="s">
        <v>2468</v>
      </c>
      <c r="K2229" s="5">
        <f t="shared" si="2"/>
        <v>3.466945952</v>
      </c>
      <c r="L2229" s="6">
        <f t="shared" si="3"/>
        <v>767</v>
      </c>
      <c r="M2229" s="6">
        <f t="shared" si="4"/>
        <v>39641.61147</v>
      </c>
      <c r="N2229" s="7">
        <f t="shared" si="5"/>
        <v>0.004520138138</v>
      </c>
      <c r="O2229" s="7"/>
      <c r="P2229" s="4">
        <f t="shared" si="6"/>
        <v>2.734294047</v>
      </c>
      <c r="Q2229" s="4">
        <f t="shared" si="7"/>
        <v>6</v>
      </c>
      <c r="R2229" s="4">
        <f t="shared" si="8"/>
        <v>1</v>
      </c>
      <c r="S2229" s="4">
        <f t="shared" si="9"/>
        <v>2.734294047</v>
      </c>
      <c r="T2229" s="4">
        <f t="shared" si="10"/>
        <v>41</v>
      </c>
      <c r="U2229" s="4">
        <f t="shared" si="1"/>
        <v>2.734294047</v>
      </c>
      <c r="V2229" s="4"/>
    </row>
    <row r="2230">
      <c r="A2230" s="1" t="s">
        <v>20517</v>
      </c>
      <c r="B2230" s="1" t="s">
        <v>20518</v>
      </c>
      <c r="C2230" s="1" t="s">
        <v>20519</v>
      </c>
      <c r="D2230" s="1" t="s">
        <v>20246</v>
      </c>
      <c r="E2230" s="1" t="s">
        <v>20247</v>
      </c>
      <c r="F2230" s="1">
        <v>1419964.0</v>
      </c>
      <c r="G2230" s="1">
        <v>49110.0</v>
      </c>
      <c r="H2230" s="1">
        <v>1608.0</v>
      </c>
      <c r="I2230" s="1">
        <v>8770000.0</v>
      </c>
      <c r="J2230" s="1" t="s">
        <v>2468</v>
      </c>
      <c r="K2230" s="5">
        <f t="shared" si="2"/>
        <v>0.1619115165</v>
      </c>
      <c r="L2230" s="6">
        <f t="shared" si="3"/>
        <v>769</v>
      </c>
      <c r="M2230" s="6">
        <f t="shared" si="4"/>
        <v>1846.507152</v>
      </c>
      <c r="N2230" s="7">
        <f t="shared" si="5"/>
        <v>0.0002105481359</v>
      </c>
      <c r="O2230" s="7"/>
      <c r="P2230" s="4">
        <f t="shared" si="6"/>
        <v>-0.3012235352</v>
      </c>
      <c r="Q2230" s="4">
        <f t="shared" si="7"/>
        <v>3</v>
      </c>
      <c r="R2230" s="4">
        <f t="shared" si="8"/>
        <v>0</v>
      </c>
      <c r="S2230" s="4">
        <f t="shared" si="9"/>
        <v>-0.3012235352</v>
      </c>
      <c r="T2230" s="4">
        <f t="shared" si="10"/>
        <v>14</v>
      </c>
      <c r="U2230" s="4">
        <f t="shared" si="1"/>
        <v>-0.3012235352</v>
      </c>
      <c r="V2230" s="4"/>
    </row>
    <row r="2231">
      <c r="A2231" s="1" t="s">
        <v>20520</v>
      </c>
      <c r="B2231" s="1" t="s">
        <v>20521</v>
      </c>
      <c r="C2231" s="1" t="s">
        <v>20522</v>
      </c>
      <c r="D2231" s="1" t="s">
        <v>20246</v>
      </c>
      <c r="E2231" s="1" t="s">
        <v>20247</v>
      </c>
      <c r="F2231" s="1">
        <v>9458318.0</v>
      </c>
      <c r="G2231" s="1">
        <v>341086.0</v>
      </c>
      <c r="H2231" s="1">
        <v>1623.0</v>
      </c>
      <c r="I2231" s="1">
        <v>8770000.0</v>
      </c>
      <c r="J2231" s="1" t="s">
        <v>2468</v>
      </c>
      <c r="K2231" s="5">
        <f t="shared" si="2"/>
        <v>1.078485519</v>
      </c>
      <c r="L2231" s="6">
        <f t="shared" si="3"/>
        <v>776</v>
      </c>
      <c r="M2231" s="6">
        <f t="shared" si="4"/>
        <v>12188.55412</v>
      </c>
      <c r="N2231" s="7">
        <f t="shared" si="5"/>
        <v>0.001389800926</v>
      </c>
      <c r="O2231" s="7"/>
      <c r="P2231" s="4">
        <f t="shared" si="6"/>
        <v>0.5293990013</v>
      </c>
      <c r="Q2231" s="4">
        <f t="shared" si="7"/>
        <v>8</v>
      </c>
      <c r="R2231" s="4">
        <f t="shared" si="8"/>
        <v>0</v>
      </c>
      <c r="S2231" s="4">
        <f t="shared" si="9"/>
        <v>0.5293990013</v>
      </c>
      <c r="T2231" s="4">
        <f t="shared" si="10"/>
        <v>61</v>
      </c>
      <c r="U2231" s="4">
        <f t="shared" si="1"/>
        <v>0.5293990013</v>
      </c>
      <c r="V2231" s="4"/>
    </row>
    <row r="2232">
      <c r="A2232" s="1" t="s">
        <v>20523</v>
      </c>
      <c r="B2232" s="1" t="s">
        <v>20524</v>
      </c>
      <c r="C2232" s="1" t="s">
        <v>20525</v>
      </c>
      <c r="D2232" s="1" t="s">
        <v>20246</v>
      </c>
      <c r="E2232" s="1" t="s">
        <v>20247</v>
      </c>
      <c r="F2232" s="1">
        <v>3068945.0</v>
      </c>
      <c r="G2232" s="1">
        <v>168991.0</v>
      </c>
      <c r="H2232" s="1">
        <v>1570.0</v>
      </c>
      <c r="I2232" s="1">
        <v>8770000.0</v>
      </c>
      <c r="J2232" s="1" t="s">
        <v>2468</v>
      </c>
      <c r="K2232" s="5">
        <f t="shared" si="2"/>
        <v>0.3499367161</v>
      </c>
      <c r="L2232" s="6">
        <f t="shared" si="3"/>
        <v>779</v>
      </c>
      <c r="M2232" s="6">
        <f t="shared" si="4"/>
        <v>3939.595635</v>
      </c>
      <c r="N2232" s="7">
        <f t="shared" si="5"/>
        <v>0.0004492127292</v>
      </c>
      <c r="O2232" s="7"/>
      <c r="P2232" s="4">
        <f t="shared" si="6"/>
        <v>-0.1331169244</v>
      </c>
      <c r="Q2232" s="4">
        <f t="shared" si="7"/>
        <v>8</v>
      </c>
      <c r="R2232" s="4">
        <f t="shared" si="8"/>
        <v>0</v>
      </c>
      <c r="S2232" s="4">
        <f t="shared" si="9"/>
        <v>-0.1331169244</v>
      </c>
      <c r="T2232" s="4">
        <f t="shared" si="10"/>
        <v>54</v>
      </c>
      <c r="U2232" s="4">
        <f t="shared" si="1"/>
        <v>-0.1331169244</v>
      </c>
      <c r="V2232" s="4"/>
    </row>
    <row r="2233">
      <c r="A2233" s="1" t="s">
        <v>20526</v>
      </c>
      <c r="B2233" s="1" t="s">
        <v>20527</v>
      </c>
      <c r="C2233" s="1" t="s">
        <v>20528</v>
      </c>
      <c r="D2233" s="1" t="s">
        <v>20246</v>
      </c>
      <c r="E2233" s="1" t="s">
        <v>20247</v>
      </c>
      <c r="F2233" s="1">
        <v>581423.0</v>
      </c>
      <c r="G2233" s="1">
        <v>39443.0</v>
      </c>
      <c r="H2233" s="1">
        <v>444.0</v>
      </c>
      <c r="I2233" s="1">
        <v>8770000.0</v>
      </c>
      <c r="J2233" s="1" t="s">
        <v>2468</v>
      </c>
      <c r="K2233" s="5">
        <f t="shared" si="2"/>
        <v>0.0662968073</v>
      </c>
      <c r="L2233" s="6">
        <f t="shared" si="3"/>
        <v>786</v>
      </c>
      <c r="M2233" s="6">
        <f t="shared" si="4"/>
        <v>739.7239186</v>
      </c>
      <c r="N2233" s="7">
        <f t="shared" si="5"/>
        <v>0.00008434708308</v>
      </c>
      <c r="O2233" s="7"/>
      <c r="P2233" s="4">
        <f t="shared" si="6"/>
        <v>-0.3901149412</v>
      </c>
      <c r="Q2233" s="4">
        <f t="shared" si="7"/>
        <v>10</v>
      </c>
      <c r="R2233" s="4">
        <f t="shared" si="8"/>
        <v>0</v>
      </c>
      <c r="S2233" s="4">
        <f t="shared" si="9"/>
        <v>-0.3901149412</v>
      </c>
      <c r="T2233" s="4">
        <f t="shared" si="10"/>
        <v>71</v>
      </c>
      <c r="U2233" s="4">
        <f t="shared" si="1"/>
        <v>-0.3901149412</v>
      </c>
      <c r="V2233" s="4"/>
    </row>
    <row r="2234">
      <c r="A2234" s="1" t="s">
        <v>20529</v>
      </c>
      <c r="B2234" s="1" t="s">
        <v>20530</v>
      </c>
      <c r="C2234" s="1" t="s">
        <v>20531</v>
      </c>
      <c r="D2234" s="1" t="s">
        <v>20246</v>
      </c>
      <c r="E2234" s="1" t="s">
        <v>20247</v>
      </c>
      <c r="F2234" s="1">
        <v>1030439.0</v>
      </c>
      <c r="G2234" s="1">
        <v>57653.0</v>
      </c>
      <c r="H2234" s="1">
        <v>455.0</v>
      </c>
      <c r="I2234" s="1">
        <v>8770000.0</v>
      </c>
      <c r="J2234" s="1" t="s">
        <v>2468</v>
      </c>
      <c r="K2234" s="5">
        <f t="shared" si="2"/>
        <v>0.1174958951</v>
      </c>
      <c r="L2234" s="6">
        <f t="shared" si="3"/>
        <v>792</v>
      </c>
      <c r="M2234" s="6">
        <f t="shared" si="4"/>
        <v>1301.059343</v>
      </c>
      <c r="N2234" s="7">
        <f t="shared" si="5"/>
        <v>0.0001483534029</v>
      </c>
      <c r="O2234" s="7"/>
      <c r="P2234" s="4">
        <f t="shared" si="6"/>
        <v>-0.3450312305</v>
      </c>
      <c r="Q2234" s="4">
        <f t="shared" si="7"/>
        <v>7</v>
      </c>
      <c r="R2234" s="4">
        <f t="shared" si="8"/>
        <v>0</v>
      </c>
      <c r="S2234" s="4">
        <f t="shared" si="9"/>
        <v>-0.3450312305</v>
      </c>
      <c r="T2234" s="4">
        <f t="shared" si="10"/>
        <v>49</v>
      </c>
      <c r="U2234" s="4">
        <f t="shared" si="1"/>
        <v>-0.3450312305</v>
      </c>
      <c r="V2234" s="4"/>
    </row>
    <row r="2235">
      <c r="A2235" s="1" t="s">
        <v>20532</v>
      </c>
      <c r="B2235" s="1" t="s">
        <v>20533</v>
      </c>
      <c r="C2235" s="1" t="s">
        <v>20534</v>
      </c>
      <c r="D2235" s="1" t="s">
        <v>20246</v>
      </c>
      <c r="E2235" s="1" t="s">
        <v>20247</v>
      </c>
      <c r="F2235" s="1">
        <v>1753962.0</v>
      </c>
      <c r="G2235" s="1">
        <v>69381.0</v>
      </c>
      <c r="H2235" s="1">
        <v>3140.0</v>
      </c>
      <c r="I2235" s="1">
        <v>8770000.0</v>
      </c>
      <c r="J2235" s="1" t="s">
        <v>2468</v>
      </c>
      <c r="K2235" s="5">
        <f t="shared" si="2"/>
        <v>0.199995667</v>
      </c>
      <c r="L2235" s="6">
        <f t="shared" si="3"/>
        <v>796</v>
      </c>
      <c r="M2235" s="6">
        <f t="shared" si="4"/>
        <v>2203.469849</v>
      </c>
      <c r="N2235" s="7">
        <f t="shared" si="5"/>
        <v>0.000251250838</v>
      </c>
      <c r="O2235" s="7"/>
      <c r="P2235" s="4">
        <f t="shared" si="6"/>
        <v>-0.2725540405</v>
      </c>
      <c r="Q2235" s="4">
        <f t="shared" si="7"/>
        <v>10</v>
      </c>
      <c r="R2235" s="4">
        <f t="shared" si="8"/>
        <v>2</v>
      </c>
      <c r="S2235" s="4">
        <f t="shared" si="9"/>
        <v>-0.2725540405</v>
      </c>
      <c r="T2235" s="4">
        <f t="shared" si="10"/>
        <v>53</v>
      </c>
      <c r="U2235" s="4">
        <f t="shared" si="1"/>
        <v>-0.2725540405</v>
      </c>
      <c r="V2235" s="4"/>
    </row>
    <row r="2236">
      <c r="A2236" s="1" t="s">
        <v>20535</v>
      </c>
      <c r="B2236" s="1" t="s">
        <v>20536</v>
      </c>
      <c r="C2236" s="1" t="s">
        <v>20537</v>
      </c>
      <c r="D2236" s="1" t="s">
        <v>20538</v>
      </c>
      <c r="E2236" s="1" t="s">
        <v>20539</v>
      </c>
      <c r="F2236" s="1">
        <v>606915.0</v>
      </c>
      <c r="G2236" s="1">
        <v>14331.0</v>
      </c>
      <c r="H2236" s="1">
        <v>1099.0</v>
      </c>
      <c r="I2236" s="1">
        <v>5150000.0</v>
      </c>
      <c r="J2236" s="1" t="s">
        <v>2468</v>
      </c>
      <c r="K2236" s="5">
        <f t="shared" si="2"/>
        <v>0.1178475728</v>
      </c>
      <c r="L2236" s="6">
        <f t="shared" si="3"/>
        <v>40</v>
      </c>
      <c r="M2236" s="6">
        <f t="shared" si="4"/>
        <v>15172.875</v>
      </c>
      <c r="N2236" s="7">
        <f t="shared" si="5"/>
        <v>0.00294618932</v>
      </c>
      <c r="O2236" s="7"/>
      <c r="P2236" s="4">
        <f t="shared" si="6"/>
        <v>1.625662064</v>
      </c>
      <c r="Q2236" s="4">
        <f t="shared" si="7"/>
        <v>7</v>
      </c>
      <c r="R2236" s="4">
        <f t="shared" si="8"/>
        <v>0</v>
      </c>
      <c r="S2236" s="4">
        <f t="shared" si="9"/>
        <v>1.625662064</v>
      </c>
      <c r="T2236" s="4">
        <f t="shared" si="10"/>
        <v>30</v>
      </c>
      <c r="U2236" s="4">
        <f t="shared" si="1"/>
        <v>1.625662064</v>
      </c>
      <c r="V2236" s="4"/>
    </row>
    <row r="2237">
      <c r="A2237" s="1" t="s">
        <v>20540</v>
      </c>
      <c r="B2237" s="1" t="s">
        <v>20541</v>
      </c>
      <c r="C2237" s="1" t="s">
        <v>20542</v>
      </c>
      <c r="D2237" s="1" t="s">
        <v>20538</v>
      </c>
      <c r="E2237" s="1" t="s">
        <v>20539</v>
      </c>
      <c r="F2237" s="1">
        <v>156834.0</v>
      </c>
      <c r="G2237" s="1">
        <v>8146.0</v>
      </c>
      <c r="H2237" s="1">
        <v>753.0</v>
      </c>
      <c r="I2237" s="1">
        <v>5150000.0</v>
      </c>
      <c r="J2237" s="1" t="s">
        <v>2468</v>
      </c>
      <c r="K2237" s="5">
        <f t="shared" si="2"/>
        <v>0.03045320388</v>
      </c>
      <c r="L2237" s="6">
        <f t="shared" si="3"/>
        <v>54</v>
      </c>
      <c r="M2237" s="6">
        <f t="shared" si="4"/>
        <v>2904.333333</v>
      </c>
      <c r="N2237" s="7">
        <f t="shared" si="5"/>
        <v>0.0005639482201</v>
      </c>
      <c r="O2237" s="7"/>
      <c r="P2237" s="4">
        <f t="shared" si="6"/>
        <v>-0.0523014409</v>
      </c>
      <c r="Q2237" s="4">
        <f t="shared" si="7"/>
        <v>6</v>
      </c>
      <c r="R2237" s="4">
        <f t="shared" si="8"/>
        <v>0</v>
      </c>
      <c r="S2237" s="4">
        <f t="shared" si="9"/>
        <v>-0.0523014409</v>
      </c>
      <c r="T2237" s="4">
        <f t="shared" si="10"/>
        <v>33</v>
      </c>
      <c r="U2237" s="4">
        <f t="shared" si="1"/>
        <v>-0.0523014409</v>
      </c>
      <c r="V2237" s="4"/>
    </row>
    <row r="2238">
      <c r="A2238" s="1" t="s">
        <v>20543</v>
      </c>
      <c r="B2238" s="1" t="s">
        <v>20544</v>
      </c>
      <c r="C2238" s="1" t="s">
        <v>20545</v>
      </c>
      <c r="D2238" s="1" t="s">
        <v>20538</v>
      </c>
      <c r="E2238" s="1" t="s">
        <v>20539</v>
      </c>
      <c r="F2238" s="1">
        <v>157914.0</v>
      </c>
      <c r="G2238" s="1">
        <v>6533.0</v>
      </c>
      <c r="H2238" s="1">
        <v>327.0</v>
      </c>
      <c r="I2238" s="1">
        <v>5150000.0</v>
      </c>
      <c r="J2238" s="1" t="s">
        <v>2468</v>
      </c>
      <c r="K2238" s="5">
        <f t="shared" si="2"/>
        <v>0.03066291262</v>
      </c>
      <c r="L2238" s="6">
        <f t="shared" si="3"/>
        <v>61</v>
      </c>
      <c r="M2238" s="6">
        <f t="shared" si="4"/>
        <v>2588.754098</v>
      </c>
      <c r="N2238" s="7">
        <f t="shared" si="5"/>
        <v>0.0005026706987</v>
      </c>
      <c r="O2238" s="7"/>
      <c r="P2238" s="4">
        <f t="shared" si="6"/>
        <v>-0.09546308583</v>
      </c>
      <c r="Q2238" s="4">
        <f t="shared" si="7"/>
        <v>7</v>
      </c>
      <c r="R2238" s="4">
        <f t="shared" si="8"/>
        <v>0</v>
      </c>
      <c r="S2238" s="4">
        <f t="shared" si="9"/>
        <v>-0.09546308583</v>
      </c>
      <c r="T2238" s="4">
        <f t="shared" si="10"/>
        <v>37</v>
      </c>
      <c r="U2238" s="4">
        <f t="shared" si="1"/>
        <v>-0.09546308583</v>
      </c>
      <c r="V2238" s="4"/>
    </row>
    <row r="2239">
      <c r="A2239" s="1" t="s">
        <v>20546</v>
      </c>
      <c r="B2239" s="1" t="s">
        <v>20547</v>
      </c>
      <c r="C2239" s="1" t="s">
        <v>20548</v>
      </c>
      <c r="D2239" s="1" t="s">
        <v>20538</v>
      </c>
      <c r="E2239" s="1" t="s">
        <v>20539</v>
      </c>
      <c r="F2239" s="1">
        <v>488943.0</v>
      </c>
      <c r="G2239" s="1">
        <v>15590.0</v>
      </c>
      <c r="H2239" s="1">
        <v>978.0</v>
      </c>
      <c r="I2239" s="1">
        <v>5150000.0</v>
      </c>
      <c r="J2239" s="1" t="s">
        <v>2468</v>
      </c>
      <c r="K2239" s="5">
        <f t="shared" si="2"/>
        <v>0.09494038835</v>
      </c>
      <c r="L2239" s="6">
        <f t="shared" si="3"/>
        <v>75</v>
      </c>
      <c r="M2239" s="6">
        <f t="shared" si="4"/>
        <v>6519.24</v>
      </c>
      <c r="N2239" s="7">
        <f t="shared" si="5"/>
        <v>0.001265871845</v>
      </c>
      <c r="O2239" s="7"/>
      <c r="P2239" s="4">
        <f t="shared" si="6"/>
        <v>0.4421078887</v>
      </c>
      <c r="Q2239" s="4">
        <f t="shared" si="7"/>
        <v>10</v>
      </c>
      <c r="R2239" s="4">
        <f t="shared" si="8"/>
        <v>0</v>
      </c>
      <c r="S2239" s="4">
        <f t="shared" si="9"/>
        <v>0.4421078887</v>
      </c>
      <c r="T2239" s="4">
        <f t="shared" si="10"/>
        <v>41</v>
      </c>
      <c r="U2239" s="4">
        <f t="shared" si="1"/>
        <v>0.4421078887</v>
      </c>
      <c r="V2239" s="4"/>
    </row>
    <row r="2240">
      <c r="A2240" s="1" t="s">
        <v>20549</v>
      </c>
      <c r="B2240" s="1" t="s">
        <v>20550</v>
      </c>
      <c r="C2240" s="1" t="s">
        <v>20551</v>
      </c>
      <c r="D2240" s="1" t="s">
        <v>20538</v>
      </c>
      <c r="E2240" s="1" t="s">
        <v>20539</v>
      </c>
      <c r="F2240" s="1">
        <v>142316.0</v>
      </c>
      <c r="G2240" s="1">
        <v>7915.0</v>
      </c>
      <c r="H2240" s="1">
        <v>700.0</v>
      </c>
      <c r="I2240" s="1">
        <v>5150000.0</v>
      </c>
      <c r="J2240" s="1" t="s">
        <v>2468</v>
      </c>
      <c r="K2240" s="5">
        <f t="shared" si="2"/>
        <v>0.02763417476</v>
      </c>
      <c r="L2240" s="6">
        <f t="shared" si="3"/>
        <v>82</v>
      </c>
      <c r="M2240" s="6">
        <f t="shared" si="4"/>
        <v>1735.560976</v>
      </c>
      <c r="N2240" s="7">
        <f t="shared" si="5"/>
        <v>0.0003370021312</v>
      </c>
      <c r="O2240" s="7"/>
      <c r="P2240" s="4">
        <f t="shared" si="6"/>
        <v>-0.2121539658</v>
      </c>
      <c r="Q2240" s="4">
        <f t="shared" si="7"/>
        <v>5</v>
      </c>
      <c r="R2240" s="4">
        <f t="shared" si="8"/>
        <v>0</v>
      </c>
      <c r="S2240" s="4">
        <f t="shared" si="9"/>
        <v>-0.2121539658</v>
      </c>
      <c r="T2240" s="4">
        <f t="shared" si="10"/>
        <v>23</v>
      </c>
      <c r="U2240" s="4">
        <f t="shared" si="1"/>
        <v>-0.2121539658</v>
      </c>
      <c r="V2240" s="4"/>
    </row>
    <row r="2241">
      <c r="A2241" s="1" t="s">
        <v>20552</v>
      </c>
      <c r="B2241" s="1" t="s">
        <v>20553</v>
      </c>
      <c r="C2241" s="1" t="s">
        <v>20554</v>
      </c>
      <c r="D2241" s="1" t="s">
        <v>20538</v>
      </c>
      <c r="E2241" s="1" t="s">
        <v>20539</v>
      </c>
      <c r="F2241" s="1">
        <v>1173972.0</v>
      </c>
      <c r="G2241" s="1">
        <v>49972.0</v>
      </c>
      <c r="H2241" s="1">
        <v>3021.0</v>
      </c>
      <c r="I2241" s="1">
        <v>5150000.0</v>
      </c>
      <c r="J2241" s="1" t="s">
        <v>2468</v>
      </c>
      <c r="K2241" s="5">
        <f t="shared" si="2"/>
        <v>0.2279557282</v>
      </c>
      <c r="L2241" s="6">
        <f t="shared" si="3"/>
        <v>89</v>
      </c>
      <c r="M2241" s="6">
        <f t="shared" si="4"/>
        <v>13190.69663</v>
      </c>
      <c r="N2241" s="7">
        <f t="shared" si="5"/>
        <v>0.002561300316</v>
      </c>
      <c r="O2241" s="7"/>
      <c r="P2241" s="4">
        <f t="shared" si="6"/>
        <v>1.354560326</v>
      </c>
      <c r="Q2241" s="4">
        <f t="shared" si="7"/>
        <v>7</v>
      </c>
      <c r="R2241" s="4">
        <f t="shared" si="8"/>
        <v>0</v>
      </c>
      <c r="S2241" s="4">
        <f t="shared" si="9"/>
        <v>1.354560326</v>
      </c>
      <c r="T2241" s="4">
        <f t="shared" si="10"/>
        <v>38</v>
      </c>
      <c r="U2241" s="4">
        <f t="shared" si="1"/>
        <v>1.354560326</v>
      </c>
      <c r="V2241" s="4"/>
    </row>
    <row r="2242">
      <c r="A2242" s="1" t="s">
        <v>20555</v>
      </c>
      <c r="B2242" s="1" t="s">
        <v>20556</v>
      </c>
      <c r="C2242" s="1" t="s">
        <v>20557</v>
      </c>
      <c r="D2242" s="1" t="s">
        <v>20538</v>
      </c>
      <c r="E2242" s="1" t="s">
        <v>20539</v>
      </c>
      <c r="F2242" s="1">
        <v>179759.0</v>
      </c>
      <c r="G2242" s="1">
        <v>9417.0</v>
      </c>
      <c r="H2242" s="1">
        <v>733.0</v>
      </c>
      <c r="I2242" s="1">
        <v>5150000.0</v>
      </c>
      <c r="J2242" s="1" t="s">
        <v>2468</v>
      </c>
      <c r="K2242" s="5">
        <f t="shared" si="2"/>
        <v>0.03490466019</v>
      </c>
      <c r="L2242" s="6">
        <f t="shared" si="3"/>
        <v>96</v>
      </c>
      <c r="M2242" s="6">
        <f t="shared" si="4"/>
        <v>1872.489583</v>
      </c>
      <c r="N2242" s="7">
        <f t="shared" si="5"/>
        <v>0.0003635902104</v>
      </c>
      <c r="O2242" s="7"/>
      <c r="P2242" s="4">
        <f t="shared" si="6"/>
        <v>-0.1934262952</v>
      </c>
      <c r="Q2242" s="4">
        <f t="shared" si="7"/>
        <v>8</v>
      </c>
      <c r="R2242" s="4">
        <f t="shared" si="8"/>
        <v>1</v>
      </c>
      <c r="S2242" s="4">
        <f t="shared" si="9"/>
        <v>-0.1934262952</v>
      </c>
      <c r="T2242" s="4">
        <f t="shared" si="10"/>
        <v>30</v>
      </c>
      <c r="U2242" s="4">
        <f t="shared" si="1"/>
        <v>-0.1934262952</v>
      </c>
      <c r="V2242" s="4"/>
    </row>
    <row r="2243">
      <c r="A2243" s="1" t="s">
        <v>20558</v>
      </c>
      <c r="B2243" s="1" t="s">
        <v>20559</v>
      </c>
      <c r="C2243" s="1" t="s">
        <v>20560</v>
      </c>
      <c r="D2243" s="1" t="s">
        <v>20538</v>
      </c>
      <c r="E2243" s="1" t="s">
        <v>20539</v>
      </c>
      <c r="F2243" s="1">
        <v>559623.0</v>
      </c>
      <c r="G2243" s="1">
        <v>14654.0</v>
      </c>
      <c r="H2243" s="1">
        <v>1091.0</v>
      </c>
      <c r="I2243" s="1">
        <v>5150000.0</v>
      </c>
      <c r="J2243" s="1" t="s">
        <v>2468</v>
      </c>
      <c r="K2243" s="5">
        <f t="shared" si="2"/>
        <v>0.1086646602</v>
      </c>
      <c r="L2243" s="6">
        <f t="shared" si="3"/>
        <v>103</v>
      </c>
      <c r="M2243" s="6">
        <f t="shared" si="4"/>
        <v>5433.23301</v>
      </c>
      <c r="N2243" s="7">
        <f t="shared" si="5"/>
        <v>0.001054996701</v>
      </c>
      <c r="O2243" s="7"/>
      <c r="P2243" s="4">
        <f t="shared" si="6"/>
        <v>0.2935751498</v>
      </c>
      <c r="Q2243" s="4">
        <f t="shared" si="7"/>
        <v>6</v>
      </c>
      <c r="R2243" s="4">
        <f t="shared" si="8"/>
        <v>0</v>
      </c>
      <c r="S2243" s="4">
        <f t="shared" si="9"/>
        <v>0.2935751498</v>
      </c>
      <c r="T2243" s="4">
        <f t="shared" si="10"/>
        <v>37</v>
      </c>
      <c r="U2243" s="4">
        <f t="shared" si="1"/>
        <v>0.2935751498</v>
      </c>
      <c r="V2243" s="4"/>
    </row>
    <row r="2244">
      <c r="A2244" s="1" t="s">
        <v>20561</v>
      </c>
      <c r="B2244" s="1" t="s">
        <v>20562</v>
      </c>
      <c r="C2244" s="1" t="s">
        <v>20563</v>
      </c>
      <c r="D2244" s="1" t="s">
        <v>20538</v>
      </c>
      <c r="E2244" s="1" t="s">
        <v>20539</v>
      </c>
      <c r="F2244" s="1">
        <v>509642.0</v>
      </c>
      <c r="G2244" s="1">
        <v>20150.0</v>
      </c>
      <c r="H2244" s="1">
        <v>1214.0</v>
      </c>
      <c r="I2244" s="1">
        <v>5150000.0</v>
      </c>
      <c r="J2244" s="1" t="s">
        <v>2468</v>
      </c>
      <c r="K2244" s="5">
        <f t="shared" si="2"/>
        <v>0.09895961165</v>
      </c>
      <c r="L2244" s="6">
        <f t="shared" si="3"/>
        <v>110</v>
      </c>
      <c r="M2244" s="6">
        <f t="shared" si="4"/>
        <v>4633.109091</v>
      </c>
      <c r="N2244" s="7">
        <f t="shared" si="5"/>
        <v>0.0008996328332</v>
      </c>
      <c r="O2244" s="7"/>
      <c r="P2244" s="4">
        <f t="shared" si="6"/>
        <v>0.1841425235</v>
      </c>
      <c r="Q2244" s="4">
        <f t="shared" si="7"/>
        <v>7</v>
      </c>
      <c r="R2244" s="4">
        <f t="shared" si="8"/>
        <v>0</v>
      </c>
      <c r="S2244" s="4">
        <f t="shared" si="9"/>
        <v>0.1841425235</v>
      </c>
      <c r="T2244" s="4">
        <f t="shared" si="10"/>
        <v>37</v>
      </c>
      <c r="U2244" s="4">
        <f t="shared" si="1"/>
        <v>0.1841425235</v>
      </c>
      <c r="V2244" s="4"/>
    </row>
    <row r="2245">
      <c r="A2245" s="1" t="s">
        <v>20564</v>
      </c>
      <c r="B2245" s="1" t="s">
        <v>20565</v>
      </c>
      <c r="C2245" s="1" t="s">
        <v>20566</v>
      </c>
      <c r="D2245" s="1" t="s">
        <v>20538</v>
      </c>
      <c r="E2245" s="1" t="s">
        <v>20539</v>
      </c>
      <c r="F2245" s="1">
        <v>724381.0</v>
      </c>
      <c r="G2245" s="1">
        <v>9595.0</v>
      </c>
      <c r="H2245" s="1">
        <v>705.0</v>
      </c>
      <c r="I2245" s="1">
        <v>5150000.0</v>
      </c>
      <c r="J2245" s="1" t="s">
        <v>2468</v>
      </c>
      <c r="K2245" s="5">
        <f t="shared" si="2"/>
        <v>0.1406565049</v>
      </c>
      <c r="L2245" s="6">
        <f t="shared" si="3"/>
        <v>115</v>
      </c>
      <c r="M2245" s="6">
        <f t="shared" si="4"/>
        <v>6298.965217</v>
      </c>
      <c r="N2245" s="7">
        <f t="shared" si="5"/>
        <v>0.001223100042</v>
      </c>
      <c r="O2245" s="7"/>
      <c r="P2245" s="4">
        <f t="shared" si="6"/>
        <v>0.4119809953</v>
      </c>
      <c r="Q2245" s="4">
        <f t="shared" si="7"/>
        <v>5</v>
      </c>
      <c r="R2245" s="4">
        <f t="shared" si="8"/>
        <v>0</v>
      </c>
      <c r="S2245" s="4">
        <f t="shared" si="9"/>
        <v>0.4119809953</v>
      </c>
      <c r="T2245" s="4">
        <f t="shared" si="10"/>
        <v>28</v>
      </c>
      <c r="U2245" s="4">
        <f t="shared" si="1"/>
        <v>0.4119809953</v>
      </c>
      <c r="V2245" s="4"/>
    </row>
    <row r="2246">
      <c r="A2246" s="1" t="s">
        <v>20567</v>
      </c>
      <c r="B2246" s="1" t="s">
        <v>20568</v>
      </c>
      <c r="C2246" s="1" t="s">
        <v>20569</v>
      </c>
      <c r="D2246" s="1" t="s">
        <v>20538</v>
      </c>
      <c r="E2246" s="1" t="s">
        <v>20539</v>
      </c>
      <c r="F2246" s="1">
        <v>323558.0</v>
      </c>
      <c r="G2246" s="1">
        <v>10700.0</v>
      </c>
      <c r="H2246" s="1">
        <v>1156.0</v>
      </c>
      <c r="I2246" s="1">
        <v>5150000.0</v>
      </c>
      <c r="J2246" s="1" t="s">
        <v>2468</v>
      </c>
      <c r="K2246" s="5">
        <f t="shared" si="2"/>
        <v>0.06282679612</v>
      </c>
      <c r="L2246" s="6">
        <f t="shared" si="3"/>
        <v>124</v>
      </c>
      <c r="M2246" s="6">
        <f t="shared" si="4"/>
        <v>2609.33871</v>
      </c>
      <c r="N2246" s="7">
        <f t="shared" si="5"/>
        <v>0.0005066677106</v>
      </c>
      <c r="O2246" s="7"/>
      <c r="P2246" s="4">
        <f t="shared" si="6"/>
        <v>-0.09264773683</v>
      </c>
      <c r="Q2246" s="4">
        <f t="shared" si="7"/>
        <v>6</v>
      </c>
      <c r="R2246" s="4">
        <f t="shared" si="8"/>
        <v>0</v>
      </c>
      <c r="S2246" s="4">
        <f t="shared" si="9"/>
        <v>-0.09264773683</v>
      </c>
      <c r="T2246" s="4">
        <f t="shared" si="10"/>
        <v>35</v>
      </c>
      <c r="U2246" s="4">
        <f t="shared" si="1"/>
        <v>-0.09264773683</v>
      </c>
      <c r="V2246" s="4"/>
    </row>
    <row r="2247">
      <c r="A2247" s="1" t="s">
        <v>20570</v>
      </c>
      <c r="B2247" s="1" t="s">
        <v>20571</v>
      </c>
      <c r="C2247" s="1" t="s">
        <v>20572</v>
      </c>
      <c r="D2247" s="1" t="s">
        <v>20538</v>
      </c>
      <c r="E2247" s="1" t="s">
        <v>20539</v>
      </c>
      <c r="F2247" s="1">
        <v>388374.0</v>
      </c>
      <c r="G2247" s="1">
        <v>15446.0</v>
      </c>
      <c r="H2247" s="1">
        <v>777.0</v>
      </c>
      <c r="I2247" s="1">
        <v>5150000.0</v>
      </c>
      <c r="J2247" s="1" t="s">
        <v>2468</v>
      </c>
      <c r="K2247" s="5">
        <f t="shared" si="2"/>
        <v>0.07541242718</v>
      </c>
      <c r="L2247" s="6">
        <f t="shared" si="3"/>
        <v>131</v>
      </c>
      <c r="M2247" s="6">
        <f t="shared" si="4"/>
        <v>2964.687023</v>
      </c>
      <c r="N2247" s="7">
        <f t="shared" si="5"/>
        <v>0.0005756673831</v>
      </c>
      <c r="O2247" s="7"/>
      <c r="P2247" s="4">
        <f t="shared" si="6"/>
        <v>-0.04404689108</v>
      </c>
      <c r="Q2247" s="4">
        <f t="shared" si="7"/>
        <v>4</v>
      </c>
      <c r="R2247" s="4">
        <f t="shared" si="8"/>
        <v>0</v>
      </c>
      <c r="S2247" s="4">
        <f t="shared" si="9"/>
        <v>-0.04404689108</v>
      </c>
      <c r="T2247" s="4">
        <f t="shared" si="10"/>
        <v>20</v>
      </c>
      <c r="U2247" s="4">
        <f t="shared" si="1"/>
        <v>-0.04404689108</v>
      </c>
      <c r="V2247" s="4"/>
    </row>
    <row r="2248">
      <c r="A2248" s="1" t="s">
        <v>20573</v>
      </c>
      <c r="B2248" s="1" t="s">
        <v>20574</v>
      </c>
      <c r="C2248" s="1" t="s">
        <v>20575</v>
      </c>
      <c r="D2248" s="1" t="s">
        <v>20538</v>
      </c>
      <c r="E2248" s="1" t="s">
        <v>20539</v>
      </c>
      <c r="F2248" s="1">
        <v>595600.0</v>
      </c>
      <c r="G2248" s="1">
        <v>21675.0</v>
      </c>
      <c r="H2248" s="1">
        <v>2675.0</v>
      </c>
      <c r="I2248" s="1">
        <v>5150000.0</v>
      </c>
      <c r="J2248" s="1" t="s">
        <v>2468</v>
      </c>
      <c r="K2248" s="5">
        <f t="shared" si="2"/>
        <v>0.1156504854</v>
      </c>
      <c r="L2248" s="6">
        <f t="shared" si="3"/>
        <v>138</v>
      </c>
      <c r="M2248" s="6">
        <f t="shared" si="4"/>
        <v>4315.942029</v>
      </c>
      <c r="N2248" s="7">
        <f t="shared" si="5"/>
        <v>0.0008380469959</v>
      </c>
      <c r="O2248" s="7"/>
      <c r="P2248" s="4">
        <f t="shared" si="6"/>
        <v>0.1407637121</v>
      </c>
      <c r="Q2248" s="4">
        <f t="shared" si="7"/>
        <v>6</v>
      </c>
      <c r="R2248" s="4">
        <f t="shared" si="8"/>
        <v>0</v>
      </c>
      <c r="S2248" s="4">
        <f t="shared" si="9"/>
        <v>0.1407637121</v>
      </c>
      <c r="T2248" s="4">
        <f t="shared" si="10"/>
        <v>32</v>
      </c>
      <c r="U2248" s="4">
        <f t="shared" si="1"/>
        <v>0.1407637121</v>
      </c>
      <c r="V2248" s="4"/>
    </row>
    <row r="2249">
      <c r="A2249" s="1" t="s">
        <v>20576</v>
      </c>
      <c r="B2249" s="1" t="s">
        <v>20577</v>
      </c>
      <c r="C2249" s="1" t="s">
        <v>20578</v>
      </c>
      <c r="D2249" s="1" t="s">
        <v>20538</v>
      </c>
      <c r="E2249" s="1" t="s">
        <v>20539</v>
      </c>
      <c r="F2249" s="1">
        <v>333076.0</v>
      </c>
      <c r="G2249" s="1">
        <v>14880.0</v>
      </c>
      <c r="H2249" s="1">
        <v>598.0</v>
      </c>
      <c r="I2249" s="1">
        <v>5150000.0</v>
      </c>
      <c r="J2249" s="1" t="s">
        <v>2468</v>
      </c>
      <c r="K2249" s="5">
        <f t="shared" si="2"/>
        <v>0.06467495146</v>
      </c>
      <c r="L2249" s="6">
        <f t="shared" si="3"/>
        <v>145</v>
      </c>
      <c r="M2249" s="6">
        <f t="shared" si="4"/>
        <v>2297.075862</v>
      </c>
      <c r="N2249" s="7">
        <f t="shared" si="5"/>
        <v>0.000446034148</v>
      </c>
      <c r="O2249" s="7"/>
      <c r="P2249" s="4">
        <f t="shared" si="6"/>
        <v>-0.1353558008</v>
      </c>
      <c r="Q2249" s="4">
        <f t="shared" si="7"/>
        <v>6</v>
      </c>
      <c r="R2249" s="4">
        <f t="shared" si="8"/>
        <v>0</v>
      </c>
      <c r="S2249" s="4">
        <f t="shared" si="9"/>
        <v>-0.1353558008</v>
      </c>
      <c r="T2249" s="4">
        <f t="shared" si="10"/>
        <v>21</v>
      </c>
      <c r="U2249" s="4">
        <f t="shared" si="1"/>
        <v>-0.1353558008</v>
      </c>
      <c r="V2249" s="4"/>
    </row>
    <row r="2250">
      <c r="A2250" s="1" t="s">
        <v>20579</v>
      </c>
      <c r="B2250" s="1" t="s">
        <v>20580</v>
      </c>
      <c r="C2250" s="1" t="s">
        <v>20581</v>
      </c>
      <c r="D2250" s="1" t="s">
        <v>20538</v>
      </c>
      <c r="E2250" s="1" t="s">
        <v>20539</v>
      </c>
      <c r="F2250" s="1">
        <v>903569.0</v>
      </c>
      <c r="G2250" s="1">
        <v>37734.0</v>
      </c>
      <c r="H2250" s="1">
        <v>1800.0</v>
      </c>
      <c r="I2250" s="1">
        <v>5150000.0</v>
      </c>
      <c r="J2250" s="1" t="s">
        <v>2468</v>
      </c>
      <c r="K2250" s="5">
        <f t="shared" si="2"/>
        <v>0.1754502913</v>
      </c>
      <c r="L2250" s="6">
        <f t="shared" si="3"/>
        <v>152</v>
      </c>
      <c r="M2250" s="6">
        <f t="shared" si="4"/>
        <v>5944.532895</v>
      </c>
      <c r="N2250" s="7">
        <f t="shared" si="5"/>
        <v>0.001154278232</v>
      </c>
      <c r="O2250" s="7"/>
      <c r="P2250" s="4">
        <f t="shared" si="6"/>
        <v>0.3635054292</v>
      </c>
      <c r="Q2250" s="4">
        <f t="shared" si="7"/>
        <v>6</v>
      </c>
      <c r="R2250" s="4">
        <f t="shared" si="8"/>
        <v>0</v>
      </c>
      <c r="S2250" s="4">
        <f t="shared" si="9"/>
        <v>0.3635054292</v>
      </c>
      <c r="T2250" s="4">
        <f t="shared" si="10"/>
        <v>37</v>
      </c>
      <c r="U2250" s="4">
        <f t="shared" si="1"/>
        <v>0.3635054292</v>
      </c>
      <c r="V2250" s="4"/>
    </row>
    <row r="2251">
      <c r="A2251" s="1" t="s">
        <v>20582</v>
      </c>
      <c r="B2251" s="1" t="s">
        <v>20583</v>
      </c>
      <c r="C2251" s="1" t="s">
        <v>20584</v>
      </c>
      <c r="D2251" s="1" t="s">
        <v>20538</v>
      </c>
      <c r="E2251" s="1" t="s">
        <v>20539</v>
      </c>
      <c r="F2251" s="1">
        <v>1359117.0</v>
      </c>
      <c r="G2251" s="1">
        <v>29024.0</v>
      </c>
      <c r="H2251" s="1">
        <v>1537.0</v>
      </c>
      <c r="I2251" s="1">
        <v>5150000.0</v>
      </c>
      <c r="J2251" s="1" t="s">
        <v>2468</v>
      </c>
      <c r="K2251" s="5">
        <f t="shared" si="2"/>
        <v>0.2639062136</v>
      </c>
      <c r="L2251" s="6">
        <f t="shared" si="3"/>
        <v>159</v>
      </c>
      <c r="M2251" s="6">
        <f t="shared" si="4"/>
        <v>8547.90566</v>
      </c>
      <c r="N2251" s="7">
        <f t="shared" si="5"/>
        <v>0.001659787507</v>
      </c>
      <c r="O2251" s="7"/>
      <c r="P2251" s="4">
        <f t="shared" si="6"/>
        <v>0.7195676744</v>
      </c>
      <c r="Q2251" s="4">
        <f t="shared" si="7"/>
        <v>12</v>
      </c>
      <c r="R2251" s="4">
        <f t="shared" si="8"/>
        <v>0</v>
      </c>
      <c r="S2251" s="4">
        <f t="shared" si="9"/>
        <v>0.7195676744</v>
      </c>
      <c r="T2251" s="4">
        <f t="shared" si="10"/>
        <v>55</v>
      </c>
      <c r="U2251" s="4">
        <f t="shared" si="1"/>
        <v>0.7195676744</v>
      </c>
      <c r="V2251" s="4"/>
    </row>
    <row r="2252">
      <c r="A2252" s="1" t="s">
        <v>20585</v>
      </c>
      <c r="B2252" s="1" t="s">
        <v>20586</v>
      </c>
      <c r="C2252" s="1" t="s">
        <v>20587</v>
      </c>
      <c r="D2252" s="1" t="s">
        <v>20538</v>
      </c>
      <c r="E2252" s="1" t="s">
        <v>20539</v>
      </c>
      <c r="F2252" s="1">
        <v>270847.0</v>
      </c>
      <c r="G2252" s="1">
        <v>11412.0</v>
      </c>
      <c r="H2252" s="1">
        <v>1200.0</v>
      </c>
      <c r="I2252" s="1">
        <v>5150000.0</v>
      </c>
      <c r="J2252" s="1" t="s">
        <v>2468</v>
      </c>
      <c r="K2252" s="5">
        <f t="shared" si="2"/>
        <v>0.05259165049</v>
      </c>
      <c r="L2252" s="6">
        <f t="shared" si="3"/>
        <v>166</v>
      </c>
      <c r="M2252" s="6">
        <f t="shared" si="4"/>
        <v>1631.608434</v>
      </c>
      <c r="N2252" s="7">
        <f t="shared" si="5"/>
        <v>0.0003168171716</v>
      </c>
      <c r="O2252" s="7"/>
      <c r="P2252" s="4">
        <f t="shared" si="6"/>
        <v>-0.2263715131</v>
      </c>
      <c r="Q2252" s="4">
        <f t="shared" si="7"/>
        <v>9</v>
      </c>
      <c r="R2252" s="4">
        <f t="shared" si="8"/>
        <v>0</v>
      </c>
      <c r="S2252" s="4">
        <f t="shared" si="9"/>
        <v>-0.2263715131</v>
      </c>
      <c r="T2252" s="4">
        <f t="shared" si="10"/>
        <v>46</v>
      </c>
      <c r="U2252" s="4">
        <f t="shared" si="1"/>
        <v>-0.2263715131</v>
      </c>
      <c r="V2252" s="4"/>
    </row>
    <row r="2253">
      <c r="A2253" s="1" t="s">
        <v>20588</v>
      </c>
      <c r="B2253" s="1" t="s">
        <v>20589</v>
      </c>
      <c r="C2253" s="1" t="s">
        <v>20590</v>
      </c>
      <c r="D2253" s="1" t="s">
        <v>20538</v>
      </c>
      <c r="E2253" s="1" t="s">
        <v>20539</v>
      </c>
      <c r="F2253" s="1">
        <v>182023.0</v>
      </c>
      <c r="G2253" s="1">
        <v>7999.0</v>
      </c>
      <c r="H2253" s="1">
        <v>321.0</v>
      </c>
      <c r="I2253" s="1">
        <v>5150000.0</v>
      </c>
      <c r="J2253" s="1" t="s">
        <v>2468</v>
      </c>
      <c r="K2253" s="5">
        <f t="shared" si="2"/>
        <v>0.03534427184</v>
      </c>
      <c r="L2253" s="6">
        <f t="shared" si="3"/>
        <v>173</v>
      </c>
      <c r="M2253" s="6">
        <f t="shared" si="4"/>
        <v>1052.156069</v>
      </c>
      <c r="N2253" s="7">
        <f t="shared" si="5"/>
        <v>0.0002043021494</v>
      </c>
      <c r="O2253" s="7"/>
      <c r="P2253" s="4">
        <f t="shared" si="6"/>
        <v>-0.3056229797</v>
      </c>
      <c r="Q2253" s="4">
        <f t="shared" si="7"/>
        <v>7</v>
      </c>
      <c r="R2253" s="4">
        <f t="shared" si="8"/>
        <v>1</v>
      </c>
      <c r="S2253" s="4">
        <f t="shared" si="9"/>
        <v>-0.3056229797</v>
      </c>
      <c r="T2253" s="4">
        <f t="shared" si="10"/>
        <v>30</v>
      </c>
      <c r="U2253" s="4">
        <f t="shared" si="1"/>
        <v>-0.3056229797</v>
      </c>
      <c r="V2253" s="4"/>
    </row>
    <row r="2254">
      <c r="A2254" s="1" t="s">
        <v>20591</v>
      </c>
      <c r="B2254" s="1" t="s">
        <v>20592</v>
      </c>
      <c r="C2254" s="1" t="s">
        <v>20593</v>
      </c>
      <c r="D2254" s="1" t="s">
        <v>20538</v>
      </c>
      <c r="E2254" s="1" t="s">
        <v>20539</v>
      </c>
      <c r="F2254" s="1">
        <v>189087.0</v>
      </c>
      <c r="G2254" s="1">
        <v>9465.0</v>
      </c>
      <c r="H2254" s="1">
        <v>794.0</v>
      </c>
      <c r="I2254" s="1">
        <v>5150000.0</v>
      </c>
      <c r="J2254" s="1" t="s">
        <v>2468</v>
      </c>
      <c r="K2254" s="5">
        <f t="shared" si="2"/>
        <v>0.03671592233</v>
      </c>
      <c r="L2254" s="6">
        <f t="shared" si="3"/>
        <v>180</v>
      </c>
      <c r="M2254" s="6">
        <f t="shared" si="4"/>
        <v>1050.483333</v>
      </c>
      <c r="N2254" s="7">
        <f t="shared" si="5"/>
        <v>0.0002039773463</v>
      </c>
      <c r="O2254" s="7"/>
      <c r="P2254" s="4">
        <f t="shared" si="6"/>
        <v>-0.3058517591</v>
      </c>
      <c r="Q2254" s="4">
        <f t="shared" si="7"/>
        <v>8</v>
      </c>
      <c r="R2254" s="4">
        <f t="shared" si="8"/>
        <v>0</v>
      </c>
      <c r="S2254" s="4">
        <f t="shared" si="9"/>
        <v>-0.3058517591</v>
      </c>
      <c r="T2254" s="4">
        <f t="shared" si="10"/>
        <v>35</v>
      </c>
      <c r="U2254" s="4">
        <f t="shared" si="1"/>
        <v>-0.3058517591</v>
      </c>
      <c r="V2254" s="4"/>
    </row>
    <row r="2255">
      <c r="A2255" s="1" t="s">
        <v>20594</v>
      </c>
      <c r="B2255" s="1" t="s">
        <v>20595</v>
      </c>
      <c r="C2255" s="1" t="s">
        <v>20596</v>
      </c>
      <c r="D2255" s="1" t="s">
        <v>20538</v>
      </c>
      <c r="E2255" s="1" t="s">
        <v>20539</v>
      </c>
      <c r="F2255" s="1">
        <v>94668.0</v>
      </c>
      <c r="G2255" s="1">
        <v>6218.0</v>
      </c>
      <c r="H2255" s="1">
        <v>372.0</v>
      </c>
      <c r="I2255" s="1">
        <v>5150000.0</v>
      </c>
      <c r="J2255" s="1" t="s">
        <v>2468</v>
      </c>
      <c r="K2255" s="5">
        <f t="shared" si="2"/>
        <v>0.01838213592</v>
      </c>
      <c r="L2255" s="6">
        <f t="shared" si="3"/>
        <v>187</v>
      </c>
      <c r="M2255" s="6">
        <f t="shared" si="4"/>
        <v>506.2459893</v>
      </c>
      <c r="N2255" s="7">
        <f t="shared" si="5"/>
        <v>0.0000983001921</v>
      </c>
      <c r="O2255" s="7"/>
      <c r="P2255" s="4">
        <f t="shared" si="6"/>
        <v>-0.3802868816</v>
      </c>
      <c r="Q2255" s="4">
        <f t="shared" si="7"/>
        <v>6</v>
      </c>
      <c r="R2255" s="4">
        <f t="shared" si="8"/>
        <v>0</v>
      </c>
      <c r="S2255" s="4">
        <f t="shared" si="9"/>
        <v>-0.3802868816</v>
      </c>
      <c r="T2255" s="4">
        <f t="shared" si="10"/>
        <v>29</v>
      </c>
      <c r="U2255" s="4">
        <f t="shared" si="1"/>
        <v>-0.3802868816</v>
      </c>
      <c r="V2255" s="4"/>
    </row>
    <row r="2256">
      <c r="A2256" s="1" t="s">
        <v>20597</v>
      </c>
      <c r="B2256" s="1" t="s">
        <v>20598</v>
      </c>
      <c r="C2256" s="1" t="s">
        <v>20599</v>
      </c>
      <c r="D2256" s="1" t="s">
        <v>20538</v>
      </c>
      <c r="E2256" s="1" t="s">
        <v>20539</v>
      </c>
      <c r="F2256" s="1">
        <v>603703.0</v>
      </c>
      <c r="G2256" s="1">
        <v>22884.0</v>
      </c>
      <c r="H2256" s="1">
        <v>1103.0</v>
      </c>
      <c r="I2256" s="1">
        <v>5150000.0</v>
      </c>
      <c r="J2256" s="1" t="s">
        <v>2468</v>
      </c>
      <c r="K2256" s="5">
        <f t="shared" si="2"/>
        <v>0.1172238835</v>
      </c>
      <c r="L2256" s="6">
        <f t="shared" si="3"/>
        <v>201</v>
      </c>
      <c r="M2256" s="6">
        <f t="shared" si="4"/>
        <v>3003.497512</v>
      </c>
      <c r="N2256" s="7">
        <f t="shared" si="5"/>
        <v>0.0005832034005</v>
      </c>
      <c r="O2256" s="7"/>
      <c r="P2256" s="4">
        <f t="shared" si="6"/>
        <v>-0.03873879605</v>
      </c>
      <c r="Q2256" s="4">
        <f t="shared" si="7"/>
        <v>7</v>
      </c>
      <c r="R2256" s="4">
        <f t="shared" si="8"/>
        <v>1</v>
      </c>
      <c r="S2256" s="4">
        <f t="shared" si="9"/>
        <v>-0.03873879605</v>
      </c>
      <c r="T2256" s="4">
        <f t="shared" si="10"/>
        <v>36</v>
      </c>
      <c r="U2256" s="4">
        <f t="shared" si="1"/>
        <v>-0.03873879605</v>
      </c>
      <c r="V2256" s="4"/>
    </row>
    <row r="2257">
      <c r="A2257" s="1" t="s">
        <v>20600</v>
      </c>
      <c r="B2257" s="1" t="s">
        <v>20601</v>
      </c>
      <c r="C2257" s="1" t="s">
        <v>20602</v>
      </c>
      <c r="D2257" s="1" t="s">
        <v>20538</v>
      </c>
      <c r="E2257" s="1" t="s">
        <v>20539</v>
      </c>
      <c r="F2257" s="1">
        <v>230404.0</v>
      </c>
      <c r="G2257" s="1">
        <v>12927.0</v>
      </c>
      <c r="H2257" s="1">
        <v>748.0</v>
      </c>
      <c r="I2257" s="1">
        <v>5150000.0</v>
      </c>
      <c r="J2257" s="1" t="s">
        <v>2468</v>
      </c>
      <c r="K2257" s="5">
        <f t="shared" si="2"/>
        <v>0.04473864078</v>
      </c>
      <c r="L2257" s="6">
        <f t="shared" si="3"/>
        <v>208</v>
      </c>
      <c r="M2257" s="6">
        <f t="shared" si="4"/>
        <v>1107.711538</v>
      </c>
      <c r="N2257" s="7">
        <f t="shared" si="5"/>
        <v>0.0002150896191</v>
      </c>
      <c r="O2257" s="7"/>
      <c r="P2257" s="4">
        <f t="shared" si="6"/>
        <v>-0.2980246805</v>
      </c>
      <c r="Q2257" s="4">
        <f t="shared" si="7"/>
        <v>6</v>
      </c>
      <c r="R2257" s="4">
        <f t="shared" si="8"/>
        <v>0</v>
      </c>
      <c r="S2257" s="4">
        <f t="shared" si="9"/>
        <v>-0.2980246805</v>
      </c>
      <c r="T2257" s="4">
        <f t="shared" si="10"/>
        <v>22</v>
      </c>
      <c r="U2257" s="4">
        <f t="shared" si="1"/>
        <v>-0.2980246805</v>
      </c>
      <c r="V2257" s="4"/>
    </row>
    <row r="2258">
      <c r="A2258" s="1" t="s">
        <v>20603</v>
      </c>
      <c r="B2258" s="1" t="s">
        <v>20604</v>
      </c>
      <c r="C2258" s="1" t="s">
        <v>20605</v>
      </c>
      <c r="D2258" s="1" t="s">
        <v>20538</v>
      </c>
      <c r="E2258" s="1" t="s">
        <v>20539</v>
      </c>
      <c r="F2258" s="1">
        <v>3582270.0</v>
      </c>
      <c r="G2258" s="1">
        <v>89644.0</v>
      </c>
      <c r="H2258" s="1">
        <v>3327.0</v>
      </c>
      <c r="I2258" s="1">
        <v>5150000.0</v>
      </c>
      <c r="J2258" s="1" t="s">
        <v>2468</v>
      </c>
      <c r="K2258" s="5">
        <f t="shared" si="2"/>
        <v>0.6955864078</v>
      </c>
      <c r="L2258" s="6">
        <f t="shared" si="3"/>
        <v>216</v>
      </c>
      <c r="M2258" s="6">
        <f t="shared" si="4"/>
        <v>16584.58333</v>
      </c>
      <c r="N2258" s="7">
        <f t="shared" si="5"/>
        <v>0.003220307443</v>
      </c>
      <c r="O2258" s="7"/>
      <c r="P2258" s="4">
        <f t="shared" si="6"/>
        <v>1.818740844</v>
      </c>
      <c r="Q2258" s="4">
        <f t="shared" si="7"/>
        <v>6</v>
      </c>
      <c r="R2258" s="4">
        <f t="shared" si="8"/>
        <v>0</v>
      </c>
      <c r="S2258" s="4">
        <f t="shared" si="9"/>
        <v>1.818740844</v>
      </c>
      <c r="T2258" s="4">
        <f t="shared" si="10"/>
        <v>31</v>
      </c>
      <c r="U2258" s="4">
        <f t="shared" si="1"/>
        <v>1.818740844</v>
      </c>
      <c r="V2258" s="4"/>
    </row>
    <row r="2259">
      <c r="A2259" s="1" t="s">
        <v>20606</v>
      </c>
      <c r="B2259" s="1" t="s">
        <v>20607</v>
      </c>
      <c r="C2259" s="1" t="s">
        <v>20608</v>
      </c>
      <c r="D2259" s="1" t="s">
        <v>20538</v>
      </c>
      <c r="E2259" s="1" t="s">
        <v>20539</v>
      </c>
      <c r="F2259" s="1">
        <v>234938.0</v>
      </c>
      <c r="G2259" s="1">
        <v>12125.0</v>
      </c>
      <c r="H2259" s="1">
        <v>892.0</v>
      </c>
      <c r="I2259" s="1">
        <v>5150000.0</v>
      </c>
      <c r="J2259" s="1" t="s">
        <v>2468</v>
      </c>
      <c r="K2259" s="5">
        <f t="shared" si="2"/>
        <v>0.04561902913</v>
      </c>
      <c r="L2259" s="6">
        <f t="shared" si="3"/>
        <v>226</v>
      </c>
      <c r="M2259" s="6">
        <f t="shared" si="4"/>
        <v>1039.548673</v>
      </c>
      <c r="N2259" s="7">
        <f t="shared" si="5"/>
        <v>0.0002018541112</v>
      </c>
      <c r="O2259" s="7"/>
      <c r="P2259" s="4">
        <f t="shared" si="6"/>
        <v>-0.3073472883</v>
      </c>
      <c r="Q2259" s="4">
        <f t="shared" si="7"/>
        <v>6</v>
      </c>
      <c r="R2259" s="4">
        <f t="shared" si="8"/>
        <v>1</v>
      </c>
      <c r="S2259" s="4">
        <f t="shared" si="9"/>
        <v>-0.3073472883</v>
      </c>
      <c r="T2259" s="4">
        <f t="shared" si="10"/>
        <v>31</v>
      </c>
      <c r="U2259" s="4">
        <f t="shared" si="1"/>
        <v>-0.3073472883</v>
      </c>
      <c r="V2259" s="4"/>
    </row>
    <row r="2260">
      <c r="A2260" s="1" t="s">
        <v>20609</v>
      </c>
      <c r="B2260" s="1" t="s">
        <v>20610</v>
      </c>
      <c r="C2260" s="1" t="s">
        <v>20611</v>
      </c>
      <c r="D2260" s="1" t="s">
        <v>20538</v>
      </c>
      <c r="E2260" s="1" t="s">
        <v>20539</v>
      </c>
      <c r="F2260" s="1">
        <v>737552.0</v>
      </c>
      <c r="G2260" s="1">
        <v>37082.0</v>
      </c>
      <c r="H2260" s="1">
        <v>2220.0</v>
      </c>
      <c r="I2260" s="1">
        <v>5150000.0</v>
      </c>
      <c r="J2260" s="1" t="s">
        <v>2468</v>
      </c>
      <c r="K2260" s="5">
        <f t="shared" si="2"/>
        <v>0.1432139806</v>
      </c>
      <c r="L2260" s="6">
        <f t="shared" si="3"/>
        <v>229</v>
      </c>
      <c r="M2260" s="6">
        <f t="shared" si="4"/>
        <v>3220.751092</v>
      </c>
      <c r="N2260" s="7">
        <f t="shared" si="5"/>
        <v>0.0006253885615</v>
      </c>
      <c r="O2260" s="7"/>
      <c r="P2260" s="4">
        <f t="shared" si="6"/>
        <v>-0.009025111471</v>
      </c>
      <c r="Q2260" s="4">
        <f t="shared" si="7"/>
        <v>7</v>
      </c>
      <c r="R2260" s="4">
        <f t="shared" si="8"/>
        <v>0</v>
      </c>
      <c r="S2260" s="4">
        <f t="shared" si="9"/>
        <v>-0.009025111471</v>
      </c>
      <c r="T2260" s="4">
        <f t="shared" si="10"/>
        <v>31</v>
      </c>
      <c r="U2260" s="4">
        <f t="shared" si="1"/>
        <v>-0.009025111471</v>
      </c>
      <c r="V2260" s="4"/>
    </row>
    <row r="2261">
      <c r="A2261" s="1" t="s">
        <v>20612</v>
      </c>
      <c r="B2261" s="1" t="s">
        <v>20613</v>
      </c>
      <c r="C2261" s="1" t="s">
        <v>20614</v>
      </c>
      <c r="D2261" s="1" t="s">
        <v>20538</v>
      </c>
      <c r="E2261" s="1" t="s">
        <v>20539</v>
      </c>
      <c r="F2261" s="1">
        <v>663501.0</v>
      </c>
      <c r="G2261" s="1">
        <v>27286.0</v>
      </c>
      <c r="H2261" s="1">
        <v>1424.0</v>
      </c>
      <c r="I2261" s="1">
        <v>5150000.0</v>
      </c>
      <c r="J2261" s="1" t="s">
        <v>2468</v>
      </c>
      <c r="K2261" s="5">
        <f t="shared" si="2"/>
        <v>0.1288351456</v>
      </c>
      <c r="L2261" s="6">
        <f t="shared" si="3"/>
        <v>236</v>
      </c>
      <c r="M2261" s="6">
        <f t="shared" si="4"/>
        <v>2811.444915</v>
      </c>
      <c r="N2261" s="7">
        <f t="shared" si="5"/>
        <v>0.000545911634</v>
      </c>
      <c r="O2261" s="7"/>
      <c r="P2261" s="4">
        <f t="shared" si="6"/>
        <v>-0.06500575245</v>
      </c>
      <c r="Q2261" s="4">
        <f t="shared" si="7"/>
        <v>7</v>
      </c>
      <c r="R2261" s="4">
        <f t="shared" si="8"/>
        <v>0</v>
      </c>
      <c r="S2261" s="4">
        <f t="shared" si="9"/>
        <v>-0.06500575245</v>
      </c>
      <c r="T2261" s="4">
        <f t="shared" si="10"/>
        <v>37</v>
      </c>
      <c r="U2261" s="4">
        <f t="shared" si="1"/>
        <v>-0.06500575245</v>
      </c>
      <c r="V2261" s="4"/>
    </row>
    <row r="2262">
      <c r="A2262" s="1" t="s">
        <v>20615</v>
      </c>
      <c r="B2262" s="1" t="s">
        <v>20616</v>
      </c>
      <c r="C2262" s="1" t="s">
        <v>20617</v>
      </c>
      <c r="D2262" s="1" t="s">
        <v>20538</v>
      </c>
      <c r="E2262" s="1" t="s">
        <v>20539</v>
      </c>
      <c r="F2262" s="1">
        <v>680283.0</v>
      </c>
      <c r="G2262" s="1">
        <v>23554.0</v>
      </c>
      <c r="H2262" s="1">
        <v>740.0</v>
      </c>
      <c r="I2262" s="1">
        <v>5150000.0</v>
      </c>
      <c r="J2262" s="1" t="s">
        <v>2468</v>
      </c>
      <c r="K2262" s="5">
        <f t="shared" si="2"/>
        <v>0.1320937864</v>
      </c>
      <c r="L2262" s="6">
        <f t="shared" si="3"/>
        <v>243</v>
      </c>
      <c r="M2262" s="6">
        <f t="shared" si="4"/>
        <v>2799.518519</v>
      </c>
      <c r="N2262" s="7">
        <f t="shared" si="5"/>
        <v>0.0005435958288</v>
      </c>
      <c r="O2262" s="7"/>
      <c r="P2262" s="4">
        <f t="shared" si="6"/>
        <v>-0.06663692093</v>
      </c>
      <c r="Q2262" s="4">
        <f t="shared" si="7"/>
        <v>6</v>
      </c>
      <c r="R2262" s="4">
        <f t="shared" si="8"/>
        <v>0</v>
      </c>
      <c r="S2262" s="4">
        <f t="shared" si="9"/>
        <v>-0.06663692093</v>
      </c>
      <c r="T2262" s="4">
        <f t="shared" si="10"/>
        <v>39</v>
      </c>
      <c r="U2262" s="4">
        <f t="shared" si="1"/>
        <v>-0.06663692093</v>
      </c>
      <c r="V2262" s="4"/>
    </row>
    <row r="2263">
      <c r="A2263" s="1" t="s">
        <v>20618</v>
      </c>
      <c r="B2263" s="1" t="s">
        <v>20619</v>
      </c>
      <c r="C2263" s="1" t="s">
        <v>20620</v>
      </c>
      <c r="D2263" s="1" t="s">
        <v>20538</v>
      </c>
      <c r="E2263" s="1" t="s">
        <v>20539</v>
      </c>
      <c r="F2263" s="1">
        <v>986461.0</v>
      </c>
      <c r="G2263" s="1">
        <v>23414.0</v>
      </c>
      <c r="H2263" s="1">
        <v>1441.0</v>
      </c>
      <c r="I2263" s="1">
        <v>5150000.0</v>
      </c>
      <c r="J2263" s="1" t="s">
        <v>2468</v>
      </c>
      <c r="K2263" s="5">
        <f t="shared" si="2"/>
        <v>0.1915458252</v>
      </c>
      <c r="L2263" s="6">
        <f t="shared" si="3"/>
        <v>257</v>
      </c>
      <c r="M2263" s="6">
        <f t="shared" si="4"/>
        <v>3838.36965</v>
      </c>
      <c r="N2263" s="7">
        <f t="shared" si="5"/>
        <v>0.0007453144951</v>
      </c>
      <c r="O2263" s="7"/>
      <c r="P2263" s="4">
        <f t="shared" si="6"/>
        <v>0.07544633009</v>
      </c>
      <c r="Q2263" s="4">
        <f t="shared" si="7"/>
        <v>9</v>
      </c>
      <c r="R2263" s="4">
        <f t="shared" si="8"/>
        <v>0</v>
      </c>
      <c r="S2263" s="4">
        <f t="shared" si="9"/>
        <v>0.07544633009</v>
      </c>
      <c r="T2263" s="4">
        <f t="shared" si="10"/>
        <v>42</v>
      </c>
      <c r="U2263" s="4">
        <f t="shared" si="1"/>
        <v>0.07544633009</v>
      </c>
      <c r="V2263" s="4"/>
    </row>
    <row r="2264">
      <c r="A2264" s="1" t="s">
        <v>20621</v>
      </c>
      <c r="B2264" s="1" t="s">
        <v>20622</v>
      </c>
      <c r="C2264" s="1" t="s">
        <v>20623</v>
      </c>
      <c r="D2264" s="1" t="s">
        <v>20538</v>
      </c>
      <c r="E2264" s="1" t="s">
        <v>20539</v>
      </c>
      <c r="F2264" s="1">
        <v>986197.0</v>
      </c>
      <c r="G2264" s="1">
        <v>35206.0</v>
      </c>
      <c r="H2264" s="1">
        <v>2032.0</v>
      </c>
      <c r="I2264" s="1">
        <v>5150000.0</v>
      </c>
      <c r="J2264" s="1" t="s">
        <v>2468</v>
      </c>
      <c r="K2264" s="5">
        <f t="shared" si="2"/>
        <v>0.1914945631</v>
      </c>
      <c r="L2264" s="6">
        <f t="shared" si="3"/>
        <v>264</v>
      </c>
      <c r="M2264" s="6">
        <f t="shared" si="4"/>
        <v>3735.594697</v>
      </c>
      <c r="N2264" s="7">
        <f t="shared" si="5"/>
        <v>0.0007253581936</v>
      </c>
      <c r="O2264" s="7"/>
      <c r="P2264" s="4">
        <f t="shared" si="6"/>
        <v>0.06138984116</v>
      </c>
      <c r="Q2264" s="4">
        <f t="shared" si="7"/>
        <v>9</v>
      </c>
      <c r="R2264" s="4">
        <f t="shared" si="8"/>
        <v>1</v>
      </c>
      <c r="S2264" s="4">
        <f t="shared" si="9"/>
        <v>0.06138984116</v>
      </c>
      <c r="T2264" s="4">
        <f t="shared" si="10"/>
        <v>39</v>
      </c>
      <c r="U2264" s="4">
        <f t="shared" si="1"/>
        <v>0.06138984116</v>
      </c>
      <c r="V2264" s="4"/>
    </row>
    <row r="2265">
      <c r="A2265" s="1" t="s">
        <v>20624</v>
      </c>
      <c r="B2265" s="1" t="s">
        <v>20625</v>
      </c>
      <c r="C2265" s="1" t="s">
        <v>20626</v>
      </c>
      <c r="D2265" s="1" t="s">
        <v>20538</v>
      </c>
      <c r="E2265" s="1" t="s">
        <v>20539</v>
      </c>
      <c r="F2265" s="1">
        <v>1401943.0</v>
      </c>
      <c r="G2265" s="1">
        <v>37469.0</v>
      </c>
      <c r="H2265" s="1">
        <v>2063.0</v>
      </c>
      <c r="I2265" s="1">
        <v>5150000.0</v>
      </c>
      <c r="J2265" s="1" t="s">
        <v>2468</v>
      </c>
      <c r="K2265" s="5">
        <f t="shared" si="2"/>
        <v>0.2722219417</v>
      </c>
      <c r="L2265" s="6">
        <f t="shared" si="3"/>
        <v>271</v>
      </c>
      <c r="M2265" s="6">
        <f t="shared" si="4"/>
        <v>5173.221402</v>
      </c>
      <c r="N2265" s="7">
        <f t="shared" si="5"/>
        <v>0.00100450901</v>
      </c>
      <c r="O2265" s="7"/>
      <c r="P2265" s="4">
        <f t="shared" si="6"/>
        <v>0.2580134669</v>
      </c>
      <c r="Q2265" s="4">
        <f t="shared" si="7"/>
        <v>6</v>
      </c>
      <c r="R2265" s="4">
        <f t="shared" si="8"/>
        <v>0</v>
      </c>
      <c r="S2265" s="4">
        <f t="shared" si="9"/>
        <v>0.2580134669</v>
      </c>
      <c r="T2265" s="4">
        <f t="shared" si="10"/>
        <v>34</v>
      </c>
      <c r="U2265" s="4">
        <f t="shared" si="1"/>
        <v>0.2580134669</v>
      </c>
      <c r="V2265" s="4"/>
    </row>
    <row r="2266">
      <c r="A2266" s="1" t="s">
        <v>20627</v>
      </c>
      <c r="B2266" s="1" t="s">
        <v>20628</v>
      </c>
      <c r="C2266" s="1" t="s">
        <v>20629</v>
      </c>
      <c r="D2266" s="1" t="s">
        <v>20538</v>
      </c>
      <c r="E2266" s="1" t="s">
        <v>20539</v>
      </c>
      <c r="F2266" s="1">
        <v>669467.0</v>
      </c>
      <c r="G2266" s="1">
        <v>36790.0</v>
      </c>
      <c r="H2266" s="1">
        <v>2115.0</v>
      </c>
      <c r="I2266" s="1">
        <v>5150000.0</v>
      </c>
      <c r="J2266" s="1" t="s">
        <v>2468</v>
      </c>
      <c r="K2266" s="5">
        <f t="shared" si="2"/>
        <v>0.1299935922</v>
      </c>
      <c r="L2266" s="6">
        <f t="shared" si="3"/>
        <v>279</v>
      </c>
      <c r="M2266" s="6">
        <f t="shared" si="4"/>
        <v>2399.523297</v>
      </c>
      <c r="N2266" s="7">
        <f t="shared" si="5"/>
        <v>0.0004659268539</v>
      </c>
      <c r="O2266" s="7"/>
      <c r="P2266" s="4">
        <f t="shared" si="6"/>
        <v>-0.1213441063</v>
      </c>
      <c r="Q2266" s="4">
        <f t="shared" si="7"/>
        <v>6</v>
      </c>
      <c r="R2266" s="4">
        <f t="shared" si="8"/>
        <v>0</v>
      </c>
      <c r="S2266" s="4">
        <f t="shared" si="9"/>
        <v>-0.1213441063</v>
      </c>
      <c r="T2266" s="4">
        <f t="shared" si="10"/>
        <v>31</v>
      </c>
      <c r="U2266" s="4">
        <f t="shared" si="1"/>
        <v>-0.1213441063</v>
      </c>
      <c r="V2266" s="4"/>
    </row>
    <row r="2267">
      <c r="A2267" s="1" t="s">
        <v>20630</v>
      </c>
      <c r="B2267" s="1" t="s">
        <v>20631</v>
      </c>
      <c r="C2267" s="1" t="s">
        <v>20632</v>
      </c>
      <c r="D2267" s="1" t="s">
        <v>20538</v>
      </c>
      <c r="E2267" s="1" t="s">
        <v>20539</v>
      </c>
      <c r="F2267" s="1">
        <v>591386.0</v>
      </c>
      <c r="G2267" s="1">
        <v>23886.0</v>
      </c>
      <c r="H2267" s="1">
        <v>2485.0</v>
      </c>
      <c r="I2267" s="1">
        <v>5150000.0</v>
      </c>
      <c r="J2267" s="1" t="s">
        <v>2468</v>
      </c>
      <c r="K2267" s="5">
        <f t="shared" si="2"/>
        <v>0.114832233</v>
      </c>
      <c r="L2267" s="6">
        <f t="shared" si="3"/>
        <v>285</v>
      </c>
      <c r="M2267" s="6">
        <f t="shared" si="4"/>
        <v>2075.038596</v>
      </c>
      <c r="N2267" s="7">
        <f t="shared" si="5"/>
        <v>0.0004029201158</v>
      </c>
      <c r="O2267" s="7"/>
      <c r="P2267" s="4">
        <f t="shared" si="6"/>
        <v>-0.1657237482</v>
      </c>
      <c r="Q2267" s="4">
        <f t="shared" si="7"/>
        <v>6</v>
      </c>
      <c r="R2267" s="4">
        <f t="shared" si="8"/>
        <v>0</v>
      </c>
      <c r="S2267" s="4">
        <f t="shared" si="9"/>
        <v>-0.1657237482</v>
      </c>
      <c r="T2267" s="4">
        <f t="shared" si="10"/>
        <v>27</v>
      </c>
      <c r="U2267" s="4">
        <f t="shared" si="1"/>
        <v>-0.1657237482</v>
      </c>
      <c r="V2267" s="4"/>
    </row>
    <row r="2268">
      <c r="A2268" s="1" t="s">
        <v>20633</v>
      </c>
      <c r="B2268" s="1" t="s">
        <v>20634</v>
      </c>
      <c r="C2268" s="1" t="s">
        <v>20635</v>
      </c>
      <c r="D2268" s="1" t="s">
        <v>20538</v>
      </c>
      <c r="E2268" s="1" t="s">
        <v>20539</v>
      </c>
      <c r="F2268" s="1">
        <v>1650527.0</v>
      </c>
      <c r="G2268" s="1">
        <v>42996.0</v>
      </c>
      <c r="H2268" s="1">
        <v>4000.0</v>
      </c>
      <c r="I2268" s="1">
        <v>5150000.0</v>
      </c>
      <c r="J2268" s="1" t="s">
        <v>2468</v>
      </c>
      <c r="K2268" s="5">
        <f t="shared" si="2"/>
        <v>0.3204906796</v>
      </c>
      <c r="L2268" s="6">
        <f t="shared" si="3"/>
        <v>292</v>
      </c>
      <c r="M2268" s="6">
        <f t="shared" si="4"/>
        <v>5652.489726</v>
      </c>
      <c r="N2268" s="7">
        <f t="shared" si="5"/>
        <v>0.001097570821</v>
      </c>
      <c r="O2268" s="7"/>
      <c r="P2268" s="4">
        <f t="shared" si="6"/>
        <v>0.3235628026</v>
      </c>
      <c r="Q2268" s="4">
        <f t="shared" si="7"/>
        <v>6</v>
      </c>
      <c r="R2268" s="4">
        <f t="shared" si="8"/>
        <v>1</v>
      </c>
      <c r="S2268" s="4">
        <f t="shared" si="9"/>
        <v>0.3235628026</v>
      </c>
      <c r="T2268" s="4">
        <f t="shared" si="10"/>
        <v>26</v>
      </c>
      <c r="U2268" s="4">
        <f t="shared" si="1"/>
        <v>0.3235628026</v>
      </c>
      <c r="V2268" s="4"/>
    </row>
    <row r="2269">
      <c r="A2269" s="1" t="s">
        <v>20636</v>
      </c>
      <c r="B2269" s="1" t="s">
        <v>20637</v>
      </c>
      <c r="C2269" s="1" t="s">
        <v>20638</v>
      </c>
      <c r="D2269" s="1" t="s">
        <v>20538</v>
      </c>
      <c r="E2269" s="1" t="s">
        <v>20539</v>
      </c>
      <c r="F2269" s="1">
        <v>642158.0</v>
      </c>
      <c r="G2269" s="1">
        <v>22064.0</v>
      </c>
      <c r="H2269" s="1">
        <v>1768.0</v>
      </c>
      <c r="I2269" s="1">
        <v>5150000.0</v>
      </c>
      <c r="J2269" s="1" t="s">
        <v>2468</v>
      </c>
      <c r="K2269" s="5">
        <f t="shared" si="2"/>
        <v>0.1246908738</v>
      </c>
      <c r="L2269" s="6">
        <f t="shared" si="3"/>
        <v>299</v>
      </c>
      <c r="M2269" s="6">
        <f t="shared" si="4"/>
        <v>2147.685619</v>
      </c>
      <c r="N2269" s="7">
        <f t="shared" si="5"/>
        <v>0.0004170263337</v>
      </c>
      <c r="O2269" s="7"/>
      <c r="P2269" s="4">
        <f t="shared" si="6"/>
        <v>-0.1557878442</v>
      </c>
      <c r="Q2269" s="4">
        <f t="shared" si="7"/>
        <v>8</v>
      </c>
      <c r="R2269" s="4">
        <f t="shared" si="8"/>
        <v>0</v>
      </c>
      <c r="S2269" s="4">
        <f t="shared" si="9"/>
        <v>-0.1557878442</v>
      </c>
      <c r="T2269" s="4">
        <f t="shared" si="10"/>
        <v>45</v>
      </c>
      <c r="U2269" s="4">
        <f t="shared" si="1"/>
        <v>-0.1557878442</v>
      </c>
      <c r="V2269" s="4"/>
    </row>
    <row r="2270">
      <c r="A2270" s="1" t="s">
        <v>20639</v>
      </c>
      <c r="B2270" s="1" t="s">
        <v>20640</v>
      </c>
      <c r="C2270" s="1" t="s">
        <v>20641</v>
      </c>
      <c r="D2270" s="1" t="s">
        <v>20538</v>
      </c>
      <c r="E2270" s="1" t="s">
        <v>20539</v>
      </c>
      <c r="F2270" s="1">
        <v>378687.0</v>
      </c>
      <c r="G2270" s="1">
        <v>16084.0</v>
      </c>
      <c r="H2270" s="1">
        <v>1412.0</v>
      </c>
      <c r="I2270" s="1">
        <v>5150000.0</v>
      </c>
      <c r="J2270" s="1" t="s">
        <v>2468</v>
      </c>
      <c r="K2270" s="5">
        <f t="shared" si="2"/>
        <v>0.07353145631</v>
      </c>
      <c r="L2270" s="6">
        <f t="shared" si="3"/>
        <v>306</v>
      </c>
      <c r="M2270" s="6">
        <f t="shared" si="4"/>
        <v>1237.539216</v>
      </c>
      <c r="N2270" s="7">
        <f t="shared" si="5"/>
        <v>0.0002402988768</v>
      </c>
      <c r="O2270" s="7"/>
      <c r="P2270" s="4">
        <f t="shared" si="6"/>
        <v>-0.2802682014</v>
      </c>
      <c r="Q2270" s="4">
        <f t="shared" si="7"/>
        <v>6</v>
      </c>
      <c r="R2270" s="4">
        <f t="shared" si="8"/>
        <v>0</v>
      </c>
      <c r="S2270" s="4">
        <f t="shared" si="9"/>
        <v>-0.2802682014</v>
      </c>
      <c r="T2270" s="4">
        <f t="shared" si="10"/>
        <v>34</v>
      </c>
      <c r="U2270" s="4">
        <f t="shared" si="1"/>
        <v>-0.2802682014</v>
      </c>
      <c r="V2270" s="4"/>
    </row>
    <row r="2271">
      <c r="A2271" s="1" t="s">
        <v>20642</v>
      </c>
      <c r="B2271" s="1" t="s">
        <v>20643</v>
      </c>
      <c r="C2271" s="1" t="s">
        <v>20644</v>
      </c>
      <c r="D2271" s="1" t="s">
        <v>20538</v>
      </c>
      <c r="E2271" s="1" t="s">
        <v>20539</v>
      </c>
      <c r="F2271" s="1">
        <v>68459.0</v>
      </c>
      <c r="G2271" s="1">
        <v>2282.0</v>
      </c>
      <c r="H2271" s="1">
        <v>70.0</v>
      </c>
      <c r="I2271" s="1">
        <v>5150000.0</v>
      </c>
      <c r="J2271" s="1" t="s">
        <v>2468</v>
      </c>
      <c r="K2271" s="5">
        <f t="shared" si="2"/>
        <v>0.01329300971</v>
      </c>
      <c r="L2271" s="6">
        <f t="shared" si="3"/>
        <v>310</v>
      </c>
      <c r="M2271" s="6">
        <f t="shared" si="4"/>
        <v>220.8354839</v>
      </c>
      <c r="N2271" s="7">
        <f t="shared" si="5"/>
        <v>0.00004288067648</v>
      </c>
      <c r="O2271" s="7"/>
      <c r="P2271" s="4">
        <f t="shared" si="6"/>
        <v>-0.4193223615</v>
      </c>
      <c r="Q2271" s="4">
        <f t="shared" si="7"/>
        <v>5</v>
      </c>
      <c r="R2271" s="4">
        <f t="shared" si="8"/>
        <v>0</v>
      </c>
      <c r="S2271" s="4">
        <f t="shared" si="9"/>
        <v>-0.4193223615</v>
      </c>
      <c r="T2271" s="4">
        <f t="shared" si="10"/>
        <v>17</v>
      </c>
      <c r="U2271" s="4">
        <f t="shared" si="1"/>
        <v>-0.4193223615</v>
      </c>
      <c r="V2271" s="4"/>
    </row>
    <row r="2272">
      <c r="A2272" s="1" t="s">
        <v>20645</v>
      </c>
      <c r="B2272" s="1" t="s">
        <v>20646</v>
      </c>
      <c r="C2272" s="1" t="s">
        <v>20647</v>
      </c>
      <c r="D2272" s="1" t="s">
        <v>20538</v>
      </c>
      <c r="E2272" s="1" t="s">
        <v>20539</v>
      </c>
      <c r="F2272" s="1">
        <v>221254.0</v>
      </c>
      <c r="G2272" s="1">
        <v>15044.0</v>
      </c>
      <c r="H2272" s="1">
        <v>1436.0</v>
      </c>
      <c r="I2272" s="1">
        <v>5150000.0</v>
      </c>
      <c r="J2272" s="1" t="s">
        <v>2468</v>
      </c>
      <c r="K2272" s="5">
        <f t="shared" si="2"/>
        <v>0.04296194175</v>
      </c>
      <c r="L2272" s="6">
        <f t="shared" si="3"/>
        <v>313</v>
      </c>
      <c r="M2272" s="6">
        <f t="shared" si="4"/>
        <v>706.8817891</v>
      </c>
      <c r="N2272" s="7">
        <f t="shared" si="5"/>
        <v>0.0001372585998</v>
      </c>
      <c r="O2272" s="7"/>
      <c r="P2272" s="4">
        <f t="shared" si="6"/>
        <v>-0.352846004</v>
      </c>
      <c r="Q2272" s="4">
        <f t="shared" si="7"/>
        <v>8</v>
      </c>
      <c r="R2272" s="4">
        <f t="shared" si="8"/>
        <v>1</v>
      </c>
      <c r="S2272" s="4">
        <f t="shared" si="9"/>
        <v>-0.352846004</v>
      </c>
      <c r="T2272" s="4">
        <f t="shared" si="10"/>
        <v>29</v>
      </c>
      <c r="U2272" s="4">
        <f t="shared" si="1"/>
        <v>-0.352846004</v>
      </c>
      <c r="V2272" s="4"/>
    </row>
    <row r="2273">
      <c r="A2273" s="1" t="s">
        <v>20648</v>
      </c>
      <c r="B2273" s="1" t="s">
        <v>20649</v>
      </c>
      <c r="C2273" s="1" t="s">
        <v>20650</v>
      </c>
      <c r="D2273" s="1" t="s">
        <v>20538</v>
      </c>
      <c r="E2273" s="1" t="s">
        <v>20539</v>
      </c>
      <c r="F2273" s="1">
        <v>247705.0</v>
      </c>
      <c r="G2273" s="1">
        <v>13440.0</v>
      </c>
      <c r="H2273" s="1">
        <v>689.0</v>
      </c>
      <c r="I2273" s="1">
        <v>5150000.0</v>
      </c>
      <c r="J2273" s="1" t="s">
        <v>2468</v>
      </c>
      <c r="K2273" s="5">
        <f t="shared" si="2"/>
        <v>0.04809805825</v>
      </c>
      <c r="L2273" s="6">
        <f t="shared" si="3"/>
        <v>321</v>
      </c>
      <c r="M2273" s="6">
        <f t="shared" si="4"/>
        <v>771.6666667</v>
      </c>
      <c r="N2273" s="7">
        <f t="shared" si="5"/>
        <v>0.0001498381877</v>
      </c>
      <c r="O2273" s="7"/>
      <c r="P2273" s="4">
        <f t="shared" si="6"/>
        <v>-0.3439854024</v>
      </c>
      <c r="Q2273" s="4">
        <f t="shared" si="7"/>
        <v>7</v>
      </c>
      <c r="R2273" s="4">
        <f t="shared" si="8"/>
        <v>2</v>
      </c>
      <c r="S2273" s="4">
        <f t="shared" si="9"/>
        <v>-0.3439854024</v>
      </c>
      <c r="T2273" s="4">
        <f t="shared" si="10"/>
        <v>32</v>
      </c>
      <c r="U2273" s="4">
        <f t="shared" si="1"/>
        <v>-0.3439854024</v>
      </c>
      <c r="V2273" s="4"/>
    </row>
    <row r="2274">
      <c r="A2274" s="1" t="s">
        <v>20651</v>
      </c>
      <c r="B2274" s="1" t="s">
        <v>20652</v>
      </c>
      <c r="C2274" s="1" t="s">
        <v>20653</v>
      </c>
      <c r="D2274" s="1" t="s">
        <v>20538</v>
      </c>
      <c r="E2274" s="1" t="s">
        <v>20539</v>
      </c>
      <c r="F2274" s="1">
        <v>1199582.0</v>
      </c>
      <c r="G2274" s="1">
        <v>42868.0</v>
      </c>
      <c r="H2274" s="1">
        <v>2305.0</v>
      </c>
      <c r="I2274" s="1">
        <v>5150000.0</v>
      </c>
      <c r="J2274" s="1" t="s">
        <v>2468</v>
      </c>
      <c r="K2274" s="5">
        <f t="shared" si="2"/>
        <v>0.2329285437</v>
      </c>
      <c r="L2274" s="6">
        <f t="shared" si="3"/>
        <v>334</v>
      </c>
      <c r="M2274" s="6">
        <f t="shared" si="4"/>
        <v>3591.562874</v>
      </c>
      <c r="N2274" s="7">
        <f t="shared" si="5"/>
        <v>0.0006973908494</v>
      </c>
      <c r="O2274" s="7"/>
      <c r="P2274" s="4">
        <f t="shared" si="6"/>
        <v>0.04169066675</v>
      </c>
      <c r="Q2274" s="4">
        <f t="shared" si="7"/>
        <v>7</v>
      </c>
      <c r="R2274" s="4">
        <f t="shared" si="8"/>
        <v>0</v>
      </c>
      <c r="S2274" s="4">
        <f t="shared" si="9"/>
        <v>0.04169066675</v>
      </c>
      <c r="T2274" s="4">
        <f t="shared" si="10"/>
        <v>31</v>
      </c>
      <c r="U2274" s="4">
        <f t="shared" si="1"/>
        <v>0.04169066675</v>
      </c>
      <c r="V2274" s="4"/>
    </row>
    <row r="2275">
      <c r="A2275" s="1" t="s">
        <v>20654</v>
      </c>
      <c r="B2275" s="1" t="s">
        <v>20655</v>
      </c>
      <c r="C2275" s="1" t="s">
        <v>20656</v>
      </c>
      <c r="D2275" s="1" t="s">
        <v>20538</v>
      </c>
      <c r="E2275" s="1" t="s">
        <v>20539</v>
      </c>
      <c r="F2275" s="1">
        <v>824837.0</v>
      </c>
      <c r="G2275" s="1">
        <v>30058.0</v>
      </c>
      <c r="H2275" s="1">
        <v>1067.0</v>
      </c>
      <c r="I2275" s="1">
        <v>5150000.0</v>
      </c>
      <c r="J2275" s="1" t="s">
        <v>2468</v>
      </c>
      <c r="K2275" s="5">
        <f t="shared" si="2"/>
        <v>0.1601625243</v>
      </c>
      <c r="L2275" s="6">
        <f t="shared" si="3"/>
        <v>341</v>
      </c>
      <c r="M2275" s="6">
        <f t="shared" si="4"/>
        <v>2418.876833</v>
      </c>
      <c r="N2275" s="7">
        <f t="shared" si="5"/>
        <v>0.0004696848219</v>
      </c>
      <c r="O2275" s="7"/>
      <c r="P2275" s="4">
        <f t="shared" si="6"/>
        <v>-0.118697131</v>
      </c>
      <c r="Q2275" s="4">
        <f t="shared" si="7"/>
        <v>5</v>
      </c>
      <c r="R2275" s="4">
        <f t="shared" si="8"/>
        <v>1</v>
      </c>
      <c r="S2275" s="4">
        <f t="shared" si="9"/>
        <v>-0.118697131</v>
      </c>
      <c r="T2275" s="4">
        <f t="shared" si="10"/>
        <v>22</v>
      </c>
      <c r="U2275" s="4">
        <f t="shared" si="1"/>
        <v>-0.118697131</v>
      </c>
      <c r="V2275" s="4"/>
    </row>
    <row r="2276">
      <c r="A2276" s="1" t="s">
        <v>20657</v>
      </c>
      <c r="B2276" s="1" t="s">
        <v>20658</v>
      </c>
      <c r="C2276" s="1" t="s">
        <v>20659</v>
      </c>
      <c r="D2276" s="1" t="s">
        <v>20538</v>
      </c>
      <c r="E2276" s="1" t="s">
        <v>20539</v>
      </c>
      <c r="F2276" s="1">
        <v>164170.0</v>
      </c>
      <c r="G2276" s="1">
        <v>8048.0</v>
      </c>
      <c r="H2276" s="1">
        <v>544.0</v>
      </c>
      <c r="I2276" s="1">
        <v>5150000.0</v>
      </c>
      <c r="J2276" s="1" t="s">
        <v>2468</v>
      </c>
      <c r="K2276" s="5">
        <f t="shared" si="2"/>
        <v>0.0318776699</v>
      </c>
      <c r="L2276" s="6">
        <f t="shared" si="3"/>
        <v>349</v>
      </c>
      <c r="M2276" s="6">
        <f t="shared" si="4"/>
        <v>470.4011461</v>
      </c>
      <c r="N2276" s="7">
        <f t="shared" si="5"/>
        <v>0.00009134002838</v>
      </c>
      <c r="O2276" s="7"/>
      <c r="P2276" s="4">
        <f t="shared" si="6"/>
        <v>-0.3851893663</v>
      </c>
      <c r="Q2276" s="4">
        <f t="shared" si="7"/>
        <v>9</v>
      </c>
      <c r="R2276" s="4">
        <f t="shared" si="8"/>
        <v>0</v>
      </c>
      <c r="S2276" s="4">
        <f t="shared" si="9"/>
        <v>-0.3851893663</v>
      </c>
      <c r="T2276" s="4">
        <f t="shared" si="10"/>
        <v>31</v>
      </c>
      <c r="U2276" s="4">
        <f t="shared" si="1"/>
        <v>-0.3851893663</v>
      </c>
      <c r="V2276" s="4"/>
    </row>
    <row r="2277">
      <c r="A2277" s="1" t="s">
        <v>20660</v>
      </c>
      <c r="B2277" s="1" t="s">
        <v>20661</v>
      </c>
      <c r="C2277" s="1" t="s">
        <v>20662</v>
      </c>
      <c r="D2277" s="1" t="s">
        <v>20538</v>
      </c>
      <c r="E2277" s="1" t="s">
        <v>20539</v>
      </c>
      <c r="F2277" s="1">
        <v>9256868.0</v>
      </c>
      <c r="G2277" s="1">
        <v>158319.0</v>
      </c>
      <c r="H2277" s="1">
        <v>5978.0</v>
      </c>
      <c r="I2277" s="1">
        <v>5150000.0</v>
      </c>
      <c r="J2277" s="1" t="s">
        <v>2468</v>
      </c>
      <c r="K2277" s="5">
        <f t="shared" si="2"/>
        <v>1.797450097</v>
      </c>
      <c r="L2277" s="6">
        <f t="shared" si="3"/>
        <v>355</v>
      </c>
      <c r="M2277" s="6">
        <f t="shared" si="4"/>
        <v>26075.68451</v>
      </c>
      <c r="N2277" s="7">
        <f t="shared" si="5"/>
        <v>0.00506323971</v>
      </c>
      <c r="O2277" s="7"/>
      <c r="P2277" s="4">
        <f t="shared" si="6"/>
        <v>3.116834931</v>
      </c>
      <c r="Q2277" s="4">
        <f t="shared" si="7"/>
        <v>6</v>
      </c>
      <c r="R2277" s="4">
        <f t="shared" si="8"/>
        <v>0</v>
      </c>
      <c r="S2277" s="4">
        <f t="shared" si="9"/>
        <v>3.116834931</v>
      </c>
      <c r="T2277" s="4">
        <f t="shared" si="10"/>
        <v>31</v>
      </c>
      <c r="U2277" s="4">
        <f t="shared" si="1"/>
        <v>3.116834931</v>
      </c>
      <c r="V2277" s="4"/>
    </row>
    <row r="2278">
      <c r="A2278" s="1" t="s">
        <v>20663</v>
      </c>
      <c r="B2278" s="1" t="s">
        <v>20664</v>
      </c>
      <c r="C2278" s="1" t="s">
        <v>20665</v>
      </c>
      <c r="D2278" s="1" t="s">
        <v>20538</v>
      </c>
      <c r="E2278" s="1" t="s">
        <v>20539</v>
      </c>
      <c r="F2278" s="1">
        <v>718641.0</v>
      </c>
      <c r="G2278" s="1">
        <v>22572.0</v>
      </c>
      <c r="H2278" s="1">
        <v>1302.0</v>
      </c>
      <c r="I2278" s="1">
        <v>5150000.0</v>
      </c>
      <c r="J2278" s="1" t="s">
        <v>2468</v>
      </c>
      <c r="K2278" s="5">
        <f t="shared" si="2"/>
        <v>0.1395419417</v>
      </c>
      <c r="L2278" s="6">
        <f t="shared" si="3"/>
        <v>362</v>
      </c>
      <c r="M2278" s="6">
        <f t="shared" si="4"/>
        <v>1985.196133</v>
      </c>
      <c r="N2278" s="7">
        <f t="shared" si="5"/>
        <v>0.0003854749772</v>
      </c>
      <c r="O2278" s="7"/>
      <c r="P2278" s="4">
        <f t="shared" si="6"/>
        <v>-0.1780114658</v>
      </c>
      <c r="Q2278" s="4">
        <f t="shared" si="7"/>
        <v>7</v>
      </c>
      <c r="R2278" s="4">
        <f t="shared" si="8"/>
        <v>0</v>
      </c>
      <c r="S2278" s="4">
        <f t="shared" si="9"/>
        <v>-0.1780114658</v>
      </c>
      <c r="T2278" s="4">
        <f t="shared" si="10"/>
        <v>37</v>
      </c>
      <c r="U2278" s="4">
        <f t="shared" si="1"/>
        <v>-0.1780114658</v>
      </c>
      <c r="V2278" s="4"/>
    </row>
    <row r="2279">
      <c r="A2279" s="1" t="s">
        <v>20666</v>
      </c>
      <c r="B2279" s="1" t="s">
        <v>20667</v>
      </c>
      <c r="C2279" s="1" t="s">
        <v>20668</v>
      </c>
      <c r="D2279" s="1" t="s">
        <v>20538</v>
      </c>
      <c r="E2279" s="1" t="s">
        <v>20539</v>
      </c>
      <c r="F2279" s="1">
        <v>881294.0</v>
      </c>
      <c r="G2279" s="1">
        <v>18708.0</v>
      </c>
      <c r="H2279" s="1">
        <v>2185.0</v>
      </c>
      <c r="I2279" s="1">
        <v>5150000.0</v>
      </c>
      <c r="J2279" s="1" t="s">
        <v>2468</v>
      </c>
      <c r="K2279" s="5">
        <f t="shared" si="2"/>
        <v>0.1711250485</v>
      </c>
      <c r="L2279" s="6">
        <f t="shared" si="3"/>
        <v>369</v>
      </c>
      <c r="M2279" s="6">
        <f t="shared" si="4"/>
        <v>2388.330623</v>
      </c>
      <c r="N2279" s="7">
        <f t="shared" si="5"/>
        <v>0.0004637535191</v>
      </c>
      <c r="O2279" s="7"/>
      <c r="P2279" s="4">
        <f t="shared" si="6"/>
        <v>-0.1228749238</v>
      </c>
      <c r="Q2279" s="4">
        <f t="shared" si="7"/>
        <v>10</v>
      </c>
      <c r="R2279" s="4">
        <f t="shared" si="8"/>
        <v>1</v>
      </c>
      <c r="S2279" s="4">
        <f t="shared" si="9"/>
        <v>-0.1228749238</v>
      </c>
      <c r="T2279" s="4">
        <f t="shared" si="10"/>
        <v>39</v>
      </c>
      <c r="U2279" s="4">
        <f t="shared" si="1"/>
        <v>-0.1228749238</v>
      </c>
      <c r="V2279" s="4"/>
    </row>
    <row r="2280">
      <c r="A2280" s="1" t="s">
        <v>20669</v>
      </c>
      <c r="B2280" s="1" t="s">
        <v>20670</v>
      </c>
      <c r="C2280" s="1" t="s">
        <v>20671</v>
      </c>
      <c r="D2280" s="1" t="s">
        <v>20538</v>
      </c>
      <c r="E2280" s="1" t="s">
        <v>20539</v>
      </c>
      <c r="F2280" s="1">
        <v>233236.0</v>
      </c>
      <c r="G2280" s="1">
        <v>11879.0</v>
      </c>
      <c r="H2280" s="1">
        <v>929.0</v>
      </c>
      <c r="I2280" s="1">
        <v>5150000.0</v>
      </c>
      <c r="J2280" s="1" t="s">
        <v>2468</v>
      </c>
      <c r="K2280" s="5">
        <f t="shared" si="2"/>
        <v>0.04528854369</v>
      </c>
      <c r="L2280" s="6">
        <f t="shared" si="3"/>
        <v>376</v>
      </c>
      <c r="M2280" s="6">
        <f t="shared" si="4"/>
        <v>620.3085106</v>
      </c>
      <c r="N2280" s="7">
        <f t="shared" si="5"/>
        <v>0.0001204482545</v>
      </c>
      <c r="O2280" s="7"/>
      <c r="P2280" s="4">
        <f t="shared" si="6"/>
        <v>-0.3646865964</v>
      </c>
      <c r="Q2280" s="4">
        <f t="shared" si="7"/>
        <v>8</v>
      </c>
      <c r="R2280" s="4">
        <f t="shared" si="8"/>
        <v>1</v>
      </c>
      <c r="S2280" s="4">
        <f t="shared" si="9"/>
        <v>-0.3646865964</v>
      </c>
      <c r="T2280" s="4">
        <f t="shared" si="10"/>
        <v>46</v>
      </c>
      <c r="U2280" s="4">
        <f t="shared" si="1"/>
        <v>-0.3646865964</v>
      </c>
      <c r="V2280" s="4"/>
    </row>
    <row r="2281">
      <c r="A2281" s="1" t="s">
        <v>20672</v>
      </c>
      <c r="B2281" s="1" t="s">
        <v>20673</v>
      </c>
      <c r="C2281" s="1" t="s">
        <v>20674</v>
      </c>
      <c r="D2281" s="1" t="s">
        <v>20538</v>
      </c>
      <c r="E2281" s="1" t="s">
        <v>20539</v>
      </c>
      <c r="F2281" s="1">
        <v>1146963.0</v>
      </c>
      <c r="G2281" s="1">
        <v>33674.0</v>
      </c>
      <c r="H2281" s="1">
        <v>2464.0</v>
      </c>
      <c r="I2281" s="1">
        <v>5150000.0</v>
      </c>
      <c r="J2281" s="1" t="s">
        <v>2468</v>
      </c>
      <c r="K2281" s="5">
        <f t="shared" si="2"/>
        <v>0.2227112621</v>
      </c>
      <c r="L2281" s="6">
        <f t="shared" si="3"/>
        <v>383</v>
      </c>
      <c r="M2281" s="6">
        <f t="shared" si="4"/>
        <v>2994.681462</v>
      </c>
      <c r="N2281" s="7">
        <f t="shared" si="5"/>
        <v>0.000581491546</v>
      </c>
      <c r="O2281" s="7"/>
      <c r="P2281" s="4">
        <f t="shared" si="6"/>
        <v>-0.0399445637</v>
      </c>
      <c r="Q2281" s="4">
        <f t="shared" si="7"/>
        <v>8</v>
      </c>
      <c r="R2281" s="4">
        <f t="shared" si="8"/>
        <v>0</v>
      </c>
      <c r="S2281" s="4">
        <f t="shared" si="9"/>
        <v>-0.0399445637</v>
      </c>
      <c r="T2281" s="4">
        <f t="shared" si="10"/>
        <v>48</v>
      </c>
      <c r="U2281" s="4">
        <f t="shared" si="1"/>
        <v>-0.0399445637</v>
      </c>
      <c r="V2281" s="4"/>
    </row>
    <row r="2282">
      <c r="A2282" s="1" t="s">
        <v>20675</v>
      </c>
      <c r="B2282" s="1" t="s">
        <v>20676</v>
      </c>
      <c r="C2282" s="1" t="s">
        <v>20677</v>
      </c>
      <c r="D2282" s="1" t="s">
        <v>20538</v>
      </c>
      <c r="E2282" s="1" t="s">
        <v>20539</v>
      </c>
      <c r="F2282" s="1">
        <v>1249611.0</v>
      </c>
      <c r="G2282" s="1">
        <v>43122.0</v>
      </c>
      <c r="H2282" s="1">
        <v>2585.0</v>
      </c>
      <c r="I2282" s="1">
        <v>5150000.0</v>
      </c>
      <c r="J2282" s="1" t="s">
        <v>2468</v>
      </c>
      <c r="K2282" s="5">
        <f t="shared" si="2"/>
        <v>0.2426429126</v>
      </c>
      <c r="L2282" s="6">
        <f t="shared" si="3"/>
        <v>390</v>
      </c>
      <c r="M2282" s="6">
        <f t="shared" si="4"/>
        <v>3204.130769</v>
      </c>
      <c r="N2282" s="7">
        <f t="shared" si="5"/>
        <v>0.0006221613144</v>
      </c>
      <c r="O2282" s="7"/>
      <c r="P2282" s="4">
        <f t="shared" si="6"/>
        <v>-0.01129826628</v>
      </c>
      <c r="Q2282" s="4">
        <f t="shared" si="7"/>
        <v>6</v>
      </c>
      <c r="R2282" s="4">
        <f t="shared" si="8"/>
        <v>0</v>
      </c>
      <c r="S2282" s="4">
        <f t="shared" si="9"/>
        <v>-0.01129826628</v>
      </c>
      <c r="T2282" s="4">
        <f t="shared" si="10"/>
        <v>31</v>
      </c>
      <c r="U2282" s="4">
        <f t="shared" si="1"/>
        <v>-0.01129826628</v>
      </c>
      <c r="V2282" s="4"/>
    </row>
    <row r="2283">
      <c r="A2283" s="1" t="s">
        <v>20678</v>
      </c>
      <c r="B2283" s="1" t="s">
        <v>20679</v>
      </c>
      <c r="C2283" s="1" t="s">
        <v>20680</v>
      </c>
      <c r="D2283" s="1" t="s">
        <v>20538</v>
      </c>
      <c r="E2283" s="1" t="s">
        <v>20539</v>
      </c>
      <c r="F2283" s="1">
        <v>1621762.0</v>
      </c>
      <c r="G2283" s="1">
        <v>50860.0</v>
      </c>
      <c r="H2283" s="1">
        <v>2758.0</v>
      </c>
      <c r="I2283" s="1">
        <v>5150000.0</v>
      </c>
      <c r="J2283" s="1" t="s">
        <v>2468</v>
      </c>
      <c r="K2283" s="5">
        <f t="shared" si="2"/>
        <v>0.3149052427</v>
      </c>
      <c r="L2283" s="6">
        <f t="shared" si="3"/>
        <v>405</v>
      </c>
      <c r="M2283" s="6">
        <f t="shared" si="4"/>
        <v>4004.350617</v>
      </c>
      <c r="N2283" s="7">
        <f t="shared" si="5"/>
        <v>0.0007775438092</v>
      </c>
      <c r="O2283" s="7"/>
      <c r="P2283" s="4">
        <f t="shared" si="6"/>
        <v>0.09814748019</v>
      </c>
      <c r="Q2283" s="4">
        <f t="shared" si="7"/>
        <v>7</v>
      </c>
      <c r="R2283" s="4">
        <f t="shared" si="8"/>
        <v>1</v>
      </c>
      <c r="S2283" s="4">
        <f t="shared" si="9"/>
        <v>0.09814748019</v>
      </c>
      <c r="T2283" s="4">
        <f t="shared" si="10"/>
        <v>32</v>
      </c>
      <c r="U2283" s="4">
        <f t="shared" si="1"/>
        <v>0.09814748019</v>
      </c>
      <c r="V2283" s="4"/>
    </row>
    <row r="2284">
      <c r="A2284" s="1" t="s">
        <v>20681</v>
      </c>
      <c r="B2284" s="1" t="s">
        <v>20682</v>
      </c>
      <c r="C2284" s="1" t="s">
        <v>20683</v>
      </c>
      <c r="D2284" s="1" t="s">
        <v>20538</v>
      </c>
      <c r="E2284" s="1" t="s">
        <v>20539</v>
      </c>
      <c r="F2284" s="1">
        <v>3745213.0</v>
      </c>
      <c r="G2284" s="1">
        <v>93669.0</v>
      </c>
      <c r="H2284" s="1">
        <v>3276.0</v>
      </c>
      <c r="I2284" s="1">
        <v>5150000.0</v>
      </c>
      <c r="J2284" s="1" t="s">
        <v>2468</v>
      </c>
      <c r="K2284" s="5">
        <f t="shared" si="2"/>
        <v>0.7272258252</v>
      </c>
      <c r="L2284" s="6">
        <f t="shared" si="3"/>
        <v>412</v>
      </c>
      <c r="M2284" s="6">
        <f t="shared" si="4"/>
        <v>9090.322816</v>
      </c>
      <c r="N2284" s="7">
        <f t="shared" si="5"/>
        <v>0.001765111226</v>
      </c>
      <c r="O2284" s="7"/>
      <c r="P2284" s="4">
        <f t="shared" si="6"/>
        <v>0.7937538503</v>
      </c>
      <c r="Q2284" s="4">
        <f t="shared" si="7"/>
        <v>7</v>
      </c>
      <c r="R2284" s="4">
        <f t="shared" si="8"/>
        <v>1</v>
      </c>
      <c r="S2284" s="4">
        <f t="shared" si="9"/>
        <v>0.7937538503</v>
      </c>
      <c r="T2284" s="4">
        <f t="shared" si="10"/>
        <v>30</v>
      </c>
      <c r="U2284" s="4">
        <f t="shared" si="1"/>
        <v>0.7937538503</v>
      </c>
      <c r="V2284" s="4"/>
    </row>
    <row r="2285">
      <c r="A2285" s="1" t="s">
        <v>20684</v>
      </c>
      <c r="B2285" s="1" t="s">
        <v>20685</v>
      </c>
      <c r="C2285" s="1" t="s">
        <v>20686</v>
      </c>
      <c r="D2285" s="1" t="s">
        <v>20538</v>
      </c>
      <c r="E2285" s="1" t="s">
        <v>20539</v>
      </c>
      <c r="F2285" s="1">
        <v>289305.0</v>
      </c>
      <c r="G2285" s="1">
        <v>11814.0</v>
      </c>
      <c r="H2285" s="1">
        <v>631.0</v>
      </c>
      <c r="I2285" s="1">
        <v>5150000.0</v>
      </c>
      <c r="J2285" s="1" t="s">
        <v>2468</v>
      </c>
      <c r="K2285" s="5">
        <f t="shared" si="2"/>
        <v>0.05617572816</v>
      </c>
      <c r="L2285" s="6">
        <f t="shared" si="3"/>
        <v>418</v>
      </c>
      <c r="M2285" s="6">
        <f t="shared" si="4"/>
        <v>692.1172249</v>
      </c>
      <c r="N2285" s="7">
        <f t="shared" si="5"/>
        <v>0.0001343916942</v>
      </c>
      <c r="O2285" s="7"/>
      <c r="P2285" s="4">
        <f t="shared" si="6"/>
        <v>-0.3548653475</v>
      </c>
      <c r="Q2285" s="4">
        <f t="shared" si="7"/>
        <v>5</v>
      </c>
      <c r="R2285" s="4">
        <f t="shared" si="8"/>
        <v>1</v>
      </c>
      <c r="S2285" s="4">
        <f t="shared" si="9"/>
        <v>-0.3548653475</v>
      </c>
      <c r="T2285" s="4">
        <f t="shared" si="10"/>
        <v>26</v>
      </c>
      <c r="U2285" s="4">
        <f t="shared" si="1"/>
        <v>-0.3548653475</v>
      </c>
      <c r="V2285" s="4"/>
    </row>
    <row r="2286">
      <c r="A2286" s="1" t="s">
        <v>20687</v>
      </c>
      <c r="B2286" s="1" t="s">
        <v>20688</v>
      </c>
      <c r="C2286" s="1" t="s">
        <v>20689</v>
      </c>
      <c r="D2286" s="1" t="s">
        <v>20538</v>
      </c>
      <c r="E2286" s="1" t="s">
        <v>20539</v>
      </c>
      <c r="F2286" s="1">
        <v>222319.0</v>
      </c>
      <c r="G2286" s="1">
        <v>9040.0</v>
      </c>
      <c r="H2286" s="1">
        <v>511.0</v>
      </c>
      <c r="I2286" s="1">
        <v>5150000.0</v>
      </c>
      <c r="J2286" s="1" t="s">
        <v>2468</v>
      </c>
      <c r="K2286" s="5">
        <f t="shared" si="2"/>
        <v>0.04316873786</v>
      </c>
      <c r="L2286" s="6">
        <f t="shared" si="3"/>
        <v>425</v>
      </c>
      <c r="M2286" s="6">
        <f t="shared" si="4"/>
        <v>523.1035294</v>
      </c>
      <c r="N2286" s="7">
        <f t="shared" si="5"/>
        <v>0.0001015735009</v>
      </c>
      <c r="O2286" s="7"/>
      <c r="P2286" s="4">
        <f t="shared" si="6"/>
        <v>-0.3779812826</v>
      </c>
      <c r="Q2286" s="4">
        <f t="shared" si="7"/>
        <v>7</v>
      </c>
      <c r="R2286" s="4">
        <f t="shared" si="8"/>
        <v>0</v>
      </c>
      <c r="S2286" s="4">
        <f t="shared" si="9"/>
        <v>-0.3779812826</v>
      </c>
      <c r="T2286" s="4">
        <f t="shared" si="10"/>
        <v>33</v>
      </c>
      <c r="U2286" s="4">
        <f t="shared" si="1"/>
        <v>-0.3779812826</v>
      </c>
      <c r="V2286" s="4"/>
    </row>
    <row r="2287">
      <c r="A2287" s="1" t="s">
        <v>20690</v>
      </c>
      <c r="B2287" s="1" t="s">
        <v>20691</v>
      </c>
      <c r="C2287" s="1" t="s">
        <v>20692</v>
      </c>
      <c r="D2287" s="1" t="s">
        <v>20538</v>
      </c>
      <c r="E2287" s="1" t="s">
        <v>20539</v>
      </c>
      <c r="F2287" s="1">
        <v>1292683.0</v>
      </c>
      <c r="G2287" s="1">
        <v>28492.0</v>
      </c>
      <c r="H2287" s="1">
        <v>1129.0</v>
      </c>
      <c r="I2287" s="1">
        <v>5150000.0</v>
      </c>
      <c r="J2287" s="1" t="s">
        <v>2468</v>
      </c>
      <c r="K2287" s="5">
        <f t="shared" si="2"/>
        <v>0.2510064078</v>
      </c>
      <c r="L2287" s="6">
        <f t="shared" si="3"/>
        <v>433</v>
      </c>
      <c r="M2287" s="6">
        <f t="shared" si="4"/>
        <v>2985.411085</v>
      </c>
      <c r="N2287" s="7">
        <f t="shared" si="5"/>
        <v>0.0005796914729</v>
      </c>
      <c r="O2287" s="7"/>
      <c r="P2287" s="4">
        <f t="shared" si="6"/>
        <v>-0.04121246939</v>
      </c>
      <c r="Q2287" s="4">
        <f t="shared" si="7"/>
        <v>5</v>
      </c>
      <c r="R2287" s="4">
        <f t="shared" si="8"/>
        <v>0</v>
      </c>
      <c r="S2287" s="4">
        <f t="shared" si="9"/>
        <v>-0.04121246939</v>
      </c>
      <c r="T2287" s="4">
        <f t="shared" si="10"/>
        <v>29</v>
      </c>
      <c r="U2287" s="4">
        <f t="shared" si="1"/>
        <v>-0.04121246939</v>
      </c>
      <c r="V2287" s="4"/>
    </row>
    <row r="2288">
      <c r="A2288" s="1" t="s">
        <v>20693</v>
      </c>
      <c r="B2288" s="1" t="s">
        <v>20694</v>
      </c>
      <c r="C2288" s="1" t="s">
        <v>20695</v>
      </c>
      <c r="D2288" s="1" t="s">
        <v>20538</v>
      </c>
      <c r="E2288" s="1" t="s">
        <v>20539</v>
      </c>
      <c r="F2288" s="1">
        <v>192610.0</v>
      </c>
      <c r="G2288" s="1">
        <v>9801.0</v>
      </c>
      <c r="H2288" s="1">
        <v>556.0</v>
      </c>
      <c r="I2288" s="1">
        <v>5150000.0</v>
      </c>
      <c r="J2288" s="1" t="s">
        <v>2468</v>
      </c>
      <c r="K2288" s="5">
        <f t="shared" si="2"/>
        <v>0.0374</v>
      </c>
      <c r="L2288" s="6">
        <f t="shared" si="3"/>
        <v>440</v>
      </c>
      <c r="M2288" s="6">
        <f t="shared" si="4"/>
        <v>437.75</v>
      </c>
      <c r="N2288" s="7">
        <f t="shared" si="5"/>
        <v>0.000085</v>
      </c>
      <c r="O2288" s="7"/>
      <c r="P2288" s="4">
        <f t="shared" si="6"/>
        <v>-0.3896550504</v>
      </c>
      <c r="Q2288" s="4">
        <f t="shared" si="7"/>
        <v>9</v>
      </c>
      <c r="R2288" s="4">
        <f t="shared" si="8"/>
        <v>0</v>
      </c>
      <c r="S2288" s="4">
        <f t="shared" si="9"/>
        <v>-0.3896550504</v>
      </c>
      <c r="T2288" s="4">
        <f t="shared" si="10"/>
        <v>49</v>
      </c>
      <c r="U2288" s="4">
        <f t="shared" si="1"/>
        <v>-0.3896550504</v>
      </c>
      <c r="V2288" s="4"/>
    </row>
    <row r="2289">
      <c r="A2289" s="1" t="s">
        <v>20696</v>
      </c>
      <c r="B2289" s="1" t="s">
        <v>20697</v>
      </c>
      <c r="C2289" s="1" t="s">
        <v>20698</v>
      </c>
      <c r="D2289" s="1" t="s">
        <v>20538</v>
      </c>
      <c r="E2289" s="1" t="s">
        <v>20539</v>
      </c>
      <c r="F2289" s="1">
        <v>207497.0</v>
      </c>
      <c r="G2289" s="1">
        <v>10071.0</v>
      </c>
      <c r="H2289" s="1">
        <v>1089.0</v>
      </c>
      <c r="I2289" s="1">
        <v>5150000.0</v>
      </c>
      <c r="J2289" s="1" t="s">
        <v>2468</v>
      </c>
      <c r="K2289" s="5">
        <f t="shared" si="2"/>
        <v>0.04029067961</v>
      </c>
      <c r="L2289" s="6">
        <f t="shared" si="3"/>
        <v>447</v>
      </c>
      <c r="M2289" s="6">
        <f t="shared" si="4"/>
        <v>464.1991051</v>
      </c>
      <c r="N2289" s="7">
        <f t="shared" si="5"/>
        <v>0.00009013574857</v>
      </c>
      <c r="O2289" s="7"/>
      <c r="P2289" s="4">
        <f t="shared" si="6"/>
        <v>-0.386037617</v>
      </c>
      <c r="Q2289" s="4">
        <f t="shared" si="7"/>
        <v>7</v>
      </c>
      <c r="R2289" s="4">
        <f t="shared" si="8"/>
        <v>1</v>
      </c>
      <c r="S2289" s="4">
        <f t="shared" si="9"/>
        <v>-0.386037617</v>
      </c>
      <c r="T2289" s="4">
        <f t="shared" si="10"/>
        <v>27</v>
      </c>
      <c r="U2289" s="4">
        <f t="shared" si="1"/>
        <v>-0.386037617</v>
      </c>
      <c r="V2289" s="4"/>
    </row>
    <row r="2290">
      <c r="A2290" s="1" t="s">
        <v>20699</v>
      </c>
      <c r="B2290" s="1" t="s">
        <v>20700</v>
      </c>
      <c r="C2290" s="1" t="s">
        <v>20701</v>
      </c>
      <c r="D2290" s="1" t="s">
        <v>20538</v>
      </c>
      <c r="E2290" s="1" t="s">
        <v>20539</v>
      </c>
      <c r="F2290" s="1">
        <v>514090.0</v>
      </c>
      <c r="G2290" s="1">
        <v>2277.0</v>
      </c>
      <c r="H2290" s="1">
        <v>306.0</v>
      </c>
      <c r="I2290" s="1">
        <v>5150000.0</v>
      </c>
      <c r="J2290" s="1" t="s">
        <v>2468</v>
      </c>
      <c r="K2290" s="5">
        <f t="shared" si="2"/>
        <v>0.09982330097</v>
      </c>
      <c r="L2290" s="6">
        <f t="shared" si="3"/>
        <v>455</v>
      </c>
      <c r="M2290" s="6">
        <f t="shared" si="4"/>
        <v>1129.868132</v>
      </c>
      <c r="N2290" s="7">
        <f t="shared" si="5"/>
        <v>0.0002193918703</v>
      </c>
      <c r="O2290" s="7"/>
      <c r="P2290" s="4">
        <f t="shared" si="6"/>
        <v>-0.2949943322</v>
      </c>
      <c r="Q2290" s="4">
        <f t="shared" si="7"/>
        <v>15</v>
      </c>
      <c r="R2290" s="4">
        <f t="shared" si="8"/>
        <v>1</v>
      </c>
      <c r="S2290" s="4">
        <f t="shared" si="9"/>
        <v>-0.2949943322</v>
      </c>
      <c r="T2290" s="4">
        <f t="shared" si="10"/>
        <v>80</v>
      </c>
      <c r="U2290" s="4">
        <f t="shared" si="1"/>
        <v>-0.2949943322</v>
      </c>
      <c r="V2290" s="4"/>
    </row>
    <row r="2291">
      <c r="A2291" s="1" t="s">
        <v>20702</v>
      </c>
      <c r="B2291" s="1" t="s">
        <v>20703</v>
      </c>
      <c r="C2291" s="1" t="s">
        <v>20704</v>
      </c>
      <c r="D2291" s="1" t="s">
        <v>20538</v>
      </c>
      <c r="E2291" s="1" t="s">
        <v>20539</v>
      </c>
      <c r="F2291" s="1">
        <v>194408.0</v>
      </c>
      <c r="G2291" s="1">
        <v>8206.0</v>
      </c>
      <c r="H2291" s="1">
        <v>582.0</v>
      </c>
      <c r="I2291" s="1">
        <v>5150000.0</v>
      </c>
      <c r="J2291" s="1" t="s">
        <v>2468</v>
      </c>
      <c r="K2291" s="5">
        <f t="shared" si="2"/>
        <v>0.03774912621</v>
      </c>
      <c r="L2291" s="6">
        <f t="shared" si="3"/>
        <v>467</v>
      </c>
      <c r="M2291" s="6">
        <f t="shared" si="4"/>
        <v>416.2912206</v>
      </c>
      <c r="N2291" s="7">
        <f t="shared" si="5"/>
        <v>0.00008083324671</v>
      </c>
      <c r="O2291" s="7"/>
      <c r="P2291" s="4">
        <f t="shared" si="6"/>
        <v>-0.3925899591</v>
      </c>
      <c r="Q2291" s="4">
        <f t="shared" si="7"/>
        <v>6</v>
      </c>
      <c r="R2291" s="4">
        <f t="shared" si="8"/>
        <v>0</v>
      </c>
      <c r="S2291" s="4">
        <f t="shared" si="9"/>
        <v>-0.3925899591</v>
      </c>
      <c r="T2291" s="4">
        <f t="shared" si="10"/>
        <v>25</v>
      </c>
      <c r="U2291" s="4">
        <f t="shared" si="1"/>
        <v>-0.3925899591</v>
      </c>
      <c r="V2291" s="4"/>
    </row>
    <row r="2292">
      <c r="A2292" s="1" t="s">
        <v>20705</v>
      </c>
      <c r="B2292" s="1" t="s">
        <v>20706</v>
      </c>
      <c r="C2292" s="1" t="s">
        <v>20707</v>
      </c>
      <c r="D2292" s="1" t="s">
        <v>20538</v>
      </c>
      <c r="E2292" s="1" t="s">
        <v>20539</v>
      </c>
      <c r="F2292" s="1">
        <v>276830.0</v>
      </c>
      <c r="G2292" s="1">
        <v>10059.0</v>
      </c>
      <c r="H2292" s="1">
        <v>721.0</v>
      </c>
      <c r="I2292" s="1">
        <v>5150000.0</v>
      </c>
      <c r="J2292" s="1" t="s">
        <v>2468</v>
      </c>
      <c r="K2292" s="5">
        <f t="shared" si="2"/>
        <v>0.05375339806</v>
      </c>
      <c r="L2292" s="6">
        <f t="shared" si="3"/>
        <v>474</v>
      </c>
      <c r="M2292" s="6">
        <f t="shared" si="4"/>
        <v>584.0295359</v>
      </c>
      <c r="N2292" s="7">
        <f t="shared" si="5"/>
        <v>0.0001134037934</v>
      </c>
      <c r="O2292" s="7"/>
      <c r="P2292" s="4">
        <f t="shared" si="6"/>
        <v>-0.3696484572</v>
      </c>
      <c r="Q2292" s="4">
        <f t="shared" si="7"/>
        <v>9</v>
      </c>
      <c r="R2292" s="4">
        <f t="shared" si="8"/>
        <v>1</v>
      </c>
      <c r="S2292" s="4">
        <f t="shared" si="9"/>
        <v>-0.3696484572</v>
      </c>
      <c r="T2292" s="4">
        <f t="shared" si="10"/>
        <v>31</v>
      </c>
      <c r="U2292" s="4">
        <f t="shared" si="1"/>
        <v>-0.3696484572</v>
      </c>
      <c r="V2292" s="4"/>
    </row>
    <row r="2293">
      <c r="A2293" s="1" t="s">
        <v>20708</v>
      </c>
      <c r="B2293" s="1" t="s">
        <v>20709</v>
      </c>
      <c r="C2293" s="1" t="s">
        <v>20710</v>
      </c>
      <c r="D2293" s="1" t="s">
        <v>20538</v>
      </c>
      <c r="E2293" s="1" t="s">
        <v>20539</v>
      </c>
      <c r="F2293" s="1">
        <v>151498.0</v>
      </c>
      <c r="G2293" s="1">
        <v>5175.0</v>
      </c>
      <c r="H2293" s="1">
        <v>171.0</v>
      </c>
      <c r="I2293" s="1">
        <v>5150000.0</v>
      </c>
      <c r="J2293" s="1" t="s">
        <v>2468</v>
      </c>
      <c r="K2293" s="5">
        <f t="shared" si="2"/>
        <v>0.02941708738</v>
      </c>
      <c r="L2293" s="6">
        <f t="shared" si="3"/>
        <v>477</v>
      </c>
      <c r="M2293" s="6">
        <f t="shared" si="4"/>
        <v>317.60587</v>
      </c>
      <c r="N2293" s="7">
        <f t="shared" si="5"/>
        <v>0.00006167104272</v>
      </c>
      <c r="O2293" s="7"/>
      <c r="P2293" s="4">
        <f t="shared" si="6"/>
        <v>-0.4060871147</v>
      </c>
      <c r="Q2293" s="4">
        <f t="shared" si="7"/>
        <v>3</v>
      </c>
      <c r="R2293" s="4">
        <f t="shared" si="8"/>
        <v>0</v>
      </c>
      <c r="S2293" s="4">
        <f t="shared" si="9"/>
        <v>-0.4060871147</v>
      </c>
      <c r="T2293" s="4">
        <f t="shared" si="10"/>
        <v>15</v>
      </c>
      <c r="U2293" s="4">
        <f t="shared" si="1"/>
        <v>-0.4060871147</v>
      </c>
      <c r="V2293" s="4"/>
    </row>
    <row r="2294">
      <c r="A2294" s="1" t="s">
        <v>20711</v>
      </c>
      <c r="B2294" s="1" t="s">
        <v>20712</v>
      </c>
      <c r="C2294" s="1" t="s">
        <v>20713</v>
      </c>
      <c r="D2294" s="1" t="s">
        <v>20538</v>
      </c>
      <c r="E2294" s="1" t="s">
        <v>20539</v>
      </c>
      <c r="F2294" s="1">
        <v>196046.0</v>
      </c>
      <c r="G2294" s="1">
        <v>9052.0</v>
      </c>
      <c r="H2294" s="1">
        <v>624.0</v>
      </c>
      <c r="I2294" s="1">
        <v>5150000.0</v>
      </c>
      <c r="J2294" s="1" t="s">
        <v>2468</v>
      </c>
      <c r="K2294" s="5">
        <f t="shared" si="2"/>
        <v>0.03806718447</v>
      </c>
      <c r="L2294" s="6">
        <f t="shared" si="3"/>
        <v>481</v>
      </c>
      <c r="M2294" s="6">
        <f t="shared" si="4"/>
        <v>407.5800416</v>
      </c>
      <c r="N2294" s="7">
        <f t="shared" si="5"/>
        <v>0.00007914175565</v>
      </c>
      <c r="O2294" s="7"/>
      <c r="P2294" s="4">
        <f t="shared" si="6"/>
        <v>-0.3937813835</v>
      </c>
      <c r="Q2294" s="4">
        <f t="shared" si="7"/>
        <v>8</v>
      </c>
      <c r="R2294" s="4">
        <f t="shared" si="8"/>
        <v>1</v>
      </c>
      <c r="S2294" s="4">
        <f t="shared" si="9"/>
        <v>-0.3937813835</v>
      </c>
      <c r="T2294" s="4">
        <f t="shared" si="10"/>
        <v>30</v>
      </c>
      <c r="U2294" s="4">
        <f t="shared" si="1"/>
        <v>-0.3937813835</v>
      </c>
      <c r="V2294" s="4"/>
    </row>
    <row r="2295">
      <c r="A2295" s="1" t="s">
        <v>20714</v>
      </c>
      <c r="B2295" s="1" t="s">
        <v>20715</v>
      </c>
      <c r="C2295" s="1" t="s">
        <v>20716</v>
      </c>
      <c r="D2295" s="1" t="s">
        <v>20538</v>
      </c>
      <c r="E2295" s="1" t="s">
        <v>20539</v>
      </c>
      <c r="F2295" s="1">
        <v>249861.0</v>
      </c>
      <c r="G2295" s="1">
        <v>9196.0</v>
      </c>
      <c r="H2295" s="1">
        <v>759.0</v>
      </c>
      <c r="I2295" s="1">
        <v>5150000.0</v>
      </c>
      <c r="J2295" s="1" t="s">
        <v>2468</v>
      </c>
      <c r="K2295" s="5">
        <f t="shared" si="2"/>
        <v>0.04851669903</v>
      </c>
      <c r="L2295" s="6">
        <f t="shared" si="3"/>
        <v>491</v>
      </c>
      <c r="M2295" s="6">
        <f t="shared" si="4"/>
        <v>508.8818737</v>
      </c>
      <c r="N2295" s="7">
        <f t="shared" si="5"/>
        <v>0.00009881201432</v>
      </c>
      <c r="O2295" s="7"/>
      <c r="P2295" s="4">
        <f t="shared" si="6"/>
        <v>-0.3799263727</v>
      </c>
      <c r="Q2295" s="4">
        <f t="shared" si="7"/>
        <v>8</v>
      </c>
      <c r="R2295" s="4">
        <f t="shared" si="8"/>
        <v>0</v>
      </c>
      <c r="S2295" s="4">
        <f t="shared" si="9"/>
        <v>-0.3799263727</v>
      </c>
      <c r="T2295" s="4">
        <f t="shared" si="10"/>
        <v>31</v>
      </c>
      <c r="U2295" s="4">
        <f t="shared" si="1"/>
        <v>-0.3799263727</v>
      </c>
      <c r="V2295" s="4"/>
    </row>
    <row r="2296">
      <c r="A2296" s="1" t="s">
        <v>20717</v>
      </c>
      <c r="B2296" s="1" t="s">
        <v>20718</v>
      </c>
      <c r="C2296" s="1" t="s">
        <v>20719</v>
      </c>
      <c r="D2296" s="1" t="s">
        <v>20538</v>
      </c>
      <c r="E2296" s="1" t="s">
        <v>20539</v>
      </c>
      <c r="F2296" s="1">
        <v>80051.0</v>
      </c>
      <c r="G2296" s="1">
        <v>4000.0</v>
      </c>
      <c r="H2296" s="1">
        <v>331.0</v>
      </c>
      <c r="I2296" s="1">
        <v>5150000.0</v>
      </c>
      <c r="J2296" s="1" t="s">
        <v>2468</v>
      </c>
      <c r="K2296" s="5">
        <f t="shared" si="2"/>
        <v>0.0155438835</v>
      </c>
      <c r="L2296" s="6">
        <f t="shared" si="3"/>
        <v>499</v>
      </c>
      <c r="M2296" s="6">
        <f t="shared" si="4"/>
        <v>160.4228457</v>
      </c>
      <c r="N2296" s="7">
        <f t="shared" si="5"/>
        <v>0.00003115006712</v>
      </c>
      <c r="O2296" s="7"/>
      <c r="P2296" s="4">
        <f t="shared" si="6"/>
        <v>-0.4275849737</v>
      </c>
      <c r="Q2296" s="4">
        <f t="shared" si="7"/>
        <v>12</v>
      </c>
      <c r="R2296" s="4">
        <f t="shared" si="8"/>
        <v>1</v>
      </c>
      <c r="S2296" s="4">
        <f t="shared" si="9"/>
        <v>-0.4275849737</v>
      </c>
      <c r="T2296" s="4">
        <f t="shared" si="10"/>
        <v>43</v>
      </c>
      <c r="U2296" s="4">
        <f t="shared" si="1"/>
        <v>-0.4275849737</v>
      </c>
      <c r="V2296" s="4"/>
    </row>
    <row r="2297">
      <c r="A2297" s="1" t="s">
        <v>20720</v>
      </c>
      <c r="B2297" s="1" t="s">
        <v>20721</v>
      </c>
      <c r="C2297" s="1" t="s">
        <v>20722</v>
      </c>
      <c r="D2297" s="1" t="s">
        <v>20538</v>
      </c>
      <c r="E2297" s="1" t="s">
        <v>20539</v>
      </c>
      <c r="F2297" s="1">
        <v>433470.0</v>
      </c>
      <c r="G2297" s="1">
        <v>19402.0</v>
      </c>
      <c r="H2297" s="1">
        <v>965.0</v>
      </c>
      <c r="I2297" s="1">
        <v>5150000.0</v>
      </c>
      <c r="J2297" s="1" t="s">
        <v>2468</v>
      </c>
      <c r="K2297" s="5">
        <f t="shared" si="2"/>
        <v>0.08416893204</v>
      </c>
      <c r="L2297" s="6">
        <f t="shared" si="3"/>
        <v>506</v>
      </c>
      <c r="M2297" s="6">
        <f t="shared" si="4"/>
        <v>856.6600791</v>
      </c>
      <c r="N2297" s="7">
        <f t="shared" si="5"/>
        <v>0.0001663417629</v>
      </c>
      <c r="O2297" s="7"/>
      <c r="P2297" s="4">
        <f t="shared" si="6"/>
        <v>-0.3323608876</v>
      </c>
      <c r="Q2297" s="4">
        <f t="shared" si="7"/>
        <v>6</v>
      </c>
      <c r="R2297" s="4">
        <f t="shared" si="8"/>
        <v>1</v>
      </c>
      <c r="S2297" s="4">
        <f t="shared" si="9"/>
        <v>-0.3323608876</v>
      </c>
      <c r="T2297" s="4">
        <f t="shared" si="10"/>
        <v>31</v>
      </c>
      <c r="U2297" s="4">
        <f t="shared" si="1"/>
        <v>-0.3323608876</v>
      </c>
      <c r="V2297" s="4"/>
    </row>
    <row r="2298">
      <c r="A2298" s="1" t="s">
        <v>20723</v>
      </c>
      <c r="B2298" s="1" t="s">
        <v>20724</v>
      </c>
      <c r="C2298" s="1" t="s">
        <v>20725</v>
      </c>
      <c r="D2298" s="1" t="s">
        <v>20538</v>
      </c>
      <c r="E2298" s="1" t="s">
        <v>20539</v>
      </c>
      <c r="F2298" s="1">
        <v>2049149.0</v>
      </c>
      <c r="G2298" s="1">
        <v>40983.0</v>
      </c>
      <c r="H2298" s="1">
        <v>1357.0</v>
      </c>
      <c r="I2298" s="1">
        <v>5150000.0</v>
      </c>
      <c r="J2298" s="1" t="s">
        <v>2468</v>
      </c>
      <c r="K2298" s="5">
        <f t="shared" si="2"/>
        <v>0.3978930097</v>
      </c>
      <c r="L2298" s="6">
        <f t="shared" si="3"/>
        <v>516</v>
      </c>
      <c r="M2298" s="6">
        <f t="shared" si="4"/>
        <v>3971.218992</v>
      </c>
      <c r="N2298" s="7">
        <f t="shared" si="5"/>
        <v>0.0007711104839</v>
      </c>
      <c r="O2298" s="7"/>
      <c r="P2298" s="4">
        <f t="shared" si="6"/>
        <v>0.09361608117</v>
      </c>
      <c r="Q2298" s="4">
        <f t="shared" si="7"/>
        <v>9</v>
      </c>
      <c r="R2298" s="4">
        <f t="shared" si="8"/>
        <v>0</v>
      </c>
      <c r="S2298" s="4">
        <f t="shared" si="9"/>
        <v>0.09361608117</v>
      </c>
      <c r="T2298" s="4">
        <f t="shared" si="10"/>
        <v>36</v>
      </c>
      <c r="U2298" s="4">
        <f t="shared" si="1"/>
        <v>0.09361608117</v>
      </c>
      <c r="V2298" s="4"/>
    </row>
    <row r="2299">
      <c r="A2299" s="1" t="s">
        <v>20726</v>
      </c>
      <c r="B2299" s="1" t="s">
        <v>20727</v>
      </c>
      <c r="C2299" s="1" t="s">
        <v>20728</v>
      </c>
      <c r="D2299" s="1" t="s">
        <v>20538</v>
      </c>
      <c r="E2299" s="1" t="s">
        <v>20539</v>
      </c>
      <c r="F2299" s="1">
        <v>122495.0</v>
      </c>
      <c r="G2299" s="1">
        <v>5273.0</v>
      </c>
      <c r="H2299" s="1">
        <v>269.0</v>
      </c>
      <c r="I2299" s="1">
        <v>5150000.0</v>
      </c>
      <c r="J2299" s="1" t="s">
        <v>2468</v>
      </c>
      <c r="K2299" s="5">
        <f t="shared" si="2"/>
        <v>0.02378543689</v>
      </c>
      <c r="L2299" s="6">
        <f t="shared" si="3"/>
        <v>524</v>
      </c>
      <c r="M2299" s="6">
        <f t="shared" si="4"/>
        <v>233.769084</v>
      </c>
      <c r="N2299" s="7">
        <f t="shared" si="5"/>
        <v>0.00004539205514</v>
      </c>
      <c r="O2299" s="7"/>
      <c r="P2299" s="4">
        <f t="shared" si="6"/>
        <v>-0.4175534382</v>
      </c>
      <c r="Q2299" s="4">
        <f t="shared" si="7"/>
        <v>6</v>
      </c>
      <c r="R2299" s="4">
        <f t="shared" si="8"/>
        <v>0</v>
      </c>
      <c r="S2299" s="4">
        <f t="shared" si="9"/>
        <v>-0.4175534382</v>
      </c>
      <c r="T2299" s="4">
        <f t="shared" si="10"/>
        <v>34</v>
      </c>
      <c r="U2299" s="4">
        <f t="shared" si="1"/>
        <v>-0.4175534382</v>
      </c>
      <c r="V2299" s="4"/>
    </row>
    <row r="2300">
      <c r="A2300" s="1" t="s">
        <v>20729</v>
      </c>
      <c r="B2300" s="1" t="s">
        <v>20730</v>
      </c>
      <c r="C2300" s="1" t="s">
        <v>20731</v>
      </c>
      <c r="D2300" s="1" t="s">
        <v>20538</v>
      </c>
      <c r="E2300" s="1" t="s">
        <v>20539</v>
      </c>
      <c r="F2300" s="1">
        <v>127246.0</v>
      </c>
      <c r="G2300" s="1">
        <v>7636.0</v>
      </c>
      <c r="H2300" s="1">
        <v>472.0</v>
      </c>
      <c r="I2300" s="1">
        <v>5150000.0</v>
      </c>
      <c r="J2300" s="1" t="s">
        <v>2468</v>
      </c>
      <c r="K2300" s="5">
        <f t="shared" si="2"/>
        <v>0.02470796117</v>
      </c>
      <c r="L2300" s="6">
        <f t="shared" si="3"/>
        <v>531</v>
      </c>
      <c r="M2300" s="6">
        <f t="shared" si="4"/>
        <v>239.6346516</v>
      </c>
      <c r="N2300" s="7">
        <f t="shared" si="5"/>
        <v>0.00004653100031</v>
      </c>
      <c r="O2300" s="7"/>
      <c r="P2300" s="4">
        <f t="shared" si="6"/>
        <v>-0.4167512069</v>
      </c>
      <c r="Q2300" s="4">
        <f t="shared" si="7"/>
        <v>12</v>
      </c>
      <c r="R2300" s="4">
        <f t="shared" si="8"/>
        <v>0</v>
      </c>
      <c r="S2300" s="4">
        <f t="shared" si="9"/>
        <v>-0.4167512069</v>
      </c>
      <c r="T2300" s="4">
        <f t="shared" si="10"/>
        <v>71</v>
      </c>
      <c r="U2300" s="4">
        <f t="shared" si="1"/>
        <v>-0.4167512069</v>
      </c>
      <c r="V2300" s="4"/>
    </row>
    <row r="2301">
      <c r="A2301" s="1" t="s">
        <v>20732</v>
      </c>
      <c r="B2301" s="1" t="s">
        <v>20733</v>
      </c>
      <c r="C2301" s="1" t="s">
        <v>20734</v>
      </c>
      <c r="D2301" s="1" t="s">
        <v>20538</v>
      </c>
      <c r="E2301" s="1" t="s">
        <v>20539</v>
      </c>
      <c r="F2301" s="1">
        <v>2840075.0</v>
      </c>
      <c r="G2301" s="1">
        <v>95481.0</v>
      </c>
      <c r="H2301" s="1">
        <v>2572.0</v>
      </c>
      <c r="I2301" s="1">
        <v>5150000.0</v>
      </c>
      <c r="J2301" s="1" t="s">
        <v>2468</v>
      </c>
      <c r="K2301" s="5">
        <f t="shared" si="2"/>
        <v>0.5514708738</v>
      </c>
      <c r="L2301" s="6">
        <f t="shared" si="3"/>
        <v>537</v>
      </c>
      <c r="M2301" s="6">
        <f t="shared" si="4"/>
        <v>5288.780261</v>
      </c>
      <c r="N2301" s="7">
        <f t="shared" si="5"/>
        <v>0.001026947623</v>
      </c>
      <c r="O2301" s="7"/>
      <c r="P2301" s="4">
        <f t="shared" si="6"/>
        <v>0.2738184055</v>
      </c>
      <c r="Q2301" s="4">
        <f t="shared" si="7"/>
        <v>8</v>
      </c>
      <c r="R2301" s="4">
        <f t="shared" si="8"/>
        <v>0</v>
      </c>
      <c r="S2301" s="4">
        <f t="shared" si="9"/>
        <v>0.2738184055</v>
      </c>
      <c r="T2301" s="4">
        <f t="shared" si="10"/>
        <v>36</v>
      </c>
      <c r="U2301" s="4">
        <f t="shared" si="1"/>
        <v>0.2738184055</v>
      </c>
      <c r="V2301" s="4"/>
    </row>
    <row r="2302">
      <c r="A2302" s="1" t="s">
        <v>20735</v>
      </c>
      <c r="B2302" s="1" t="s">
        <v>20736</v>
      </c>
      <c r="C2302" s="1" t="s">
        <v>20737</v>
      </c>
      <c r="D2302" s="1" t="s">
        <v>20538</v>
      </c>
      <c r="E2302" s="1" t="s">
        <v>20539</v>
      </c>
      <c r="F2302" s="1">
        <v>106123.0</v>
      </c>
      <c r="G2302" s="1">
        <v>4499.0</v>
      </c>
      <c r="H2302" s="1">
        <v>460.0</v>
      </c>
      <c r="I2302" s="1">
        <v>5150000.0</v>
      </c>
      <c r="J2302" s="1" t="s">
        <v>2468</v>
      </c>
      <c r="K2302" s="5">
        <f t="shared" si="2"/>
        <v>0.02060640777</v>
      </c>
      <c r="L2302" s="6">
        <f t="shared" si="3"/>
        <v>544</v>
      </c>
      <c r="M2302" s="6">
        <f t="shared" si="4"/>
        <v>195.0790441</v>
      </c>
      <c r="N2302" s="7">
        <f t="shared" si="5"/>
        <v>0.00003787942604</v>
      </c>
      <c r="O2302" s="7"/>
      <c r="P2302" s="4">
        <f t="shared" si="6"/>
        <v>-0.4228450594</v>
      </c>
      <c r="Q2302" s="4">
        <f t="shared" si="7"/>
        <v>11</v>
      </c>
      <c r="R2302" s="4">
        <f t="shared" si="8"/>
        <v>1</v>
      </c>
      <c r="S2302" s="4">
        <f t="shared" si="9"/>
        <v>-0.4228450594</v>
      </c>
      <c r="T2302" s="4">
        <f t="shared" si="10"/>
        <v>51</v>
      </c>
      <c r="U2302" s="4">
        <f t="shared" si="1"/>
        <v>-0.4228450594</v>
      </c>
      <c r="V2302" s="4"/>
    </row>
    <row r="2303">
      <c r="A2303" s="1" t="s">
        <v>20738</v>
      </c>
      <c r="B2303" s="1" t="s">
        <v>20739</v>
      </c>
      <c r="C2303" s="1" t="s">
        <v>20740</v>
      </c>
      <c r="D2303" s="1" t="s">
        <v>20538</v>
      </c>
      <c r="E2303" s="1" t="s">
        <v>20539</v>
      </c>
      <c r="F2303" s="1">
        <v>284994.0</v>
      </c>
      <c r="G2303" s="1">
        <v>14551.0</v>
      </c>
      <c r="H2303" s="1">
        <v>947.0</v>
      </c>
      <c r="I2303" s="1">
        <v>5150000.0</v>
      </c>
      <c r="J2303" s="1" t="s">
        <v>2468</v>
      </c>
      <c r="K2303" s="5">
        <f t="shared" si="2"/>
        <v>0.05533864078</v>
      </c>
      <c r="L2303" s="6">
        <f t="shared" si="3"/>
        <v>552</v>
      </c>
      <c r="M2303" s="6">
        <f t="shared" si="4"/>
        <v>516.2934783</v>
      </c>
      <c r="N2303" s="7">
        <f t="shared" si="5"/>
        <v>0.0001002511608</v>
      </c>
      <c r="O2303" s="7"/>
      <c r="P2303" s="4">
        <f t="shared" si="6"/>
        <v>-0.3789126905</v>
      </c>
      <c r="Q2303" s="4">
        <f t="shared" si="7"/>
        <v>7</v>
      </c>
      <c r="R2303" s="4">
        <f t="shared" si="8"/>
        <v>1</v>
      </c>
      <c r="S2303" s="4">
        <f t="shared" si="9"/>
        <v>-0.3789126905</v>
      </c>
      <c r="T2303" s="4">
        <f t="shared" si="10"/>
        <v>47</v>
      </c>
      <c r="U2303" s="4">
        <f t="shared" si="1"/>
        <v>-0.3789126905</v>
      </c>
      <c r="V2303" s="4"/>
    </row>
    <row r="2304">
      <c r="A2304" s="1" t="s">
        <v>20741</v>
      </c>
      <c r="B2304" s="1" t="s">
        <v>20742</v>
      </c>
      <c r="C2304" s="1" t="s">
        <v>20743</v>
      </c>
      <c r="D2304" s="1" t="s">
        <v>20538</v>
      </c>
      <c r="E2304" s="1" t="s">
        <v>20539</v>
      </c>
      <c r="F2304" s="1">
        <v>1077379.0</v>
      </c>
      <c r="G2304" s="1">
        <v>24946.0</v>
      </c>
      <c r="H2304" s="1">
        <v>1557.0</v>
      </c>
      <c r="I2304" s="1">
        <v>5150000.0</v>
      </c>
      <c r="J2304" s="1" t="s">
        <v>2468</v>
      </c>
      <c r="K2304" s="5">
        <f t="shared" si="2"/>
        <v>0.2091998058</v>
      </c>
      <c r="L2304" s="6">
        <f t="shared" si="3"/>
        <v>558</v>
      </c>
      <c r="M2304" s="6">
        <f t="shared" si="4"/>
        <v>1930.786738</v>
      </c>
      <c r="N2304" s="7">
        <f t="shared" si="5"/>
        <v>0.0003749100463</v>
      </c>
      <c r="O2304" s="7"/>
      <c r="P2304" s="4">
        <f t="shared" si="6"/>
        <v>-0.1854530168</v>
      </c>
      <c r="Q2304" s="4">
        <f t="shared" si="7"/>
        <v>9</v>
      </c>
      <c r="R2304" s="4">
        <f t="shared" si="8"/>
        <v>0</v>
      </c>
      <c r="S2304" s="4">
        <f t="shared" si="9"/>
        <v>-0.1854530168</v>
      </c>
      <c r="T2304" s="4">
        <f t="shared" si="10"/>
        <v>46</v>
      </c>
      <c r="U2304" s="4">
        <f t="shared" si="1"/>
        <v>-0.1854530168</v>
      </c>
      <c r="V2304" s="4"/>
    </row>
    <row r="2305">
      <c r="A2305" s="1" t="s">
        <v>20744</v>
      </c>
      <c r="B2305" s="1" t="s">
        <v>20745</v>
      </c>
      <c r="C2305" s="1" t="s">
        <v>20746</v>
      </c>
      <c r="D2305" s="1" t="s">
        <v>20538</v>
      </c>
      <c r="E2305" s="1" t="s">
        <v>20539</v>
      </c>
      <c r="F2305" s="1">
        <v>1007839.0</v>
      </c>
      <c r="G2305" s="1">
        <v>24793.0</v>
      </c>
      <c r="H2305" s="1">
        <v>1162.0</v>
      </c>
      <c r="I2305" s="1">
        <v>5150000.0</v>
      </c>
      <c r="J2305" s="1" t="s">
        <v>2468</v>
      </c>
      <c r="K2305" s="5">
        <f t="shared" si="2"/>
        <v>0.1956968932</v>
      </c>
      <c r="L2305" s="6">
        <f t="shared" si="3"/>
        <v>565</v>
      </c>
      <c r="M2305" s="6">
        <f t="shared" si="4"/>
        <v>1783.785841</v>
      </c>
      <c r="N2305" s="7">
        <f t="shared" si="5"/>
        <v>0.0003463661827</v>
      </c>
      <c r="O2305" s="7"/>
      <c r="P2305" s="4">
        <f t="shared" si="6"/>
        <v>-0.2055582704</v>
      </c>
      <c r="Q2305" s="4">
        <f t="shared" si="7"/>
        <v>11</v>
      </c>
      <c r="R2305" s="4">
        <f t="shared" si="8"/>
        <v>0</v>
      </c>
      <c r="S2305" s="4">
        <f t="shared" si="9"/>
        <v>-0.2055582704</v>
      </c>
      <c r="T2305" s="4">
        <f t="shared" si="10"/>
        <v>53</v>
      </c>
      <c r="U2305" s="4">
        <f t="shared" si="1"/>
        <v>-0.2055582704</v>
      </c>
      <c r="V2305" s="4"/>
    </row>
    <row r="2306">
      <c r="A2306" s="1" t="s">
        <v>20747</v>
      </c>
      <c r="B2306" s="1" t="s">
        <v>20748</v>
      </c>
      <c r="C2306" s="1" t="s">
        <v>20749</v>
      </c>
      <c r="D2306" s="1" t="s">
        <v>20538</v>
      </c>
      <c r="E2306" s="1" t="s">
        <v>20539</v>
      </c>
      <c r="F2306" s="1">
        <v>427031.0</v>
      </c>
      <c r="G2306" s="1">
        <v>14756.0</v>
      </c>
      <c r="H2306" s="1">
        <v>649.0</v>
      </c>
      <c r="I2306" s="1">
        <v>5150000.0</v>
      </c>
      <c r="J2306" s="1" t="s">
        <v>2468</v>
      </c>
      <c r="K2306" s="5">
        <f t="shared" si="2"/>
        <v>0.08291864078</v>
      </c>
      <c r="L2306" s="6">
        <f t="shared" si="3"/>
        <v>572</v>
      </c>
      <c r="M2306" s="6">
        <f t="shared" si="4"/>
        <v>746.5576923</v>
      </c>
      <c r="N2306" s="7">
        <f t="shared" si="5"/>
        <v>0.0001449626587</v>
      </c>
      <c r="O2306" s="7"/>
      <c r="P2306" s="4">
        <f t="shared" si="6"/>
        <v>-0.3474195467</v>
      </c>
      <c r="Q2306" s="4">
        <f t="shared" si="7"/>
        <v>6</v>
      </c>
      <c r="R2306" s="4">
        <f t="shared" si="8"/>
        <v>0</v>
      </c>
      <c r="S2306" s="4">
        <f t="shared" si="9"/>
        <v>-0.3474195467</v>
      </c>
      <c r="T2306" s="4">
        <f t="shared" si="10"/>
        <v>32</v>
      </c>
      <c r="U2306" s="4">
        <f t="shared" si="1"/>
        <v>-0.3474195467</v>
      </c>
      <c r="V2306" s="4"/>
    </row>
    <row r="2307">
      <c r="A2307" s="1" t="s">
        <v>20750</v>
      </c>
      <c r="B2307" s="1" t="s">
        <v>20751</v>
      </c>
      <c r="C2307" s="1" t="s">
        <v>20752</v>
      </c>
      <c r="D2307" s="1" t="s">
        <v>20538</v>
      </c>
      <c r="E2307" s="1" t="s">
        <v>20539</v>
      </c>
      <c r="F2307" s="1">
        <v>130027.0</v>
      </c>
      <c r="G2307" s="1">
        <v>7852.0</v>
      </c>
      <c r="H2307" s="1">
        <v>518.0</v>
      </c>
      <c r="I2307" s="1">
        <v>5150000.0</v>
      </c>
      <c r="J2307" s="1" t="s">
        <v>2468</v>
      </c>
      <c r="K2307" s="5">
        <f t="shared" si="2"/>
        <v>0.02524796117</v>
      </c>
      <c r="L2307" s="6">
        <f t="shared" si="3"/>
        <v>579</v>
      </c>
      <c r="M2307" s="6">
        <f t="shared" si="4"/>
        <v>224.5716753</v>
      </c>
      <c r="N2307" s="7">
        <f t="shared" si="5"/>
        <v>0.00004360615054</v>
      </c>
      <c r="O2307" s="7"/>
      <c r="P2307" s="4">
        <f t="shared" si="6"/>
        <v>-0.4188113641</v>
      </c>
      <c r="Q2307" s="4">
        <f t="shared" si="7"/>
        <v>7</v>
      </c>
      <c r="R2307" s="4">
        <f t="shared" si="8"/>
        <v>1</v>
      </c>
      <c r="S2307" s="4">
        <f t="shared" si="9"/>
        <v>-0.4188113641</v>
      </c>
      <c r="T2307" s="4">
        <f t="shared" si="10"/>
        <v>34</v>
      </c>
      <c r="U2307" s="4">
        <f t="shared" si="1"/>
        <v>-0.4188113641</v>
      </c>
      <c r="V2307" s="4"/>
    </row>
    <row r="2308">
      <c r="A2308" s="1" t="s">
        <v>20753</v>
      </c>
      <c r="B2308" s="1" t="s">
        <v>20754</v>
      </c>
      <c r="C2308" s="1" t="s">
        <v>20755</v>
      </c>
      <c r="D2308" s="1" t="s">
        <v>20538</v>
      </c>
      <c r="E2308" s="1" t="s">
        <v>20539</v>
      </c>
      <c r="F2308" s="1">
        <v>597772.0</v>
      </c>
      <c r="G2308" s="1">
        <v>24697.0</v>
      </c>
      <c r="H2308" s="1">
        <v>1093.0</v>
      </c>
      <c r="I2308" s="1">
        <v>5150000.0</v>
      </c>
      <c r="J2308" s="1" t="s">
        <v>2468</v>
      </c>
      <c r="K2308" s="5">
        <f t="shared" si="2"/>
        <v>0.116072233</v>
      </c>
      <c r="L2308" s="6">
        <f t="shared" si="3"/>
        <v>586</v>
      </c>
      <c r="M2308" s="6">
        <f t="shared" si="4"/>
        <v>1020.088737</v>
      </c>
      <c r="N2308" s="7">
        <f t="shared" si="5"/>
        <v>0.000198075483</v>
      </c>
      <c r="O2308" s="7"/>
      <c r="P2308" s="4">
        <f t="shared" si="6"/>
        <v>-0.3100088158</v>
      </c>
      <c r="Q2308" s="4">
        <f t="shared" si="7"/>
        <v>8</v>
      </c>
      <c r="R2308" s="4">
        <f t="shared" si="8"/>
        <v>0</v>
      </c>
      <c r="S2308" s="4">
        <f t="shared" si="9"/>
        <v>-0.3100088158</v>
      </c>
      <c r="T2308" s="4">
        <f t="shared" si="10"/>
        <v>36</v>
      </c>
      <c r="U2308" s="4">
        <f t="shared" si="1"/>
        <v>-0.3100088158</v>
      </c>
      <c r="V2308" s="4"/>
    </row>
    <row r="2309">
      <c r="A2309" s="1" t="s">
        <v>20756</v>
      </c>
      <c r="B2309" s="1" t="s">
        <v>20757</v>
      </c>
      <c r="C2309" s="1" t="s">
        <v>20758</v>
      </c>
      <c r="D2309" s="1" t="s">
        <v>20538</v>
      </c>
      <c r="E2309" s="1" t="s">
        <v>20539</v>
      </c>
      <c r="F2309" s="1">
        <v>2473607.0</v>
      </c>
      <c r="G2309" s="1">
        <v>61504.0</v>
      </c>
      <c r="H2309" s="1">
        <v>2108.0</v>
      </c>
      <c r="I2309" s="1">
        <v>5150000.0</v>
      </c>
      <c r="J2309" s="1" t="s">
        <v>2468</v>
      </c>
      <c r="K2309" s="5">
        <f t="shared" si="2"/>
        <v>0.4803120388</v>
      </c>
      <c r="L2309" s="6">
        <f t="shared" si="3"/>
        <v>593</v>
      </c>
      <c r="M2309" s="6">
        <f t="shared" si="4"/>
        <v>4171.344013</v>
      </c>
      <c r="N2309" s="7">
        <f t="shared" si="5"/>
        <v>0.0008099697114</v>
      </c>
      <c r="O2309" s="7"/>
      <c r="P2309" s="4">
        <f t="shared" si="6"/>
        <v>0.1209870998</v>
      </c>
      <c r="Q2309" s="4">
        <f t="shared" si="7"/>
        <v>6</v>
      </c>
      <c r="R2309" s="4">
        <f t="shared" si="8"/>
        <v>0</v>
      </c>
      <c r="S2309" s="4">
        <f t="shared" si="9"/>
        <v>0.1209870998</v>
      </c>
      <c r="T2309" s="4">
        <f t="shared" si="10"/>
        <v>36</v>
      </c>
      <c r="U2309" s="4">
        <f t="shared" si="1"/>
        <v>0.1209870998</v>
      </c>
      <c r="V2309" s="4"/>
    </row>
    <row r="2310">
      <c r="A2310" s="1" t="s">
        <v>20759</v>
      </c>
      <c r="B2310" s="1" t="s">
        <v>20760</v>
      </c>
      <c r="C2310" s="1" t="s">
        <v>20761</v>
      </c>
      <c r="D2310" s="1" t="s">
        <v>20538</v>
      </c>
      <c r="E2310" s="1" t="s">
        <v>20539</v>
      </c>
      <c r="F2310" s="1">
        <v>333060.0</v>
      </c>
      <c r="G2310" s="1">
        <v>8686.0</v>
      </c>
      <c r="H2310" s="1">
        <v>505.0</v>
      </c>
      <c r="I2310" s="1">
        <v>5150000.0</v>
      </c>
      <c r="J2310" s="1" t="s">
        <v>2468</v>
      </c>
      <c r="K2310" s="5">
        <f t="shared" si="2"/>
        <v>0.06467184466</v>
      </c>
      <c r="L2310" s="6">
        <f t="shared" si="3"/>
        <v>600</v>
      </c>
      <c r="M2310" s="6">
        <f t="shared" si="4"/>
        <v>555.1</v>
      </c>
      <c r="N2310" s="7">
        <f t="shared" si="5"/>
        <v>0.0001077864078</v>
      </c>
      <c r="O2310" s="7"/>
      <c r="P2310" s="4">
        <f t="shared" si="6"/>
        <v>-0.3736051382</v>
      </c>
      <c r="Q2310" s="4">
        <f t="shared" si="7"/>
        <v>9</v>
      </c>
      <c r="R2310" s="4">
        <f t="shared" si="8"/>
        <v>0</v>
      </c>
      <c r="S2310" s="4">
        <f t="shared" si="9"/>
        <v>-0.3736051382</v>
      </c>
      <c r="T2310" s="4">
        <f t="shared" si="10"/>
        <v>38</v>
      </c>
      <c r="U2310" s="4">
        <f t="shared" si="1"/>
        <v>-0.3736051382</v>
      </c>
      <c r="V2310" s="4"/>
    </row>
    <row r="2311">
      <c r="A2311" s="1" t="s">
        <v>20762</v>
      </c>
      <c r="B2311" s="1" t="s">
        <v>20763</v>
      </c>
      <c r="C2311" s="1" t="s">
        <v>20764</v>
      </c>
      <c r="D2311" s="1" t="s">
        <v>20538</v>
      </c>
      <c r="E2311" s="1" t="s">
        <v>20539</v>
      </c>
      <c r="F2311" s="1">
        <v>399373.0</v>
      </c>
      <c r="G2311" s="1">
        <v>16433.0</v>
      </c>
      <c r="H2311" s="1">
        <v>938.0</v>
      </c>
      <c r="I2311" s="1">
        <v>5150000.0</v>
      </c>
      <c r="J2311" s="1" t="s">
        <v>2468</v>
      </c>
      <c r="K2311" s="5">
        <f t="shared" si="2"/>
        <v>0.07754815534</v>
      </c>
      <c r="L2311" s="6">
        <f t="shared" si="3"/>
        <v>607</v>
      </c>
      <c r="M2311" s="6">
        <f t="shared" si="4"/>
        <v>657.9456343</v>
      </c>
      <c r="N2311" s="7">
        <f t="shared" si="5"/>
        <v>0.0001277564338</v>
      </c>
      <c r="O2311" s="7"/>
      <c r="P2311" s="4">
        <f t="shared" si="6"/>
        <v>-0.3595389822</v>
      </c>
      <c r="Q2311" s="4">
        <f t="shared" si="7"/>
        <v>7</v>
      </c>
      <c r="R2311" s="4">
        <f t="shared" si="8"/>
        <v>0</v>
      </c>
      <c r="S2311" s="4">
        <f t="shared" si="9"/>
        <v>-0.3595389822</v>
      </c>
      <c r="T2311" s="4">
        <f t="shared" si="10"/>
        <v>31</v>
      </c>
      <c r="U2311" s="4">
        <f t="shared" si="1"/>
        <v>-0.3595389822</v>
      </c>
      <c r="V2311" s="4"/>
    </row>
    <row r="2312">
      <c r="A2312" s="1" t="s">
        <v>20765</v>
      </c>
      <c r="B2312" s="1" t="s">
        <v>20766</v>
      </c>
      <c r="C2312" s="1" t="s">
        <v>20767</v>
      </c>
      <c r="D2312" s="1" t="s">
        <v>20538</v>
      </c>
      <c r="E2312" s="1" t="s">
        <v>20539</v>
      </c>
      <c r="F2312" s="1">
        <v>249944.0</v>
      </c>
      <c r="G2312" s="1">
        <v>6698.0</v>
      </c>
      <c r="H2312" s="1">
        <v>256.0</v>
      </c>
      <c r="I2312" s="1">
        <v>5150000.0</v>
      </c>
      <c r="J2312" s="1" t="s">
        <v>2468</v>
      </c>
      <c r="K2312" s="5">
        <f t="shared" si="2"/>
        <v>0.04853281553</v>
      </c>
      <c r="L2312" s="6">
        <f t="shared" si="3"/>
        <v>609</v>
      </c>
      <c r="M2312" s="6">
        <f t="shared" si="4"/>
        <v>410.4170772</v>
      </c>
      <c r="N2312" s="7">
        <f t="shared" si="5"/>
        <v>0.00007969263634</v>
      </c>
      <c r="O2312" s="7"/>
      <c r="P2312" s="4">
        <f t="shared" si="6"/>
        <v>-0.3933933633</v>
      </c>
      <c r="Q2312" s="4">
        <f t="shared" si="7"/>
        <v>10</v>
      </c>
      <c r="R2312" s="4">
        <f t="shared" si="8"/>
        <v>0</v>
      </c>
      <c r="S2312" s="4">
        <f t="shared" si="9"/>
        <v>-0.3933933633</v>
      </c>
      <c r="T2312" s="4">
        <f t="shared" si="10"/>
        <v>32</v>
      </c>
      <c r="U2312" s="4">
        <f t="shared" si="1"/>
        <v>-0.3933933633</v>
      </c>
      <c r="V2312" s="4"/>
    </row>
    <row r="2313">
      <c r="A2313" s="1" t="s">
        <v>20768</v>
      </c>
      <c r="B2313" s="1" t="s">
        <v>20769</v>
      </c>
      <c r="C2313" s="1" t="s">
        <v>20770</v>
      </c>
      <c r="D2313" s="1" t="s">
        <v>20538</v>
      </c>
      <c r="E2313" s="1" t="s">
        <v>20539</v>
      </c>
      <c r="F2313" s="1">
        <v>214262.0</v>
      </c>
      <c r="G2313" s="1">
        <v>8483.0</v>
      </c>
      <c r="H2313" s="1">
        <v>712.0</v>
      </c>
      <c r="I2313" s="1">
        <v>5150000.0</v>
      </c>
      <c r="J2313" s="1" t="s">
        <v>2468</v>
      </c>
      <c r="K2313" s="5">
        <f t="shared" si="2"/>
        <v>0.04160427184</v>
      </c>
      <c r="L2313" s="6">
        <f t="shared" si="3"/>
        <v>614</v>
      </c>
      <c r="M2313" s="6">
        <f t="shared" si="4"/>
        <v>348.9609121</v>
      </c>
      <c r="N2313" s="7">
        <f t="shared" si="5"/>
        <v>0.0000677594004</v>
      </c>
      <c r="O2313" s="7"/>
      <c r="P2313" s="4">
        <f t="shared" si="6"/>
        <v>-0.4017986983</v>
      </c>
      <c r="Q2313" s="4">
        <f t="shared" si="7"/>
        <v>11</v>
      </c>
      <c r="R2313" s="4">
        <f t="shared" si="8"/>
        <v>0</v>
      </c>
      <c r="S2313" s="4">
        <f t="shared" si="9"/>
        <v>-0.4017986983</v>
      </c>
      <c r="T2313" s="4">
        <f t="shared" si="10"/>
        <v>54</v>
      </c>
      <c r="U2313" s="4">
        <f t="shared" si="1"/>
        <v>-0.4017986983</v>
      </c>
      <c r="V2313" s="4"/>
    </row>
    <row r="2314">
      <c r="A2314" s="1" t="s">
        <v>20771</v>
      </c>
      <c r="B2314" s="1" t="s">
        <v>20772</v>
      </c>
      <c r="C2314" s="1" t="s">
        <v>20773</v>
      </c>
      <c r="D2314" s="1" t="s">
        <v>20538</v>
      </c>
      <c r="E2314" s="1" t="s">
        <v>20539</v>
      </c>
      <c r="F2314" s="1">
        <v>346019.0</v>
      </c>
      <c r="G2314" s="1">
        <v>15494.0</v>
      </c>
      <c r="H2314" s="1">
        <v>1031.0</v>
      </c>
      <c r="I2314" s="1">
        <v>5150000.0</v>
      </c>
      <c r="J2314" s="1" t="s">
        <v>2468</v>
      </c>
      <c r="K2314" s="5">
        <f t="shared" si="2"/>
        <v>0.06718815534</v>
      </c>
      <c r="L2314" s="6">
        <f t="shared" si="3"/>
        <v>621</v>
      </c>
      <c r="M2314" s="6">
        <f t="shared" si="4"/>
        <v>557.1964573</v>
      </c>
      <c r="N2314" s="7">
        <f t="shared" si="5"/>
        <v>0.0001081934869</v>
      </c>
      <c r="O2314" s="7"/>
      <c r="P2314" s="4">
        <f t="shared" si="6"/>
        <v>-0.3733184066</v>
      </c>
      <c r="Q2314" s="4">
        <f t="shared" si="7"/>
        <v>8</v>
      </c>
      <c r="R2314" s="4">
        <f t="shared" si="8"/>
        <v>0</v>
      </c>
      <c r="S2314" s="4">
        <f t="shared" si="9"/>
        <v>-0.3733184066</v>
      </c>
      <c r="T2314" s="4">
        <f t="shared" si="10"/>
        <v>38</v>
      </c>
      <c r="U2314" s="4">
        <f t="shared" si="1"/>
        <v>-0.3733184066</v>
      </c>
      <c r="V2314" s="4"/>
    </row>
    <row r="2315">
      <c r="A2315" s="1" t="s">
        <v>20774</v>
      </c>
      <c r="B2315" s="1" t="s">
        <v>20775</v>
      </c>
      <c r="C2315" s="1" t="s">
        <v>20776</v>
      </c>
      <c r="D2315" s="1" t="s">
        <v>20538</v>
      </c>
      <c r="E2315" s="1" t="s">
        <v>20539</v>
      </c>
      <c r="F2315" s="1">
        <v>262857.0</v>
      </c>
      <c r="G2315" s="1">
        <v>8637.0</v>
      </c>
      <c r="H2315" s="1">
        <v>469.0</v>
      </c>
      <c r="I2315" s="1">
        <v>5150000.0</v>
      </c>
      <c r="J2315" s="1" t="s">
        <v>2468</v>
      </c>
      <c r="K2315" s="5">
        <f t="shared" si="2"/>
        <v>0.05104019417</v>
      </c>
      <c r="L2315" s="6">
        <f t="shared" si="3"/>
        <v>628</v>
      </c>
      <c r="M2315" s="6">
        <f t="shared" si="4"/>
        <v>418.5621019</v>
      </c>
      <c r="N2315" s="7">
        <f t="shared" si="5"/>
        <v>0.00008127419455</v>
      </c>
      <c r="O2315" s="7"/>
      <c r="P2315" s="4">
        <f t="shared" si="6"/>
        <v>-0.3922793715</v>
      </c>
      <c r="Q2315" s="4">
        <f t="shared" si="7"/>
        <v>8</v>
      </c>
      <c r="R2315" s="4">
        <f t="shared" si="8"/>
        <v>0</v>
      </c>
      <c r="S2315" s="4">
        <f t="shared" si="9"/>
        <v>-0.3922793715</v>
      </c>
      <c r="T2315" s="4">
        <f t="shared" si="10"/>
        <v>41</v>
      </c>
      <c r="U2315" s="4">
        <f t="shared" si="1"/>
        <v>-0.3922793715</v>
      </c>
      <c r="V2315" s="4"/>
    </row>
    <row r="2316">
      <c r="A2316" s="1" t="s">
        <v>20777</v>
      </c>
      <c r="B2316" s="1" t="s">
        <v>20778</v>
      </c>
      <c r="C2316" s="1" t="s">
        <v>20779</v>
      </c>
      <c r="D2316" s="1" t="s">
        <v>20538</v>
      </c>
      <c r="E2316" s="1" t="s">
        <v>20539</v>
      </c>
      <c r="F2316" s="1">
        <v>151148.0</v>
      </c>
      <c r="G2316" s="1">
        <v>6876.0</v>
      </c>
      <c r="H2316" s="1">
        <v>154.0</v>
      </c>
      <c r="I2316" s="1">
        <v>5150000.0</v>
      </c>
      <c r="J2316" s="1" t="s">
        <v>2468</v>
      </c>
      <c r="K2316" s="5">
        <f t="shared" si="2"/>
        <v>0.02934912621</v>
      </c>
      <c r="L2316" s="6">
        <f t="shared" si="3"/>
        <v>632</v>
      </c>
      <c r="M2316" s="6">
        <f t="shared" si="4"/>
        <v>239.1582278</v>
      </c>
      <c r="N2316" s="7">
        <f t="shared" si="5"/>
        <v>0.00004643849084</v>
      </c>
      <c r="O2316" s="7"/>
      <c r="P2316" s="4">
        <f t="shared" si="6"/>
        <v>-0.4168163672</v>
      </c>
      <c r="Q2316" s="4">
        <f t="shared" si="7"/>
        <v>8</v>
      </c>
      <c r="R2316" s="4">
        <f t="shared" si="8"/>
        <v>0</v>
      </c>
      <c r="S2316" s="4">
        <f t="shared" si="9"/>
        <v>-0.4168163672</v>
      </c>
      <c r="T2316" s="4">
        <f t="shared" si="10"/>
        <v>39</v>
      </c>
      <c r="U2316" s="4">
        <f t="shared" si="1"/>
        <v>-0.4168163672</v>
      </c>
      <c r="V2316" s="4"/>
    </row>
    <row r="2317">
      <c r="A2317" s="1" t="s">
        <v>20780</v>
      </c>
      <c r="B2317" s="1" t="s">
        <v>20781</v>
      </c>
      <c r="C2317" s="1" t="s">
        <v>20782</v>
      </c>
      <c r="D2317" s="1" t="s">
        <v>20538</v>
      </c>
      <c r="E2317" s="1" t="s">
        <v>20539</v>
      </c>
      <c r="F2317" s="1">
        <v>533235.0</v>
      </c>
      <c r="G2317" s="1">
        <v>15836.0</v>
      </c>
      <c r="H2317" s="1">
        <v>621.0</v>
      </c>
      <c r="I2317" s="1">
        <v>5150000.0</v>
      </c>
      <c r="J2317" s="1" t="s">
        <v>2468</v>
      </c>
      <c r="K2317" s="5">
        <f t="shared" si="2"/>
        <v>0.1035407767</v>
      </c>
      <c r="L2317" s="6">
        <f t="shared" si="3"/>
        <v>635</v>
      </c>
      <c r="M2317" s="6">
        <f t="shared" si="4"/>
        <v>839.7401575</v>
      </c>
      <c r="N2317" s="7">
        <f t="shared" si="5"/>
        <v>0.0001630563413</v>
      </c>
      <c r="O2317" s="7"/>
      <c r="P2317" s="4">
        <f t="shared" si="6"/>
        <v>-0.3346750184</v>
      </c>
      <c r="Q2317" s="4">
        <f t="shared" si="7"/>
        <v>10</v>
      </c>
      <c r="R2317" s="4">
        <f t="shared" si="8"/>
        <v>0</v>
      </c>
      <c r="S2317" s="4">
        <f t="shared" si="9"/>
        <v>-0.3346750184</v>
      </c>
      <c r="T2317" s="4">
        <f t="shared" si="10"/>
        <v>50</v>
      </c>
      <c r="U2317" s="4">
        <f t="shared" si="1"/>
        <v>-0.3346750184</v>
      </c>
      <c r="V2317" s="4"/>
    </row>
    <row r="2318">
      <c r="A2318" s="1" t="s">
        <v>20783</v>
      </c>
      <c r="B2318" s="1" t="s">
        <v>20784</v>
      </c>
      <c r="C2318" s="1" t="s">
        <v>20785</v>
      </c>
      <c r="D2318" s="1" t="s">
        <v>20538</v>
      </c>
      <c r="E2318" s="1" t="s">
        <v>20539</v>
      </c>
      <c r="F2318" s="1">
        <v>620657.0</v>
      </c>
      <c r="G2318" s="1">
        <v>21527.0</v>
      </c>
      <c r="H2318" s="1">
        <v>776.0</v>
      </c>
      <c r="I2318" s="1">
        <v>5150000.0</v>
      </c>
      <c r="J2318" s="1" t="s">
        <v>2468</v>
      </c>
      <c r="K2318" s="5">
        <f t="shared" si="2"/>
        <v>0.1205159223</v>
      </c>
      <c r="L2318" s="6">
        <f t="shared" si="3"/>
        <v>642</v>
      </c>
      <c r="M2318" s="6">
        <f t="shared" si="4"/>
        <v>966.7554517</v>
      </c>
      <c r="N2318" s="7">
        <f t="shared" si="5"/>
        <v>0.0001877195052</v>
      </c>
      <c r="O2318" s="7"/>
      <c r="P2318" s="4">
        <f t="shared" si="6"/>
        <v>-0.3173031878</v>
      </c>
      <c r="Q2318" s="4">
        <f t="shared" si="7"/>
        <v>8</v>
      </c>
      <c r="R2318" s="4">
        <f t="shared" si="8"/>
        <v>1</v>
      </c>
      <c r="S2318" s="4">
        <f t="shared" si="9"/>
        <v>-0.3173031878</v>
      </c>
      <c r="T2318" s="4">
        <f t="shared" si="10"/>
        <v>36</v>
      </c>
      <c r="U2318" s="4">
        <f t="shared" si="1"/>
        <v>-0.3173031878</v>
      </c>
      <c r="V2318" s="4"/>
    </row>
    <row r="2319">
      <c r="A2319" s="1" t="s">
        <v>20786</v>
      </c>
      <c r="B2319" s="1" t="s">
        <v>20787</v>
      </c>
      <c r="C2319" s="1" t="s">
        <v>20788</v>
      </c>
      <c r="D2319" s="1" t="s">
        <v>20538</v>
      </c>
      <c r="E2319" s="1" t="s">
        <v>20539</v>
      </c>
      <c r="F2319" s="1">
        <v>1440088.0</v>
      </c>
      <c r="G2319" s="1">
        <v>24577.0</v>
      </c>
      <c r="H2319" s="1">
        <v>895.0</v>
      </c>
      <c r="I2319" s="1">
        <v>5150000.0</v>
      </c>
      <c r="J2319" s="1" t="s">
        <v>2468</v>
      </c>
      <c r="K2319" s="5">
        <f t="shared" si="2"/>
        <v>0.2796287379</v>
      </c>
      <c r="L2319" s="6">
        <f t="shared" si="3"/>
        <v>649</v>
      </c>
      <c r="M2319" s="6">
        <f t="shared" si="4"/>
        <v>2218.933744</v>
      </c>
      <c r="N2319" s="7">
        <f t="shared" si="5"/>
        <v>0.0004308609212</v>
      </c>
      <c r="O2319" s="7"/>
      <c r="P2319" s="4">
        <f t="shared" si="6"/>
        <v>-0.1460432668</v>
      </c>
      <c r="Q2319" s="4">
        <f t="shared" si="7"/>
        <v>12</v>
      </c>
      <c r="R2319" s="4">
        <f t="shared" si="8"/>
        <v>1</v>
      </c>
      <c r="S2319" s="4">
        <f t="shared" si="9"/>
        <v>-0.1460432668</v>
      </c>
      <c r="T2319" s="4">
        <f t="shared" si="10"/>
        <v>48</v>
      </c>
      <c r="U2319" s="4">
        <f t="shared" si="1"/>
        <v>-0.1460432668</v>
      </c>
      <c r="V2319" s="4"/>
    </row>
    <row r="2320">
      <c r="A2320" s="1" t="s">
        <v>20789</v>
      </c>
      <c r="B2320" s="1" t="s">
        <v>20790</v>
      </c>
      <c r="C2320" s="1" t="s">
        <v>20791</v>
      </c>
      <c r="D2320" s="1" t="s">
        <v>20538</v>
      </c>
      <c r="E2320" s="1" t="s">
        <v>20539</v>
      </c>
      <c r="F2320" s="1">
        <v>722150.0</v>
      </c>
      <c r="G2320" s="1">
        <v>27995.0</v>
      </c>
      <c r="H2320" s="1">
        <v>1838.0</v>
      </c>
      <c r="I2320" s="1">
        <v>5150000.0</v>
      </c>
      <c r="J2320" s="1" t="s">
        <v>2468</v>
      </c>
      <c r="K2320" s="5">
        <f t="shared" si="2"/>
        <v>0.140223301</v>
      </c>
      <c r="L2320" s="6">
        <f t="shared" si="3"/>
        <v>656</v>
      </c>
      <c r="M2320" s="6">
        <f t="shared" si="4"/>
        <v>1100.838415</v>
      </c>
      <c r="N2320" s="7">
        <f t="shared" si="5"/>
        <v>0.000213755032</v>
      </c>
      <c r="O2320" s="7"/>
      <c r="P2320" s="4">
        <f t="shared" si="6"/>
        <v>-0.2989647149</v>
      </c>
      <c r="Q2320" s="4">
        <f t="shared" si="7"/>
        <v>5</v>
      </c>
      <c r="R2320" s="4">
        <f t="shared" si="8"/>
        <v>0</v>
      </c>
      <c r="S2320" s="4">
        <f t="shared" si="9"/>
        <v>-0.2989647149</v>
      </c>
      <c r="T2320" s="4">
        <f t="shared" si="10"/>
        <v>35</v>
      </c>
      <c r="U2320" s="4">
        <f t="shared" si="1"/>
        <v>-0.2989647149</v>
      </c>
      <c r="V2320" s="4"/>
    </row>
    <row r="2321">
      <c r="A2321" s="1" t="s">
        <v>20792</v>
      </c>
      <c r="B2321" s="1" t="s">
        <v>20793</v>
      </c>
      <c r="C2321" s="1" t="s">
        <v>20794</v>
      </c>
      <c r="D2321" s="1" t="s">
        <v>20538</v>
      </c>
      <c r="E2321" s="1" t="s">
        <v>20539</v>
      </c>
      <c r="F2321" s="1">
        <v>4736549.0</v>
      </c>
      <c r="G2321" s="1">
        <v>56157.0</v>
      </c>
      <c r="H2321" s="1">
        <v>2556.0</v>
      </c>
      <c r="I2321" s="1">
        <v>5150000.0</v>
      </c>
      <c r="J2321" s="1" t="s">
        <v>2468</v>
      </c>
      <c r="K2321" s="5">
        <f t="shared" si="2"/>
        <v>0.9197182524</v>
      </c>
      <c r="L2321" s="6">
        <f t="shared" si="3"/>
        <v>663</v>
      </c>
      <c r="M2321" s="6">
        <f t="shared" si="4"/>
        <v>7144.116139</v>
      </c>
      <c r="N2321" s="7">
        <f t="shared" si="5"/>
        <v>0.001387207017</v>
      </c>
      <c r="O2321" s="7"/>
      <c r="P2321" s="4">
        <f t="shared" si="6"/>
        <v>0.5275719466</v>
      </c>
      <c r="Q2321" s="4">
        <f t="shared" si="7"/>
        <v>8</v>
      </c>
      <c r="R2321" s="4">
        <f t="shared" si="8"/>
        <v>0</v>
      </c>
      <c r="S2321" s="4">
        <f t="shared" si="9"/>
        <v>0.5275719466</v>
      </c>
      <c r="T2321" s="4">
        <f t="shared" si="10"/>
        <v>46</v>
      </c>
      <c r="U2321" s="4">
        <f t="shared" si="1"/>
        <v>0.5275719466</v>
      </c>
      <c r="V2321" s="4"/>
    </row>
    <row r="2322">
      <c r="A2322" s="1" t="s">
        <v>20795</v>
      </c>
      <c r="B2322" s="1" t="s">
        <v>20796</v>
      </c>
      <c r="C2322" s="1" t="s">
        <v>20797</v>
      </c>
      <c r="D2322" s="1" t="s">
        <v>20538</v>
      </c>
      <c r="E2322" s="1" t="s">
        <v>20539</v>
      </c>
      <c r="F2322" s="1">
        <v>194083.0</v>
      </c>
      <c r="G2322" s="1">
        <v>7363.0</v>
      </c>
      <c r="H2322" s="1">
        <v>131.0</v>
      </c>
      <c r="I2322" s="1">
        <v>5150000.0</v>
      </c>
      <c r="J2322" s="1" t="s">
        <v>2468</v>
      </c>
      <c r="K2322" s="5">
        <f t="shared" si="2"/>
        <v>0.03768601942</v>
      </c>
      <c r="L2322" s="6">
        <f t="shared" si="3"/>
        <v>668</v>
      </c>
      <c r="M2322" s="6">
        <f t="shared" si="4"/>
        <v>290.5434132</v>
      </c>
      <c r="N2322" s="7">
        <f t="shared" si="5"/>
        <v>0.00005641619673</v>
      </c>
      <c r="O2322" s="7"/>
      <c r="P2322" s="4">
        <f t="shared" si="6"/>
        <v>-0.4097884361</v>
      </c>
      <c r="Q2322" s="4">
        <f t="shared" si="7"/>
        <v>3</v>
      </c>
      <c r="R2322" s="4">
        <f t="shared" si="8"/>
        <v>0</v>
      </c>
      <c r="S2322" s="4">
        <f t="shared" si="9"/>
        <v>-0.4097884361</v>
      </c>
      <c r="T2322" s="4">
        <f t="shared" si="10"/>
        <v>12</v>
      </c>
      <c r="U2322" s="4">
        <f t="shared" si="1"/>
        <v>-0.4097884361</v>
      </c>
      <c r="V2322" s="4"/>
    </row>
    <row r="2323">
      <c r="A2323" s="1" t="s">
        <v>20798</v>
      </c>
      <c r="B2323" s="1" t="s">
        <v>20799</v>
      </c>
      <c r="C2323" s="1" t="s">
        <v>20800</v>
      </c>
      <c r="D2323" s="1" t="s">
        <v>20538</v>
      </c>
      <c r="E2323" s="1" t="s">
        <v>20539</v>
      </c>
      <c r="F2323" s="1">
        <v>182639.0</v>
      </c>
      <c r="G2323" s="1">
        <v>7887.0</v>
      </c>
      <c r="H2323" s="1">
        <v>345.0</v>
      </c>
      <c r="I2323" s="1">
        <v>5150000.0</v>
      </c>
      <c r="J2323" s="1" t="s">
        <v>2468</v>
      </c>
      <c r="K2323" s="5">
        <f t="shared" si="2"/>
        <v>0.0354638835</v>
      </c>
      <c r="L2323" s="6">
        <f t="shared" si="3"/>
        <v>670</v>
      </c>
      <c r="M2323" s="6">
        <f t="shared" si="4"/>
        <v>272.5955224</v>
      </c>
      <c r="N2323" s="7">
        <f t="shared" si="5"/>
        <v>0.0000529311694</v>
      </c>
      <c r="O2323" s="7"/>
      <c r="P2323" s="4">
        <f t="shared" si="6"/>
        <v>-0.4122431619</v>
      </c>
      <c r="Q2323" s="4">
        <f t="shared" si="7"/>
        <v>11</v>
      </c>
      <c r="R2323" s="4">
        <f t="shared" si="8"/>
        <v>1</v>
      </c>
      <c r="S2323" s="4">
        <f t="shared" si="9"/>
        <v>-0.4122431619</v>
      </c>
      <c r="T2323" s="4">
        <f t="shared" si="10"/>
        <v>56</v>
      </c>
      <c r="U2323" s="4">
        <f t="shared" si="1"/>
        <v>-0.4122431619</v>
      </c>
      <c r="V2323" s="4"/>
    </row>
    <row r="2324">
      <c r="A2324" s="1" t="s">
        <v>20801</v>
      </c>
      <c r="B2324" s="1" t="s">
        <v>20802</v>
      </c>
      <c r="C2324" s="1" t="s">
        <v>20803</v>
      </c>
      <c r="D2324" s="1" t="s">
        <v>20538</v>
      </c>
      <c r="E2324" s="1" t="s">
        <v>20539</v>
      </c>
      <c r="F2324" s="1">
        <v>249122.0</v>
      </c>
      <c r="G2324" s="1">
        <v>10718.0</v>
      </c>
      <c r="H2324" s="1">
        <v>414.0</v>
      </c>
      <c r="I2324" s="1">
        <v>5150000.0</v>
      </c>
      <c r="J2324" s="1" t="s">
        <v>2468</v>
      </c>
      <c r="K2324" s="5">
        <f t="shared" si="2"/>
        <v>0.04837320388</v>
      </c>
      <c r="L2324" s="6">
        <f t="shared" si="3"/>
        <v>677</v>
      </c>
      <c r="M2324" s="6">
        <f t="shared" si="4"/>
        <v>367.9793205</v>
      </c>
      <c r="N2324" s="7">
        <f t="shared" si="5"/>
        <v>0.00007145229525</v>
      </c>
      <c r="O2324" s="7"/>
      <c r="P2324" s="4">
        <f t="shared" si="6"/>
        <v>-0.3991975582</v>
      </c>
      <c r="Q2324" s="4">
        <f t="shared" si="7"/>
        <v>8</v>
      </c>
      <c r="R2324" s="4">
        <f t="shared" si="8"/>
        <v>0</v>
      </c>
      <c r="S2324" s="4">
        <f t="shared" si="9"/>
        <v>-0.3991975582</v>
      </c>
      <c r="T2324" s="4">
        <f t="shared" si="10"/>
        <v>42</v>
      </c>
      <c r="U2324" s="4">
        <f t="shared" si="1"/>
        <v>-0.3991975582</v>
      </c>
      <c r="V2324" s="4"/>
    </row>
    <row r="2325">
      <c r="A2325" s="1" t="s">
        <v>20804</v>
      </c>
      <c r="B2325" s="1" t="s">
        <v>20805</v>
      </c>
      <c r="C2325" s="1" t="s">
        <v>20806</v>
      </c>
      <c r="D2325" s="1" t="s">
        <v>20538</v>
      </c>
      <c r="E2325" s="1" t="s">
        <v>20539</v>
      </c>
      <c r="F2325" s="1">
        <v>142690.0</v>
      </c>
      <c r="G2325" s="1">
        <v>7530.0</v>
      </c>
      <c r="H2325" s="1">
        <v>417.0</v>
      </c>
      <c r="I2325" s="1">
        <v>5150000.0</v>
      </c>
      <c r="J2325" s="1" t="s">
        <v>2468</v>
      </c>
      <c r="K2325" s="5">
        <f t="shared" si="2"/>
        <v>0.02770679612</v>
      </c>
      <c r="L2325" s="6">
        <f t="shared" si="3"/>
        <v>684</v>
      </c>
      <c r="M2325" s="6">
        <f t="shared" si="4"/>
        <v>208.6111111</v>
      </c>
      <c r="N2325" s="7">
        <f t="shared" si="5"/>
        <v>0.00004050701187</v>
      </c>
      <c r="O2325" s="7"/>
      <c r="P2325" s="4">
        <f t="shared" si="6"/>
        <v>-0.420994284</v>
      </c>
      <c r="Q2325" s="4">
        <f t="shared" si="7"/>
        <v>6</v>
      </c>
      <c r="R2325" s="4">
        <f t="shared" si="8"/>
        <v>0</v>
      </c>
      <c r="S2325" s="4">
        <f t="shared" si="9"/>
        <v>-0.420994284</v>
      </c>
      <c r="T2325" s="4">
        <f t="shared" si="10"/>
        <v>36</v>
      </c>
      <c r="U2325" s="4">
        <f t="shared" si="1"/>
        <v>-0.420994284</v>
      </c>
      <c r="V2325" s="4"/>
    </row>
    <row r="2326">
      <c r="A2326" s="1" t="s">
        <v>20807</v>
      </c>
      <c r="B2326" s="1" t="s">
        <v>20808</v>
      </c>
      <c r="C2326" s="1" t="s">
        <v>20809</v>
      </c>
      <c r="D2326" s="1" t="s">
        <v>20538</v>
      </c>
      <c r="E2326" s="1" t="s">
        <v>20539</v>
      </c>
      <c r="F2326" s="1">
        <v>3462776.0</v>
      </c>
      <c r="G2326" s="1">
        <v>35808.0</v>
      </c>
      <c r="H2326" s="1">
        <v>147.0</v>
      </c>
      <c r="I2326" s="1">
        <v>5150000.0</v>
      </c>
      <c r="J2326" s="1" t="s">
        <v>2468</v>
      </c>
      <c r="K2326" s="5">
        <f t="shared" si="2"/>
        <v>0.6723836893</v>
      </c>
      <c r="L2326" s="6">
        <f t="shared" si="3"/>
        <v>685</v>
      </c>
      <c r="M2326" s="6">
        <f t="shared" si="4"/>
        <v>5055.147445</v>
      </c>
      <c r="N2326" s="7">
        <f t="shared" si="5"/>
        <v>0.0009815820282</v>
      </c>
      <c r="O2326" s="7"/>
      <c r="P2326" s="4">
        <f t="shared" si="6"/>
        <v>0.2418645393</v>
      </c>
      <c r="Q2326" s="4">
        <f t="shared" si="7"/>
        <v>2</v>
      </c>
      <c r="R2326" s="4">
        <f t="shared" si="8"/>
        <v>0</v>
      </c>
      <c r="S2326" s="4">
        <f t="shared" si="9"/>
        <v>0.2418645393</v>
      </c>
      <c r="T2326" s="4">
        <f t="shared" si="10"/>
        <v>22</v>
      </c>
      <c r="U2326" s="4">
        <f t="shared" si="1"/>
        <v>0.2418645393</v>
      </c>
      <c r="V2326" s="4"/>
    </row>
    <row r="2327">
      <c r="A2327" s="1" t="s">
        <v>20810</v>
      </c>
      <c r="B2327" s="1" t="s">
        <v>20811</v>
      </c>
      <c r="C2327" s="1" t="s">
        <v>20812</v>
      </c>
      <c r="D2327" s="1" t="s">
        <v>20538</v>
      </c>
      <c r="E2327" s="1" t="s">
        <v>20539</v>
      </c>
      <c r="F2327" s="1">
        <v>1470713.0</v>
      </c>
      <c r="G2327" s="1">
        <v>76645.0</v>
      </c>
      <c r="H2327" s="1">
        <v>865.0</v>
      </c>
      <c r="I2327" s="1">
        <v>5150000.0</v>
      </c>
      <c r="J2327" s="1" t="s">
        <v>2468</v>
      </c>
      <c r="K2327" s="5">
        <f t="shared" si="2"/>
        <v>0.2855753398</v>
      </c>
      <c r="L2327" s="6">
        <f t="shared" si="3"/>
        <v>689</v>
      </c>
      <c r="M2327" s="6">
        <f t="shared" si="4"/>
        <v>2134.561684</v>
      </c>
      <c r="N2327" s="7">
        <f t="shared" si="5"/>
        <v>0.0004144779968</v>
      </c>
      <c r="O2327" s="7"/>
      <c r="P2327" s="4">
        <f t="shared" si="6"/>
        <v>-0.1575827996</v>
      </c>
      <c r="Q2327" s="4">
        <f t="shared" si="7"/>
        <v>3</v>
      </c>
      <c r="R2327" s="4">
        <f t="shared" si="8"/>
        <v>0</v>
      </c>
      <c r="S2327" s="4">
        <f t="shared" si="9"/>
        <v>-0.1575827996</v>
      </c>
      <c r="T2327" s="4">
        <f t="shared" si="10"/>
        <v>12</v>
      </c>
      <c r="U2327" s="4">
        <f t="shared" si="1"/>
        <v>-0.1575827996</v>
      </c>
      <c r="V2327" s="4"/>
    </row>
    <row r="2328">
      <c r="A2328" s="1" t="s">
        <v>20813</v>
      </c>
      <c r="B2328" s="1" t="s">
        <v>20814</v>
      </c>
      <c r="C2328" s="1" t="s">
        <v>20815</v>
      </c>
      <c r="D2328" s="1" t="s">
        <v>20538</v>
      </c>
      <c r="E2328" s="1" t="s">
        <v>20539</v>
      </c>
      <c r="F2328" s="1">
        <v>194368.0</v>
      </c>
      <c r="G2328" s="1">
        <v>8826.0</v>
      </c>
      <c r="H2328" s="1">
        <v>839.0</v>
      </c>
      <c r="I2328" s="1">
        <v>5150000.0</v>
      </c>
      <c r="J2328" s="1" t="s">
        <v>2468</v>
      </c>
      <c r="K2328" s="5">
        <f t="shared" si="2"/>
        <v>0.03774135922</v>
      </c>
      <c r="L2328" s="6">
        <f t="shared" si="3"/>
        <v>691</v>
      </c>
      <c r="M2328" s="6">
        <f t="shared" si="4"/>
        <v>281.2850941</v>
      </c>
      <c r="N2328" s="7">
        <f t="shared" si="5"/>
        <v>0.00005461846487</v>
      </c>
      <c r="O2328" s="7"/>
      <c r="P2328" s="4">
        <f t="shared" si="6"/>
        <v>-0.4110546926</v>
      </c>
      <c r="Q2328" s="4">
        <f t="shared" si="7"/>
        <v>9</v>
      </c>
      <c r="R2328" s="4">
        <f t="shared" si="8"/>
        <v>0</v>
      </c>
      <c r="S2328" s="4">
        <f t="shared" si="9"/>
        <v>-0.4110546926</v>
      </c>
      <c r="T2328" s="4">
        <f t="shared" si="10"/>
        <v>48</v>
      </c>
      <c r="U2328" s="4">
        <f t="shared" si="1"/>
        <v>-0.4110546926</v>
      </c>
      <c r="V2328" s="4"/>
    </row>
    <row r="2329">
      <c r="A2329" s="1" t="s">
        <v>20816</v>
      </c>
      <c r="B2329" s="1" t="s">
        <v>20817</v>
      </c>
      <c r="C2329" s="1" t="s">
        <v>20818</v>
      </c>
      <c r="D2329" s="1" t="s">
        <v>20538</v>
      </c>
      <c r="E2329" s="1" t="s">
        <v>20539</v>
      </c>
      <c r="F2329" s="1">
        <v>597361.0</v>
      </c>
      <c r="G2329" s="1">
        <v>14450.0</v>
      </c>
      <c r="H2329" s="1">
        <v>1364.0</v>
      </c>
      <c r="I2329" s="1">
        <v>5150000.0</v>
      </c>
      <c r="J2329" s="1" t="s">
        <v>2468</v>
      </c>
      <c r="K2329" s="5">
        <f t="shared" si="2"/>
        <v>0.1159924272</v>
      </c>
      <c r="L2329" s="6">
        <f t="shared" si="3"/>
        <v>698</v>
      </c>
      <c r="M2329" s="6">
        <f t="shared" si="4"/>
        <v>855.8180516</v>
      </c>
      <c r="N2329" s="7">
        <f t="shared" si="5"/>
        <v>0.0001661782624</v>
      </c>
      <c r="O2329" s="7"/>
      <c r="P2329" s="4">
        <f t="shared" si="6"/>
        <v>-0.3324760513</v>
      </c>
      <c r="Q2329" s="4">
        <f t="shared" si="7"/>
        <v>6</v>
      </c>
      <c r="R2329" s="4">
        <f t="shared" si="8"/>
        <v>1</v>
      </c>
      <c r="S2329" s="4">
        <f t="shared" si="9"/>
        <v>-0.3324760513</v>
      </c>
      <c r="T2329" s="4">
        <f t="shared" si="10"/>
        <v>34</v>
      </c>
      <c r="U2329" s="4">
        <f t="shared" si="1"/>
        <v>-0.3324760513</v>
      </c>
      <c r="V2329" s="4"/>
    </row>
    <row r="2330">
      <c r="A2330" s="1" t="s">
        <v>20819</v>
      </c>
      <c r="B2330" s="1" t="s">
        <v>20820</v>
      </c>
      <c r="C2330" s="1" t="s">
        <v>20821</v>
      </c>
      <c r="D2330" s="1" t="s">
        <v>20538</v>
      </c>
      <c r="E2330" s="1" t="s">
        <v>20539</v>
      </c>
      <c r="F2330" s="1">
        <v>618776.0</v>
      </c>
      <c r="G2330" s="1">
        <v>25104.0</v>
      </c>
      <c r="H2330" s="1">
        <v>1465.0</v>
      </c>
      <c r="I2330" s="1">
        <v>5150000.0</v>
      </c>
      <c r="J2330" s="1" t="s">
        <v>2468</v>
      </c>
      <c r="K2330" s="5">
        <f t="shared" si="2"/>
        <v>0.1201506796</v>
      </c>
      <c r="L2330" s="6">
        <f t="shared" si="3"/>
        <v>705</v>
      </c>
      <c r="M2330" s="6">
        <f t="shared" si="4"/>
        <v>877.6964539</v>
      </c>
      <c r="N2330" s="7">
        <f t="shared" si="5"/>
        <v>0.0001704264959</v>
      </c>
      <c r="O2330" s="7"/>
      <c r="P2330" s="4">
        <f t="shared" si="6"/>
        <v>-0.329483751</v>
      </c>
      <c r="Q2330" s="4">
        <f t="shared" si="7"/>
        <v>10</v>
      </c>
      <c r="R2330" s="4">
        <f t="shared" si="8"/>
        <v>1</v>
      </c>
      <c r="S2330" s="4">
        <f t="shared" si="9"/>
        <v>-0.329483751</v>
      </c>
      <c r="T2330" s="4">
        <f t="shared" si="10"/>
        <v>45</v>
      </c>
      <c r="U2330" s="4">
        <f t="shared" si="1"/>
        <v>-0.329483751</v>
      </c>
      <c r="V2330" s="4"/>
    </row>
    <row r="2331">
      <c r="A2331" s="1" t="s">
        <v>20822</v>
      </c>
      <c r="B2331" s="1" t="s">
        <v>20823</v>
      </c>
      <c r="C2331" s="1" t="s">
        <v>20824</v>
      </c>
      <c r="D2331" s="1" t="s">
        <v>20538</v>
      </c>
      <c r="E2331" s="1" t="s">
        <v>20539</v>
      </c>
      <c r="F2331" s="1">
        <v>127342.0</v>
      </c>
      <c r="G2331" s="1">
        <v>3776.0</v>
      </c>
      <c r="H2331" s="1">
        <v>336.0</v>
      </c>
      <c r="I2331" s="1">
        <v>5150000.0</v>
      </c>
      <c r="J2331" s="1" t="s">
        <v>2468</v>
      </c>
      <c r="K2331" s="5">
        <f t="shared" si="2"/>
        <v>0.02472660194</v>
      </c>
      <c r="L2331" s="6">
        <f t="shared" si="3"/>
        <v>709</v>
      </c>
      <c r="M2331" s="6">
        <f t="shared" si="4"/>
        <v>179.6078984</v>
      </c>
      <c r="N2331" s="7">
        <f t="shared" si="5"/>
        <v>0.00003487532009</v>
      </c>
      <c r="O2331" s="7"/>
      <c r="P2331" s="4">
        <f t="shared" si="6"/>
        <v>-0.4249610418</v>
      </c>
      <c r="Q2331" s="4">
        <f t="shared" si="7"/>
        <v>14</v>
      </c>
      <c r="R2331" s="4">
        <f t="shared" si="8"/>
        <v>0</v>
      </c>
      <c r="S2331" s="4">
        <f t="shared" si="9"/>
        <v>-0.4249610418</v>
      </c>
      <c r="T2331" s="4">
        <f t="shared" si="10"/>
        <v>75</v>
      </c>
      <c r="U2331" s="4">
        <f t="shared" si="1"/>
        <v>-0.4249610418</v>
      </c>
      <c r="V2331" s="4"/>
    </row>
    <row r="2332">
      <c r="A2332" s="1" t="s">
        <v>20825</v>
      </c>
      <c r="B2332" s="1" t="s">
        <v>20826</v>
      </c>
      <c r="C2332" s="1" t="s">
        <v>20827</v>
      </c>
      <c r="D2332" s="1" t="s">
        <v>20538</v>
      </c>
      <c r="E2332" s="1" t="s">
        <v>20539</v>
      </c>
      <c r="F2332" s="1">
        <v>211555.0</v>
      </c>
      <c r="G2332" s="1">
        <v>11054.0</v>
      </c>
      <c r="H2332" s="1">
        <v>260.0</v>
      </c>
      <c r="I2332" s="1">
        <v>5150000.0</v>
      </c>
      <c r="J2332" s="1" t="s">
        <v>2468</v>
      </c>
      <c r="K2332" s="5">
        <f t="shared" si="2"/>
        <v>0.04107864078</v>
      </c>
      <c r="L2332" s="6">
        <f t="shared" si="3"/>
        <v>711</v>
      </c>
      <c r="M2332" s="6">
        <f t="shared" si="4"/>
        <v>297.5457103</v>
      </c>
      <c r="N2332" s="7">
        <f t="shared" si="5"/>
        <v>0.00005777586607</v>
      </c>
      <c r="O2332" s="7"/>
      <c r="P2332" s="4">
        <f t="shared" si="6"/>
        <v>-0.4088307347</v>
      </c>
      <c r="Q2332" s="4">
        <f t="shared" si="7"/>
        <v>2</v>
      </c>
      <c r="R2332" s="4">
        <f t="shared" si="8"/>
        <v>0</v>
      </c>
      <c r="S2332" s="4">
        <f t="shared" si="9"/>
        <v>-0.4088307347</v>
      </c>
      <c r="T2332" s="4">
        <f t="shared" si="10"/>
        <v>16</v>
      </c>
      <c r="U2332" s="4">
        <f t="shared" si="1"/>
        <v>-0.4088307347</v>
      </c>
      <c r="V2332" s="4"/>
    </row>
    <row r="2333">
      <c r="A2333" s="1" t="s">
        <v>20828</v>
      </c>
      <c r="B2333" s="1" t="s">
        <v>20829</v>
      </c>
      <c r="C2333" s="1" t="s">
        <v>20830</v>
      </c>
      <c r="D2333" s="1" t="s">
        <v>20538</v>
      </c>
      <c r="E2333" s="1" t="s">
        <v>20539</v>
      </c>
      <c r="F2333" s="1">
        <v>1372688.0</v>
      </c>
      <c r="G2333" s="1">
        <v>28338.0</v>
      </c>
      <c r="H2333" s="1">
        <v>1288.0</v>
      </c>
      <c r="I2333" s="1">
        <v>5150000.0</v>
      </c>
      <c r="J2333" s="1" t="s">
        <v>2468</v>
      </c>
      <c r="K2333" s="5">
        <f t="shared" si="2"/>
        <v>0.2665413592</v>
      </c>
      <c r="L2333" s="6">
        <f t="shared" si="3"/>
        <v>719</v>
      </c>
      <c r="M2333" s="6">
        <f t="shared" si="4"/>
        <v>1909.162726</v>
      </c>
      <c r="N2333" s="7">
        <f t="shared" si="5"/>
        <v>0.0003707112089</v>
      </c>
      <c r="O2333" s="7"/>
      <c r="P2333" s="4">
        <f t="shared" si="6"/>
        <v>-0.1884105242</v>
      </c>
      <c r="Q2333" s="4">
        <f t="shared" si="7"/>
        <v>6</v>
      </c>
      <c r="R2333" s="4">
        <f t="shared" si="8"/>
        <v>0</v>
      </c>
      <c r="S2333" s="4">
        <f t="shared" si="9"/>
        <v>-0.1884105242</v>
      </c>
      <c r="T2333" s="4">
        <f t="shared" si="10"/>
        <v>31</v>
      </c>
      <c r="U2333" s="4">
        <f t="shared" si="1"/>
        <v>-0.1884105242</v>
      </c>
      <c r="V2333" s="4"/>
    </row>
    <row r="2334">
      <c r="A2334" s="1" t="s">
        <v>20831</v>
      </c>
      <c r="B2334" s="1" t="s">
        <v>20832</v>
      </c>
      <c r="C2334" s="1" t="s">
        <v>20833</v>
      </c>
      <c r="D2334" s="1" t="s">
        <v>20834</v>
      </c>
      <c r="E2334" s="1" t="s">
        <v>20835</v>
      </c>
      <c r="F2334" s="1">
        <v>93666.0</v>
      </c>
      <c r="G2334" s="1">
        <v>6240.0</v>
      </c>
      <c r="H2334" s="1">
        <v>327.0</v>
      </c>
      <c r="I2334" s="1">
        <v>3540000.0</v>
      </c>
      <c r="J2334" s="1" t="s">
        <v>2468</v>
      </c>
      <c r="K2334" s="5">
        <f t="shared" si="2"/>
        <v>0.02645932203</v>
      </c>
      <c r="L2334" s="6">
        <f t="shared" si="3"/>
        <v>77</v>
      </c>
      <c r="M2334" s="6">
        <f t="shared" si="4"/>
        <v>1216.441558</v>
      </c>
      <c r="N2334" s="7">
        <f t="shared" si="5"/>
        <v>0.0003436275589</v>
      </c>
      <c r="O2334" s="7"/>
      <c r="P2334" s="4">
        <f t="shared" si="6"/>
        <v>-0.2074872568</v>
      </c>
      <c r="Q2334" s="4">
        <f t="shared" si="7"/>
        <v>7</v>
      </c>
      <c r="R2334" s="4">
        <f t="shared" si="8"/>
        <v>0</v>
      </c>
      <c r="S2334" s="4">
        <f t="shared" si="9"/>
        <v>-0.2074872568</v>
      </c>
      <c r="T2334" s="4">
        <f t="shared" si="10"/>
        <v>34</v>
      </c>
      <c r="U2334" s="4">
        <f t="shared" si="1"/>
        <v>-0.2074872568</v>
      </c>
      <c r="V2334" s="4"/>
    </row>
    <row r="2335">
      <c r="A2335" s="1" t="s">
        <v>20836</v>
      </c>
      <c r="B2335" s="1" t="s">
        <v>20837</v>
      </c>
      <c r="C2335" s="1" t="s">
        <v>20838</v>
      </c>
      <c r="D2335" s="1" t="s">
        <v>20834</v>
      </c>
      <c r="E2335" s="1" t="s">
        <v>20835</v>
      </c>
      <c r="F2335" s="1">
        <v>469345.0</v>
      </c>
      <c r="G2335" s="1">
        <v>31355.0</v>
      </c>
      <c r="H2335" s="1">
        <v>647.0</v>
      </c>
      <c r="I2335" s="1">
        <v>3540000.0</v>
      </c>
      <c r="J2335" s="1" t="s">
        <v>2468</v>
      </c>
      <c r="K2335" s="5">
        <f t="shared" si="2"/>
        <v>0.1325833333</v>
      </c>
      <c r="L2335" s="6">
        <f t="shared" si="3"/>
        <v>85</v>
      </c>
      <c r="M2335" s="6">
        <f t="shared" si="4"/>
        <v>5521.705882</v>
      </c>
      <c r="N2335" s="7">
        <f t="shared" si="5"/>
        <v>0.001559803922</v>
      </c>
      <c r="O2335" s="7"/>
      <c r="P2335" s="4">
        <f t="shared" si="6"/>
        <v>0.6491428936</v>
      </c>
      <c r="Q2335" s="4">
        <f t="shared" si="7"/>
        <v>5</v>
      </c>
      <c r="R2335" s="4">
        <f t="shared" si="8"/>
        <v>0</v>
      </c>
      <c r="S2335" s="4">
        <f t="shared" si="9"/>
        <v>0.6491428936</v>
      </c>
      <c r="T2335" s="4">
        <f t="shared" si="10"/>
        <v>31</v>
      </c>
      <c r="U2335" s="4">
        <f t="shared" si="1"/>
        <v>0.6491428936</v>
      </c>
      <c r="V2335" s="4"/>
    </row>
    <row r="2336">
      <c r="A2336" s="1" t="s">
        <v>20839</v>
      </c>
      <c r="B2336" s="1" t="s">
        <v>20840</v>
      </c>
      <c r="C2336" s="1" t="s">
        <v>20841</v>
      </c>
      <c r="D2336" s="1" t="s">
        <v>20834</v>
      </c>
      <c r="E2336" s="1" t="s">
        <v>20835</v>
      </c>
      <c r="F2336" s="1">
        <v>164534.0</v>
      </c>
      <c r="G2336" s="1">
        <v>8838.0</v>
      </c>
      <c r="H2336" s="1">
        <v>211.0</v>
      </c>
      <c r="I2336" s="1">
        <v>3540000.0</v>
      </c>
      <c r="J2336" s="1" t="s">
        <v>2468</v>
      </c>
      <c r="K2336" s="5">
        <f t="shared" si="2"/>
        <v>0.04647853107</v>
      </c>
      <c r="L2336" s="6">
        <f t="shared" si="3"/>
        <v>95</v>
      </c>
      <c r="M2336" s="6">
        <f t="shared" si="4"/>
        <v>1731.936842</v>
      </c>
      <c r="N2336" s="7">
        <f t="shared" si="5"/>
        <v>0.0004892476955</v>
      </c>
      <c r="O2336" s="7"/>
      <c r="P2336" s="4">
        <f t="shared" si="6"/>
        <v>-0.1049177584</v>
      </c>
      <c r="Q2336" s="4">
        <f t="shared" si="7"/>
        <v>8</v>
      </c>
      <c r="R2336" s="4">
        <f t="shared" si="8"/>
        <v>0</v>
      </c>
      <c r="S2336" s="4">
        <f t="shared" si="9"/>
        <v>-0.1049177584</v>
      </c>
      <c r="T2336" s="4">
        <f t="shared" si="10"/>
        <v>35</v>
      </c>
      <c r="U2336" s="4">
        <f t="shared" si="1"/>
        <v>-0.1049177584</v>
      </c>
      <c r="V2336" s="4"/>
    </row>
    <row r="2337">
      <c r="A2337" s="1" t="s">
        <v>20842</v>
      </c>
      <c r="B2337" s="1" t="s">
        <v>20843</v>
      </c>
      <c r="C2337" s="1" t="s">
        <v>20844</v>
      </c>
      <c r="D2337" s="1" t="s">
        <v>20834</v>
      </c>
      <c r="E2337" s="1" t="s">
        <v>20835</v>
      </c>
      <c r="F2337" s="1">
        <v>124472.0</v>
      </c>
      <c r="G2337" s="1">
        <v>5096.0</v>
      </c>
      <c r="H2337" s="1">
        <v>93.0</v>
      </c>
      <c r="I2337" s="1">
        <v>3540000.0</v>
      </c>
      <c r="J2337" s="1" t="s">
        <v>2468</v>
      </c>
      <c r="K2337" s="5">
        <f t="shared" si="2"/>
        <v>0.03516158192</v>
      </c>
      <c r="L2337" s="6">
        <f t="shared" si="3"/>
        <v>113</v>
      </c>
      <c r="M2337" s="6">
        <f t="shared" si="4"/>
        <v>1101.522124</v>
      </c>
      <c r="N2337" s="7">
        <f t="shared" si="5"/>
        <v>0.0003111644418</v>
      </c>
      <c r="O2337" s="7"/>
      <c r="P2337" s="4">
        <f t="shared" si="6"/>
        <v>-0.2303530892</v>
      </c>
      <c r="Q2337" s="4">
        <f t="shared" si="7"/>
        <v>6</v>
      </c>
      <c r="R2337" s="4">
        <f t="shared" si="8"/>
        <v>0</v>
      </c>
      <c r="S2337" s="4">
        <f t="shared" si="9"/>
        <v>-0.2303530892</v>
      </c>
      <c r="T2337" s="4">
        <f t="shared" si="10"/>
        <v>26</v>
      </c>
      <c r="U2337" s="4">
        <f t="shared" si="1"/>
        <v>-0.2303530892</v>
      </c>
      <c r="V2337" s="4"/>
    </row>
    <row r="2338">
      <c r="A2338" s="1" t="s">
        <v>20845</v>
      </c>
      <c r="B2338" s="1" t="s">
        <v>20846</v>
      </c>
      <c r="C2338" s="1" t="s">
        <v>20847</v>
      </c>
      <c r="D2338" s="1" t="s">
        <v>20834</v>
      </c>
      <c r="E2338" s="1" t="s">
        <v>20835</v>
      </c>
      <c r="F2338" s="1">
        <v>1626356.0</v>
      </c>
      <c r="G2338" s="1">
        <v>36695.0</v>
      </c>
      <c r="H2338" s="1">
        <v>1122.0</v>
      </c>
      <c r="I2338" s="1">
        <v>3540000.0</v>
      </c>
      <c r="J2338" s="1" t="s">
        <v>2468</v>
      </c>
      <c r="K2338" s="5">
        <f t="shared" si="2"/>
        <v>0.4594225989</v>
      </c>
      <c r="L2338" s="6">
        <f t="shared" si="3"/>
        <v>124</v>
      </c>
      <c r="M2338" s="6">
        <f t="shared" si="4"/>
        <v>13115.77419</v>
      </c>
      <c r="N2338" s="7">
        <f t="shared" si="5"/>
        <v>0.003705020959</v>
      </c>
      <c r="O2338" s="7"/>
      <c r="P2338" s="4">
        <f t="shared" si="6"/>
        <v>2.160155317</v>
      </c>
      <c r="Q2338" s="4">
        <f t="shared" si="7"/>
        <v>7</v>
      </c>
      <c r="R2338" s="4">
        <f t="shared" si="8"/>
        <v>1</v>
      </c>
      <c r="S2338" s="4">
        <f t="shared" si="9"/>
        <v>2.160155317</v>
      </c>
      <c r="T2338" s="4">
        <f t="shared" si="10"/>
        <v>34</v>
      </c>
      <c r="U2338" s="4">
        <f t="shared" si="1"/>
        <v>2.160155317</v>
      </c>
      <c r="V2338" s="4"/>
    </row>
    <row r="2339">
      <c r="A2339" s="1" t="s">
        <v>20848</v>
      </c>
      <c r="B2339" s="1" t="s">
        <v>20849</v>
      </c>
      <c r="C2339" s="1" t="s">
        <v>20850</v>
      </c>
      <c r="D2339" s="1" t="s">
        <v>20834</v>
      </c>
      <c r="E2339" s="1" t="s">
        <v>20835</v>
      </c>
      <c r="F2339" s="1">
        <v>426808.0</v>
      </c>
      <c r="G2339" s="1">
        <v>27738.0</v>
      </c>
      <c r="H2339" s="1">
        <v>751.0</v>
      </c>
      <c r="I2339" s="1">
        <v>3540000.0</v>
      </c>
      <c r="J2339" s="1" t="s">
        <v>2468</v>
      </c>
      <c r="K2339" s="5">
        <f t="shared" si="2"/>
        <v>0.1205672316</v>
      </c>
      <c r="L2339" s="6">
        <f t="shared" si="3"/>
        <v>130</v>
      </c>
      <c r="M2339" s="6">
        <f t="shared" si="4"/>
        <v>3283.138462</v>
      </c>
      <c r="N2339" s="7">
        <f t="shared" si="5"/>
        <v>0.0009274402434</v>
      </c>
      <c r="O2339" s="7"/>
      <c r="P2339" s="4">
        <f t="shared" si="6"/>
        <v>0.2037290462</v>
      </c>
      <c r="Q2339" s="4">
        <f t="shared" si="7"/>
        <v>5</v>
      </c>
      <c r="R2339" s="4">
        <f t="shared" si="8"/>
        <v>0</v>
      </c>
      <c r="S2339" s="4">
        <f t="shared" si="9"/>
        <v>0.2037290462</v>
      </c>
      <c r="T2339" s="4">
        <f t="shared" si="10"/>
        <v>19</v>
      </c>
      <c r="U2339" s="4">
        <f t="shared" si="1"/>
        <v>0.2037290462</v>
      </c>
      <c r="V2339" s="4"/>
    </row>
    <row r="2340">
      <c r="A2340" s="1" t="s">
        <v>20851</v>
      </c>
      <c r="B2340" s="1" t="s">
        <v>20852</v>
      </c>
      <c r="C2340" s="1" t="s">
        <v>20853</v>
      </c>
      <c r="D2340" s="1" t="s">
        <v>20834</v>
      </c>
      <c r="E2340" s="1" t="s">
        <v>20835</v>
      </c>
      <c r="F2340" s="1">
        <v>234136.0</v>
      </c>
      <c r="G2340" s="1">
        <v>14418.0</v>
      </c>
      <c r="H2340" s="1">
        <v>469.0</v>
      </c>
      <c r="I2340" s="1">
        <v>3540000.0</v>
      </c>
      <c r="J2340" s="1" t="s">
        <v>2468</v>
      </c>
      <c r="K2340" s="5">
        <f t="shared" si="2"/>
        <v>0.06614011299</v>
      </c>
      <c r="L2340" s="6">
        <f t="shared" si="3"/>
        <v>138</v>
      </c>
      <c r="M2340" s="6">
        <f t="shared" si="4"/>
        <v>1696.637681</v>
      </c>
      <c r="N2340" s="7">
        <f t="shared" si="5"/>
        <v>0.0004792761811</v>
      </c>
      <c r="O2340" s="7"/>
      <c r="P2340" s="4">
        <f t="shared" si="6"/>
        <v>-0.1119413284</v>
      </c>
      <c r="Q2340" s="4">
        <f t="shared" si="7"/>
        <v>5</v>
      </c>
      <c r="R2340" s="4">
        <f t="shared" si="8"/>
        <v>1</v>
      </c>
      <c r="S2340" s="4">
        <f t="shared" si="9"/>
        <v>-0.1119413284</v>
      </c>
      <c r="T2340" s="4">
        <f t="shared" si="10"/>
        <v>17</v>
      </c>
      <c r="U2340" s="4">
        <f t="shared" si="1"/>
        <v>-0.1119413284</v>
      </c>
      <c r="V2340" s="4"/>
    </row>
    <row r="2341">
      <c r="A2341" s="1" t="s">
        <v>20854</v>
      </c>
      <c r="B2341" s="1" t="s">
        <v>20855</v>
      </c>
      <c r="C2341" s="1" t="s">
        <v>20856</v>
      </c>
      <c r="D2341" s="1" t="s">
        <v>20834</v>
      </c>
      <c r="E2341" s="1" t="s">
        <v>20835</v>
      </c>
      <c r="F2341" s="1">
        <v>830876.0</v>
      </c>
      <c r="G2341" s="1">
        <v>36943.0</v>
      </c>
      <c r="H2341" s="1">
        <v>2144.0</v>
      </c>
      <c r="I2341" s="1">
        <v>3540000.0</v>
      </c>
      <c r="J2341" s="1" t="s">
        <v>2468</v>
      </c>
      <c r="K2341" s="5">
        <f t="shared" si="2"/>
        <v>0.2347107345</v>
      </c>
      <c r="L2341" s="6">
        <f t="shared" si="3"/>
        <v>145</v>
      </c>
      <c r="M2341" s="6">
        <f t="shared" si="4"/>
        <v>5730.17931</v>
      </c>
      <c r="N2341" s="7">
        <f t="shared" si="5"/>
        <v>0.00161869472</v>
      </c>
      <c r="O2341" s="7"/>
      <c r="P2341" s="4">
        <f t="shared" si="6"/>
        <v>0.6906234185</v>
      </c>
      <c r="Q2341" s="4">
        <f t="shared" si="7"/>
        <v>5</v>
      </c>
      <c r="R2341" s="4">
        <f t="shared" si="8"/>
        <v>1</v>
      </c>
      <c r="S2341" s="4">
        <f t="shared" si="9"/>
        <v>0.6906234185</v>
      </c>
      <c r="T2341" s="4">
        <f t="shared" si="10"/>
        <v>34</v>
      </c>
      <c r="U2341" s="4">
        <f t="shared" si="1"/>
        <v>0.6906234185</v>
      </c>
      <c r="V2341" s="4"/>
    </row>
    <row r="2342">
      <c r="A2342" s="1" t="s">
        <v>20857</v>
      </c>
      <c r="B2342" s="1" t="s">
        <v>20858</v>
      </c>
      <c r="C2342" s="1" t="s">
        <v>20859</v>
      </c>
      <c r="D2342" s="1" t="s">
        <v>20834</v>
      </c>
      <c r="E2342" s="1" t="s">
        <v>20835</v>
      </c>
      <c r="F2342" s="1">
        <v>616745.0</v>
      </c>
      <c r="G2342" s="1">
        <v>42873.0</v>
      </c>
      <c r="H2342" s="1">
        <v>1966.0</v>
      </c>
      <c r="I2342" s="1">
        <v>3540000.0</v>
      </c>
      <c r="J2342" s="1" t="s">
        <v>2468</v>
      </c>
      <c r="K2342" s="5">
        <f t="shared" si="2"/>
        <v>0.1742217514</v>
      </c>
      <c r="L2342" s="6">
        <f t="shared" si="3"/>
        <v>153</v>
      </c>
      <c r="M2342" s="6">
        <f t="shared" si="4"/>
        <v>4031.013072</v>
      </c>
      <c r="N2342" s="7">
        <f t="shared" si="5"/>
        <v>0.001138704258</v>
      </c>
      <c r="O2342" s="7"/>
      <c r="P2342" s="4">
        <f t="shared" si="6"/>
        <v>0.3525356913</v>
      </c>
      <c r="Q2342" s="4">
        <f t="shared" si="7"/>
        <v>5</v>
      </c>
      <c r="R2342" s="4">
        <f t="shared" si="8"/>
        <v>0</v>
      </c>
      <c r="S2342" s="4">
        <f t="shared" si="9"/>
        <v>0.3525356913</v>
      </c>
      <c r="T2342" s="4">
        <f t="shared" si="10"/>
        <v>24</v>
      </c>
      <c r="U2342" s="4">
        <f t="shared" si="1"/>
        <v>0.3525356913</v>
      </c>
      <c r="V2342" s="4"/>
    </row>
    <row r="2343">
      <c r="A2343" s="1" t="s">
        <v>20860</v>
      </c>
      <c r="B2343" s="1" t="s">
        <v>20861</v>
      </c>
      <c r="C2343" s="1" t="s">
        <v>20862</v>
      </c>
      <c r="D2343" s="1" t="s">
        <v>20834</v>
      </c>
      <c r="E2343" s="1" t="s">
        <v>20835</v>
      </c>
      <c r="F2343" s="1">
        <v>864796.0</v>
      </c>
      <c r="G2343" s="1">
        <v>79742.0</v>
      </c>
      <c r="H2343" s="1">
        <v>3073.0</v>
      </c>
      <c r="I2343" s="1">
        <v>3540000.0</v>
      </c>
      <c r="J2343" s="1" t="s">
        <v>2468</v>
      </c>
      <c r="K2343" s="5">
        <f t="shared" si="2"/>
        <v>0.2442926554</v>
      </c>
      <c r="L2343" s="6">
        <f t="shared" si="3"/>
        <v>158</v>
      </c>
      <c r="M2343" s="6">
        <f t="shared" si="4"/>
        <v>5473.392405</v>
      </c>
      <c r="N2343" s="7">
        <f t="shared" si="5"/>
        <v>0.001546156047</v>
      </c>
      <c r="O2343" s="7"/>
      <c r="P2343" s="4">
        <f t="shared" si="6"/>
        <v>0.6395298296</v>
      </c>
      <c r="Q2343" s="4">
        <f t="shared" si="7"/>
        <v>7</v>
      </c>
      <c r="R2343" s="4">
        <f t="shared" si="8"/>
        <v>0</v>
      </c>
      <c r="S2343" s="4">
        <f t="shared" si="9"/>
        <v>0.6395298296</v>
      </c>
      <c r="T2343" s="4">
        <f t="shared" si="10"/>
        <v>27</v>
      </c>
      <c r="U2343" s="4">
        <f t="shared" si="1"/>
        <v>0.6395298296</v>
      </c>
      <c r="V2343" s="4"/>
    </row>
    <row r="2344">
      <c r="A2344" s="1" t="s">
        <v>20863</v>
      </c>
      <c r="B2344" s="1" t="s">
        <v>20864</v>
      </c>
      <c r="C2344" s="1" t="s">
        <v>20865</v>
      </c>
      <c r="D2344" s="1" t="s">
        <v>20834</v>
      </c>
      <c r="E2344" s="1" t="s">
        <v>20835</v>
      </c>
      <c r="F2344" s="1">
        <v>817123.0</v>
      </c>
      <c r="G2344" s="1">
        <v>51456.0</v>
      </c>
      <c r="H2344" s="1">
        <v>1021.0</v>
      </c>
      <c r="I2344" s="1">
        <v>3540000.0</v>
      </c>
      <c r="J2344" s="1" t="s">
        <v>2468</v>
      </c>
      <c r="K2344" s="5">
        <f t="shared" si="2"/>
        <v>0.2308257062</v>
      </c>
      <c r="L2344" s="6">
        <f t="shared" si="3"/>
        <v>165</v>
      </c>
      <c r="M2344" s="6">
        <f t="shared" si="4"/>
        <v>4952.260606</v>
      </c>
      <c r="N2344" s="7">
        <f t="shared" si="5"/>
        <v>0.001398943674</v>
      </c>
      <c r="O2344" s="7"/>
      <c r="P2344" s="4">
        <f t="shared" si="6"/>
        <v>0.5358388184</v>
      </c>
      <c r="Q2344" s="4">
        <f t="shared" si="7"/>
        <v>7</v>
      </c>
      <c r="R2344" s="4">
        <f t="shared" si="8"/>
        <v>0</v>
      </c>
      <c r="S2344" s="4">
        <f t="shared" si="9"/>
        <v>0.5358388184</v>
      </c>
      <c r="T2344" s="4">
        <f t="shared" si="10"/>
        <v>27</v>
      </c>
      <c r="U2344" s="4">
        <f t="shared" si="1"/>
        <v>0.5358388184</v>
      </c>
      <c r="V2344" s="4"/>
    </row>
    <row r="2345">
      <c r="A2345" s="1" t="s">
        <v>20866</v>
      </c>
      <c r="B2345" s="1" t="s">
        <v>20867</v>
      </c>
      <c r="C2345" s="1" t="s">
        <v>20868</v>
      </c>
      <c r="D2345" s="1" t="s">
        <v>20834</v>
      </c>
      <c r="E2345" s="1" t="s">
        <v>20835</v>
      </c>
      <c r="F2345" s="1">
        <v>293534.0</v>
      </c>
      <c r="G2345" s="1">
        <v>19621.0</v>
      </c>
      <c r="H2345" s="1">
        <v>419.0</v>
      </c>
      <c r="I2345" s="1">
        <v>3540000.0</v>
      </c>
      <c r="J2345" s="1" t="s">
        <v>2468</v>
      </c>
      <c r="K2345" s="5">
        <f t="shared" si="2"/>
        <v>0.08291920904</v>
      </c>
      <c r="L2345" s="6">
        <f t="shared" si="3"/>
        <v>172</v>
      </c>
      <c r="M2345" s="6">
        <f t="shared" si="4"/>
        <v>1706.593023</v>
      </c>
      <c r="N2345" s="7">
        <f t="shared" si="5"/>
        <v>0.0004820884246</v>
      </c>
      <c r="O2345" s="7"/>
      <c r="P2345" s="4">
        <f t="shared" si="6"/>
        <v>-0.1099604869</v>
      </c>
      <c r="Q2345" s="4">
        <f t="shared" si="7"/>
        <v>6</v>
      </c>
      <c r="R2345" s="4">
        <f t="shared" si="8"/>
        <v>0</v>
      </c>
      <c r="S2345" s="4">
        <f t="shared" si="9"/>
        <v>-0.1099604869</v>
      </c>
      <c r="T2345" s="4">
        <f t="shared" si="10"/>
        <v>34</v>
      </c>
      <c r="U2345" s="4">
        <f t="shared" si="1"/>
        <v>-0.1099604869</v>
      </c>
      <c r="V2345" s="4"/>
    </row>
    <row r="2346">
      <c r="A2346" s="1" t="s">
        <v>20869</v>
      </c>
      <c r="B2346" s="1" t="s">
        <v>20870</v>
      </c>
      <c r="C2346" s="1" t="s">
        <v>20871</v>
      </c>
      <c r="D2346" s="1" t="s">
        <v>20834</v>
      </c>
      <c r="E2346" s="1" t="s">
        <v>20835</v>
      </c>
      <c r="F2346" s="1">
        <v>1030613.0</v>
      </c>
      <c r="G2346" s="1">
        <v>51171.0</v>
      </c>
      <c r="H2346" s="1">
        <v>2913.0</v>
      </c>
      <c r="I2346" s="1">
        <v>3540000.0</v>
      </c>
      <c r="J2346" s="1" t="s">
        <v>2468</v>
      </c>
      <c r="K2346" s="5">
        <f t="shared" si="2"/>
        <v>0.2911336158</v>
      </c>
      <c r="L2346" s="6">
        <f t="shared" si="3"/>
        <v>181</v>
      </c>
      <c r="M2346" s="6">
        <f t="shared" si="4"/>
        <v>5693.994475</v>
      </c>
      <c r="N2346" s="7">
        <f t="shared" si="5"/>
        <v>0.001608473016</v>
      </c>
      <c r="O2346" s="7"/>
      <c r="P2346" s="4">
        <f t="shared" si="6"/>
        <v>0.6834236234</v>
      </c>
      <c r="Q2346" s="4">
        <f t="shared" si="7"/>
        <v>5</v>
      </c>
      <c r="R2346" s="4">
        <f t="shared" si="8"/>
        <v>0</v>
      </c>
      <c r="S2346" s="4">
        <f t="shared" si="9"/>
        <v>0.6834236234</v>
      </c>
      <c r="T2346" s="4">
        <f t="shared" si="10"/>
        <v>26</v>
      </c>
      <c r="U2346" s="4">
        <f t="shared" si="1"/>
        <v>0.6834236234</v>
      </c>
      <c r="V2346" s="4"/>
    </row>
    <row r="2347">
      <c r="A2347" s="1" t="s">
        <v>20872</v>
      </c>
      <c r="B2347" s="1" t="s">
        <v>20873</v>
      </c>
      <c r="C2347" s="1" t="s">
        <v>20874</v>
      </c>
      <c r="D2347" s="1" t="s">
        <v>20834</v>
      </c>
      <c r="E2347" s="1" t="s">
        <v>20835</v>
      </c>
      <c r="F2347" s="1">
        <v>2453570.0</v>
      </c>
      <c r="G2347" s="1">
        <v>364486.0</v>
      </c>
      <c r="H2347" s="1">
        <v>43455.0</v>
      </c>
      <c r="I2347" s="1">
        <v>3540000.0</v>
      </c>
      <c r="J2347" s="1" t="s">
        <v>2468</v>
      </c>
      <c r="K2347" s="5">
        <f t="shared" si="2"/>
        <v>0.6930988701</v>
      </c>
      <c r="L2347" s="6">
        <f t="shared" si="3"/>
        <v>184</v>
      </c>
      <c r="M2347" s="6">
        <f t="shared" si="4"/>
        <v>13334.61957</v>
      </c>
      <c r="N2347" s="7">
        <f t="shared" si="5"/>
        <v>0.003766841685</v>
      </c>
      <c r="O2347" s="7"/>
      <c r="P2347" s="4">
        <f t="shared" si="6"/>
        <v>2.203699576</v>
      </c>
      <c r="Q2347" s="4">
        <f t="shared" si="7"/>
        <v>7</v>
      </c>
      <c r="R2347" s="4">
        <f t="shared" si="8"/>
        <v>0</v>
      </c>
      <c r="S2347" s="4">
        <f t="shared" si="9"/>
        <v>2.203699576</v>
      </c>
      <c r="T2347" s="4">
        <f t="shared" si="10"/>
        <v>26</v>
      </c>
      <c r="U2347" s="4">
        <f t="shared" si="1"/>
        <v>2.203699576</v>
      </c>
      <c r="V2347" s="4"/>
    </row>
    <row r="2348">
      <c r="A2348" s="1" t="s">
        <v>20875</v>
      </c>
      <c r="B2348" s="1" t="s">
        <v>20876</v>
      </c>
      <c r="C2348" s="1" t="s">
        <v>20877</v>
      </c>
      <c r="D2348" s="1" t="s">
        <v>20834</v>
      </c>
      <c r="E2348" s="1" t="s">
        <v>20835</v>
      </c>
      <c r="F2348" s="1">
        <v>588222.0</v>
      </c>
      <c r="G2348" s="1">
        <v>14034.0</v>
      </c>
      <c r="H2348" s="1">
        <v>535.0</v>
      </c>
      <c r="I2348" s="1">
        <v>3540000.0</v>
      </c>
      <c r="J2348" s="1" t="s">
        <v>2468</v>
      </c>
      <c r="K2348" s="5">
        <f t="shared" si="2"/>
        <v>0.1661644068</v>
      </c>
      <c r="L2348" s="6">
        <f t="shared" si="3"/>
        <v>198</v>
      </c>
      <c r="M2348" s="6">
        <f t="shared" si="4"/>
        <v>2970.818182</v>
      </c>
      <c r="N2348" s="7">
        <f t="shared" si="5"/>
        <v>0.0008392141757</v>
      </c>
      <c r="O2348" s="7"/>
      <c r="P2348" s="4">
        <f t="shared" si="6"/>
        <v>0.1415858309</v>
      </c>
      <c r="Q2348" s="4">
        <f t="shared" si="7"/>
        <v>7</v>
      </c>
      <c r="R2348" s="4">
        <f t="shared" si="8"/>
        <v>1</v>
      </c>
      <c r="S2348" s="4">
        <f t="shared" si="9"/>
        <v>0.1415858309</v>
      </c>
      <c r="T2348" s="4">
        <f t="shared" si="10"/>
        <v>27</v>
      </c>
      <c r="U2348" s="4">
        <f t="shared" si="1"/>
        <v>0.1415858309</v>
      </c>
      <c r="V2348" s="4"/>
    </row>
    <row r="2349">
      <c r="A2349" s="1" t="s">
        <v>20878</v>
      </c>
      <c r="B2349" s="1" t="s">
        <v>20879</v>
      </c>
      <c r="C2349" s="1" t="s">
        <v>20880</v>
      </c>
      <c r="D2349" s="1" t="s">
        <v>20834</v>
      </c>
      <c r="E2349" s="1" t="s">
        <v>20835</v>
      </c>
      <c r="F2349" s="1">
        <v>1156071.0</v>
      </c>
      <c r="G2349" s="1">
        <v>49375.0</v>
      </c>
      <c r="H2349" s="1">
        <v>1090.0</v>
      </c>
      <c r="I2349" s="1">
        <v>3540000.0</v>
      </c>
      <c r="J2349" s="1" t="s">
        <v>2468</v>
      </c>
      <c r="K2349" s="5">
        <f t="shared" si="2"/>
        <v>0.3265737288</v>
      </c>
      <c r="L2349" s="6">
        <f t="shared" si="3"/>
        <v>208</v>
      </c>
      <c r="M2349" s="6">
        <f t="shared" si="4"/>
        <v>5558.033654</v>
      </c>
      <c r="N2349" s="7">
        <f t="shared" si="5"/>
        <v>0.001570066004</v>
      </c>
      <c r="O2349" s="7"/>
      <c r="P2349" s="4">
        <f t="shared" si="6"/>
        <v>0.6563711291</v>
      </c>
      <c r="Q2349" s="4">
        <f t="shared" si="7"/>
        <v>8</v>
      </c>
      <c r="R2349" s="4">
        <f t="shared" si="8"/>
        <v>0</v>
      </c>
      <c r="S2349" s="4">
        <f t="shared" si="9"/>
        <v>0.6563711291</v>
      </c>
      <c r="T2349" s="4">
        <f t="shared" si="10"/>
        <v>38</v>
      </c>
      <c r="U2349" s="4">
        <f t="shared" si="1"/>
        <v>0.6563711291</v>
      </c>
      <c r="V2349" s="4"/>
    </row>
    <row r="2350">
      <c r="A2350" s="1" t="s">
        <v>20881</v>
      </c>
      <c r="B2350" s="1" t="s">
        <v>20882</v>
      </c>
      <c r="C2350" s="1" t="s">
        <v>20883</v>
      </c>
      <c r="D2350" s="1" t="s">
        <v>20834</v>
      </c>
      <c r="E2350" s="1" t="s">
        <v>20835</v>
      </c>
      <c r="F2350" s="1">
        <v>162563.0</v>
      </c>
      <c r="G2350" s="1">
        <v>8325.0</v>
      </c>
      <c r="H2350" s="1">
        <v>230.0</v>
      </c>
      <c r="I2350" s="1">
        <v>3540000.0</v>
      </c>
      <c r="J2350" s="1" t="s">
        <v>2468</v>
      </c>
      <c r="K2350" s="5">
        <f t="shared" si="2"/>
        <v>0.04592175141</v>
      </c>
      <c r="L2350" s="6">
        <f t="shared" si="3"/>
        <v>214</v>
      </c>
      <c r="M2350" s="6">
        <f t="shared" si="4"/>
        <v>759.6401869</v>
      </c>
      <c r="N2350" s="7">
        <f t="shared" si="5"/>
        <v>0.0002145876234</v>
      </c>
      <c r="O2350" s="7"/>
      <c r="P2350" s="4">
        <f t="shared" si="6"/>
        <v>-0.2983782679</v>
      </c>
      <c r="Q2350" s="4">
        <f t="shared" si="7"/>
        <v>6</v>
      </c>
      <c r="R2350" s="4">
        <f t="shared" si="8"/>
        <v>0</v>
      </c>
      <c r="S2350" s="4">
        <f t="shared" si="9"/>
        <v>-0.2983782679</v>
      </c>
      <c r="T2350" s="4">
        <f t="shared" si="10"/>
        <v>25</v>
      </c>
      <c r="U2350" s="4">
        <f t="shared" si="1"/>
        <v>-0.2983782679</v>
      </c>
      <c r="V2350" s="4"/>
    </row>
    <row r="2351">
      <c r="A2351" s="1" t="s">
        <v>20884</v>
      </c>
      <c r="B2351" s="1" t="s">
        <v>20885</v>
      </c>
      <c r="C2351" s="1" t="s">
        <v>20886</v>
      </c>
      <c r="D2351" s="1" t="s">
        <v>20834</v>
      </c>
      <c r="E2351" s="1" t="s">
        <v>20835</v>
      </c>
      <c r="F2351" s="1">
        <v>630667.0</v>
      </c>
      <c r="G2351" s="1">
        <v>11252.0</v>
      </c>
      <c r="H2351" s="1">
        <v>280.0</v>
      </c>
      <c r="I2351" s="1">
        <v>3540000.0</v>
      </c>
      <c r="J2351" s="1" t="s">
        <v>2468</v>
      </c>
      <c r="K2351" s="5">
        <f t="shared" si="2"/>
        <v>0.1781545198</v>
      </c>
      <c r="L2351" s="6">
        <f t="shared" si="3"/>
        <v>222</v>
      </c>
      <c r="M2351" s="6">
        <f t="shared" si="4"/>
        <v>2840.842342</v>
      </c>
      <c r="N2351" s="7">
        <f t="shared" si="5"/>
        <v>0.0008024978368</v>
      </c>
      <c r="O2351" s="7"/>
      <c r="P2351" s="4">
        <f t="shared" si="6"/>
        <v>0.1157241846</v>
      </c>
      <c r="Q2351" s="4">
        <f t="shared" si="7"/>
        <v>5</v>
      </c>
      <c r="R2351" s="4">
        <f t="shared" si="8"/>
        <v>0</v>
      </c>
      <c r="S2351" s="4">
        <f t="shared" si="9"/>
        <v>0.1157241846</v>
      </c>
      <c r="T2351" s="4">
        <f t="shared" si="10"/>
        <v>26</v>
      </c>
      <c r="U2351" s="4">
        <f t="shared" si="1"/>
        <v>0.1157241846</v>
      </c>
      <c r="V2351" s="4"/>
    </row>
    <row r="2352">
      <c r="A2352" s="1" t="s">
        <v>20887</v>
      </c>
      <c r="B2352" s="1" t="s">
        <v>20888</v>
      </c>
      <c r="C2352" s="1" t="s">
        <v>20889</v>
      </c>
      <c r="D2352" s="1" t="s">
        <v>20834</v>
      </c>
      <c r="E2352" s="1" t="s">
        <v>20835</v>
      </c>
      <c r="F2352" s="1">
        <v>233453.0</v>
      </c>
      <c r="G2352" s="1">
        <v>12273.0</v>
      </c>
      <c r="H2352" s="1">
        <v>314.0</v>
      </c>
      <c r="I2352" s="1">
        <v>3540000.0</v>
      </c>
      <c r="J2352" s="1" t="s">
        <v>2468</v>
      </c>
      <c r="K2352" s="5">
        <f t="shared" si="2"/>
        <v>0.06594717514</v>
      </c>
      <c r="L2352" s="6">
        <f t="shared" si="3"/>
        <v>229</v>
      </c>
      <c r="M2352" s="6">
        <f t="shared" si="4"/>
        <v>1019.445415</v>
      </c>
      <c r="N2352" s="7">
        <f t="shared" si="5"/>
        <v>0.0002879789307</v>
      </c>
      <c r="O2352" s="7"/>
      <c r="P2352" s="4">
        <f t="shared" si="6"/>
        <v>-0.2466841152</v>
      </c>
      <c r="Q2352" s="4">
        <f t="shared" si="7"/>
        <v>6</v>
      </c>
      <c r="R2352" s="4">
        <f t="shared" si="8"/>
        <v>0</v>
      </c>
      <c r="S2352" s="4">
        <f t="shared" si="9"/>
        <v>-0.2466841152</v>
      </c>
      <c r="T2352" s="4">
        <f t="shared" si="10"/>
        <v>22</v>
      </c>
      <c r="U2352" s="4">
        <f t="shared" si="1"/>
        <v>-0.2466841152</v>
      </c>
      <c r="V2352" s="4"/>
    </row>
    <row r="2353">
      <c r="A2353" s="1" t="s">
        <v>20890</v>
      </c>
      <c r="B2353" s="1" t="s">
        <v>20891</v>
      </c>
      <c r="C2353" s="1" t="s">
        <v>20892</v>
      </c>
      <c r="D2353" s="1" t="s">
        <v>20834</v>
      </c>
      <c r="E2353" s="1" t="s">
        <v>20835</v>
      </c>
      <c r="F2353" s="1">
        <v>283832.0</v>
      </c>
      <c r="G2353" s="1">
        <v>17060.0</v>
      </c>
      <c r="H2353" s="1">
        <v>403.0</v>
      </c>
      <c r="I2353" s="1">
        <v>3540000.0</v>
      </c>
      <c r="J2353" s="1" t="s">
        <v>2468</v>
      </c>
      <c r="K2353" s="5">
        <f t="shared" si="2"/>
        <v>0.08017853107</v>
      </c>
      <c r="L2353" s="6">
        <f t="shared" si="3"/>
        <v>239</v>
      </c>
      <c r="M2353" s="6">
        <f t="shared" si="4"/>
        <v>1187.58159</v>
      </c>
      <c r="N2353" s="7">
        <f t="shared" si="5"/>
        <v>0.0003354750254</v>
      </c>
      <c r="O2353" s="7"/>
      <c r="P2353" s="4">
        <f t="shared" si="6"/>
        <v>-0.2132296032</v>
      </c>
      <c r="Q2353" s="4">
        <f t="shared" si="7"/>
        <v>4</v>
      </c>
      <c r="R2353" s="4">
        <f t="shared" si="8"/>
        <v>0</v>
      </c>
      <c r="S2353" s="4">
        <f t="shared" si="9"/>
        <v>-0.2132296032</v>
      </c>
      <c r="T2353" s="4">
        <f t="shared" si="10"/>
        <v>18</v>
      </c>
      <c r="U2353" s="4">
        <f t="shared" si="1"/>
        <v>-0.2132296032</v>
      </c>
      <c r="V2353" s="4"/>
    </row>
    <row r="2354">
      <c r="A2354" s="1" t="s">
        <v>20893</v>
      </c>
      <c r="B2354" s="1" t="s">
        <v>20894</v>
      </c>
      <c r="C2354" s="1" t="s">
        <v>20895</v>
      </c>
      <c r="D2354" s="1" t="s">
        <v>20834</v>
      </c>
      <c r="E2354" s="1" t="s">
        <v>20835</v>
      </c>
      <c r="F2354" s="1">
        <v>904017.0</v>
      </c>
      <c r="G2354" s="1">
        <v>9029.0</v>
      </c>
      <c r="H2354" s="1">
        <v>300.0</v>
      </c>
      <c r="I2354" s="1">
        <v>3540000.0</v>
      </c>
      <c r="J2354" s="1" t="s">
        <v>2468</v>
      </c>
      <c r="K2354" s="5">
        <f t="shared" si="2"/>
        <v>0.2553720339</v>
      </c>
      <c r="L2354" s="6">
        <f t="shared" si="3"/>
        <v>256</v>
      </c>
      <c r="M2354" s="6">
        <f t="shared" si="4"/>
        <v>3531.316406</v>
      </c>
      <c r="N2354" s="7">
        <f t="shared" si="5"/>
        <v>0.0009975470074</v>
      </c>
      <c r="O2354" s="7"/>
      <c r="P2354" s="4">
        <f t="shared" si="6"/>
        <v>0.2531096868</v>
      </c>
      <c r="Q2354" s="4">
        <f t="shared" si="7"/>
        <v>5</v>
      </c>
      <c r="R2354" s="4">
        <f t="shared" si="8"/>
        <v>0</v>
      </c>
      <c r="S2354" s="4">
        <f t="shared" si="9"/>
        <v>0.2531096868</v>
      </c>
      <c r="T2354" s="4">
        <f t="shared" si="10"/>
        <v>25</v>
      </c>
      <c r="U2354" s="4">
        <f t="shared" si="1"/>
        <v>0.2531096868</v>
      </c>
      <c r="V2354" s="4"/>
    </row>
    <row r="2355">
      <c r="A2355" s="1" t="s">
        <v>20896</v>
      </c>
      <c r="B2355" s="1" t="s">
        <v>20897</v>
      </c>
      <c r="C2355" s="1" t="s">
        <v>20898</v>
      </c>
      <c r="D2355" s="1" t="s">
        <v>20834</v>
      </c>
      <c r="E2355" s="1" t="s">
        <v>20835</v>
      </c>
      <c r="F2355" s="1">
        <v>174462.0</v>
      </c>
      <c r="G2355" s="1">
        <v>9922.0</v>
      </c>
      <c r="H2355" s="1">
        <v>522.0</v>
      </c>
      <c r="I2355" s="1">
        <v>3540000.0</v>
      </c>
      <c r="J2355" s="1" t="s">
        <v>2468</v>
      </c>
      <c r="K2355" s="5">
        <f t="shared" si="2"/>
        <v>0.04928305085</v>
      </c>
      <c r="L2355" s="6">
        <f t="shared" si="3"/>
        <v>268</v>
      </c>
      <c r="M2355" s="6">
        <f t="shared" si="4"/>
        <v>650.9776119</v>
      </c>
      <c r="N2355" s="7">
        <f t="shared" si="5"/>
        <v>0.0001838919808</v>
      </c>
      <c r="O2355" s="7"/>
      <c r="P2355" s="4">
        <f t="shared" si="6"/>
        <v>-0.319999156</v>
      </c>
      <c r="Q2355" s="4">
        <f t="shared" si="7"/>
        <v>4</v>
      </c>
      <c r="R2355" s="4">
        <f t="shared" si="8"/>
        <v>0</v>
      </c>
      <c r="S2355" s="4">
        <f t="shared" si="9"/>
        <v>-0.319999156</v>
      </c>
      <c r="T2355" s="4">
        <f t="shared" si="10"/>
        <v>21</v>
      </c>
      <c r="U2355" s="4">
        <f t="shared" si="1"/>
        <v>-0.319999156</v>
      </c>
      <c r="V2355" s="4"/>
    </row>
    <row r="2356">
      <c r="A2356" s="1" t="s">
        <v>20899</v>
      </c>
      <c r="B2356" s="1" t="s">
        <v>20900</v>
      </c>
      <c r="C2356" s="1" t="s">
        <v>20901</v>
      </c>
      <c r="D2356" s="1" t="s">
        <v>20834</v>
      </c>
      <c r="E2356" s="1" t="s">
        <v>20835</v>
      </c>
      <c r="F2356" s="1">
        <v>290434.0</v>
      </c>
      <c r="G2356" s="1">
        <v>18653.0</v>
      </c>
      <c r="H2356" s="1">
        <v>547.0</v>
      </c>
      <c r="I2356" s="1">
        <v>3540000.0</v>
      </c>
      <c r="J2356" s="1" t="s">
        <v>2468</v>
      </c>
      <c r="K2356" s="5">
        <f t="shared" si="2"/>
        <v>0.08204350282</v>
      </c>
      <c r="L2356" s="6">
        <f t="shared" si="3"/>
        <v>280</v>
      </c>
      <c r="M2356" s="6">
        <f t="shared" si="4"/>
        <v>1037.264286</v>
      </c>
      <c r="N2356" s="7">
        <f t="shared" si="5"/>
        <v>0.0002930125101</v>
      </c>
      <c r="O2356" s="7"/>
      <c r="P2356" s="4">
        <f t="shared" si="6"/>
        <v>-0.243138646</v>
      </c>
      <c r="Q2356" s="4">
        <f t="shared" si="7"/>
        <v>3</v>
      </c>
      <c r="R2356" s="4">
        <f t="shared" si="8"/>
        <v>0</v>
      </c>
      <c r="S2356" s="4">
        <f t="shared" si="9"/>
        <v>-0.243138646</v>
      </c>
      <c r="T2356" s="4">
        <f t="shared" si="10"/>
        <v>18</v>
      </c>
      <c r="U2356" s="4">
        <f t="shared" si="1"/>
        <v>-0.243138646</v>
      </c>
      <c r="V2356" s="4"/>
    </row>
    <row r="2357">
      <c r="A2357" s="1" t="s">
        <v>20902</v>
      </c>
      <c r="B2357" s="1" t="s">
        <v>20903</v>
      </c>
      <c r="C2357" s="1" t="s">
        <v>20904</v>
      </c>
      <c r="D2357" s="1" t="s">
        <v>20834</v>
      </c>
      <c r="E2357" s="1" t="s">
        <v>20835</v>
      </c>
      <c r="F2357" s="1">
        <v>226105.0</v>
      </c>
      <c r="G2357" s="1">
        <v>8811.0</v>
      </c>
      <c r="H2357" s="1">
        <v>198.0</v>
      </c>
      <c r="I2357" s="1">
        <v>3540000.0</v>
      </c>
      <c r="J2357" s="1" t="s">
        <v>2468</v>
      </c>
      <c r="K2357" s="5">
        <f t="shared" si="2"/>
        <v>0.06387146893</v>
      </c>
      <c r="L2357" s="6">
        <f t="shared" si="3"/>
        <v>286</v>
      </c>
      <c r="M2357" s="6">
        <f t="shared" si="4"/>
        <v>790.5769231</v>
      </c>
      <c r="N2357" s="7">
        <f t="shared" si="5"/>
        <v>0.0002233268144</v>
      </c>
      <c r="O2357" s="7"/>
      <c r="P2357" s="4">
        <f t="shared" si="6"/>
        <v>-0.2922227014</v>
      </c>
      <c r="Q2357" s="4">
        <f t="shared" si="7"/>
        <v>5</v>
      </c>
      <c r="R2357" s="4">
        <f t="shared" si="8"/>
        <v>0</v>
      </c>
      <c r="S2357" s="4">
        <f t="shared" si="9"/>
        <v>-0.2922227014</v>
      </c>
      <c r="T2357" s="4">
        <f t="shared" si="10"/>
        <v>27</v>
      </c>
      <c r="U2357" s="4">
        <f t="shared" si="1"/>
        <v>-0.2922227014</v>
      </c>
      <c r="V2357" s="4"/>
    </row>
    <row r="2358">
      <c r="A2358" s="1" t="s">
        <v>20905</v>
      </c>
      <c r="B2358" s="1" t="s">
        <v>20906</v>
      </c>
      <c r="C2358" s="1" t="s">
        <v>20907</v>
      </c>
      <c r="D2358" s="1" t="s">
        <v>20834</v>
      </c>
      <c r="E2358" s="1" t="s">
        <v>20835</v>
      </c>
      <c r="F2358" s="1">
        <v>1414206.0</v>
      </c>
      <c r="G2358" s="1">
        <v>13900.0</v>
      </c>
      <c r="H2358" s="1">
        <v>387.0</v>
      </c>
      <c r="I2358" s="1">
        <v>3540000.0</v>
      </c>
      <c r="J2358" s="1" t="s">
        <v>2468</v>
      </c>
      <c r="K2358" s="5">
        <f t="shared" si="2"/>
        <v>0.3994932203</v>
      </c>
      <c r="L2358" s="6">
        <f t="shared" si="3"/>
        <v>294</v>
      </c>
      <c r="M2358" s="6">
        <f t="shared" si="4"/>
        <v>4810.22449</v>
      </c>
      <c r="N2358" s="7">
        <f t="shared" si="5"/>
        <v>0.001358820477</v>
      </c>
      <c r="O2358" s="7"/>
      <c r="P2358" s="4">
        <f t="shared" si="6"/>
        <v>0.5075775061</v>
      </c>
      <c r="Q2358" s="4">
        <f t="shared" si="7"/>
        <v>6</v>
      </c>
      <c r="R2358" s="4">
        <f t="shared" si="8"/>
        <v>0</v>
      </c>
      <c r="S2358" s="4">
        <f t="shared" si="9"/>
        <v>0.5075775061</v>
      </c>
      <c r="T2358" s="4">
        <f t="shared" si="10"/>
        <v>27</v>
      </c>
      <c r="U2358" s="4">
        <f t="shared" si="1"/>
        <v>0.5075775061</v>
      </c>
      <c r="V2358" s="4"/>
    </row>
    <row r="2359">
      <c r="A2359" s="1" t="s">
        <v>20908</v>
      </c>
      <c r="B2359" s="1" t="s">
        <v>20909</v>
      </c>
      <c r="C2359" s="1" t="s">
        <v>20910</v>
      </c>
      <c r="D2359" s="1" t="s">
        <v>20834</v>
      </c>
      <c r="E2359" s="1" t="s">
        <v>20835</v>
      </c>
      <c r="F2359" s="1">
        <v>448297.0</v>
      </c>
      <c r="G2359" s="1">
        <v>22479.0</v>
      </c>
      <c r="H2359" s="1">
        <v>767.0</v>
      </c>
      <c r="I2359" s="1">
        <v>3540000.0</v>
      </c>
      <c r="J2359" s="1" t="s">
        <v>2468</v>
      </c>
      <c r="K2359" s="5">
        <f t="shared" si="2"/>
        <v>0.1266375706</v>
      </c>
      <c r="L2359" s="6">
        <f t="shared" si="3"/>
        <v>317</v>
      </c>
      <c r="M2359" s="6">
        <f t="shared" si="4"/>
        <v>1414.18612</v>
      </c>
      <c r="N2359" s="7">
        <f t="shared" si="5"/>
        <v>0.0003994876045</v>
      </c>
      <c r="O2359" s="7"/>
      <c r="P2359" s="4">
        <f t="shared" si="6"/>
        <v>-0.1681414837</v>
      </c>
      <c r="Q2359" s="4">
        <f t="shared" si="7"/>
        <v>8</v>
      </c>
      <c r="R2359" s="4">
        <f t="shared" si="8"/>
        <v>0</v>
      </c>
      <c r="S2359" s="4">
        <f t="shared" si="9"/>
        <v>-0.1681414837</v>
      </c>
      <c r="T2359" s="4">
        <f t="shared" si="10"/>
        <v>46</v>
      </c>
      <c r="U2359" s="4">
        <f t="shared" si="1"/>
        <v>-0.1681414837</v>
      </c>
      <c r="V2359" s="4"/>
    </row>
    <row r="2360">
      <c r="A2360" s="1" t="s">
        <v>20911</v>
      </c>
      <c r="B2360" s="1" t="s">
        <v>20912</v>
      </c>
      <c r="C2360" s="1" t="s">
        <v>20913</v>
      </c>
      <c r="D2360" s="1" t="s">
        <v>20834</v>
      </c>
      <c r="E2360" s="1" t="s">
        <v>20835</v>
      </c>
      <c r="F2360" s="1">
        <v>2738315.0</v>
      </c>
      <c r="G2360" s="1">
        <v>105106.0</v>
      </c>
      <c r="H2360" s="1">
        <v>5291.0</v>
      </c>
      <c r="I2360" s="1">
        <v>3540000.0</v>
      </c>
      <c r="J2360" s="1" t="s">
        <v>2468</v>
      </c>
      <c r="K2360" s="5">
        <f t="shared" si="2"/>
        <v>0.7735353107</v>
      </c>
      <c r="L2360" s="6">
        <f t="shared" si="3"/>
        <v>324</v>
      </c>
      <c r="M2360" s="6">
        <f t="shared" si="4"/>
        <v>8451.589506</v>
      </c>
      <c r="N2360" s="7">
        <f t="shared" si="5"/>
        <v>0.002387454663</v>
      </c>
      <c r="O2360" s="7"/>
      <c r="P2360" s="4">
        <f t="shared" si="6"/>
        <v>1.232109806</v>
      </c>
      <c r="Q2360" s="4">
        <f t="shared" si="7"/>
        <v>5</v>
      </c>
      <c r="R2360" s="4">
        <f t="shared" si="8"/>
        <v>0</v>
      </c>
      <c r="S2360" s="4">
        <f t="shared" si="9"/>
        <v>1.232109806</v>
      </c>
      <c r="T2360" s="4">
        <f t="shared" si="10"/>
        <v>25</v>
      </c>
      <c r="U2360" s="4">
        <f t="shared" si="1"/>
        <v>1.232109806</v>
      </c>
      <c r="V2360" s="4"/>
    </row>
    <row r="2361">
      <c r="A2361" s="1" t="s">
        <v>20914</v>
      </c>
      <c r="B2361" s="1" t="s">
        <v>20915</v>
      </c>
      <c r="C2361" s="1" t="s">
        <v>20916</v>
      </c>
      <c r="D2361" s="1" t="s">
        <v>20834</v>
      </c>
      <c r="E2361" s="1" t="s">
        <v>20835</v>
      </c>
      <c r="F2361" s="1">
        <v>1535056.0</v>
      </c>
      <c r="G2361" s="1">
        <v>36036.0</v>
      </c>
      <c r="H2361" s="1">
        <v>316.0</v>
      </c>
      <c r="I2361" s="1">
        <v>3540000.0</v>
      </c>
      <c r="J2361" s="1" t="s">
        <v>2468</v>
      </c>
      <c r="K2361" s="5">
        <f t="shared" si="2"/>
        <v>0.4336316384</v>
      </c>
      <c r="L2361" s="6">
        <f t="shared" si="3"/>
        <v>348</v>
      </c>
      <c r="M2361" s="6">
        <f t="shared" si="4"/>
        <v>4411.08046</v>
      </c>
      <c r="N2361" s="7">
        <f t="shared" si="5"/>
        <v>0.001246067926</v>
      </c>
      <c r="O2361" s="7"/>
      <c r="P2361" s="4">
        <f t="shared" si="6"/>
        <v>0.428158733</v>
      </c>
      <c r="Q2361" s="4">
        <f t="shared" si="7"/>
        <v>9</v>
      </c>
      <c r="R2361" s="4">
        <f t="shared" si="8"/>
        <v>0</v>
      </c>
      <c r="S2361" s="4">
        <f t="shared" si="9"/>
        <v>0.428158733</v>
      </c>
      <c r="T2361" s="4">
        <f t="shared" si="10"/>
        <v>25</v>
      </c>
      <c r="U2361" s="4">
        <f t="shared" si="1"/>
        <v>0.428158733</v>
      </c>
      <c r="V2361" s="4"/>
    </row>
    <row r="2362">
      <c r="A2362" s="1" t="s">
        <v>20917</v>
      </c>
      <c r="B2362" s="1" t="s">
        <v>20918</v>
      </c>
      <c r="C2362" s="1" t="s">
        <v>20919</v>
      </c>
      <c r="D2362" s="1" t="s">
        <v>20834</v>
      </c>
      <c r="E2362" s="1" t="s">
        <v>20835</v>
      </c>
      <c r="F2362" s="1">
        <v>700526.0</v>
      </c>
      <c r="G2362" s="1">
        <v>37207.0</v>
      </c>
      <c r="H2362" s="1">
        <v>868.0</v>
      </c>
      <c r="I2362" s="1">
        <v>3540000.0</v>
      </c>
      <c r="J2362" s="1" t="s">
        <v>2468</v>
      </c>
      <c r="K2362" s="5">
        <f t="shared" si="2"/>
        <v>0.1978887006</v>
      </c>
      <c r="L2362" s="6">
        <f t="shared" si="3"/>
        <v>380</v>
      </c>
      <c r="M2362" s="6">
        <f t="shared" si="4"/>
        <v>1843.489474</v>
      </c>
      <c r="N2362" s="7">
        <f t="shared" si="5"/>
        <v>0.0005207597383</v>
      </c>
      <c r="O2362" s="7"/>
      <c r="P2362" s="4">
        <f t="shared" si="6"/>
        <v>-0.0827218279</v>
      </c>
      <c r="Q2362" s="4">
        <f t="shared" si="7"/>
        <v>6</v>
      </c>
      <c r="R2362" s="4">
        <f t="shared" si="8"/>
        <v>0</v>
      </c>
      <c r="S2362" s="4">
        <f t="shared" si="9"/>
        <v>-0.0827218279</v>
      </c>
      <c r="T2362" s="4">
        <f t="shared" si="10"/>
        <v>29</v>
      </c>
      <c r="U2362" s="4">
        <f t="shared" si="1"/>
        <v>-0.0827218279</v>
      </c>
      <c r="V2362" s="4"/>
    </row>
    <row r="2363">
      <c r="A2363" s="1" t="s">
        <v>20920</v>
      </c>
      <c r="B2363" s="1" t="s">
        <v>20921</v>
      </c>
      <c r="C2363" s="1" t="s">
        <v>20922</v>
      </c>
      <c r="D2363" s="1" t="s">
        <v>20834</v>
      </c>
      <c r="E2363" s="1" t="s">
        <v>20835</v>
      </c>
      <c r="F2363" s="1">
        <v>621524.0</v>
      </c>
      <c r="G2363" s="1">
        <v>15034.0</v>
      </c>
      <c r="H2363" s="1">
        <v>264.0</v>
      </c>
      <c r="I2363" s="1">
        <v>3540000.0</v>
      </c>
      <c r="J2363" s="1" t="s">
        <v>2468</v>
      </c>
      <c r="K2363" s="5">
        <f t="shared" si="2"/>
        <v>0.1755717514</v>
      </c>
      <c r="L2363" s="6">
        <f t="shared" si="3"/>
        <v>393</v>
      </c>
      <c r="M2363" s="6">
        <f t="shared" si="4"/>
        <v>1581.486005</v>
      </c>
      <c r="N2363" s="7">
        <f t="shared" si="5"/>
        <v>0.0004467474591</v>
      </c>
      <c r="O2363" s="7"/>
      <c r="P2363" s="4">
        <f t="shared" si="6"/>
        <v>-0.1348533705</v>
      </c>
      <c r="Q2363" s="4">
        <f t="shared" si="7"/>
        <v>8</v>
      </c>
      <c r="R2363" s="4">
        <f t="shared" si="8"/>
        <v>1</v>
      </c>
      <c r="S2363" s="4">
        <f t="shared" si="9"/>
        <v>-0.1348533705</v>
      </c>
      <c r="T2363" s="4">
        <f t="shared" si="10"/>
        <v>28</v>
      </c>
      <c r="U2363" s="4">
        <f t="shared" si="1"/>
        <v>-0.1348533705</v>
      </c>
      <c r="V2363" s="4"/>
    </row>
    <row r="2364">
      <c r="A2364" s="1" t="s">
        <v>20923</v>
      </c>
      <c r="B2364" s="1" t="s">
        <v>20924</v>
      </c>
      <c r="C2364" s="1" t="s">
        <v>20925</v>
      </c>
      <c r="D2364" s="1" t="s">
        <v>20834</v>
      </c>
      <c r="E2364" s="1" t="s">
        <v>20835</v>
      </c>
      <c r="F2364" s="1">
        <v>2028988.0</v>
      </c>
      <c r="G2364" s="1">
        <v>29030.0</v>
      </c>
      <c r="H2364" s="1">
        <v>423.0</v>
      </c>
      <c r="I2364" s="1">
        <v>3540000.0</v>
      </c>
      <c r="J2364" s="1" t="s">
        <v>2468</v>
      </c>
      <c r="K2364" s="5">
        <f t="shared" si="2"/>
        <v>0.573160452</v>
      </c>
      <c r="L2364" s="6">
        <f t="shared" si="3"/>
        <v>406</v>
      </c>
      <c r="M2364" s="6">
        <f t="shared" si="4"/>
        <v>4997.507389</v>
      </c>
      <c r="N2364" s="7">
        <f t="shared" si="5"/>
        <v>0.001411725251</v>
      </c>
      <c r="O2364" s="7"/>
      <c r="P2364" s="4">
        <f t="shared" si="6"/>
        <v>0.5448416939</v>
      </c>
      <c r="Q2364" s="4">
        <f t="shared" si="7"/>
        <v>5</v>
      </c>
      <c r="R2364" s="4">
        <f t="shared" si="8"/>
        <v>1</v>
      </c>
      <c r="S2364" s="4">
        <f t="shared" si="9"/>
        <v>0.5448416939</v>
      </c>
      <c r="T2364" s="4">
        <f t="shared" si="10"/>
        <v>33</v>
      </c>
      <c r="U2364" s="4">
        <f t="shared" si="1"/>
        <v>0.5448416939</v>
      </c>
      <c r="V2364" s="4"/>
    </row>
    <row r="2365">
      <c r="A2365" s="1" t="s">
        <v>20926</v>
      </c>
      <c r="B2365" s="1" t="s">
        <v>20927</v>
      </c>
      <c r="C2365" s="1" t="s">
        <v>20928</v>
      </c>
      <c r="D2365" s="1" t="s">
        <v>20834</v>
      </c>
      <c r="E2365" s="1" t="s">
        <v>20835</v>
      </c>
      <c r="F2365" s="1">
        <v>2.1367569E7</v>
      </c>
      <c r="G2365" s="1">
        <v>599724.0</v>
      </c>
      <c r="H2365" s="1">
        <v>2061.0</v>
      </c>
      <c r="I2365" s="1">
        <v>3540000.0</v>
      </c>
      <c r="J2365" s="1" t="s">
        <v>2468</v>
      </c>
      <c r="K2365" s="5">
        <f t="shared" si="2"/>
        <v>6.036036441</v>
      </c>
      <c r="L2365" s="6">
        <f t="shared" si="3"/>
        <v>419</v>
      </c>
      <c r="M2365" s="6">
        <f t="shared" si="4"/>
        <v>50996.58473</v>
      </c>
      <c r="N2365" s="7">
        <f t="shared" si="5"/>
        <v>0.01440581489</v>
      </c>
      <c r="O2365" s="7"/>
      <c r="P2365" s="4">
        <f t="shared" si="6"/>
        <v>9.697403203</v>
      </c>
      <c r="Q2365" s="4">
        <f t="shared" si="7"/>
        <v>6</v>
      </c>
      <c r="R2365" s="4">
        <f t="shared" si="8"/>
        <v>0</v>
      </c>
      <c r="S2365" s="4">
        <f t="shared" si="9"/>
        <v>9.697403203</v>
      </c>
      <c r="T2365" s="4">
        <f t="shared" si="10"/>
        <v>43</v>
      </c>
      <c r="U2365" s="4">
        <f t="shared" si="1"/>
        <v>9.697403203</v>
      </c>
      <c r="V2365" s="4"/>
    </row>
    <row r="2366">
      <c r="A2366" s="1" t="s">
        <v>20929</v>
      </c>
      <c r="B2366" s="1" t="s">
        <v>20930</v>
      </c>
      <c r="C2366" s="1" t="s">
        <v>20931</v>
      </c>
      <c r="D2366" s="1" t="s">
        <v>20834</v>
      </c>
      <c r="E2366" s="1" t="s">
        <v>20835</v>
      </c>
      <c r="F2366" s="1">
        <v>580782.0</v>
      </c>
      <c r="G2366" s="1">
        <v>24099.0</v>
      </c>
      <c r="H2366" s="1">
        <v>500.0</v>
      </c>
      <c r="I2366" s="1">
        <v>3540000.0</v>
      </c>
      <c r="J2366" s="1" t="s">
        <v>2468</v>
      </c>
      <c r="K2366" s="5">
        <f t="shared" si="2"/>
        <v>0.1640627119</v>
      </c>
      <c r="L2366" s="6">
        <f t="shared" si="3"/>
        <v>428</v>
      </c>
      <c r="M2366" s="6">
        <f t="shared" si="4"/>
        <v>1356.96729</v>
      </c>
      <c r="N2366" s="7">
        <f t="shared" si="5"/>
        <v>0.0003833240931</v>
      </c>
      <c r="O2366" s="7"/>
      <c r="P2366" s="4">
        <f t="shared" si="6"/>
        <v>-0.1795264699</v>
      </c>
      <c r="Q2366" s="4">
        <f t="shared" si="7"/>
        <v>8</v>
      </c>
      <c r="R2366" s="4">
        <f t="shared" si="8"/>
        <v>0</v>
      </c>
      <c r="S2366" s="4">
        <f t="shared" si="9"/>
        <v>-0.1795264699</v>
      </c>
      <c r="T2366" s="4">
        <f t="shared" si="10"/>
        <v>25</v>
      </c>
      <c r="U2366" s="4">
        <f t="shared" si="1"/>
        <v>-0.1795264699</v>
      </c>
      <c r="V2366" s="4"/>
    </row>
    <row r="2367">
      <c r="A2367" s="1" t="s">
        <v>20932</v>
      </c>
      <c r="B2367" s="1" t="s">
        <v>20933</v>
      </c>
      <c r="C2367" s="1" t="s">
        <v>20934</v>
      </c>
      <c r="D2367" s="1" t="s">
        <v>20834</v>
      </c>
      <c r="E2367" s="1" t="s">
        <v>20835</v>
      </c>
      <c r="F2367" s="1">
        <v>406992.0</v>
      </c>
      <c r="G2367" s="1">
        <v>18128.0</v>
      </c>
      <c r="H2367" s="1">
        <v>581.0</v>
      </c>
      <c r="I2367" s="1">
        <v>3540000.0</v>
      </c>
      <c r="J2367" s="1" t="s">
        <v>2468</v>
      </c>
      <c r="K2367" s="5">
        <f t="shared" si="2"/>
        <v>0.1149694915</v>
      </c>
      <c r="L2367" s="6">
        <f t="shared" si="3"/>
        <v>437</v>
      </c>
      <c r="M2367" s="6">
        <f t="shared" si="4"/>
        <v>931.3318078</v>
      </c>
      <c r="N2367" s="7">
        <f t="shared" si="5"/>
        <v>0.0002630880813</v>
      </c>
      <c r="O2367" s="7"/>
      <c r="P2367" s="4">
        <f t="shared" si="6"/>
        <v>-0.2642163192</v>
      </c>
      <c r="Q2367" s="4">
        <f t="shared" si="7"/>
        <v>4</v>
      </c>
      <c r="R2367" s="4">
        <f t="shared" si="8"/>
        <v>0</v>
      </c>
      <c r="S2367" s="4">
        <f t="shared" si="9"/>
        <v>-0.2642163192</v>
      </c>
      <c r="T2367" s="4">
        <f t="shared" si="10"/>
        <v>31</v>
      </c>
      <c r="U2367" s="4">
        <f t="shared" si="1"/>
        <v>-0.2642163192</v>
      </c>
      <c r="V2367" s="4"/>
    </row>
    <row r="2368">
      <c r="A2368" s="1" t="s">
        <v>20935</v>
      </c>
      <c r="B2368" s="1" t="s">
        <v>20936</v>
      </c>
      <c r="C2368" s="1" t="s">
        <v>20937</v>
      </c>
      <c r="D2368" s="1" t="s">
        <v>20834</v>
      </c>
      <c r="E2368" s="1" t="s">
        <v>20835</v>
      </c>
      <c r="F2368" s="1">
        <v>3262525.0</v>
      </c>
      <c r="G2368" s="1">
        <v>284384.0</v>
      </c>
      <c r="H2368" s="1">
        <v>19309.0</v>
      </c>
      <c r="I2368" s="1">
        <v>3540000.0</v>
      </c>
      <c r="J2368" s="1" t="s">
        <v>2468</v>
      </c>
      <c r="K2368" s="5">
        <f t="shared" si="2"/>
        <v>0.9216172316</v>
      </c>
      <c r="L2368" s="6">
        <f t="shared" si="3"/>
        <v>469</v>
      </c>
      <c r="M2368" s="6">
        <f t="shared" si="4"/>
        <v>6956.343284</v>
      </c>
      <c r="N2368" s="7">
        <f t="shared" si="5"/>
        <v>0.001965068724</v>
      </c>
      <c r="O2368" s="7"/>
      <c r="P2368" s="4">
        <f t="shared" si="6"/>
        <v>0.9345965987</v>
      </c>
      <c r="Q2368" s="4">
        <f t="shared" si="7"/>
        <v>6</v>
      </c>
      <c r="R2368" s="4">
        <f t="shared" si="8"/>
        <v>0</v>
      </c>
      <c r="S2368" s="4">
        <f t="shared" si="9"/>
        <v>0.9345965987</v>
      </c>
      <c r="T2368" s="4">
        <f t="shared" si="10"/>
        <v>33</v>
      </c>
      <c r="U2368" s="4">
        <f t="shared" si="1"/>
        <v>0.9345965987</v>
      </c>
      <c r="V2368" s="4"/>
    </row>
    <row r="2369">
      <c r="A2369" s="1" t="s">
        <v>20938</v>
      </c>
      <c r="B2369" s="1" t="s">
        <v>20939</v>
      </c>
      <c r="C2369" s="1" t="s">
        <v>20940</v>
      </c>
      <c r="D2369" s="1" t="s">
        <v>20834</v>
      </c>
      <c r="E2369" s="1" t="s">
        <v>20835</v>
      </c>
      <c r="F2369" s="1">
        <v>757913.0</v>
      </c>
      <c r="G2369" s="1">
        <v>35470.0</v>
      </c>
      <c r="H2369" s="1">
        <v>679.0</v>
      </c>
      <c r="I2369" s="1">
        <v>3540000.0</v>
      </c>
      <c r="J2369" s="1" t="s">
        <v>2468</v>
      </c>
      <c r="K2369" s="5">
        <f t="shared" si="2"/>
        <v>0.2140997175</v>
      </c>
      <c r="L2369" s="6">
        <f t="shared" si="3"/>
        <v>472</v>
      </c>
      <c r="M2369" s="6">
        <f t="shared" si="4"/>
        <v>1605.747881</v>
      </c>
      <c r="N2369" s="7">
        <f t="shared" si="5"/>
        <v>0.0004536010964</v>
      </c>
      <c r="O2369" s="7"/>
      <c r="P2369" s="4">
        <f t="shared" si="6"/>
        <v>-0.130025919</v>
      </c>
      <c r="Q2369" s="4">
        <f t="shared" si="7"/>
        <v>5</v>
      </c>
      <c r="R2369" s="4">
        <f t="shared" si="8"/>
        <v>0</v>
      </c>
      <c r="S2369" s="4">
        <f t="shared" si="9"/>
        <v>-0.130025919</v>
      </c>
      <c r="T2369" s="4">
        <f t="shared" si="10"/>
        <v>25</v>
      </c>
      <c r="U2369" s="4">
        <f t="shared" si="1"/>
        <v>-0.130025919</v>
      </c>
      <c r="V2369" s="4"/>
    </row>
    <row r="2370">
      <c r="A2370" s="1" t="s">
        <v>20941</v>
      </c>
      <c r="B2370" s="1" t="s">
        <v>20942</v>
      </c>
      <c r="C2370" s="1" t="s">
        <v>20943</v>
      </c>
      <c r="D2370" s="1" t="s">
        <v>20834</v>
      </c>
      <c r="E2370" s="1" t="s">
        <v>20835</v>
      </c>
      <c r="F2370" s="1">
        <v>484425.0</v>
      </c>
      <c r="G2370" s="1">
        <v>0.0</v>
      </c>
      <c r="H2370" s="1">
        <v>513.0</v>
      </c>
      <c r="I2370" s="1">
        <v>3540000.0</v>
      </c>
      <c r="J2370" s="1" t="s">
        <v>2468</v>
      </c>
      <c r="K2370" s="5">
        <f t="shared" si="2"/>
        <v>0.1368432203</v>
      </c>
      <c r="L2370" s="6">
        <f t="shared" si="3"/>
        <v>486</v>
      </c>
      <c r="M2370" s="6">
        <f t="shared" si="4"/>
        <v>996.7592593</v>
      </c>
      <c r="N2370" s="7">
        <f t="shared" si="5"/>
        <v>0.0002815704122</v>
      </c>
      <c r="O2370" s="7"/>
      <c r="P2370" s="4">
        <f t="shared" si="6"/>
        <v>-0.2511980413</v>
      </c>
      <c r="Q2370" s="4">
        <f t="shared" si="7"/>
        <v>5</v>
      </c>
      <c r="R2370" s="4">
        <f t="shared" si="8"/>
        <v>1</v>
      </c>
      <c r="S2370" s="4">
        <f t="shared" si="9"/>
        <v>-0.2511980413</v>
      </c>
      <c r="T2370" s="4">
        <f t="shared" si="10"/>
        <v>23</v>
      </c>
      <c r="U2370" s="4">
        <f t="shared" si="1"/>
        <v>-0.2511980413</v>
      </c>
      <c r="V2370" s="4"/>
    </row>
    <row r="2371">
      <c r="A2371" s="1" t="s">
        <v>20944</v>
      </c>
      <c r="B2371" s="1" t="s">
        <v>20945</v>
      </c>
      <c r="C2371" s="1" t="s">
        <v>20946</v>
      </c>
      <c r="D2371" s="1" t="s">
        <v>20834</v>
      </c>
      <c r="E2371" s="1" t="s">
        <v>20835</v>
      </c>
      <c r="F2371" s="1">
        <v>301130.0</v>
      </c>
      <c r="G2371" s="1">
        <v>15590.0</v>
      </c>
      <c r="H2371" s="1">
        <v>370.0</v>
      </c>
      <c r="I2371" s="1">
        <v>3540000.0</v>
      </c>
      <c r="J2371" s="1" t="s">
        <v>2468</v>
      </c>
      <c r="K2371" s="5">
        <f t="shared" si="2"/>
        <v>0.08506497175</v>
      </c>
      <c r="L2371" s="6">
        <f t="shared" si="3"/>
        <v>502</v>
      </c>
      <c r="M2371" s="6">
        <f t="shared" si="4"/>
        <v>599.8605578</v>
      </c>
      <c r="N2371" s="7">
        <f t="shared" si="5"/>
        <v>0.000169452135</v>
      </c>
      <c r="O2371" s="7"/>
      <c r="P2371" s="4">
        <f t="shared" si="6"/>
        <v>-0.3301700553</v>
      </c>
      <c r="Q2371" s="4">
        <f t="shared" si="7"/>
        <v>3</v>
      </c>
      <c r="R2371" s="4">
        <f t="shared" si="8"/>
        <v>0</v>
      </c>
      <c r="S2371" s="4">
        <f t="shared" si="9"/>
        <v>-0.3301700553</v>
      </c>
      <c r="T2371" s="4">
        <f t="shared" si="10"/>
        <v>15</v>
      </c>
      <c r="U2371" s="4">
        <f t="shared" si="1"/>
        <v>-0.3301700553</v>
      </c>
      <c r="V2371" s="4"/>
    </row>
    <row r="2372">
      <c r="A2372" s="1" t="s">
        <v>20947</v>
      </c>
      <c r="B2372" s="1" t="s">
        <v>20948</v>
      </c>
      <c r="C2372" s="1" t="s">
        <v>20949</v>
      </c>
      <c r="D2372" s="1" t="s">
        <v>20834</v>
      </c>
      <c r="E2372" s="1" t="s">
        <v>20835</v>
      </c>
      <c r="F2372" s="1">
        <v>1149506.0</v>
      </c>
      <c r="G2372" s="1">
        <v>58022.0</v>
      </c>
      <c r="H2372" s="1">
        <v>925.0</v>
      </c>
      <c r="I2372" s="1">
        <v>3540000.0</v>
      </c>
      <c r="J2372" s="1" t="s">
        <v>2468</v>
      </c>
      <c r="K2372" s="5">
        <f t="shared" si="2"/>
        <v>0.324719209</v>
      </c>
      <c r="L2372" s="6">
        <f t="shared" si="3"/>
        <v>519</v>
      </c>
      <c r="M2372" s="6">
        <f t="shared" si="4"/>
        <v>2214.847784</v>
      </c>
      <c r="N2372" s="7">
        <f t="shared" si="5"/>
        <v>0.0006256632159</v>
      </c>
      <c r="O2372" s="7"/>
      <c r="P2372" s="4">
        <f t="shared" si="6"/>
        <v>-0.00883165497</v>
      </c>
      <c r="Q2372" s="4">
        <f t="shared" si="7"/>
        <v>3</v>
      </c>
      <c r="R2372" s="4">
        <f t="shared" si="8"/>
        <v>0</v>
      </c>
      <c r="S2372" s="4">
        <f t="shared" si="9"/>
        <v>-0.00883165497</v>
      </c>
      <c r="T2372" s="4">
        <f t="shared" si="10"/>
        <v>17</v>
      </c>
      <c r="U2372" s="4">
        <f t="shared" si="1"/>
        <v>-0.00883165497</v>
      </c>
      <c r="V2372" s="4"/>
    </row>
    <row r="2373">
      <c r="A2373" s="1" t="s">
        <v>20950</v>
      </c>
      <c r="B2373" s="1" t="s">
        <v>20951</v>
      </c>
      <c r="C2373" s="1" t="s">
        <v>20952</v>
      </c>
      <c r="D2373" s="1" t="s">
        <v>20834</v>
      </c>
      <c r="E2373" s="1" t="s">
        <v>20835</v>
      </c>
      <c r="F2373" s="1">
        <v>287135.0</v>
      </c>
      <c r="G2373" s="1">
        <v>19384.0</v>
      </c>
      <c r="H2373" s="1">
        <v>344.0</v>
      </c>
      <c r="I2373" s="1">
        <v>3540000.0</v>
      </c>
      <c r="J2373" s="1" t="s">
        <v>2468</v>
      </c>
      <c r="K2373" s="5">
        <f t="shared" si="2"/>
        <v>0.08111158192</v>
      </c>
      <c r="L2373" s="6">
        <f t="shared" si="3"/>
        <v>562</v>
      </c>
      <c r="M2373" s="6">
        <f t="shared" si="4"/>
        <v>510.9163701</v>
      </c>
      <c r="N2373" s="7">
        <f t="shared" si="5"/>
        <v>0.0001443266582</v>
      </c>
      <c r="O2373" s="7"/>
      <c r="P2373" s="4">
        <f t="shared" si="6"/>
        <v>-0.3478675222</v>
      </c>
      <c r="Q2373" s="4">
        <f t="shared" si="7"/>
        <v>4</v>
      </c>
      <c r="R2373" s="4">
        <f t="shared" si="8"/>
        <v>0</v>
      </c>
      <c r="S2373" s="4">
        <f t="shared" si="9"/>
        <v>-0.3478675222</v>
      </c>
      <c r="T2373" s="4">
        <f t="shared" si="10"/>
        <v>18</v>
      </c>
      <c r="U2373" s="4">
        <f t="shared" si="1"/>
        <v>-0.3478675222</v>
      </c>
      <c r="V2373" s="4"/>
    </row>
    <row r="2374">
      <c r="A2374" s="1" t="s">
        <v>20953</v>
      </c>
      <c r="B2374" s="1" t="s">
        <v>20954</v>
      </c>
      <c r="C2374" s="1" t="s">
        <v>20955</v>
      </c>
      <c r="D2374" s="1" t="s">
        <v>20834</v>
      </c>
      <c r="E2374" s="1" t="s">
        <v>20835</v>
      </c>
      <c r="F2374" s="1">
        <v>465776.0</v>
      </c>
      <c r="G2374" s="1">
        <v>38337.0</v>
      </c>
      <c r="H2374" s="1">
        <v>669.0</v>
      </c>
      <c r="I2374" s="1">
        <v>3540000.0</v>
      </c>
      <c r="J2374" s="1" t="s">
        <v>2468</v>
      </c>
      <c r="K2374" s="5">
        <f t="shared" si="2"/>
        <v>0.1315751412</v>
      </c>
      <c r="L2374" s="6">
        <f t="shared" si="3"/>
        <v>576</v>
      </c>
      <c r="M2374" s="6">
        <f t="shared" si="4"/>
        <v>808.6388889</v>
      </c>
      <c r="N2374" s="7">
        <f t="shared" si="5"/>
        <v>0.0002284290647</v>
      </c>
      <c r="O2374" s="7"/>
      <c r="P2374" s="4">
        <f t="shared" si="6"/>
        <v>-0.288628863</v>
      </c>
      <c r="Q2374" s="4">
        <f t="shared" si="7"/>
        <v>5</v>
      </c>
      <c r="R2374" s="4">
        <f t="shared" si="8"/>
        <v>0</v>
      </c>
      <c r="S2374" s="4">
        <f t="shared" si="9"/>
        <v>-0.288628863</v>
      </c>
      <c r="T2374" s="4">
        <f t="shared" si="10"/>
        <v>32</v>
      </c>
      <c r="U2374" s="4">
        <f t="shared" si="1"/>
        <v>-0.288628863</v>
      </c>
      <c r="V2374" s="4"/>
    </row>
    <row r="2375">
      <c r="A2375" s="1" t="s">
        <v>20956</v>
      </c>
      <c r="B2375" s="1" t="s">
        <v>20957</v>
      </c>
      <c r="C2375" s="1" t="s">
        <v>20958</v>
      </c>
      <c r="D2375" s="1" t="s">
        <v>20834</v>
      </c>
      <c r="E2375" s="1" t="s">
        <v>20835</v>
      </c>
      <c r="F2375" s="1">
        <v>2974578.0</v>
      </c>
      <c r="G2375" s="1">
        <v>272388.0</v>
      </c>
      <c r="H2375" s="1">
        <v>15523.0</v>
      </c>
      <c r="I2375" s="1">
        <v>3540000.0</v>
      </c>
      <c r="J2375" s="1" t="s">
        <v>2468</v>
      </c>
      <c r="K2375" s="5">
        <f t="shared" si="2"/>
        <v>0.8402762712</v>
      </c>
      <c r="L2375" s="6">
        <f t="shared" si="3"/>
        <v>587</v>
      </c>
      <c r="M2375" s="6">
        <f t="shared" si="4"/>
        <v>5067.424191</v>
      </c>
      <c r="N2375" s="7">
        <f t="shared" si="5"/>
        <v>0.00143147576</v>
      </c>
      <c r="O2375" s="7"/>
      <c r="P2375" s="4">
        <f t="shared" si="6"/>
        <v>0.55875323</v>
      </c>
      <c r="Q2375" s="4">
        <f t="shared" si="7"/>
        <v>9</v>
      </c>
      <c r="R2375" s="4">
        <f t="shared" si="8"/>
        <v>0</v>
      </c>
      <c r="S2375" s="4">
        <f t="shared" si="9"/>
        <v>0.55875323</v>
      </c>
      <c r="T2375" s="4">
        <f t="shared" si="10"/>
        <v>35</v>
      </c>
      <c r="U2375" s="4">
        <f t="shared" si="1"/>
        <v>0.55875323</v>
      </c>
      <c r="V2375" s="4"/>
    </row>
    <row r="2376">
      <c r="A2376" s="1" t="s">
        <v>20959</v>
      </c>
      <c r="B2376" s="1" t="s">
        <v>20960</v>
      </c>
      <c r="C2376" s="1" t="s">
        <v>20961</v>
      </c>
      <c r="D2376" s="1" t="s">
        <v>20834</v>
      </c>
      <c r="E2376" s="1" t="s">
        <v>20835</v>
      </c>
      <c r="F2376" s="1">
        <v>242207.0</v>
      </c>
      <c r="G2376" s="1">
        <v>10796.0</v>
      </c>
      <c r="H2376" s="1">
        <v>154.0</v>
      </c>
      <c r="I2376" s="1">
        <v>3540000.0</v>
      </c>
      <c r="J2376" s="1" t="s">
        <v>2468</v>
      </c>
      <c r="K2376" s="5">
        <f t="shared" si="2"/>
        <v>0.0684200565</v>
      </c>
      <c r="L2376" s="6">
        <f t="shared" si="3"/>
        <v>625</v>
      </c>
      <c r="M2376" s="6">
        <f t="shared" si="4"/>
        <v>387.5312</v>
      </c>
      <c r="N2376" s="7">
        <f t="shared" si="5"/>
        <v>0.0001094720904</v>
      </c>
      <c r="O2376" s="7"/>
      <c r="P2376" s="4">
        <f t="shared" si="6"/>
        <v>-0.372417805</v>
      </c>
      <c r="Q2376" s="4">
        <f t="shared" si="7"/>
        <v>8</v>
      </c>
      <c r="R2376" s="4">
        <f t="shared" si="8"/>
        <v>0</v>
      </c>
      <c r="S2376" s="4">
        <f t="shared" si="9"/>
        <v>-0.372417805</v>
      </c>
      <c r="T2376" s="4">
        <f t="shared" si="10"/>
        <v>36</v>
      </c>
      <c r="U2376" s="4">
        <f t="shared" si="1"/>
        <v>-0.372417805</v>
      </c>
      <c r="V2376" s="4"/>
    </row>
    <row r="2377">
      <c r="A2377" s="1" t="s">
        <v>20962</v>
      </c>
      <c r="B2377" s="1" t="s">
        <v>20963</v>
      </c>
      <c r="C2377" s="1" t="s">
        <v>20964</v>
      </c>
      <c r="D2377" s="1" t="s">
        <v>20834</v>
      </c>
      <c r="E2377" s="1" t="s">
        <v>20835</v>
      </c>
      <c r="F2377" s="1">
        <v>439327.0</v>
      </c>
      <c r="G2377" s="1">
        <v>26676.0</v>
      </c>
      <c r="H2377" s="1">
        <v>539.0</v>
      </c>
      <c r="I2377" s="1">
        <v>3540000.0</v>
      </c>
      <c r="J2377" s="1" t="s">
        <v>2468</v>
      </c>
      <c r="K2377" s="5">
        <f t="shared" si="2"/>
        <v>0.1241036723</v>
      </c>
      <c r="L2377" s="6">
        <f t="shared" si="3"/>
        <v>637</v>
      </c>
      <c r="M2377" s="6">
        <f t="shared" si="4"/>
        <v>689.6813187</v>
      </c>
      <c r="N2377" s="7">
        <f t="shared" si="5"/>
        <v>0.0001948252313</v>
      </c>
      <c r="O2377" s="7"/>
      <c r="P2377" s="4">
        <f t="shared" si="6"/>
        <v>-0.3122981742</v>
      </c>
      <c r="Q2377" s="4">
        <f t="shared" si="7"/>
        <v>6</v>
      </c>
      <c r="R2377" s="4">
        <f t="shared" si="8"/>
        <v>1</v>
      </c>
      <c r="S2377" s="4">
        <f t="shared" si="9"/>
        <v>-0.3122981742</v>
      </c>
      <c r="T2377" s="4">
        <f t="shared" si="10"/>
        <v>25</v>
      </c>
      <c r="U2377" s="4">
        <f t="shared" si="1"/>
        <v>-0.3122981742</v>
      </c>
      <c r="V2377" s="4"/>
    </row>
    <row r="2378">
      <c r="A2378" s="1" t="s">
        <v>20965</v>
      </c>
      <c r="B2378" s="1" t="s">
        <v>20966</v>
      </c>
      <c r="C2378" s="1" t="s">
        <v>20967</v>
      </c>
      <c r="D2378" s="1" t="s">
        <v>20834</v>
      </c>
      <c r="E2378" s="1" t="s">
        <v>20835</v>
      </c>
      <c r="F2378" s="1">
        <v>1658581.0</v>
      </c>
      <c r="G2378" s="1">
        <v>282983.0</v>
      </c>
      <c r="H2378" s="1">
        <v>15816.0</v>
      </c>
      <c r="I2378" s="1">
        <v>3540000.0</v>
      </c>
      <c r="J2378" s="1" t="s">
        <v>2468</v>
      </c>
      <c r="K2378" s="5">
        <f t="shared" si="2"/>
        <v>0.4685257062</v>
      </c>
      <c r="L2378" s="6">
        <f t="shared" si="3"/>
        <v>652</v>
      </c>
      <c r="M2378" s="6">
        <f t="shared" si="4"/>
        <v>2543.83589</v>
      </c>
      <c r="N2378" s="7">
        <f t="shared" si="5"/>
        <v>0.0007185977089</v>
      </c>
      <c r="O2378" s="7"/>
      <c r="P2378" s="4">
        <f t="shared" si="6"/>
        <v>0.05662800302</v>
      </c>
      <c r="Q2378" s="4">
        <f t="shared" si="7"/>
        <v>8</v>
      </c>
      <c r="R2378" s="4">
        <f t="shared" si="8"/>
        <v>0</v>
      </c>
      <c r="S2378" s="4">
        <f t="shared" si="9"/>
        <v>0.05662800302</v>
      </c>
      <c r="T2378" s="4">
        <f t="shared" si="10"/>
        <v>29</v>
      </c>
      <c r="U2378" s="4">
        <f t="shared" si="1"/>
        <v>0.05662800302</v>
      </c>
      <c r="V2378" s="4"/>
    </row>
    <row r="2379">
      <c r="A2379" s="1" t="s">
        <v>20968</v>
      </c>
      <c r="B2379" s="1" t="s">
        <v>20969</v>
      </c>
      <c r="C2379" s="1" t="s">
        <v>20970</v>
      </c>
      <c r="D2379" s="1" t="s">
        <v>20834</v>
      </c>
      <c r="E2379" s="1" t="s">
        <v>20835</v>
      </c>
      <c r="F2379" s="1">
        <v>1174350.0</v>
      </c>
      <c r="G2379" s="1">
        <v>85484.0</v>
      </c>
      <c r="H2379" s="1">
        <v>1442.0</v>
      </c>
      <c r="I2379" s="1">
        <v>3540000.0</v>
      </c>
      <c r="J2379" s="1" t="s">
        <v>2468</v>
      </c>
      <c r="K2379" s="5">
        <f t="shared" si="2"/>
        <v>0.3317372881</v>
      </c>
      <c r="L2379" s="6">
        <f t="shared" si="3"/>
        <v>658</v>
      </c>
      <c r="M2379" s="6">
        <f t="shared" si="4"/>
        <v>1784.726444</v>
      </c>
      <c r="N2379" s="7">
        <f t="shared" si="5"/>
        <v>0.0005041600124</v>
      </c>
      <c r="O2379" s="7"/>
      <c r="P2379" s="4">
        <f t="shared" si="6"/>
        <v>-0.09441406776</v>
      </c>
      <c r="Q2379" s="4">
        <f t="shared" si="7"/>
        <v>6</v>
      </c>
      <c r="R2379" s="4">
        <f t="shared" si="8"/>
        <v>0</v>
      </c>
      <c r="S2379" s="4">
        <f t="shared" si="9"/>
        <v>-0.09441406776</v>
      </c>
      <c r="T2379" s="4">
        <f t="shared" si="10"/>
        <v>23</v>
      </c>
      <c r="U2379" s="4">
        <f t="shared" si="1"/>
        <v>-0.09441406776</v>
      </c>
      <c r="V2379" s="4"/>
    </row>
    <row r="2380">
      <c r="A2380" s="1" t="s">
        <v>20971</v>
      </c>
      <c r="B2380" s="1" t="s">
        <v>20972</v>
      </c>
      <c r="C2380" s="1" t="s">
        <v>20973</v>
      </c>
      <c r="D2380" s="1" t="s">
        <v>20834</v>
      </c>
      <c r="E2380" s="1" t="s">
        <v>20835</v>
      </c>
      <c r="F2380" s="1">
        <v>821749.0</v>
      </c>
      <c r="G2380" s="1">
        <v>58939.0</v>
      </c>
      <c r="H2380" s="1">
        <v>1121.0</v>
      </c>
      <c r="I2380" s="1">
        <v>3540000.0</v>
      </c>
      <c r="J2380" s="1" t="s">
        <v>2468</v>
      </c>
      <c r="K2380" s="5">
        <f t="shared" si="2"/>
        <v>0.2321324859</v>
      </c>
      <c r="L2380" s="6">
        <f t="shared" si="3"/>
        <v>686</v>
      </c>
      <c r="M2380" s="6">
        <f t="shared" si="4"/>
        <v>1197.88484</v>
      </c>
      <c r="N2380" s="7">
        <f t="shared" si="5"/>
        <v>0.0003383855479</v>
      </c>
      <c r="O2380" s="7"/>
      <c r="P2380" s="4">
        <f t="shared" si="6"/>
        <v>-0.2111795376</v>
      </c>
      <c r="Q2380" s="4">
        <f t="shared" si="7"/>
        <v>3</v>
      </c>
      <c r="R2380" s="4">
        <f t="shared" si="8"/>
        <v>0</v>
      </c>
      <c r="S2380" s="4">
        <f t="shared" si="9"/>
        <v>-0.2111795376</v>
      </c>
      <c r="T2380" s="4">
        <f t="shared" si="10"/>
        <v>14</v>
      </c>
      <c r="U2380" s="4">
        <f t="shared" si="1"/>
        <v>-0.2111795376</v>
      </c>
      <c r="V2380" s="4"/>
    </row>
    <row r="2381">
      <c r="A2381" s="1" t="s">
        <v>20974</v>
      </c>
      <c r="B2381" s="1" t="s">
        <v>20975</v>
      </c>
      <c r="C2381" s="1" t="s">
        <v>20976</v>
      </c>
      <c r="D2381" s="1" t="s">
        <v>20834</v>
      </c>
      <c r="E2381" s="1" t="s">
        <v>20835</v>
      </c>
      <c r="F2381" s="1">
        <v>661374.0</v>
      </c>
      <c r="G2381" s="1">
        <v>39892.0</v>
      </c>
      <c r="H2381" s="1">
        <v>1367.0</v>
      </c>
      <c r="I2381" s="1">
        <v>3540000.0</v>
      </c>
      <c r="J2381" s="1" t="s">
        <v>2468</v>
      </c>
      <c r="K2381" s="5">
        <f t="shared" si="2"/>
        <v>0.1868288136</v>
      </c>
      <c r="L2381" s="6">
        <f t="shared" si="3"/>
        <v>707</v>
      </c>
      <c r="M2381" s="6">
        <f t="shared" si="4"/>
        <v>935.4653465</v>
      </c>
      <c r="N2381" s="7">
        <f t="shared" si="5"/>
        <v>0.0002642557476</v>
      </c>
      <c r="O2381" s="7"/>
      <c r="P2381" s="4">
        <f t="shared" si="6"/>
        <v>-0.2633938578</v>
      </c>
      <c r="Q2381" s="4">
        <f t="shared" si="7"/>
        <v>6</v>
      </c>
      <c r="R2381" s="4">
        <f t="shared" si="8"/>
        <v>0</v>
      </c>
      <c r="S2381" s="4">
        <f t="shared" si="9"/>
        <v>-0.2633938578</v>
      </c>
      <c r="T2381" s="4">
        <f t="shared" si="10"/>
        <v>34</v>
      </c>
      <c r="U2381" s="4">
        <f t="shared" si="1"/>
        <v>-0.2633938578</v>
      </c>
      <c r="V2381" s="4"/>
    </row>
    <row r="2382">
      <c r="A2382" s="1" t="s">
        <v>20977</v>
      </c>
      <c r="B2382" s="1" t="s">
        <v>20978</v>
      </c>
      <c r="C2382" s="1" t="s">
        <v>20979</v>
      </c>
      <c r="D2382" s="1" t="s">
        <v>20834</v>
      </c>
      <c r="E2382" s="1" t="s">
        <v>20835</v>
      </c>
      <c r="F2382" s="1">
        <v>444519.0</v>
      </c>
      <c r="G2382" s="1">
        <v>20589.0</v>
      </c>
      <c r="H2382" s="1">
        <v>392.0</v>
      </c>
      <c r="I2382" s="1">
        <v>3540000.0</v>
      </c>
      <c r="J2382" s="1" t="s">
        <v>2468</v>
      </c>
      <c r="K2382" s="5">
        <f t="shared" si="2"/>
        <v>0.125570339</v>
      </c>
      <c r="L2382" s="6">
        <f t="shared" si="3"/>
        <v>716</v>
      </c>
      <c r="M2382" s="6">
        <f t="shared" si="4"/>
        <v>620.8365922</v>
      </c>
      <c r="N2382" s="7">
        <f t="shared" si="5"/>
        <v>0.0001753775684</v>
      </c>
      <c r="O2382" s="7"/>
      <c r="P2382" s="4">
        <f t="shared" si="6"/>
        <v>-0.3259963967</v>
      </c>
      <c r="Q2382" s="4">
        <f t="shared" si="7"/>
        <v>6</v>
      </c>
      <c r="R2382" s="4">
        <f t="shared" si="8"/>
        <v>0</v>
      </c>
      <c r="S2382" s="4">
        <f t="shared" si="9"/>
        <v>-0.3259963967</v>
      </c>
      <c r="T2382" s="4">
        <f t="shared" si="10"/>
        <v>24</v>
      </c>
      <c r="U2382" s="4">
        <f t="shared" si="1"/>
        <v>-0.3259963967</v>
      </c>
      <c r="V2382" s="4"/>
    </row>
    <row r="2383">
      <c r="A2383" s="1" t="s">
        <v>20980</v>
      </c>
      <c r="B2383" s="1" t="s">
        <v>20981</v>
      </c>
      <c r="C2383" s="1" t="s">
        <v>20982</v>
      </c>
      <c r="D2383" s="1" t="s">
        <v>20834</v>
      </c>
      <c r="E2383" s="1" t="s">
        <v>20835</v>
      </c>
      <c r="F2383" s="1">
        <v>305837.0</v>
      </c>
      <c r="G2383" s="1">
        <v>22252.0</v>
      </c>
      <c r="H2383" s="1">
        <v>409.0</v>
      </c>
      <c r="I2383" s="1">
        <v>3540000.0</v>
      </c>
      <c r="J2383" s="1" t="s">
        <v>2468</v>
      </c>
      <c r="K2383" s="5">
        <f t="shared" si="2"/>
        <v>0.08639463277</v>
      </c>
      <c r="L2383" s="6">
        <f t="shared" si="3"/>
        <v>730</v>
      </c>
      <c r="M2383" s="6">
        <f t="shared" si="4"/>
        <v>418.9547945</v>
      </c>
      <c r="N2383" s="7">
        <f t="shared" si="5"/>
        <v>0.000118348812</v>
      </c>
      <c r="O2383" s="7"/>
      <c r="P2383" s="4">
        <f t="shared" si="6"/>
        <v>-0.3661653669</v>
      </c>
      <c r="Q2383" s="4">
        <f t="shared" si="7"/>
        <v>5</v>
      </c>
      <c r="R2383" s="4">
        <f t="shared" si="8"/>
        <v>2</v>
      </c>
      <c r="S2383" s="4">
        <f t="shared" si="9"/>
        <v>-0.3661653669</v>
      </c>
      <c r="T2383" s="4">
        <f t="shared" si="10"/>
        <v>23</v>
      </c>
      <c r="U2383" s="4">
        <f t="shared" si="1"/>
        <v>-0.3661653669</v>
      </c>
      <c r="V2383" s="4"/>
    </row>
    <row r="2384">
      <c r="A2384" s="1" t="s">
        <v>20983</v>
      </c>
      <c r="B2384" s="1" t="s">
        <v>20984</v>
      </c>
      <c r="C2384" s="1" t="s">
        <v>20985</v>
      </c>
      <c r="D2384" s="1" t="s">
        <v>20834</v>
      </c>
      <c r="E2384" s="1" t="s">
        <v>20835</v>
      </c>
      <c r="F2384" s="1">
        <v>728707.0</v>
      </c>
      <c r="G2384" s="1">
        <v>59538.0</v>
      </c>
      <c r="H2384" s="1">
        <v>1329.0</v>
      </c>
      <c r="I2384" s="1">
        <v>3540000.0</v>
      </c>
      <c r="J2384" s="1" t="s">
        <v>2468</v>
      </c>
      <c r="K2384" s="5">
        <f t="shared" si="2"/>
        <v>0.205849435</v>
      </c>
      <c r="L2384" s="6">
        <f t="shared" si="3"/>
        <v>762</v>
      </c>
      <c r="M2384" s="6">
        <f t="shared" si="4"/>
        <v>956.308399</v>
      </c>
      <c r="N2384" s="7">
        <f t="shared" si="5"/>
        <v>0.0002701436155</v>
      </c>
      <c r="O2384" s="7"/>
      <c r="P2384" s="4">
        <f t="shared" si="6"/>
        <v>-0.259246659</v>
      </c>
      <c r="Q2384" s="4">
        <f t="shared" si="7"/>
        <v>8</v>
      </c>
      <c r="R2384" s="4">
        <f t="shared" si="8"/>
        <v>0</v>
      </c>
      <c r="S2384" s="4">
        <f t="shared" si="9"/>
        <v>-0.259246659</v>
      </c>
      <c r="T2384" s="4">
        <f t="shared" si="10"/>
        <v>31</v>
      </c>
      <c r="U2384" s="4">
        <f t="shared" si="1"/>
        <v>-0.259246659</v>
      </c>
      <c r="V2384" s="4"/>
    </row>
    <row r="2385">
      <c r="A2385" s="1" t="s">
        <v>20986</v>
      </c>
      <c r="B2385" s="1" t="s">
        <v>20987</v>
      </c>
      <c r="C2385" s="1" t="s">
        <v>20988</v>
      </c>
      <c r="D2385" s="1" t="s">
        <v>20834</v>
      </c>
      <c r="E2385" s="1" t="s">
        <v>20835</v>
      </c>
      <c r="F2385" s="1">
        <v>575362.0</v>
      </c>
      <c r="G2385" s="1">
        <v>36470.0</v>
      </c>
      <c r="H2385" s="1">
        <v>1301.0</v>
      </c>
      <c r="I2385" s="1">
        <v>3540000.0</v>
      </c>
      <c r="J2385" s="1" t="s">
        <v>2468</v>
      </c>
      <c r="K2385" s="5">
        <f t="shared" si="2"/>
        <v>0.1625316384</v>
      </c>
      <c r="L2385" s="6">
        <f t="shared" si="3"/>
        <v>770</v>
      </c>
      <c r="M2385" s="6">
        <f t="shared" si="4"/>
        <v>747.2233766</v>
      </c>
      <c r="N2385" s="7">
        <f t="shared" si="5"/>
        <v>0.0002110800499</v>
      </c>
      <c r="O2385" s="7"/>
      <c r="P2385" s="4">
        <f t="shared" si="6"/>
        <v>-0.3008488744</v>
      </c>
      <c r="Q2385" s="4">
        <f t="shared" si="7"/>
        <v>6</v>
      </c>
      <c r="R2385" s="4">
        <f t="shared" si="8"/>
        <v>0</v>
      </c>
      <c r="S2385" s="4">
        <f t="shared" si="9"/>
        <v>-0.3008488744</v>
      </c>
      <c r="T2385" s="4">
        <f t="shared" si="10"/>
        <v>25</v>
      </c>
      <c r="U2385" s="4">
        <f t="shared" si="1"/>
        <v>-0.3008488744</v>
      </c>
      <c r="V2385" s="4"/>
    </row>
    <row r="2386">
      <c r="A2386" s="1" t="s">
        <v>20989</v>
      </c>
      <c r="B2386" s="1" t="s">
        <v>20990</v>
      </c>
      <c r="C2386" s="1" t="s">
        <v>20991</v>
      </c>
      <c r="D2386" s="1" t="s">
        <v>20834</v>
      </c>
      <c r="E2386" s="1" t="s">
        <v>20835</v>
      </c>
      <c r="F2386" s="1">
        <v>930403.0</v>
      </c>
      <c r="G2386" s="1">
        <v>33424.0</v>
      </c>
      <c r="H2386" s="1">
        <v>1687.0</v>
      </c>
      <c r="I2386" s="1">
        <v>3540000.0</v>
      </c>
      <c r="J2386" s="1" t="s">
        <v>2468</v>
      </c>
      <c r="K2386" s="5">
        <f t="shared" si="2"/>
        <v>0.2628257062</v>
      </c>
      <c r="L2386" s="6">
        <f t="shared" si="3"/>
        <v>788</v>
      </c>
      <c r="M2386" s="6">
        <f t="shared" si="4"/>
        <v>1180.714467</v>
      </c>
      <c r="N2386" s="7">
        <f t="shared" si="5"/>
        <v>0.0003335351602</v>
      </c>
      <c r="O2386" s="7"/>
      <c r="P2386" s="4">
        <f t="shared" si="6"/>
        <v>-0.2145959733</v>
      </c>
      <c r="Q2386" s="4">
        <f t="shared" si="7"/>
        <v>6</v>
      </c>
      <c r="R2386" s="4">
        <f t="shared" si="8"/>
        <v>0</v>
      </c>
      <c r="S2386" s="4">
        <f t="shared" si="9"/>
        <v>-0.2145959733</v>
      </c>
      <c r="T2386" s="4">
        <f t="shared" si="10"/>
        <v>27</v>
      </c>
      <c r="U2386" s="4">
        <f t="shared" si="1"/>
        <v>-0.2145959733</v>
      </c>
      <c r="V2386" s="4"/>
    </row>
    <row r="2387">
      <c r="A2387" s="1" t="s">
        <v>20992</v>
      </c>
      <c r="B2387" s="1" t="s">
        <v>20993</v>
      </c>
      <c r="C2387" s="1" t="s">
        <v>20994</v>
      </c>
      <c r="D2387" s="1" t="s">
        <v>20834</v>
      </c>
      <c r="E2387" s="1" t="s">
        <v>20835</v>
      </c>
      <c r="F2387" s="1">
        <v>257020.0</v>
      </c>
      <c r="G2387" s="1">
        <v>24740.0</v>
      </c>
      <c r="H2387" s="1">
        <v>764.0</v>
      </c>
      <c r="I2387" s="1">
        <v>3540000.0</v>
      </c>
      <c r="J2387" s="1" t="s">
        <v>2468</v>
      </c>
      <c r="K2387" s="5">
        <f t="shared" si="2"/>
        <v>0.07260451977</v>
      </c>
      <c r="L2387" s="6">
        <f t="shared" si="3"/>
        <v>790</v>
      </c>
      <c r="M2387" s="6">
        <f t="shared" si="4"/>
        <v>325.3417722</v>
      </c>
      <c r="N2387" s="7">
        <f t="shared" si="5"/>
        <v>0.00009190445541</v>
      </c>
      <c r="O2387" s="7"/>
      <c r="P2387" s="4">
        <f t="shared" si="6"/>
        <v>-0.3847918046</v>
      </c>
      <c r="Q2387" s="4">
        <f t="shared" si="7"/>
        <v>6</v>
      </c>
      <c r="R2387" s="4">
        <f t="shared" si="8"/>
        <v>0</v>
      </c>
      <c r="S2387" s="4">
        <f t="shared" si="9"/>
        <v>-0.3847918046</v>
      </c>
      <c r="T2387" s="4">
        <f t="shared" si="10"/>
        <v>37</v>
      </c>
      <c r="U2387" s="4">
        <f t="shared" si="1"/>
        <v>-0.3847918046</v>
      </c>
      <c r="V2387" s="4"/>
    </row>
    <row r="2388">
      <c r="A2388" s="1" t="s">
        <v>20995</v>
      </c>
      <c r="B2388" s="1" t="s">
        <v>20996</v>
      </c>
      <c r="C2388" s="1" t="s">
        <v>20997</v>
      </c>
      <c r="D2388" s="1" t="s">
        <v>20834</v>
      </c>
      <c r="E2388" s="1" t="s">
        <v>20835</v>
      </c>
      <c r="F2388" s="1">
        <v>1094598.0</v>
      </c>
      <c r="G2388" s="1">
        <v>65455.0</v>
      </c>
      <c r="H2388" s="1">
        <v>4740.0</v>
      </c>
      <c r="I2388" s="1">
        <v>3540000.0</v>
      </c>
      <c r="J2388" s="1" t="s">
        <v>2468</v>
      </c>
      <c r="K2388" s="5">
        <f t="shared" si="2"/>
        <v>0.3092084746</v>
      </c>
      <c r="L2388" s="6">
        <f t="shared" si="3"/>
        <v>797</v>
      </c>
      <c r="M2388" s="6">
        <f t="shared" si="4"/>
        <v>1373.397742</v>
      </c>
      <c r="N2388" s="7">
        <f t="shared" si="5"/>
        <v>0.0003879654637</v>
      </c>
      <c r="O2388" s="7"/>
      <c r="P2388" s="4">
        <f t="shared" si="6"/>
        <v>-0.1762572582</v>
      </c>
      <c r="Q2388" s="4">
        <f t="shared" si="7"/>
        <v>7</v>
      </c>
      <c r="R2388" s="4">
        <f t="shared" si="8"/>
        <v>0</v>
      </c>
      <c r="S2388" s="4">
        <f t="shared" si="9"/>
        <v>-0.1762572582</v>
      </c>
      <c r="T2388" s="4">
        <f t="shared" si="10"/>
        <v>28</v>
      </c>
      <c r="U2388" s="4">
        <f t="shared" si="1"/>
        <v>-0.1762572582</v>
      </c>
      <c r="V2388" s="4"/>
    </row>
    <row r="2389">
      <c r="A2389" s="1" t="s">
        <v>20998</v>
      </c>
      <c r="B2389" s="1" t="s">
        <v>20999</v>
      </c>
      <c r="C2389" s="1" t="s">
        <v>21000</v>
      </c>
      <c r="D2389" s="1" t="s">
        <v>20834</v>
      </c>
      <c r="E2389" s="1" t="s">
        <v>20835</v>
      </c>
      <c r="F2389" s="1">
        <v>596589.0</v>
      </c>
      <c r="G2389" s="1">
        <v>25156.0</v>
      </c>
      <c r="H2389" s="1">
        <v>1766.0</v>
      </c>
      <c r="I2389" s="1">
        <v>3540000.0</v>
      </c>
      <c r="J2389" s="1" t="s">
        <v>2468</v>
      </c>
      <c r="K2389" s="5">
        <f t="shared" si="2"/>
        <v>0.1685279661</v>
      </c>
      <c r="L2389" s="6">
        <f t="shared" si="3"/>
        <v>825</v>
      </c>
      <c r="M2389" s="6">
        <f t="shared" si="4"/>
        <v>723.1381818</v>
      </c>
      <c r="N2389" s="7">
        <f t="shared" si="5"/>
        <v>0.0002042763225</v>
      </c>
      <c r="O2389" s="7"/>
      <c r="P2389" s="4">
        <f t="shared" si="6"/>
        <v>-0.3056411712</v>
      </c>
      <c r="Q2389" s="4">
        <f t="shared" si="7"/>
        <v>7</v>
      </c>
      <c r="R2389" s="4">
        <f t="shared" si="8"/>
        <v>0</v>
      </c>
      <c r="S2389" s="4">
        <f t="shared" si="9"/>
        <v>-0.3056411712</v>
      </c>
      <c r="T2389" s="4">
        <f t="shared" si="10"/>
        <v>23</v>
      </c>
      <c r="U2389" s="4">
        <f t="shared" si="1"/>
        <v>-0.3056411712</v>
      </c>
      <c r="V2389" s="4"/>
    </row>
    <row r="2390">
      <c r="A2390" s="1" t="s">
        <v>21001</v>
      </c>
      <c r="B2390" s="1" t="s">
        <v>21002</v>
      </c>
      <c r="C2390" s="1" t="s">
        <v>21003</v>
      </c>
      <c r="D2390" s="1" t="s">
        <v>20834</v>
      </c>
      <c r="E2390" s="1" t="s">
        <v>20835</v>
      </c>
      <c r="F2390" s="1">
        <v>2743198.0</v>
      </c>
      <c r="G2390" s="1">
        <v>123922.0</v>
      </c>
      <c r="H2390" s="1">
        <v>2531.0</v>
      </c>
      <c r="I2390" s="1">
        <v>3540000.0</v>
      </c>
      <c r="J2390" s="1" t="s">
        <v>2468</v>
      </c>
      <c r="K2390" s="5">
        <f t="shared" si="2"/>
        <v>0.7749146893</v>
      </c>
      <c r="L2390" s="6">
        <f t="shared" si="3"/>
        <v>845</v>
      </c>
      <c r="M2390" s="6">
        <f t="shared" si="4"/>
        <v>3246.388166</v>
      </c>
      <c r="N2390" s="7">
        <f t="shared" si="5"/>
        <v>0.0009170588039</v>
      </c>
      <c r="O2390" s="7"/>
      <c r="P2390" s="4">
        <f t="shared" si="6"/>
        <v>0.1964167399</v>
      </c>
      <c r="Q2390" s="4">
        <f t="shared" si="7"/>
        <v>4</v>
      </c>
      <c r="R2390" s="4">
        <f t="shared" si="8"/>
        <v>0</v>
      </c>
      <c r="S2390" s="4">
        <f t="shared" si="9"/>
        <v>0.1964167399</v>
      </c>
      <c r="T2390" s="4">
        <f t="shared" si="10"/>
        <v>18</v>
      </c>
      <c r="U2390" s="4">
        <f t="shared" si="1"/>
        <v>0.1964167399</v>
      </c>
      <c r="V2390" s="4"/>
    </row>
    <row r="2391">
      <c r="A2391" s="1" t="s">
        <v>21004</v>
      </c>
      <c r="B2391" s="1" t="s">
        <v>21005</v>
      </c>
      <c r="C2391" s="1" t="s">
        <v>21006</v>
      </c>
      <c r="D2391" s="1" t="s">
        <v>20834</v>
      </c>
      <c r="E2391" s="1" t="s">
        <v>20835</v>
      </c>
      <c r="F2391" s="1">
        <v>1563843.0</v>
      </c>
      <c r="G2391" s="1">
        <v>74811.0</v>
      </c>
      <c r="H2391" s="1">
        <v>820.0</v>
      </c>
      <c r="I2391" s="1">
        <v>3540000.0</v>
      </c>
      <c r="J2391" s="1" t="s">
        <v>2468</v>
      </c>
      <c r="K2391" s="5">
        <f t="shared" si="2"/>
        <v>0.4417635593</v>
      </c>
      <c r="L2391" s="6">
        <f t="shared" si="3"/>
        <v>848</v>
      </c>
      <c r="M2391" s="6">
        <f t="shared" si="4"/>
        <v>1844.154481</v>
      </c>
      <c r="N2391" s="7">
        <f t="shared" si="5"/>
        <v>0.0005209475935</v>
      </c>
      <c r="O2391" s="7"/>
      <c r="P2391" s="4">
        <f t="shared" si="6"/>
        <v>-0.08258950956</v>
      </c>
      <c r="Q2391" s="4">
        <f t="shared" si="7"/>
        <v>6</v>
      </c>
      <c r="R2391" s="4">
        <f t="shared" si="8"/>
        <v>0</v>
      </c>
      <c r="S2391" s="4">
        <f t="shared" si="9"/>
        <v>-0.08258950956</v>
      </c>
      <c r="T2391" s="4">
        <f t="shared" si="10"/>
        <v>34</v>
      </c>
      <c r="U2391" s="4">
        <f t="shared" si="1"/>
        <v>-0.08258950956</v>
      </c>
      <c r="V2391" s="4"/>
    </row>
    <row r="2392">
      <c r="A2392" s="1" t="s">
        <v>21007</v>
      </c>
      <c r="B2392" s="1" t="s">
        <v>21008</v>
      </c>
      <c r="C2392" s="1" t="s">
        <v>21009</v>
      </c>
      <c r="D2392" s="1" t="s">
        <v>20834</v>
      </c>
      <c r="E2392" s="1" t="s">
        <v>20835</v>
      </c>
      <c r="F2392" s="1">
        <v>6673393.0</v>
      </c>
      <c r="G2392" s="1">
        <v>245807.0</v>
      </c>
      <c r="H2392" s="1">
        <v>3631.0</v>
      </c>
      <c r="I2392" s="1">
        <v>3540000.0</v>
      </c>
      <c r="J2392" s="1" t="s">
        <v>2468</v>
      </c>
      <c r="K2392" s="5">
        <f t="shared" si="2"/>
        <v>1.885139266</v>
      </c>
      <c r="L2392" s="6">
        <f t="shared" si="3"/>
        <v>860</v>
      </c>
      <c r="M2392" s="6">
        <f t="shared" si="4"/>
        <v>7759.759302</v>
      </c>
      <c r="N2392" s="7">
        <f t="shared" si="5"/>
        <v>0.002192022402</v>
      </c>
      <c r="O2392" s="7"/>
      <c r="P2392" s="4">
        <f t="shared" si="6"/>
        <v>1.094454469</v>
      </c>
      <c r="Q2392" s="4">
        <f t="shared" si="7"/>
        <v>9</v>
      </c>
      <c r="R2392" s="4">
        <f t="shared" si="8"/>
        <v>0</v>
      </c>
      <c r="S2392" s="4">
        <f t="shared" si="9"/>
        <v>1.094454469</v>
      </c>
      <c r="T2392" s="4">
        <f t="shared" si="10"/>
        <v>29</v>
      </c>
      <c r="U2392" s="4">
        <f t="shared" si="1"/>
        <v>1.094454469</v>
      </c>
      <c r="V2392" s="4"/>
    </row>
    <row r="2393">
      <c r="A2393" s="1" t="s">
        <v>21010</v>
      </c>
      <c r="B2393" s="1" t="s">
        <v>21011</v>
      </c>
      <c r="C2393" s="1" t="s">
        <v>21012</v>
      </c>
      <c r="D2393" s="1" t="s">
        <v>20834</v>
      </c>
      <c r="E2393" s="1" t="s">
        <v>20835</v>
      </c>
      <c r="F2393" s="1">
        <v>508718.0</v>
      </c>
      <c r="G2393" s="1">
        <v>24483.0</v>
      </c>
      <c r="H2393" s="1">
        <v>399.0</v>
      </c>
      <c r="I2393" s="1">
        <v>3540000.0</v>
      </c>
      <c r="J2393" s="1" t="s">
        <v>2468</v>
      </c>
      <c r="K2393" s="5">
        <f t="shared" si="2"/>
        <v>0.1437056497</v>
      </c>
      <c r="L2393" s="6">
        <f t="shared" si="3"/>
        <v>869</v>
      </c>
      <c r="M2393" s="6">
        <f t="shared" si="4"/>
        <v>585.406214</v>
      </c>
      <c r="N2393" s="7">
        <f t="shared" si="5"/>
        <v>0.000165368987</v>
      </c>
      <c r="O2393" s="7"/>
      <c r="P2393" s="4">
        <f t="shared" si="6"/>
        <v>-0.3330460753</v>
      </c>
      <c r="Q2393" s="4">
        <f t="shared" si="7"/>
        <v>7</v>
      </c>
      <c r="R2393" s="4">
        <f t="shared" si="8"/>
        <v>0</v>
      </c>
      <c r="S2393" s="4">
        <f t="shared" si="9"/>
        <v>-0.3330460753</v>
      </c>
      <c r="T2393" s="4">
        <f t="shared" si="10"/>
        <v>31</v>
      </c>
      <c r="U2393" s="4">
        <f t="shared" si="1"/>
        <v>-0.3330460753</v>
      </c>
      <c r="V2393" s="4"/>
    </row>
    <row r="2394">
      <c r="A2394" s="1" t="s">
        <v>21013</v>
      </c>
      <c r="B2394" s="1" t="s">
        <v>21014</v>
      </c>
      <c r="C2394" s="1" t="s">
        <v>21015</v>
      </c>
      <c r="D2394" s="1" t="s">
        <v>20834</v>
      </c>
      <c r="E2394" s="1" t="s">
        <v>20835</v>
      </c>
      <c r="F2394" s="1">
        <v>1556833.0</v>
      </c>
      <c r="G2394" s="1">
        <v>64066.0</v>
      </c>
      <c r="H2394" s="1">
        <v>2194.0</v>
      </c>
      <c r="I2394" s="1">
        <v>3540000.0</v>
      </c>
      <c r="J2394" s="1" t="s">
        <v>2468</v>
      </c>
      <c r="K2394" s="5">
        <f t="shared" si="2"/>
        <v>0.4397833333</v>
      </c>
      <c r="L2394" s="6">
        <f t="shared" si="3"/>
        <v>889</v>
      </c>
      <c r="M2394" s="6">
        <f t="shared" si="4"/>
        <v>1751.218223</v>
      </c>
      <c r="N2394" s="7">
        <f t="shared" si="5"/>
        <v>0.0004946944132</v>
      </c>
      <c r="O2394" s="7"/>
      <c r="P2394" s="4">
        <f t="shared" si="6"/>
        <v>-0.1010812896</v>
      </c>
      <c r="Q2394" s="4">
        <f t="shared" si="7"/>
        <v>4</v>
      </c>
      <c r="R2394" s="4">
        <f t="shared" si="8"/>
        <v>1</v>
      </c>
      <c r="S2394" s="4">
        <f t="shared" si="9"/>
        <v>-0.1010812896</v>
      </c>
      <c r="T2394" s="4">
        <f t="shared" si="10"/>
        <v>25</v>
      </c>
      <c r="U2394" s="4">
        <f t="shared" si="1"/>
        <v>-0.1010812896</v>
      </c>
      <c r="V2394" s="4"/>
    </row>
    <row r="2395">
      <c r="A2395" s="1" t="s">
        <v>21016</v>
      </c>
      <c r="B2395" s="1" t="s">
        <v>21017</v>
      </c>
      <c r="C2395" s="1" t="s">
        <v>21018</v>
      </c>
      <c r="D2395" s="1" t="s">
        <v>20834</v>
      </c>
      <c r="E2395" s="1" t="s">
        <v>20835</v>
      </c>
      <c r="F2395" s="1">
        <v>387524.0</v>
      </c>
      <c r="G2395" s="1">
        <v>19420.0</v>
      </c>
      <c r="H2395" s="1">
        <v>292.0</v>
      </c>
      <c r="I2395" s="1">
        <v>3540000.0</v>
      </c>
      <c r="J2395" s="1" t="s">
        <v>2468</v>
      </c>
      <c r="K2395" s="5">
        <f t="shared" si="2"/>
        <v>0.1094700565</v>
      </c>
      <c r="L2395" s="6">
        <f t="shared" si="3"/>
        <v>893</v>
      </c>
      <c r="M2395" s="6">
        <f t="shared" si="4"/>
        <v>433.9574468</v>
      </c>
      <c r="N2395" s="7">
        <f t="shared" si="5"/>
        <v>0.0001225868494</v>
      </c>
      <c r="O2395" s="7"/>
      <c r="P2395" s="4">
        <f t="shared" si="6"/>
        <v>-0.3631802484</v>
      </c>
      <c r="Q2395" s="4">
        <f t="shared" si="7"/>
        <v>4</v>
      </c>
      <c r="R2395" s="4">
        <f t="shared" si="8"/>
        <v>0</v>
      </c>
      <c r="S2395" s="4">
        <f t="shared" si="9"/>
        <v>-0.3631802484</v>
      </c>
      <c r="T2395" s="4">
        <f t="shared" si="10"/>
        <v>21</v>
      </c>
      <c r="U2395" s="4">
        <f t="shared" si="1"/>
        <v>-0.3631802484</v>
      </c>
      <c r="V2395" s="4"/>
    </row>
    <row r="2396">
      <c r="A2396" s="1" t="s">
        <v>21019</v>
      </c>
      <c r="B2396" s="1" t="s">
        <v>21020</v>
      </c>
      <c r="C2396" s="1" t="s">
        <v>21021</v>
      </c>
      <c r="D2396" s="1" t="s">
        <v>20834</v>
      </c>
      <c r="E2396" s="1" t="s">
        <v>20835</v>
      </c>
      <c r="F2396" s="1">
        <v>3003277.0</v>
      </c>
      <c r="G2396" s="1">
        <v>140658.0</v>
      </c>
      <c r="H2396" s="1">
        <v>1662.0</v>
      </c>
      <c r="I2396" s="1">
        <v>3540000.0</v>
      </c>
      <c r="J2396" s="1" t="s">
        <v>2468</v>
      </c>
      <c r="K2396" s="5">
        <f t="shared" si="2"/>
        <v>0.8483833333</v>
      </c>
      <c r="L2396" s="6">
        <f t="shared" si="3"/>
        <v>908</v>
      </c>
      <c r="M2396" s="6">
        <f t="shared" si="4"/>
        <v>3307.573789</v>
      </c>
      <c r="N2396" s="7">
        <f t="shared" si="5"/>
        <v>0.0009343428781</v>
      </c>
      <c r="O2396" s="7"/>
      <c r="P2396" s="4">
        <f t="shared" si="6"/>
        <v>0.2085910097</v>
      </c>
      <c r="Q2396" s="4">
        <f t="shared" si="7"/>
        <v>5</v>
      </c>
      <c r="R2396" s="4">
        <f t="shared" si="8"/>
        <v>0</v>
      </c>
      <c r="S2396" s="4">
        <f t="shared" si="9"/>
        <v>0.2085910097</v>
      </c>
      <c r="T2396" s="4">
        <f t="shared" si="10"/>
        <v>22</v>
      </c>
      <c r="U2396" s="4">
        <f t="shared" si="1"/>
        <v>0.2085910097</v>
      </c>
      <c r="V2396" s="4"/>
    </row>
    <row r="2397">
      <c r="A2397" s="1" t="s">
        <v>21022</v>
      </c>
      <c r="B2397" s="1" t="s">
        <v>21023</v>
      </c>
      <c r="C2397" s="1" t="s">
        <v>21024</v>
      </c>
      <c r="D2397" s="1" t="s">
        <v>20834</v>
      </c>
      <c r="E2397" s="1" t="s">
        <v>20835</v>
      </c>
      <c r="F2397" s="1">
        <v>475033.0</v>
      </c>
      <c r="G2397" s="1">
        <v>14663.0</v>
      </c>
      <c r="H2397" s="1">
        <v>213.0</v>
      </c>
      <c r="I2397" s="1">
        <v>3540000.0</v>
      </c>
      <c r="J2397" s="1" t="s">
        <v>2468</v>
      </c>
      <c r="K2397" s="5">
        <f t="shared" si="2"/>
        <v>0.134190113</v>
      </c>
      <c r="L2397" s="6">
        <f t="shared" si="3"/>
        <v>917</v>
      </c>
      <c r="M2397" s="6">
        <f t="shared" si="4"/>
        <v>518.0294438</v>
      </c>
      <c r="N2397" s="7">
        <f t="shared" si="5"/>
        <v>0.0001463360011</v>
      </c>
      <c r="O2397" s="7"/>
      <c r="P2397" s="4">
        <f t="shared" si="6"/>
        <v>-0.3464522145</v>
      </c>
      <c r="Q2397" s="4">
        <f t="shared" si="7"/>
        <v>6</v>
      </c>
      <c r="R2397" s="4">
        <f t="shared" si="8"/>
        <v>0</v>
      </c>
      <c r="S2397" s="4">
        <f t="shared" si="9"/>
        <v>-0.3464522145</v>
      </c>
      <c r="T2397" s="4">
        <f t="shared" si="10"/>
        <v>20</v>
      </c>
      <c r="U2397" s="4">
        <f t="shared" si="1"/>
        <v>-0.3464522145</v>
      </c>
      <c r="V2397" s="4"/>
    </row>
    <row r="2398">
      <c r="A2398" s="1" t="s">
        <v>21025</v>
      </c>
      <c r="B2398" s="1" t="s">
        <v>21026</v>
      </c>
      <c r="C2398" s="1" t="s">
        <v>21027</v>
      </c>
      <c r="D2398" s="1" t="s">
        <v>20834</v>
      </c>
      <c r="E2398" s="1" t="s">
        <v>20835</v>
      </c>
      <c r="F2398" s="1">
        <v>1143030.0</v>
      </c>
      <c r="G2398" s="1">
        <v>54825.0</v>
      </c>
      <c r="H2398" s="1">
        <v>794.0</v>
      </c>
      <c r="I2398" s="1">
        <v>3540000.0</v>
      </c>
      <c r="J2398" s="1" t="s">
        <v>2468</v>
      </c>
      <c r="K2398" s="5">
        <f t="shared" si="2"/>
        <v>0.3228898305</v>
      </c>
      <c r="L2398" s="6">
        <f t="shared" si="3"/>
        <v>924</v>
      </c>
      <c r="M2398" s="6">
        <f t="shared" si="4"/>
        <v>1237.045455</v>
      </c>
      <c r="N2398" s="7">
        <f t="shared" si="5"/>
        <v>0.0003494478685</v>
      </c>
      <c r="O2398" s="7"/>
      <c r="P2398" s="4">
        <f t="shared" si="6"/>
        <v>-0.2033876436</v>
      </c>
      <c r="Q2398" s="4">
        <f t="shared" si="7"/>
        <v>4</v>
      </c>
      <c r="R2398" s="4">
        <f t="shared" si="8"/>
        <v>0</v>
      </c>
      <c r="S2398" s="4">
        <f t="shared" si="9"/>
        <v>-0.2033876436</v>
      </c>
      <c r="T2398" s="4">
        <f t="shared" si="10"/>
        <v>15</v>
      </c>
      <c r="U2398" s="4">
        <f t="shared" si="1"/>
        <v>-0.2033876436</v>
      </c>
      <c r="V2398" s="4"/>
    </row>
    <row r="2399">
      <c r="A2399" s="1" t="s">
        <v>21028</v>
      </c>
      <c r="B2399" s="1" t="s">
        <v>21029</v>
      </c>
      <c r="C2399" s="1" t="s">
        <v>21030</v>
      </c>
      <c r="D2399" s="1" t="s">
        <v>20834</v>
      </c>
      <c r="E2399" s="1" t="s">
        <v>20835</v>
      </c>
      <c r="F2399" s="1">
        <v>604331.0</v>
      </c>
      <c r="G2399" s="1">
        <v>32990.0</v>
      </c>
      <c r="H2399" s="1">
        <v>425.0</v>
      </c>
      <c r="I2399" s="1">
        <v>3540000.0</v>
      </c>
      <c r="J2399" s="1" t="s">
        <v>2468</v>
      </c>
      <c r="K2399" s="5">
        <f t="shared" si="2"/>
        <v>0.1707149718</v>
      </c>
      <c r="L2399" s="6">
        <f t="shared" si="3"/>
        <v>941</v>
      </c>
      <c r="M2399" s="6">
        <f t="shared" si="4"/>
        <v>642.2221041</v>
      </c>
      <c r="N2399" s="7">
        <f t="shared" si="5"/>
        <v>0.0001814186735</v>
      </c>
      <c r="O2399" s="7"/>
      <c r="P2399" s="4">
        <f t="shared" si="6"/>
        <v>-0.3217412632</v>
      </c>
      <c r="Q2399" s="4">
        <f t="shared" si="7"/>
        <v>7</v>
      </c>
      <c r="R2399" s="4">
        <f t="shared" si="8"/>
        <v>0</v>
      </c>
      <c r="S2399" s="4">
        <f t="shared" si="9"/>
        <v>-0.3217412632</v>
      </c>
      <c r="T2399" s="4">
        <f t="shared" si="10"/>
        <v>29</v>
      </c>
      <c r="U2399" s="4">
        <f t="shared" si="1"/>
        <v>-0.3217412632</v>
      </c>
      <c r="V2399" s="4"/>
    </row>
    <row r="2400">
      <c r="A2400" s="1" t="s">
        <v>21031</v>
      </c>
      <c r="B2400" s="1" t="s">
        <v>20972</v>
      </c>
      <c r="C2400" s="1" t="s">
        <v>21032</v>
      </c>
      <c r="D2400" s="1" t="s">
        <v>20834</v>
      </c>
      <c r="E2400" s="1" t="s">
        <v>20835</v>
      </c>
      <c r="F2400" s="1">
        <v>1320926.0</v>
      </c>
      <c r="G2400" s="1">
        <v>73851.0</v>
      </c>
      <c r="H2400" s="1">
        <v>1597.0</v>
      </c>
      <c r="I2400" s="1">
        <v>3540000.0</v>
      </c>
      <c r="J2400" s="1" t="s">
        <v>2468</v>
      </c>
      <c r="K2400" s="5">
        <f t="shared" si="2"/>
        <v>0.3731429379</v>
      </c>
      <c r="L2400" s="6">
        <f t="shared" si="3"/>
        <v>958</v>
      </c>
      <c r="M2400" s="6">
        <f t="shared" si="4"/>
        <v>1378.837161</v>
      </c>
      <c r="N2400" s="7">
        <f t="shared" si="5"/>
        <v>0.0003895020228</v>
      </c>
      <c r="O2400" s="7"/>
      <c r="P2400" s="4">
        <f t="shared" si="6"/>
        <v>-0.1751749622</v>
      </c>
      <c r="Q2400" s="4">
        <f t="shared" si="7"/>
        <v>3</v>
      </c>
      <c r="R2400" s="4">
        <f t="shared" si="8"/>
        <v>0</v>
      </c>
      <c r="S2400" s="4">
        <f t="shared" si="9"/>
        <v>-0.1751749622</v>
      </c>
      <c r="T2400" s="4">
        <f t="shared" si="10"/>
        <v>14</v>
      </c>
      <c r="U2400" s="4">
        <f t="shared" si="1"/>
        <v>-0.1751749622</v>
      </c>
      <c r="V2400" s="4"/>
    </row>
    <row r="2401">
      <c r="A2401" s="1" t="s">
        <v>21033</v>
      </c>
      <c r="B2401" s="1" t="s">
        <v>21034</v>
      </c>
      <c r="C2401" s="1" t="s">
        <v>21035</v>
      </c>
      <c r="D2401" s="1" t="s">
        <v>20834</v>
      </c>
      <c r="E2401" s="1" t="s">
        <v>20835</v>
      </c>
      <c r="F2401" s="1">
        <v>4476387.0</v>
      </c>
      <c r="G2401" s="1">
        <v>209041.0</v>
      </c>
      <c r="H2401" s="1">
        <v>3083.0</v>
      </c>
      <c r="I2401" s="1">
        <v>3540000.0</v>
      </c>
      <c r="J2401" s="1" t="s">
        <v>2468</v>
      </c>
      <c r="K2401" s="5">
        <f t="shared" si="2"/>
        <v>1.264516102</v>
      </c>
      <c r="L2401" s="6">
        <f t="shared" si="3"/>
        <v>966</v>
      </c>
      <c r="M2401" s="6">
        <f t="shared" si="4"/>
        <v>4633.940994</v>
      </c>
      <c r="N2401" s="7">
        <f t="shared" si="5"/>
        <v>0.00130902288</v>
      </c>
      <c r="O2401" s="7"/>
      <c r="P2401" s="4">
        <f t="shared" si="6"/>
        <v>0.4725018995</v>
      </c>
      <c r="Q2401" s="4">
        <f t="shared" si="7"/>
        <v>7</v>
      </c>
      <c r="R2401" s="4">
        <f t="shared" si="8"/>
        <v>0</v>
      </c>
      <c r="S2401" s="4">
        <f t="shared" si="9"/>
        <v>0.4725018995</v>
      </c>
      <c r="T2401" s="4">
        <f t="shared" si="10"/>
        <v>30</v>
      </c>
      <c r="U2401" s="4">
        <f t="shared" si="1"/>
        <v>0.4725018995</v>
      </c>
      <c r="V2401" s="4"/>
    </row>
    <row r="2402">
      <c r="A2402" s="1" t="s">
        <v>21036</v>
      </c>
      <c r="B2402" s="1" t="s">
        <v>21037</v>
      </c>
      <c r="C2402" s="1" t="s">
        <v>21038</v>
      </c>
      <c r="D2402" s="1" t="s">
        <v>20834</v>
      </c>
      <c r="E2402" s="1" t="s">
        <v>20835</v>
      </c>
      <c r="F2402" s="1">
        <v>9926247.0</v>
      </c>
      <c r="G2402" s="1">
        <v>495978.0</v>
      </c>
      <c r="H2402" s="1">
        <v>4150.0</v>
      </c>
      <c r="I2402" s="1">
        <v>3540000.0</v>
      </c>
      <c r="J2402" s="1" t="s">
        <v>2468</v>
      </c>
      <c r="K2402" s="5">
        <f t="shared" si="2"/>
        <v>2.804024576</v>
      </c>
      <c r="L2402" s="6">
        <f t="shared" si="3"/>
        <v>971</v>
      </c>
      <c r="M2402" s="6">
        <f t="shared" si="4"/>
        <v>10222.70546</v>
      </c>
      <c r="N2402" s="7">
        <f t="shared" si="5"/>
        <v>0.002887769903</v>
      </c>
      <c r="O2402" s="7"/>
      <c r="P2402" s="4">
        <f t="shared" si="6"/>
        <v>1.584513563</v>
      </c>
      <c r="Q2402" s="4">
        <f t="shared" si="7"/>
        <v>4</v>
      </c>
      <c r="R2402" s="4">
        <f t="shared" si="8"/>
        <v>0</v>
      </c>
      <c r="S2402" s="4">
        <f t="shared" si="9"/>
        <v>1.584513563</v>
      </c>
      <c r="T2402" s="4">
        <f t="shared" si="10"/>
        <v>27</v>
      </c>
      <c r="U2402" s="4">
        <f t="shared" si="1"/>
        <v>1.584513563</v>
      </c>
      <c r="V2402" s="4"/>
    </row>
    <row r="2403">
      <c r="A2403" s="1" t="s">
        <v>21039</v>
      </c>
      <c r="B2403" s="1" t="s">
        <v>21040</v>
      </c>
      <c r="C2403" s="1" t="s">
        <v>21041</v>
      </c>
      <c r="D2403" s="1" t="s">
        <v>20834</v>
      </c>
      <c r="E2403" s="1" t="s">
        <v>20835</v>
      </c>
      <c r="F2403" s="1">
        <v>1380196.0</v>
      </c>
      <c r="G2403" s="1">
        <v>82438.0</v>
      </c>
      <c r="H2403" s="1">
        <v>1886.0</v>
      </c>
      <c r="I2403" s="1">
        <v>3540000.0</v>
      </c>
      <c r="J2403" s="1" t="s">
        <v>2468</v>
      </c>
      <c r="K2403" s="5">
        <f t="shared" si="2"/>
        <v>0.3898858757</v>
      </c>
      <c r="L2403" s="6">
        <f t="shared" si="3"/>
        <v>985</v>
      </c>
      <c r="M2403" s="6">
        <f t="shared" si="4"/>
        <v>1401.214213</v>
      </c>
      <c r="N2403" s="7">
        <f t="shared" si="5"/>
        <v>0.0003958232241</v>
      </c>
      <c r="O2403" s="7"/>
      <c r="P2403" s="4">
        <f t="shared" si="6"/>
        <v>-0.1707225392</v>
      </c>
      <c r="Q2403" s="4">
        <f t="shared" si="7"/>
        <v>4</v>
      </c>
      <c r="R2403" s="4">
        <f t="shared" si="8"/>
        <v>0</v>
      </c>
      <c r="S2403" s="4">
        <f t="shared" si="9"/>
        <v>-0.1707225392</v>
      </c>
      <c r="T2403" s="4">
        <f t="shared" si="10"/>
        <v>19</v>
      </c>
      <c r="U2403" s="4">
        <f t="shared" si="1"/>
        <v>-0.1707225392</v>
      </c>
      <c r="V2403" s="4"/>
    </row>
    <row r="2404">
      <c r="A2404" s="1" t="s">
        <v>21042</v>
      </c>
      <c r="B2404" s="1" t="s">
        <v>21043</v>
      </c>
      <c r="C2404" s="1" t="s">
        <v>21044</v>
      </c>
      <c r="D2404" s="1" t="s">
        <v>20834</v>
      </c>
      <c r="E2404" s="1" t="s">
        <v>20835</v>
      </c>
      <c r="F2404" s="1">
        <v>3832385.0</v>
      </c>
      <c r="G2404" s="1">
        <v>271792.0</v>
      </c>
      <c r="H2404" s="1">
        <v>14494.0</v>
      </c>
      <c r="I2404" s="1">
        <v>3540000.0</v>
      </c>
      <c r="J2404" s="1" t="s">
        <v>2468</v>
      </c>
      <c r="K2404" s="5">
        <f t="shared" si="2"/>
        <v>1.082594633</v>
      </c>
      <c r="L2404" s="6">
        <f t="shared" si="3"/>
        <v>987</v>
      </c>
      <c r="M2404" s="6">
        <f t="shared" si="4"/>
        <v>3882.862209</v>
      </c>
      <c r="N2404" s="7">
        <f t="shared" si="5"/>
        <v>0.001096853731</v>
      </c>
      <c r="O2404" s="7"/>
      <c r="P2404" s="4">
        <f t="shared" si="6"/>
        <v>0.3230577111</v>
      </c>
      <c r="Q2404" s="4">
        <f t="shared" si="7"/>
        <v>5</v>
      </c>
      <c r="R2404" s="4">
        <f t="shared" si="8"/>
        <v>0</v>
      </c>
      <c r="S2404" s="4">
        <f t="shared" si="9"/>
        <v>0.3230577111</v>
      </c>
      <c r="T2404" s="4">
        <f t="shared" si="10"/>
        <v>36</v>
      </c>
      <c r="U2404" s="4">
        <f t="shared" si="1"/>
        <v>0.3230577111</v>
      </c>
      <c r="V2404" s="4"/>
    </row>
    <row r="2405">
      <c r="A2405" s="1" t="s">
        <v>21045</v>
      </c>
      <c r="B2405" s="1" t="s">
        <v>21046</v>
      </c>
      <c r="C2405" s="1" t="s">
        <v>21047</v>
      </c>
      <c r="D2405" s="1" t="s">
        <v>20834</v>
      </c>
      <c r="E2405" s="1" t="s">
        <v>20835</v>
      </c>
      <c r="F2405" s="1">
        <v>2.5242529E7</v>
      </c>
      <c r="G2405" s="1">
        <v>928774.0</v>
      </c>
      <c r="H2405" s="1">
        <v>7973.0</v>
      </c>
      <c r="I2405" s="1">
        <v>3540000.0</v>
      </c>
      <c r="J2405" s="1" t="s">
        <v>2468</v>
      </c>
      <c r="K2405" s="5">
        <f t="shared" si="2"/>
        <v>7.13065791</v>
      </c>
      <c r="L2405" s="6">
        <f t="shared" si="3"/>
        <v>1004</v>
      </c>
      <c r="M2405" s="6">
        <f t="shared" si="4"/>
        <v>25141.96116</v>
      </c>
      <c r="N2405" s="7">
        <f t="shared" si="5"/>
        <v>0.007102248914</v>
      </c>
      <c r="O2405" s="7"/>
      <c r="P2405" s="4">
        <f t="shared" si="6"/>
        <v>4.553038441</v>
      </c>
      <c r="Q2405" s="4">
        <f t="shared" si="7"/>
        <v>3</v>
      </c>
      <c r="R2405" s="4">
        <f t="shared" si="8"/>
        <v>0</v>
      </c>
      <c r="S2405" s="4">
        <f t="shared" si="9"/>
        <v>4.553038441</v>
      </c>
      <c r="T2405" s="4">
        <f t="shared" si="10"/>
        <v>15</v>
      </c>
      <c r="U2405" s="4">
        <f t="shared" si="1"/>
        <v>4.553038441</v>
      </c>
      <c r="V2405" s="4"/>
    </row>
    <row r="2406">
      <c r="A2406" s="1" t="s">
        <v>21048</v>
      </c>
      <c r="B2406" s="1" t="s">
        <v>21049</v>
      </c>
      <c r="C2406" s="1" t="s">
        <v>21050</v>
      </c>
      <c r="D2406" s="1" t="s">
        <v>20834</v>
      </c>
      <c r="E2406" s="1" t="s">
        <v>20835</v>
      </c>
      <c r="F2406" s="1">
        <v>913447.0</v>
      </c>
      <c r="G2406" s="1">
        <v>38933.0</v>
      </c>
      <c r="H2406" s="1">
        <v>525.0</v>
      </c>
      <c r="I2406" s="1">
        <v>3540000.0</v>
      </c>
      <c r="J2406" s="1" t="s">
        <v>2468</v>
      </c>
      <c r="K2406" s="5">
        <f t="shared" si="2"/>
        <v>0.2580358757</v>
      </c>
      <c r="L2406" s="6">
        <f t="shared" si="3"/>
        <v>1008</v>
      </c>
      <c r="M2406" s="6">
        <f t="shared" si="4"/>
        <v>906.1974206</v>
      </c>
      <c r="N2406" s="7">
        <f t="shared" si="5"/>
        <v>0.0002559879719</v>
      </c>
      <c r="O2406" s="7"/>
      <c r="P2406" s="4">
        <f t="shared" si="6"/>
        <v>-0.2692173766</v>
      </c>
      <c r="Q2406" s="4">
        <f t="shared" si="7"/>
        <v>4</v>
      </c>
      <c r="R2406" s="4">
        <f t="shared" si="8"/>
        <v>1</v>
      </c>
      <c r="S2406" s="4">
        <f t="shared" si="9"/>
        <v>-0.2692173766</v>
      </c>
      <c r="T2406" s="4">
        <f t="shared" si="10"/>
        <v>21</v>
      </c>
      <c r="U2406" s="4">
        <f t="shared" si="1"/>
        <v>-0.2692173766</v>
      </c>
      <c r="V2406" s="4"/>
    </row>
    <row r="2407">
      <c r="A2407" s="1" t="s">
        <v>21051</v>
      </c>
      <c r="B2407" s="1" t="s">
        <v>21052</v>
      </c>
      <c r="C2407" s="1" t="s">
        <v>21053</v>
      </c>
      <c r="D2407" s="1" t="s">
        <v>20834</v>
      </c>
      <c r="E2407" s="1" t="s">
        <v>20835</v>
      </c>
      <c r="F2407" s="1">
        <v>6.7313647E7</v>
      </c>
      <c r="G2407" s="1">
        <v>2801746.0</v>
      </c>
      <c r="H2407" s="1">
        <v>16314.0</v>
      </c>
      <c r="I2407" s="1">
        <v>3540000.0</v>
      </c>
      <c r="J2407" s="1" t="s">
        <v>2468</v>
      </c>
      <c r="K2407" s="5">
        <f t="shared" si="2"/>
        <v>19.01515452</v>
      </c>
      <c r="L2407" s="6">
        <f t="shared" si="3"/>
        <v>1033</v>
      </c>
      <c r="M2407" s="6">
        <f t="shared" si="4"/>
        <v>65163.25944</v>
      </c>
      <c r="N2407" s="7">
        <f t="shared" si="5"/>
        <v>0.01840770041</v>
      </c>
      <c r="O2407" s="7"/>
      <c r="P2407" s="4">
        <f t="shared" si="6"/>
        <v>12.516185</v>
      </c>
      <c r="Q2407" s="4">
        <f t="shared" si="7"/>
        <v>5</v>
      </c>
      <c r="R2407" s="4">
        <f t="shared" si="8"/>
        <v>0</v>
      </c>
      <c r="S2407" s="4">
        <f t="shared" si="9"/>
        <v>12.516185</v>
      </c>
      <c r="T2407" s="4">
        <f t="shared" si="10"/>
        <v>28</v>
      </c>
      <c r="U2407" s="4">
        <f t="shared" si="1"/>
        <v>12.516185</v>
      </c>
      <c r="V2407" s="4"/>
    </row>
    <row r="2408">
      <c r="A2408" s="1" t="s">
        <v>21054</v>
      </c>
      <c r="B2408" s="1" t="s">
        <v>21055</v>
      </c>
      <c r="C2408" s="1" t="s">
        <v>21056</v>
      </c>
      <c r="D2408" s="1" t="s">
        <v>20834</v>
      </c>
      <c r="E2408" s="1" t="s">
        <v>20835</v>
      </c>
      <c r="F2408" s="1">
        <v>473522.0</v>
      </c>
      <c r="G2408" s="1">
        <v>19524.0</v>
      </c>
      <c r="H2408" s="1">
        <v>290.0</v>
      </c>
      <c r="I2408" s="1">
        <v>3540000.0</v>
      </c>
      <c r="J2408" s="1" t="s">
        <v>2468</v>
      </c>
      <c r="K2408" s="5">
        <f t="shared" si="2"/>
        <v>0.1337632768</v>
      </c>
      <c r="L2408" s="6">
        <f t="shared" si="3"/>
        <v>1048</v>
      </c>
      <c r="M2408" s="6">
        <f t="shared" si="4"/>
        <v>451.8339695</v>
      </c>
      <c r="N2408" s="7">
        <f t="shared" si="5"/>
        <v>0.0001276367145</v>
      </c>
      <c r="O2408" s="7"/>
      <c r="P2408" s="4">
        <f t="shared" si="6"/>
        <v>-0.3596233081</v>
      </c>
      <c r="Q2408" s="4">
        <f t="shared" si="7"/>
        <v>3</v>
      </c>
      <c r="R2408" s="4">
        <f t="shared" si="8"/>
        <v>0</v>
      </c>
      <c r="S2408" s="4">
        <f t="shared" si="9"/>
        <v>-0.3596233081</v>
      </c>
      <c r="T2408" s="4">
        <f t="shared" si="10"/>
        <v>22</v>
      </c>
      <c r="U2408" s="4">
        <f t="shared" si="1"/>
        <v>-0.3596233081</v>
      </c>
      <c r="V2408" s="4"/>
    </row>
    <row r="2409">
      <c r="A2409" s="1" t="s">
        <v>21057</v>
      </c>
      <c r="B2409" s="1" t="s">
        <v>21058</v>
      </c>
      <c r="C2409" s="1" t="s">
        <v>21059</v>
      </c>
      <c r="D2409" s="1" t="s">
        <v>20834</v>
      </c>
      <c r="E2409" s="1" t="s">
        <v>20835</v>
      </c>
      <c r="F2409" s="1">
        <v>564192.0</v>
      </c>
      <c r="G2409" s="1">
        <v>25957.0</v>
      </c>
      <c r="H2409" s="1">
        <v>480.0</v>
      </c>
      <c r="I2409" s="1">
        <v>3540000.0</v>
      </c>
      <c r="J2409" s="1" t="s">
        <v>2468</v>
      </c>
      <c r="K2409" s="5">
        <f t="shared" si="2"/>
        <v>0.1593762712</v>
      </c>
      <c r="L2409" s="6">
        <f t="shared" si="3"/>
        <v>1057</v>
      </c>
      <c r="M2409" s="6">
        <f t="shared" si="4"/>
        <v>533.7672658</v>
      </c>
      <c r="N2409" s="7">
        <f t="shared" si="5"/>
        <v>0.0001507817135</v>
      </c>
      <c r="O2409" s="7"/>
      <c r="P2409" s="4">
        <f t="shared" si="6"/>
        <v>-0.3433208173</v>
      </c>
      <c r="Q2409" s="4">
        <f t="shared" si="7"/>
        <v>3</v>
      </c>
      <c r="R2409" s="4">
        <f t="shared" si="8"/>
        <v>0</v>
      </c>
      <c r="S2409" s="4">
        <f t="shared" si="9"/>
        <v>-0.3433208173</v>
      </c>
      <c r="T2409" s="4">
        <f t="shared" si="10"/>
        <v>24</v>
      </c>
      <c r="U2409" s="4">
        <f t="shared" si="1"/>
        <v>-0.3433208173</v>
      </c>
      <c r="V2409" s="4"/>
    </row>
    <row r="2410">
      <c r="A2410" s="1" t="s">
        <v>21060</v>
      </c>
      <c r="B2410" s="1" t="s">
        <v>21061</v>
      </c>
      <c r="C2410" s="1" t="s">
        <v>21062</v>
      </c>
      <c r="D2410" s="1" t="s">
        <v>20834</v>
      </c>
      <c r="E2410" s="1" t="s">
        <v>20835</v>
      </c>
      <c r="F2410" s="1">
        <v>587704.0</v>
      </c>
      <c r="G2410" s="1">
        <v>42390.0</v>
      </c>
      <c r="H2410" s="1">
        <v>916.0</v>
      </c>
      <c r="I2410" s="1">
        <v>3540000.0</v>
      </c>
      <c r="J2410" s="1" t="s">
        <v>2468</v>
      </c>
      <c r="K2410" s="5">
        <f t="shared" si="2"/>
        <v>0.1660180791</v>
      </c>
      <c r="L2410" s="6">
        <f t="shared" si="3"/>
        <v>1078</v>
      </c>
      <c r="M2410" s="6">
        <f t="shared" si="4"/>
        <v>545.1799629</v>
      </c>
      <c r="N2410" s="7">
        <f t="shared" si="5"/>
        <v>0.0001540056392</v>
      </c>
      <c r="O2410" s="7"/>
      <c r="P2410" s="4">
        <f t="shared" si="6"/>
        <v>-0.3410500019</v>
      </c>
      <c r="Q2410" s="4">
        <f t="shared" si="7"/>
        <v>5</v>
      </c>
      <c r="R2410" s="4">
        <f t="shared" si="8"/>
        <v>0</v>
      </c>
      <c r="S2410" s="4">
        <f t="shared" si="9"/>
        <v>-0.3410500019</v>
      </c>
      <c r="T2410" s="4">
        <f t="shared" si="10"/>
        <v>28</v>
      </c>
      <c r="U2410" s="4">
        <f t="shared" si="1"/>
        <v>-0.3410500019</v>
      </c>
      <c r="V2410" s="4"/>
    </row>
    <row r="2411">
      <c r="A2411" s="1" t="s">
        <v>21063</v>
      </c>
      <c r="B2411" s="1" t="s">
        <v>21064</v>
      </c>
      <c r="C2411" s="1" t="s">
        <v>21065</v>
      </c>
      <c r="D2411" s="1" t="s">
        <v>20834</v>
      </c>
      <c r="E2411" s="1" t="s">
        <v>20835</v>
      </c>
      <c r="F2411" s="1">
        <v>3306140.0</v>
      </c>
      <c r="G2411" s="1">
        <v>130293.0</v>
      </c>
      <c r="H2411" s="1">
        <v>1382.0</v>
      </c>
      <c r="I2411" s="1">
        <v>3540000.0</v>
      </c>
      <c r="J2411" s="1" t="s">
        <v>2468</v>
      </c>
      <c r="K2411" s="5">
        <f t="shared" si="2"/>
        <v>0.9339378531</v>
      </c>
      <c r="L2411" s="6">
        <f t="shared" si="3"/>
        <v>1092</v>
      </c>
      <c r="M2411" s="6">
        <f t="shared" si="4"/>
        <v>3027.600733</v>
      </c>
      <c r="N2411" s="7">
        <f t="shared" si="5"/>
        <v>0.0008552544442</v>
      </c>
      <c r="O2411" s="7"/>
      <c r="P2411" s="4">
        <f t="shared" si="6"/>
        <v>0.1528840094</v>
      </c>
      <c r="Q2411" s="4">
        <f t="shared" si="7"/>
        <v>7</v>
      </c>
      <c r="R2411" s="4">
        <f t="shared" si="8"/>
        <v>0</v>
      </c>
      <c r="S2411" s="4">
        <f t="shared" si="9"/>
        <v>0.1528840094</v>
      </c>
      <c r="T2411" s="4">
        <f t="shared" si="10"/>
        <v>34</v>
      </c>
      <c r="U2411" s="4">
        <f t="shared" si="1"/>
        <v>0.1528840094</v>
      </c>
      <c r="V2411" s="4"/>
    </row>
    <row r="2412">
      <c r="A2412" s="1" t="s">
        <v>21066</v>
      </c>
      <c r="B2412" s="1" t="s">
        <v>21067</v>
      </c>
      <c r="C2412" s="1" t="s">
        <v>21068</v>
      </c>
      <c r="D2412" s="1" t="s">
        <v>20834</v>
      </c>
      <c r="E2412" s="1" t="s">
        <v>20835</v>
      </c>
      <c r="F2412" s="1">
        <v>9563145.0</v>
      </c>
      <c r="G2412" s="1">
        <v>486840.0</v>
      </c>
      <c r="H2412" s="1">
        <v>2952.0</v>
      </c>
      <c r="I2412" s="1">
        <v>3540000.0</v>
      </c>
      <c r="J2412" s="1" t="s">
        <v>2468</v>
      </c>
      <c r="K2412" s="5">
        <f t="shared" si="2"/>
        <v>2.70145339</v>
      </c>
      <c r="L2412" s="6">
        <f t="shared" si="3"/>
        <v>1100</v>
      </c>
      <c r="M2412" s="6">
        <f t="shared" si="4"/>
        <v>8693.768182</v>
      </c>
      <c r="N2412" s="7">
        <f t="shared" si="5"/>
        <v>0.002455866718</v>
      </c>
      <c r="O2412" s="7"/>
      <c r="P2412" s="4">
        <f t="shared" si="6"/>
        <v>1.280296756</v>
      </c>
      <c r="Q2412" s="4">
        <f t="shared" si="7"/>
        <v>6</v>
      </c>
      <c r="R2412" s="4">
        <f t="shared" si="8"/>
        <v>0</v>
      </c>
      <c r="S2412" s="4">
        <f t="shared" si="9"/>
        <v>1.280296756</v>
      </c>
      <c r="T2412" s="4">
        <f t="shared" si="10"/>
        <v>31</v>
      </c>
      <c r="U2412" s="4">
        <f t="shared" si="1"/>
        <v>1.280296756</v>
      </c>
      <c r="V2412" s="4"/>
    </row>
    <row r="2413">
      <c r="A2413" s="1" t="s">
        <v>21069</v>
      </c>
      <c r="B2413" s="1" t="s">
        <v>21070</v>
      </c>
      <c r="C2413" s="1" t="s">
        <v>21071</v>
      </c>
      <c r="D2413" s="1" t="s">
        <v>20834</v>
      </c>
      <c r="E2413" s="1" t="s">
        <v>20835</v>
      </c>
      <c r="F2413" s="1">
        <v>522125.0</v>
      </c>
      <c r="G2413" s="1">
        <v>30682.0</v>
      </c>
      <c r="H2413" s="1">
        <v>520.0</v>
      </c>
      <c r="I2413" s="1">
        <v>3540000.0</v>
      </c>
      <c r="J2413" s="1" t="s">
        <v>2468</v>
      </c>
      <c r="K2413" s="5">
        <f t="shared" si="2"/>
        <v>0.1474929379</v>
      </c>
      <c r="L2413" s="6">
        <f t="shared" si="3"/>
        <v>1121</v>
      </c>
      <c r="M2413" s="6">
        <f t="shared" si="4"/>
        <v>465.7671722</v>
      </c>
      <c r="N2413" s="7">
        <f t="shared" si="5"/>
        <v>0.0001315726475</v>
      </c>
      <c r="O2413" s="7"/>
      <c r="P2413" s="4">
        <f t="shared" si="6"/>
        <v>-0.3568509809</v>
      </c>
      <c r="Q2413" s="4">
        <f t="shared" si="7"/>
        <v>6</v>
      </c>
      <c r="R2413" s="4">
        <f t="shared" si="8"/>
        <v>0</v>
      </c>
      <c r="S2413" s="4">
        <f t="shared" si="9"/>
        <v>-0.3568509809</v>
      </c>
      <c r="T2413" s="4">
        <f t="shared" si="10"/>
        <v>26</v>
      </c>
      <c r="U2413" s="4">
        <f t="shared" si="1"/>
        <v>-0.3568509809</v>
      </c>
      <c r="V2413" s="4"/>
    </row>
    <row r="2414">
      <c r="A2414" s="1" t="s">
        <v>21072</v>
      </c>
      <c r="B2414" s="1" t="s">
        <v>21073</v>
      </c>
      <c r="C2414" s="1" t="s">
        <v>21074</v>
      </c>
      <c r="D2414" s="1" t="s">
        <v>20834</v>
      </c>
      <c r="E2414" s="1" t="s">
        <v>20835</v>
      </c>
      <c r="F2414" s="1">
        <v>7698994.0</v>
      </c>
      <c r="G2414" s="1">
        <v>262379.0</v>
      </c>
      <c r="H2414" s="1">
        <v>2225.0</v>
      </c>
      <c r="I2414" s="1">
        <v>3540000.0</v>
      </c>
      <c r="J2414" s="1" t="s">
        <v>2468</v>
      </c>
      <c r="K2414" s="5">
        <f t="shared" si="2"/>
        <v>2.174857062</v>
      </c>
      <c r="L2414" s="6">
        <f t="shared" si="3"/>
        <v>1129</v>
      </c>
      <c r="M2414" s="6">
        <f t="shared" si="4"/>
        <v>6819.303809</v>
      </c>
      <c r="N2414" s="7">
        <f t="shared" si="5"/>
        <v>0.001926357008</v>
      </c>
      <c r="O2414" s="7"/>
      <c r="P2414" s="4">
        <f t="shared" si="6"/>
        <v>0.9073294817</v>
      </c>
      <c r="Q2414" s="4">
        <f t="shared" si="7"/>
        <v>3</v>
      </c>
      <c r="R2414" s="4">
        <f t="shared" si="8"/>
        <v>0</v>
      </c>
      <c r="S2414" s="4">
        <f t="shared" si="9"/>
        <v>0.9073294817</v>
      </c>
      <c r="T2414" s="4">
        <f t="shared" si="10"/>
        <v>15</v>
      </c>
      <c r="U2414" s="4">
        <f t="shared" si="1"/>
        <v>0.9073294817</v>
      </c>
      <c r="V2414" s="4"/>
    </row>
    <row r="2415">
      <c r="A2415" s="1" t="s">
        <v>21075</v>
      </c>
      <c r="B2415" s="1" t="s">
        <v>21076</v>
      </c>
      <c r="C2415" s="1" t="s">
        <v>21077</v>
      </c>
      <c r="D2415" s="1" t="s">
        <v>20834</v>
      </c>
      <c r="E2415" s="1" t="s">
        <v>20835</v>
      </c>
      <c r="F2415" s="1">
        <v>343497.0</v>
      </c>
      <c r="G2415" s="1">
        <v>17723.0</v>
      </c>
      <c r="H2415" s="1">
        <v>446.0</v>
      </c>
      <c r="I2415" s="1">
        <v>3540000.0</v>
      </c>
      <c r="J2415" s="1" t="s">
        <v>2468</v>
      </c>
      <c r="K2415" s="5">
        <f t="shared" si="2"/>
        <v>0.09703305085</v>
      </c>
      <c r="L2415" s="6">
        <f t="shared" si="3"/>
        <v>1142</v>
      </c>
      <c r="M2415" s="6">
        <f t="shared" si="4"/>
        <v>300.7854641</v>
      </c>
      <c r="N2415" s="7">
        <f t="shared" si="5"/>
        <v>0.00008496764523</v>
      </c>
      <c r="O2415" s="7"/>
      <c r="P2415" s="4">
        <f t="shared" si="6"/>
        <v>-0.38967784</v>
      </c>
      <c r="Q2415" s="4">
        <f t="shared" si="7"/>
        <v>3</v>
      </c>
      <c r="R2415" s="4">
        <f t="shared" si="8"/>
        <v>0</v>
      </c>
      <c r="S2415" s="4">
        <f t="shared" si="9"/>
        <v>-0.38967784</v>
      </c>
      <c r="T2415" s="4">
        <f t="shared" si="10"/>
        <v>23</v>
      </c>
      <c r="U2415" s="4">
        <f t="shared" si="1"/>
        <v>-0.38967784</v>
      </c>
      <c r="V2415" s="4"/>
    </row>
    <row r="2416">
      <c r="A2416" s="1" t="s">
        <v>21078</v>
      </c>
      <c r="B2416" s="1" t="s">
        <v>21079</v>
      </c>
      <c r="C2416" s="1" t="s">
        <v>21080</v>
      </c>
      <c r="D2416" s="1" t="s">
        <v>20834</v>
      </c>
      <c r="E2416" s="1" t="s">
        <v>20835</v>
      </c>
      <c r="F2416" s="1">
        <v>963617.0</v>
      </c>
      <c r="G2416" s="1">
        <v>56314.0</v>
      </c>
      <c r="H2416" s="1">
        <v>3611.0</v>
      </c>
      <c r="I2416" s="1">
        <v>3540000.0</v>
      </c>
      <c r="J2416" s="1" t="s">
        <v>2468</v>
      </c>
      <c r="K2416" s="5">
        <f t="shared" si="2"/>
        <v>0.2722081921</v>
      </c>
      <c r="L2416" s="6">
        <f t="shared" si="3"/>
        <v>1163</v>
      </c>
      <c r="M2416" s="6">
        <f t="shared" si="4"/>
        <v>828.5614789</v>
      </c>
      <c r="N2416" s="7">
        <f t="shared" si="5"/>
        <v>0.000234056915</v>
      </c>
      <c r="O2416" s="7"/>
      <c r="P2416" s="4">
        <f t="shared" si="6"/>
        <v>-0.284664811</v>
      </c>
      <c r="Q2416" s="4">
        <f t="shared" si="7"/>
        <v>6</v>
      </c>
      <c r="R2416" s="4">
        <f t="shared" si="8"/>
        <v>0</v>
      </c>
      <c r="S2416" s="4">
        <f t="shared" si="9"/>
        <v>-0.284664811</v>
      </c>
      <c r="T2416" s="4">
        <f t="shared" si="10"/>
        <v>23</v>
      </c>
      <c r="U2416" s="4">
        <f t="shared" si="1"/>
        <v>-0.284664811</v>
      </c>
      <c r="V2416" s="4"/>
    </row>
    <row r="2417">
      <c r="A2417" s="1" t="s">
        <v>21081</v>
      </c>
      <c r="B2417" s="1" t="s">
        <v>21082</v>
      </c>
      <c r="C2417" s="1" t="s">
        <v>21083</v>
      </c>
      <c r="D2417" s="1" t="s">
        <v>20834</v>
      </c>
      <c r="E2417" s="1" t="s">
        <v>20835</v>
      </c>
      <c r="F2417" s="1">
        <v>374165.0</v>
      </c>
      <c r="G2417" s="1">
        <v>20353.0</v>
      </c>
      <c r="H2417" s="1">
        <v>528.0</v>
      </c>
      <c r="I2417" s="1">
        <v>3540000.0</v>
      </c>
      <c r="J2417" s="1" t="s">
        <v>2468</v>
      </c>
      <c r="K2417" s="5">
        <f t="shared" si="2"/>
        <v>0.1056963277</v>
      </c>
      <c r="L2417" s="6">
        <f t="shared" si="3"/>
        <v>1169</v>
      </c>
      <c r="M2417" s="6">
        <f t="shared" si="4"/>
        <v>320.0727117</v>
      </c>
      <c r="N2417" s="7">
        <f t="shared" si="5"/>
        <v>0.00009041602026</v>
      </c>
      <c r="O2417" s="7"/>
      <c r="P2417" s="4">
        <f t="shared" si="6"/>
        <v>-0.3858402039</v>
      </c>
      <c r="Q2417" s="4">
        <f t="shared" si="7"/>
        <v>6</v>
      </c>
      <c r="R2417" s="4">
        <f t="shared" si="8"/>
        <v>0</v>
      </c>
      <c r="S2417" s="4">
        <f t="shared" si="9"/>
        <v>-0.3858402039</v>
      </c>
      <c r="T2417" s="4">
        <f t="shared" si="10"/>
        <v>22</v>
      </c>
      <c r="U2417" s="4">
        <f t="shared" si="1"/>
        <v>-0.3858402039</v>
      </c>
      <c r="V2417" s="4"/>
    </row>
    <row r="2418">
      <c r="A2418" s="1" t="s">
        <v>21084</v>
      </c>
      <c r="B2418" s="1" t="s">
        <v>21085</v>
      </c>
      <c r="C2418" s="1" t="s">
        <v>21086</v>
      </c>
      <c r="D2418" s="1" t="s">
        <v>20834</v>
      </c>
      <c r="E2418" s="1" t="s">
        <v>20835</v>
      </c>
      <c r="F2418" s="1">
        <v>4570233.0</v>
      </c>
      <c r="G2418" s="1">
        <v>176863.0</v>
      </c>
      <c r="H2418" s="1">
        <v>2609.0</v>
      </c>
      <c r="I2418" s="1">
        <v>3540000.0</v>
      </c>
      <c r="J2418" s="1" t="s">
        <v>2468</v>
      </c>
      <c r="K2418" s="5">
        <f t="shared" si="2"/>
        <v>1.291026271</v>
      </c>
      <c r="L2418" s="6">
        <f t="shared" si="3"/>
        <v>1177</v>
      </c>
      <c r="M2418" s="6">
        <f t="shared" si="4"/>
        <v>3882.950722</v>
      </c>
      <c r="N2418" s="7">
        <f t="shared" si="5"/>
        <v>0.001096878735</v>
      </c>
      <c r="O2418" s="7"/>
      <c r="P2418" s="4">
        <f t="shared" si="6"/>
        <v>0.3230753229</v>
      </c>
      <c r="Q2418" s="4">
        <f t="shared" si="7"/>
        <v>6</v>
      </c>
      <c r="R2418" s="4">
        <f t="shared" si="8"/>
        <v>0</v>
      </c>
      <c r="S2418" s="4">
        <f t="shared" si="9"/>
        <v>0.3230753229</v>
      </c>
      <c r="T2418" s="4">
        <f t="shared" si="10"/>
        <v>27</v>
      </c>
      <c r="U2418" s="4">
        <f t="shared" si="1"/>
        <v>0.3230753229</v>
      </c>
      <c r="V2418" s="4"/>
    </row>
    <row r="2419">
      <c r="A2419" s="1" t="s">
        <v>21087</v>
      </c>
      <c r="B2419" s="1" t="s">
        <v>21088</v>
      </c>
      <c r="C2419" s="1" t="s">
        <v>21089</v>
      </c>
      <c r="D2419" s="1" t="s">
        <v>20834</v>
      </c>
      <c r="E2419" s="1" t="s">
        <v>20835</v>
      </c>
      <c r="F2419" s="1">
        <v>303140.0</v>
      </c>
      <c r="G2419" s="1">
        <v>17455.0</v>
      </c>
      <c r="H2419" s="1">
        <v>473.0</v>
      </c>
      <c r="I2419" s="1">
        <v>3540000.0</v>
      </c>
      <c r="J2419" s="1" t="s">
        <v>2468</v>
      </c>
      <c r="K2419" s="5">
        <f t="shared" si="2"/>
        <v>0.08563276836</v>
      </c>
      <c r="L2419" s="6">
        <f t="shared" si="3"/>
        <v>1184</v>
      </c>
      <c r="M2419" s="6">
        <f t="shared" si="4"/>
        <v>256.0304054</v>
      </c>
      <c r="N2419" s="7">
        <f t="shared" si="5"/>
        <v>0.00007232497328</v>
      </c>
      <c r="O2419" s="7"/>
      <c r="P2419" s="4">
        <f t="shared" si="6"/>
        <v>-0.3985828757</v>
      </c>
      <c r="Q2419" s="4">
        <f t="shared" si="7"/>
        <v>7</v>
      </c>
      <c r="R2419" s="4">
        <f t="shared" si="8"/>
        <v>1</v>
      </c>
      <c r="S2419" s="4">
        <f t="shared" si="9"/>
        <v>-0.3985828757</v>
      </c>
      <c r="T2419" s="4">
        <f t="shared" si="10"/>
        <v>27</v>
      </c>
      <c r="U2419" s="4">
        <f t="shared" si="1"/>
        <v>-0.3985828757</v>
      </c>
      <c r="V2419" s="4"/>
    </row>
    <row r="2420">
      <c r="A2420" s="1" t="s">
        <v>21090</v>
      </c>
      <c r="B2420" s="1" t="s">
        <v>21091</v>
      </c>
      <c r="C2420" s="1" t="s">
        <v>21092</v>
      </c>
      <c r="D2420" s="1" t="s">
        <v>20834</v>
      </c>
      <c r="E2420" s="1" t="s">
        <v>20835</v>
      </c>
      <c r="F2420" s="1">
        <v>222052.0</v>
      </c>
      <c r="G2420" s="1">
        <v>16148.0</v>
      </c>
      <c r="H2420" s="1">
        <v>400.0</v>
      </c>
      <c r="I2420" s="1">
        <v>3540000.0</v>
      </c>
      <c r="J2420" s="1" t="s">
        <v>2468</v>
      </c>
      <c r="K2420" s="5">
        <f t="shared" si="2"/>
        <v>0.06272655367</v>
      </c>
      <c r="L2420" s="6">
        <f t="shared" si="3"/>
        <v>1190</v>
      </c>
      <c r="M2420" s="6">
        <f t="shared" si="4"/>
        <v>186.5983193</v>
      </c>
      <c r="N2420" s="7">
        <f t="shared" si="5"/>
        <v>0.00005271138964</v>
      </c>
      <c r="O2420" s="7"/>
      <c r="P2420" s="4">
        <f t="shared" si="6"/>
        <v>-0.4123979667</v>
      </c>
      <c r="Q2420" s="4">
        <f t="shared" si="7"/>
        <v>6</v>
      </c>
      <c r="R2420" s="4">
        <f t="shared" si="8"/>
        <v>0</v>
      </c>
      <c r="S2420" s="4">
        <f t="shared" si="9"/>
        <v>-0.4123979667</v>
      </c>
      <c r="T2420" s="4">
        <f t="shared" si="10"/>
        <v>34</v>
      </c>
      <c r="U2420" s="4">
        <f t="shared" si="1"/>
        <v>-0.4123979667</v>
      </c>
      <c r="V2420" s="4"/>
    </row>
    <row r="2421">
      <c r="A2421" s="1" t="s">
        <v>21093</v>
      </c>
      <c r="B2421" s="1" t="s">
        <v>21094</v>
      </c>
      <c r="C2421" s="1" t="s">
        <v>21095</v>
      </c>
      <c r="D2421" s="1" t="s">
        <v>20834</v>
      </c>
      <c r="E2421" s="1" t="s">
        <v>20835</v>
      </c>
      <c r="F2421" s="1">
        <v>1955047.0</v>
      </c>
      <c r="G2421" s="1">
        <v>62964.0</v>
      </c>
      <c r="H2421" s="1">
        <v>3550.0</v>
      </c>
      <c r="I2421" s="1">
        <v>3540000.0</v>
      </c>
      <c r="J2421" s="1" t="s">
        <v>2468</v>
      </c>
      <c r="K2421" s="5">
        <f t="shared" si="2"/>
        <v>0.5522731638</v>
      </c>
      <c r="L2421" s="6">
        <f t="shared" si="3"/>
        <v>1195</v>
      </c>
      <c r="M2421" s="6">
        <f t="shared" si="4"/>
        <v>1636.022594</v>
      </c>
      <c r="N2421" s="7">
        <f t="shared" si="5"/>
        <v>0.0004621532752</v>
      </c>
      <c r="O2421" s="7"/>
      <c r="P2421" s="4">
        <f t="shared" si="6"/>
        <v>-0.1240020771</v>
      </c>
      <c r="Q2421" s="4">
        <f t="shared" si="7"/>
        <v>3</v>
      </c>
      <c r="R2421" s="4">
        <f t="shared" si="8"/>
        <v>0</v>
      </c>
      <c r="S2421" s="4">
        <f t="shared" si="9"/>
        <v>-0.1240020771</v>
      </c>
      <c r="T2421" s="4">
        <f t="shared" si="10"/>
        <v>22</v>
      </c>
      <c r="U2421" s="4">
        <f t="shared" si="1"/>
        <v>-0.1240020771</v>
      </c>
      <c r="V2421" s="4"/>
    </row>
    <row r="2422">
      <c r="A2422" s="1" t="s">
        <v>21096</v>
      </c>
      <c r="B2422" s="1" t="s">
        <v>21097</v>
      </c>
      <c r="C2422" s="1" t="s">
        <v>21098</v>
      </c>
      <c r="D2422" s="1" t="s">
        <v>20834</v>
      </c>
      <c r="E2422" s="1" t="s">
        <v>20835</v>
      </c>
      <c r="F2422" s="1">
        <v>677193.0</v>
      </c>
      <c r="G2422" s="1">
        <v>33573.0</v>
      </c>
      <c r="H2422" s="1">
        <v>847.0</v>
      </c>
      <c r="I2422" s="1">
        <v>3540000.0</v>
      </c>
      <c r="J2422" s="1" t="s">
        <v>2468</v>
      </c>
      <c r="K2422" s="5">
        <f t="shared" si="2"/>
        <v>0.1912974576</v>
      </c>
      <c r="L2422" s="6">
        <f t="shared" si="3"/>
        <v>1211</v>
      </c>
      <c r="M2422" s="6">
        <f t="shared" si="4"/>
        <v>559.2014864</v>
      </c>
      <c r="N2422" s="7">
        <f t="shared" si="5"/>
        <v>0.0001579665216</v>
      </c>
      <c r="O2422" s="7"/>
      <c r="P2422" s="4">
        <f t="shared" si="6"/>
        <v>-0.3382601013</v>
      </c>
      <c r="Q2422" s="4">
        <f t="shared" si="7"/>
        <v>6</v>
      </c>
      <c r="R2422" s="4">
        <f t="shared" si="8"/>
        <v>0</v>
      </c>
      <c r="S2422" s="4">
        <f t="shared" si="9"/>
        <v>-0.3382601013</v>
      </c>
      <c r="T2422" s="4">
        <f t="shared" si="10"/>
        <v>24</v>
      </c>
      <c r="U2422" s="4">
        <f t="shared" si="1"/>
        <v>-0.3382601013</v>
      </c>
      <c r="V2422" s="4"/>
    </row>
    <row r="2423">
      <c r="A2423" s="1" t="s">
        <v>21099</v>
      </c>
      <c r="B2423" s="1" t="s">
        <v>21100</v>
      </c>
      <c r="C2423" s="1" t="s">
        <v>21101</v>
      </c>
      <c r="D2423" s="1" t="s">
        <v>20834</v>
      </c>
      <c r="E2423" s="1" t="s">
        <v>20835</v>
      </c>
      <c r="F2423" s="1">
        <v>239812.0</v>
      </c>
      <c r="G2423" s="1">
        <v>13707.0</v>
      </c>
      <c r="H2423" s="1">
        <v>249.0</v>
      </c>
      <c r="I2423" s="1">
        <v>3540000.0</v>
      </c>
      <c r="J2423" s="1" t="s">
        <v>2468</v>
      </c>
      <c r="K2423" s="5">
        <f t="shared" si="2"/>
        <v>0.06774350282</v>
      </c>
      <c r="L2423" s="6">
        <f t="shared" si="3"/>
        <v>1220</v>
      </c>
      <c r="M2423" s="6">
        <f t="shared" si="4"/>
        <v>196.5672131</v>
      </c>
      <c r="N2423" s="7">
        <f t="shared" si="5"/>
        <v>0.00005552746133</v>
      </c>
      <c r="O2423" s="7"/>
      <c r="P2423" s="4">
        <f t="shared" si="6"/>
        <v>-0.4104144288</v>
      </c>
      <c r="Q2423" s="4">
        <f t="shared" si="7"/>
        <v>8</v>
      </c>
      <c r="R2423" s="4">
        <f t="shared" si="8"/>
        <v>0</v>
      </c>
      <c r="S2423" s="4">
        <f t="shared" si="9"/>
        <v>-0.4104144288</v>
      </c>
      <c r="T2423" s="4">
        <f t="shared" si="10"/>
        <v>29</v>
      </c>
      <c r="U2423" s="4">
        <f t="shared" si="1"/>
        <v>-0.4104144288</v>
      </c>
      <c r="V2423" s="4"/>
    </row>
    <row r="2424">
      <c r="A2424" s="1" t="s">
        <v>21102</v>
      </c>
      <c r="B2424" s="1" t="s">
        <v>21103</v>
      </c>
      <c r="C2424" s="1" t="s">
        <v>21104</v>
      </c>
      <c r="D2424" s="1" t="s">
        <v>20834</v>
      </c>
      <c r="E2424" s="1" t="s">
        <v>20835</v>
      </c>
      <c r="F2424" s="1">
        <v>655542.0</v>
      </c>
      <c r="G2424" s="1">
        <v>43717.0</v>
      </c>
      <c r="H2424" s="1">
        <v>673.0</v>
      </c>
      <c r="I2424" s="1">
        <v>3540000.0</v>
      </c>
      <c r="J2424" s="1" t="s">
        <v>2468</v>
      </c>
      <c r="K2424" s="5">
        <f t="shared" si="2"/>
        <v>0.1851813559</v>
      </c>
      <c r="L2424" s="6">
        <f t="shared" si="3"/>
        <v>1227</v>
      </c>
      <c r="M2424" s="6">
        <f t="shared" si="4"/>
        <v>534.2640587</v>
      </c>
      <c r="N2424" s="7">
        <f t="shared" si="5"/>
        <v>0.0001509220505</v>
      </c>
      <c r="O2424" s="7"/>
      <c r="P2424" s="4">
        <f t="shared" si="6"/>
        <v>-0.3432219691</v>
      </c>
      <c r="Q2424" s="4">
        <f t="shared" si="7"/>
        <v>7</v>
      </c>
      <c r="R2424" s="4">
        <f t="shared" si="8"/>
        <v>1</v>
      </c>
      <c r="S2424" s="4">
        <f t="shared" si="9"/>
        <v>-0.3432219691</v>
      </c>
      <c r="T2424" s="4">
        <f t="shared" si="10"/>
        <v>24</v>
      </c>
      <c r="U2424" s="4">
        <f t="shared" si="1"/>
        <v>-0.3432219691</v>
      </c>
      <c r="V2424" s="4"/>
    </row>
    <row r="2425">
      <c r="A2425" s="1" t="s">
        <v>21105</v>
      </c>
      <c r="B2425" s="1" t="s">
        <v>21106</v>
      </c>
      <c r="C2425" s="1" t="s">
        <v>21107</v>
      </c>
      <c r="D2425" s="1" t="s">
        <v>20834</v>
      </c>
      <c r="E2425" s="1" t="s">
        <v>20835</v>
      </c>
      <c r="F2425" s="1">
        <v>330084.0</v>
      </c>
      <c r="G2425" s="1">
        <v>13817.0</v>
      </c>
      <c r="H2425" s="1">
        <v>370.0</v>
      </c>
      <c r="I2425" s="1">
        <v>3540000.0</v>
      </c>
      <c r="J2425" s="1" t="s">
        <v>2468</v>
      </c>
      <c r="K2425" s="5">
        <f t="shared" si="2"/>
        <v>0.0932440678</v>
      </c>
      <c r="L2425" s="6">
        <f t="shared" si="3"/>
        <v>1234</v>
      </c>
      <c r="M2425" s="6">
        <f t="shared" si="4"/>
        <v>267.4910859</v>
      </c>
      <c r="N2425" s="7">
        <f t="shared" si="5"/>
        <v>0.00007556245364</v>
      </c>
      <c r="O2425" s="7"/>
      <c r="P2425" s="4">
        <f t="shared" si="6"/>
        <v>-0.3963025129</v>
      </c>
      <c r="Q2425" s="4">
        <f t="shared" si="7"/>
        <v>4</v>
      </c>
      <c r="R2425" s="4">
        <f t="shared" si="8"/>
        <v>0</v>
      </c>
      <c r="S2425" s="4">
        <f t="shared" si="9"/>
        <v>-0.3963025129</v>
      </c>
      <c r="T2425" s="4">
        <f t="shared" si="10"/>
        <v>18</v>
      </c>
      <c r="U2425" s="4">
        <f t="shared" si="1"/>
        <v>-0.3963025129</v>
      </c>
      <c r="V2425" s="4"/>
    </row>
    <row r="2426">
      <c r="A2426" s="1" t="s">
        <v>21108</v>
      </c>
      <c r="B2426" s="1" t="s">
        <v>21109</v>
      </c>
      <c r="C2426" s="1" t="s">
        <v>21110</v>
      </c>
      <c r="D2426" s="1" t="s">
        <v>20834</v>
      </c>
      <c r="E2426" s="1" t="s">
        <v>20835</v>
      </c>
      <c r="F2426" s="1">
        <v>243265.0</v>
      </c>
      <c r="G2426" s="1">
        <v>12009.0</v>
      </c>
      <c r="H2426" s="1">
        <v>138.0</v>
      </c>
      <c r="I2426" s="1">
        <v>3540000.0</v>
      </c>
      <c r="J2426" s="1" t="s">
        <v>2468</v>
      </c>
      <c r="K2426" s="5">
        <f t="shared" si="2"/>
        <v>0.06871892655</v>
      </c>
      <c r="L2426" s="6">
        <f t="shared" si="3"/>
        <v>1238</v>
      </c>
      <c r="M2426" s="6">
        <f t="shared" si="4"/>
        <v>196.4983845</v>
      </c>
      <c r="N2426" s="7">
        <f t="shared" si="5"/>
        <v>0.00005550801822</v>
      </c>
      <c r="O2426" s="7"/>
      <c r="P2426" s="4">
        <f t="shared" si="6"/>
        <v>-0.4104281238</v>
      </c>
      <c r="Q2426" s="4">
        <f t="shared" si="7"/>
        <v>8</v>
      </c>
      <c r="R2426" s="4">
        <f t="shared" si="8"/>
        <v>0</v>
      </c>
      <c r="S2426" s="4">
        <f t="shared" si="9"/>
        <v>-0.4104281238</v>
      </c>
      <c r="T2426" s="4">
        <f t="shared" si="10"/>
        <v>34</v>
      </c>
      <c r="U2426" s="4">
        <f t="shared" si="1"/>
        <v>-0.4104281238</v>
      </c>
      <c r="V2426" s="4"/>
    </row>
    <row r="2427">
      <c r="A2427" s="1" t="s">
        <v>21111</v>
      </c>
      <c r="B2427" s="1" t="s">
        <v>21112</v>
      </c>
      <c r="C2427" s="1" t="s">
        <v>21113</v>
      </c>
      <c r="D2427" s="1" t="s">
        <v>20834</v>
      </c>
      <c r="E2427" s="1" t="s">
        <v>20835</v>
      </c>
      <c r="F2427" s="1">
        <v>193878.0</v>
      </c>
      <c r="G2427" s="1">
        <v>14992.0</v>
      </c>
      <c r="H2427" s="1">
        <v>244.0</v>
      </c>
      <c r="I2427" s="1">
        <v>3540000.0</v>
      </c>
      <c r="J2427" s="1" t="s">
        <v>2468</v>
      </c>
      <c r="K2427" s="5">
        <f t="shared" si="2"/>
        <v>0.05476779661</v>
      </c>
      <c r="L2427" s="6">
        <f t="shared" si="3"/>
        <v>1240</v>
      </c>
      <c r="M2427" s="6">
        <f t="shared" si="4"/>
        <v>156.3532258</v>
      </c>
      <c r="N2427" s="7">
        <f t="shared" si="5"/>
        <v>0.00004416757791</v>
      </c>
      <c r="O2427" s="7"/>
      <c r="P2427" s="4">
        <f t="shared" si="6"/>
        <v>-0.4184159152</v>
      </c>
      <c r="Q2427" s="4">
        <f t="shared" si="7"/>
        <v>6</v>
      </c>
      <c r="R2427" s="4">
        <f t="shared" si="8"/>
        <v>0</v>
      </c>
      <c r="S2427" s="4">
        <f t="shared" si="9"/>
        <v>-0.4184159152</v>
      </c>
      <c r="T2427" s="4">
        <f t="shared" si="10"/>
        <v>21</v>
      </c>
      <c r="U2427" s="4">
        <f t="shared" si="1"/>
        <v>-0.4184159152</v>
      </c>
      <c r="V2427" s="4"/>
    </row>
    <row r="2428">
      <c r="A2428" s="1" t="s">
        <v>21114</v>
      </c>
      <c r="B2428" s="1" t="s">
        <v>21115</v>
      </c>
      <c r="C2428" s="1" t="s">
        <v>21116</v>
      </c>
      <c r="D2428" s="1" t="s">
        <v>20834</v>
      </c>
      <c r="E2428" s="1" t="s">
        <v>20835</v>
      </c>
      <c r="F2428" s="1">
        <v>1792239.0</v>
      </c>
      <c r="G2428" s="1">
        <v>70240.0</v>
      </c>
      <c r="H2428" s="1">
        <v>3328.0</v>
      </c>
      <c r="I2428" s="1">
        <v>3540000.0</v>
      </c>
      <c r="J2428" s="1" t="s">
        <v>2468</v>
      </c>
      <c r="K2428" s="5">
        <f t="shared" si="2"/>
        <v>0.5062822034</v>
      </c>
      <c r="L2428" s="6">
        <f t="shared" si="3"/>
        <v>1242</v>
      </c>
      <c r="M2428" s="6">
        <f t="shared" si="4"/>
        <v>1443.02657</v>
      </c>
      <c r="N2428" s="7">
        <f t="shared" si="5"/>
        <v>0.0004076346243</v>
      </c>
      <c r="O2428" s="7"/>
      <c r="P2428" s="4">
        <f t="shared" si="6"/>
        <v>-0.1624030209</v>
      </c>
      <c r="Q2428" s="4">
        <f t="shared" si="7"/>
        <v>4</v>
      </c>
      <c r="R2428" s="4">
        <f t="shared" si="8"/>
        <v>0</v>
      </c>
      <c r="S2428" s="4">
        <f t="shared" si="9"/>
        <v>-0.1624030209</v>
      </c>
      <c r="T2428" s="4">
        <f t="shared" si="10"/>
        <v>21</v>
      </c>
      <c r="U2428" s="4">
        <f t="shared" si="1"/>
        <v>-0.1624030209</v>
      </c>
      <c r="V2428" s="4"/>
    </row>
    <row r="2429">
      <c r="A2429" s="1" t="s">
        <v>21117</v>
      </c>
      <c r="B2429" s="1" t="s">
        <v>21118</v>
      </c>
      <c r="C2429" s="1" t="s">
        <v>21119</v>
      </c>
      <c r="D2429" s="1" t="s">
        <v>20834</v>
      </c>
      <c r="E2429" s="1" t="s">
        <v>20835</v>
      </c>
      <c r="F2429" s="1">
        <v>456679.0</v>
      </c>
      <c r="G2429" s="1">
        <v>29958.0</v>
      </c>
      <c r="H2429" s="1">
        <v>714.0</v>
      </c>
      <c r="I2429" s="1">
        <v>3540000.0</v>
      </c>
      <c r="J2429" s="1" t="s">
        <v>2468</v>
      </c>
      <c r="K2429" s="5">
        <f t="shared" si="2"/>
        <v>0.1290053672</v>
      </c>
      <c r="L2429" s="6">
        <f t="shared" si="3"/>
        <v>1247</v>
      </c>
      <c r="M2429" s="6">
        <f t="shared" si="4"/>
        <v>366.2221331</v>
      </c>
      <c r="N2429" s="7">
        <f t="shared" si="5"/>
        <v>0.00010345258</v>
      </c>
      <c r="O2429" s="7"/>
      <c r="P2429" s="4">
        <f t="shared" si="6"/>
        <v>-0.376657728</v>
      </c>
      <c r="Q2429" s="4">
        <f t="shared" si="7"/>
        <v>7</v>
      </c>
      <c r="R2429" s="4">
        <f t="shared" si="8"/>
        <v>0</v>
      </c>
      <c r="S2429" s="4">
        <f t="shared" si="9"/>
        <v>-0.376657728</v>
      </c>
      <c r="T2429" s="4">
        <f t="shared" si="10"/>
        <v>33</v>
      </c>
      <c r="U2429" s="4">
        <f t="shared" si="1"/>
        <v>-0.376657728</v>
      </c>
      <c r="V2429" s="4"/>
    </row>
    <row r="2430">
      <c r="A2430" s="1" t="s">
        <v>21120</v>
      </c>
      <c r="B2430" s="1" t="s">
        <v>21121</v>
      </c>
      <c r="C2430" s="1" t="s">
        <v>21122</v>
      </c>
      <c r="D2430" s="1" t="s">
        <v>20834</v>
      </c>
      <c r="E2430" s="1" t="s">
        <v>20835</v>
      </c>
      <c r="F2430" s="1">
        <v>327666.0</v>
      </c>
      <c r="G2430" s="1">
        <v>13566.0</v>
      </c>
      <c r="H2430" s="1">
        <v>243.0</v>
      </c>
      <c r="I2430" s="1">
        <v>3540000.0</v>
      </c>
      <c r="J2430" s="1" t="s">
        <v>2468</v>
      </c>
      <c r="K2430" s="5">
        <f t="shared" si="2"/>
        <v>0.09256101695</v>
      </c>
      <c r="L2430" s="6">
        <f t="shared" si="3"/>
        <v>1249</v>
      </c>
      <c r="M2430" s="6">
        <f t="shared" si="4"/>
        <v>262.3426741</v>
      </c>
      <c r="N2430" s="7">
        <f t="shared" si="5"/>
        <v>0.00007410810004</v>
      </c>
      <c r="O2430" s="7"/>
      <c r="P2430" s="4">
        <f t="shared" si="6"/>
        <v>-0.3973269064</v>
      </c>
      <c r="Q2430" s="4">
        <f t="shared" si="7"/>
        <v>4</v>
      </c>
      <c r="R2430" s="4">
        <f t="shared" si="8"/>
        <v>0</v>
      </c>
      <c r="S2430" s="4">
        <f t="shared" si="9"/>
        <v>-0.3973269064</v>
      </c>
      <c r="T2430" s="4">
        <f t="shared" si="10"/>
        <v>19</v>
      </c>
      <c r="U2430" s="4">
        <f t="shared" si="1"/>
        <v>-0.3973269064</v>
      </c>
      <c r="V2430" s="4"/>
    </row>
    <row r="2431">
      <c r="A2431" s="1" t="s">
        <v>21123</v>
      </c>
      <c r="B2431" s="1" t="s">
        <v>21124</v>
      </c>
      <c r="C2431" s="1" t="s">
        <v>21125</v>
      </c>
      <c r="D2431" s="1" t="s">
        <v>20834</v>
      </c>
      <c r="E2431" s="1" t="s">
        <v>20835</v>
      </c>
      <c r="F2431" s="1">
        <v>387095.0</v>
      </c>
      <c r="G2431" s="1">
        <v>28208.0</v>
      </c>
      <c r="H2431" s="1">
        <v>707.0</v>
      </c>
      <c r="I2431" s="1">
        <v>3540000.0</v>
      </c>
      <c r="J2431" s="1" t="s">
        <v>2468</v>
      </c>
      <c r="K2431" s="5">
        <f t="shared" si="2"/>
        <v>0.1093488701</v>
      </c>
      <c r="L2431" s="6">
        <f t="shared" si="3"/>
        <v>1255</v>
      </c>
      <c r="M2431" s="6">
        <f t="shared" si="4"/>
        <v>308.4422311</v>
      </c>
      <c r="N2431" s="7">
        <f t="shared" si="5"/>
        <v>0.00008713057375</v>
      </c>
      <c r="O2431" s="7"/>
      <c r="P2431" s="4">
        <f t="shared" si="6"/>
        <v>-0.3881543522</v>
      </c>
      <c r="Q2431" s="4">
        <f t="shared" si="7"/>
        <v>7</v>
      </c>
      <c r="R2431" s="4">
        <f t="shared" si="8"/>
        <v>1</v>
      </c>
      <c r="S2431" s="4">
        <f t="shared" si="9"/>
        <v>-0.3881543522</v>
      </c>
      <c r="T2431" s="4">
        <f t="shared" si="10"/>
        <v>30</v>
      </c>
      <c r="U2431" s="4">
        <f t="shared" si="1"/>
        <v>-0.3881543522</v>
      </c>
      <c r="V2431" s="4"/>
    </row>
    <row r="2432">
      <c r="A2432" s="1" t="s">
        <v>21126</v>
      </c>
      <c r="B2432" s="1" t="s">
        <v>21127</v>
      </c>
      <c r="C2432" s="1" t="s">
        <v>21128</v>
      </c>
      <c r="D2432" s="1" t="s">
        <v>20834</v>
      </c>
      <c r="E2432" s="1" t="s">
        <v>20835</v>
      </c>
      <c r="F2432" s="1">
        <v>1131321.0</v>
      </c>
      <c r="G2432" s="1">
        <v>53223.0</v>
      </c>
      <c r="H2432" s="1">
        <v>2573.0</v>
      </c>
      <c r="I2432" s="1">
        <v>3540000.0</v>
      </c>
      <c r="J2432" s="1" t="s">
        <v>2468</v>
      </c>
      <c r="K2432" s="5">
        <f t="shared" si="2"/>
        <v>0.3195822034</v>
      </c>
      <c r="L2432" s="6">
        <f t="shared" si="3"/>
        <v>1262</v>
      </c>
      <c r="M2432" s="6">
        <f t="shared" si="4"/>
        <v>896.4508716</v>
      </c>
      <c r="N2432" s="7">
        <f t="shared" si="5"/>
        <v>0.0002532347095</v>
      </c>
      <c r="O2432" s="7"/>
      <c r="P2432" s="4">
        <f t="shared" si="6"/>
        <v>-0.271156674</v>
      </c>
      <c r="Q2432" s="4">
        <f t="shared" si="7"/>
        <v>5</v>
      </c>
      <c r="R2432" s="4">
        <f t="shared" si="8"/>
        <v>0</v>
      </c>
      <c r="S2432" s="4">
        <f t="shared" si="9"/>
        <v>-0.271156674</v>
      </c>
      <c r="T2432" s="4">
        <f t="shared" si="10"/>
        <v>19</v>
      </c>
      <c r="U2432" s="4">
        <f t="shared" si="1"/>
        <v>-0.271156674</v>
      </c>
      <c r="V2432" s="4"/>
    </row>
    <row r="2433">
      <c r="A2433" s="1" t="s">
        <v>8454</v>
      </c>
      <c r="B2433" s="1" t="s">
        <v>8455</v>
      </c>
      <c r="C2433" s="1" t="s">
        <v>8456</v>
      </c>
      <c r="D2433" s="1" t="s">
        <v>8446</v>
      </c>
      <c r="E2433" s="1" t="s">
        <v>8447</v>
      </c>
      <c r="F2433" s="1">
        <v>675078.0</v>
      </c>
      <c r="G2433" s="1">
        <v>20603.0</v>
      </c>
      <c r="H2433" s="1">
        <v>2568.0</v>
      </c>
      <c r="I2433" s="1">
        <v>4910000.0</v>
      </c>
      <c r="J2433" s="1" t="s">
        <v>2468</v>
      </c>
      <c r="K2433" s="5">
        <f t="shared" si="2"/>
        <v>0.1374904277</v>
      </c>
      <c r="L2433" s="6">
        <f t="shared" si="3"/>
        <v>50</v>
      </c>
      <c r="M2433" s="6">
        <f t="shared" si="4"/>
        <v>13501.56</v>
      </c>
      <c r="N2433" s="7">
        <f t="shared" si="5"/>
        <v>0.002749808554</v>
      </c>
      <c r="O2433" s="7"/>
      <c r="P2433" s="4">
        <f t="shared" si="6"/>
        <v>1.487338634</v>
      </c>
      <c r="Q2433" s="4">
        <f t="shared" si="7"/>
        <v>6</v>
      </c>
      <c r="R2433" s="4">
        <f t="shared" si="8"/>
        <v>0</v>
      </c>
      <c r="S2433" s="4">
        <f t="shared" si="9"/>
        <v>1.487338634</v>
      </c>
      <c r="T2433" s="4">
        <f t="shared" si="10"/>
        <v>27</v>
      </c>
      <c r="U2433" s="4">
        <f t="shared" si="1"/>
        <v>1.487338634</v>
      </c>
      <c r="V2433" s="4"/>
    </row>
    <row r="2434">
      <c r="A2434" s="1" t="s">
        <v>8457</v>
      </c>
      <c r="B2434" s="1" t="s">
        <v>8458</v>
      </c>
      <c r="C2434" s="1" t="s">
        <v>8459</v>
      </c>
      <c r="D2434" s="1" t="s">
        <v>8446</v>
      </c>
      <c r="E2434" s="1" t="s">
        <v>8447</v>
      </c>
      <c r="F2434" s="1">
        <v>582784.0</v>
      </c>
      <c r="G2434" s="1">
        <v>14135.0</v>
      </c>
      <c r="H2434" s="1">
        <v>1405.0</v>
      </c>
      <c r="I2434" s="1">
        <v>4910000.0</v>
      </c>
      <c r="J2434" s="1" t="s">
        <v>2468</v>
      </c>
      <c r="K2434" s="5">
        <f t="shared" si="2"/>
        <v>0.118693279</v>
      </c>
      <c r="L2434" s="6">
        <f t="shared" si="3"/>
        <v>65</v>
      </c>
      <c r="M2434" s="6">
        <f t="shared" si="4"/>
        <v>8965.907692</v>
      </c>
      <c r="N2434" s="7">
        <f t="shared" si="5"/>
        <v>0.001826050446</v>
      </c>
      <c r="O2434" s="7"/>
      <c r="P2434" s="4">
        <f t="shared" si="6"/>
        <v>0.8366772083</v>
      </c>
      <c r="Q2434" s="4">
        <f t="shared" si="7"/>
        <v>7</v>
      </c>
      <c r="R2434" s="4">
        <f t="shared" si="8"/>
        <v>0</v>
      </c>
      <c r="S2434" s="4">
        <f t="shared" si="9"/>
        <v>0.8366772083</v>
      </c>
      <c r="T2434" s="4">
        <f t="shared" si="10"/>
        <v>40</v>
      </c>
      <c r="U2434" s="4">
        <f t="shared" si="1"/>
        <v>0.8366772083</v>
      </c>
      <c r="V2434" s="4"/>
    </row>
    <row r="2435">
      <c r="A2435" s="1" t="s">
        <v>8460</v>
      </c>
      <c r="B2435" s="1" t="s">
        <v>8461</v>
      </c>
      <c r="C2435" s="1" t="s">
        <v>8462</v>
      </c>
      <c r="D2435" s="1" t="s">
        <v>8446</v>
      </c>
      <c r="E2435" s="1" t="s">
        <v>8447</v>
      </c>
      <c r="F2435" s="1">
        <v>657499.0</v>
      </c>
      <c r="G2435" s="1">
        <v>16493.0</v>
      </c>
      <c r="H2435" s="1">
        <v>1223.0</v>
      </c>
      <c r="I2435" s="1">
        <v>4910000.0</v>
      </c>
      <c r="J2435" s="1" t="s">
        <v>2468</v>
      </c>
      <c r="K2435" s="5">
        <f t="shared" si="2"/>
        <v>0.1339101833</v>
      </c>
      <c r="L2435" s="6">
        <f t="shared" si="3"/>
        <v>79</v>
      </c>
      <c r="M2435" s="6">
        <f t="shared" si="4"/>
        <v>8322.772152</v>
      </c>
      <c r="N2435" s="7">
        <f t="shared" si="5"/>
        <v>0.001695065611</v>
      </c>
      <c r="O2435" s="7"/>
      <c r="P2435" s="4">
        <f t="shared" si="6"/>
        <v>0.7444162809</v>
      </c>
      <c r="Q2435" s="4">
        <f t="shared" si="7"/>
        <v>7</v>
      </c>
      <c r="R2435" s="4">
        <f t="shared" si="8"/>
        <v>0</v>
      </c>
      <c r="S2435" s="4">
        <f t="shared" si="9"/>
        <v>0.7444162809</v>
      </c>
      <c r="T2435" s="4">
        <f t="shared" si="10"/>
        <v>41</v>
      </c>
      <c r="U2435" s="4">
        <f t="shared" si="1"/>
        <v>0.7444162809</v>
      </c>
      <c r="V2435" s="4"/>
    </row>
    <row r="2436">
      <c r="A2436" s="1" t="s">
        <v>8463</v>
      </c>
      <c r="B2436" s="1" t="s">
        <v>8464</v>
      </c>
      <c r="C2436" s="1" t="s">
        <v>8465</v>
      </c>
      <c r="D2436" s="1" t="s">
        <v>8446</v>
      </c>
      <c r="E2436" s="1" t="s">
        <v>8447</v>
      </c>
      <c r="F2436" s="1">
        <v>1431670.0</v>
      </c>
      <c r="G2436" s="1">
        <v>32292.0</v>
      </c>
      <c r="H2436" s="1">
        <v>3551.0</v>
      </c>
      <c r="I2436" s="1">
        <v>4910000.0</v>
      </c>
      <c r="J2436" s="1" t="s">
        <v>2468</v>
      </c>
      <c r="K2436" s="5">
        <f t="shared" si="2"/>
        <v>0.2915824847</v>
      </c>
      <c r="L2436" s="6">
        <f t="shared" si="3"/>
        <v>94</v>
      </c>
      <c r="M2436" s="6">
        <f t="shared" si="4"/>
        <v>15230.53191</v>
      </c>
      <c r="N2436" s="7">
        <f t="shared" si="5"/>
        <v>0.003101941327</v>
      </c>
      <c r="O2436" s="7"/>
      <c r="P2436" s="4">
        <f t="shared" si="6"/>
        <v>1.735368081</v>
      </c>
      <c r="Q2436" s="4">
        <f t="shared" si="7"/>
        <v>6</v>
      </c>
      <c r="R2436" s="4">
        <f t="shared" si="8"/>
        <v>0</v>
      </c>
      <c r="S2436" s="4">
        <f t="shared" si="9"/>
        <v>1.735368081</v>
      </c>
      <c r="T2436" s="4">
        <f t="shared" si="10"/>
        <v>24</v>
      </c>
      <c r="U2436" s="4">
        <f t="shared" si="1"/>
        <v>1.735368081</v>
      </c>
      <c r="V2436" s="4"/>
    </row>
    <row r="2437">
      <c r="A2437" s="1" t="s">
        <v>8466</v>
      </c>
      <c r="B2437" s="1" t="s">
        <v>8467</v>
      </c>
      <c r="C2437" s="1" t="s">
        <v>8468</v>
      </c>
      <c r="D2437" s="1" t="s">
        <v>8446</v>
      </c>
      <c r="E2437" s="1" t="s">
        <v>8447</v>
      </c>
      <c r="F2437" s="1">
        <v>862188.0</v>
      </c>
      <c r="G2437" s="1">
        <v>24150.0</v>
      </c>
      <c r="H2437" s="1">
        <v>5056.0</v>
      </c>
      <c r="I2437" s="1">
        <v>4910000.0</v>
      </c>
      <c r="J2437" s="1" t="s">
        <v>2468</v>
      </c>
      <c r="K2437" s="5">
        <f t="shared" si="2"/>
        <v>0.1755983707</v>
      </c>
      <c r="L2437" s="6">
        <f t="shared" si="3"/>
        <v>106</v>
      </c>
      <c r="M2437" s="6">
        <f t="shared" si="4"/>
        <v>8133.849057</v>
      </c>
      <c r="N2437" s="7">
        <f t="shared" si="5"/>
        <v>0.001656588403</v>
      </c>
      <c r="O2437" s="7"/>
      <c r="P2437" s="4">
        <f t="shared" si="6"/>
        <v>0.7173143423</v>
      </c>
      <c r="Q2437" s="4">
        <f t="shared" si="7"/>
        <v>8</v>
      </c>
      <c r="R2437" s="4">
        <f t="shared" si="8"/>
        <v>0</v>
      </c>
      <c r="S2437" s="4">
        <f t="shared" si="9"/>
        <v>0.7173143423</v>
      </c>
      <c r="T2437" s="4">
        <f t="shared" si="10"/>
        <v>39</v>
      </c>
      <c r="U2437" s="4">
        <f t="shared" si="1"/>
        <v>0.7173143423</v>
      </c>
      <c r="V2437" s="4"/>
    </row>
    <row r="2438">
      <c r="A2438" s="1" t="s">
        <v>8469</v>
      </c>
      <c r="B2438" s="1" t="s">
        <v>8470</v>
      </c>
      <c r="C2438" s="1" t="s">
        <v>8471</v>
      </c>
      <c r="D2438" s="1" t="s">
        <v>8446</v>
      </c>
      <c r="E2438" s="1" t="s">
        <v>8447</v>
      </c>
      <c r="F2438" s="1">
        <v>1108751.0</v>
      </c>
      <c r="G2438" s="1">
        <v>29554.0</v>
      </c>
      <c r="H2438" s="1">
        <v>2903.0</v>
      </c>
      <c r="I2438" s="1">
        <v>4910000.0</v>
      </c>
      <c r="J2438" s="1" t="s">
        <v>2468</v>
      </c>
      <c r="K2438" s="5">
        <f t="shared" si="2"/>
        <v>0.2258148676</v>
      </c>
      <c r="L2438" s="6">
        <f t="shared" si="3"/>
        <v>121</v>
      </c>
      <c r="M2438" s="6">
        <f t="shared" si="4"/>
        <v>9163.231405</v>
      </c>
      <c r="N2438" s="7">
        <f t="shared" si="5"/>
        <v>0.001866238575</v>
      </c>
      <c r="O2438" s="7"/>
      <c r="P2438" s="4">
        <f t="shared" si="6"/>
        <v>0.8649842564</v>
      </c>
      <c r="Q2438" s="4">
        <f t="shared" si="7"/>
        <v>5</v>
      </c>
      <c r="R2438" s="4">
        <f t="shared" si="8"/>
        <v>0</v>
      </c>
      <c r="S2438" s="4">
        <f t="shared" si="9"/>
        <v>0.8649842564</v>
      </c>
      <c r="T2438" s="4">
        <f t="shared" si="10"/>
        <v>27</v>
      </c>
      <c r="U2438" s="4">
        <f t="shared" si="1"/>
        <v>0.8649842564</v>
      </c>
      <c r="V2438" s="4"/>
    </row>
    <row r="2439">
      <c r="A2439" s="1" t="s">
        <v>8472</v>
      </c>
      <c r="B2439" s="1" t="s">
        <v>8473</v>
      </c>
      <c r="C2439" s="1" t="s">
        <v>8474</v>
      </c>
      <c r="D2439" s="1" t="s">
        <v>8446</v>
      </c>
      <c r="E2439" s="1" t="s">
        <v>8447</v>
      </c>
      <c r="F2439" s="1">
        <v>1309665.0</v>
      </c>
      <c r="G2439" s="1">
        <v>21138.0</v>
      </c>
      <c r="H2439" s="1">
        <v>1193.0</v>
      </c>
      <c r="I2439" s="1">
        <v>4910000.0</v>
      </c>
      <c r="J2439" s="1" t="s">
        <v>2468</v>
      </c>
      <c r="K2439" s="5">
        <f t="shared" si="2"/>
        <v>0.2667342159</v>
      </c>
      <c r="L2439" s="6">
        <f t="shared" si="3"/>
        <v>139</v>
      </c>
      <c r="M2439" s="6">
        <f t="shared" si="4"/>
        <v>9422.05036</v>
      </c>
      <c r="N2439" s="7">
        <f t="shared" si="5"/>
        <v>0.001918951193</v>
      </c>
      <c r="O2439" s="7"/>
      <c r="P2439" s="4">
        <f t="shared" si="6"/>
        <v>0.9021130967</v>
      </c>
      <c r="Q2439" s="4">
        <f t="shared" si="7"/>
        <v>7</v>
      </c>
      <c r="R2439" s="4">
        <f t="shared" si="8"/>
        <v>0</v>
      </c>
      <c r="S2439" s="4">
        <f t="shared" si="9"/>
        <v>0.9021130967</v>
      </c>
      <c r="T2439" s="4">
        <f t="shared" si="10"/>
        <v>27</v>
      </c>
      <c r="U2439" s="4">
        <f t="shared" si="1"/>
        <v>0.9021130967</v>
      </c>
      <c r="V2439" s="4"/>
    </row>
    <row r="2440">
      <c r="A2440" s="1" t="s">
        <v>8475</v>
      </c>
      <c r="B2440" s="1" t="s">
        <v>8476</v>
      </c>
      <c r="C2440" s="1" t="s">
        <v>8477</v>
      </c>
      <c r="D2440" s="1" t="s">
        <v>8446</v>
      </c>
      <c r="E2440" s="1" t="s">
        <v>8447</v>
      </c>
      <c r="F2440" s="1">
        <v>1077671.0</v>
      </c>
      <c r="G2440" s="1">
        <v>22799.0</v>
      </c>
      <c r="H2440" s="1">
        <v>1921.0</v>
      </c>
      <c r="I2440" s="1">
        <v>4910000.0</v>
      </c>
      <c r="J2440" s="1" t="s">
        <v>2468</v>
      </c>
      <c r="K2440" s="5">
        <f t="shared" si="2"/>
        <v>0.2194849287</v>
      </c>
      <c r="L2440" s="6">
        <f t="shared" si="3"/>
        <v>156</v>
      </c>
      <c r="M2440" s="6">
        <f t="shared" si="4"/>
        <v>6908.147436</v>
      </c>
      <c r="N2440" s="7">
        <f t="shared" si="5"/>
        <v>0.001406954671</v>
      </c>
      <c r="O2440" s="7"/>
      <c r="P2440" s="4">
        <f t="shared" si="6"/>
        <v>0.5414814719</v>
      </c>
      <c r="Q2440" s="4">
        <f t="shared" si="7"/>
        <v>5</v>
      </c>
      <c r="R2440" s="4">
        <f t="shared" si="8"/>
        <v>0</v>
      </c>
      <c r="S2440" s="4">
        <f t="shared" si="9"/>
        <v>0.5414814719</v>
      </c>
      <c r="T2440" s="4">
        <f t="shared" si="10"/>
        <v>16</v>
      </c>
      <c r="U2440" s="4">
        <f t="shared" si="1"/>
        <v>0.5414814719</v>
      </c>
      <c r="V2440" s="4"/>
    </row>
    <row r="2441">
      <c r="A2441" s="1" t="s">
        <v>8478</v>
      </c>
      <c r="B2441" s="1" t="s">
        <v>8479</v>
      </c>
      <c r="C2441" s="1" t="s">
        <v>8480</v>
      </c>
      <c r="D2441" s="1" t="s">
        <v>8446</v>
      </c>
      <c r="E2441" s="1" t="s">
        <v>8447</v>
      </c>
      <c r="F2441" s="1">
        <v>561339.0</v>
      </c>
      <c r="G2441" s="1">
        <v>23951.0</v>
      </c>
      <c r="H2441" s="1">
        <v>2719.0</v>
      </c>
      <c r="I2441" s="1">
        <v>4910000.0</v>
      </c>
      <c r="J2441" s="1" t="s">
        <v>2468</v>
      </c>
      <c r="K2441" s="5">
        <f t="shared" si="2"/>
        <v>0.1143256619</v>
      </c>
      <c r="L2441" s="6">
        <f t="shared" si="3"/>
        <v>163</v>
      </c>
      <c r="M2441" s="6">
        <f t="shared" si="4"/>
        <v>3443.797546</v>
      </c>
      <c r="N2441" s="7">
        <f t="shared" si="5"/>
        <v>0.0007013844289</v>
      </c>
      <c r="O2441" s="7"/>
      <c r="P2441" s="4">
        <f t="shared" si="6"/>
        <v>0.04450359813</v>
      </c>
      <c r="Q2441" s="4">
        <f t="shared" si="7"/>
        <v>5</v>
      </c>
      <c r="R2441" s="4">
        <f t="shared" si="8"/>
        <v>0</v>
      </c>
      <c r="S2441" s="4">
        <f t="shared" si="9"/>
        <v>0.04450359813</v>
      </c>
      <c r="T2441" s="4">
        <f t="shared" si="10"/>
        <v>30</v>
      </c>
      <c r="U2441" s="4">
        <f t="shared" si="1"/>
        <v>0.04450359813</v>
      </c>
      <c r="V2441" s="4"/>
    </row>
    <row r="2442">
      <c r="A2442" s="1" t="s">
        <v>8481</v>
      </c>
      <c r="B2442" s="1" t="s">
        <v>8482</v>
      </c>
      <c r="C2442" s="1" t="s">
        <v>8483</v>
      </c>
      <c r="D2442" s="1" t="s">
        <v>8446</v>
      </c>
      <c r="E2442" s="1" t="s">
        <v>8447</v>
      </c>
      <c r="F2442" s="1">
        <v>853504.0</v>
      </c>
      <c r="G2442" s="1">
        <v>19882.0</v>
      </c>
      <c r="H2442" s="1">
        <v>1521.0</v>
      </c>
      <c r="I2442" s="1">
        <v>4910000.0</v>
      </c>
      <c r="J2442" s="1" t="s">
        <v>2468</v>
      </c>
      <c r="K2442" s="5">
        <f t="shared" si="2"/>
        <v>0.1738297352</v>
      </c>
      <c r="L2442" s="6">
        <f t="shared" si="3"/>
        <v>177</v>
      </c>
      <c r="M2442" s="6">
        <f t="shared" si="4"/>
        <v>4822.056497</v>
      </c>
      <c r="N2442" s="7">
        <f t="shared" si="5"/>
        <v>0.0009820888996</v>
      </c>
      <c r="O2442" s="7"/>
      <c r="P2442" s="4">
        <f t="shared" si="6"/>
        <v>0.242221561</v>
      </c>
      <c r="Q2442" s="4">
        <f t="shared" si="7"/>
        <v>3</v>
      </c>
      <c r="R2442" s="4">
        <f t="shared" si="8"/>
        <v>0</v>
      </c>
      <c r="S2442" s="4">
        <f t="shared" si="9"/>
        <v>0.242221561</v>
      </c>
      <c r="T2442" s="4">
        <f t="shared" si="10"/>
        <v>23</v>
      </c>
      <c r="U2442" s="4">
        <f t="shared" si="1"/>
        <v>0.242221561</v>
      </c>
      <c r="V2442" s="4"/>
    </row>
    <row r="2443">
      <c r="A2443" s="1" t="s">
        <v>8484</v>
      </c>
      <c r="B2443" s="1" t="s">
        <v>8485</v>
      </c>
      <c r="C2443" s="1" t="s">
        <v>8486</v>
      </c>
      <c r="D2443" s="1" t="s">
        <v>8446</v>
      </c>
      <c r="E2443" s="1" t="s">
        <v>8447</v>
      </c>
      <c r="F2443" s="1">
        <v>1680523.0</v>
      </c>
      <c r="G2443" s="1">
        <v>35812.0</v>
      </c>
      <c r="H2443" s="1">
        <v>1396.0</v>
      </c>
      <c r="I2443" s="1">
        <v>4910000.0</v>
      </c>
      <c r="J2443" s="1" t="s">
        <v>2468</v>
      </c>
      <c r="K2443" s="5">
        <f t="shared" si="2"/>
        <v>0.3422653768</v>
      </c>
      <c r="L2443" s="6">
        <f t="shared" si="3"/>
        <v>191</v>
      </c>
      <c r="M2443" s="6">
        <f t="shared" si="4"/>
        <v>8798.549738</v>
      </c>
      <c r="N2443" s="7">
        <f t="shared" si="5"/>
        <v>0.001791965323</v>
      </c>
      <c r="O2443" s="7"/>
      <c r="P2443" s="4">
        <f t="shared" si="6"/>
        <v>0.8126688942</v>
      </c>
      <c r="Q2443" s="4">
        <f t="shared" si="7"/>
        <v>6</v>
      </c>
      <c r="R2443" s="4">
        <f t="shared" si="8"/>
        <v>0</v>
      </c>
      <c r="S2443" s="4">
        <f t="shared" si="9"/>
        <v>0.8126688942</v>
      </c>
      <c r="T2443" s="4">
        <f t="shared" si="10"/>
        <v>23</v>
      </c>
      <c r="U2443" s="4">
        <f t="shared" si="1"/>
        <v>0.8126688942</v>
      </c>
      <c r="V2443" s="4"/>
    </row>
    <row r="2444">
      <c r="A2444" s="1" t="s">
        <v>8487</v>
      </c>
      <c r="B2444" s="1" t="s">
        <v>8488</v>
      </c>
      <c r="C2444" s="1" t="s">
        <v>8489</v>
      </c>
      <c r="D2444" s="1" t="s">
        <v>8446</v>
      </c>
      <c r="E2444" s="1" t="s">
        <v>8447</v>
      </c>
      <c r="F2444" s="1">
        <v>1103924.0</v>
      </c>
      <c r="G2444" s="1">
        <v>24043.0</v>
      </c>
      <c r="H2444" s="1">
        <v>1111.0</v>
      </c>
      <c r="I2444" s="1">
        <v>4910000.0</v>
      </c>
      <c r="J2444" s="1" t="s">
        <v>2468</v>
      </c>
      <c r="K2444" s="5">
        <f t="shared" si="2"/>
        <v>0.2248317719</v>
      </c>
      <c r="L2444" s="6">
        <f t="shared" si="3"/>
        <v>205</v>
      </c>
      <c r="M2444" s="6">
        <f t="shared" si="4"/>
        <v>5384.995122</v>
      </c>
      <c r="N2444" s="7">
        <f t="shared" si="5"/>
        <v>0.001096740351</v>
      </c>
      <c r="O2444" s="7"/>
      <c r="P2444" s="4">
        <f t="shared" si="6"/>
        <v>0.32297785</v>
      </c>
      <c r="Q2444" s="4">
        <f t="shared" si="7"/>
        <v>5</v>
      </c>
      <c r="R2444" s="4">
        <f t="shared" si="8"/>
        <v>0</v>
      </c>
      <c r="S2444" s="4">
        <f t="shared" si="9"/>
        <v>0.32297785</v>
      </c>
      <c r="T2444" s="4">
        <f t="shared" si="10"/>
        <v>26</v>
      </c>
      <c r="U2444" s="4">
        <f t="shared" si="1"/>
        <v>0.32297785</v>
      </c>
      <c r="V2444" s="4"/>
    </row>
    <row r="2445">
      <c r="A2445" s="1" t="s">
        <v>8490</v>
      </c>
      <c r="B2445" s="1" t="s">
        <v>8491</v>
      </c>
      <c r="C2445" s="1" t="s">
        <v>8492</v>
      </c>
      <c r="D2445" s="1" t="s">
        <v>8446</v>
      </c>
      <c r="E2445" s="1" t="s">
        <v>8447</v>
      </c>
      <c r="F2445" s="1">
        <v>1090362.0</v>
      </c>
      <c r="G2445" s="1">
        <v>22245.0</v>
      </c>
      <c r="H2445" s="1">
        <v>994.0</v>
      </c>
      <c r="I2445" s="1">
        <v>4910000.0</v>
      </c>
      <c r="J2445" s="1" t="s">
        <v>2468</v>
      </c>
      <c r="K2445" s="5">
        <f t="shared" si="2"/>
        <v>0.2220696538</v>
      </c>
      <c r="L2445" s="6">
        <f t="shared" si="3"/>
        <v>219</v>
      </c>
      <c r="M2445" s="6">
        <f t="shared" si="4"/>
        <v>4978.821918</v>
      </c>
      <c r="N2445" s="7">
        <f t="shared" si="5"/>
        <v>0.001014016684</v>
      </c>
      <c r="O2445" s="7"/>
      <c r="P2445" s="4">
        <f t="shared" si="6"/>
        <v>0.2647103246</v>
      </c>
      <c r="Q2445" s="4">
        <f t="shared" si="7"/>
        <v>6</v>
      </c>
      <c r="R2445" s="4">
        <f t="shared" si="8"/>
        <v>0</v>
      </c>
      <c r="S2445" s="4">
        <f t="shared" si="9"/>
        <v>0.2647103246</v>
      </c>
      <c r="T2445" s="4">
        <f t="shared" si="10"/>
        <v>39</v>
      </c>
      <c r="U2445" s="4">
        <f t="shared" si="1"/>
        <v>0.2647103246</v>
      </c>
      <c r="V2445" s="4"/>
    </row>
    <row r="2446">
      <c r="A2446" s="1" t="s">
        <v>8493</v>
      </c>
      <c r="B2446" s="1" t="s">
        <v>8494</v>
      </c>
      <c r="C2446" s="1" t="s">
        <v>8495</v>
      </c>
      <c r="D2446" s="1" t="s">
        <v>8446</v>
      </c>
      <c r="E2446" s="1" t="s">
        <v>8447</v>
      </c>
      <c r="F2446" s="1">
        <v>1351319.0</v>
      </c>
      <c r="G2446" s="1">
        <v>24900.0</v>
      </c>
      <c r="H2446" s="1">
        <v>3334.0</v>
      </c>
      <c r="I2446" s="1">
        <v>4910000.0</v>
      </c>
      <c r="J2446" s="1" t="s">
        <v>2468</v>
      </c>
      <c r="K2446" s="5">
        <f t="shared" si="2"/>
        <v>0.2752177189</v>
      </c>
      <c r="L2446" s="6">
        <f t="shared" si="3"/>
        <v>230</v>
      </c>
      <c r="M2446" s="6">
        <f t="shared" si="4"/>
        <v>5875.3</v>
      </c>
      <c r="N2446" s="7">
        <f t="shared" si="5"/>
        <v>0.001196598778</v>
      </c>
      <c r="O2446" s="7"/>
      <c r="P2446" s="4">
        <f t="shared" si="6"/>
        <v>0.393314474</v>
      </c>
      <c r="Q2446" s="4">
        <f t="shared" si="7"/>
        <v>8</v>
      </c>
      <c r="R2446" s="4">
        <f t="shared" si="8"/>
        <v>0</v>
      </c>
      <c r="S2446" s="4">
        <f t="shared" si="9"/>
        <v>0.393314474</v>
      </c>
      <c r="T2446" s="4">
        <f t="shared" si="10"/>
        <v>41</v>
      </c>
      <c r="U2446" s="4">
        <f t="shared" si="1"/>
        <v>0.393314474</v>
      </c>
      <c r="V2446" s="4"/>
    </row>
    <row r="2447">
      <c r="A2447" s="1" t="s">
        <v>8496</v>
      </c>
      <c r="B2447" s="1" t="s">
        <v>8497</v>
      </c>
      <c r="C2447" s="1" t="s">
        <v>8498</v>
      </c>
      <c r="D2447" s="1" t="s">
        <v>8446</v>
      </c>
      <c r="E2447" s="1" t="s">
        <v>8447</v>
      </c>
      <c r="F2447" s="1">
        <v>257988.0</v>
      </c>
      <c r="G2447" s="1">
        <v>7076.0</v>
      </c>
      <c r="H2447" s="1">
        <v>477.0</v>
      </c>
      <c r="I2447" s="1">
        <v>4910000.0</v>
      </c>
      <c r="J2447" s="1" t="s">
        <v>2468</v>
      </c>
      <c r="K2447" s="5">
        <f t="shared" si="2"/>
        <v>0.05254338086</v>
      </c>
      <c r="L2447" s="6">
        <f t="shared" si="3"/>
        <v>246</v>
      </c>
      <c r="M2447" s="6">
        <f t="shared" si="4"/>
        <v>1048.731707</v>
      </c>
      <c r="N2447" s="7">
        <f t="shared" si="5"/>
        <v>0.0002135909791</v>
      </c>
      <c r="O2447" s="7"/>
      <c r="P2447" s="4">
        <f t="shared" si="6"/>
        <v>-0.2990802678</v>
      </c>
      <c r="Q2447" s="4">
        <f t="shared" si="7"/>
        <v>12</v>
      </c>
      <c r="R2447" s="4">
        <f t="shared" si="8"/>
        <v>0</v>
      </c>
      <c r="S2447" s="4">
        <f t="shared" si="9"/>
        <v>-0.2990802678</v>
      </c>
      <c r="T2447" s="4">
        <f t="shared" si="10"/>
        <v>44</v>
      </c>
      <c r="U2447" s="4">
        <f t="shared" si="1"/>
        <v>-0.2990802678</v>
      </c>
      <c r="V2447" s="4"/>
    </row>
    <row r="2448">
      <c r="A2448" s="1" t="s">
        <v>8499</v>
      </c>
      <c r="B2448" s="1" t="s">
        <v>8500</v>
      </c>
      <c r="C2448" s="1" t="s">
        <v>8501</v>
      </c>
      <c r="D2448" s="1" t="s">
        <v>8446</v>
      </c>
      <c r="E2448" s="1" t="s">
        <v>8447</v>
      </c>
      <c r="F2448" s="1">
        <v>535757.0</v>
      </c>
      <c r="G2448" s="1">
        <v>14642.0</v>
      </c>
      <c r="H2448" s="1">
        <v>934.0</v>
      </c>
      <c r="I2448" s="1">
        <v>4910000.0</v>
      </c>
      <c r="J2448" s="1" t="s">
        <v>2468</v>
      </c>
      <c r="K2448" s="5">
        <f t="shared" si="2"/>
        <v>0.1091154786</v>
      </c>
      <c r="L2448" s="6">
        <f t="shared" si="3"/>
        <v>253</v>
      </c>
      <c r="M2448" s="6">
        <f t="shared" si="4"/>
        <v>2117.616601</v>
      </c>
      <c r="N2448" s="7">
        <f t="shared" si="5"/>
        <v>0.0004312864767</v>
      </c>
      <c r="O2448" s="7"/>
      <c r="P2448" s="4">
        <f t="shared" si="6"/>
        <v>-0.145743521</v>
      </c>
      <c r="Q2448" s="4">
        <f t="shared" si="7"/>
        <v>10</v>
      </c>
      <c r="R2448" s="4">
        <f t="shared" si="8"/>
        <v>0</v>
      </c>
      <c r="S2448" s="4">
        <f t="shared" si="9"/>
        <v>-0.145743521</v>
      </c>
      <c r="T2448" s="4">
        <f t="shared" si="10"/>
        <v>39</v>
      </c>
      <c r="U2448" s="4">
        <f t="shared" si="1"/>
        <v>-0.145743521</v>
      </c>
      <c r="V2448" s="4"/>
    </row>
    <row r="2449">
      <c r="A2449" s="1" t="s">
        <v>8502</v>
      </c>
      <c r="B2449" s="1" t="s">
        <v>8503</v>
      </c>
      <c r="C2449" s="1" t="s">
        <v>8504</v>
      </c>
      <c r="D2449" s="1" t="s">
        <v>8446</v>
      </c>
      <c r="E2449" s="1" t="s">
        <v>8447</v>
      </c>
      <c r="F2449" s="1">
        <v>1201996.0</v>
      </c>
      <c r="G2449" s="1">
        <v>24103.0</v>
      </c>
      <c r="H2449" s="1">
        <v>3591.0</v>
      </c>
      <c r="I2449" s="1">
        <v>4910000.0</v>
      </c>
      <c r="J2449" s="1" t="s">
        <v>2468</v>
      </c>
      <c r="K2449" s="5">
        <f t="shared" si="2"/>
        <v>0.2448057026</v>
      </c>
      <c r="L2449" s="6">
        <f t="shared" si="3"/>
        <v>275</v>
      </c>
      <c r="M2449" s="6">
        <f t="shared" si="4"/>
        <v>4370.894545</v>
      </c>
      <c r="N2449" s="7">
        <f t="shared" si="5"/>
        <v>0.0008902025551</v>
      </c>
      <c r="O2449" s="7"/>
      <c r="P2449" s="4">
        <f t="shared" si="6"/>
        <v>0.1775001805</v>
      </c>
      <c r="Q2449" s="4">
        <f t="shared" si="7"/>
        <v>4</v>
      </c>
      <c r="R2449" s="4">
        <f t="shared" si="8"/>
        <v>0</v>
      </c>
      <c r="S2449" s="4">
        <f t="shared" si="9"/>
        <v>0.1775001805</v>
      </c>
      <c r="T2449" s="4">
        <f t="shared" si="10"/>
        <v>27</v>
      </c>
      <c r="U2449" s="4">
        <f t="shared" si="1"/>
        <v>0.1775001805</v>
      </c>
      <c r="V2449" s="4"/>
    </row>
    <row r="2450">
      <c r="A2450" s="1" t="s">
        <v>8505</v>
      </c>
      <c r="B2450" s="1" t="s">
        <v>8506</v>
      </c>
      <c r="C2450" s="1" t="s">
        <v>8507</v>
      </c>
      <c r="D2450" s="1" t="s">
        <v>8446</v>
      </c>
      <c r="E2450" s="1" t="s">
        <v>8447</v>
      </c>
      <c r="F2450" s="1">
        <v>755378.0</v>
      </c>
      <c r="G2450" s="1">
        <v>23542.0</v>
      </c>
      <c r="H2450" s="1">
        <v>2735.0</v>
      </c>
      <c r="I2450" s="1">
        <v>4910000.0</v>
      </c>
      <c r="J2450" s="1" t="s">
        <v>2468</v>
      </c>
      <c r="K2450" s="5">
        <f t="shared" si="2"/>
        <v>0.1538448065</v>
      </c>
      <c r="L2450" s="6">
        <f t="shared" si="3"/>
        <v>287</v>
      </c>
      <c r="M2450" s="6">
        <f t="shared" si="4"/>
        <v>2631.979094</v>
      </c>
      <c r="N2450" s="7">
        <f t="shared" si="5"/>
        <v>0.000536044622</v>
      </c>
      <c r="O2450" s="7"/>
      <c r="P2450" s="4">
        <f t="shared" si="6"/>
        <v>-0.07195571485</v>
      </c>
      <c r="Q2450" s="4">
        <f t="shared" si="7"/>
        <v>4</v>
      </c>
      <c r="R2450" s="4">
        <f t="shared" si="8"/>
        <v>0</v>
      </c>
      <c r="S2450" s="4">
        <f t="shared" si="9"/>
        <v>-0.07195571485</v>
      </c>
      <c r="T2450" s="4">
        <f t="shared" si="10"/>
        <v>23</v>
      </c>
      <c r="U2450" s="4">
        <f t="shared" si="1"/>
        <v>-0.07195571485</v>
      </c>
      <c r="V2450" s="4"/>
    </row>
    <row r="2451">
      <c r="A2451" s="1" t="s">
        <v>8508</v>
      </c>
      <c r="B2451" s="1" t="s">
        <v>8509</v>
      </c>
      <c r="C2451" s="1" t="s">
        <v>8510</v>
      </c>
      <c r="D2451" s="1" t="s">
        <v>8446</v>
      </c>
      <c r="E2451" s="1" t="s">
        <v>8447</v>
      </c>
      <c r="F2451" s="1">
        <v>977534.0</v>
      </c>
      <c r="G2451" s="1">
        <v>23795.0</v>
      </c>
      <c r="H2451" s="1">
        <v>1918.0</v>
      </c>
      <c r="I2451" s="1">
        <v>4910000.0</v>
      </c>
      <c r="J2451" s="1" t="s">
        <v>2468</v>
      </c>
      <c r="K2451" s="5">
        <f t="shared" si="2"/>
        <v>0.1990904277</v>
      </c>
      <c r="L2451" s="6">
        <f t="shared" si="3"/>
        <v>295</v>
      </c>
      <c r="M2451" s="6">
        <f t="shared" si="4"/>
        <v>3313.674576</v>
      </c>
      <c r="N2451" s="7">
        <f t="shared" si="5"/>
        <v>0.0006748828058</v>
      </c>
      <c r="O2451" s="7"/>
      <c r="P2451" s="4">
        <f t="shared" si="6"/>
        <v>0.02583682402</v>
      </c>
      <c r="Q2451" s="4">
        <f t="shared" si="7"/>
        <v>5</v>
      </c>
      <c r="R2451" s="4">
        <f t="shared" si="8"/>
        <v>0</v>
      </c>
      <c r="S2451" s="4">
        <f t="shared" si="9"/>
        <v>0.02583682402</v>
      </c>
      <c r="T2451" s="4">
        <f t="shared" si="10"/>
        <v>28</v>
      </c>
      <c r="U2451" s="4">
        <f t="shared" si="1"/>
        <v>0.02583682402</v>
      </c>
      <c r="V2451" s="4"/>
    </row>
    <row r="2452">
      <c r="A2452" s="1" t="s">
        <v>8511</v>
      </c>
      <c r="B2452" s="1" t="s">
        <v>8512</v>
      </c>
      <c r="C2452" s="1" t="s">
        <v>8513</v>
      </c>
      <c r="D2452" s="1" t="s">
        <v>8446</v>
      </c>
      <c r="E2452" s="1" t="s">
        <v>8447</v>
      </c>
      <c r="F2452" s="1">
        <v>1442290.0</v>
      </c>
      <c r="G2452" s="1">
        <v>26373.0</v>
      </c>
      <c r="H2452" s="1">
        <v>1752.0</v>
      </c>
      <c r="I2452" s="1">
        <v>4910000.0</v>
      </c>
      <c r="J2452" s="1" t="s">
        <v>2468</v>
      </c>
      <c r="K2452" s="5">
        <f t="shared" si="2"/>
        <v>0.2937454175</v>
      </c>
      <c r="L2452" s="6">
        <f t="shared" si="3"/>
        <v>310</v>
      </c>
      <c r="M2452" s="6">
        <f t="shared" si="4"/>
        <v>4652.548387</v>
      </c>
      <c r="N2452" s="7">
        <f t="shared" si="5"/>
        <v>0.000947565863</v>
      </c>
      <c r="O2452" s="7"/>
      <c r="P2452" s="4">
        <f t="shared" si="6"/>
        <v>0.2179047966</v>
      </c>
      <c r="Q2452" s="4">
        <f t="shared" si="7"/>
        <v>6</v>
      </c>
      <c r="R2452" s="4">
        <f t="shared" si="8"/>
        <v>0</v>
      </c>
      <c r="S2452" s="4">
        <f t="shared" si="9"/>
        <v>0.2179047966</v>
      </c>
      <c r="T2452" s="4">
        <f t="shared" si="10"/>
        <v>36</v>
      </c>
      <c r="U2452" s="4">
        <f t="shared" si="1"/>
        <v>0.2179047966</v>
      </c>
      <c r="V2452" s="4"/>
    </row>
    <row r="2453">
      <c r="A2453" s="1" t="s">
        <v>8514</v>
      </c>
      <c r="B2453" s="1" t="s">
        <v>8515</v>
      </c>
      <c r="C2453" s="1" t="s">
        <v>8516</v>
      </c>
      <c r="D2453" s="1" t="s">
        <v>8446</v>
      </c>
      <c r="E2453" s="1" t="s">
        <v>8447</v>
      </c>
      <c r="F2453" s="1">
        <v>1319173.0</v>
      </c>
      <c r="G2453" s="1">
        <v>34144.0</v>
      </c>
      <c r="H2453" s="1">
        <v>2988.0</v>
      </c>
      <c r="I2453" s="1">
        <v>4910000.0</v>
      </c>
      <c r="J2453" s="1" t="s">
        <v>2468</v>
      </c>
      <c r="K2453" s="5">
        <f t="shared" si="2"/>
        <v>0.2686706721</v>
      </c>
      <c r="L2453" s="6">
        <f t="shared" si="3"/>
        <v>321</v>
      </c>
      <c r="M2453" s="6">
        <f t="shared" si="4"/>
        <v>4109.573209</v>
      </c>
      <c r="N2453" s="7">
        <f t="shared" si="5"/>
        <v>0.0008369802869</v>
      </c>
      <c r="O2453" s="7"/>
      <c r="P2453" s="4">
        <f t="shared" si="6"/>
        <v>0.1400123613</v>
      </c>
      <c r="Q2453" s="4">
        <f t="shared" si="7"/>
        <v>4</v>
      </c>
      <c r="R2453" s="4">
        <f t="shared" si="8"/>
        <v>0</v>
      </c>
      <c r="S2453" s="4">
        <f t="shared" si="9"/>
        <v>0.1400123613</v>
      </c>
      <c r="T2453" s="4">
        <f t="shared" si="10"/>
        <v>31</v>
      </c>
      <c r="U2453" s="4">
        <f t="shared" si="1"/>
        <v>0.1400123613</v>
      </c>
      <c r="V2453" s="4"/>
    </row>
    <row r="2454">
      <c r="A2454" s="1" t="s">
        <v>8517</v>
      </c>
      <c r="B2454" s="1" t="s">
        <v>8518</v>
      </c>
      <c r="C2454" s="1" t="s">
        <v>8519</v>
      </c>
      <c r="D2454" s="1" t="s">
        <v>8446</v>
      </c>
      <c r="E2454" s="1" t="s">
        <v>8447</v>
      </c>
      <c r="F2454" s="1">
        <v>1545945.0</v>
      </c>
      <c r="G2454" s="1">
        <v>29110.0</v>
      </c>
      <c r="H2454" s="1">
        <v>5106.0</v>
      </c>
      <c r="I2454" s="1">
        <v>4910000.0</v>
      </c>
      <c r="J2454" s="1" t="s">
        <v>2468</v>
      </c>
      <c r="K2454" s="5">
        <f t="shared" si="2"/>
        <v>0.3148564155</v>
      </c>
      <c r="L2454" s="6">
        <f t="shared" si="3"/>
        <v>338</v>
      </c>
      <c r="M2454" s="6">
        <f t="shared" si="4"/>
        <v>4573.801775</v>
      </c>
      <c r="N2454" s="7">
        <f t="shared" si="5"/>
        <v>0.0009315278564</v>
      </c>
      <c r="O2454" s="7"/>
      <c r="P2454" s="4">
        <f t="shared" si="6"/>
        <v>0.2066082114</v>
      </c>
      <c r="Q2454" s="4">
        <f t="shared" si="7"/>
        <v>8</v>
      </c>
      <c r="R2454" s="4">
        <f t="shared" si="8"/>
        <v>0</v>
      </c>
      <c r="S2454" s="4">
        <f t="shared" si="9"/>
        <v>0.2066082114</v>
      </c>
      <c r="T2454" s="4">
        <f t="shared" si="10"/>
        <v>37</v>
      </c>
      <c r="U2454" s="4">
        <f t="shared" si="1"/>
        <v>0.2066082114</v>
      </c>
      <c r="V2454" s="4"/>
    </row>
    <row r="2455">
      <c r="A2455" s="1" t="s">
        <v>8520</v>
      </c>
      <c r="B2455" s="1" t="s">
        <v>8521</v>
      </c>
      <c r="C2455" s="1" t="s">
        <v>8522</v>
      </c>
      <c r="D2455" s="1" t="s">
        <v>8446</v>
      </c>
      <c r="E2455" s="1" t="s">
        <v>8447</v>
      </c>
      <c r="F2455" s="1">
        <v>489579.0</v>
      </c>
      <c r="G2455" s="1">
        <v>14535.0</v>
      </c>
      <c r="H2455" s="1">
        <v>1363.0</v>
      </c>
      <c r="I2455" s="1">
        <v>4910000.0</v>
      </c>
      <c r="J2455" s="1" t="s">
        <v>2468</v>
      </c>
      <c r="K2455" s="5">
        <f t="shared" si="2"/>
        <v>0.09971059063</v>
      </c>
      <c r="L2455" s="6">
        <f t="shared" si="3"/>
        <v>351</v>
      </c>
      <c r="M2455" s="6">
        <f t="shared" si="4"/>
        <v>1394.811966</v>
      </c>
      <c r="N2455" s="7">
        <f t="shared" si="5"/>
        <v>0.0002840757568</v>
      </c>
      <c r="O2455" s="7"/>
      <c r="P2455" s="4">
        <f t="shared" si="6"/>
        <v>-0.2494333682</v>
      </c>
      <c r="Q2455" s="4">
        <f t="shared" si="7"/>
        <v>6</v>
      </c>
      <c r="R2455" s="4">
        <f t="shared" si="8"/>
        <v>0</v>
      </c>
      <c r="S2455" s="4">
        <f t="shared" si="9"/>
        <v>-0.2494333682</v>
      </c>
      <c r="T2455" s="4">
        <f t="shared" si="10"/>
        <v>25</v>
      </c>
      <c r="U2455" s="4">
        <f t="shared" si="1"/>
        <v>-0.2494333682</v>
      </c>
      <c r="V2455" s="4"/>
    </row>
    <row r="2456">
      <c r="A2456" s="1" t="s">
        <v>8523</v>
      </c>
      <c r="B2456" s="1" t="s">
        <v>8524</v>
      </c>
      <c r="C2456" s="1" t="s">
        <v>8525</v>
      </c>
      <c r="D2456" s="1" t="s">
        <v>8446</v>
      </c>
      <c r="E2456" s="1" t="s">
        <v>8447</v>
      </c>
      <c r="F2456" s="1">
        <v>1391924.0</v>
      </c>
      <c r="G2456" s="1">
        <v>31776.0</v>
      </c>
      <c r="H2456" s="1">
        <v>2099.0</v>
      </c>
      <c r="I2456" s="1">
        <v>4910000.0</v>
      </c>
      <c r="J2456" s="1" t="s">
        <v>2468</v>
      </c>
      <c r="K2456" s="5">
        <f t="shared" si="2"/>
        <v>0.2834875764</v>
      </c>
      <c r="L2456" s="6">
        <f t="shared" si="3"/>
        <v>373</v>
      </c>
      <c r="M2456" s="6">
        <f t="shared" si="4"/>
        <v>3731.699732</v>
      </c>
      <c r="N2456" s="7">
        <f t="shared" si="5"/>
        <v>0.000760020312</v>
      </c>
      <c r="O2456" s="7"/>
      <c r="P2456" s="4">
        <f t="shared" si="6"/>
        <v>0.08580456967</v>
      </c>
      <c r="Q2456" s="4">
        <f t="shared" si="7"/>
        <v>6</v>
      </c>
      <c r="R2456" s="4">
        <f t="shared" si="8"/>
        <v>0</v>
      </c>
      <c r="S2456" s="4">
        <f t="shared" si="9"/>
        <v>0.08580456967</v>
      </c>
      <c r="T2456" s="4">
        <f t="shared" si="10"/>
        <v>31</v>
      </c>
      <c r="U2456" s="4">
        <f t="shared" si="1"/>
        <v>0.08580456967</v>
      </c>
      <c r="V2456" s="4"/>
    </row>
    <row r="2457">
      <c r="A2457" s="1" t="s">
        <v>8526</v>
      </c>
      <c r="B2457" s="1" t="s">
        <v>8527</v>
      </c>
      <c r="C2457" s="1" t="s">
        <v>8528</v>
      </c>
      <c r="D2457" s="1" t="s">
        <v>8446</v>
      </c>
      <c r="E2457" s="1" t="s">
        <v>8447</v>
      </c>
      <c r="F2457" s="1">
        <v>849335.0</v>
      </c>
      <c r="G2457" s="1">
        <v>23086.0</v>
      </c>
      <c r="H2457" s="1">
        <v>1808.0</v>
      </c>
      <c r="I2457" s="1">
        <v>4910000.0</v>
      </c>
      <c r="J2457" s="1" t="s">
        <v>2468</v>
      </c>
      <c r="K2457" s="5">
        <f t="shared" si="2"/>
        <v>0.1729806517</v>
      </c>
      <c r="L2457" s="6">
        <f t="shared" si="3"/>
        <v>387</v>
      </c>
      <c r="M2457" s="6">
        <f t="shared" si="4"/>
        <v>2194.664083</v>
      </c>
      <c r="N2457" s="7">
        <f t="shared" si="5"/>
        <v>0.0004469784282</v>
      </c>
      <c r="O2457" s="7"/>
      <c r="P2457" s="4">
        <f t="shared" si="6"/>
        <v>-0.1346906843</v>
      </c>
      <c r="Q2457" s="4">
        <f t="shared" si="7"/>
        <v>6</v>
      </c>
      <c r="R2457" s="4">
        <f t="shared" si="8"/>
        <v>0</v>
      </c>
      <c r="S2457" s="4">
        <f t="shared" si="9"/>
        <v>-0.1346906843</v>
      </c>
      <c r="T2457" s="4">
        <f t="shared" si="10"/>
        <v>35</v>
      </c>
      <c r="U2457" s="4">
        <f t="shared" si="1"/>
        <v>-0.1346906843</v>
      </c>
      <c r="V2457" s="4"/>
    </row>
    <row r="2458">
      <c r="A2458" s="1" t="s">
        <v>8529</v>
      </c>
      <c r="B2458" s="1" t="s">
        <v>8530</v>
      </c>
      <c r="C2458" s="1" t="s">
        <v>8531</v>
      </c>
      <c r="D2458" s="1" t="s">
        <v>8446</v>
      </c>
      <c r="E2458" s="1" t="s">
        <v>8447</v>
      </c>
      <c r="F2458" s="1">
        <v>1737939.0</v>
      </c>
      <c r="G2458" s="1">
        <v>33051.0</v>
      </c>
      <c r="H2458" s="1">
        <v>1088.0</v>
      </c>
      <c r="I2458" s="1">
        <v>4910000.0</v>
      </c>
      <c r="J2458" s="1" t="s">
        <v>2468</v>
      </c>
      <c r="K2458" s="5">
        <f t="shared" si="2"/>
        <v>0.3539590631</v>
      </c>
      <c r="L2458" s="6">
        <f t="shared" si="3"/>
        <v>405</v>
      </c>
      <c r="M2458" s="6">
        <f t="shared" si="4"/>
        <v>4291.207407</v>
      </c>
      <c r="N2458" s="7">
        <f t="shared" si="5"/>
        <v>0.0008739729954</v>
      </c>
      <c r="O2458" s="7"/>
      <c r="P2458" s="4">
        <f t="shared" si="6"/>
        <v>0.1660686722</v>
      </c>
      <c r="Q2458" s="4">
        <f t="shared" si="7"/>
        <v>7</v>
      </c>
      <c r="R2458" s="4">
        <f t="shared" si="8"/>
        <v>0</v>
      </c>
      <c r="S2458" s="4">
        <f t="shared" si="9"/>
        <v>0.1660686722</v>
      </c>
      <c r="T2458" s="4">
        <f t="shared" si="10"/>
        <v>31</v>
      </c>
      <c r="U2458" s="4">
        <f t="shared" si="1"/>
        <v>0.1660686722</v>
      </c>
      <c r="V2458" s="4"/>
    </row>
    <row r="2459">
      <c r="A2459" s="1" t="s">
        <v>8532</v>
      </c>
      <c r="B2459" s="1" t="s">
        <v>8533</v>
      </c>
      <c r="C2459" s="1" t="s">
        <v>8534</v>
      </c>
      <c r="D2459" s="1" t="s">
        <v>8446</v>
      </c>
      <c r="E2459" s="1" t="s">
        <v>8447</v>
      </c>
      <c r="F2459" s="1">
        <v>1262648.0</v>
      </c>
      <c r="G2459" s="1">
        <v>27905.0</v>
      </c>
      <c r="H2459" s="1">
        <v>1224.0</v>
      </c>
      <c r="I2459" s="1">
        <v>4910000.0</v>
      </c>
      <c r="J2459" s="1" t="s">
        <v>2468</v>
      </c>
      <c r="K2459" s="5">
        <f t="shared" si="2"/>
        <v>0.2571584521</v>
      </c>
      <c r="L2459" s="6">
        <f t="shared" si="3"/>
        <v>415</v>
      </c>
      <c r="M2459" s="6">
        <f t="shared" si="4"/>
        <v>3042.525301</v>
      </c>
      <c r="N2459" s="7">
        <f t="shared" si="5"/>
        <v>0.0006196589208</v>
      </c>
      <c r="O2459" s="7"/>
      <c r="P2459" s="4">
        <f t="shared" si="6"/>
        <v>-0.01306086081</v>
      </c>
      <c r="Q2459" s="4">
        <f t="shared" si="7"/>
        <v>5</v>
      </c>
      <c r="R2459" s="4">
        <f t="shared" si="8"/>
        <v>0</v>
      </c>
      <c r="S2459" s="4">
        <f t="shared" si="9"/>
        <v>-0.01306086081</v>
      </c>
      <c r="T2459" s="4">
        <f t="shared" si="10"/>
        <v>27</v>
      </c>
      <c r="U2459" s="4">
        <f t="shared" si="1"/>
        <v>-0.01306086081</v>
      </c>
      <c r="V2459" s="4"/>
    </row>
    <row r="2460">
      <c r="A2460" s="1" t="s">
        <v>8535</v>
      </c>
      <c r="B2460" s="1" t="s">
        <v>8536</v>
      </c>
      <c r="C2460" s="1" t="s">
        <v>8537</v>
      </c>
      <c r="D2460" s="1" t="s">
        <v>8446</v>
      </c>
      <c r="E2460" s="1" t="s">
        <v>8447</v>
      </c>
      <c r="F2460" s="1">
        <v>3172908.0</v>
      </c>
      <c r="G2460" s="1">
        <v>54984.0</v>
      </c>
      <c r="H2460" s="1">
        <v>7371.0</v>
      </c>
      <c r="I2460" s="1">
        <v>4910000.0</v>
      </c>
      <c r="J2460" s="1" t="s">
        <v>2468</v>
      </c>
      <c r="K2460" s="5">
        <f t="shared" si="2"/>
        <v>0.646213442</v>
      </c>
      <c r="L2460" s="6">
        <f t="shared" si="3"/>
        <v>430</v>
      </c>
      <c r="M2460" s="6">
        <f t="shared" si="4"/>
        <v>7378.855814</v>
      </c>
      <c r="N2460" s="7">
        <f t="shared" si="5"/>
        <v>0.001502821958</v>
      </c>
      <c r="O2460" s="7"/>
      <c r="P2460" s="4">
        <f t="shared" si="6"/>
        <v>0.6090068825</v>
      </c>
      <c r="Q2460" s="4">
        <f t="shared" si="7"/>
        <v>6</v>
      </c>
      <c r="R2460" s="4">
        <f t="shared" si="8"/>
        <v>0</v>
      </c>
      <c r="S2460" s="4">
        <f t="shared" si="9"/>
        <v>0.6090068825</v>
      </c>
      <c r="T2460" s="4">
        <f t="shared" si="10"/>
        <v>22</v>
      </c>
      <c r="U2460" s="4">
        <f t="shared" si="1"/>
        <v>0.6090068825</v>
      </c>
      <c r="V2460" s="4"/>
    </row>
    <row r="2461">
      <c r="A2461" s="1" t="s">
        <v>8538</v>
      </c>
      <c r="B2461" s="1" t="s">
        <v>8539</v>
      </c>
      <c r="C2461" s="1" t="s">
        <v>8540</v>
      </c>
      <c r="D2461" s="1" t="s">
        <v>8446</v>
      </c>
      <c r="E2461" s="1" t="s">
        <v>8447</v>
      </c>
      <c r="F2461" s="1">
        <v>1418863.0</v>
      </c>
      <c r="G2461" s="1">
        <v>39932.0</v>
      </c>
      <c r="H2461" s="1">
        <v>3781.0</v>
      </c>
      <c r="I2461" s="1">
        <v>4910000.0</v>
      </c>
      <c r="J2461" s="1" t="s">
        <v>2468</v>
      </c>
      <c r="K2461" s="5">
        <f t="shared" si="2"/>
        <v>0.2889741344</v>
      </c>
      <c r="L2461" s="6">
        <f t="shared" si="3"/>
        <v>441</v>
      </c>
      <c r="M2461" s="6">
        <f t="shared" si="4"/>
        <v>3217.376417</v>
      </c>
      <c r="N2461" s="7">
        <f t="shared" si="5"/>
        <v>0.0006552701461</v>
      </c>
      <c r="O2461" s="7"/>
      <c r="P2461" s="4">
        <f t="shared" si="6"/>
        <v>0.01202238384</v>
      </c>
      <c r="Q2461" s="4">
        <f t="shared" si="7"/>
        <v>7</v>
      </c>
      <c r="R2461" s="4">
        <f t="shared" si="8"/>
        <v>0</v>
      </c>
      <c r="S2461" s="4">
        <f t="shared" si="9"/>
        <v>0.01202238384</v>
      </c>
      <c r="T2461" s="4">
        <f t="shared" si="10"/>
        <v>28</v>
      </c>
      <c r="U2461" s="4">
        <f t="shared" si="1"/>
        <v>0.01202238384</v>
      </c>
      <c r="V2461" s="4"/>
    </row>
    <row r="2462">
      <c r="A2462" s="1" t="s">
        <v>8541</v>
      </c>
      <c r="B2462" s="1" t="s">
        <v>8542</v>
      </c>
      <c r="C2462" s="1" t="s">
        <v>8543</v>
      </c>
      <c r="D2462" s="1" t="s">
        <v>8446</v>
      </c>
      <c r="E2462" s="1" t="s">
        <v>8447</v>
      </c>
      <c r="F2462" s="1">
        <v>2850389.0</v>
      </c>
      <c r="G2462" s="1">
        <v>51218.0</v>
      </c>
      <c r="H2462" s="1">
        <v>5371.0</v>
      </c>
      <c r="I2462" s="1">
        <v>4910000.0</v>
      </c>
      <c r="J2462" s="1" t="s">
        <v>2468</v>
      </c>
      <c r="K2462" s="5">
        <f t="shared" si="2"/>
        <v>0.5805272912</v>
      </c>
      <c r="L2462" s="6">
        <f t="shared" si="3"/>
        <v>462</v>
      </c>
      <c r="M2462" s="6">
        <f t="shared" si="4"/>
        <v>6169.67316</v>
      </c>
      <c r="N2462" s="7">
        <f t="shared" si="5"/>
        <v>0.001256552578</v>
      </c>
      <c r="O2462" s="7"/>
      <c r="P2462" s="4">
        <f t="shared" si="6"/>
        <v>0.4355437384</v>
      </c>
      <c r="Q2462" s="4">
        <f t="shared" si="7"/>
        <v>5</v>
      </c>
      <c r="R2462" s="4">
        <f t="shared" si="8"/>
        <v>0</v>
      </c>
      <c r="S2462" s="4">
        <f t="shared" si="9"/>
        <v>0.4355437384</v>
      </c>
      <c r="T2462" s="4">
        <f t="shared" si="10"/>
        <v>29</v>
      </c>
      <c r="U2462" s="4">
        <f t="shared" si="1"/>
        <v>0.4355437384</v>
      </c>
      <c r="V2462" s="4"/>
    </row>
    <row r="2463">
      <c r="A2463" s="1" t="s">
        <v>8544</v>
      </c>
      <c r="B2463" s="1" t="s">
        <v>8545</v>
      </c>
      <c r="C2463" s="1" t="s">
        <v>8546</v>
      </c>
      <c r="D2463" s="1" t="s">
        <v>8446</v>
      </c>
      <c r="E2463" s="1" t="s">
        <v>8447</v>
      </c>
      <c r="F2463" s="1">
        <v>1220399.0</v>
      </c>
      <c r="G2463" s="1">
        <v>31448.0</v>
      </c>
      <c r="H2463" s="1">
        <v>1058.0</v>
      </c>
      <c r="I2463" s="1">
        <v>4910000.0</v>
      </c>
      <c r="J2463" s="1" t="s">
        <v>2468</v>
      </c>
      <c r="K2463" s="5">
        <f t="shared" si="2"/>
        <v>0.2485537678</v>
      </c>
      <c r="L2463" s="6">
        <f t="shared" si="3"/>
        <v>469</v>
      </c>
      <c r="M2463" s="6">
        <f t="shared" si="4"/>
        <v>2602.130064</v>
      </c>
      <c r="N2463" s="7">
        <f t="shared" si="5"/>
        <v>0.0005299653898</v>
      </c>
      <c r="O2463" s="7"/>
      <c r="P2463" s="4">
        <f t="shared" si="6"/>
        <v>-0.07623770367</v>
      </c>
      <c r="Q2463" s="4">
        <f t="shared" si="7"/>
        <v>4</v>
      </c>
      <c r="R2463" s="4">
        <f t="shared" si="8"/>
        <v>0</v>
      </c>
      <c r="S2463" s="4">
        <f t="shared" si="9"/>
        <v>-0.07623770367</v>
      </c>
      <c r="T2463" s="4">
        <f t="shared" si="10"/>
        <v>18</v>
      </c>
      <c r="U2463" s="4">
        <f t="shared" si="1"/>
        <v>-0.07623770367</v>
      </c>
      <c r="V2463" s="4"/>
    </row>
    <row r="2464">
      <c r="A2464" s="1" t="s">
        <v>8547</v>
      </c>
      <c r="B2464" s="1" t="s">
        <v>8548</v>
      </c>
      <c r="C2464" s="1" t="s">
        <v>8549</v>
      </c>
      <c r="D2464" s="1" t="s">
        <v>8446</v>
      </c>
      <c r="E2464" s="1" t="s">
        <v>8447</v>
      </c>
      <c r="F2464" s="1">
        <v>1624593.0</v>
      </c>
      <c r="G2464" s="1">
        <v>30741.0</v>
      </c>
      <c r="H2464" s="1">
        <v>1060.0</v>
      </c>
      <c r="I2464" s="1">
        <v>4910000.0</v>
      </c>
      <c r="J2464" s="1" t="s">
        <v>2468</v>
      </c>
      <c r="K2464" s="5">
        <f t="shared" si="2"/>
        <v>0.3308743381</v>
      </c>
      <c r="L2464" s="6">
        <f t="shared" si="3"/>
        <v>490</v>
      </c>
      <c r="M2464" s="6">
        <f t="shared" si="4"/>
        <v>3315.495918</v>
      </c>
      <c r="N2464" s="7">
        <f t="shared" si="5"/>
        <v>0.0006752537512</v>
      </c>
      <c r="O2464" s="7"/>
      <c r="P2464" s="4">
        <f t="shared" si="6"/>
        <v>0.02609810442</v>
      </c>
      <c r="Q2464" s="4">
        <f t="shared" si="7"/>
        <v>6</v>
      </c>
      <c r="R2464" s="4">
        <f t="shared" si="8"/>
        <v>0</v>
      </c>
      <c r="S2464" s="4">
        <f t="shared" si="9"/>
        <v>0.02609810442</v>
      </c>
      <c r="T2464" s="4">
        <f t="shared" si="10"/>
        <v>30</v>
      </c>
      <c r="U2464" s="4">
        <f t="shared" si="1"/>
        <v>0.02609810442</v>
      </c>
      <c r="V2464" s="4"/>
    </row>
    <row r="2465">
      <c r="A2465" s="1" t="s">
        <v>8550</v>
      </c>
      <c r="B2465" s="1" t="s">
        <v>8551</v>
      </c>
      <c r="C2465" s="1" t="s">
        <v>8552</v>
      </c>
      <c r="D2465" s="1" t="s">
        <v>8446</v>
      </c>
      <c r="E2465" s="1" t="s">
        <v>8447</v>
      </c>
      <c r="F2465" s="1">
        <v>3845710.0</v>
      </c>
      <c r="G2465" s="1">
        <v>59087.0</v>
      </c>
      <c r="H2465" s="1">
        <v>5144.0</v>
      </c>
      <c r="I2465" s="1">
        <v>4910000.0</v>
      </c>
      <c r="J2465" s="1" t="s">
        <v>2468</v>
      </c>
      <c r="K2465" s="5">
        <f t="shared" si="2"/>
        <v>0.7832403259</v>
      </c>
      <c r="L2465" s="6">
        <f t="shared" si="3"/>
        <v>499</v>
      </c>
      <c r="M2465" s="6">
        <f t="shared" si="4"/>
        <v>7706.833667</v>
      </c>
      <c r="N2465" s="7">
        <f t="shared" si="5"/>
        <v>0.001569619892</v>
      </c>
      <c r="O2465" s="7"/>
      <c r="P2465" s="4">
        <f t="shared" si="6"/>
        <v>0.6560569038</v>
      </c>
      <c r="Q2465" s="4">
        <f t="shared" si="7"/>
        <v>7</v>
      </c>
      <c r="R2465" s="4">
        <f t="shared" si="8"/>
        <v>0</v>
      </c>
      <c r="S2465" s="4">
        <f t="shared" si="9"/>
        <v>0.6560569038</v>
      </c>
      <c r="T2465" s="4">
        <f t="shared" si="10"/>
        <v>34</v>
      </c>
      <c r="U2465" s="4">
        <f t="shared" si="1"/>
        <v>0.6560569038</v>
      </c>
      <c r="V2465" s="4"/>
    </row>
    <row r="2466">
      <c r="A2466" s="1" t="s">
        <v>8553</v>
      </c>
      <c r="B2466" s="1" t="s">
        <v>8554</v>
      </c>
      <c r="C2466" s="1" t="s">
        <v>8555</v>
      </c>
      <c r="D2466" s="1" t="s">
        <v>8446</v>
      </c>
      <c r="E2466" s="1" t="s">
        <v>8447</v>
      </c>
      <c r="F2466" s="1">
        <v>1513706.0</v>
      </c>
      <c r="G2466" s="1">
        <v>33868.0</v>
      </c>
      <c r="H2466" s="1">
        <v>1889.0</v>
      </c>
      <c r="I2466" s="1">
        <v>4910000.0</v>
      </c>
      <c r="J2466" s="1" t="s">
        <v>2468</v>
      </c>
      <c r="K2466" s="5">
        <f t="shared" si="2"/>
        <v>0.3082904277</v>
      </c>
      <c r="L2466" s="6">
        <f t="shared" si="3"/>
        <v>513</v>
      </c>
      <c r="M2466" s="6">
        <f t="shared" si="4"/>
        <v>2950.693957</v>
      </c>
      <c r="N2466" s="7">
        <f t="shared" si="5"/>
        <v>0.0006009559994</v>
      </c>
      <c r="O2466" s="7"/>
      <c r="P2466" s="4">
        <f t="shared" si="6"/>
        <v>-0.02623451462</v>
      </c>
      <c r="Q2466" s="4">
        <f t="shared" si="7"/>
        <v>7</v>
      </c>
      <c r="R2466" s="4">
        <f t="shared" si="8"/>
        <v>0</v>
      </c>
      <c r="S2466" s="4">
        <f t="shared" si="9"/>
        <v>-0.02623451462</v>
      </c>
      <c r="T2466" s="4">
        <f t="shared" si="10"/>
        <v>42</v>
      </c>
      <c r="U2466" s="4">
        <f t="shared" si="1"/>
        <v>-0.02623451462</v>
      </c>
      <c r="V2466" s="4"/>
    </row>
    <row r="2467">
      <c r="A2467" s="1" t="s">
        <v>8556</v>
      </c>
      <c r="B2467" s="1" t="s">
        <v>8557</v>
      </c>
      <c r="C2467" s="1" t="s">
        <v>8558</v>
      </c>
      <c r="D2467" s="1" t="s">
        <v>8446</v>
      </c>
      <c r="E2467" s="1" t="s">
        <v>8447</v>
      </c>
      <c r="F2467" s="1">
        <v>1689721.0</v>
      </c>
      <c r="G2467" s="1">
        <v>40482.0</v>
      </c>
      <c r="H2467" s="1">
        <v>1852.0</v>
      </c>
      <c r="I2467" s="1">
        <v>4910000.0</v>
      </c>
      <c r="J2467" s="1" t="s">
        <v>2468</v>
      </c>
      <c r="K2467" s="5">
        <f t="shared" si="2"/>
        <v>0.3441386965</v>
      </c>
      <c r="L2467" s="6">
        <f t="shared" si="3"/>
        <v>532</v>
      </c>
      <c r="M2467" s="6">
        <f t="shared" si="4"/>
        <v>3176.167293</v>
      </c>
      <c r="N2467" s="7">
        <f t="shared" si="5"/>
        <v>0.0006468772491</v>
      </c>
      <c r="O2467" s="7"/>
      <c r="P2467" s="4">
        <f t="shared" si="6"/>
        <v>0.006110734189</v>
      </c>
      <c r="Q2467" s="4">
        <f t="shared" si="7"/>
        <v>4</v>
      </c>
      <c r="R2467" s="4">
        <f t="shared" si="8"/>
        <v>0</v>
      </c>
      <c r="S2467" s="4">
        <f t="shared" si="9"/>
        <v>0.006110734189</v>
      </c>
      <c r="T2467" s="4">
        <f t="shared" si="10"/>
        <v>21</v>
      </c>
      <c r="U2467" s="4">
        <f t="shared" si="1"/>
        <v>0.006110734189</v>
      </c>
      <c r="V2467" s="4"/>
    </row>
    <row r="2468">
      <c r="A2468" s="1" t="s">
        <v>8559</v>
      </c>
      <c r="B2468" s="1" t="s">
        <v>8560</v>
      </c>
      <c r="C2468" s="1" t="s">
        <v>8561</v>
      </c>
      <c r="D2468" s="1" t="s">
        <v>8446</v>
      </c>
      <c r="E2468" s="1" t="s">
        <v>8447</v>
      </c>
      <c r="F2468" s="1">
        <v>819583.0</v>
      </c>
      <c r="G2468" s="1">
        <v>20992.0</v>
      </c>
      <c r="H2468" s="1">
        <v>2161.0</v>
      </c>
      <c r="I2468" s="1">
        <v>4910000.0</v>
      </c>
      <c r="J2468" s="1" t="s">
        <v>2468</v>
      </c>
      <c r="K2468" s="5">
        <f t="shared" si="2"/>
        <v>0.1669211813</v>
      </c>
      <c r="L2468" s="6">
        <f t="shared" si="3"/>
        <v>545</v>
      </c>
      <c r="M2468" s="6">
        <f t="shared" si="4"/>
        <v>1503.822018</v>
      </c>
      <c r="N2468" s="7">
        <f t="shared" si="5"/>
        <v>0.0003062773968</v>
      </c>
      <c r="O2468" s="7"/>
      <c r="P2468" s="4">
        <f t="shared" si="6"/>
        <v>-0.233795345</v>
      </c>
      <c r="Q2468" s="4">
        <f t="shared" si="7"/>
        <v>6</v>
      </c>
      <c r="R2468" s="4">
        <f t="shared" si="8"/>
        <v>0</v>
      </c>
      <c r="S2468" s="4">
        <f t="shared" si="9"/>
        <v>-0.233795345</v>
      </c>
      <c r="T2468" s="4">
        <f t="shared" si="10"/>
        <v>36</v>
      </c>
      <c r="U2468" s="4">
        <f t="shared" si="1"/>
        <v>-0.233795345</v>
      </c>
      <c r="V2468" s="4"/>
    </row>
    <row r="2469">
      <c r="A2469" s="1" t="s">
        <v>8562</v>
      </c>
      <c r="B2469" s="1" t="s">
        <v>8563</v>
      </c>
      <c r="C2469" s="1" t="s">
        <v>8564</v>
      </c>
      <c r="D2469" s="1" t="s">
        <v>8446</v>
      </c>
      <c r="E2469" s="1" t="s">
        <v>8447</v>
      </c>
      <c r="F2469" s="1">
        <v>1409480.0</v>
      </c>
      <c r="G2469" s="1">
        <v>30294.0</v>
      </c>
      <c r="H2469" s="1">
        <v>1651.0</v>
      </c>
      <c r="I2469" s="1">
        <v>4910000.0</v>
      </c>
      <c r="J2469" s="1" t="s">
        <v>2468</v>
      </c>
      <c r="K2469" s="5">
        <f t="shared" si="2"/>
        <v>0.2870631365</v>
      </c>
      <c r="L2469" s="6">
        <f t="shared" si="3"/>
        <v>553</v>
      </c>
      <c r="M2469" s="6">
        <f t="shared" si="4"/>
        <v>2548.788427</v>
      </c>
      <c r="N2469" s="7">
        <f t="shared" si="5"/>
        <v>0.0005191015126</v>
      </c>
      <c r="O2469" s="7"/>
      <c r="P2469" s="4">
        <f t="shared" si="6"/>
        <v>-0.08388982147</v>
      </c>
      <c r="Q2469" s="4">
        <f t="shared" si="7"/>
        <v>5</v>
      </c>
      <c r="R2469" s="4">
        <f t="shared" si="8"/>
        <v>0</v>
      </c>
      <c r="S2469" s="4">
        <f t="shared" si="9"/>
        <v>-0.08388982147</v>
      </c>
      <c r="T2469" s="4">
        <f t="shared" si="10"/>
        <v>27</v>
      </c>
      <c r="U2469" s="4">
        <f t="shared" si="1"/>
        <v>-0.08388982147</v>
      </c>
      <c r="V2469" s="4"/>
    </row>
    <row r="2470">
      <c r="A2470" s="1" t="s">
        <v>8565</v>
      </c>
      <c r="B2470" s="1" t="s">
        <v>8566</v>
      </c>
      <c r="C2470" s="1" t="s">
        <v>8567</v>
      </c>
      <c r="D2470" s="1" t="s">
        <v>8446</v>
      </c>
      <c r="E2470" s="1" t="s">
        <v>8447</v>
      </c>
      <c r="F2470" s="1">
        <v>1828485.0</v>
      </c>
      <c r="G2470" s="1">
        <v>41828.0</v>
      </c>
      <c r="H2470" s="1">
        <v>1854.0</v>
      </c>
      <c r="I2470" s="1">
        <v>4910000.0</v>
      </c>
      <c r="J2470" s="1" t="s">
        <v>2468</v>
      </c>
      <c r="K2470" s="5">
        <f t="shared" si="2"/>
        <v>0.3724002037</v>
      </c>
      <c r="L2470" s="6">
        <f t="shared" si="3"/>
        <v>573</v>
      </c>
      <c r="M2470" s="6">
        <f t="shared" si="4"/>
        <v>3191.073298</v>
      </c>
      <c r="N2470" s="7">
        <f t="shared" si="5"/>
        <v>0.0006499130954</v>
      </c>
      <c r="O2470" s="7"/>
      <c r="P2470" s="4">
        <f t="shared" si="6"/>
        <v>0.008249073273</v>
      </c>
      <c r="Q2470" s="4">
        <f t="shared" si="7"/>
        <v>3</v>
      </c>
      <c r="R2470" s="4">
        <f t="shared" si="8"/>
        <v>0</v>
      </c>
      <c r="S2470" s="4">
        <f t="shared" si="9"/>
        <v>0.008249073273</v>
      </c>
      <c r="T2470" s="4">
        <f t="shared" si="10"/>
        <v>12</v>
      </c>
      <c r="U2470" s="4">
        <f t="shared" si="1"/>
        <v>0.008249073273</v>
      </c>
      <c r="V2470" s="4"/>
    </row>
    <row r="2471">
      <c r="A2471" s="1" t="s">
        <v>8568</v>
      </c>
      <c r="B2471" s="1" t="s">
        <v>8569</v>
      </c>
      <c r="C2471" s="1" t="s">
        <v>8570</v>
      </c>
      <c r="D2471" s="1" t="s">
        <v>8446</v>
      </c>
      <c r="E2471" s="1" t="s">
        <v>8447</v>
      </c>
      <c r="F2471" s="1">
        <v>2251210.0</v>
      </c>
      <c r="G2471" s="1">
        <v>38845.0</v>
      </c>
      <c r="H2471" s="1">
        <v>1279.0</v>
      </c>
      <c r="I2471" s="1">
        <v>4910000.0</v>
      </c>
      <c r="J2471" s="1" t="s">
        <v>2468</v>
      </c>
      <c r="K2471" s="5">
        <f t="shared" si="2"/>
        <v>0.4584949084</v>
      </c>
      <c r="L2471" s="6">
        <f t="shared" si="3"/>
        <v>581</v>
      </c>
      <c r="M2471" s="6">
        <f t="shared" si="4"/>
        <v>3874.716007</v>
      </c>
      <c r="N2471" s="7">
        <f t="shared" si="5"/>
        <v>0.0007891478629</v>
      </c>
      <c r="O2471" s="7"/>
      <c r="P2471" s="4">
        <f t="shared" si="6"/>
        <v>0.1063209512</v>
      </c>
      <c r="Q2471" s="4">
        <f t="shared" si="7"/>
        <v>5</v>
      </c>
      <c r="R2471" s="4">
        <f t="shared" si="8"/>
        <v>0</v>
      </c>
      <c r="S2471" s="4">
        <f t="shared" si="9"/>
        <v>0.1063209512</v>
      </c>
      <c r="T2471" s="4">
        <f t="shared" si="10"/>
        <v>23</v>
      </c>
      <c r="U2471" s="4">
        <f t="shared" si="1"/>
        <v>0.1063209512</v>
      </c>
      <c r="V2471" s="4"/>
    </row>
    <row r="2472">
      <c r="A2472" s="1" t="s">
        <v>8571</v>
      </c>
      <c r="B2472" s="1" t="s">
        <v>8572</v>
      </c>
      <c r="C2472" s="1" t="s">
        <v>8573</v>
      </c>
      <c r="D2472" s="1" t="s">
        <v>8446</v>
      </c>
      <c r="E2472" s="1" t="s">
        <v>8447</v>
      </c>
      <c r="F2472" s="1">
        <v>1773998.0</v>
      </c>
      <c r="G2472" s="1">
        <v>36542.0</v>
      </c>
      <c r="H2472" s="1">
        <v>3135.0</v>
      </c>
      <c r="I2472" s="1">
        <v>4910000.0</v>
      </c>
      <c r="J2472" s="1" t="s">
        <v>2468</v>
      </c>
      <c r="K2472" s="5">
        <f t="shared" si="2"/>
        <v>0.361303055</v>
      </c>
      <c r="L2472" s="6">
        <f t="shared" si="3"/>
        <v>590</v>
      </c>
      <c r="M2472" s="6">
        <f t="shared" si="4"/>
        <v>3006.776271</v>
      </c>
      <c r="N2472" s="7">
        <f t="shared" si="5"/>
        <v>0.0006123780593</v>
      </c>
      <c r="O2472" s="7"/>
      <c r="P2472" s="4">
        <f t="shared" si="6"/>
        <v>-0.01818923338</v>
      </c>
      <c r="Q2472" s="4">
        <f t="shared" si="7"/>
        <v>3</v>
      </c>
      <c r="R2472" s="4">
        <f t="shared" si="8"/>
        <v>0</v>
      </c>
      <c r="S2472" s="4">
        <f t="shared" si="9"/>
        <v>-0.01818923338</v>
      </c>
      <c r="T2472" s="4">
        <f t="shared" si="10"/>
        <v>23</v>
      </c>
      <c r="U2472" s="4">
        <f t="shared" si="1"/>
        <v>-0.01818923338</v>
      </c>
      <c r="V2472" s="4"/>
    </row>
    <row r="2473">
      <c r="A2473" s="1" t="s">
        <v>8574</v>
      </c>
      <c r="B2473" s="1" t="s">
        <v>8575</v>
      </c>
      <c r="C2473" s="1" t="s">
        <v>8576</v>
      </c>
      <c r="D2473" s="1" t="s">
        <v>8446</v>
      </c>
      <c r="E2473" s="1" t="s">
        <v>8447</v>
      </c>
      <c r="F2473" s="1">
        <v>1018406.0</v>
      </c>
      <c r="G2473" s="1">
        <v>20696.0</v>
      </c>
      <c r="H2473" s="1">
        <v>870.0</v>
      </c>
      <c r="I2473" s="1">
        <v>4910000.0</v>
      </c>
      <c r="J2473" s="1" t="s">
        <v>2468</v>
      </c>
      <c r="K2473" s="5">
        <f t="shared" si="2"/>
        <v>0.207414664</v>
      </c>
      <c r="L2473" s="6">
        <f t="shared" si="3"/>
        <v>611</v>
      </c>
      <c r="M2473" s="6">
        <f t="shared" si="4"/>
        <v>1666.785597</v>
      </c>
      <c r="N2473" s="7">
        <f t="shared" si="5"/>
        <v>0.0003394675351</v>
      </c>
      <c r="O2473" s="7"/>
      <c r="P2473" s="4">
        <f t="shared" si="6"/>
        <v>-0.2104174254</v>
      </c>
      <c r="Q2473" s="4">
        <f t="shared" si="7"/>
        <v>7</v>
      </c>
      <c r="R2473" s="4">
        <f t="shared" si="8"/>
        <v>0</v>
      </c>
      <c r="S2473" s="4">
        <f t="shared" si="9"/>
        <v>-0.2104174254</v>
      </c>
      <c r="T2473" s="4">
        <f t="shared" si="10"/>
        <v>30</v>
      </c>
      <c r="U2473" s="4">
        <f t="shared" si="1"/>
        <v>-0.2104174254</v>
      </c>
      <c r="V2473" s="4"/>
    </row>
    <row r="2474">
      <c r="A2474" s="1" t="s">
        <v>8577</v>
      </c>
      <c r="B2474" s="1" t="s">
        <v>8578</v>
      </c>
      <c r="C2474" s="1" t="s">
        <v>8579</v>
      </c>
      <c r="D2474" s="1" t="s">
        <v>8446</v>
      </c>
      <c r="E2474" s="1" t="s">
        <v>8447</v>
      </c>
      <c r="F2474" s="1">
        <v>1405505.0</v>
      </c>
      <c r="G2474" s="1">
        <v>31728.0</v>
      </c>
      <c r="H2474" s="1">
        <v>4604.0</v>
      </c>
      <c r="I2474" s="1">
        <v>4910000.0</v>
      </c>
      <c r="J2474" s="1" t="s">
        <v>2468</v>
      </c>
      <c r="K2474" s="5">
        <f t="shared" si="2"/>
        <v>0.2862535642</v>
      </c>
      <c r="L2474" s="6">
        <f t="shared" si="3"/>
        <v>625</v>
      </c>
      <c r="M2474" s="6">
        <f t="shared" si="4"/>
        <v>2248.808</v>
      </c>
      <c r="N2474" s="7">
        <f t="shared" si="5"/>
        <v>0.0004580057026</v>
      </c>
      <c r="O2474" s="7"/>
      <c r="P2474" s="4">
        <f t="shared" si="6"/>
        <v>-0.1269234755</v>
      </c>
      <c r="Q2474" s="4">
        <f t="shared" si="7"/>
        <v>6</v>
      </c>
      <c r="R2474" s="4">
        <f t="shared" si="8"/>
        <v>0</v>
      </c>
      <c r="S2474" s="4">
        <f t="shared" si="9"/>
        <v>-0.1269234755</v>
      </c>
      <c r="T2474" s="4">
        <f t="shared" si="10"/>
        <v>32</v>
      </c>
      <c r="U2474" s="4">
        <f t="shared" si="1"/>
        <v>-0.1269234755</v>
      </c>
      <c r="V2474" s="4"/>
    </row>
    <row r="2475">
      <c r="A2475" s="1" t="s">
        <v>8580</v>
      </c>
      <c r="B2475" s="1" t="s">
        <v>8581</v>
      </c>
      <c r="C2475" s="1" t="s">
        <v>8582</v>
      </c>
      <c r="D2475" s="1" t="s">
        <v>8446</v>
      </c>
      <c r="E2475" s="1" t="s">
        <v>8447</v>
      </c>
      <c r="F2475" s="1">
        <v>3159186.0</v>
      </c>
      <c r="G2475" s="1">
        <v>75983.0</v>
      </c>
      <c r="H2475" s="1">
        <v>1568.0</v>
      </c>
      <c r="I2475" s="1">
        <v>4910000.0</v>
      </c>
      <c r="J2475" s="1" t="s">
        <v>2468</v>
      </c>
      <c r="K2475" s="5">
        <f t="shared" si="2"/>
        <v>0.6434187373</v>
      </c>
      <c r="L2475" s="6">
        <f t="shared" si="3"/>
        <v>645</v>
      </c>
      <c r="M2475" s="6">
        <f t="shared" si="4"/>
        <v>4897.962791</v>
      </c>
      <c r="N2475" s="7">
        <f t="shared" si="5"/>
        <v>0.0009975484299</v>
      </c>
      <c r="O2475" s="7"/>
      <c r="P2475" s="4">
        <f t="shared" si="6"/>
        <v>0.2531106887</v>
      </c>
      <c r="Q2475" s="4">
        <f t="shared" si="7"/>
        <v>4</v>
      </c>
      <c r="R2475" s="4">
        <f t="shared" si="8"/>
        <v>0</v>
      </c>
      <c r="S2475" s="4">
        <f t="shared" si="9"/>
        <v>0.2531106887</v>
      </c>
      <c r="T2475" s="4">
        <f t="shared" si="10"/>
        <v>26</v>
      </c>
      <c r="U2475" s="4">
        <f t="shared" si="1"/>
        <v>0.2531106887</v>
      </c>
      <c r="V2475" s="4"/>
    </row>
    <row r="2476">
      <c r="A2476" s="1" t="s">
        <v>8583</v>
      </c>
      <c r="B2476" s="1" t="s">
        <v>8584</v>
      </c>
      <c r="C2476" s="1" t="s">
        <v>8585</v>
      </c>
      <c r="D2476" s="1" t="s">
        <v>8446</v>
      </c>
      <c r="E2476" s="1" t="s">
        <v>8447</v>
      </c>
      <c r="F2476" s="1">
        <v>1014862.0</v>
      </c>
      <c r="G2476" s="1">
        <v>23712.0</v>
      </c>
      <c r="H2476" s="1">
        <v>1527.0</v>
      </c>
      <c r="I2476" s="1">
        <v>4910000.0</v>
      </c>
      <c r="J2476" s="1" t="s">
        <v>2468</v>
      </c>
      <c r="K2476" s="5">
        <f t="shared" si="2"/>
        <v>0.2066928717</v>
      </c>
      <c r="L2476" s="6">
        <f t="shared" si="3"/>
        <v>658</v>
      </c>
      <c r="M2476" s="6">
        <f t="shared" si="4"/>
        <v>1542.343465</v>
      </c>
      <c r="N2476" s="7">
        <f t="shared" si="5"/>
        <v>0.0003141229053</v>
      </c>
      <c r="O2476" s="7"/>
      <c r="P2476" s="4">
        <f t="shared" si="6"/>
        <v>-0.2282692557</v>
      </c>
      <c r="Q2476" s="4">
        <f t="shared" si="7"/>
        <v>5</v>
      </c>
      <c r="R2476" s="4">
        <f t="shared" si="8"/>
        <v>0</v>
      </c>
      <c r="S2476" s="4">
        <f t="shared" si="9"/>
        <v>-0.2282692557</v>
      </c>
      <c r="T2476" s="4">
        <f t="shared" si="10"/>
        <v>30</v>
      </c>
      <c r="U2476" s="4">
        <f t="shared" si="1"/>
        <v>-0.2282692557</v>
      </c>
      <c r="V2476" s="4"/>
    </row>
    <row r="2477">
      <c r="A2477" s="1" t="s">
        <v>8586</v>
      </c>
      <c r="B2477" s="1" t="s">
        <v>8587</v>
      </c>
      <c r="C2477" s="1" t="s">
        <v>8588</v>
      </c>
      <c r="D2477" s="1" t="s">
        <v>8446</v>
      </c>
      <c r="E2477" s="1" t="s">
        <v>8447</v>
      </c>
      <c r="F2477" s="1">
        <v>1672342.0</v>
      </c>
      <c r="G2477" s="1">
        <v>33546.0</v>
      </c>
      <c r="H2477" s="1">
        <v>2357.0</v>
      </c>
      <c r="I2477" s="1">
        <v>4910000.0</v>
      </c>
      <c r="J2477" s="1" t="s">
        <v>2468</v>
      </c>
      <c r="K2477" s="5">
        <f t="shared" si="2"/>
        <v>0.3405991853</v>
      </c>
      <c r="L2477" s="6">
        <f t="shared" si="3"/>
        <v>672</v>
      </c>
      <c r="M2477" s="6">
        <f t="shared" si="4"/>
        <v>2488.604167</v>
      </c>
      <c r="N2477" s="7">
        <f t="shared" si="5"/>
        <v>0.0005068440258</v>
      </c>
      <c r="O2477" s="7"/>
      <c r="P2477" s="4">
        <f t="shared" si="6"/>
        <v>-0.09252354686</v>
      </c>
      <c r="Q2477" s="4">
        <f t="shared" si="7"/>
        <v>8</v>
      </c>
      <c r="R2477" s="4">
        <f t="shared" si="8"/>
        <v>0</v>
      </c>
      <c r="S2477" s="4">
        <f t="shared" si="9"/>
        <v>-0.09252354686</v>
      </c>
      <c r="T2477" s="4">
        <f t="shared" si="10"/>
        <v>40</v>
      </c>
      <c r="U2477" s="4">
        <f t="shared" si="1"/>
        <v>-0.09252354686</v>
      </c>
      <c r="V2477" s="4"/>
    </row>
    <row r="2478">
      <c r="A2478" s="1" t="s">
        <v>8589</v>
      </c>
      <c r="B2478" s="1" t="s">
        <v>8590</v>
      </c>
      <c r="C2478" s="1" t="s">
        <v>8591</v>
      </c>
      <c r="D2478" s="1" t="s">
        <v>8446</v>
      </c>
      <c r="E2478" s="1" t="s">
        <v>8447</v>
      </c>
      <c r="F2478" s="1">
        <v>1146301.0</v>
      </c>
      <c r="G2478" s="1">
        <v>22787.0</v>
      </c>
      <c r="H2478" s="1">
        <v>1368.0</v>
      </c>
      <c r="I2478" s="1">
        <v>4910000.0</v>
      </c>
      <c r="J2478" s="1" t="s">
        <v>2468</v>
      </c>
      <c r="K2478" s="5">
        <f t="shared" si="2"/>
        <v>0.2334625255</v>
      </c>
      <c r="L2478" s="6">
        <f t="shared" si="3"/>
        <v>681</v>
      </c>
      <c r="M2478" s="6">
        <f t="shared" si="4"/>
        <v>1683.26138</v>
      </c>
      <c r="N2478" s="7">
        <f t="shared" si="5"/>
        <v>0.0003428230917</v>
      </c>
      <c r="O2478" s="7"/>
      <c r="P2478" s="4">
        <f t="shared" si="6"/>
        <v>-0.2080538941</v>
      </c>
      <c r="Q2478" s="4">
        <f t="shared" si="7"/>
        <v>4</v>
      </c>
      <c r="R2478" s="4">
        <f t="shared" si="8"/>
        <v>0</v>
      </c>
      <c r="S2478" s="4">
        <f t="shared" si="9"/>
        <v>-0.2080538941</v>
      </c>
      <c r="T2478" s="4">
        <f t="shared" si="10"/>
        <v>21</v>
      </c>
      <c r="U2478" s="4">
        <f t="shared" si="1"/>
        <v>-0.2080538941</v>
      </c>
      <c r="V2478" s="4"/>
    </row>
    <row r="2479">
      <c r="A2479" s="1" t="s">
        <v>8592</v>
      </c>
      <c r="B2479" s="1" t="s">
        <v>8593</v>
      </c>
      <c r="C2479" s="1" t="s">
        <v>8594</v>
      </c>
      <c r="D2479" s="1" t="s">
        <v>8446</v>
      </c>
      <c r="E2479" s="1" t="s">
        <v>8447</v>
      </c>
      <c r="F2479" s="1">
        <v>2003835.0</v>
      </c>
      <c r="G2479" s="1">
        <v>39128.0</v>
      </c>
      <c r="H2479" s="1">
        <v>2184.0</v>
      </c>
      <c r="I2479" s="1">
        <v>4910000.0</v>
      </c>
      <c r="J2479" s="1" t="s">
        <v>2468</v>
      </c>
      <c r="K2479" s="5">
        <f t="shared" si="2"/>
        <v>0.4081130346</v>
      </c>
      <c r="L2479" s="6">
        <f t="shared" si="3"/>
        <v>695</v>
      </c>
      <c r="M2479" s="6">
        <f t="shared" si="4"/>
        <v>2883.215827</v>
      </c>
      <c r="N2479" s="7">
        <f t="shared" si="5"/>
        <v>0.0005872129995</v>
      </c>
      <c r="O2479" s="7"/>
      <c r="P2479" s="4">
        <f t="shared" si="6"/>
        <v>-0.03591458117</v>
      </c>
      <c r="Q2479" s="4">
        <f t="shared" si="7"/>
        <v>3</v>
      </c>
      <c r="R2479" s="4">
        <f t="shared" si="8"/>
        <v>0</v>
      </c>
      <c r="S2479" s="4">
        <f t="shared" si="9"/>
        <v>-0.03591458117</v>
      </c>
      <c r="T2479" s="4">
        <f t="shared" si="10"/>
        <v>23</v>
      </c>
      <c r="U2479" s="4">
        <f t="shared" si="1"/>
        <v>-0.03591458117</v>
      </c>
      <c r="V2479" s="4"/>
    </row>
    <row r="2480">
      <c r="A2480" s="1" t="s">
        <v>8595</v>
      </c>
      <c r="B2480" s="1" t="s">
        <v>8596</v>
      </c>
      <c r="C2480" s="1" t="s">
        <v>8597</v>
      </c>
      <c r="D2480" s="1" t="s">
        <v>8446</v>
      </c>
      <c r="E2480" s="1" t="s">
        <v>8447</v>
      </c>
      <c r="F2480" s="1">
        <v>1516237.0</v>
      </c>
      <c r="G2480" s="1">
        <v>29179.0</v>
      </c>
      <c r="H2480" s="1">
        <v>2050.0</v>
      </c>
      <c r="I2480" s="1">
        <v>4910000.0</v>
      </c>
      <c r="J2480" s="1" t="s">
        <v>2468</v>
      </c>
      <c r="K2480" s="5">
        <f t="shared" si="2"/>
        <v>0.3088059063</v>
      </c>
      <c r="L2480" s="6">
        <f t="shared" si="3"/>
        <v>709</v>
      </c>
      <c r="M2480" s="6">
        <f t="shared" si="4"/>
        <v>2138.557123</v>
      </c>
      <c r="N2480" s="7">
        <f t="shared" si="5"/>
        <v>0.0004355513488</v>
      </c>
      <c r="O2480" s="7"/>
      <c r="P2480" s="4">
        <f t="shared" si="6"/>
        <v>-0.1427395011</v>
      </c>
      <c r="Q2480" s="4">
        <f t="shared" si="7"/>
        <v>9</v>
      </c>
      <c r="R2480" s="4">
        <f t="shared" si="8"/>
        <v>0</v>
      </c>
      <c r="S2480" s="4">
        <f t="shared" si="9"/>
        <v>-0.1427395011</v>
      </c>
      <c r="T2480" s="4">
        <f t="shared" si="10"/>
        <v>43</v>
      </c>
      <c r="U2480" s="4">
        <f t="shared" si="1"/>
        <v>-0.1427395011</v>
      </c>
      <c r="V2480" s="4"/>
    </row>
    <row r="2481">
      <c r="A2481" s="1" t="s">
        <v>8598</v>
      </c>
      <c r="B2481" s="1" t="s">
        <v>8599</v>
      </c>
      <c r="C2481" s="1" t="s">
        <v>8600</v>
      </c>
      <c r="D2481" s="1" t="s">
        <v>8446</v>
      </c>
      <c r="E2481" s="1" t="s">
        <v>8447</v>
      </c>
      <c r="F2481" s="1">
        <v>1128426.0</v>
      </c>
      <c r="G2481" s="1">
        <v>30102.0</v>
      </c>
      <c r="H2481" s="1">
        <v>2347.0</v>
      </c>
      <c r="I2481" s="1">
        <v>4910000.0</v>
      </c>
      <c r="J2481" s="1" t="s">
        <v>2468</v>
      </c>
      <c r="K2481" s="5">
        <f t="shared" si="2"/>
        <v>0.2298219959</v>
      </c>
      <c r="L2481" s="6">
        <f t="shared" si="3"/>
        <v>728</v>
      </c>
      <c r="M2481" s="6">
        <f t="shared" si="4"/>
        <v>1550.035714</v>
      </c>
      <c r="N2481" s="7">
        <f t="shared" si="5"/>
        <v>0.0003156895548</v>
      </c>
      <c r="O2481" s="7"/>
      <c r="P2481" s="4">
        <f t="shared" si="6"/>
        <v>-0.2271657651</v>
      </c>
      <c r="Q2481" s="4">
        <f t="shared" si="7"/>
        <v>6</v>
      </c>
      <c r="R2481" s="4">
        <f t="shared" si="8"/>
        <v>0</v>
      </c>
      <c r="S2481" s="4">
        <f t="shared" si="9"/>
        <v>-0.2271657651</v>
      </c>
      <c r="T2481" s="4">
        <f t="shared" si="10"/>
        <v>34</v>
      </c>
      <c r="U2481" s="4">
        <f t="shared" si="1"/>
        <v>-0.2271657651</v>
      </c>
      <c r="V2481" s="4"/>
    </row>
    <row r="2482">
      <c r="A2482" s="1" t="s">
        <v>8601</v>
      </c>
      <c r="B2482" s="1" t="s">
        <v>8602</v>
      </c>
      <c r="C2482" s="1" t="s">
        <v>8603</v>
      </c>
      <c r="D2482" s="1" t="s">
        <v>8446</v>
      </c>
      <c r="E2482" s="1" t="s">
        <v>8447</v>
      </c>
      <c r="F2482" s="1">
        <v>771751.0</v>
      </c>
      <c r="G2482" s="1">
        <v>19906.0</v>
      </c>
      <c r="H2482" s="1">
        <v>1557.0</v>
      </c>
      <c r="I2482" s="1">
        <v>4910000.0</v>
      </c>
      <c r="J2482" s="1" t="s">
        <v>2468</v>
      </c>
      <c r="K2482" s="5">
        <f t="shared" si="2"/>
        <v>0.1571794297</v>
      </c>
      <c r="L2482" s="6">
        <f t="shared" si="3"/>
        <v>742</v>
      </c>
      <c r="M2482" s="6">
        <f t="shared" si="4"/>
        <v>1040.095687</v>
      </c>
      <c r="N2482" s="7">
        <f t="shared" si="5"/>
        <v>0.0002118321155</v>
      </c>
      <c r="O2482" s="7"/>
      <c r="P2482" s="4">
        <f t="shared" si="6"/>
        <v>-0.3003191469</v>
      </c>
      <c r="Q2482" s="4">
        <f t="shared" si="7"/>
        <v>5</v>
      </c>
      <c r="R2482" s="4">
        <f t="shared" si="8"/>
        <v>0</v>
      </c>
      <c r="S2482" s="4">
        <f t="shared" si="9"/>
        <v>-0.3003191469</v>
      </c>
      <c r="T2482" s="4">
        <f t="shared" si="10"/>
        <v>22</v>
      </c>
      <c r="U2482" s="4">
        <f t="shared" si="1"/>
        <v>-0.3003191469</v>
      </c>
      <c r="V2482" s="4"/>
    </row>
    <row r="2483">
      <c r="A2483" s="1" t="s">
        <v>8604</v>
      </c>
      <c r="B2483" s="1" t="s">
        <v>8605</v>
      </c>
      <c r="C2483" s="1" t="s">
        <v>8606</v>
      </c>
      <c r="D2483" s="1" t="s">
        <v>8446</v>
      </c>
      <c r="E2483" s="1" t="s">
        <v>8447</v>
      </c>
      <c r="F2483" s="1">
        <v>1924848.0</v>
      </c>
      <c r="G2483" s="1">
        <v>47385.0</v>
      </c>
      <c r="H2483" s="1">
        <v>3110.0</v>
      </c>
      <c r="I2483" s="1">
        <v>4910000.0</v>
      </c>
      <c r="J2483" s="1" t="s">
        <v>2468</v>
      </c>
      <c r="K2483" s="5">
        <f t="shared" si="2"/>
        <v>0.3920260692</v>
      </c>
      <c r="L2483" s="6">
        <f t="shared" si="3"/>
        <v>756</v>
      </c>
      <c r="M2483" s="6">
        <f t="shared" si="4"/>
        <v>2546.095238</v>
      </c>
      <c r="N2483" s="7">
        <f t="shared" si="5"/>
        <v>0.0005185530016</v>
      </c>
      <c r="O2483" s="7"/>
      <c r="P2483" s="4">
        <f t="shared" si="6"/>
        <v>-0.08427617251</v>
      </c>
      <c r="Q2483" s="4">
        <f t="shared" si="7"/>
        <v>6</v>
      </c>
      <c r="R2483" s="4">
        <f t="shared" si="8"/>
        <v>0</v>
      </c>
      <c r="S2483" s="4">
        <f t="shared" si="9"/>
        <v>-0.08427617251</v>
      </c>
      <c r="T2483" s="4">
        <f t="shared" si="10"/>
        <v>36</v>
      </c>
      <c r="U2483" s="4">
        <f t="shared" si="1"/>
        <v>-0.08427617251</v>
      </c>
      <c r="V2483" s="4"/>
    </row>
    <row r="2484">
      <c r="A2484" s="1" t="s">
        <v>8607</v>
      </c>
      <c r="B2484" s="1" t="s">
        <v>8608</v>
      </c>
      <c r="C2484" s="1" t="s">
        <v>8609</v>
      </c>
      <c r="D2484" s="1" t="s">
        <v>8446</v>
      </c>
      <c r="E2484" s="1" t="s">
        <v>8447</v>
      </c>
      <c r="F2484" s="1">
        <v>2426857.0</v>
      </c>
      <c r="G2484" s="1">
        <v>58801.0</v>
      </c>
      <c r="H2484" s="1">
        <v>5091.0</v>
      </c>
      <c r="I2484" s="1">
        <v>4910000.0</v>
      </c>
      <c r="J2484" s="1" t="s">
        <v>2468</v>
      </c>
      <c r="K2484" s="5">
        <f t="shared" si="2"/>
        <v>0.4942682281</v>
      </c>
      <c r="L2484" s="6">
        <f t="shared" si="3"/>
        <v>771</v>
      </c>
      <c r="M2484" s="6">
        <f t="shared" si="4"/>
        <v>3147.674449</v>
      </c>
      <c r="N2484" s="7">
        <f t="shared" si="5"/>
        <v>0.0006410742258</v>
      </c>
      <c r="O2484" s="7"/>
      <c r="P2484" s="4">
        <f t="shared" si="6"/>
        <v>0.002023296803</v>
      </c>
      <c r="Q2484" s="4">
        <f t="shared" si="7"/>
        <v>7</v>
      </c>
      <c r="R2484" s="4">
        <f t="shared" si="8"/>
        <v>0</v>
      </c>
      <c r="S2484" s="4">
        <f t="shared" si="9"/>
        <v>0.002023296803</v>
      </c>
      <c r="T2484" s="4">
        <f t="shared" si="10"/>
        <v>27</v>
      </c>
      <c r="U2484" s="4">
        <f t="shared" si="1"/>
        <v>0.002023296803</v>
      </c>
      <c r="V2484" s="4"/>
    </row>
    <row r="2485">
      <c r="A2485" s="1" t="s">
        <v>8610</v>
      </c>
      <c r="B2485" s="1" t="s">
        <v>8611</v>
      </c>
      <c r="C2485" s="1" t="s">
        <v>8612</v>
      </c>
      <c r="D2485" s="1" t="s">
        <v>8446</v>
      </c>
      <c r="E2485" s="1" t="s">
        <v>8447</v>
      </c>
      <c r="F2485" s="1">
        <v>3759319.0</v>
      </c>
      <c r="G2485" s="1">
        <v>51710.0</v>
      </c>
      <c r="H2485" s="1">
        <v>3709.0</v>
      </c>
      <c r="I2485" s="1">
        <v>4910000.0</v>
      </c>
      <c r="J2485" s="1" t="s">
        <v>2468</v>
      </c>
      <c r="K2485" s="5">
        <f t="shared" si="2"/>
        <v>0.7656454175</v>
      </c>
      <c r="L2485" s="6">
        <f t="shared" si="3"/>
        <v>778</v>
      </c>
      <c r="M2485" s="6">
        <f t="shared" si="4"/>
        <v>4832.029563</v>
      </c>
      <c r="N2485" s="7">
        <f t="shared" si="5"/>
        <v>0.0009841200739</v>
      </c>
      <c r="O2485" s="7"/>
      <c r="P2485" s="4">
        <f t="shared" si="6"/>
        <v>0.2436522459</v>
      </c>
      <c r="Q2485" s="4">
        <f t="shared" si="7"/>
        <v>6</v>
      </c>
      <c r="R2485" s="4">
        <f t="shared" si="8"/>
        <v>0</v>
      </c>
      <c r="S2485" s="4">
        <f t="shared" si="9"/>
        <v>0.2436522459</v>
      </c>
      <c r="T2485" s="4">
        <f t="shared" si="10"/>
        <v>34</v>
      </c>
      <c r="U2485" s="4">
        <f t="shared" si="1"/>
        <v>0.2436522459</v>
      </c>
      <c r="V2485" s="4"/>
    </row>
    <row r="2486">
      <c r="A2486" s="1" t="s">
        <v>8613</v>
      </c>
      <c r="B2486" s="1" t="s">
        <v>8614</v>
      </c>
      <c r="C2486" s="1" t="s">
        <v>8615</v>
      </c>
      <c r="D2486" s="1" t="s">
        <v>8446</v>
      </c>
      <c r="E2486" s="1" t="s">
        <v>8447</v>
      </c>
      <c r="F2486" s="1">
        <v>2331248.0</v>
      </c>
      <c r="G2486" s="1">
        <v>50356.0</v>
      </c>
      <c r="H2486" s="1">
        <v>3285.0</v>
      </c>
      <c r="I2486" s="1">
        <v>4910000.0</v>
      </c>
      <c r="J2486" s="1" t="s">
        <v>2468</v>
      </c>
      <c r="K2486" s="5">
        <f t="shared" si="2"/>
        <v>0.4747959267</v>
      </c>
      <c r="L2486" s="6">
        <f t="shared" si="3"/>
        <v>798</v>
      </c>
      <c r="M2486" s="6">
        <f t="shared" si="4"/>
        <v>2921.363409</v>
      </c>
      <c r="N2486" s="7">
        <f t="shared" si="5"/>
        <v>0.0005949823643</v>
      </c>
      <c r="O2486" s="7"/>
      <c r="P2486" s="4">
        <f t="shared" si="6"/>
        <v>-0.03044212475</v>
      </c>
      <c r="Q2486" s="4">
        <f t="shared" si="7"/>
        <v>5</v>
      </c>
      <c r="R2486" s="4">
        <f t="shared" si="8"/>
        <v>0</v>
      </c>
      <c r="S2486" s="4">
        <f t="shared" si="9"/>
        <v>-0.03044212475</v>
      </c>
      <c r="T2486" s="4">
        <f t="shared" si="10"/>
        <v>22</v>
      </c>
      <c r="U2486" s="4">
        <f t="shared" si="1"/>
        <v>-0.03044212475</v>
      </c>
      <c r="V2486" s="4"/>
    </row>
    <row r="2487">
      <c r="A2487" s="1" t="s">
        <v>8616</v>
      </c>
      <c r="B2487" s="1" t="s">
        <v>8617</v>
      </c>
      <c r="C2487" s="1" t="s">
        <v>8618</v>
      </c>
      <c r="D2487" s="1" t="s">
        <v>8446</v>
      </c>
      <c r="E2487" s="1" t="s">
        <v>8447</v>
      </c>
      <c r="F2487" s="1">
        <v>1975934.0</v>
      </c>
      <c r="G2487" s="1">
        <v>38040.0</v>
      </c>
      <c r="H2487" s="1">
        <v>2680.0</v>
      </c>
      <c r="I2487" s="1">
        <v>4910000.0</v>
      </c>
      <c r="J2487" s="1" t="s">
        <v>2468</v>
      </c>
      <c r="K2487" s="5">
        <f t="shared" si="2"/>
        <v>0.4024305499</v>
      </c>
      <c r="L2487" s="6">
        <f t="shared" si="3"/>
        <v>814</v>
      </c>
      <c r="M2487" s="6">
        <f t="shared" si="4"/>
        <v>2427.437346</v>
      </c>
      <c r="N2487" s="7">
        <f t="shared" si="5"/>
        <v>0.0004943864249</v>
      </c>
      <c r="O2487" s="7"/>
      <c r="P2487" s="4">
        <f t="shared" si="6"/>
        <v>-0.1012982253</v>
      </c>
      <c r="Q2487" s="4">
        <f t="shared" si="7"/>
        <v>6</v>
      </c>
      <c r="R2487" s="4">
        <f t="shared" si="8"/>
        <v>0</v>
      </c>
      <c r="S2487" s="4">
        <f t="shared" si="9"/>
        <v>-0.1012982253</v>
      </c>
      <c r="T2487" s="4">
        <f t="shared" si="10"/>
        <v>27</v>
      </c>
      <c r="U2487" s="4">
        <f t="shared" si="1"/>
        <v>-0.1012982253</v>
      </c>
      <c r="V2487" s="4"/>
    </row>
    <row r="2488">
      <c r="A2488" s="1" t="s">
        <v>8619</v>
      </c>
      <c r="B2488" s="1" t="s">
        <v>8620</v>
      </c>
      <c r="C2488" s="1" t="s">
        <v>8621</v>
      </c>
      <c r="D2488" s="1" t="s">
        <v>8446</v>
      </c>
      <c r="E2488" s="1" t="s">
        <v>8447</v>
      </c>
      <c r="F2488" s="1">
        <v>1863055.0</v>
      </c>
      <c r="G2488" s="1">
        <v>43601.0</v>
      </c>
      <c r="H2488" s="1">
        <v>1764.0</v>
      </c>
      <c r="I2488" s="1">
        <v>4910000.0</v>
      </c>
      <c r="J2488" s="1" t="s">
        <v>2468</v>
      </c>
      <c r="K2488" s="5">
        <f t="shared" si="2"/>
        <v>0.3794409369</v>
      </c>
      <c r="L2488" s="6">
        <f t="shared" si="3"/>
        <v>821</v>
      </c>
      <c r="M2488" s="6">
        <f t="shared" si="4"/>
        <v>2269.250914</v>
      </c>
      <c r="N2488" s="7">
        <f t="shared" si="5"/>
        <v>0.0004621692288</v>
      </c>
      <c r="O2488" s="7"/>
      <c r="P2488" s="4">
        <f t="shared" si="6"/>
        <v>-0.12399084</v>
      </c>
      <c r="Q2488" s="4">
        <f t="shared" si="7"/>
        <v>5</v>
      </c>
      <c r="R2488" s="4">
        <f t="shared" si="8"/>
        <v>0</v>
      </c>
      <c r="S2488" s="4">
        <f t="shared" si="9"/>
        <v>-0.12399084</v>
      </c>
      <c r="T2488" s="4">
        <f t="shared" si="10"/>
        <v>32</v>
      </c>
      <c r="U2488" s="4">
        <f t="shared" si="1"/>
        <v>-0.12399084</v>
      </c>
      <c r="V2488" s="4"/>
    </row>
    <row r="2489">
      <c r="A2489" s="1" t="s">
        <v>8622</v>
      </c>
      <c r="B2489" s="1" t="s">
        <v>8623</v>
      </c>
      <c r="C2489" s="1" t="s">
        <v>8624</v>
      </c>
      <c r="D2489" s="1" t="s">
        <v>8446</v>
      </c>
      <c r="E2489" s="1" t="s">
        <v>8447</v>
      </c>
      <c r="F2489" s="1">
        <v>1369513.0</v>
      </c>
      <c r="G2489" s="1">
        <v>25745.0</v>
      </c>
      <c r="H2489" s="1">
        <v>2123.0</v>
      </c>
      <c r="I2489" s="1">
        <v>4910000.0</v>
      </c>
      <c r="J2489" s="1" t="s">
        <v>2468</v>
      </c>
      <c r="K2489" s="5">
        <f t="shared" si="2"/>
        <v>0.2789232179</v>
      </c>
      <c r="L2489" s="6">
        <f t="shared" si="3"/>
        <v>839</v>
      </c>
      <c r="M2489" s="6">
        <f t="shared" si="4"/>
        <v>1632.315852</v>
      </c>
      <c r="N2489" s="7">
        <f t="shared" si="5"/>
        <v>0.0003324472204</v>
      </c>
      <c r="O2489" s="7"/>
      <c r="P2489" s="4">
        <f t="shared" si="6"/>
        <v>-0.2153622783</v>
      </c>
      <c r="Q2489" s="4">
        <f t="shared" si="7"/>
        <v>8</v>
      </c>
      <c r="R2489" s="4">
        <f t="shared" si="8"/>
        <v>0</v>
      </c>
      <c r="S2489" s="4">
        <f t="shared" si="9"/>
        <v>-0.2153622783</v>
      </c>
      <c r="T2489" s="4">
        <f t="shared" si="10"/>
        <v>47</v>
      </c>
      <c r="U2489" s="4">
        <f t="shared" si="1"/>
        <v>-0.2153622783</v>
      </c>
      <c r="V2489" s="4"/>
    </row>
    <row r="2490">
      <c r="A2490" s="1" t="s">
        <v>8625</v>
      </c>
      <c r="B2490" s="1" t="s">
        <v>8626</v>
      </c>
      <c r="C2490" s="1" t="s">
        <v>8627</v>
      </c>
      <c r="D2490" s="1" t="s">
        <v>8446</v>
      </c>
      <c r="E2490" s="1" t="s">
        <v>8447</v>
      </c>
      <c r="F2490" s="1">
        <v>2614965.0</v>
      </c>
      <c r="G2490" s="1">
        <v>56957.0</v>
      </c>
      <c r="H2490" s="1">
        <v>2415.0</v>
      </c>
      <c r="I2490" s="1">
        <v>4910000.0</v>
      </c>
      <c r="J2490" s="1" t="s">
        <v>2468</v>
      </c>
      <c r="K2490" s="5">
        <f t="shared" si="2"/>
        <v>0.5325794297</v>
      </c>
      <c r="L2490" s="6">
        <f t="shared" si="3"/>
        <v>849</v>
      </c>
      <c r="M2490" s="6">
        <f t="shared" si="4"/>
        <v>3080.053004</v>
      </c>
      <c r="N2490" s="7">
        <f t="shared" si="5"/>
        <v>0.0006273020374</v>
      </c>
      <c r="O2490" s="7"/>
      <c r="P2490" s="4">
        <f t="shared" si="6"/>
        <v>-0.00767732904</v>
      </c>
      <c r="Q2490" s="4">
        <f t="shared" si="7"/>
        <v>5</v>
      </c>
      <c r="R2490" s="4">
        <f t="shared" si="8"/>
        <v>0</v>
      </c>
      <c r="S2490" s="4">
        <f t="shared" si="9"/>
        <v>-0.00767732904</v>
      </c>
      <c r="T2490" s="4">
        <f t="shared" si="10"/>
        <v>30</v>
      </c>
      <c r="U2490" s="4">
        <f t="shared" si="1"/>
        <v>-0.00767732904</v>
      </c>
      <c r="V2490" s="4"/>
    </row>
    <row r="2491">
      <c r="A2491" s="1" t="s">
        <v>8628</v>
      </c>
      <c r="B2491" s="1" t="s">
        <v>8629</v>
      </c>
      <c r="C2491" s="1" t="s">
        <v>8630</v>
      </c>
      <c r="D2491" s="1" t="s">
        <v>8446</v>
      </c>
      <c r="E2491" s="1" t="s">
        <v>8447</v>
      </c>
      <c r="F2491" s="1">
        <v>2601163.0</v>
      </c>
      <c r="G2491" s="1">
        <v>47184.0</v>
      </c>
      <c r="H2491" s="1">
        <v>1174.0</v>
      </c>
      <c r="I2491" s="1">
        <v>4910000.0</v>
      </c>
      <c r="J2491" s="1" t="s">
        <v>2468</v>
      </c>
      <c r="K2491" s="5">
        <f t="shared" si="2"/>
        <v>0.5297684318</v>
      </c>
      <c r="L2491" s="6">
        <f t="shared" si="3"/>
        <v>864</v>
      </c>
      <c r="M2491" s="6">
        <f t="shared" si="4"/>
        <v>3010.605324</v>
      </c>
      <c r="N2491" s="7">
        <f t="shared" si="5"/>
        <v>0.0006131579071</v>
      </c>
      <c r="O2491" s="7"/>
      <c r="P2491" s="4">
        <f t="shared" si="6"/>
        <v>-0.01763993708</v>
      </c>
      <c r="Q2491" s="4">
        <f t="shared" si="7"/>
        <v>5</v>
      </c>
      <c r="R2491" s="4">
        <f t="shared" si="8"/>
        <v>0</v>
      </c>
      <c r="S2491" s="4">
        <f t="shared" si="9"/>
        <v>-0.01763993708</v>
      </c>
      <c r="T2491" s="4">
        <f t="shared" si="10"/>
        <v>19</v>
      </c>
      <c r="U2491" s="4">
        <f t="shared" si="1"/>
        <v>-0.01763993708</v>
      </c>
      <c r="V2491" s="4"/>
    </row>
    <row r="2492">
      <c r="A2492" s="1" t="s">
        <v>8631</v>
      </c>
      <c r="B2492" s="1" t="s">
        <v>8632</v>
      </c>
      <c r="C2492" s="1" t="s">
        <v>8633</v>
      </c>
      <c r="D2492" s="1" t="s">
        <v>8446</v>
      </c>
      <c r="E2492" s="1" t="s">
        <v>8447</v>
      </c>
      <c r="F2492" s="1">
        <v>2736457.0</v>
      </c>
      <c r="G2492" s="1">
        <v>73274.0</v>
      </c>
      <c r="H2492" s="1">
        <v>7612.0</v>
      </c>
      <c r="I2492" s="1">
        <v>4910000.0</v>
      </c>
      <c r="J2492" s="1" t="s">
        <v>2468</v>
      </c>
      <c r="K2492" s="5">
        <f t="shared" si="2"/>
        <v>0.5573232179</v>
      </c>
      <c r="L2492" s="6">
        <f t="shared" si="3"/>
        <v>881</v>
      </c>
      <c r="M2492" s="6">
        <f t="shared" si="4"/>
        <v>3106.08059</v>
      </c>
      <c r="N2492" s="7">
        <f t="shared" si="5"/>
        <v>0.0006326029715</v>
      </c>
      <c r="O2492" s="7"/>
      <c r="P2492" s="4">
        <f t="shared" si="6"/>
        <v>-0.003943544893</v>
      </c>
      <c r="Q2492" s="4">
        <f t="shared" si="7"/>
        <v>5</v>
      </c>
      <c r="R2492" s="4">
        <f t="shared" si="8"/>
        <v>0</v>
      </c>
      <c r="S2492" s="4">
        <f t="shared" si="9"/>
        <v>-0.003943544893</v>
      </c>
      <c r="T2492" s="4">
        <f t="shared" si="10"/>
        <v>15</v>
      </c>
      <c r="U2492" s="4">
        <f t="shared" si="1"/>
        <v>-0.003943544893</v>
      </c>
      <c r="V2492" s="4"/>
    </row>
    <row r="2493">
      <c r="A2493" s="1" t="s">
        <v>8634</v>
      </c>
      <c r="B2493" s="1" t="s">
        <v>8635</v>
      </c>
      <c r="C2493" s="1" t="s">
        <v>8636</v>
      </c>
      <c r="D2493" s="1" t="s">
        <v>8446</v>
      </c>
      <c r="E2493" s="1" t="s">
        <v>8447</v>
      </c>
      <c r="F2493" s="1">
        <v>2288907.0</v>
      </c>
      <c r="G2493" s="1">
        <v>46614.0</v>
      </c>
      <c r="H2493" s="1">
        <v>2859.0</v>
      </c>
      <c r="I2493" s="1">
        <v>4910000.0</v>
      </c>
      <c r="J2493" s="1" t="s">
        <v>2468</v>
      </c>
      <c r="K2493" s="5">
        <f t="shared" si="2"/>
        <v>0.4661725051</v>
      </c>
      <c r="L2493" s="6">
        <f t="shared" si="3"/>
        <v>896</v>
      </c>
      <c r="M2493" s="6">
        <f t="shared" si="4"/>
        <v>2554.583705</v>
      </c>
      <c r="N2493" s="7">
        <f t="shared" si="5"/>
        <v>0.0005202818137</v>
      </c>
      <c r="O2493" s="7"/>
      <c r="P2493" s="4">
        <f t="shared" si="6"/>
        <v>-0.08305846051</v>
      </c>
      <c r="Q2493" s="4">
        <f t="shared" si="7"/>
        <v>7</v>
      </c>
      <c r="R2493" s="4">
        <f t="shared" si="8"/>
        <v>0</v>
      </c>
      <c r="S2493" s="4">
        <f t="shared" si="9"/>
        <v>-0.08305846051</v>
      </c>
      <c r="T2493" s="4">
        <f t="shared" si="10"/>
        <v>36</v>
      </c>
      <c r="U2493" s="4">
        <f t="shared" si="1"/>
        <v>-0.08305846051</v>
      </c>
      <c r="V2493" s="4"/>
    </row>
    <row r="2494">
      <c r="A2494" s="1" t="s">
        <v>8637</v>
      </c>
      <c r="B2494" s="1" t="s">
        <v>8638</v>
      </c>
      <c r="C2494" s="1" t="s">
        <v>8639</v>
      </c>
      <c r="D2494" s="1" t="s">
        <v>8446</v>
      </c>
      <c r="E2494" s="1" t="s">
        <v>8447</v>
      </c>
      <c r="F2494" s="1">
        <v>1930347.0</v>
      </c>
      <c r="G2494" s="1">
        <v>38193.0</v>
      </c>
      <c r="H2494" s="1">
        <v>2469.0</v>
      </c>
      <c r="I2494" s="1">
        <v>4910000.0</v>
      </c>
      <c r="J2494" s="1" t="s">
        <v>2468</v>
      </c>
      <c r="K2494" s="5">
        <f t="shared" si="2"/>
        <v>0.3931460285</v>
      </c>
      <c r="L2494" s="6">
        <f t="shared" si="3"/>
        <v>911</v>
      </c>
      <c r="M2494" s="6">
        <f t="shared" si="4"/>
        <v>2118.931943</v>
      </c>
      <c r="N2494" s="7">
        <f t="shared" si="5"/>
        <v>0.0004315543672</v>
      </c>
      <c r="O2494" s="7"/>
      <c r="P2494" s="4">
        <f t="shared" si="6"/>
        <v>-0.1455548288</v>
      </c>
      <c r="Q2494" s="4">
        <f t="shared" si="7"/>
        <v>7</v>
      </c>
      <c r="R2494" s="4">
        <f t="shared" si="8"/>
        <v>0</v>
      </c>
      <c r="S2494" s="4">
        <f t="shared" si="9"/>
        <v>-0.1455548288</v>
      </c>
      <c r="T2494" s="4">
        <f t="shared" si="10"/>
        <v>31</v>
      </c>
      <c r="U2494" s="4">
        <f t="shared" si="1"/>
        <v>-0.1455548288</v>
      </c>
      <c r="V2494" s="4"/>
    </row>
    <row r="2495">
      <c r="A2495" s="1" t="s">
        <v>8640</v>
      </c>
      <c r="B2495" s="1" t="s">
        <v>8641</v>
      </c>
      <c r="C2495" s="1" t="s">
        <v>8642</v>
      </c>
      <c r="D2495" s="1" t="s">
        <v>8446</v>
      </c>
      <c r="E2495" s="1" t="s">
        <v>8447</v>
      </c>
      <c r="F2495" s="1">
        <v>801779.0</v>
      </c>
      <c r="G2495" s="1">
        <v>23954.0</v>
      </c>
      <c r="H2495" s="1">
        <v>1850.0</v>
      </c>
      <c r="I2495" s="1">
        <v>4910000.0</v>
      </c>
      <c r="J2495" s="1" t="s">
        <v>2468</v>
      </c>
      <c r="K2495" s="5">
        <f t="shared" si="2"/>
        <v>0.163295112</v>
      </c>
      <c r="L2495" s="6">
        <f t="shared" si="3"/>
        <v>924</v>
      </c>
      <c r="M2495" s="6">
        <f t="shared" si="4"/>
        <v>867.7261905</v>
      </c>
      <c r="N2495" s="7">
        <f t="shared" si="5"/>
        <v>0.0001767263117</v>
      </c>
      <c r="O2495" s="7"/>
      <c r="P2495" s="4">
        <f t="shared" si="6"/>
        <v>-0.3250463912</v>
      </c>
      <c r="Q2495" s="4">
        <f t="shared" si="7"/>
        <v>12</v>
      </c>
      <c r="R2495" s="4">
        <f t="shared" si="8"/>
        <v>0</v>
      </c>
      <c r="S2495" s="4">
        <f t="shared" si="9"/>
        <v>-0.3250463912</v>
      </c>
      <c r="T2495" s="4">
        <f t="shared" si="10"/>
        <v>52</v>
      </c>
      <c r="U2495" s="4">
        <f t="shared" si="1"/>
        <v>-0.3250463912</v>
      </c>
      <c r="V2495" s="4"/>
    </row>
    <row r="2496">
      <c r="A2496" s="1" t="s">
        <v>8643</v>
      </c>
      <c r="B2496" s="1" t="s">
        <v>8644</v>
      </c>
      <c r="C2496" s="1" t="s">
        <v>8645</v>
      </c>
      <c r="D2496" s="1" t="s">
        <v>8446</v>
      </c>
      <c r="E2496" s="1" t="s">
        <v>8447</v>
      </c>
      <c r="F2496" s="1">
        <v>2772756.0</v>
      </c>
      <c r="G2496" s="1">
        <v>64711.0</v>
      </c>
      <c r="H2496" s="1">
        <v>4610.0</v>
      </c>
      <c r="I2496" s="1">
        <v>4910000.0</v>
      </c>
      <c r="J2496" s="1" t="s">
        <v>2468</v>
      </c>
      <c r="K2496" s="5">
        <f t="shared" si="2"/>
        <v>0.5647160896</v>
      </c>
      <c r="L2496" s="6">
        <f t="shared" si="3"/>
        <v>937</v>
      </c>
      <c r="M2496" s="6">
        <f t="shared" si="4"/>
        <v>2959.184632</v>
      </c>
      <c r="N2496" s="7">
        <f t="shared" si="5"/>
        <v>0.0006026852611</v>
      </c>
      <c r="O2496" s="7"/>
      <c r="P2496" s="4">
        <f t="shared" si="6"/>
        <v>-0.02501648597</v>
      </c>
      <c r="Q2496" s="4">
        <f t="shared" si="7"/>
        <v>5</v>
      </c>
      <c r="R2496" s="4">
        <f t="shared" si="8"/>
        <v>0</v>
      </c>
      <c r="S2496" s="4">
        <f t="shared" si="9"/>
        <v>-0.02501648597</v>
      </c>
      <c r="T2496" s="4">
        <f t="shared" si="10"/>
        <v>18</v>
      </c>
      <c r="U2496" s="4">
        <f t="shared" si="1"/>
        <v>-0.02501648597</v>
      </c>
      <c r="V2496" s="4"/>
    </row>
    <row r="2497">
      <c r="A2497" s="1" t="s">
        <v>8646</v>
      </c>
      <c r="B2497" s="1" t="s">
        <v>8647</v>
      </c>
      <c r="C2497" s="1" t="s">
        <v>8648</v>
      </c>
      <c r="D2497" s="1" t="s">
        <v>8446</v>
      </c>
      <c r="E2497" s="1" t="s">
        <v>8447</v>
      </c>
      <c r="F2497" s="1">
        <v>1670218.0</v>
      </c>
      <c r="G2497" s="1">
        <v>47497.0</v>
      </c>
      <c r="H2497" s="1">
        <v>1227.0</v>
      </c>
      <c r="I2497" s="1">
        <v>4910000.0</v>
      </c>
      <c r="J2497" s="1" t="s">
        <v>2468</v>
      </c>
      <c r="K2497" s="5">
        <f t="shared" si="2"/>
        <v>0.3401665988</v>
      </c>
      <c r="L2497" s="6">
        <f t="shared" si="3"/>
        <v>952</v>
      </c>
      <c r="M2497" s="6">
        <f t="shared" si="4"/>
        <v>1754.430672</v>
      </c>
      <c r="N2497" s="7">
        <f t="shared" si="5"/>
        <v>0.0003573178559</v>
      </c>
      <c r="O2497" s="7"/>
      <c r="P2497" s="4">
        <f t="shared" si="6"/>
        <v>-0.1978443123</v>
      </c>
      <c r="Q2497" s="4">
        <f t="shared" si="7"/>
        <v>4</v>
      </c>
      <c r="R2497" s="4">
        <f t="shared" si="8"/>
        <v>0</v>
      </c>
      <c r="S2497" s="4">
        <f t="shared" si="9"/>
        <v>-0.1978443123</v>
      </c>
      <c r="T2497" s="4">
        <f t="shared" si="10"/>
        <v>25</v>
      </c>
      <c r="U2497" s="4">
        <f t="shared" si="1"/>
        <v>-0.1978443123</v>
      </c>
      <c r="V2497" s="4"/>
    </row>
    <row r="2498">
      <c r="A2498" s="1" t="s">
        <v>8649</v>
      </c>
      <c r="B2498" s="1" t="s">
        <v>8650</v>
      </c>
      <c r="C2498" s="1" t="s">
        <v>8651</v>
      </c>
      <c r="D2498" s="1" t="s">
        <v>8446</v>
      </c>
      <c r="E2498" s="1" t="s">
        <v>8447</v>
      </c>
      <c r="F2498" s="1">
        <v>1863497.0</v>
      </c>
      <c r="G2498" s="1">
        <v>40725.0</v>
      </c>
      <c r="H2498" s="1">
        <v>3555.0</v>
      </c>
      <c r="I2498" s="1">
        <v>4910000.0</v>
      </c>
      <c r="J2498" s="1" t="s">
        <v>2468</v>
      </c>
      <c r="K2498" s="5">
        <f t="shared" si="2"/>
        <v>0.3795309572</v>
      </c>
      <c r="L2498" s="6">
        <f t="shared" si="3"/>
        <v>965</v>
      </c>
      <c r="M2498" s="6">
        <f t="shared" si="4"/>
        <v>1931.084974</v>
      </c>
      <c r="N2498" s="7">
        <f t="shared" si="5"/>
        <v>0.0003932963287</v>
      </c>
      <c r="O2498" s="7"/>
      <c r="P2498" s="4">
        <f t="shared" si="6"/>
        <v>-0.1725023919</v>
      </c>
      <c r="Q2498" s="4">
        <f t="shared" si="7"/>
        <v>7</v>
      </c>
      <c r="R2498" s="4">
        <f t="shared" si="8"/>
        <v>0</v>
      </c>
      <c r="S2498" s="4">
        <f t="shared" si="9"/>
        <v>-0.1725023919</v>
      </c>
      <c r="T2498" s="4">
        <f t="shared" si="10"/>
        <v>41</v>
      </c>
      <c r="U2498" s="4">
        <f t="shared" si="1"/>
        <v>-0.1725023919</v>
      </c>
      <c r="V2498" s="4"/>
    </row>
    <row r="2499">
      <c r="A2499" s="1" t="s">
        <v>8652</v>
      </c>
      <c r="B2499" s="1" t="s">
        <v>8653</v>
      </c>
      <c r="C2499" s="1" t="s">
        <v>8654</v>
      </c>
      <c r="D2499" s="1" t="s">
        <v>8446</v>
      </c>
      <c r="E2499" s="1" t="s">
        <v>8447</v>
      </c>
      <c r="F2499" s="1">
        <v>800101.0</v>
      </c>
      <c r="G2499" s="1">
        <v>21134.0</v>
      </c>
      <c r="H2499" s="1">
        <v>578.0</v>
      </c>
      <c r="I2499" s="1">
        <v>4910000.0</v>
      </c>
      <c r="J2499" s="1" t="s">
        <v>2468</v>
      </c>
      <c r="K2499" s="5">
        <f t="shared" si="2"/>
        <v>0.1629533605</v>
      </c>
      <c r="L2499" s="6">
        <f t="shared" si="3"/>
        <v>980</v>
      </c>
      <c r="M2499" s="6">
        <f t="shared" si="4"/>
        <v>816.4295918</v>
      </c>
      <c r="N2499" s="7">
        <f t="shared" si="5"/>
        <v>0.0001662789393</v>
      </c>
      <c r="O2499" s="7"/>
      <c r="P2499" s="4">
        <f t="shared" si="6"/>
        <v>-0.3324051382</v>
      </c>
      <c r="Q2499" s="4">
        <f t="shared" si="7"/>
        <v>10</v>
      </c>
      <c r="R2499" s="4">
        <f t="shared" si="8"/>
        <v>0</v>
      </c>
      <c r="S2499" s="4">
        <f t="shared" si="9"/>
        <v>-0.3324051382</v>
      </c>
      <c r="T2499" s="4">
        <f t="shared" si="10"/>
        <v>52</v>
      </c>
      <c r="U2499" s="4">
        <f t="shared" si="1"/>
        <v>-0.3324051382</v>
      </c>
      <c r="V2499" s="4"/>
    </row>
    <row r="2500">
      <c r="A2500" s="1" t="s">
        <v>8655</v>
      </c>
      <c r="B2500" s="1" t="s">
        <v>8656</v>
      </c>
      <c r="C2500" s="1" t="s">
        <v>8657</v>
      </c>
      <c r="D2500" s="1" t="s">
        <v>8446</v>
      </c>
      <c r="E2500" s="1" t="s">
        <v>8447</v>
      </c>
      <c r="F2500" s="1">
        <v>2913675.0</v>
      </c>
      <c r="G2500" s="1">
        <v>55063.0</v>
      </c>
      <c r="H2500" s="1">
        <v>4378.0</v>
      </c>
      <c r="I2500" s="1">
        <v>4910000.0</v>
      </c>
      <c r="J2500" s="1" t="s">
        <v>2468</v>
      </c>
      <c r="K2500" s="5">
        <f t="shared" si="2"/>
        <v>0.5934164969</v>
      </c>
      <c r="L2500" s="6">
        <f t="shared" si="3"/>
        <v>994</v>
      </c>
      <c r="M2500" s="6">
        <f t="shared" si="4"/>
        <v>2931.262575</v>
      </c>
      <c r="N2500" s="7">
        <f t="shared" si="5"/>
        <v>0.0005969984879</v>
      </c>
      <c r="O2500" s="7"/>
      <c r="P2500" s="4">
        <f t="shared" si="6"/>
        <v>-0.02902204101</v>
      </c>
      <c r="Q2500" s="4">
        <f t="shared" si="7"/>
        <v>6</v>
      </c>
      <c r="R2500" s="4">
        <f t="shared" si="8"/>
        <v>0</v>
      </c>
      <c r="S2500" s="4">
        <f t="shared" si="9"/>
        <v>-0.02902204101</v>
      </c>
      <c r="T2500" s="4">
        <f t="shared" si="10"/>
        <v>30</v>
      </c>
      <c r="U2500" s="4">
        <f t="shared" si="1"/>
        <v>-0.02902204101</v>
      </c>
      <c r="V2500" s="4"/>
    </row>
    <row r="2501">
      <c r="A2501" s="1" t="s">
        <v>8658</v>
      </c>
      <c r="B2501" s="1" t="s">
        <v>8659</v>
      </c>
      <c r="C2501" s="1" t="s">
        <v>8660</v>
      </c>
      <c r="D2501" s="1" t="s">
        <v>8446</v>
      </c>
      <c r="E2501" s="1" t="s">
        <v>8447</v>
      </c>
      <c r="F2501" s="1">
        <v>1074106.0</v>
      </c>
      <c r="G2501" s="1">
        <v>23255.0</v>
      </c>
      <c r="H2501" s="1">
        <v>776.0</v>
      </c>
      <c r="I2501" s="1">
        <v>4910000.0</v>
      </c>
      <c r="J2501" s="1" t="s">
        <v>2468</v>
      </c>
      <c r="K2501" s="5">
        <f t="shared" si="2"/>
        <v>0.2187588595</v>
      </c>
      <c r="L2501" s="6">
        <f t="shared" si="3"/>
        <v>1008</v>
      </c>
      <c r="M2501" s="6">
        <f t="shared" si="4"/>
        <v>1065.581349</v>
      </c>
      <c r="N2501" s="7">
        <f t="shared" si="5"/>
        <v>0.000217022678</v>
      </c>
      <c r="O2501" s="7"/>
      <c r="P2501" s="4">
        <f t="shared" si="6"/>
        <v>-0.2966631045</v>
      </c>
      <c r="Q2501" s="4">
        <f t="shared" si="7"/>
        <v>5</v>
      </c>
      <c r="R2501" s="4">
        <f t="shared" si="8"/>
        <v>0</v>
      </c>
      <c r="S2501" s="4">
        <f t="shared" si="9"/>
        <v>-0.2966631045</v>
      </c>
      <c r="T2501" s="4">
        <f t="shared" si="10"/>
        <v>28</v>
      </c>
      <c r="U2501" s="4">
        <f t="shared" si="1"/>
        <v>-0.2966631045</v>
      </c>
      <c r="V2501" s="4"/>
    </row>
    <row r="2502">
      <c r="A2502" s="1" t="s">
        <v>8661</v>
      </c>
      <c r="B2502" s="1" t="s">
        <v>8662</v>
      </c>
      <c r="C2502" s="1" t="s">
        <v>8663</v>
      </c>
      <c r="D2502" s="1" t="s">
        <v>8446</v>
      </c>
      <c r="E2502" s="1" t="s">
        <v>8447</v>
      </c>
      <c r="F2502" s="1">
        <v>2865955.0</v>
      </c>
      <c r="G2502" s="1">
        <v>62089.0</v>
      </c>
      <c r="H2502" s="1">
        <v>3926.0</v>
      </c>
      <c r="I2502" s="1">
        <v>4910000.0</v>
      </c>
      <c r="J2502" s="1" t="s">
        <v>2468</v>
      </c>
      <c r="K2502" s="5">
        <f t="shared" si="2"/>
        <v>0.583697556</v>
      </c>
      <c r="L2502" s="6">
        <f t="shared" si="3"/>
        <v>1022</v>
      </c>
      <c r="M2502" s="6">
        <f t="shared" si="4"/>
        <v>2804.261252</v>
      </c>
      <c r="N2502" s="7">
        <f t="shared" si="5"/>
        <v>0.000571132638</v>
      </c>
      <c r="O2502" s="7"/>
      <c r="P2502" s="4">
        <f t="shared" si="6"/>
        <v>-0.04724099969</v>
      </c>
      <c r="Q2502" s="4">
        <f t="shared" si="7"/>
        <v>7</v>
      </c>
      <c r="R2502" s="4">
        <f t="shared" si="8"/>
        <v>0</v>
      </c>
      <c r="S2502" s="4">
        <f t="shared" si="9"/>
        <v>-0.04724099969</v>
      </c>
      <c r="T2502" s="4">
        <f t="shared" si="10"/>
        <v>26</v>
      </c>
      <c r="U2502" s="4">
        <f t="shared" si="1"/>
        <v>-0.04724099969</v>
      </c>
      <c r="V2502" s="4"/>
    </row>
    <row r="2503">
      <c r="A2503" s="1" t="s">
        <v>8664</v>
      </c>
      <c r="B2503" s="1" t="s">
        <v>8665</v>
      </c>
      <c r="C2503" s="1" t="s">
        <v>8666</v>
      </c>
      <c r="D2503" s="1" t="s">
        <v>8446</v>
      </c>
      <c r="E2503" s="1" t="s">
        <v>8447</v>
      </c>
      <c r="F2503" s="1">
        <v>6867152.0</v>
      </c>
      <c r="G2503" s="1">
        <v>108753.0</v>
      </c>
      <c r="H2503" s="1">
        <v>29732.0</v>
      </c>
      <c r="I2503" s="1">
        <v>4910000.0</v>
      </c>
      <c r="J2503" s="1" t="s">
        <v>2468</v>
      </c>
      <c r="K2503" s="5">
        <f t="shared" si="2"/>
        <v>1.398605295</v>
      </c>
      <c r="L2503" s="6">
        <f t="shared" si="3"/>
        <v>1052</v>
      </c>
      <c r="M2503" s="6">
        <f t="shared" si="4"/>
        <v>6527.711027</v>
      </c>
      <c r="N2503" s="7">
        <f t="shared" si="5"/>
        <v>0.001329472714</v>
      </c>
      <c r="O2503" s="7"/>
      <c r="P2503" s="4">
        <f t="shared" si="6"/>
        <v>0.4869060151</v>
      </c>
      <c r="Q2503" s="4">
        <f t="shared" si="7"/>
        <v>7</v>
      </c>
      <c r="R2503" s="4">
        <f t="shared" si="8"/>
        <v>0</v>
      </c>
      <c r="S2503" s="4">
        <f t="shared" si="9"/>
        <v>0.4869060151</v>
      </c>
      <c r="T2503" s="4">
        <f t="shared" si="10"/>
        <v>47</v>
      </c>
      <c r="U2503" s="4">
        <f t="shared" si="1"/>
        <v>0.4869060151</v>
      </c>
      <c r="V2503" s="4"/>
    </row>
    <row r="2504">
      <c r="A2504" s="1" t="s">
        <v>8667</v>
      </c>
      <c r="B2504" s="1" t="s">
        <v>8668</v>
      </c>
      <c r="C2504" s="1" t="s">
        <v>8669</v>
      </c>
      <c r="D2504" s="1" t="s">
        <v>8446</v>
      </c>
      <c r="E2504" s="1" t="s">
        <v>8447</v>
      </c>
      <c r="F2504" s="1">
        <v>3374467.0</v>
      </c>
      <c r="G2504" s="1">
        <v>56066.0</v>
      </c>
      <c r="H2504" s="1">
        <v>5130.0</v>
      </c>
      <c r="I2504" s="1">
        <v>4910000.0</v>
      </c>
      <c r="J2504" s="1" t="s">
        <v>2468</v>
      </c>
      <c r="K2504" s="5">
        <f t="shared" si="2"/>
        <v>0.6872641548</v>
      </c>
      <c r="L2504" s="6">
        <f t="shared" si="3"/>
        <v>1066</v>
      </c>
      <c r="M2504" s="6">
        <f t="shared" si="4"/>
        <v>3165.541276</v>
      </c>
      <c r="N2504" s="7">
        <f t="shared" si="5"/>
        <v>0.0006447130908</v>
      </c>
      <c r="O2504" s="7"/>
      <c r="P2504" s="4">
        <f t="shared" si="6"/>
        <v>0.004586380207</v>
      </c>
      <c r="Q2504" s="4">
        <f t="shared" si="7"/>
        <v>6</v>
      </c>
      <c r="R2504" s="4">
        <f t="shared" si="8"/>
        <v>0</v>
      </c>
      <c r="S2504" s="4">
        <f t="shared" si="9"/>
        <v>0.004586380207</v>
      </c>
      <c r="T2504" s="4">
        <f t="shared" si="10"/>
        <v>22</v>
      </c>
      <c r="U2504" s="4">
        <f t="shared" si="1"/>
        <v>0.004586380207</v>
      </c>
      <c r="V2504" s="4"/>
    </row>
    <row r="2505">
      <c r="A2505" s="1" t="s">
        <v>8670</v>
      </c>
      <c r="B2505" s="1" t="s">
        <v>8671</v>
      </c>
      <c r="C2505" s="1" t="s">
        <v>8672</v>
      </c>
      <c r="D2505" s="1" t="s">
        <v>8446</v>
      </c>
      <c r="E2505" s="1" t="s">
        <v>8447</v>
      </c>
      <c r="F2505" s="1">
        <v>1832801.0</v>
      </c>
      <c r="G2505" s="1">
        <v>42524.0</v>
      </c>
      <c r="H2505" s="1">
        <v>2498.0</v>
      </c>
      <c r="I2505" s="1">
        <v>4910000.0</v>
      </c>
      <c r="J2505" s="1" t="s">
        <v>2468</v>
      </c>
      <c r="K2505" s="5">
        <f t="shared" si="2"/>
        <v>0.3732792261</v>
      </c>
      <c r="L2505" s="6">
        <f t="shared" si="3"/>
        <v>1080</v>
      </c>
      <c r="M2505" s="6">
        <f t="shared" si="4"/>
        <v>1697.037963</v>
      </c>
      <c r="N2505" s="7">
        <f t="shared" si="5"/>
        <v>0.000345628913</v>
      </c>
      <c r="O2505" s="7"/>
      <c r="P2505" s="4">
        <f t="shared" si="6"/>
        <v>-0.2060775761</v>
      </c>
      <c r="Q2505" s="4">
        <f t="shared" si="7"/>
        <v>5</v>
      </c>
      <c r="R2505" s="4">
        <f t="shared" si="8"/>
        <v>0</v>
      </c>
      <c r="S2505" s="4">
        <f t="shared" si="9"/>
        <v>-0.2060775761</v>
      </c>
      <c r="T2505" s="4">
        <f t="shared" si="10"/>
        <v>23</v>
      </c>
      <c r="U2505" s="4">
        <f t="shared" si="1"/>
        <v>-0.2060775761</v>
      </c>
      <c r="V2505" s="4"/>
    </row>
    <row r="2506">
      <c r="A2506" s="1" t="s">
        <v>8673</v>
      </c>
      <c r="B2506" s="1" t="s">
        <v>8674</v>
      </c>
      <c r="C2506" s="1" t="s">
        <v>8675</v>
      </c>
      <c r="D2506" s="1" t="s">
        <v>8446</v>
      </c>
      <c r="E2506" s="1" t="s">
        <v>8447</v>
      </c>
      <c r="F2506" s="1">
        <v>4218604.0</v>
      </c>
      <c r="G2506" s="1">
        <v>79180.0</v>
      </c>
      <c r="H2506" s="1">
        <v>6690.0</v>
      </c>
      <c r="I2506" s="1">
        <v>4910000.0</v>
      </c>
      <c r="J2506" s="1" t="s">
        <v>2468</v>
      </c>
      <c r="K2506" s="5">
        <f t="shared" si="2"/>
        <v>0.8591861507</v>
      </c>
      <c r="L2506" s="6">
        <f t="shared" si="3"/>
        <v>1092</v>
      </c>
      <c r="M2506" s="6">
        <f t="shared" si="4"/>
        <v>3863.190476</v>
      </c>
      <c r="N2506" s="7">
        <f t="shared" si="5"/>
        <v>0.0007868005043</v>
      </c>
      <c r="O2506" s="7"/>
      <c r="P2506" s="4">
        <f t="shared" si="6"/>
        <v>0.1046675577</v>
      </c>
      <c r="Q2506" s="4">
        <f t="shared" si="7"/>
        <v>6</v>
      </c>
      <c r="R2506" s="4">
        <f t="shared" si="8"/>
        <v>0</v>
      </c>
      <c r="S2506" s="4">
        <f t="shared" si="9"/>
        <v>0.1046675577</v>
      </c>
      <c r="T2506" s="4">
        <f t="shared" si="10"/>
        <v>36</v>
      </c>
      <c r="U2506" s="4">
        <f t="shared" si="1"/>
        <v>0.1046675577</v>
      </c>
      <c r="V2506" s="4"/>
    </row>
    <row r="2507">
      <c r="A2507" s="1" t="s">
        <v>8676</v>
      </c>
      <c r="B2507" s="1" t="s">
        <v>8677</v>
      </c>
      <c r="C2507" s="1" t="s">
        <v>8678</v>
      </c>
      <c r="D2507" s="1" t="s">
        <v>8446</v>
      </c>
      <c r="E2507" s="1" t="s">
        <v>8447</v>
      </c>
      <c r="F2507" s="1">
        <v>4399596.0</v>
      </c>
      <c r="G2507" s="1">
        <v>124848.0</v>
      </c>
      <c r="H2507" s="1">
        <v>4298.0</v>
      </c>
      <c r="I2507" s="1">
        <v>4910000.0</v>
      </c>
      <c r="J2507" s="1" t="s">
        <v>2468</v>
      </c>
      <c r="K2507" s="5">
        <f t="shared" si="2"/>
        <v>0.8960480652</v>
      </c>
      <c r="L2507" s="6">
        <f t="shared" si="3"/>
        <v>1107</v>
      </c>
      <c r="M2507" s="6">
        <f t="shared" si="4"/>
        <v>3974.341463</v>
      </c>
      <c r="N2507" s="7">
        <f t="shared" si="5"/>
        <v>0.0008094381799</v>
      </c>
      <c r="O2507" s="7"/>
      <c r="P2507" s="4">
        <f t="shared" si="6"/>
        <v>0.1206127085</v>
      </c>
      <c r="Q2507" s="4">
        <f t="shared" si="7"/>
        <v>5</v>
      </c>
      <c r="R2507" s="4">
        <f t="shared" si="8"/>
        <v>0</v>
      </c>
      <c r="S2507" s="4">
        <f t="shared" si="9"/>
        <v>0.1206127085</v>
      </c>
      <c r="T2507" s="4">
        <f t="shared" si="10"/>
        <v>17</v>
      </c>
      <c r="U2507" s="4">
        <f t="shared" si="1"/>
        <v>0.1206127085</v>
      </c>
      <c r="V2507" s="4"/>
    </row>
    <row r="2508">
      <c r="A2508" s="1" t="s">
        <v>8679</v>
      </c>
      <c r="B2508" s="1" t="s">
        <v>8680</v>
      </c>
      <c r="C2508" s="1" t="s">
        <v>8681</v>
      </c>
      <c r="D2508" s="1" t="s">
        <v>8446</v>
      </c>
      <c r="E2508" s="1" t="s">
        <v>8447</v>
      </c>
      <c r="F2508" s="1">
        <v>3954868.0</v>
      </c>
      <c r="G2508" s="1">
        <v>60390.0</v>
      </c>
      <c r="H2508" s="1">
        <v>2081.0</v>
      </c>
      <c r="I2508" s="1">
        <v>4910000.0</v>
      </c>
      <c r="J2508" s="1" t="s">
        <v>2468</v>
      </c>
      <c r="K2508" s="5">
        <f t="shared" si="2"/>
        <v>0.8054720978</v>
      </c>
      <c r="L2508" s="6">
        <f t="shared" si="3"/>
        <v>1119</v>
      </c>
      <c r="M2508" s="6">
        <f t="shared" si="4"/>
        <v>3534.287757</v>
      </c>
      <c r="N2508" s="7">
        <f t="shared" si="5"/>
        <v>0.0007198142071</v>
      </c>
      <c r="O2508" s="7"/>
      <c r="P2508" s="4">
        <f t="shared" si="6"/>
        <v>0.05748485985</v>
      </c>
      <c r="Q2508" s="4">
        <f t="shared" si="7"/>
        <v>5</v>
      </c>
      <c r="R2508" s="4">
        <f t="shared" si="8"/>
        <v>0</v>
      </c>
      <c r="S2508" s="4">
        <f t="shared" si="9"/>
        <v>0.05748485985</v>
      </c>
      <c r="T2508" s="4">
        <f t="shared" si="10"/>
        <v>14</v>
      </c>
      <c r="U2508" s="4">
        <f t="shared" si="1"/>
        <v>0.05748485985</v>
      </c>
      <c r="V2508" s="4"/>
    </row>
    <row r="2509">
      <c r="A2509" s="1" t="s">
        <v>8682</v>
      </c>
      <c r="B2509" s="1" t="s">
        <v>8683</v>
      </c>
      <c r="C2509" s="1" t="s">
        <v>8684</v>
      </c>
      <c r="D2509" s="1" t="s">
        <v>8446</v>
      </c>
      <c r="E2509" s="1" t="s">
        <v>8447</v>
      </c>
      <c r="F2509" s="1">
        <v>717260.0</v>
      </c>
      <c r="G2509" s="1">
        <v>22092.0</v>
      </c>
      <c r="H2509" s="1">
        <v>1297.0</v>
      </c>
      <c r="I2509" s="1">
        <v>4910000.0</v>
      </c>
      <c r="J2509" s="1" t="s">
        <v>2468</v>
      </c>
      <c r="K2509" s="5">
        <f t="shared" si="2"/>
        <v>0.1460814664</v>
      </c>
      <c r="L2509" s="6">
        <f t="shared" si="3"/>
        <v>1134</v>
      </c>
      <c r="M2509" s="6">
        <f t="shared" si="4"/>
        <v>632.5044092</v>
      </c>
      <c r="N2509" s="7">
        <f t="shared" si="5"/>
        <v>0.0001288196353</v>
      </c>
      <c r="O2509" s="7"/>
      <c r="P2509" s="4">
        <f t="shared" si="6"/>
        <v>-0.358790102</v>
      </c>
      <c r="Q2509" s="4">
        <f t="shared" si="7"/>
        <v>7</v>
      </c>
      <c r="R2509" s="4">
        <f t="shared" si="8"/>
        <v>0</v>
      </c>
      <c r="S2509" s="4">
        <f t="shared" si="9"/>
        <v>-0.358790102</v>
      </c>
      <c r="T2509" s="4">
        <f t="shared" si="10"/>
        <v>35</v>
      </c>
      <c r="U2509" s="4">
        <f t="shared" si="1"/>
        <v>-0.358790102</v>
      </c>
      <c r="V2509" s="4"/>
    </row>
    <row r="2510">
      <c r="A2510" s="1" t="s">
        <v>8685</v>
      </c>
      <c r="B2510" s="1" t="s">
        <v>8686</v>
      </c>
      <c r="C2510" s="1" t="s">
        <v>8687</v>
      </c>
      <c r="D2510" s="1" t="s">
        <v>8446</v>
      </c>
      <c r="E2510" s="1" t="s">
        <v>8447</v>
      </c>
      <c r="F2510" s="1">
        <v>2308575.0</v>
      </c>
      <c r="G2510" s="1">
        <v>44807.0</v>
      </c>
      <c r="H2510" s="1">
        <v>2719.0</v>
      </c>
      <c r="I2510" s="1">
        <v>4910000.0</v>
      </c>
      <c r="J2510" s="1" t="s">
        <v>2468</v>
      </c>
      <c r="K2510" s="5">
        <f t="shared" si="2"/>
        <v>0.4701782077</v>
      </c>
      <c r="L2510" s="6">
        <f t="shared" si="3"/>
        <v>1147</v>
      </c>
      <c r="M2510" s="6">
        <f t="shared" si="4"/>
        <v>2012.707062</v>
      </c>
      <c r="N2510" s="7">
        <f t="shared" si="5"/>
        <v>0.0004099199719</v>
      </c>
      <c r="O2510" s="7"/>
      <c r="P2510" s="4">
        <f t="shared" si="6"/>
        <v>-0.1607933056</v>
      </c>
      <c r="Q2510" s="4">
        <f t="shared" si="7"/>
        <v>6</v>
      </c>
      <c r="R2510" s="4">
        <f t="shared" si="8"/>
        <v>0</v>
      </c>
      <c r="S2510" s="4">
        <f t="shared" si="9"/>
        <v>-0.1607933056</v>
      </c>
      <c r="T2510" s="4">
        <f t="shared" si="10"/>
        <v>28</v>
      </c>
      <c r="U2510" s="4">
        <f t="shared" si="1"/>
        <v>-0.1607933056</v>
      </c>
      <c r="V2510" s="4"/>
    </row>
    <row r="2511">
      <c r="A2511" s="1" t="s">
        <v>8688</v>
      </c>
      <c r="B2511" s="1" t="s">
        <v>8689</v>
      </c>
      <c r="C2511" s="1" t="s">
        <v>8690</v>
      </c>
      <c r="D2511" s="1" t="s">
        <v>8446</v>
      </c>
      <c r="E2511" s="1" t="s">
        <v>8447</v>
      </c>
      <c r="F2511" s="1">
        <v>1769856.0</v>
      </c>
      <c r="G2511" s="1">
        <v>47042.0</v>
      </c>
      <c r="H2511" s="1">
        <v>4108.0</v>
      </c>
      <c r="I2511" s="1">
        <v>4910000.0</v>
      </c>
      <c r="J2511" s="1" t="s">
        <v>2468</v>
      </c>
      <c r="K2511" s="5">
        <f t="shared" si="2"/>
        <v>0.3604594705</v>
      </c>
      <c r="L2511" s="6">
        <f t="shared" si="3"/>
        <v>1162</v>
      </c>
      <c r="M2511" s="6">
        <f t="shared" si="4"/>
        <v>1523.111876</v>
      </c>
      <c r="N2511" s="7">
        <f t="shared" si="5"/>
        <v>0.0003102060847</v>
      </c>
      <c r="O2511" s="7"/>
      <c r="P2511" s="4">
        <f t="shared" si="6"/>
        <v>-0.2310281209</v>
      </c>
      <c r="Q2511" s="4">
        <f t="shared" si="7"/>
        <v>7</v>
      </c>
      <c r="R2511" s="4">
        <f t="shared" si="8"/>
        <v>0</v>
      </c>
      <c r="S2511" s="4">
        <f t="shared" si="9"/>
        <v>-0.2310281209</v>
      </c>
      <c r="T2511" s="4">
        <f t="shared" si="10"/>
        <v>33</v>
      </c>
      <c r="U2511" s="4">
        <f t="shared" si="1"/>
        <v>-0.2310281209</v>
      </c>
      <c r="V2511" s="4"/>
    </row>
    <row r="2512">
      <c r="A2512" s="1" t="s">
        <v>8691</v>
      </c>
      <c r="B2512" s="1" t="s">
        <v>8692</v>
      </c>
      <c r="C2512" s="1" t="s">
        <v>8693</v>
      </c>
      <c r="D2512" s="1" t="s">
        <v>8446</v>
      </c>
      <c r="E2512" s="1" t="s">
        <v>8447</v>
      </c>
      <c r="F2512" s="1">
        <v>1128418.0</v>
      </c>
      <c r="G2512" s="1">
        <v>54028.0</v>
      </c>
      <c r="H2512" s="1">
        <v>2607.0</v>
      </c>
      <c r="I2512" s="1">
        <v>4910000.0</v>
      </c>
      <c r="J2512" s="1" t="s">
        <v>2468</v>
      </c>
      <c r="K2512" s="5">
        <f t="shared" si="2"/>
        <v>0.2298203666</v>
      </c>
      <c r="L2512" s="6">
        <f t="shared" si="3"/>
        <v>1176</v>
      </c>
      <c r="M2512" s="6">
        <f t="shared" si="4"/>
        <v>959.5391156</v>
      </c>
      <c r="N2512" s="7">
        <f t="shared" si="5"/>
        <v>0.0001954254818</v>
      </c>
      <c r="O2512" s="7"/>
      <c r="P2512" s="4">
        <f t="shared" si="6"/>
        <v>-0.3118753797</v>
      </c>
      <c r="Q2512" s="4">
        <f t="shared" si="7"/>
        <v>10</v>
      </c>
      <c r="R2512" s="4">
        <f t="shared" si="8"/>
        <v>0</v>
      </c>
      <c r="S2512" s="4">
        <f t="shared" si="9"/>
        <v>-0.3118753797</v>
      </c>
      <c r="T2512" s="4">
        <f t="shared" si="10"/>
        <v>50</v>
      </c>
      <c r="U2512" s="4">
        <f t="shared" si="1"/>
        <v>-0.3118753797</v>
      </c>
      <c r="V2512" s="4"/>
    </row>
    <row r="2513">
      <c r="A2513" s="1" t="s">
        <v>8694</v>
      </c>
      <c r="B2513" s="1" t="s">
        <v>8695</v>
      </c>
      <c r="C2513" s="1" t="s">
        <v>8696</v>
      </c>
      <c r="D2513" s="1" t="s">
        <v>8446</v>
      </c>
      <c r="E2513" s="1" t="s">
        <v>8447</v>
      </c>
      <c r="F2513" s="1">
        <v>2006183.0</v>
      </c>
      <c r="G2513" s="1">
        <v>51255.0</v>
      </c>
      <c r="H2513" s="1">
        <v>5679.0</v>
      </c>
      <c r="I2513" s="1">
        <v>4910000.0</v>
      </c>
      <c r="J2513" s="1" t="s">
        <v>2468</v>
      </c>
      <c r="K2513" s="5">
        <f t="shared" si="2"/>
        <v>0.4085912424</v>
      </c>
      <c r="L2513" s="6">
        <f t="shared" si="3"/>
        <v>1190</v>
      </c>
      <c r="M2513" s="6">
        <f t="shared" si="4"/>
        <v>1685.868067</v>
      </c>
      <c r="N2513" s="7">
        <f t="shared" si="5"/>
        <v>0.0003433539852</v>
      </c>
      <c r="O2513" s="7"/>
      <c r="P2513" s="4">
        <f t="shared" si="6"/>
        <v>-0.2076799521</v>
      </c>
      <c r="Q2513" s="4">
        <f t="shared" si="7"/>
        <v>6</v>
      </c>
      <c r="R2513" s="4">
        <f t="shared" si="8"/>
        <v>0</v>
      </c>
      <c r="S2513" s="4">
        <f t="shared" si="9"/>
        <v>-0.2076799521</v>
      </c>
      <c r="T2513" s="4">
        <f t="shared" si="10"/>
        <v>27</v>
      </c>
      <c r="U2513" s="4">
        <f t="shared" si="1"/>
        <v>-0.2076799521</v>
      </c>
      <c r="V2513" s="4"/>
    </row>
    <row r="2514">
      <c r="A2514" s="1" t="s">
        <v>8697</v>
      </c>
      <c r="B2514" s="1" t="s">
        <v>8698</v>
      </c>
      <c r="C2514" s="1" t="s">
        <v>8699</v>
      </c>
      <c r="D2514" s="1" t="s">
        <v>8446</v>
      </c>
      <c r="E2514" s="1" t="s">
        <v>8447</v>
      </c>
      <c r="F2514" s="1">
        <v>4403001.0</v>
      </c>
      <c r="G2514" s="1">
        <v>124367.0</v>
      </c>
      <c r="H2514" s="1">
        <v>14831.0</v>
      </c>
      <c r="I2514" s="1">
        <v>4910000.0</v>
      </c>
      <c r="J2514" s="1" t="s">
        <v>2468</v>
      </c>
      <c r="K2514" s="5">
        <f t="shared" si="2"/>
        <v>0.8967415479</v>
      </c>
      <c r="L2514" s="6">
        <f t="shared" si="3"/>
        <v>1206</v>
      </c>
      <c r="M2514" s="6">
        <f t="shared" si="4"/>
        <v>3650.912935</v>
      </c>
      <c r="N2514" s="7">
        <f t="shared" si="5"/>
        <v>0.0007435667893</v>
      </c>
      <c r="O2514" s="7"/>
      <c r="P2514" s="4">
        <f t="shared" si="6"/>
        <v>0.07421531002</v>
      </c>
      <c r="Q2514" s="4">
        <f t="shared" si="7"/>
        <v>8</v>
      </c>
      <c r="R2514" s="4">
        <f t="shared" si="8"/>
        <v>0</v>
      </c>
      <c r="S2514" s="4">
        <f t="shared" si="9"/>
        <v>0.07421531002</v>
      </c>
      <c r="T2514" s="4">
        <f t="shared" si="10"/>
        <v>44</v>
      </c>
      <c r="U2514" s="4">
        <f t="shared" si="1"/>
        <v>0.07421531002</v>
      </c>
      <c r="V2514" s="4"/>
    </row>
    <row r="2515">
      <c r="A2515" s="1" t="s">
        <v>8700</v>
      </c>
      <c r="B2515" s="1" t="s">
        <v>8701</v>
      </c>
      <c r="C2515" s="1" t="s">
        <v>8702</v>
      </c>
      <c r="D2515" s="1" t="s">
        <v>8446</v>
      </c>
      <c r="E2515" s="1" t="s">
        <v>8447</v>
      </c>
      <c r="F2515" s="1">
        <v>2381874.0</v>
      </c>
      <c r="G2515" s="1">
        <v>60074.0</v>
      </c>
      <c r="H2515" s="1">
        <v>5171.0</v>
      </c>
      <c r="I2515" s="1">
        <v>4910000.0</v>
      </c>
      <c r="J2515" s="1" t="s">
        <v>2468</v>
      </c>
      <c r="K2515" s="5">
        <f t="shared" si="2"/>
        <v>0.485106721</v>
      </c>
      <c r="L2515" s="6">
        <f t="shared" si="3"/>
        <v>1218</v>
      </c>
      <c r="M2515" s="6">
        <f t="shared" si="4"/>
        <v>1955.561576</v>
      </c>
      <c r="N2515" s="7">
        <f t="shared" si="5"/>
        <v>0.0003982813801</v>
      </c>
      <c r="O2515" s="7"/>
      <c r="P2515" s="4">
        <f t="shared" si="6"/>
        <v>-0.168991104</v>
      </c>
      <c r="Q2515" s="4">
        <f t="shared" si="7"/>
        <v>7</v>
      </c>
      <c r="R2515" s="4">
        <f t="shared" si="8"/>
        <v>0</v>
      </c>
      <c r="S2515" s="4">
        <f t="shared" si="9"/>
        <v>-0.168991104</v>
      </c>
      <c r="T2515" s="4">
        <f t="shared" si="10"/>
        <v>29</v>
      </c>
      <c r="U2515" s="4">
        <f t="shared" si="1"/>
        <v>-0.168991104</v>
      </c>
      <c r="V2515" s="4"/>
    </row>
    <row r="2516">
      <c r="A2516" s="1" t="s">
        <v>8703</v>
      </c>
      <c r="B2516" s="1" t="s">
        <v>8704</v>
      </c>
      <c r="C2516" s="1" t="s">
        <v>8705</v>
      </c>
      <c r="D2516" s="1" t="s">
        <v>8446</v>
      </c>
      <c r="E2516" s="1" t="s">
        <v>8447</v>
      </c>
      <c r="F2516" s="1">
        <v>3045337.0</v>
      </c>
      <c r="G2516" s="1">
        <v>51751.0</v>
      </c>
      <c r="H2516" s="1">
        <v>4562.0</v>
      </c>
      <c r="I2516" s="1">
        <v>4910000.0</v>
      </c>
      <c r="J2516" s="1" t="s">
        <v>2468</v>
      </c>
      <c r="K2516" s="5">
        <f t="shared" si="2"/>
        <v>0.6202315682</v>
      </c>
      <c r="L2516" s="6">
        <f t="shared" si="3"/>
        <v>1234</v>
      </c>
      <c r="M2516" s="6">
        <f t="shared" si="4"/>
        <v>2467.858185</v>
      </c>
      <c r="N2516" s="7">
        <f t="shared" si="5"/>
        <v>0.0005026187749</v>
      </c>
      <c r="O2516" s="7"/>
      <c r="P2516" s="4">
        <f t="shared" si="6"/>
        <v>-0.09549965906</v>
      </c>
      <c r="Q2516" s="4">
        <f t="shared" si="7"/>
        <v>7</v>
      </c>
      <c r="R2516" s="4">
        <f t="shared" si="8"/>
        <v>0</v>
      </c>
      <c r="S2516" s="4">
        <f t="shared" si="9"/>
        <v>-0.09549965906</v>
      </c>
      <c r="T2516" s="4">
        <f t="shared" si="10"/>
        <v>41</v>
      </c>
      <c r="U2516" s="4">
        <f t="shared" si="1"/>
        <v>-0.09549965906</v>
      </c>
      <c r="V2516" s="4"/>
    </row>
    <row r="2517">
      <c r="A2517" s="1" t="s">
        <v>8706</v>
      </c>
      <c r="B2517" s="1" t="s">
        <v>8707</v>
      </c>
      <c r="C2517" s="1" t="s">
        <v>8708</v>
      </c>
      <c r="D2517" s="1" t="s">
        <v>8446</v>
      </c>
      <c r="E2517" s="1" t="s">
        <v>8447</v>
      </c>
      <c r="F2517" s="1">
        <v>3085681.0</v>
      </c>
      <c r="G2517" s="1">
        <v>79031.0</v>
      </c>
      <c r="H2517" s="1">
        <v>9350.0</v>
      </c>
      <c r="I2517" s="1">
        <v>4910000.0</v>
      </c>
      <c r="J2517" s="1" t="s">
        <v>2468</v>
      </c>
      <c r="K2517" s="5">
        <f t="shared" si="2"/>
        <v>0.6284482688</v>
      </c>
      <c r="L2517" s="6">
        <f t="shared" si="3"/>
        <v>1245</v>
      </c>
      <c r="M2517" s="6">
        <f t="shared" si="4"/>
        <v>2478.458635</v>
      </c>
      <c r="N2517" s="7">
        <f t="shared" si="5"/>
        <v>0.000504777726</v>
      </c>
      <c r="O2517" s="7"/>
      <c r="P2517" s="4">
        <f t="shared" si="6"/>
        <v>-0.09397897289</v>
      </c>
      <c r="Q2517" s="4">
        <f t="shared" si="7"/>
        <v>6</v>
      </c>
      <c r="R2517" s="4">
        <f t="shared" si="8"/>
        <v>0</v>
      </c>
      <c r="S2517" s="4">
        <f t="shared" si="9"/>
        <v>-0.09397897289</v>
      </c>
      <c r="T2517" s="4">
        <f t="shared" si="10"/>
        <v>29</v>
      </c>
      <c r="U2517" s="4">
        <f t="shared" si="1"/>
        <v>-0.09397897289</v>
      </c>
      <c r="V2517" s="4"/>
    </row>
    <row r="2518">
      <c r="A2518" s="1" t="s">
        <v>8709</v>
      </c>
      <c r="B2518" s="1" t="s">
        <v>8710</v>
      </c>
      <c r="C2518" s="1" t="s">
        <v>8711</v>
      </c>
      <c r="D2518" s="1" t="s">
        <v>8446</v>
      </c>
      <c r="E2518" s="1" t="s">
        <v>8447</v>
      </c>
      <c r="F2518" s="1">
        <v>768249.0</v>
      </c>
      <c r="G2518" s="1">
        <v>30150.0</v>
      </c>
      <c r="H2518" s="1">
        <v>1634.0</v>
      </c>
      <c r="I2518" s="1">
        <v>4910000.0</v>
      </c>
      <c r="J2518" s="1" t="s">
        <v>2468</v>
      </c>
      <c r="K2518" s="5">
        <f t="shared" si="2"/>
        <v>0.1564661914</v>
      </c>
      <c r="L2518" s="6">
        <f t="shared" si="3"/>
        <v>1262</v>
      </c>
      <c r="M2518" s="6">
        <f t="shared" si="4"/>
        <v>608.7551506</v>
      </c>
      <c r="N2518" s="7">
        <f t="shared" si="5"/>
        <v>0.0001239827191</v>
      </c>
      <c r="O2518" s="7"/>
      <c r="P2518" s="4">
        <f t="shared" si="6"/>
        <v>-0.3621970489</v>
      </c>
      <c r="Q2518" s="4">
        <f t="shared" si="7"/>
        <v>6</v>
      </c>
      <c r="R2518" s="4">
        <f t="shared" si="8"/>
        <v>0</v>
      </c>
      <c r="S2518" s="4">
        <f t="shared" si="9"/>
        <v>-0.3621970489</v>
      </c>
      <c r="T2518" s="4">
        <f t="shared" si="10"/>
        <v>32</v>
      </c>
      <c r="U2518" s="4">
        <f t="shared" si="1"/>
        <v>-0.3621970489</v>
      </c>
      <c r="V2518" s="4"/>
    </row>
    <row r="2519">
      <c r="A2519" s="1" t="s">
        <v>8712</v>
      </c>
      <c r="B2519" s="1" t="s">
        <v>8713</v>
      </c>
      <c r="C2519" s="1" t="s">
        <v>8714</v>
      </c>
      <c r="D2519" s="1" t="s">
        <v>8446</v>
      </c>
      <c r="E2519" s="1" t="s">
        <v>8447</v>
      </c>
      <c r="F2519" s="1">
        <v>2870671.0</v>
      </c>
      <c r="G2519" s="1">
        <v>58918.0</v>
      </c>
      <c r="H2519" s="1">
        <v>2870.0</v>
      </c>
      <c r="I2519" s="1">
        <v>4910000.0</v>
      </c>
      <c r="J2519" s="1" t="s">
        <v>2468</v>
      </c>
      <c r="K2519" s="5">
        <f t="shared" si="2"/>
        <v>0.5846580448</v>
      </c>
      <c r="L2519" s="6">
        <f t="shared" si="3"/>
        <v>1273</v>
      </c>
      <c r="M2519" s="6">
        <f t="shared" si="4"/>
        <v>2255.043991</v>
      </c>
      <c r="N2519" s="7">
        <f t="shared" si="5"/>
        <v>0.0004592757618</v>
      </c>
      <c r="O2519" s="7"/>
      <c r="P2519" s="4">
        <f t="shared" si="6"/>
        <v>-0.1260288923</v>
      </c>
      <c r="Q2519" s="4">
        <f t="shared" si="7"/>
        <v>9</v>
      </c>
      <c r="R2519" s="4">
        <f t="shared" si="8"/>
        <v>0</v>
      </c>
      <c r="S2519" s="4">
        <f t="shared" si="9"/>
        <v>-0.1260288923</v>
      </c>
      <c r="T2519" s="4">
        <f t="shared" si="10"/>
        <v>27</v>
      </c>
      <c r="U2519" s="4">
        <f t="shared" si="1"/>
        <v>-0.1260288923</v>
      </c>
      <c r="V2519" s="4"/>
    </row>
    <row r="2520">
      <c r="A2520" s="1" t="s">
        <v>8715</v>
      </c>
      <c r="B2520" s="1" t="s">
        <v>8716</v>
      </c>
      <c r="C2520" s="1" t="s">
        <v>8717</v>
      </c>
      <c r="D2520" s="1" t="s">
        <v>8446</v>
      </c>
      <c r="E2520" s="1" t="s">
        <v>8447</v>
      </c>
      <c r="F2520" s="1">
        <v>1934247.0</v>
      </c>
      <c r="G2520" s="1">
        <v>65841.0</v>
      </c>
      <c r="H2520" s="1">
        <v>10829.0</v>
      </c>
      <c r="I2520" s="1">
        <v>4910000.0</v>
      </c>
      <c r="J2520" s="1" t="s">
        <v>2468</v>
      </c>
      <c r="K2520" s="5">
        <f t="shared" si="2"/>
        <v>0.3939403259</v>
      </c>
      <c r="L2520" s="6">
        <f t="shared" si="3"/>
        <v>1288</v>
      </c>
      <c r="M2520" s="6">
        <f t="shared" si="4"/>
        <v>1501.744565</v>
      </c>
      <c r="N2520" s="7">
        <f t="shared" si="5"/>
        <v>0.0003058542903</v>
      </c>
      <c r="O2520" s="7"/>
      <c r="P2520" s="4">
        <f t="shared" si="6"/>
        <v>-0.2340933657</v>
      </c>
      <c r="Q2520" s="4">
        <f t="shared" si="7"/>
        <v>3</v>
      </c>
      <c r="R2520" s="4">
        <f t="shared" si="8"/>
        <v>0</v>
      </c>
      <c r="S2520" s="4">
        <f t="shared" si="9"/>
        <v>-0.2340933657</v>
      </c>
      <c r="T2520" s="4">
        <f t="shared" si="10"/>
        <v>14</v>
      </c>
      <c r="U2520" s="4">
        <f t="shared" si="1"/>
        <v>-0.2340933657</v>
      </c>
      <c r="V2520" s="4"/>
    </row>
    <row r="2521">
      <c r="A2521" s="1" t="s">
        <v>8718</v>
      </c>
      <c r="B2521" s="1" t="s">
        <v>8719</v>
      </c>
      <c r="C2521" s="1" t="s">
        <v>8720</v>
      </c>
      <c r="D2521" s="1" t="s">
        <v>8446</v>
      </c>
      <c r="E2521" s="1" t="s">
        <v>8447</v>
      </c>
      <c r="F2521" s="1">
        <v>3757679.0</v>
      </c>
      <c r="G2521" s="1">
        <v>78623.0</v>
      </c>
      <c r="H2521" s="1">
        <v>3546.0</v>
      </c>
      <c r="I2521" s="1">
        <v>4910000.0</v>
      </c>
      <c r="J2521" s="1" t="s">
        <v>2468</v>
      </c>
      <c r="K2521" s="5">
        <f t="shared" si="2"/>
        <v>0.7653114053</v>
      </c>
      <c r="L2521" s="6">
        <f t="shared" si="3"/>
        <v>1302</v>
      </c>
      <c r="M2521" s="6">
        <f t="shared" si="4"/>
        <v>2886.082181</v>
      </c>
      <c r="N2521" s="7">
        <f t="shared" si="5"/>
        <v>0.0005877967783</v>
      </c>
      <c r="O2521" s="7"/>
      <c r="P2521" s="4">
        <f t="shared" si="6"/>
        <v>-0.03550338873</v>
      </c>
      <c r="Q2521" s="4">
        <f t="shared" si="7"/>
        <v>8</v>
      </c>
      <c r="R2521" s="4">
        <f t="shared" si="8"/>
        <v>0</v>
      </c>
      <c r="S2521" s="4">
        <f t="shared" si="9"/>
        <v>-0.03550338873</v>
      </c>
      <c r="T2521" s="4">
        <f t="shared" si="10"/>
        <v>49</v>
      </c>
      <c r="U2521" s="4">
        <f t="shared" si="1"/>
        <v>-0.03550338873</v>
      </c>
      <c r="V2521" s="4"/>
    </row>
    <row r="2522">
      <c r="A2522" s="1" t="s">
        <v>8721</v>
      </c>
      <c r="B2522" s="1" t="s">
        <v>8722</v>
      </c>
      <c r="C2522" s="1" t="s">
        <v>8723</v>
      </c>
      <c r="D2522" s="1" t="s">
        <v>8446</v>
      </c>
      <c r="E2522" s="1" t="s">
        <v>8447</v>
      </c>
      <c r="F2522" s="1">
        <v>1822355.0</v>
      </c>
      <c r="G2522" s="1">
        <v>38198.0</v>
      </c>
      <c r="H2522" s="1">
        <v>2297.0</v>
      </c>
      <c r="I2522" s="1">
        <v>4910000.0</v>
      </c>
      <c r="J2522" s="1" t="s">
        <v>2468</v>
      </c>
      <c r="K2522" s="5">
        <f t="shared" si="2"/>
        <v>0.3711517312</v>
      </c>
      <c r="L2522" s="6">
        <f t="shared" si="3"/>
        <v>1317</v>
      </c>
      <c r="M2522" s="6">
        <f t="shared" si="4"/>
        <v>1383.716781</v>
      </c>
      <c r="N2522" s="7">
        <f t="shared" si="5"/>
        <v>0.0002818160449</v>
      </c>
      <c r="O2522" s="7"/>
      <c r="P2522" s="4">
        <f t="shared" si="6"/>
        <v>-0.2510250266</v>
      </c>
      <c r="Q2522" s="4">
        <f t="shared" si="7"/>
        <v>7</v>
      </c>
      <c r="R2522" s="4">
        <f t="shared" si="8"/>
        <v>0</v>
      </c>
      <c r="S2522" s="4">
        <f t="shared" si="9"/>
        <v>-0.2510250266</v>
      </c>
      <c r="T2522" s="4">
        <f t="shared" si="10"/>
        <v>46</v>
      </c>
      <c r="U2522" s="4">
        <f t="shared" si="1"/>
        <v>-0.2510250266</v>
      </c>
      <c r="V2522" s="4"/>
    </row>
    <row r="2523">
      <c r="A2523" s="1" t="s">
        <v>8724</v>
      </c>
      <c r="B2523" s="1" t="s">
        <v>8725</v>
      </c>
      <c r="C2523" s="1" t="s">
        <v>8726</v>
      </c>
      <c r="D2523" s="1" t="s">
        <v>8446</v>
      </c>
      <c r="E2523" s="1" t="s">
        <v>8447</v>
      </c>
      <c r="F2523" s="1">
        <v>3540945.0</v>
      </c>
      <c r="G2523" s="1">
        <v>72723.0</v>
      </c>
      <c r="H2523" s="1">
        <v>7455.0</v>
      </c>
      <c r="I2523" s="1">
        <v>4910000.0</v>
      </c>
      <c r="J2523" s="1" t="s">
        <v>2468</v>
      </c>
      <c r="K2523" s="5">
        <f t="shared" si="2"/>
        <v>0.7211700611</v>
      </c>
      <c r="L2523" s="6">
        <f t="shared" si="3"/>
        <v>1332</v>
      </c>
      <c r="M2523" s="6">
        <f t="shared" si="4"/>
        <v>2658.367117</v>
      </c>
      <c r="N2523" s="7">
        <f t="shared" si="5"/>
        <v>0.0005414189648</v>
      </c>
      <c r="O2523" s="7"/>
      <c r="P2523" s="4">
        <f t="shared" si="6"/>
        <v>-0.06817022435</v>
      </c>
      <c r="Q2523" s="4">
        <f t="shared" si="7"/>
        <v>8</v>
      </c>
      <c r="R2523" s="4">
        <f t="shared" si="8"/>
        <v>0</v>
      </c>
      <c r="S2523" s="4">
        <f t="shared" si="9"/>
        <v>-0.06817022435</v>
      </c>
      <c r="T2523" s="4">
        <f t="shared" si="10"/>
        <v>35</v>
      </c>
      <c r="U2523" s="4">
        <f t="shared" si="1"/>
        <v>-0.06817022435</v>
      </c>
      <c r="V2523" s="4"/>
    </row>
    <row r="2524">
      <c r="A2524" s="1" t="s">
        <v>8727</v>
      </c>
      <c r="B2524" s="1" t="s">
        <v>8728</v>
      </c>
      <c r="C2524" s="1" t="s">
        <v>8729</v>
      </c>
      <c r="D2524" s="1" t="s">
        <v>8446</v>
      </c>
      <c r="E2524" s="1" t="s">
        <v>8447</v>
      </c>
      <c r="F2524" s="1">
        <v>1469601.0</v>
      </c>
      <c r="G2524" s="1">
        <v>54057.0</v>
      </c>
      <c r="H2524" s="1">
        <v>3117.0</v>
      </c>
      <c r="I2524" s="1">
        <v>4910000.0</v>
      </c>
      <c r="J2524" s="1" t="s">
        <v>2468</v>
      </c>
      <c r="K2524" s="5">
        <f t="shared" si="2"/>
        <v>0.2993077393</v>
      </c>
      <c r="L2524" s="6">
        <f t="shared" si="3"/>
        <v>1344</v>
      </c>
      <c r="M2524" s="6">
        <f t="shared" si="4"/>
        <v>1093.453125</v>
      </c>
      <c r="N2524" s="7">
        <f t="shared" si="5"/>
        <v>0.0002226992108</v>
      </c>
      <c r="O2524" s="7"/>
      <c r="P2524" s="4">
        <f t="shared" si="6"/>
        <v>-0.2926647625</v>
      </c>
      <c r="Q2524" s="4">
        <f t="shared" si="7"/>
        <v>5</v>
      </c>
      <c r="R2524" s="4">
        <f t="shared" si="8"/>
        <v>0</v>
      </c>
      <c r="S2524" s="4">
        <f t="shared" si="9"/>
        <v>-0.2926647625</v>
      </c>
      <c r="T2524" s="4">
        <f t="shared" si="10"/>
        <v>21</v>
      </c>
      <c r="U2524" s="4">
        <f t="shared" si="1"/>
        <v>-0.2926647625</v>
      </c>
      <c r="V2524" s="4"/>
    </row>
    <row r="2525">
      <c r="A2525" s="1" t="s">
        <v>8730</v>
      </c>
      <c r="B2525" s="1" t="s">
        <v>8731</v>
      </c>
      <c r="C2525" s="1" t="s">
        <v>8732</v>
      </c>
      <c r="D2525" s="1" t="s">
        <v>8446</v>
      </c>
      <c r="E2525" s="1" t="s">
        <v>8447</v>
      </c>
      <c r="F2525" s="1">
        <v>1882850.0</v>
      </c>
      <c r="G2525" s="1">
        <v>46842.0</v>
      </c>
      <c r="H2525" s="1">
        <v>3765.0</v>
      </c>
      <c r="I2525" s="1">
        <v>4910000.0</v>
      </c>
      <c r="J2525" s="1" t="s">
        <v>2468</v>
      </c>
      <c r="K2525" s="5">
        <f t="shared" si="2"/>
        <v>0.3834725051</v>
      </c>
      <c r="L2525" s="6">
        <f t="shared" si="3"/>
        <v>1360</v>
      </c>
      <c r="M2525" s="6">
        <f t="shared" si="4"/>
        <v>1384.448529</v>
      </c>
      <c r="N2525" s="7">
        <f t="shared" si="5"/>
        <v>0.0002819650773</v>
      </c>
      <c r="O2525" s="7"/>
      <c r="P2525" s="4">
        <f t="shared" si="6"/>
        <v>-0.2509200537</v>
      </c>
      <c r="Q2525" s="4">
        <f t="shared" si="7"/>
        <v>8</v>
      </c>
      <c r="R2525" s="4">
        <f t="shared" si="8"/>
        <v>0</v>
      </c>
      <c r="S2525" s="4">
        <f t="shared" si="9"/>
        <v>-0.2509200537</v>
      </c>
      <c r="T2525" s="4">
        <f t="shared" si="10"/>
        <v>48</v>
      </c>
      <c r="U2525" s="4">
        <f t="shared" si="1"/>
        <v>-0.2509200537</v>
      </c>
      <c r="V2525" s="4"/>
    </row>
    <row r="2526">
      <c r="A2526" s="1" t="s">
        <v>8733</v>
      </c>
      <c r="B2526" s="1" t="s">
        <v>8734</v>
      </c>
      <c r="C2526" s="1" t="s">
        <v>8735</v>
      </c>
      <c r="D2526" s="1" t="s">
        <v>8446</v>
      </c>
      <c r="E2526" s="1" t="s">
        <v>8447</v>
      </c>
      <c r="F2526" s="1">
        <v>4214921.0</v>
      </c>
      <c r="G2526" s="1">
        <v>90517.0</v>
      </c>
      <c r="H2526" s="1">
        <v>6452.0</v>
      </c>
      <c r="I2526" s="1">
        <v>4910000.0</v>
      </c>
      <c r="J2526" s="1" t="s">
        <v>2468</v>
      </c>
      <c r="K2526" s="5">
        <f t="shared" si="2"/>
        <v>0.8584360489</v>
      </c>
      <c r="L2526" s="6">
        <f t="shared" si="3"/>
        <v>1373</v>
      </c>
      <c r="M2526" s="6">
        <f t="shared" si="4"/>
        <v>3069.862345</v>
      </c>
      <c r="N2526" s="7">
        <f t="shared" si="5"/>
        <v>0.0006252265469</v>
      </c>
      <c r="O2526" s="7"/>
      <c r="P2526" s="4">
        <f t="shared" si="6"/>
        <v>-0.009139228634</v>
      </c>
      <c r="Q2526" s="4">
        <f t="shared" si="7"/>
        <v>5</v>
      </c>
      <c r="R2526" s="4">
        <f t="shared" si="8"/>
        <v>0</v>
      </c>
      <c r="S2526" s="4">
        <f t="shared" si="9"/>
        <v>-0.009139228634</v>
      </c>
      <c r="T2526" s="4">
        <f t="shared" si="10"/>
        <v>19</v>
      </c>
      <c r="U2526" s="4">
        <f t="shared" si="1"/>
        <v>-0.009139228634</v>
      </c>
      <c r="V2526" s="4"/>
    </row>
    <row r="2527">
      <c r="A2527" s="1" t="s">
        <v>8736</v>
      </c>
      <c r="B2527" s="1" t="s">
        <v>8737</v>
      </c>
      <c r="C2527" s="1" t="s">
        <v>8738</v>
      </c>
      <c r="D2527" s="1" t="s">
        <v>8446</v>
      </c>
      <c r="E2527" s="1" t="s">
        <v>8447</v>
      </c>
      <c r="F2527" s="1">
        <v>7465521.0</v>
      </c>
      <c r="G2527" s="1">
        <v>150519.0</v>
      </c>
      <c r="H2527" s="1">
        <v>7208.0</v>
      </c>
      <c r="I2527" s="1">
        <v>4910000.0</v>
      </c>
      <c r="J2527" s="1" t="s">
        <v>2468</v>
      </c>
      <c r="K2527" s="5">
        <f t="shared" si="2"/>
        <v>1.520472709</v>
      </c>
      <c r="L2527" s="6">
        <f t="shared" si="3"/>
        <v>1387</v>
      </c>
      <c r="M2527" s="6">
        <f t="shared" si="4"/>
        <v>5382.495314</v>
      </c>
      <c r="N2527" s="7">
        <f t="shared" si="5"/>
        <v>0.001096231225</v>
      </c>
      <c r="O2527" s="7"/>
      <c r="P2527" s="4">
        <f t="shared" si="6"/>
        <v>0.3226192403</v>
      </c>
      <c r="Q2527" s="4">
        <f t="shared" si="7"/>
        <v>6</v>
      </c>
      <c r="R2527" s="4">
        <f t="shared" si="8"/>
        <v>0</v>
      </c>
      <c r="S2527" s="4">
        <f t="shared" si="9"/>
        <v>0.3226192403</v>
      </c>
      <c r="T2527" s="4">
        <f t="shared" si="10"/>
        <v>40</v>
      </c>
      <c r="U2527" s="4">
        <f t="shared" si="1"/>
        <v>0.3226192403</v>
      </c>
      <c r="V2527" s="4"/>
    </row>
    <row r="2528">
      <c r="A2528" s="1" t="s">
        <v>8739</v>
      </c>
      <c r="B2528" s="1" t="s">
        <v>8740</v>
      </c>
      <c r="C2528" s="1" t="s">
        <v>8741</v>
      </c>
      <c r="D2528" s="1" t="s">
        <v>8446</v>
      </c>
      <c r="E2528" s="1" t="s">
        <v>8447</v>
      </c>
      <c r="F2528" s="1">
        <v>3541237.0</v>
      </c>
      <c r="G2528" s="1">
        <v>78739.0</v>
      </c>
      <c r="H2528" s="1">
        <v>5532.0</v>
      </c>
      <c r="I2528" s="1">
        <v>4910000.0</v>
      </c>
      <c r="J2528" s="1" t="s">
        <v>2468</v>
      </c>
      <c r="K2528" s="5">
        <f t="shared" si="2"/>
        <v>0.7212295316</v>
      </c>
      <c r="L2528" s="6">
        <f t="shared" si="3"/>
        <v>1400</v>
      </c>
      <c r="M2528" s="6">
        <f t="shared" si="4"/>
        <v>2529.455</v>
      </c>
      <c r="N2528" s="7">
        <f t="shared" si="5"/>
        <v>0.0005151639511</v>
      </c>
      <c r="O2528" s="7"/>
      <c r="P2528" s="4">
        <f t="shared" si="6"/>
        <v>-0.08666329575</v>
      </c>
      <c r="Q2528" s="4">
        <f t="shared" si="7"/>
        <v>3</v>
      </c>
      <c r="R2528" s="4">
        <f t="shared" si="8"/>
        <v>0</v>
      </c>
      <c r="S2528" s="4">
        <f t="shared" si="9"/>
        <v>-0.08666329575</v>
      </c>
      <c r="T2528" s="4">
        <f t="shared" si="10"/>
        <v>24</v>
      </c>
      <c r="U2528" s="4">
        <f t="shared" si="1"/>
        <v>-0.08666329575</v>
      </c>
      <c r="V2528" s="4"/>
    </row>
    <row r="2529">
      <c r="A2529" s="1" t="s">
        <v>8742</v>
      </c>
      <c r="B2529" s="1" t="s">
        <v>8743</v>
      </c>
      <c r="C2529" s="1" t="s">
        <v>8744</v>
      </c>
      <c r="D2529" s="1" t="s">
        <v>8446</v>
      </c>
      <c r="E2529" s="1" t="s">
        <v>8447</v>
      </c>
      <c r="F2529" s="1">
        <v>6130988.0</v>
      </c>
      <c r="G2529" s="1">
        <v>84122.0</v>
      </c>
      <c r="H2529" s="1">
        <v>5738.0</v>
      </c>
      <c r="I2529" s="1">
        <v>4910000.0</v>
      </c>
      <c r="J2529" s="1" t="s">
        <v>2468</v>
      </c>
      <c r="K2529" s="5">
        <f t="shared" si="2"/>
        <v>1.248673727</v>
      </c>
      <c r="L2529" s="6">
        <f t="shared" si="3"/>
        <v>1415</v>
      </c>
      <c r="M2529" s="6">
        <f t="shared" si="4"/>
        <v>4332.85371</v>
      </c>
      <c r="N2529" s="7">
        <f t="shared" si="5"/>
        <v>0.0008824549308</v>
      </c>
      <c r="O2529" s="7"/>
      <c r="P2529" s="4">
        <f t="shared" si="6"/>
        <v>0.1720430373</v>
      </c>
      <c r="Q2529" s="4">
        <f t="shared" si="7"/>
        <v>6</v>
      </c>
      <c r="R2529" s="4">
        <f t="shared" si="8"/>
        <v>0</v>
      </c>
      <c r="S2529" s="4">
        <f t="shared" si="9"/>
        <v>0.1720430373</v>
      </c>
      <c r="T2529" s="4">
        <f t="shared" si="10"/>
        <v>34</v>
      </c>
      <c r="U2529" s="4">
        <f t="shared" si="1"/>
        <v>0.1720430373</v>
      </c>
      <c r="V2529" s="4"/>
    </row>
    <row r="2530">
      <c r="A2530" s="1" t="s">
        <v>21129</v>
      </c>
      <c r="B2530" s="1" t="s">
        <v>21130</v>
      </c>
      <c r="C2530" s="1" t="s">
        <v>21131</v>
      </c>
      <c r="D2530" s="1" t="s">
        <v>21132</v>
      </c>
      <c r="E2530" s="1" t="s">
        <v>21133</v>
      </c>
      <c r="F2530" s="1">
        <v>1915.0</v>
      </c>
      <c r="G2530" s="1">
        <v>16.0</v>
      </c>
      <c r="H2530" s="1">
        <v>1.0</v>
      </c>
      <c r="I2530" s="1">
        <v>717000.0</v>
      </c>
      <c r="J2530" s="1" t="s">
        <v>2468</v>
      </c>
      <c r="K2530" s="5">
        <f t="shared" si="2"/>
        <v>0.002670850767</v>
      </c>
      <c r="L2530" s="6">
        <f t="shared" si="3"/>
        <v>154</v>
      </c>
      <c r="M2530" s="6">
        <f t="shared" si="4"/>
        <v>12.43506494</v>
      </c>
      <c r="N2530" s="7">
        <f t="shared" si="5"/>
        <v>0.0000173431868</v>
      </c>
      <c r="O2530" s="7"/>
      <c r="P2530" s="4">
        <f t="shared" si="6"/>
        <v>-0.4373100352</v>
      </c>
      <c r="Q2530" s="4">
        <f t="shared" si="7"/>
        <v>6</v>
      </c>
      <c r="R2530" s="4">
        <f t="shared" si="8"/>
        <v>0</v>
      </c>
      <c r="S2530" s="4">
        <f t="shared" si="9"/>
        <v>-0.4373100352</v>
      </c>
      <c r="T2530" s="4">
        <f t="shared" si="10"/>
        <v>36</v>
      </c>
      <c r="U2530" s="4">
        <f t="shared" si="1"/>
        <v>-0.4373100352</v>
      </c>
      <c r="V2530" s="4"/>
    </row>
    <row r="2531">
      <c r="A2531" s="1" t="s">
        <v>21134</v>
      </c>
      <c r="B2531" s="1" t="s">
        <v>21135</v>
      </c>
      <c r="C2531" s="1" t="s">
        <v>21136</v>
      </c>
      <c r="D2531" s="1" t="s">
        <v>21132</v>
      </c>
      <c r="E2531" s="1" t="s">
        <v>21133</v>
      </c>
      <c r="F2531" s="1">
        <v>1689.0</v>
      </c>
      <c r="G2531" s="1">
        <v>37.0</v>
      </c>
      <c r="H2531" s="1">
        <v>4.0</v>
      </c>
      <c r="I2531" s="1">
        <v>717000.0</v>
      </c>
      <c r="J2531" s="1" t="s">
        <v>2468</v>
      </c>
      <c r="K2531" s="5">
        <f t="shared" si="2"/>
        <v>0.002355648536</v>
      </c>
      <c r="L2531" s="6">
        <f t="shared" si="3"/>
        <v>155</v>
      </c>
      <c r="M2531" s="6">
        <f t="shared" si="4"/>
        <v>10.89677419</v>
      </c>
      <c r="N2531" s="7">
        <f t="shared" si="5"/>
        <v>0.00001519773249</v>
      </c>
      <c r="O2531" s="7"/>
      <c r="P2531" s="4">
        <f t="shared" si="6"/>
        <v>-0.4388212148</v>
      </c>
      <c r="Q2531" s="4">
        <f t="shared" si="7"/>
        <v>6</v>
      </c>
      <c r="R2531" s="4">
        <f t="shared" si="8"/>
        <v>0</v>
      </c>
      <c r="S2531" s="4">
        <f t="shared" si="9"/>
        <v>-0.4388212148</v>
      </c>
      <c r="T2531" s="4">
        <f t="shared" si="10"/>
        <v>29</v>
      </c>
      <c r="U2531" s="4">
        <f t="shared" si="1"/>
        <v>-0.4388212148</v>
      </c>
      <c r="V2531" s="4"/>
    </row>
    <row r="2532">
      <c r="A2532" s="1" t="s">
        <v>21137</v>
      </c>
      <c r="B2532" s="1" t="s">
        <v>21138</v>
      </c>
      <c r="C2532" s="1" t="s">
        <v>21139</v>
      </c>
      <c r="D2532" s="1" t="s">
        <v>21132</v>
      </c>
      <c r="E2532" s="1" t="s">
        <v>21133</v>
      </c>
      <c r="F2532" s="1">
        <v>1325.0</v>
      </c>
      <c r="G2532" s="1">
        <v>8.0</v>
      </c>
      <c r="H2532" s="1">
        <v>2.0</v>
      </c>
      <c r="I2532" s="1">
        <v>717000.0</v>
      </c>
      <c r="J2532" s="1" t="s">
        <v>2468</v>
      </c>
      <c r="K2532" s="5">
        <f t="shared" si="2"/>
        <v>0.001847977685</v>
      </c>
      <c r="L2532" s="6">
        <f t="shared" si="3"/>
        <v>156</v>
      </c>
      <c r="M2532" s="6">
        <f t="shared" si="4"/>
        <v>8.493589744</v>
      </c>
      <c r="N2532" s="7">
        <f t="shared" si="5"/>
        <v>0.0000118460108</v>
      </c>
      <c r="O2532" s="7"/>
      <c r="P2532" s="4">
        <f t="shared" si="6"/>
        <v>-0.441182045</v>
      </c>
      <c r="Q2532" s="4">
        <f t="shared" si="7"/>
        <v>7</v>
      </c>
      <c r="R2532" s="4">
        <f t="shared" si="8"/>
        <v>1</v>
      </c>
      <c r="S2532" s="4">
        <f t="shared" si="9"/>
        <v>-0.441182045</v>
      </c>
      <c r="T2532" s="4">
        <f t="shared" si="10"/>
        <v>31</v>
      </c>
      <c r="U2532" s="4">
        <f t="shared" si="1"/>
        <v>-0.441182045</v>
      </c>
      <c r="V2532" s="4"/>
    </row>
    <row r="2533">
      <c r="A2533" s="1" t="s">
        <v>21140</v>
      </c>
      <c r="B2533" s="1" t="s">
        <v>21141</v>
      </c>
      <c r="C2533" s="1" t="s">
        <v>21142</v>
      </c>
      <c r="D2533" s="1" t="s">
        <v>21132</v>
      </c>
      <c r="E2533" s="1" t="s">
        <v>21133</v>
      </c>
      <c r="F2533" s="1">
        <v>3224.0</v>
      </c>
      <c r="G2533" s="1">
        <v>30.0</v>
      </c>
      <c r="H2533" s="1">
        <v>2.0</v>
      </c>
      <c r="I2533" s="1">
        <v>717000.0</v>
      </c>
      <c r="J2533" s="1" t="s">
        <v>2468</v>
      </c>
      <c r="K2533" s="5">
        <f t="shared" si="2"/>
        <v>0.00449651325</v>
      </c>
      <c r="L2533" s="6">
        <f t="shared" si="3"/>
        <v>300</v>
      </c>
      <c r="M2533" s="6">
        <f t="shared" si="4"/>
        <v>10.74666667</v>
      </c>
      <c r="N2533" s="7">
        <f t="shared" si="5"/>
        <v>0.0000149883775</v>
      </c>
      <c r="O2533" s="7"/>
      <c r="P2533" s="4">
        <f t="shared" si="6"/>
        <v>-0.4389686768</v>
      </c>
      <c r="Q2533" s="4">
        <f t="shared" si="7"/>
        <v>8</v>
      </c>
      <c r="R2533" s="4">
        <f t="shared" si="8"/>
        <v>0</v>
      </c>
      <c r="S2533" s="4">
        <f t="shared" si="9"/>
        <v>-0.4389686768</v>
      </c>
      <c r="T2533" s="4">
        <f t="shared" si="10"/>
        <v>33</v>
      </c>
      <c r="U2533" s="4">
        <f t="shared" si="1"/>
        <v>-0.4389686768</v>
      </c>
      <c r="V2533" s="4"/>
    </row>
    <row r="2534">
      <c r="A2534" s="1" t="s">
        <v>21143</v>
      </c>
      <c r="B2534" s="1" t="s">
        <v>21144</v>
      </c>
      <c r="C2534" s="1" t="s">
        <v>21145</v>
      </c>
      <c r="D2534" s="1" t="s">
        <v>21132</v>
      </c>
      <c r="E2534" s="1" t="s">
        <v>21133</v>
      </c>
      <c r="F2534" s="1">
        <v>6443.0</v>
      </c>
      <c r="G2534" s="1">
        <v>204.0</v>
      </c>
      <c r="H2534" s="1">
        <v>8.0</v>
      </c>
      <c r="I2534" s="1">
        <v>717000.0</v>
      </c>
      <c r="J2534" s="1" t="s">
        <v>2468</v>
      </c>
      <c r="K2534" s="5">
        <f t="shared" si="2"/>
        <v>0.008986052999</v>
      </c>
      <c r="L2534" s="6">
        <f t="shared" si="3"/>
        <v>302</v>
      </c>
      <c r="M2534" s="6">
        <f t="shared" si="4"/>
        <v>21.33443709</v>
      </c>
      <c r="N2534" s="7">
        <f t="shared" si="5"/>
        <v>0.00002975514238</v>
      </c>
      <c r="O2534" s="7"/>
      <c r="P2534" s="4">
        <f t="shared" si="6"/>
        <v>-0.4285675077</v>
      </c>
      <c r="Q2534" s="4">
        <f t="shared" si="7"/>
        <v>2</v>
      </c>
      <c r="R2534" s="4">
        <f t="shared" si="8"/>
        <v>0</v>
      </c>
      <c r="S2534" s="4">
        <f t="shared" si="9"/>
        <v>-0.4285675077</v>
      </c>
      <c r="T2534" s="4">
        <f t="shared" si="10"/>
        <v>17</v>
      </c>
      <c r="U2534" s="4">
        <f t="shared" si="1"/>
        <v>-0.4285675077</v>
      </c>
      <c r="V2534" s="4"/>
    </row>
    <row r="2535">
      <c r="A2535" s="1" t="s">
        <v>21146</v>
      </c>
      <c r="B2535" s="1" t="s">
        <v>21147</v>
      </c>
      <c r="C2535" s="1" t="s">
        <v>21148</v>
      </c>
      <c r="D2535" s="1" t="s">
        <v>21132</v>
      </c>
      <c r="E2535" s="1" t="s">
        <v>21133</v>
      </c>
      <c r="F2535" s="1">
        <v>2220.0</v>
      </c>
      <c r="G2535" s="1">
        <v>21.0</v>
      </c>
      <c r="H2535" s="1">
        <v>1.0</v>
      </c>
      <c r="I2535" s="1">
        <v>717000.0</v>
      </c>
      <c r="J2535" s="1" t="s">
        <v>2468</v>
      </c>
      <c r="K2535" s="5">
        <f t="shared" si="2"/>
        <v>0.00309623431</v>
      </c>
      <c r="L2535" s="6">
        <f t="shared" si="3"/>
        <v>303</v>
      </c>
      <c r="M2535" s="6">
        <f t="shared" si="4"/>
        <v>7.326732673</v>
      </c>
      <c r="N2535" s="7">
        <f t="shared" si="5"/>
        <v>0.00001021859508</v>
      </c>
      <c r="O2535" s="7"/>
      <c r="P2535" s="4">
        <f t="shared" si="6"/>
        <v>-0.4423283371</v>
      </c>
      <c r="Q2535" s="4">
        <f t="shared" si="7"/>
        <v>5</v>
      </c>
      <c r="R2535" s="4">
        <f t="shared" si="8"/>
        <v>0</v>
      </c>
      <c r="S2535" s="4">
        <f t="shared" si="9"/>
        <v>-0.4423283371</v>
      </c>
      <c r="T2535" s="4">
        <f t="shared" si="10"/>
        <v>24</v>
      </c>
      <c r="U2535" s="4">
        <f t="shared" si="1"/>
        <v>-0.4423283371</v>
      </c>
      <c r="V2535" s="4"/>
    </row>
    <row r="2536">
      <c r="A2536" s="1" t="s">
        <v>21149</v>
      </c>
      <c r="B2536" s="1" t="s">
        <v>21150</v>
      </c>
      <c r="C2536" s="1" t="s">
        <v>21151</v>
      </c>
      <c r="D2536" s="1" t="s">
        <v>21132</v>
      </c>
      <c r="E2536" s="1" t="s">
        <v>21133</v>
      </c>
      <c r="F2536" s="1">
        <v>7222.0</v>
      </c>
      <c r="G2536" s="1">
        <v>44.0</v>
      </c>
      <c r="H2536" s="1">
        <v>2.0</v>
      </c>
      <c r="I2536" s="1">
        <v>717000.0</v>
      </c>
      <c r="J2536" s="1" t="s">
        <v>2468</v>
      </c>
      <c r="K2536" s="5">
        <f t="shared" si="2"/>
        <v>0.01007252441</v>
      </c>
      <c r="L2536" s="6">
        <f t="shared" si="3"/>
        <v>314</v>
      </c>
      <c r="M2536" s="6">
        <f t="shared" si="4"/>
        <v>23</v>
      </c>
      <c r="N2536" s="7">
        <f t="shared" si="5"/>
        <v>0.00003207810321</v>
      </c>
      <c r="O2536" s="7"/>
      <c r="P2536" s="4">
        <f t="shared" si="6"/>
        <v>-0.426931299</v>
      </c>
      <c r="Q2536" s="4">
        <f t="shared" si="7"/>
        <v>5</v>
      </c>
      <c r="R2536" s="4">
        <f t="shared" si="8"/>
        <v>0</v>
      </c>
      <c r="S2536" s="4">
        <f t="shared" si="9"/>
        <v>-0.426931299</v>
      </c>
      <c r="T2536" s="4">
        <f t="shared" si="10"/>
        <v>23</v>
      </c>
      <c r="U2536" s="4">
        <f t="shared" si="1"/>
        <v>-0.426931299</v>
      </c>
      <c r="V2536" s="4"/>
    </row>
    <row r="2537">
      <c r="A2537" s="1" t="s">
        <v>21152</v>
      </c>
      <c r="B2537" s="1" t="s">
        <v>21153</v>
      </c>
      <c r="C2537" s="1" t="s">
        <v>21154</v>
      </c>
      <c r="D2537" s="1" t="s">
        <v>21132</v>
      </c>
      <c r="E2537" s="1" t="s">
        <v>21133</v>
      </c>
      <c r="F2537" s="1">
        <v>2168.0</v>
      </c>
      <c r="G2537" s="1">
        <v>29.0</v>
      </c>
      <c r="H2537" s="1">
        <v>0.0</v>
      </c>
      <c r="I2537" s="1">
        <v>717000.0</v>
      </c>
      <c r="J2537" s="1" t="s">
        <v>2468</v>
      </c>
      <c r="K2537" s="5">
        <f t="shared" si="2"/>
        <v>0.003023709902</v>
      </c>
      <c r="L2537" s="6">
        <f t="shared" si="3"/>
        <v>316</v>
      </c>
      <c r="M2537" s="6">
        <f t="shared" si="4"/>
        <v>6.860759494</v>
      </c>
      <c r="N2537" s="7">
        <f t="shared" si="5"/>
        <v>0.000009568702223</v>
      </c>
      <c r="O2537" s="7"/>
      <c r="P2537" s="4">
        <f t="shared" si="6"/>
        <v>-0.4427860978</v>
      </c>
      <c r="Q2537" s="4">
        <f t="shared" si="7"/>
        <v>4</v>
      </c>
      <c r="R2537" s="4">
        <f t="shared" si="8"/>
        <v>0</v>
      </c>
      <c r="S2537" s="4">
        <f t="shared" si="9"/>
        <v>-0.4427860978</v>
      </c>
      <c r="T2537" s="4">
        <f t="shared" si="10"/>
        <v>18</v>
      </c>
      <c r="U2537" s="4">
        <f t="shared" si="1"/>
        <v>-0.4427860978</v>
      </c>
      <c r="V2537" s="4"/>
    </row>
    <row r="2538">
      <c r="A2538" s="1" t="s">
        <v>21155</v>
      </c>
      <c r="B2538" s="1" t="s">
        <v>21156</v>
      </c>
      <c r="C2538" s="1" t="s">
        <v>21157</v>
      </c>
      <c r="D2538" s="1" t="s">
        <v>21132</v>
      </c>
      <c r="E2538" s="1" t="s">
        <v>21133</v>
      </c>
      <c r="F2538" s="1">
        <v>3554.0</v>
      </c>
      <c r="G2538" s="1">
        <v>21.0</v>
      </c>
      <c r="H2538" s="1">
        <v>0.0</v>
      </c>
      <c r="I2538" s="1">
        <v>717000.0</v>
      </c>
      <c r="J2538" s="1" t="s">
        <v>2468</v>
      </c>
      <c r="K2538" s="5">
        <f t="shared" si="2"/>
        <v>0.004956764296</v>
      </c>
      <c r="L2538" s="6">
        <f t="shared" si="3"/>
        <v>317</v>
      </c>
      <c r="M2538" s="6">
        <f t="shared" si="4"/>
        <v>11.21135647</v>
      </c>
      <c r="N2538" s="7">
        <f t="shared" si="5"/>
        <v>0.00001563648043</v>
      </c>
      <c r="O2538" s="7"/>
      <c r="P2538" s="4">
        <f t="shared" si="6"/>
        <v>-0.4385121768</v>
      </c>
      <c r="Q2538" s="4">
        <f t="shared" si="7"/>
        <v>2</v>
      </c>
      <c r="R2538" s="4">
        <f t="shared" si="8"/>
        <v>0</v>
      </c>
      <c r="S2538" s="4">
        <f t="shared" si="9"/>
        <v>-0.4385121768</v>
      </c>
      <c r="T2538" s="4">
        <f t="shared" si="10"/>
        <v>12</v>
      </c>
      <c r="U2538" s="4">
        <f t="shared" si="1"/>
        <v>-0.4385121768</v>
      </c>
      <c r="V2538" s="4"/>
    </row>
    <row r="2539">
      <c r="A2539" s="1" t="s">
        <v>21158</v>
      </c>
      <c r="B2539" s="1" t="s">
        <v>21159</v>
      </c>
      <c r="C2539" s="1" t="s">
        <v>21160</v>
      </c>
      <c r="D2539" s="1" t="s">
        <v>21132</v>
      </c>
      <c r="E2539" s="1" t="s">
        <v>21133</v>
      </c>
      <c r="F2539" s="1">
        <v>3615.0</v>
      </c>
      <c r="G2539" s="1">
        <v>32.0</v>
      </c>
      <c r="H2539" s="1">
        <v>3.0</v>
      </c>
      <c r="I2539" s="1">
        <v>717000.0</v>
      </c>
      <c r="J2539" s="1" t="s">
        <v>2468</v>
      </c>
      <c r="K2539" s="5">
        <f t="shared" si="2"/>
        <v>0.005041841004</v>
      </c>
      <c r="L2539" s="6">
        <f t="shared" si="3"/>
        <v>323</v>
      </c>
      <c r="M2539" s="6">
        <f t="shared" si="4"/>
        <v>11.19195046</v>
      </c>
      <c r="N2539" s="7">
        <f t="shared" si="5"/>
        <v>0.00001560941487</v>
      </c>
      <c r="O2539" s="7"/>
      <c r="P2539" s="4">
        <f t="shared" si="6"/>
        <v>-0.4385312408</v>
      </c>
      <c r="Q2539" s="4">
        <f t="shared" si="7"/>
        <v>6</v>
      </c>
      <c r="R2539" s="4">
        <f t="shared" si="8"/>
        <v>0</v>
      </c>
      <c r="S2539" s="4">
        <f t="shared" si="9"/>
        <v>-0.4385312408</v>
      </c>
      <c r="T2539" s="4">
        <f t="shared" si="10"/>
        <v>32</v>
      </c>
      <c r="U2539" s="4">
        <f t="shared" si="1"/>
        <v>-0.4385312408</v>
      </c>
      <c r="V2539" s="4"/>
    </row>
    <row r="2540">
      <c r="A2540" s="1" t="s">
        <v>21161</v>
      </c>
      <c r="B2540" s="1" t="s">
        <v>21162</v>
      </c>
      <c r="C2540" s="1" t="s">
        <v>21163</v>
      </c>
      <c r="D2540" s="1" t="s">
        <v>21132</v>
      </c>
      <c r="E2540" s="1" t="s">
        <v>21133</v>
      </c>
      <c r="F2540" s="1">
        <v>4383.0</v>
      </c>
      <c r="G2540" s="1">
        <v>35.0</v>
      </c>
      <c r="H2540" s="1">
        <v>1.0</v>
      </c>
      <c r="I2540" s="1">
        <v>717000.0</v>
      </c>
      <c r="J2540" s="1" t="s">
        <v>2468</v>
      </c>
      <c r="K2540" s="5">
        <f t="shared" si="2"/>
        <v>0.006112970711</v>
      </c>
      <c r="L2540" s="6">
        <f t="shared" si="3"/>
        <v>328</v>
      </c>
      <c r="M2540" s="6">
        <f t="shared" si="4"/>
        <v>13.36280488</v>
      </c>
      <c r="N2540" s="7">
        <f t="shared" si="5"/>
        <v>0.00001863710583</v>
      </c>
      <c r="O2540" s="7"/>
      <c r="P2540" s="4">
        <f t="shared" si="6"/>
        <v>-0.436398646</v>
      </c>
      <c r="Q2540" s="4">
        <f t="shared" si="7"/>
        <v>2</v>
      </c>
      <c r="R2540" s="4">
        <f t="shared" si="8"/>
        <v>0</v>
      </c>
      <c r="S2540" s="4">
        <f t="shared" si="9"/>
        <v>-0.436398646</v>
      </c>
      <c r="T2540" s="4">
        <f t="shared" si="10"/>
        <v>13</v>
      </c>
      <c r="U2540" s="4">
        <f t="shared" si="1"/>
        <v>-0.436398646</v>
      </c>
      <c r="V2540" s="4"/>
    </row>
    <row r="2541">
      <c r="A2541" s="1" t="s">
        <v>21164</v>
      </c>
      <c r="B2541" s="1" t="s">
        <v>21165</v>
      </c>
      <c r="C2541" s="1" t="s">
        <v>21166</v>
      </c>
      <c r="D2541" s="1" t="s">
        <v>21132</v>
      </c>
      <c r="E2541" s="1" t="s">
        <v>21133</v>
      </c>
      <c r="F2541" s="1">
        <v>3856.0</v>
      </c>
      <c r="G2541" s="1">
        <v>32.0</v>
      </c>
      <c r="H2541" s="1">
        <v>0.0</v>
      </c>
      <c r="I2541" s="1">
        <v>717000.0</v>
      </c>
      <c r="J2541" s="1" t="s">
        <v>2468</v>
      </c>
      <c r="K2541" s="5">
        <f t="shared" si="2"/>
        <v>0.005377963738</v>
      </c>
      <c r="L2541" s="6">
        <f t="shared" si="3"/>
        <v>335</v>
      </c>
      <c r="M2541" s="6">
        <f t="shared" si="4"/>
        <v>11.51044776</v>
      </c>
      <c r="N2541" s="7">
        <f t="shared" si="5"/>
        <v>0.0000160536231</v>
      </c>
      <c r="O2541" s="7"/>
      <c r="P2541" s="4">
        <f t="shared" si="6"/>
        <v>-0.4382183567</v>
      </c>
      <c r="Q2541" s="4">
        <f t="shared" si="7"/>
        <v>5</v>
      </c>
      <c r="R2541" s="4">
        <f t="shared" si="8"/>
        <v>1</v>
      </c>
      <c r="S2541" s="4">
        <f t="shared" si="9"/>
        <v>-0.4382183567</v>
      </c>
      <c r="T2541" s="4">
        <f t="shared" si="10"/>
        <v>18</v>
      </c>
      <c r="U2541" s="4">
        <f t="shared" si="1"/>
        <v>-0.4382183567</v>
      </c>
      <c r="V2541" s="4"/>
    </row>
    <row r="2542">
      <c r="A2542" s="1" t="s">
        <v>21167</v>
      </c>
      <c r="B2542" s="1" t="s">
        <v>21168</v>
      </c>
      <c r="C2542" s="1" t="s">
        <v>21169</v>
      </c>
      <c r="D2542" s="1" t="s">
        <v>21132</v>
      </c>
      <c r="E2542" s="1" t="s">
        <v>21133</v>
      </c>
      <c r="F2542" s="1">
        <v>2374.0</v>
      </c>
      <c r="G2542" s="1">
        <v>15.0</v>
      </c>
      <c r="H2542" s="1">
        <v>1.0</v>
      </c>
      <c r="I2542" s="1">
        <v>717000.0</v>
      </c>
      <c r="J2542" s="1" t="s">
        <v>2468</v>
      </c>
      <c r="K2542" s="5">
        <f t="shared" si="2"/>
        <v>0.003311018131</v>
      </c>
      <c r="L2542" s="6">
        <f t="shared" si="3"/>
        <v>339</v>
      </c>
      <c r="M2542" s="6">
        <f t="shared" si="4"/>
        <v>7.002949853</v>
      </c>
      <c r="N2542" s="7">
        <f t="shared" si="5"/>
        <v>0.000009767015136</v>
      </c>
      <c r="O2542" s="7"/>
      <c r="P2542" s="4">
        <f t="shared" si="6"/>
        <v>-0.4426464135</v>
      </c>
      <c r="Q2542" s="4">
        <f t="shared" si="7"/>
        <v>4</v>
      </c>
      <c r="R2542" s="4">
        <f t="shared" si="8"/>
        <v>0</v>
      </c>
      <c r="S2542" s="4">
        <f t="shared" si="9"/>
        <v>-0.4426464135</v>
      </c>
      <c r="T2542" s="4">
        <f t="shared" si="10"/>
        <v>17</v>
      </c>
      <c r="U2542" s="4">
        <f t="shared" si="1"/>
        <v>-0.4426464135</v>
      </c>
      <c r="V2542" s="4"/>
    </row>
    <row r="2543">
      <c r="A2543" s="1" t="s">
        <v>21170</v>
      </c>
      <c r="B2543" s="1" t="s">
        <v>21171</v>
      </c>
      <c r="C2543" s="1" t="s">
        <v>21172</v>
      </c>
      <c r="D2543" s="1" t="s">
        <v>21132</v>
      </c>
      <c r="E2543" s="1" t="s">
        <v>21133</v>
      </c>
      <c r="F2543" s="1">
        <v>887.0</v>
      </c>
      <c r="G2543" s="1">
        <v>7.0</v>
      </c>
      <c r="H2543" s="1">
        <v>0.0</v>
      </c>
      <c r="I2543" s="1">
        <v>717000.0</v>
      </c>
      <c r="J2543" s="1" t="s">
        <v>2468</v>
      </c>
      <c r="K2543" s="5">
        <f t="shared" si="2"/>
        <v>0.001237099024</v>
      </c>
      <c r="L2543" s="6">
        <f t="shared" si="3"/>
        <v>342</v>
      </c>
      <c r="M2543" s="6">
        <f t="shared" si="4"/>
        <v>2.593567251</v>
      </c>
      <c r="N2543" s="7">
        <f t="shared" si="5"/>
        <v>0.000003617248607</v>
      </c>
      <c r="O2543" s="7"/>
      <c r="P2543" s="4">
        <f t="shared" si="6"/>
        <v>-0.4469780841</v>
      </c>
      <c r="Q2543" s="4">
        <f t="shared" si="7"/>
        <v>3</v>
      </c>
      <c r="R2543" s="4">
        <f t="shared" si="8"/>
        <v>0</v>
      </c>
      <c r="S2543" s="4">
        <f t="shared" si="9"/>
        <v>-0.4469780841</v>
      </c>
      <c r="T2543" s="4">
        <f t="shared" si="10"/>
        <v>14</v>
      </c>
      <c r="U2543" s="4">
        <f t="shared" si="1"/>
        <v>-0.4469780841</v>
      </c>
      <c r="V2543" s="4"/>
    </row>
    <row r="2544">
      <c r="A2544" s="1" t="s">
        <v>21173</v>
      </c>
      <c r="B2544" s="1" t="s">
        <v>21174</v>
      </c>
      <c r="C2544" s="1" t="s">
        <v>21175</v>
      </c>
      <c r="D2544" s="1" t="s">
        <v>21132</v>
      </c>
      <c r="E2544" s="1" t="s">
        <v>21133</v>
      </c>
      <c r="F2544" s="1">
        <v>1588.0</v>
      </c>
      <c r="G2544" s="1">
        <v>8.0</v>
      </c>
      <c r="H2544" s="1">
        <v>2.0</v>
      </c>
      <c r="I2544" s="1">
        <v>717000.0</v>
      </c>
      <c r="J2544" s="1" t="s">
        <v>2468</v>
      </c>
      <c r="K2544" s="5">
        <f t="shared" si="2"/>
        <v>0.002214783821</v>
      </c>
      <c r="L2544" s="6">
        <f t="shared" si="3"/>
        <v>346</v>
      </c>
      <c r="M2544" s="6">
        <f t="shared" si="4"/>
        <v>4.589595376</v>
      </c>
      <c r="N2544" s="7">
        <f t="shared" si="5"/>
        <v>0.000006401109311</v>
      </c>
      <c r="O2544" s="7"/>
      <c r="P2544" s="4">
        <f t="shared" si="6"/>
        <v>-0.4450172344</v>
      </c>
      <c r="Q2544" s="4">
        <f t="shared" si="7"/>
        <v>2</v>
      </c>
      <c r="R2544" s="4">
        <f t="shared" si="8"/>
        <v>0</v>
      </c>
      <c r="S2544" s="4">
        <f t="shared" si="9"/>
        <v>-0.4450172344</v>
      </c>
      <c r="T2544" s="4">
        <f t="shared" si="10"/>
        <v>15</v>
      </c>
      <c r="U2544" s="4">
        <f t="shared" si="1"/>
        <v>-0.4450172344</v>
      </c>
      <c r="V2544" s="4"/>
    </row>
    <row r="2545">
      <c r="A2545" s="1" t="s">
        <v>21176</v>
      </c>
      <c r="B2545" s="1" t="s">
        <v>21177</v>
      </c>
      <c r="C2545" s="1" t="s">
        <v>21178</v>
      </c>
      <c r="D2545" s="1" t="s">
        <v>21132</v>
      </c>
      <c r="E2545" s="1" t="s">
        <v>21133</v>
      </c>
      <c r="F2545" s="1">
        <v>934.0</v>
      </c>
      <c r="G2545" s="1">
        <v>8.0</v>
      </c>
      <c r="H2545" s="1">
        <v>0.0</v>
      </c>
      <c r="I2545" s="1">
        <v>717000.0</v>
      </c>
      <c r="J2545" s="1" t="s">
        <v>2468</v>
      </c>
      <c r="K2545" s="5">
        <f t="shared" si="2"/>
        <v>0.00130264993</v>
      </c>
      <c r="L2545" s="6">
        <f t="shared" si="3"/>
        <v>349</v>
      </c>
      <c r="M2545" s="6">
        <f t="shared" si="4"/>
        <v>2.676217765</v>
      </c>
      <c r="N2545" s="7">
        <f t="shared" si="5"/>
        <v>0.00000373252129</v>
      </c>
      <c r="O2545" s="7"/>
      <c r="P2545" s="4">
        <f t="shared" si="6"/>
        <v>-0.4468968902</v>
      </c>
      <c r="Q2545" s="4">
        <f t="shared" si="7"/>
        <v>7</v>
      </c>
      <c r="R2545" s="4">
        <f t="shared" si="8"/>
        <v>0</v>
      </c>
      <c r="S2545" s="4">
        <f t="shared" si="9"/>
        <v>-0.4468968902</v>
      </c>
      <c r="T2545" s="4">
        <f t="shared" si="10"/>
        <v>41</v>
      </c>
      <c r="U2545" s="4">
        <f t="shared" si="1"/>
        <v>-0.4468968902</v>
      </c>
      <c r="V2545" s="4"/>
    </row>
    <row r="2546">
      <c r="A2546" s="1" t="s">
        <v>21179</v>
      </c>
      <c r="B2546" s="1" t="s">
        <v>21180</v>
      </c>
      <c r="C2546" s="1" t="s">
        <v>21181</v>
      </c>
      <c r="D2546" s="1" t="s">
        <v>21132</v>
      </c>
      <c r="E2546" s="1" t="s">
        <v>21133</v>
      </c>
      <c r="F2546" s="1">
        <v>2048.0</v>
      </c>
      <c r="G2546" s="1">
        <v>27.0</v>
      </c>
      <c r="H2546" s="1">
        <v>1.0</v>
      </c>
      <c r="I2546" s="1">
        <v>717000.0</v>
      </c>
      <c r="J2546" s="1" t="s">
        <v>2468</v>
      </c>
      <c r="K2546" s="5">
        <f t="shared" si="2"/>
        <v>0.002856345886</v>
      </c>
      <c r="L2546" s="6">
        <f t="shared" si="3"/>
        <v>351</v>
      </c>
      <c r="M2546" s="6">
        <f t="shared" si="4"/>
        <v>5.834757835</v>
      </c>
      <c r="N2546" s="7">
        <f t="shared" si="5"/>
        <v>0.000008137737566</v>
      </c>
      <c r="O2546" s="7"/>
      <c r="P2546" s="4">
        <f t="shared" si="6"/>
        <v>-0.443794017</v>
      </c>
      <c r="Q2546" s="4">
        <f t="shared" si="7"/>
        <v>3</v>
      </c>
      <c r="R2546" s="4">
        <f t="shared" si="8"/>
        <v>0</v>
      </c>
      <c r="S2546" s="4">
        <f t="shared" si="9"/>
        <v>-0.443794017</v>
      </c>
      <c r="T2546" s="4">
        <f t="shared" si="10"/>
        <v>22</v>
      </c>
      <c r="U2546" s="4">
        <f t="shared" si="1"/>
        <v>-0.443794017</v>
      </c>
      <c r="V2546" s="4"/>
    </row>
    <row r="2547">
      <c r="A2547" s="1" t="s">
        <v>21182</v>
      </c>
      <c r="B2547" s="1" t="s">
        <v>21183</v>
      </c>
      <c r="C2547" s="1" t="s">
        <v>21184</v>
      </c>
      <c r="D2547" s="1" t="s">
        <v>21132</v>
      </c>
      <c r="E2547" s="1" t="s">
        <v>21133</v>
      </c>
      <c r="F2547" s="1">
        <v>2068.0</v>
      </c>
      <c r="G2547" s="1">
        <v>20.0</v>
      </c>
      <c r="H2547" s="1">
        <v>0.0</v>
      </c>
      <c r="I2547" s="1">
        <v>717000.0</v>
      </c>
      <c r="J2547" s="1" t="s">
        <v>2468</v>
      </c>
      <c r="K2547" s="5">
        <f t="shared" si="2"/>
        <v>0.002884239888</v>
      </c>
      <c r="L2547" s="6">
        <f t="shared" si="3"/>
        <v>353</v>
      </c>
      <c r="M2547" s="6">
        <f t="shared" si="4"/>
        <v>5.858356941</v>
      </c>
      <c r="N2547" s="7">
        <f t="shared" si="5"/>
        <v>0.000008170651242</v>
      </c>
      <c r="O2547" s="7"/>
      <c r="P2547" s="4">
        <f t="shared" si="6"/>
        <v>-0.4437708338</v>
      </c>
      <c r="Q2547" s="4">
        <f t="shared" si="7"/>
        <v>4</v>
      </c>
      <c r="R2547" s="4">
        <f t="shared" si="8"/>
        <v>1</v>
      </c>
      <c r="S2547" s="4">
        <f t="shared" si="9"/>
        <v>-0.4437708338</v>
      </c>
      <c r="T2547" s="4">
        <f t="shared" si="10"/>
        <v>21</v>
      </c>
      <c r="U2547" s="4">
        <f t="shared" si="1"/>
        <v>-0.4437708338</v>
      </c>
      <c r="V2547" s="4"/>
    </row>
    <row r="2548">
      <c r="A2548" s="1" t="s">
        <v>21185</v>
      </c>
      <c r="B2548" s="1" t="s">
        <v>21186</v>
      </c>
      <c r="C2548" s="1" t="s">
        <v>21187</v>
      </c>
      <c r="D2548" s="1" t="s">
        <v>21132</v>
      </c>
      <c r="E2548" s="1" t="s">
        <v>21133</v>
      </c>
      <c r="F2548" s="1">
        <v>1183.0</v>
      </c>
      <c r="G2548" s="1">
        <v>13.0</v>
      </c>
      <c r="H2548" s="1">
        <v>1.0</v>
      </c>
      <c r="I2548" s="1">
        <v>717000.0</v>
      </c>
      <c r="J2548" s="1" t="s">
        <v>2468</v>
      </c>
      <c r="K2548" s="5">
        <f t="shared" si="2"/>
        <v>0.001649930265</v>
      </c>
      <c r="L2548" s="6">
        <f t="shared" si="3"/>
        <v>358</v>
      </c>
      <c r="M2548" s="6">
        <f t="shared" si="4"/>
        <v>3.304469274</v>
      </c>
      <c r="N2548" s="7">
        <f t="shared" si="5"/>
        <v>0.000004608743757</v>
      </c>
      <c r="O2548" s="7"/>
      <c r="P2548" s="4">
        <f t="shared" si="6"/>
        <v>-0.4462797112</v>
      </c>
      <c r="Q2548" s="4">
        <f t="shared" si="7"/>
        <v>3</v>
      </c>
      <c r="R2548" s="4">
        <f t="shared" si="8"/>
        <v>0</v>
      </c>
      <c r="S2548" s="4">
        <f t="shared" si="9"/>
        <v>-0.4462797112</v>
      </c>
      <c r="T2548" s="4">
        <f t="shared" si="10"/>
        <v>16</v>
      </c>
      <c r="U2548" s="4">
        <f t="shared" si="1"/>
        <v>-0.4462797112</v>
      </c>
      <c r="V2548" s="4"/>
    </row>
    <row r="2549">
      <c r="A2549" s="1" t="s">
        <v>21188</v>
      </c>
      <c r="B2549" s="1" t="s">
        <v>21189</v>
      </c>
      <c r="C2549" s="1" t="s">
        <v>21190</v>
      </c>
      <c r="D2549" s="1" t="s">
        <v>21132</v>
      </c>
      <c r="E2549" s="1" t="s">
        <v>21133</v>
      </c>
      <c r="F2549" s="1">
        <v>19445.0</v>
      </c>
      <c r="G2549" s="1">
        <v>64.0</v>
      </c>
      <c r="H2549" s="1">
        <v>1.0</v>
      </c>
      <c r="I2549" s="1">
        <v>717000.0</v>
      </c>
      <c r="J2549" s="1" t="s">
        <v>2468</v>
      </c>
      <c r="K2549" s="5">
        <f t="shared" si="2"/>
        <v>0.02711994421</v>
      </c>
      <c r="L2549" s="6">
        <f t="shared" si="3"/>
        <v>360</v>
      </c>
      <c r="M2549" s="6">
        <f t="shared" si="4"/>
        <v>54.01388889</v>
      </c>
      <c r="N2549" s="7">
        <f t="shared" si="5"/>
        <v>0.00007533317837</v>
      </c>
      <c r="O2549" s="7"/>
      <c r="P2549" s="4">
        <f t="shared" si="6"/>
        <v>-0.3964640061</v>
      </c>
      <c r="Q2549" s="4">
        <f t="shared" si="7"/>
        <v>5</v>
      </c>
      <c r="R2549" s="4">
        <f t="shared" si="8"/>
        <v>0</v>
      </c>
      <c r="S2549" s="4">
        <f t="shared" si="9"/>
        <v>-0.3964640061</v>
      </c>
      <c r="T2549" s="4">
        <f t="shared" si="10"/>
        <v>23</v>
      </c>
      <c r="U2549" s="4">
        <f t="shared" si="1"/>
        <v>-0.3964640061</v>
      </c>
      <c r="V2549" s="4"/>
    </row>
    <row r="2550">
      <c r="A2550" s="1" t="s">
        <v>21191</v>
      </c>
      <c r="B2550" s="1" t="s">
        <v>21192</v>
      </c>
      <c r="C2550" s="1" t="s">
        <v>21193</v>
      </c>
      <c r="D2550" s="1" t="s">
        <v>21132</v>
      </c>
      <c r="E2550" s="1" t="s">
        <v>21133</v>
      </c>
      <c r="F2550" s="1">
        <v>1122.0</v>
      </c>
      <c r="G2550" s="1">
        <v>12.0</v>
      </c>
      <c r="H2550" s="1">
        <v>0.0</v>
      </c>
      <c r="I2550" s="1">
        <v>717000.0</v>
      </c>
      <c r="J2550" s="1" t="s">
        <v>2468</v>
      </c>
      <c r="K2550" s="5">
        <f t="shared" si="2"/>
        <v>0.001564853556</v>
      </c>
      <c r="L2550" s="6">
        <f t="shared" si="3"/>
        <v>363</v>
      </c>
      <c r="M2550" s="6">
        <f t="shared" si="4"/>
        <v>3.090909091</v>
      </c>
      <c r="N2550" s="7">
        <f t="shared" si="5"/>
        <v>0.00000431089134</v>
      </c>
      <c r="O2550" s="7"/>
      <c r="P2550" s="4">
        <f t="shared" si="6"/>
        <v>-0.4464895075</v>
      </c>
      <c r="Q2550" s="4">
        <f t="shared" si="7"/>
        <v>8</v>
      </c>
      <c r="R2550" s="4">
        <f t="shared" si="8"/>
        <v>0</v>
      </c>
      <c r="S2550" s="4">
        <f t="shared" si="9"/>
        <v>-0.4464895075</v>
      </c>
      <c r="T2550" s="4">
        <f t="shared" si="10"/>
        <v>40</v>
      </c>
      <c r="U2550" s="4">
        <f t="shared" si="1"/>
        <v>-0.4464895075</v>
      </c>
      <c r="V2550" s="4"/>
    </row>
    <row r="2551">
      <c r="A2551" s="1" t="s">
        <v>21194</v>
      </c>
      <c r="B2551" s="1" t="s">
        <v>21195</v>
      </c>
      <c r="C2551" s="1" t="s">
        <v>21196</v>
      </c>
      <c r="D2551" s="1" t="s">
        <v>21132</v>
      </c>
      <c r="E2551" s="1" t="s">
        <v>21133</v>
      </c>
      <c r="F2551" s="1">
        <v>1548.0</v>
      </c>
      <c r="G2551" s="1">
        <v>13.0</v>
      </c>
      <c r="H2551" s="1">
        <v>0.0</v>
      </c>
      <c r="I2551" s="1">
        <v>717000.0</v>
      </c>
      <c r="J2551" s="1" t="s">
        <v>2468</v>
      </c>
      <c r="K2551" s="5">
        <f t="shared" si="2"/>
        <v>0.002158995816</v>
      </c>
      <c r="L2551" s="6">
        <f t="shared" si="3"/>
        <v>365</v>
      </c>
      <c r="M2551" s="6">
        <f t="shared" si="4"/>
        <v>4.24109589</v>
      </c>
      <c r="N2551" s="7">
        <f t="shared" si="5"/>
        <v>0.00000591505703</v>
      </c>
      <c r="O2551" s="7"/>
      <c r="P2551" s="4">
        <f t="shared" si="6"/>
        <v>-0.4453595919</v>
      </c>
      <c r="Q2551" s="4">
        <f t="shared" si="7"/>
        <v>10</v>
      </c>
      <c r="R2551" s="4">
        <f t="shared" si="8"/>
        <v>0</v>
      </c>
      <c r="S2551" s="4">
        <f t="shared" si="9"/>
        <v>-0.4453595919</v>
      </c>
      <c r="T2551" s="4">
        <f t="shared" si="10"/>
        <v>35</v>
      </c>
      <c r="U2551" s="4">
        <f t="shared" si="1"/>
        <v>-0.4453595919</v>
      </c>
      <c r="V2551" s="4"/>
    </row>
    <row r="2552">
      <c r="A2552" s="1" t="s">
        <v>21197</v>
      </c>
      <c r="B2552" s="1" t="s">
        <v>21198</v>
      </c>
      <c r="C2552" s="1" t="s">
        <v>21199</v>
      </c>
      <c r="D2552" s="1" t="s">
        <v>21132</v>
      </c>
      <c r="E2552" s="1" t="s">
        <v>21133</v>
      </c>
      <c r="F2552" s="1">
        <v>1079.0</v>
      </c>
      <c r="G2552" s="1">
        <v>13.0</v>
      </c>
      <c r="H2552" s="1">
        <v>3.0</v>
      </c>
      <c r="I2552" s="1">
        <v>717000.0</v>
      </c>
      <c r="J2552" s="1" t="s">
        <v>2468</v>
      </c>
      <c r="K2552" s="5">
        <f t="shared" si="2"/>
        <v>0.00150488145</v>
      </c>
      <c r="L2552" s="6">
        <f t="shared" si="3"/>
        <v>370</v>
      </c>
      <c r="M2552" s="6">
        <f t="shared" si="4"/>
        <v>2.916216216</v>
      </c>
      <c r="N2552" s="7">
        <f t="shared" si="5"/>
        <v>0.000004067247163</v>
      </c>
      <c r="O2552" s="7"/>
      <c r="P2552" s="4">
        <f t="shared" si="6"/>
        <v>-0.4466611216</v>
      </c>
      <c r="Q2552" s="4">
        <f t="shared" si="7"/>
        <v>4</v>
      </c>
      <c r="R2552" s="4">
        <f t="shared" si="8"/>
        <v>1</v>
      </c>
      <c r="S2552" s="4">
        <f t="shared" si="9"/>
        <v>-0.4466611216</v>
      </c>
      <c r="T2552" s="4">
        <f t="shared" si="10"/>
        <v>15</v>
      </c>
      <c r="U2552" s="4">
        <f t="shared" si="1"/>
        <v>-0.4466611216</v>
      </c>
      <c r="V2552" s="4"/>
    </row>
    <row r="2553">
      <c r="A2553" s="1" t="s">
        <v>21200</v>
      </c>
      <c r="B2553" s="1" t="s">
        <v>21201</v>
      </c>
      <c r="C2553" s="1" t="s">
        <v>21202</v>
      </c>
      <c r="D2553" s="1" t="s">
        <v>21132</v>
      </c>
      <c r="E2553" s="1" t="s">
        <v>21133</v>
      </c>
      <c r="F2553" s="1">
        <v>3716.0</v>
      </c>
      <c r="G2553" s="1">
        <v>15.0</v>
      </c>
      <c r="H2553" s="1">
        <v>2.0</v>
      </c>
      <c r="I2553" s="1">
        <v>717000.0</v>
      </c>
      <c r="J2553" s="1" t="s">
        <v>2468</v>
      </c>
      <c r="K2553" s="5">
        <f t="shared" si="2"/>
        <v>0.005182705718</v>
      </c>
      <c r="L2553" s="6">
        <f t="shared" si="3"/>
        <v>372</v>
      </c>
      <c r="M2553" s="6">
        <f t="shared" si="4"/>
        <v>9.989247312</v>
      </c>
      <c r="N2553" s="7">
        <f t="shared" si="5"/>
        <v>0.00001393200462</v>
      </c>
      <c r="O2553" s="7"/>
      <c r="P2553" s="4">
        <f t="shared" si="6"/>
        <v>-0.4397127472</v>
      </c>
      <c r="Q2553" s="4">
        <f t="shared" si="7"/>
        <v>6</v>
      </c>
      <c r="R2553" s="4">
        <f t="shared" si="8"/>
        <v>1</v>
      </c>
      <c r="S2553" s="4">
        <f t="shared" si="9"/>
        <v>-0.4397127472</v>
      </c>
      <c r="T2553" s="4">
        <f t="shared" si="10"/>
        <v>34</v>
      </c>
      <c r="U2553" s="4">
        <f t="shared" si="1"/>
        <v>-0.4397127472</v>
      </c>
      <c r="V2553" s="4"/>
    </row>
    <row r="2554">
      <c r="A2554" s="1" t="s">
        <v>21203</v>
      </c>
      <c r="B2554" s="1" t="s">
        <v>21204</v>
      </c>
      <c r="C2554" s="1" t="s">
        <v>21205</v>
      </c>
      <c r="D2554" s="1" t="s">
        <v>21132</v>
      </c>
      <c r="E2554" s="1" t="s">
        <v>21133</v>
      </c>
      <c r="F2554" s="1">
        <v>1259.0</v>
      </c>
      <c r="G2554" s="1">
        <v>11.0</v>
      </c>
      <c r="H2554" s="1">
        <v>0.0</v>
      </c>
      <c r="I2554" s="1">
        <v>717000.0</v>
      </c>
      <c r="J2554" s="1" t="s">
        <v>2468</v>
      </c>
      <c r="K2554" s="5">
        <f t="shared" si="2"/>
        <v>0.001755927476</v>
      </c>
      <c r="L2554" s="6">
        <f t="shared" si="3"/>
        <v>374</v>
      </c>
      <c r="M2554" s="6">
        <f t="shared" si="4"/>
        <v>3.36631016</v>
      </c>
      <c r="N2554" s="7">
        <f t="shared" si="5"/>
        <v>0.00000469499325</v>
      </c>
      <c r="O2554" s="7"/>
      <c r="P2554" s="4">
        <f t="shared" si="6"/>
        <v>-0.4462189602</v>
      </c>
      <c r="Q2554" s="4">
        <f t="shared" si="7"/>
        <v>6</v>
      </c>
      <c r="R2554" s="4">
        <f t="shared" si="8"/>
        <v>1</v>
      </c>
      <c r="S2554" s="4">
        <f t="shared" si="9"/>
        <v>-0.4462189602</v>
      </c>
      <c r="T2554" s="4">
        <f t="shared" si="10"/>
        <v>30</v>
      </c>
      <c r="U2554" s="4">
        <f t="shared" si="1"/>
        <v>-0.4462189602</v>
      </c>
      <c r="V2554" s="4"/>
    </row>
    <row r="2555">
      <c r="A2555" s="1" t="s">
        <v>21206</v>
      </c>
      <c r="B2555" s="1" t="s">
        <v>21207</v>
      </c>
      <c r="C2555" s="1" t="s">
        <v>21208</v>
      </c>
      <c r="D2555" s="1" t="s">
        <v>21132</v>
      </c>
      <c r="E2555" s="1" t="s">
        <v>21133</v>
      </c>
      <c r="F2555" s="1">
        <v>2572.0</v>
      </c>
      <c r="G2555" s="1">
        <v>20.0</v>
      </c>
      <c r="H2555" s="1">
        <v>1.0</v>
      </c>
      <c r="I2555" s="1">
        <v>717000.0</v>
      </c>
      <c r="J2555" s="1" t="s">
        <v>2468</v>
      </c>
      <c r="K2555" s="5">
        <f t="shared" si="2"/>
        <v>0.003587168759</v>
      </c>
      <c r="L2555" s="6">
        <f t="shared" si="3"/>
        <v>377</v>
      </c>
      <c r="M2555" s="6">
        <f t="shared" si="4"/>
        <v>6.822281167</v>
      </c>
      <c r="N2555" s="7">
        <f t="shared" si="5"/>
        <v>0.000009515036495</v>
      </c>
      <c r="O2555" s="7"/>
      <c r="P2555" s="4">
        <f t="shared" si="6"/>
        <v>-0.442823898</v>
      </c>
      <c r="Q2555" s="4">
        <f t="shared" si="7"/>
        <v>7</v>
      </c>
      <c r="R2555" s="4">
        <f t="shared" si="8"/>
        <v>1</v>
      </c>
      <c r="S2555" s="4">
        <f t="shared" si="9"/>
        <v>-0.442823898</v>
      </c>
      <c r="T2555" s="4">
        <f t="shared" si="10"/>
        <v>29</v>
      </c>
      <c r="U2555" s="4">
        <f t="shared" si="1"/>
        <v>-0.442823898</v>
      </c>
      <c r="V2555" s="4"/>
    </row>
    <row r="2556">
      <c r="A2556" s="1" t="s">
        <v>21209</v>
      </c>
      <c r="B2556" s="1" t="s">
        <v>21210</v>
      </c>
      <c r="C2556" s="1" t="s">
        <v>21211</v>
      </c>
      <c r="D2556" s="1" t="s">
        <v>21132</v>
      </c>
      <c r="E2556" s="1" t="s">
        <v>21133</v>
      </c>
      <c r="F2556" s="1">
        <v>3968.0</v>
      </c>
      <c r="G2556" s="1">
        <v>22.0</v>
      </c>
      <c r="H2556" s="1">
        <v>1.0</v>
      </c>
      <c r="I2556" s="1">
        <v>717000.0</v>
      </c>
      <c r="J2556" s="1" t="s">
        <v>2468</v>
      </c>
      <c r="K2556" s="5">
        <f t="shared" si="2"/>
        <v>0.005534170153</v>
      </c>
      <c r="L2556" s="6">
        <f t="shared" si="3"/>
        <v>379</v>
      </c>
      <c r="M2556" s="6">
        <f t="shared" si="4"/>
        <v>10.46965699</v>
      </c>
      <c r="N2556" s="7">
        <f t="shared" si="5"/>
        <v>0.00001460203207</v>
      </c>
      <c r="O2556" s="7"/>
      <c r="P2556" s="4">
        <f t="shared" si="6"/>
        <v>-0.4392408044</v>
      </c>
      <c r="Q2556" s="4">
        <f t="shared" si="7"/>
        <v>9</v>
      </c>
      <c r="R2556" s="4">
        <f t="shared" si="8"/>
        <v>0</v>
      </c>
      <c r="S2556" s="4">
        <f t="shared" si="9"/>
        <v>-0.4392408044</v>
      </c>
      <c r="T2556" s="4">
        <f t="shared" si="10"/>
        <v>49</v>
      </c>
      <c r="U2556" s="4">
        <f t="shared" si="1"/>
        <v>-0.4392408044</v>
      </c>
      <c r="V2556" s="4"/>
    </row>
    <row r="2557">
      <c r="A2557" s="1" t="s">
        <v>21212</v>
      </c>
      <c r="B2557" s="1" t="s">
        <v>21213</v>
      </c>
      <c r="C2557" s="1" t="s">
        <v>21214</v>
      </c>
      <c r="D2557" s="1" t="s">
        <v>21132</v>
      </c>
      <c r="E2557" s="1" t="s">
        <v>21133</v>
      </c>
      <c r="F2557" s="1">
        <v>2316.0</v>
      </c>
      <c r="G2557" s="1">
        <v>21.0</v>
      </c>
      <c r="H2557" s="1">
        <v>3.0</v>
      </c>
      <c r="I2557" s="1">
        <v>717000.0</v>
      </c>
      <c r="J2557" s="1" t="s">
        <v>2468</v>
      </c>
      <c r="K2557" s="5">
        <f t="shared" si="2"/>
        <v>0.003230125523</v>
      </c>
      <c r="L2557" s="6">
        <f t="shared" si="3"/>
        <v>384</v>
      </c>
      <c r="M2557" s="6">
        <f t="shared" si="4"/>
        <v>6.03125</v>
      </c>
      <c r="N2557" s="7">
        <f t="shared" si="5"/>
        <v>0.000008411785216</v>
      </c>
      <c r="O2557" s="7"/>
      <c r="P2557" s="4">
        <f t="shared" si="6"/>
        <v>-0.4436009879</v>
      </c>
      <c r="Q2557" s="4">
        <f t="shared" si="7"/>
        <v>3</v>
      </c>
      <c r="R2557" s="4">
        <f t="shared" si="8"/>
        <v>0</v>
      </c>
      <c r="S2557" s="4">
        <f t="shared" si="9"/>
        <v>-0.4436009879</v>
      </c>
      <c r="T2557" s="4">
        <f t="shared" si="10"/>
        <v>21</v>
      </c>
      <c r="U2557" s="4">
        <f t="shared" si="1"/>
        <v>-0.4436009879</v>
      </c>
      <c r="V2557" s="4"/>
    </row>
    <row r="2558">
      <c r="A2558" s="1" t="s">
        <v>21215</v>
      </c>
      <c r="B2558" s="1" t="s">
        <v>21216</v>
      </c>
      <c r="C2558" s="1" t="s">
        <v>21217</v>
      </c>
      <c r="D2558" s="1" t="s">
        <v>21132</v>
      </c>
      <c r="E2558" s="1" t="s">
        <v>21133</v>
      </c>
      <c r="F2558" s="1">
        <v>1223.0</v>
      </c>
      <c r="G2558" s="1">
        <v>4.0</v>
      </c>
      <c r="H2558" s="1">
        <v>1.0</v>
      </c>
      <c r="I2558" s="1">
        <v>717000.0</v>
      </c>
      <c r="J2558" s="1" t="s">
        <v>2468</v>
      </c>
      <c r="K2558" s="5">
        <f t="shared" si="2"/>
        <v>0.001705718271</v>
      </c>
      <c r="L2558" s="6">
        <f t="shared" si="3"/>
        <v>386</v>
      </c>
      <c r="M2558" s="6">
        <f t="shared" si="4"/>
        <v>3.168393782</v>
      </c>
      <c r="N2558" s="7">
        <f t="shared" si="5"/>
        <v>0.00000441895925</v>
      </c>
      <c r="O2558" s="7"/>
      <c r="P2558" s="4">
        <f t="shared" si="6"/>
        <v>-0.4464133884</v>
      </c>
      <c r="Q2558" s="4">
        <f t="shared" si="7"/>
        <v>3</v>
      </c>
      <c r="R2558" s="4">
        <f t="shared" si="8"/>
        <v>0</v>
      </c>
      <c r="S2558" s="4">
        <f t="shared" si="9"/>
        <v>-0.4464133884</v>
      </c>
      <c r="T2558" s="4">
        <f t="shared" si="10"/>
        <v>14</v>
      </c>
      <c r="U2558" s="4">
        <f t="shared" si="1"/>
        <v>-0.4464133884</v>
      </c>
      <c r="V2558" s="4"/>
    </row>
    <row r="2559">
      <c r="A2559" s="1" t="s">
        <v>21218</v>
      </c>
      <c r="B2559" s="1" t="s">
        <v>21216</v>
      </c>
      <c r="C2559" s="1" t="s">
        <v>21219</v>
      </c>
      <c r="D2559" s="1" t="s">
        <v>21132</v>
      </c>
      <c r="E2559" s="1" t="s">
        <v>21133</v>
      </c>
      <c r="F2559" s="1">
        <v>1031.0</v>
      </c>
      <c r="G2559" s="1">
        <v>3.0</v>
      </c>
      <c r="H2559" s="1">
        <v>0.0</v>
      </c>
      <c r="I2559" s="1">
        <v>717000.0</v>
      </c>
      <c r="J2559" s="1" t="s">
        <v>2468</v>
      </c>
      <c r="K2559" s="5">
        <f t="shared" si="2"/>
        <v>0.001437935844</v>
      </c>
      <c r="L2559" s="6">
        <f t="shared" si="3"/>
        <v>386</v>
      </c>
      <c r="M2559" s="6">
        <f t="shared" si="4"/>
        <v>2.670984456</v>
      </c>
      <c r="N2559" s="7">
        <f t="shared" si="5"/>
        <v>0.000003725222393</v>
      </c>
      <c r="O2559" s="7"/>
      <c r="P2559" s="4">
        <f t="shared" si="6"/>
        <v>-0.4469020313</v>
      </c>
      <c r="Q2559" s="4">
        <f t="shared" si="7"/>
        <v>3</v>
      </c>
      <c r="R2559" s="4">
        <f t="shared" si="8"/>
        <v>0</v>
      </c>
      <c r="S2559" s="4">
        <f t="shared" si="9"/>
        <v>-0.4469020313</v>
      </c>
      <c r="T2559" s="4">
        <f t="shared" si="10"/>
        <v>14</v>
      </c>
      <c r="U2559" s="4">
        <f t="shared" si="1"/>
        <v>-0.4469020313</v>
      </c>
      <c r="V2559" s="4"/>
    </row>
    <row r="2560">
      <c r="A2560" s="1" t="s">
        <v>21220</v>
      </c>
      <c r="B2560" s="1" t="s">
        <v>21221</v>
      </c>
      <c r="C2560" s="1" t="s">
        <v>21222</v>
      </c>
      <c r="D2560" s="1" t="s">
        <v>21132</v>
      </c>
      <c r="E2560" s="1" t="s">
        <v>21133</v>
      </c>
      <c r="F2560" s="1">
        <v>2018.0</v>
      </c>
      <c r="G2560" s="1">
        <v>14.0</v>
      </c>
      <c r="H2560" s="1">
        <v>1.0</v>
      </c>
      <c r="I2560" s="1">
        <v>717000.0</v>
      </c>
      <c r="J2560" s="1" t="s">
        <v>2468</v>
      </c>
      <c r="K2560" s="5">
        <f t="shared" si="2"/>
        <v>0.002814504881</v>
      </c>
      <c r="L2560" s="6">
        <f t="shared" si="3"/>
        <v>388</v>
      </c>
      <c r="M2560" s="6">
        <f t="shared" si="4"/>
        <v>5.201030928</v>
      </c>
      <c r="N2560" s="7">
        <f t="shared" si="5"/>
        <v>0.00000725387856</v>
      </c>
      <c r="O2560" s="7"/>
      <c r="P2560" s="4">
        <f t="shared" si="6"/>
        <v>-0.444416575</v>
      </c>
      <c r="Q2560" s="4">
        <f t="shared" si="7"/>
        <v>3</v>
      </c>
      <c r="R2560" s="4">
        <f t="shared" si="8"/>
        <v>0</v>
      </c>
      <c r="S2560" s="4">
        <f t="shared" si="9"/>
        <v>-0.444416575</v>
      </c>
      <c r="T2560" s="4">
        <f t="shared" si="10"/>
        <v>20</v>
      </c>
      <c r="U2560" s="4">
        <f t="shared" si="1"/>
        <v>-0.444416575</v>
      </c>
      <c r="V2560" s="4"/>
    </row>
    <row r="2561">
      <c r="A2561" s="1" t="s">
        <v>21223</v>
      </c>
      <c r="B2561" s="1" t="s">
        <v>21224</v>
      </c>
      <c r="C2561" s="1" t="s">
        <v>21225</v>
      </c>
      <c r="D2561" s="1" t="s">
        <v>21132</v>
      </c>
      <c r="E2561" s="1" t="s">
        <v>21133</v>
      </c>
      <c r="F2561" s="1">
        <v>1495.0</v>
      </c>
      <c r="G2561" s="1">
        <v>11.0</v>
      </c>
      <c r="H2561" s="1">
        <v>0.0</v>
      </c>
      <c r="I2561" s="1">
        <v>717000.0</v>
      </c>
      <c r="J2561" s="1" t="s">
        <v>2468</v>
      </c>
      <c r="K2561" s="5">
        <f t="shared" si="2"/>
        <v>0.002085076709</v>
      </c>
      <c r="L2561" s="6">
        <f t="shared" si="3"/>
        <v>391</v>
      </c>
      <c r="M2561" s="6">
        <f t="shared" si="4"/>
        <v>3.823529412</v>
      </c>
      <c r="N2561" s="7">
        <f t="shared" si="5"/>
        <v>0.000005332677004</v>
      </c>
      <c r="O2561" s="7"/>
      <c r="P2561" s="4">
        <f t="shared" si="6"/>
        <v>-0.4457697991</v>
      </c>
      <c r="Q2561" s="4">
        <f t="shared" si="7"/>
        <v>2</v>
      </c>
      <c r="R2561" s="4">
        <f t="shared" si="8"/>
        <v>0</v>
      </c>
      <c r="S2561" s="4">
        <f t="shared" si="9"/>
        <v>-0.4457697991</v>
      </c>
      <c r="T2561" s="4">
        <f t="shared" si="10"/>
        <v>10</v>
      </c>
      <c r="U2561" s="4">
        <f t="shared" si="1"/>
        <v>-0.4457697991</v>
      </c>
      <c r="V2561" s="4"/>
    </row>
    <row r="2562">
      <c r="A2562" s="1" t="s">
        <v>21226</v>
      </c>
      <c r="B2562" s="1" t="s">
        <v>21227</v>
      </c>
      <c r="C2562" s="1" t="s">
        <v>21228</v>
      </c>
      <c r="D2562" s="1" t="s">
        <v>21132</v>
      </c>
      <c r="E2562" s="1" t="s">
        <v>21133</v>
      </c>
      <c r="F2562" s="1">
        <v>1158.0</v>
      </c>
      <c r="G2562" s="1">
        <v>5.0</v>
      </c>
      <c r="H2562" s="1">
        <v>0.0</v>
      </c>
      <c r="I2562" s="1">
        <v>717000.0</v>
      </c>
      <c r="J2562" s="1" t="s">
        <v>2468</v>
      </c>
      <c r="K2562" s="5">
        <f t="shared" si="2"/>
        <v>0.001615062762</v>
      </c>
      <c r="L2562" s="6">
        <f t="shared" si="3"/>
        <v>392</v>
      </c>
      <c r="M2562" s="6">
        <f t="shared" si="4"/>
        <v>2.954081633</v>
      </c>
      <c r="N2562" s="7">
        <f t="shared" si="5"/>
        <v>0.000004120058065</v>
      </c>
      <c r="O2562" s="7"/>
      <c r="P2562" s="4">
        <f t="shared" si="6"/>
        <v>-0.4466239235</v>
      </c>
      <c r="Q2562" s="4">
        <f t="shared" si="7"/>
        <v>2</v>
      </c>
      <c r="R2562" s="4">
        <f t="shared" si="8"/>
        <v>0</v>
      </c>
      <c r="S2562" s="4">
        <f t="shared" si="9"/>
        <v>-0.4466239235</v>
      </c>
      <c r="T2562" s="4">
        <f t="shared" si="10"/>
        <v>14</v>
      </c>
      <c r="U2562" s="4">
        <f t="shared" si="1"/>
        <v>-0.4466239235</v>
      </c>
      <c r="V2562" s="4"/>
    </row>
    <row r="2563">
      <c r="A2563" s="1" t="s">
        <v>21229</v>
      </c>
      <c r="B2563" s="1" t="s">
        <v>21230</v>
      </c>
      <c r="C2563" s="1" t="s">
        <v>21231</v>
      </c>
      <c r="D2563" s="1" t="s">
        <v>21132</v>
      </c>
      <c r="E2563" s="1" t="s">
        <v>21133</v>
      </c>
      <c r="F2563" s="1">
        <v>15709.0</v>
      </c>
      <c r="G2563" s="1">
        <v>134.0</v>
      </c>
      <c r="H2563" s="1">
        <v>4.0</v>
      </c>
      <c r="I2563" s="1">
        <v>717000.0</v>
      </c>
      <c r="J2563" s="1" t="s">
        <v>2468</v>
      </c>
      <c r="K2563" s="5">
        <f t="shared" si="2"/>
        <v>0.02190934449</v>
      </c>
      <c r="L2563" s="6">
        <f t="shared" si="3"/>
        <v>393</v>
      </c>
      <c r="M2563" s="6">
        <f t="shared" si="4"/>
        <v>39.97201018</v>
      </c>
      <c r="N2563" s="7">
        <f t="shared" si="5"/>
        <v>0.00005574896817</v>
      </c>
      <c r="O2563" s="7"/>
      <c r="P2563" s="4">
        <f t="shared" si="6"/>
        <v>-0.4102584075</v>
      </c>
      <c r="Q2563" s="4">
        <f t="shared" si="7"/>
        <v>5</v>
      </c>
      <c r="R2563" s="4">
        <f t="shared" si="8"/>
        <v>0</v>
      </c>
      <c r="S2563" s="4">
        <f t="shared" si="9"/>
        <v>-0.4102584075</v>
      </c>
      <c r="T2563" s="4">
        <f t="shared" si="10"/>
        <v>20</v>
      </c>
      <c r="U2563" s="4">
        <f t="shared" si="1"/>
        <v>-0.4102584075</v>
      </c>
      <c r="V2563" s="4"/>
    </row>
    <row r="2564">
      <c r="A2564" s="1" t="s">
        <v>21232</v>
      </c>
      <c r="B2564" s="1" t="s">
        <v>21233</v>
      </c>
      <c r="C2564" s="1" t="s">
        <v>21234</v>
      </c>
      <c r="D2564" s="1" t="s">
        <v>21132</v>
      </c>
      <c r="E2564" s="1" t="s">
        <v>21133</v>
      </c>
      <c r="F2564" s="1">
        <v>1776.0</v>
      </c>
      <c r="G2564" s="1">
        <v>15.0</v>
      </c>
      <c r="H2564" s="1">
        <v>1.0</v>
      </c>
      <c r="I2564" s="1">
        <v>717000.0</v>
      </c>
      <c r="J2564" s="1" t="s">
        <v>2468</v>
      </c>
      <c r="K2564" s="5">
        <f t="shared" si="2"/>
        <v>0.002476987448</v>
      </c>
      <c r="L2564" s="6">
        <f t="shared" si="3"/>
        <v>394</v>
      </c>
      <c r="M2564" s="6">
        <f t="shared" si="4"/>
        <v>4.507614213</v>
      </c>
      <c r="N2564" s="7">
        <f t="shared" si="5"/>
        <v>0.000006286770172</v>
      </c>
      <c r="O2564" s="7"/>
      <c r="P2564" s="4">
        <f t="shared" si="6"/>
        <v>-0.4450977707</v>
      </c>
      <c r="Q2564" s="4">
        <f t="shared" si="7"/>
        <v>4</v>
      </c>
      <c r="R2564" s="4">
        <f t="shared" si="8"/>
        <v>0</v>
      </c>
      <c r="S2564" s="4">
        <f t="shared" si="9"/>
        <v>-0.4450977707</v>
      </c>
      <c r="T2564" s="4">
        <f t="shared" si="10"/>
        <v>19</v>
      </c>
      <c r="U2564" s="4">
        <f t="shared" si="1"/>
        <v>-0.4450977707</v>
      </c>
      <c r="V2564" s="4"/>
    </row>
    <row r="2565">
      <c r="A2565" s="1" t="s">
        <v>21235</v>
      </c>
      <c r="B2565" s="1" t="s">
        <v>21236</v>
      </c>
      <c r="C2565" s="1" t="s">
        <v>21237</v>
      </c>
      <c r="D2565" s="1" t="s">
        <v>21132</v>
      </c>
      <c r="E2565" s="1" t="s">
        <v>21133</v>
      </c>
      <c r="F2565" s="1">
        <v>3790.0</v>
      </c>
      <c r="G2565" s="1">
        <v>36.0</v>
      </c>
      <c r="H2565" s="1">
        <v>2.0</v>
      </c>
      <c r="I2565" s="1">
        <v>717000.0</v>
      </c>
      <c r="J2565" s="1" t="s">
        <v>2468</v>
      </c>
      <c r="K2565" s="5">
        <f t="shared" si="2"/>
        <v>0.005285913529</v>
      </c>
      <c r="L2565" s="6">
        <f t="shared" si="3"/>
        <v>428</v>
      </c>
      <c r="M2565" s="6">
        <f t="shared" si="4"/>
        <v>8.855140187</v>
      </c>
      <c r="N2565" s="7">
        <f t="shared" si="5"/>
        <v>0.00001235026525</v>
      </c>
      <c r="O2565" s="7"/>
      <c r="P2565" s="4">
        <f t="shared" si="6"/>
        <v>-0.4408268666</v>
      </c>
      <c r="Q2565" s="4">
        <f t="shared" si="7"/>
        <v>1</v>
      </c>
      <c r="R2565" s="4">
        <f t="shared" si="8"/>
        <v>0</v>
      </c>
      <c r="S2565" s="4">
        <f t="shared" si="9"/>
        <v>-0.4408268666</v>
      </c>
      <c r="T2565" s="4">
        <f t="shared" si="10"/>
        <v>6</v>
      </c>
      <c r="U2565" s="4">
        <f t="shared" si="1"/>
        <v>-0.4408268666</v>
      </c>
      <c r="V2565" s="4"/>
    </row>
    <row r="2566">
      <c r="A2566" s="1" t="s">
        <v>21238</v>
      </c>
      <c r="B2566" s="1" t="s">
        <v>21239</v>
      </c>
      <c r="C2566" s="1" t="s">
        <v>21240</v>
      </c>
      <c r="D2566" s="1" t="s">
        <v>21132</v>
      </c>
      <c r="E2566" s="1" t="s">
        <v>21133</v>
      </c>
      <c r="F2566" s="1">
        <v>1556.0</v>
      </c>
      <c r="G2566" s="1">
        <v>10.0</v>
      </c>
      <c r="H2566" s="1">
        <v>0.0</v>
      </c>
      <c r="I2566" s="1">
        <v>717000.0</v>
      </c>
      <c r="J2566" s="1" t="s">
        <v>2468</v>
      </c>
      <c r="K2566" s="5">
        <f t="shared" si="2"/>
        <v>0.002170153417</v>
      </c>
      <c r="L2566" s="6">
        <f t="shared" si="3"/>
        <v>434</v>
      </c>
      <c r="M2566" s="6">
        <f t="shared" si="4"/>
        <v>3.585253456</v>
      </c>
      <c r="N2566" s="7">
        <f t="shared" si="5"/>
        <v>0.000005000353495</v>
      </c>
      <c r="O2566" s="7"/>
      <c r="P2566" s="4">
        <f t="shared" si="6"/>
        <v>-0.4460038756</v>
      </c>
      <c r="Q2566" s="4">
        <f t="shared" si="7"/>
        <v>4</v>
      </c>
      <c r="R2566" s="4">
        <f t="shared" si="8"/>
        <v>0</v>
      </c>
      <c r="S2566" s="4">
        <f t="shared" si="9"/>
        <v>-0.4460038756</v>
      </c>
      <c r="T2566" s="4">
        <f t="shared" si="10"/>
        <v>20</v>
      </c>
      <c r="U2566" s="4">
        <f t="shared" si="1"/>
        <v>-0.4460038756</v>
      </c>
      <c r="V2566" s="4"/>
    </row>
    <row r="2567">
      <c r="A2567" s="1" t="s">
        <v>21241</v>
      </c>
      <c r="B2567" s="1" t="s">
        <v>21242</v>
      </c>
      <c r="C2567" s="1" t="s">
        <v>21243</v>
      </c>
      <c r="D2567" s="1" t="s">
        <v>21132</v>
      </c>
      <c r="E2567" s="1" t="s">
        <v>21133</v>
      </c>
      <c r="F2567" s="1">
        <v>1681.0</v>
      </c>
      <c r="G2567" s="1">
        <v>10.0</v>
      </c>
      <c r="H2567" s="1">
        <v>0.0</v>
      </c>
      <c r="I2567" s="1">
        <v>717000.0</v>
      </c>
      <c r="J2567" s="1" t="s">
        <v>2468</v>
      </c>
      <c r="K2567" s="5">
        <f t="shared" si="2"/>
        <v>0.002344490934</v>
      </c>
      <c r="L2567" s="6">
        <f t="shared" si="3"/>
        <v>435</v>
      </c>
      <c r="M2567" s="6">
        <f t="shared" si="4"/>
        <v>3.864367816</v>
      </c>
      <c r="N2567" s="7">
        <f t="shared" si="5"/>
        <v>0.000005389634332</v>
      </c>
      <c r="O2567" s="7"/>
      <c r="P2567" s="4">
        <f t="shared" si="6"/>
        <v>-0.4457296804</v>
      </c>
      <c r="Q2567" s="4">
        <f t="shared" si="7"/>
        <v>2</v>
      </c>
      <c r="R2567" s="4">
        <f t="shared" si="8"/>
        <v>0</v>
      </c>
      <c r="S2567" s="4">
        <f t="shared" si="9"/>
        <v>-0.4457296804</v>
      </c>
      <c r="T2567" s="4">
        <f t="shared" si="10"/>
        <v>10</v>
      </c>
      <c r="U2567" s="4">
        <f t="shared" si="1"/>
        <v>-0.4457296804</v>
      </c>
      <c r="V2567" s="4"/>
    </row>
    <row r="2568">
      <c r="A2568" s="1" t="s">
        <v>21244</v>
      </c>
      <c r="B2568" s="1" t="s">
        <v>21245</v>
      </c>
      <c r="C2568" s="1" t="s">
        <v>21246</v>
      </c>
      <c r="D2568" s="1" t="s">
        <v>21132</v>
      </c>
      <c r="E2568" s="1" t="s">
        <v>21133</v>
      </c>
      <c r="F2568" s="1">
        <v>1772.0</v>
      </c>
      <c r="G2568" s="1">
        <v>32.0</v>
      </c>
      <c r="H2568" s="1">
        <v>0.0</v>
      </c>
      <c r="I2568" s="1">
        <v>717000.0</v>
      </c>
      <c r="J2568" s="1" t="s">
        <v>2468</v>
      </c>
      <c r="K2568" s="5">
        <f t="shared" si="2"/>
        <v>0.002471408647</v>
      </c>
      <c r="L2568" s="6">
        <f t="shared" si="3"/>
        <v>437</v>
      </c>
      <c r="M2568" s="6">
        <f t="shared" si="4"/>
        <v>4.054919908</v>
      </c>
      <c r="N2568" s="7">
        <f t="shared" si="5"/>
        <v>0.000005655397362</v>
      </c>
      <c r="O2568" s="7"/>
      <c r="P2568" s="4">
        <f t="shared" si="6"/>
        <v>-0.4455424867</v>
      </c>
      <c r="Q2568" s="4">
        <f t="shared" si="7"/>
        <v>6</v>
      </c>
      <c r="R2568" s="4">
        <f t="shared" si="8"/>
        <v>0</v>
      </c>
      <c r="S2568" s="4">
        <f t="shared" si="9"/>
        <v>-0.4455424867</v>
      </c>
      <c r="T2568" s="4">
        <f t="shared" si="10"/>
        <v>28</v>
      </c>
      <c r="U2568" s="4">
        <f t="shared" si="1"/>
        <v>-0.4455424867</v>
      </c>
      <c r="V2568" s="4"/>
    </row>
    <row r="2569">
      <c r="A2569" s="1" t="s">
        <v>21247</v>
      </c>
      <c r="B2569" s="1" t="s">
        <v>21248</v>
      </c>
      <c r="C2569" s="1" t="s">
        <v>21249</v>
      </c>
      <c r="D2569" s="1" t="s">
        <v>21132</v>
      </c>
      <c r="E2569" s="1" t="s">
        <v>21133</v>
      </c>
      <c r="F2569" s="1">
        <v>4685.0</v>
      </c>
      <c r="G2569" s="1">
        <v>20.0</v>
      </c>
      <c r="H2569" s="1">
        <v>2.0</v>
      </c>
      <c r="I2569" s="1">
        <v>717000.0</v>
      </c>
      <c r="J2569" s="1" t="s">
        <v>2468</v>
      </c>
      <c r="K2569" s="5">
        <f t="shared" si="2"/>
        <v>0.006534170153</v>
      </c>
      <c r="L2569" s="6">
        <f t="shared" si="3"/>
        <v>442</v>
      </c>
      <c r="M2569" s="6">
        <f t="shared" si="4"/>
        <v>10.59954751</v>
      </c>
      <c r="N2569" s="7">
        <f t="shared" si="5"/>
        <v>0.00001478319039</v>
      </c>
      <c r="O2569" s="7"/>
      <c r="P2569" s="4">
        <f t="shared" si="6"/>
        <v>-0.4391132031</v>
      </c>
      <c r="Q2569" s="4">
        <f t="shared" si="7"/>
        <v>3</v>
      </c>
      <c r="R2569" s="4">
        <f t="shared" si="8"/>
        <v>0</v>
      </c>
      <c r="S2569" s="4">
        <f t="shared" si="9"/>
        <v>-0.4391132031</v>
      </c>
      <c r="T2569" s="4">
        <f t="shared" si="10"/>
        <v>24</v>
      </c>
      <c r="U2569" s="4">
        <f t="shared" si="1"/>
        <v>-0.4391132031</v>
      </c>
      <c r="V2569" s="4"/>
    </row>
    <row r="2570">
      <c r="A2570" s="1" t="s">
        <v>21250</v>
      </c>
      <c r="B2570" s="1" t="s">
        <v>21251</v>
      </c>
      <c r="C2570" s="1" t="s">
        <v>21252</v>
      </c>
      <c r="D2570" s="1" t="s">
        <v>21132</v>
      </c>
      <c r="E2570" s="1" t="s">
        <v>21133</v>
      </c>
      <c r="F2570" s="1">
        <v>1596.0</v>
      </c>
      <c r="G2570" s="1">
        <v>18.0</v>
      </c>
      <c r="H2570" s="1">
        <v>3.0</v>
      </c>
      <c r="I2570" s="1">
        <v>717000.0</v>
      </c>
      <c r="J2570" s="1" t="s">
        <v>2468</v>
      </c>
      <c r="K2570" s="5">
        <f t="shared" si="2"/>
        <v>0.002225941423</v>
      </c>
      <c r="L2570" s="6">
        <f t="shared" si="3"/>
        <v>444</v>
      </c>
      <c r="M2570" s="6">
        <f t="shared" si="4"/>
        <v>3.594594595</v>
      </c>
      <c r="N2570" s="7">
        <f t="shared" si="5"/>
        <v>0.000005013381582</v>
      </c>
      <c r="O2570" s="7"/>
      <c r="P2570" s="4">
        <f t="shared" si="6"/>
        <v>-0.4459946991</v>
      </c>
      <c r="Q2570" s="4">
        <f t="shared" si="7"/>
        <v>2</v>
      </c>
      <c r="R2570" s="4">
        <f t="shared" si="8"/>
        <v>0</v>
      </c>
      <c r="S2570" s="4">
        <f t="shared" si="9"/>
        <v>-0.4459946991</v>
      </c>
      <c r="T2570" s="4">
        <f t="shared" si="10"/>
        <v>10</v>
      </c>
      <c r="U2570" s="4">
        <f t="shared" si="1"/>
        <v>-0.4459946991</v>
      </c>
      <c r="V2570" s="4"/>
    </row>
    <row r="2571">
      <c r="A2571" s="1" t="s">
        <v>21253</v>
      </c>
      <c r="B2571" s="1" t="s">
        <v>21254</v>
      </c>
      <c r="C2571" s="1" t="s">
        <v>21255</v>
      </c>
      <c r="D2571" s="1" t="s">
        <v>21132</v>
      </c>
      <c r="E2571" s="1" t="s">
        <v>21133</v>
      </c>
      <c r="F2571" s="1">
        <v>1536.0</v>
      </c>
      <c r="G2571" s="1">
        <v>30.0</v>
      </c>
      <c r="H2571" s="1">
        <v>0.0</v>
      </c>
      <c r="I2571" s="1">
        <v>717000.0</v>
      </c>
      <c r="J2571" s="1" t="s">
        <v>2468</v>
      </c>
      <c r="K2571" s="5">
        <f t="shared" si="2"/>
        <v>0.002142259414</v>
      </c>
      <c r="L2571" s="6">
        <f t="shared" si="3"/>
        <v>448</v>
      </c>
      <c r="M2571" s="6">
        <f t="shared" si="4"/>
        <v>3.428571429</v>
      </c>
      <c r="N2571" s="7">
        <f t="shared" si="5"/>
        <v>0.00000478182905</v>
      </c>
      <c r="O2571" s="7"/>
      <c r="P2571" s="4">
        <f t="shared" si="6"/>
        <v>-0.4461577962</v>
      </c>
      <c r="Q2571" s="4">
        <f t="shared" si="7"/>
        <v>2</v>
      </c>
      <c r="R2571" s="4">
        <f t="shared" si="8"/>
        <v>0</v>
      </c>
      <c r="S2571" s="4">
        <f t="shared" si="9"/>
        <v>-0.4461577962</v>
      </c>
      <c r="T2571" s="4">
        <f t="shared" si="10"/>
        <v>13</v>
      </c>
      <c r="U2571" s="4">
        <f t="shared" si="1"/>
        <v>-0.4461577962</v>
      </c>
      <c r="V2571" s="4"/>
    </row>
    <row r="2572">
      <c r="A2572" s="1" t="s">
        <v>21256</v>
      </c>
      <c r="B2572" s="1" t="s">
        <v>21257</v>
      </c>
      <c r="C2572" s="1" t="s">
        <v>21258</v>
      </c>
      <c r="D2572" s="1" t="s">
        <v>21132</v>
      </c>
      <c r="E2572" s="1" t="s">
        <v>21133</v>
      </c>
      <c r="F2572" s="1">
        <v>2342.0</v>
      </c>
      <c r="G2572" s="1">
        <v>33.0</v>
      </c>
      <c r="H2572" s="1">
        <v>0.0</v>
      </c>
      <c r="I2572" s="1">
        <v>717000.0</v>
      </c>
      <c r="J2572" s="1" t="s">
        <v>2468</v>
      </c>
      <c r="K2572" s="5">
        <f t="shared" si="2"/>
        <v>0.003266387727</v>
      </c>
      <c r="L2572" s="6">
        <f t="shared" si="3"/>
        <v>449</v>
      </c>
      <c r="M2572" s="6">
        <f t="shared" si="4"/>
        <v>5.216035635</v>
      </c>
      <c r="N2572" s="7">
        <f t="shared" si="5"/>
        <v>0.000007274805627</v>
      </c>
      <c r="O2572" s="7"/>
      <c r="P2572" s="4">
        <f t="shared" si="6"/>
        <v>-0.4444018347</v>
      </c>
      <c r="Q2572" s="4">
        <f t="shared" si="7"/>
        <v>1</v>
      </c>
      <c r="R2572" s="4">
        <f t="shared" si="8"/>
        <v>0</v>
      </c>
      <c r="S2572" s="4">
        <f t="shared" si="9"/>
        <v>-0.4444018347</v>
      </c>
      <c r="T2572" s="4">
        <f t="shared" si="10"/>
        <v>6</v>
      </c>
      <c r="U2572" s="4">
        <f t="shared" si="1"/>
        <v>-0.4444018347</v>
      </c>
      <c r="V2572" s="4"/>
    </row>
    <row r="2573">
      <c r="A2573" s="1" t="s">
        <v>21259</v>
      </c>
      <c r="B2573" s="1" t="s">
        <v>21260</v>
      </c>
      <c r="C2573" s="1" t="s">
        <v>21261</v>
      </c>
      <c r="D2573" s="1" t="s">
        <v>21132</v>
      </c>
      <c r="E2573" s="1" t="s">
        <v>21133</v>
      </c>
      <c r="F2573" s="1">
        <v>2077.0</v>
      </c>
      <c r="G2573" s="1">
        <v>35.0</v>
      </c>
      <c r="H2573" s="1">
        <v>1.0</v>
      </c>
      <c r="I2573" s="1">
        <v>717000.0</v>
      </c>
      <c r="J2573" s="1" t="s">
        <v>2468</v>
      </c>
      <c r="K2573" s="5">
        <f t="shared" si="2"/>
        <v>0.00289679219</v>
      </c>
      <c r="L2573" s="6">
        <f t="shared" si="3"/>
        <v>450</v>
      </c>
      <c r="M2573" s="6">
        <f t="shared" si="4"/>
        <v>4.615555556</v>
      </c>
      <c r="N2573" s="7">
        <f t="shared" si="5"/>
        <v>0.000006437315977</v>
      </c>
      <c r="O2573" s="7"/>
      <c r="P2573" s="4">
        <f t="shared" si="6"/>
        <v>-0.4449917318</v>
      </c>
      <c r="Q2573" s="4">
        <f t="shared" si="7"/>
        <v>2</v>
      </c>
      <c r="R2573" s="4">
        <f t="shared" si="8"/>
        <v>0</v>
      </c>
      <c r="S2573" s="4">
        <f t="shared" si="9"/>
        <v>-0.4449917318</v>
      </c>
      <c r="T2573" s="4">
        <f t="shared" si="10"/>
        <v>10</v>
      </c>
      <c r="U2573" s="4">
        <f t="shared" si="1"/>
        <v>-0.4449917318</v>
      </c>
      <c r="V2573" s="4"/>
    </row>
    <row r="2574">
      <c r="A2574" s="1" t="s">
        <v>21262</v>
      </c>
      <c r="B2574" s="1" t="s">
        <v>21263</v>
      </c>
      <c r="C2574" s="1" t="s">
        <v>21264</v>
      </c>
      <c r="D2574" s="1" t="s">
        <v>21132</v>
      </c>
      <c r="E2574" s="1" t="s">
        <v>21133</v>
      </c>
      <c r="F2574" s="1">
        <v>1913.0</v>
      </c>
      <c r="G2574" s="1">
        <v>36.0</v>
      </c>
      <c r="H2574" s="1">
        <v>0.0</v>
      </c>
      <c r="I2574" s="1">
        <v>717000.0</v>
      </c>
      <c r="J2574" s="1" t="s">
        <v>2468</v>
      </c>
      <c r="K2574" s="5">
        <f t="shared" si="2"/>
        <v>0.002668061367</v>
      </c>
      <c r="L2574" s="6">
        <f t="shared" si="3"/>
        <v>451</v>
      </c>
      <c r="M2574" s="6">
        <f t="shared" si="4"/>
        <v>4.241685144</v>
      </c>
      <c r="N2574" s="7">
        <f t="shared" si="5"/>
        <v>0.000005915878862</v>
      </c>
      <c r="O2574" s="7"/>
      <c r="P2574" s="4">
        <f t="shared" si="6"/>
        <v>-0.445359013</v>
      </c>
      <c r="Q2574" s="4">
        <f t="shared" si="7"/>
        <v>1</v>
      </c>
      <c r="R2574" s="4">
        <f t="shared" si="8"/>
        <v>0</v>
      </c>
      <c r="S2574" s="4">
        <f t="shared" si="9"/>
        <v>-0.445359013</v>
      </c>
      <c r="T2574" s="4">
        <f t="shared" si="10"/>
        <v>4</v>
      </c>
      <c r="U2574" s="4">
        <f t="shared" si="1"/>
        <v>-0.445359013</v>
      </c>
      <c r="V2574" s="4"/>
    </row>
    <row r="2575">
      <c r="A2575" s="1" t="s">
        <v>21265</v>
      </c>
      <c r="B2575" s="1" t="s">
        <v>21266</v>
      </c>
      <c r="C2575" s="1" t="s">
        <v>21267</v>
      </c>
      <c r="D2575" s="1" t="s">
        <v>21132</v>
      </c>
      <c r="E2575" s="1" t="s">
        <v>21133</v>
      </c>
      <c r="F2575" s="1">
        <v>1665.0</v>
      </c>
      <c r="G2575" s="1">
        <v>16.0</v>
      </c>
      <c r="H2575" s="1">
        <v>0.0</v>
      </c>
      <c r="I2575" s="1">
        <v>717000.0</v>
      </c>
      <c r="J2575" s="1" t="s">
        <v>2468</v>
      </c>
      <c r="K2575" s="5">
        <f t="shared" si="2"/>
        <v>0.002322175732</v>
      </c>
      <c r="L2575" s="6">
        <f t="shared" si="3"/>
        <v>454</v>
      </c>
      <c r="M2575" s="6">
        <f t="shared" si="4"/>
        <v>3.667400881</v>
      </c>
      <c r="N2575" s="7">
        <f t="shared" si="5"/>
        <v>0.00000511492452</v>
      </c>
      <c r="O2575" s="7"/>
      <c r="P2575" s="4">
        <f t="shared" si="6"/>
        <v>-0.445923176</v>
      </c>
      <c r="Q2575" s="4">
        <f t="shared" si="7"/>
        <v>7</v>
      </c>
      <c r="R2575" s="4">
        <f t="shared" si="8"/>
        <v>0</v>
      </c>
      <c r="S2575" s="4">
        <f t="shared" si="9"/>
        <v>-0.445923176</v>
      </c>
      <c r="T2575" s="4">
        <f t="shared" si="10"/>
        <v>33</v>
      </c>
      <c r="U2575" s="4">
        <f t="shared" si="1"/>
        <v>-0.445923176</v>
      </c>
      <c r="V2575" s="4"/>
    </row>
    <row r="2576">
      <c r="A2576" s="1" t="s">
        <v>21268</v>
      </c>
      <c r="B2576" s="1" t="s">
        <v>21269</v>
      </c>
      <c r="C2576" s="1" t="s">
        <v>21270</v>
      </c>
      <c r="D2576" s="1" t="s">
        <v>21132</v>
      </c>
      <c r="E2576" s="1" t="s">
        <v>21133</v>
      </c>
      <c r="F2576" s="1">
        <v>5065.0</v>
      </c>
      <c r="G2576" s="1">
        <v>52.0</v>
      </c>
      <c r="H2576" s="1">
        <v>6.0</v>
      </c>
      <c r="I2576" s="1">
        <v>717000.0</v>
      </c>
      <c r="J2576" s="1" t="s">
        <v>2468</v>
      </c>
      <c r="K2576" s="5">
        <f t="shared" si="2"/>
        <v>0.007064156206</v>
      </c>
      <c r="L2576" s="6">
        <f t="shared" si="3"/>
        <v>456</v>
      </c>
      <c r="M2576" s="6">
        <f t="shared" si="4"/>
        <v>11.10745614</v>
      </c>
      <c r="N2576" s="7">
        <f t="shared" si="5"/>
        <v>0.00001549157063</v>
      </c>
      <c r="O2576" s="7"/>
      <c r="P2576" s="4">
        <f t="shared" si="6"/>
        <v>-0.4386142459</v>
      </c>
      <c r="Q2576" s="4">
        <f t="shared" si="7"/>
        <v>8</v>
      </c>
      <c r="R2576" s="4">
        <f t="shared" si="8"/>
        <v>0</v>
      </c>
      <c r="S2576" s="4">
        <f t="shared" si="9"/>
        <v>-0.4386142459</v>
      </c>
      <c r="T2576" s="4">
        <f t="shared" si="10"/>
        <v>34</v>
      </c>
      <c r="U2576" s="4">
        <f t="shared" si="1"/>
        <v>-0.4386142459</v>
      </c>
      <c r="V2576" s="4"/>
    </row>
    <row r="2577">
      <c r="A2577" s="1" t="s">
        <v>21271</v>
      </c>
      <c r="B2577" s="1" t="s">
        <v>21272</v>
      </c>
      <c r="C2577" s="1" t="s">
        <v>21273</v>
      </c>
      <c r="D2577" s="1" t="s">
        <v>21132</v>
      </c>
      <c r="E2577" s="1" t="s">
        <v>21133</v>
      </c>
      <c r="F2577" s="1">
        <v>1678.0</v>
      </c>
      <c r="G2577" s="1">
        <v>29.0</v>
      </c>
      <c r="H2577" s="1">
        <v>2.0</v>
      </c>
      <c r="I2577" s="1">
        <v>717000.0</v>
      </c>
      <c r="J2577" s="1" t="s">
        <v>2468</v>
      </c>
      <c r="K2577" s="5">
        <f t="shared" si="2"/>
        <v>0.002340306834</v>
      </c>
      <c r="L2577" s="6">
        <f t="shared" si="3"/>
        <v>457</v>
      </c>
      <c r="M2577" s="6">
        <f t="shared" si="4"/>
        <v>3.671772429</v>
      </c>
      <c r="N2577" s="7">
        <f t="shared" si="5"/>
        <v>0.000005121021519</v>
      </c>
      <c r="O2577" s="7"/>
      <c r="P2577" s="4">
        <f t="shared" si="6"/>
        <v>-0.4459188815</v>
      </c>
      <c r="Q2577" s="4">
        <f t="shared" si="7"/>
        <v>2</v>
      </c>
      <c r="R2577" s="4">
        <f t="shared" si="8"/>
        <v>0</v>
      </c>
      <c r="S2577" s="4">
        <f t="shared" si="9"/>
        <v>-0.4459188815</v>
      </c>
      <c r="T2577" s="4">
        <f t="shared" si="10"/>
        <v>10</v>
      </c>
      <c r="U2577" s="4">
        <f t="shared" si="1"/>
        <v>-0.4459188815</v>
      </c>
      <c r="V2577" s="4"/>
    </row>
    <row r="2578">
      <c r="A2578" s="1" t="s">
        <v>21274</v>
      </c>
      <c r="B2578" s="1" t="s">
        <v>21159</v>
      </c>
      <c r="C2578" s="1" t="s">
        <v>21275</v>
      </c>
      <c r="D2578" s="1" t="s">
        <v>21132</v>
      </c>
      <c r="E2578" s="1" t="s">
        <v>21133</v>
      </c>
      <c r="F2578" s="1">
        <v>1553.0</v>
      </c>
      <c r="G2578" s="1">
        <v>12.0</v>
      </c>
      <c r="H2578" s="1">
        <v>0.0</v>
      </c>
      <c r="I2578" s="1">
        <v>717000.0</v>
      </c>
      <c r="J2578" s="1" t="s">
        <v>2468</v>
      </c>
      <c r="K2578" s="5">
        <f t="shared" si="2"/>
        <v>0.002165969317</v>
      </c>
      <c r="L2578" s="6">
        <f t="shared" si="3"/>
        <v>458</v>
      </c>
      <c r="M2578" s="6">
        <f t="shared" si="4"/>
        <v>3.390829694</v>
      </c>
      <c r="N2578" s="7">
        <f t="shared" si="5"/>
        <v>0.000004729190648</v>
      </c>
      <c r="O2578" s="7"/>
      <c r="P2578" s="4">
        <f t="shared" si="6"/>
        <v>-0.4461948728</v>
      </c>
      <c r="Q2578" s="4">
        <f t="shared" si="7"/>
        <v>6</v>
      </c>
      <c r="R2578" s="4">
        <f t="shared" si="8"/>
        <v>0</v>
      </c>
      <c r="S2578" s="4">
        <f t="shared" si="9"/>
        <v>-0.4461948728</v>
      </c>
      <c r="T2578" s="4">
        <f t="shared" si="10"/>
        <v>32</v>
      </c>
      <c r="U2578" s="4">
        <f t="shared" si="1"/>
        <v>-0.4461948728</v>
      </c>
      <c r="V2578" s="4"/>
    </row>
    <row r="2579">
      <c r="A2579" s="1" t="s">
        <v>21276</v>
      </c>
      <c r="B2579" s="1" t="s">
        <v>21165</v>
      </c>
      <c r="C2579" s="1" t="s">
        <v>21277</v>
      </c>
      <c r="D2579" s="1" t="s">
        <v>21132</v>
      </c>
      <c r="E2579" s="1" t="s">
        <v>21133</v>
      </c>
      <c r="F2579" s="1">
        <v>3610.0</v>
      </c>
      <c r="G2579" s="1">
        <v>53.0</v>
      </c>
      <c r="H2579" s="1">
        <v>0.0</v>
      </c>
      <c r="I2579" s="1">
        <v>717000.0</v>
      </c>
      <c r="J2579" s="1" t="s">
        <v>2468</v>
      </c>
      <c r="K2579" s="5">
        <f t="shared" si="2"/>
        <v>0.005034867503</v>
      </c>
      <c r="L2579" s="6">
        <f t="shared" si="3"/>
        <v>461</v>
      </c>
      <c r="M2579" s="6">
        <f t="shared" si="4"/>
        <v>7.830802603</v>
      </c>
      <c r="N2579" s="7">
        <f t="shared" si="5"/>
        <v>0.00001092162148</v>
      </c>
      <c r="O2579" s="7"/>
      <c r="P2579" s="4">
        <f t="shared" si="6"/>
        <v>-0.441833151</v>
      </c>
      <c r="Q2579" s="4">
        <f t="shared" si="7"/>
        <v>5</v>
      </c>
      <c r="R2579" s="4">
        <f t="shared" si="8"/>
        <v>1</v>
      </c>
      <c r="S2579" s="4">
        <f t="shared" si="9"/>
        <v>-0.441833151</v>
      </c>
      <c r="T2579" s="4">
        <f t="shared" si="10"/>
        <v>18</v>
      </c>
      <c r="U2579" s="4">
        <f t="shared" si="1"/>
        <v>-0.441833151</v>
      </c>
      <c r="V2579" s="4"/>
    </row>
    <row r="2580">
      <c r="A2580" s="1" t="s">
        <v>21278</v>
      </c>
      <c r="B2580" s="1" t="s">
        <v>21279</v>
      </c>
      <c r="C2580" s="1" t="s">
        <v>21280</v>
      </c>
      <c r="D2580" s="1" t="s">
        <v>21132</v>
      </c>
      <c r="E2580" s="1" t="s">
        <v>21133</v>
      </c>
      <c r="F2580" s="1">
        <v>1289.0</v>
      </c>
      <c r="G2580" s="1">
        <v>18.0</v>
      </c>
      <c r="H2580" s="1">
        <v>1.0</v>
      </c>
      <c r="I2580" s="1">
        <v>717000.0</v>
      </c>
      <c r="J2580" s="1" t="s">
        <v>2468</v>
      </c>
      <c r="K2580" s="5">
        <f t="shared" si="2"/>
        <v>0.00179776848</v>
      </c>
      <c r="L2580" s="6">
        <f t="shared" si="3"/>
        <v>462</v>
      </c>
      <c r="M2580" s="6">
        <f t="shared" si="4"/>
        <v>2.79004329</v>
      </c>
      <c r="N2580" s="7">
        <f t="shared" si="5"/>
        <v>0.000003891273766</v>
      </c>
      <c r="O2580" s="7"/>
      <c r="P2580" s="4">
        <f t="shared" si="6"/>
        <v>-0.4467850708</v>
      </c>
      <c r="Q2580" s="4">
        <f t="shared" si="7"/>
        <v>5</v>
      </c>
      <c r="R2580" s="4">
        <f t="shared" si="8"/>
        <v>0</v>
      </c>
      <c r="S2580" s="4">
        <f t="shared" si="9"/>
        <v>-0.4467850708</v>
      </c>
      <c r="T2580" s="4">
        <f t="shared" si="10"/>
        <v>19</v>
      </c>
      <c r="U2580" s="4">
        <f t="shared" si="1"/>
        <v>-0.4467850708</v>
      </c>
      <c r="V2580" s="4"/>
    </row>
    <row r="2581">
      <c r="A2581" s="1" t="s">
        <v>21281</v>
      </c>
      <c r="B2581" s="1" t="s">
        <v>21282</v>
      </c>
      <c r="C2581" s="1" t="s">
        <v>21283</v>
      </c>
      <c r="D2581" s="1" t="s">
        <v>21132</v>
      </c>
      <c r="E2581" s="1" t="s">
        <v>21133</v>
      </c>
      <c r="F2581" s="1">
        <v>3828.0</v>
      </c>
      <c r="G2581" s="1">
        <v>30.0</v>
      </c>
      <c r="H2581" s="1">
        <v>1.0</v>
      </c>
      <c r="I2581" s="1">
        <v>717000.0</v>
      </c>
      <c r="J2581" s="1" t="s">
        <v>2468</v>
      </c>
      <c r="K2581" s="5">
        <f t="shared" si="2"/>
        <v>0.005338912134</v>
      </c>
      <c r="L2581" s="6">
        <f t="shared" si="3"/>
        <v>464</v>
      </c>
      <c r="M2581" s="6">
        <f t="shared" si="4"/>
        <v>8.25</v>
      </c>
      <c r="N2581" s="7">
        <f t="shared" si="5"/>
        <v>0.00001150627615</v>
      </c>
      <c r="O2581" s="7"/>
      <c r="P2581" s="4">
        <f t="shared" si="6"/>
        <v>-0.4414213416</v>
      </c>
      <c r="Q2581" s="4">
        <f t="shared" si="7"/>
        <v>7</v>
      </c>
      <c r="R2581" s="4">
        <f t="shared" si="8"/>
        <v>0</v>
      </c>
      <c r="S2581" s="4">
        <f t="shared" si="9"/>
        <v>-0.4414213416</v>
      </c>
      <c r="T2581" s="4">
        <f t="shared" si="10"/>
        <v>26</v>
      </c>
      <c r="U2581" s="4">
        <f t="shared" si="1"/>
        <v>-0.4414213416</v>
      </c>
      <c r="V2581" s="4"/>
    </row>
    <row r="2582">
      <c r="A2582" s="1" t="s">
        <v>21284</v>
      </c>
      <c r="B2582" s="1" t="s">
        <v>21285</v>
      </c>
      <c r="C2582" s="1" t="s">
        <v>21286</v>
      </c>
      <c r="D2582" s="1" t="s">
        <v>21132</v>
      </c>
      <c r="E2582" s="1" t="s">
        <v>21133</v>
      </c>
      <c r="F2582" s="1">
        <v>1541.0</v>
      </c>
      <c r="G2582" s="1">
        <v>11.0</v>
      </c>
      <c r="H2582" s="1">
        <v>0.0</v>
      </c>
      <c r="I2582" s="1">
        <v>717000.0</v>
      </c>
      <c r="J2582" s="1" t="s">
        <v>2468</v>
      </c>
      <c r="K2582" s="5">
        <f t="shared" si="2"/>
        <v>0.002149232915</v>
      </c>
      <c r="L2582" s="6">
        <f t="shared" si="3"/>
        <v>468</v>
      </c>
      <c r="M2582" s="6">
        <f t="shared" si="4"/>
        <v>3.292735043</v>
      </c>
      <c r="N2582" s="7">
        <f t="shared" si="5"/>
        <v>0.000004592378023</v>
      </c>
      <c r="O2582" s="7"/>
      <c r="P2582" s="4">
        <f t="shared" si="6"/>
        <v>-0.4462912386</v>
      </c>
      <c r="Q2582" s="4">
        <f t="shared" si="7"/>
        <v>9</v>
      </c>
      <c r="R2582" s="4">
        <f t="shared" si="8"/>
        <v>1</v>
      </c>
      <c r="S2582" s="4">
        <f t="shared" si="9"/>
        <v>-0.4462912386</v>
      </c>
      <c r="T2582" s="4">
        <f t="shared" si="10"/>
        <v>42</v>
      </c>
      <c r="U2582" s="4">
        <f t="shared" si="1"/>
        <v>-0.4462912386</v>
      </c>
      <c r="V2582" s="4"/>
    </row>
    <row r="2583">
      <c r="A2583" s="1" t="s">
        <v>21287</v>
      </c>
      <c r="B2583" s="1" t="s">
        <v>21288</v>
      </c>
      <c r="C2583" s="1" t="s">
        <v>21289</v>
      </c>
      <c r="D2583" s="1" t="s">
        <v>21132</v>
      </c>
      <c r="E2583" s="1" t="s">
        <v>21133</v>
      </c>
      <c r="F2583" s="1">
        <v>3073.0</v>
      </c>
      <c r="G2583" s="1">
        <v>75.0</v>
      </c>
      <c r="H2583" s="1">
        <v>0.0</v>
      </c>
      <c r="I2583" s="1">
        <v>717000.0</v>
      </c>
      <c r="J2583" s="1" t="s">
        <v>2468</v>
      </c>
      <c r="K2583" s="5">
        <f t="shared" si="2"/>
        <v>0.004285913529</v>
      </c>
      <c r="L2583" s="6">
        <f t="shared" si="3"/>
        <v>469</v>
      </c>
      <c r="M2583" s="6">
        <f t="shared" si="4"/>
        <v>6.552238806</v>
      </c>
      <c r="N2583" s="7">
        <f t="shared" si="5"/>
        <v>0.000009138408377</v>
      </c>
      <c r="O2583" s="7"/>
      <c r="P2583" s="4">
        <f t="shared" si="6"/>
        <v>-0.4430891811</v>
      </c>
      <c r="Q2583" s="4">
        <f t="shared" si="7"/>
        <v>2</v>
      </c>
      <c r="R2583" s="4">
        <f t="shared" si="8"/>
        <v>0</v>
      </c>
      <c r="S2583" s="4">
        <f t="shared" si="9"/>
        <v>-0.4430891811</v>
      </c>
      <c r="T2583" s="4">
        <f t="shared" si="10"/>
        <v>10</v>
      </c>
      <c r="U2583" s="4">
        <f t="shared" si="1"/>
        <v>-0.4430891811</v>
      </c>
      <c r="V2583" s="4"/>
    </row>
    <row r="2584">
      <c r="A2584" s="1" t="s">
        <v>21290</v>
      </c>
      <c r="B2584" s="1" t="s">
        <v>21291</v>
      </c>
      <c r="C2584" s="1" t="s">
        <v>21292</v>
      </c>
      <c r="D2584" s="1" t="s">
        <v>21132</v>
      </c>
      <c r="E2584" s="1" t="s">
        <v>21133</v>
      </c>
      <c r="F2584" s="1">
        <v>4212.0</v>
      </c>
      <c r="G2584" s="1">
        <v>54.0</v>
      </c>
      <c r="H2584" s="1">
        <v>4.0</v>
      </c>
      <c r="I2584" s="1">
        <v>717000.0</v>
      </c>
      <c r="J2584" s="1" t="s">
        <v>2468</v>
      </c>
      <c r="K2584" s="5">
        <f t="shared" si="2"/>
        <v>0.005874476987</v>
      </c>
      <c r="L2584" s="6">
        <f t="shared" si="3"/>
        <v>470</v>
      </c>
      <c r="M2584" s="6">
        <f t="shared" si="4"/>
        <v>8.961702128</v>
      </c>
      <c r="N2584" s="7">
        <f t="shared" si="5"/>
        <v>0.00001249888721</v>
      </c>
      <c r="O2584" s="7"/>
      <c r="P2584" s="4">
        <f t="shared" si="6"/>
        <v>-0.4407221827</v>
      </c>
      <c r="Q2584" s="4">
        <f t="shared" si="7"/>
        <v>10</v>
      </c>
      <c r="R2584" s="4">
        <f t="shared" si="8"/>
        <v>0</v>
      </c>
      <c r="S2584" s="4">
        <f t="shared" si="9"/>
        <v>-0.4407221827</v>
      </c>
      <c r="T2584" s="4">
        <f t="shared" si="10"/>
        <v>46</v>
      </c>
      <c r="U2584" s="4">
        <f t="shared" si="1"/>
        <v>-0.4407221827</v>
      </c>
      <c r="V2584" s="4"/>
    </row>
    <row r="2585">
      <c r="A2585" s="1" t="s">
        <v>21293</v>
      </c>
      <c r="B2585" s="1" t="s">
        <v>21294</v>
      </c>
      <c r="C2585" s="1" t="s">
        <v>21295</v>
      </c>
      <c r="D2585" s="1" t="s">
        <v>21132</v>
      </c>
      <c r="E2585" s="1" t="s">
        <v>21133</v>
      </c>
      <c r="F2585" s="1">
        <v>1267.0</v>
      </c>
      <c r="G2585" s="1">
        <v>25.0</v>
      </c>
      <c r="H2585" s="1">
        <v>0.0</v>
      </c>
      <c r="I2585" s="1">
        <v>717000.0</v>
      </c>
      <c r="J2585" s="1" t="s">
        <v>2468</v>
      </c>
      <c r="K2585" s="5">
        <f t="shared" si="2"/>
        <v>0.001767085077</v>
      </c>
      <c r="L2585" s="6">
        <f t="shared" si="3"/>
        <v>471</v>
      </c>
      <c r="M2585" s="6">
        <f t="shared" si="4"/>
        <v>2.690021231</v>
      </c>
      <c r="N2585" s="7">
        <f t="shared" si="5"/>
        <v>0.000003751772987</v>
      </c>
      <c r="O2585" s="7"/>
      <c r="P2585" s="4">
        <f t="shared" si="6"/>
        <v>-0.44688333</v>
      </c>
      <c r="Q2585" s="4">
        <f t="shared" si="7"/>
        <v>2</v>
      </c>
      <c r="R2585" s="4">
        <f t="shared" si="8"/>
        <v>0</v>
      </c>
      <c r="S2585" s="4">
        <f t="shared" si="9"/>
        <v>-0.44688333</v>
      </c>
      <c r="T2585" s="4">
        <f t="shared" si="10"/>
        <v>13</v>
      </c>
      <c r="U2585" s="4">
        <f t="shared" si="1"/>
        <v>-0.44688333</v>
      </c>
      <c r="V2585" s="4"/>
    </row>
    <row r="2586">
      <c r="A2586" s="1" t="s">
        <v>21296</v>
      </c>
      <c r="B2586" s="1" t="s">
        <v>21297</v>
      </c>
      <c r="C2586" s="1" t="s">
        <v>21298</v>
      </c>
      <c r="D2586" s="1" t="s">
        <v>21132</v>
      </c>
      <c r="E2586" s="1" t="s">
        <v>21133</v>
      </c>
      <c r="F2586" s="1">
        <v>1614.0</v>
      </c>
      <c r="G2586" s="1">
        <v>9.0</v>
      </c>
      <c r="H2586" s="1">
        <v>0.0</v>
      </c>
      <c r="I2586" s="1">
        <v>717000.0</v>
      </c>
      <c r="J2586" s="1" t="s">
        <v>2468</v>
      </c>
      <c r="K2586" s="5">
        <f t="shared" si="2"/>
        <v>0.002251046025</v>
      </c>
      <c r="L2586" s="6">
        <f t="shared" si="3"/>
        <v>472</v>
      </c>
      <c r="M2586" s="6">
        <f t="shared" si="4"/>
        <v>3.419491525</v>
      </c>
      <c r="N2586" s="7">
        <f t="shared" si="5"/>
        <v>0.000004769165307</v>
      </c>
      <c r="O2586" s="7"/>
      <c r="P2586" s="4">
        <f t="shared" si="6"/>
        <v>-0.4461667161</v>
      </c>
      <c r="Q2586" s="4">
        <f t="shared" si="7"/>
        <v>5</v>
      </c>
      <c r="R2586" s="4">
        <f t="shared" si="8"/>
        <v>0</v>
      </c>
      <c r="S2586" s="4">
        <f t="shared" si="9"/>
        <v>-0.4461667161</v>
      </c>
      <c r="T2586" s="4">
        <f t="shared" si="10"/>
        <v>22</v>
      </c>
      <c r="U2586" s="4">
        <f t="shared" si="1"/>
        <v>-0.4461667161</v>
      </c>
      <c r="V2586" s="4"/>
    </row>
    <row r="2587">
      <c r="A2587" s="1" t="s">
        <v>21299</v>
      </c>
      <c r="B2587" s="1" t="s">
        <v>21300</v>
      </c>
      <c r="C2587" s="1" t="s">
        <v>21301</v>
      </c>
      <c r="D2587" s="1" t="s">
        <v>21132</v>
      </c>
      <c r="E2587" s="1" t="s">
        <v>21133</v>
      </c>
      <c r="F2587" s="1">
        <v>1559.0</v>
      </c>
      <c r="G2587" s="1">
        <v>22.0</v>
      </c>
      <c r="H2587" s="1">
        <v>0.0</v>
      </c>
      <c r="I2587" s="1">
        <v>717000.0</v>
      </c>
      <c r="J2587" s="1" t="s">
        <v>2468</v>
      </c>
      <c r="K2587" s="5">
        <f t="shared" si="2"/>
        <v>0.002174337517</v>
      </c>
      <c r="L2587" s="6">
        <f t="shared" si="3"/>
        <v>475</v>
      </c>
      <c r="M2587" s="6">
        <f t="shared" si="4"/>
        <v>3.282105263</v>
      </c>
      <c r="N2587" s="7">
        <f t="shared" si="5"/>
        <v>0.000004577552668</v>
      </c>
      <c r="O2587" s="7"/>
      <c r="P2587" s="4">
        <f t="shared" si="6"/>
        <v>-0.446301681</v>
      </c>
      <c r="Q2587" s="4">
        <f t="shared" si="7"/>
        <v>7</v>
      </c>
      <c r="R2587" s="4">
        <f t="shared" si="8"/>
        <v>1</v>
      </c>
      <c r="S2587" s="4">
        <f t="shared" si="9"/>
        <v>-0.446301681</v>
      </c>
      <c r="T2587" s="4">
        <f t="shared" si="10"/>
        <v>30</v>
      </c>
      <c r="U2587" s="4">
        <f t="shared" si="1"/>
        <v>-0.446301681</v>
      </c>
      <c r="V2587" s="4"/>
    </row>
    <row r="2588">
      <c r="A2588" s="1" t="s">
        <v>21302</v>
      </c>
      <c r="B2588" s="1" t="s">
        <v>21303</v>
      </c>
      <c r="C2588" s="1" t="s">
        <v>21304</v>
      </c>
      <c r="D2588" s="1" t="s">
        <v>21132</v>
      </c>
      <c r="E2588" s="1" t="s">
        <v>21133</v>
      </c>
      <c r="F2588" s="1">
        <v>1917.0</v>
      </c>
      <c r="G2588" s="1">
        <v>35.0</v>
      </c>
      <c r="H2588" s="1">
        <v>0.0</v>
      </c>
      <c r="I2588" s="1">
        <v>717000.0</v>
      </c>
      <c r="J2588" s="1" t="s">
        <v>2468</v>
      </c>
      <c r="K2588" s="5">
        <f t="shared" si="2"/>
        <v>0.002673640167</v>
      </c>
      <c r="L2588" s="6">
        <f t="shared" si="3"/>
        <v>476</v>
      </c>
      <c r="M2588" s="6">
        <f t="shared" si="4"/>
        <v>4.027310924</v>
      </c>
      <c r="N2588" s="7">
        <f t="shared" si="5"/>
        <v>0.000005616891108</v>
      </c>
      <c r="O2588" s="7"/>
      <c r="P2588" s="4">
        <f t="shared" si="6"/>
        <v>-0.4455696091</v>
      </c>
      <c r="Q2588" s="4">
        <f t="shared" si="7"/>
        <v>6</v>
      </c>
      <c r="R2588" s="4">
        <f t="shared" si="8"/>
        <v>0</v>
      </c>
      <c r="S2588" s="4">
        <f t="shared" si="9"/>
        <v>-0.4455696091</v>
      </c>
      <c r="T2588" s="4">
        <f t="shared" si="10"/>
        <v>31</v>
      </c>
      <c r="U2588" s="4">
        <f t="shared" si="1"/>
        <v>-0.4455696091</v>
      </c>
      <c r="V2588" s="4"/>
    </row>
    <row r="2589">
      <c r="A2589" s="1" t="s">
        <v>21305</v>
      </c>
      <c r="B2589" s="1" t="s">
        <v>21306</v>
      </c>
      <c r="C2589" s="1" t="s">
        <v>21307</v>
      </c>
      <c r="D2589" s="1" t="s">
        <v>21132</v>
      </c>
      <c r="E2589" s="1" t="s">
        <v>21133</v>
      </c>
      <c r="F2589" s="1">
        <v>3850.0</v>
      </c>
      <c r="G2589" s="1">
        <v>48.0</v>
      </c>
      <c r="H2589" s="1">
        <v>4.0</v>
      </c>
      <c r="I2589" s="1">
        <v>717000.0</v>
      </c>
      <c r="J2589" s="1" t="s">
        <v>2468</v>
      </c>
      <c r="K2589" s="5">
        <f t="shared" si="2"/>
        <v>0.005369595537</v>
      </c>
      <c r="L2589" s="6">
        <f t="shared" si="3"/>
        <v>479</v>
      </c>
      <c r="M2589" s="6">
        <f t="shared" si="4"/>
        <v>8.037578288</v>
      </c>
      <c r="N2589" s="7">
        <f t="shared" si="5"/>
        <v>0.00001121001156</v>
      </c>
      <c r="O2589" s="7"/>
      <c r="P2589" s="4">
        <f t="shared" si="6"/>
        <v>-0.4416300196</v>
      </c>
      <c r="Q2589" s="4">
        <f t="shared" si="7"/>
        <v>2</v>
      </c>
      <c r="R2589" s="4">
        <f t="shared" si="8"/>
        <v>0</v>
      </c>
      <c r="S2589" s="4">
        <f t="shared" si="9"/>
        <v>-0.4416300196</v>
      </c>
      <c r="T2589" s="4">
        <f t="shared" si="10"/>
        <v>10</v>
      </c>
      <c r="U2589" s="4">
        <f t="shared" si="1"/>
        <v>-0.4416300196</v>
      </c>
      <c r="V2589" s="4"/>
    </row>
    <row r="2590">
      <c r="A2590" s="1" t="s">
        <v>21308</v>
      </c>
      <c r="B2590" s="1" t="s">
        <v>21309</v>
      </c>
      <c r="C2590" s="1" t="s">
        <v>21310</v>
      </c>
      <c r="D2590" s="1" t="s">
        <v>21132</v>
      </c>
      <c r="E2590" s="1" t="s">
        <v>21133</v>
      </c>
      <c r="F2590" s="1">
        <v>2172.0</v>
      </c>
      <c r="G2590" s="1">
        <v>29.0</v>
      </c>
      <c r="H2590" s="1">
        <v>3.0</v>
      </c>
      <c r="I2590" s="1">
        <v>717000.0</v>
      </c>
      <c r="J2590" s="1" t="s">
        <v>2468</v>
      </c>
      <c r="K2590" s="5">
        <f t="shared" si="2"/>
        <v>0.003029288703</v>
      </c>
      <c r="L2590" s="6">
        <f t="shared" si="3"/>
        <v>481</v>
      </c>
      <c r="M2590" s="6">
        <f t="shared" si="4"/>
        <v>4.515592516</v>
      </c>
      <c r="N2590" s="7">
        <f t="shared" si="5"/>
        <v>0.000006297897511</v>
      </c>
      <c r="O2590" s="7"/>
      <c r="P2590" s="4">
        <f t="shared" si="6"/>
        <v>-0.445089933</v>
      </c>
      <c r="Q2590" s="4">
        <f t="shared" si="7"/>
        <v>6</v>
      </c>
      <c r="R2590" s="4">
        <f t="shared" si="8"/>
        <v>0</v>
      </c>
      <c r="S2590" s="4">
        <f t="shared" si="9"/>
        <v>-0.445089933</v>
      </c>
      <c r="T2590" s="4">
        <f t="shared" si="10"/>
        <v>26</v>
      </c>
      <c r="U2590" s="4">
        <f t="shared" si="1"/>
        <v>-0.445089933</v>
      </c>
      <c r="V2590" s="4"/>
    </row>
    <row r="2591">
      <c r="A2591" s="1" t="s">
        <v>21311</v>
      </c>
      <c r="B2591" s="1" t="s">
        <v>21312</v>
      </c>
      <c r="C2591" s="1" t="s">
        <v>21313</v>
      </c>
      <c r="D2591" s="1" t="s">
        <v>21132</v>
      </c>
      <c r="E2591" s="1" t="s">
        <v>21133</v>
      </c>
      <c r="F2591" s="1">
        <v>2172.0</v>
      </c>
      <c r="G2591" s="1">
        <v>29.0</v>
      </c>
      <c r="H2591" s="1">
        <v>0.0</v>
      </c>
      <c r="I2591" s="1">
        <v>717000.0</v>
      </c>
      <c r="J2591" s="1" t="s">
        <v>2468</v>
      </c>
      <c r="K2591" s="5">
        <f t="shared" si="2"/>
        <v>0.003029288703</v>
      </c>
      <c r="L2591" s="6">
        <f t="shared" si="3"/>
        <v>484</v>
      </c>
      <c r="M2591" s="6">
        <f t="shared" si="4"/>
        <v>4.487603306</v>
      </c>
      <c r="N2591" s="7">
        <f t="shared" si="5"/>
        <v>0.000006258860956</v>
      </c>
      <c r="O2591" s="7"/>
      <c r="P2591" s="4">
        <f t="shared" si="6"/>
        <v>-0.445117429</v>
      </c>
      <c r="Q2591" s="4">
        <f t="shared" si="7"/>
        <v>4</v>
      </c>
      <c r="R2591" s="4">
        <f t="shared" si="8"/>
        <v>0</v>
      </c>
      <c r="S2591" s="4">
        <f t="shared" si="9"/>
        <v>-0.445117429</v>
      </c>
      <c r="T2591" s="4">
        <f t="shared" si="10"/>
        <v>20</v>
      </c>
      <c r="U2591" s="4">
        <f t="shared" si="1"/>
        <v>-0.445117429</v>
      </c>
      <c r="V2591" s="4"/>
    </row>
    <row r="2592">
      <c r="A2592" s="1" t="s">
        <v>21314</v>
      </c>
      <c r="B2592" s="1" t="s">
        <v>21198</v>
      </c>
      <c r="C2592" s="1" t="s">
        <v>21315</v>
      </c>
      <c r="D2592" s="1" t="s">
        <v>21132</v>
      </c>
      <c r="E2592" s="1" t="s">
        <v>21133</v>
      </c>
      <c r="F2592" s="1">
        <v>1494.0</v>
      </c>
      <c r="G2592" s="1">
        <v>20.0</v>
      </c>
      <c r="H2592" s="1">
        <v>1.0</v>
      </c>
      <c r="I2592" s="1">
        <v>717000.0</v>
      </c>
      <c r="J2592" s="1" t="s">
        <v>2468</v>
      </c>
      <c r="K2592" s="5">
        <f t="shared" si="2"/>
        <v>0.002083682008</v>
      </c>
      <c r="L2592" s="6">
        <f t="shared" si="3"/>
        <v>486</v>
      </c>
      <c r="M2592" s="6">
        <f t="shared" si="4"/>
        <v>3.074074074</v>
      </c>
      <c r="N2592" s="7">
        <f t="shared" si="5"/>
        <v>0.00000428741154</v>
      </c>
      <c r="O2592" s="7"/>
      <c r="P2592" s="4">
        <f t="shared" si="6"/>
        <v>-0.4465060458</v>
      </c>
      <c r="Q2592" s="4">
        <f t="shared" si="7"/>
        <v>4</v>
      </c>
      <c r="R2592" s="4">
        <f t="shared" si="8"/>
        <v>1</v>
      </c>
      <c r="S2592" s="4">
        <f t="shared" si="9"/>
        <v>-0.4465060458</v>
      </c>
      <c r="T2592" s="4">
        <f t="shared" si="10"/>
        <v>15</v>
      </c>
      <c r="U2592" s="4">
        <f t="shared" si="1"/>
        <v>-0.4465060458</v>
      </c>
      <c r="V2592" s="4"/>
    </row>
    <row r="2593">
      <c r="A2593" s="1" t="s">
        <v>21316</v>
      </c>
      <c r="B2593" s="1" t="s">
        <v>21317</v>
      </c>
      <c r="C2593" s="1" t="s">
        <v>21318</v>
      </c>
      <c r="D2593" s="1" t="s">
        <v>21132</v>
      </c>
      <c r="E2593" s="1" t="s">
        <v>21133</v>
      </c>
      <c r="F2593" s="1">
        <v>24555.0</v>
      </c>
      <c r="G2593" s="1">
        <v>71.0</v>
      </c>
      <c r="H2593" s="1">
        <v>2.0</v>
      </c>
      <c r="I2593" s="1">
        <v>717000.0</v>
      </c>
      <c r="J2593" s="1" t="s">
        <v>2468</v>
      </c>
      <c r="K2593" s="5">
        <f t="shared" si="2"/>
        <v>0.03424686192</v>
      </c>
      <c r="L2593" s="6">
        <f t="shared" si="3"/>
        <v>489</v>
      </c>
      <c r="M2593" s="6">
        <f t="shared" si="4"/>
        <v>50.21472393</v>
      </c>
      <c r="N2593" s="7">
        <f t="shared" si="5"/>
        <v>0.00007003448246</v>
      </c>
      <c r="O2593" s="7"/>
      <c r="P2593" s="4">
        <f t="shared" si="6"/>
        <v>-0.4001962137</v>
      </c>
      <c r="Q2593" s="4">
        <f t="shared" si="7"/>
        <v>3</v>
      </c>
      <c r="R2593" s="4">
        <f t="shared" si="8"/>
        <v>0</v>
      </c>
      <c r="S2593" s="4">
        <f t="shared" si="9"/>
        <v>-0.4001962137</v>
      </c>
      <c r="T2593" s="4">
        <f t="shared" si="10"/>
        <v>21</v>
      </c>
      <c r="U2593" s="4">
        <f t="shared" si="1"/>
        <v>-0.4001962137</v>
      </c>
      <c r="V2593" s="4"/>
    </row>
    <row r="2594">
      <c r="A2594" s="1" t="s">
        <v>21319</v>
      </c>
      <c r="B2594" s="1" t="s">
        <v>21320</v>
      </c>
      <c r="C2594" s="1" t="s">
        <v>21321</v>
      </c>
      <c r="D2594" s="1" t="s">
        <v>21132</v>
      </c>
      <c r="E2594" s="1" t="s">
        <v>21133</v>
      </c>
      <c r="F2594" s="1">
        <v>3640.0</v>
      </c>
      <c r="G2594" s="1">
        <v>47.0</v>
      </c>
      <c r="H2594" s="1">
        <v>1.0</v>
      </c>
      <c r="I2594" s="1">
        <v>717000.0</v>
      </c>
      <c r="J2594" s="1" t="s">
        <v>2468</v>
      </c>
      <c r="K2594" s="5">
        <f t="shared" si="2"/>
        <v>0.005076708508</v>
      </c>
      <c r="L2594" s="6">
        <f t="shared" si="3"/>
        <v>491</v>
      </c>
      <c r="M2594" s="6">
        <f t="shared" si="4"/>
        <v>7.413441955</v>
      </c>
      <c r="N2594" s="7">
        <f t="shared" si="5"/>
        <v>0.00001033952853</v>
      </c>
      <c r="O2594" s="7"/>
      <c r="P2594" s="4">
        <f t="shared" si="6"/>
        <v>-0.442243156</v>
      </c>
      <c r="Q2594" s="4">
        <f t="shared" si="7"/>
        <v>10</v>
      </c>
      <c r="R2594" s="4">
        <f t="shared" si="8"/>
        <v>0</v>
      </c>
      <c r="S2594" s="4">
        <f t="shared" si="9"/>
        <v>-0.442243156</v>
      </c>
      <c r="T2594" s="4">
        <f t="shared" si="10"/>
        <v>38</v>
      </c>
      <c r="U2594" s="4">
        <f t="shared" si="1"/>
        <v>-0.442243156</v>
      </c>
      <c r="V2594" s="4"/>
    </row>
    <row r="2595">
      <c r="A2595" s="1" t="s">
        <v>21322</v>
      </c>
      <c r="B2595" s="1" t="s">
        <v>21323</v>
      </c>
      <c r="C2595" s="1" t="s">
        <v>21324</v>
      </c>
      <c r="D2595" s="1" t="s">
        <v>21132</v>
      </c>
      <c r="E2595" s="1" t="s">
        <v>21133</v>
      </c>
      <c r="F2595" s="1">
        <v>1879.0</v>
      </c>
      <c r="G2595" s="1">
        <v>17.0</v>
      </c>
      <c r="H2595" s="1">
        <v>1.0</v>
      </c>
      <c r="I2595" s="1">
        <v>717000.0</v>
      </c>
      <c r="J2595" s="1" t="s">
        <v>2468</v>
      </c>
      <c r="K2595" s="5">
        <f t="shared" si="2"/>
        <v>0.002620641562</v>
      </c>
      <c r="L2595" s="6">
        <f t="shared" si="3"/>
        <v>493</v>
      </c>
      <c r="M2595" s="6">
        <f t="shared" si="4"/>
        <v>3.811359026</v>
      </c>
      <c r="N2595" s="7">
        <f t="shared" si="5"/>
        <v>0.000005315702966</v>
      </c>
      <c r="O2595" s="7"/>
      <c r="P2595" s="4">
        <f t="shared" si="6"/>
        <v>-0.445781755</v>
      </c>
      <c r="Q2595" s="4">
        <f t="shared" si="7"/>
        <v>4</v>
      </c>
      <c r="R2595" s="4">
        <f t="shared" si="8"/>
        <v>0</v>
      </c>
      <c r="S2595" s="4">
        <f t="shared" si="9"/>
        <v>-0.445781755</v>
      </c>
      <c r="T2595" s="4">
        <f t="shared" si="10"/>
        <v>18</v>
      </c>
      <c r="U2595" s="4">
        <f t="shared" si="1"/>
        <v>-0.445781755</v>
      </c>
      <c r="V2595" s="4"/>
    </row>
    <row r="2596">
      <c r="A2596" s="1" t="s">
        <v>21325</v>
      </c>
      <c r="B2596" s="1" t="s">
        <v>21326</v>
      </c>
      <c r="C2596" s="1" t="s">
        <v>21327</v>
      </c>
      <c r="D2596" s="1" t="s">
        <v>21132</v>
      </c>
      <c r="E2596" s="1" t="s">
        <v>21133</v>
      </c>
      <c r="F2596" s="1">
        <v>5223.0</v>
      </c>
      <c r="G2596" s="1">
        <v>77.0</v>
      </c>
      <c r="H2596" s="1">
        <v>2.0</v>
      </c>
      <c r="I2596" s="1">
        <v>717000.0</v>
      </c>
      <c r="J2596" s="1" t="s">
        <v>2468</v>
      </c>
      <c r="K2596" s="5">
        <f t="shared" si="2"/>
        <v>0.007284518828</v>
      </c>
      <c r="L2596" s="6">
        <f t="shared" si="3"/>
        <v>497</v>
      </c>
      <c r="M2596" s="6">
        <f t="shared" si="4"/>
        <v>10.50905433</v>
      </c>
      <c r="N2596" s="7">
        <f t="shared" si="5"/>
        <v>0.00001465697953</v>
      </c>
      <c r="O2596" s="7"/>
      <c r="P2596" s="4">
        <f t="shared" si="6"/>
        <v>-0.4392021014</v>
      </c>
      <c r="Q2596" s="4">
        <f t="shared" si="7"/>
        <v>4</v>
      </c>
      <c r="R2596" s="4">
        <f t="shared" si="8"/>
        <v>0</v>
      </c>
      <c r="S2596" s="4">
        <f t="shared" si="9"/>
        <v>-0.4392021014</v>
      </c>
      <c r="T2596" s="4">
        <f t="shared" si="10"/>
        <v>15</v>
      </c>
      <c r="U2596" s="4">
        <f t="shared" si="1"/>
        <v>-0.4392021014</v>
      </c>
      <c r="V2596" s="4"/>
    </row>
    <row r="2597">
      <c r="A2597" s="1" t="s">
        <v>21328</v>
      </c>
      <c r="B2597" s="1" t="s">
        <v>21329</v>
      </c>
      <c r="C2597" s="1" t="s">
        <v>21330</v>
      </c>
      <c r="D2597" s="1" t="s">
        <v>21132</v>
      </c>
      <c r="E2597" s="1" t="s">
        <v>21133</v>
      </c>
      <c r="F2597" s="1">
        <v>8798.0</v>
      </c>
      <c r="G2597" s="1">
        <v>95.0</v>
      </c>
      <c r="H2597" s="1">
        <v>8.0</v>
      </c>
      <c r="I2597" s="1">
        <v>717000.0</v>
      </c>
      <c r="J2597" s="1" t="s">
        <v>2468</v>
      </c>
      <c r="K2597" s="5">
        <f t="shared" si="2"/>
        <v>0.01227057183</v>
      </c>
      <c r="L2597" s="6">
        <f t="shared" si="3"/>
        <v>500</v>
      </c>
      <c r="M2597" s="6">
        <f t="shared" si="4"/>
        <v>17.596</v>
      </c>
      <c r="N2597" s="7">
        <f t="shared" si="5"/>
        <v>0.00002454114365</v>
      </c>
      <c r="O2597" s="7"/>
      <c r="P2597" s="4">
        <f t="shared" si="6"/>
        <v>-0.4322400577</v>
      </c>
      <c r="Q2597" s="4">
        <f t="shared" si="7"/>
        <v>3</v>
      </c>
      <c r="R2597" s="4">
        <f t="shared" si="8"/>
        <v>0</v>
      </c>
      <c r="S2597" s="4">
        <f t="shared" si="9"/>
        <v>-0.4322400577</v>
      </c>
      <c r="T2597" s="4">
        <f t="shared" si="10"/>
        <v>27</v>
      </c>
      <c r="U2597" s="4">
        <f t="shared" si="1"/>
        <v>-0.4322400577</v>
      </c>
      <c r="V2597" s="4"/>
    </row>
    <row r="2598">
      <c r="A2598" s="1" t="s">
        <v>21331</v>
      </c>
      <c r="B2598" s="1" t="s">
        <v>21195</v>
      </c>
      <c r="C2598" s="1" t="s">
        <v>21332</v>
      </c>
      <c r="D2598" s="1" t="s">
        <v>21132</v>
      </c>
      <c r="E2598" s="1" t="s">
        <v>21133</v>
      </c>
      <c r="F2598" s="1">
        <v>1875.0</v>
      </c>
      <c r="G2598" s="1">
        <v>15.0</v>
      </c>
      <c r="H2598" s="1">
        <v>3.0</v>
      </c>
      <c r="I2598" s="1">
        <v>717000.0</v>
      </c>
      <c r="J2598" s="1" t="s">
        <v>2468</v>
      </c>
      <c r="K2598" s="5">
        <f t="shared" si="2"/>
        <v>0.002615062762</v>
      </c>
      <c r="L2598" s="6">
        <f t="shared" si="3"/>
        <v>500</v>
      </c>
      <c r="M2598" s="6">
        <f t="shared" si="4"/>
        <v>3.75</v>
      </c>
      <c r="N2598" s="7">
        <f t="shared" si="5"/>
        <v>0.000005230125523</v>
      </c>
      <c r="O2598" s="7"/>
      <c r="P2598" s="4">
        <f t="shared" si="6"/>
        <v>-0.4458420326</v>
      </c>
      <c r="Q2598" s="4">
        <f t="shared" si="7"/>
        <v>10</v>
      </c>
      <c r="R2598" s="4">
        <f t="shared" si="8"/>
        <v>0</v>
      </c>
      <c r="S2598" s="4">
        <f t="shared" si="9"/>
        <v>-0.4458420326</v>
      </c>
      <c r="T2598" s="4">
        <f t="shared" si="10"/>
        <v>35</v>
      </c>
      <c r="U2598" s="4">
        <f t="shared" si="1"/>
        <v>-0.4458420326</v>
      </c>
      <c r="V2598" s="4"/>
    </row>
    <row r="2599">
      <c r="A2599" s="1" t="s">
        <v>21333</v>
      </c>
      <c r="B2599" s="1" t="s">
        <v>21210</v>
      </c>
      <c r="C2599" s="1" t="s">
        <v>21334</v>
      </c>
      <c r="D2599" s="1" t="s">
        <v>21132</v>
      </c>
      <c r="E2599" s="1" t="s">
        <v>21133</v>
      </c>
      <c r="F2599" s="1">
        <v>2646.0</v>
      </c>
      <c r="G2599" s="1">
        <v>15.0</v>
      </c>
      <c r="H2599" s="1">
        <v>4.0</v>
      </c>
      <c r="I2599" s="1">
        <v>717000.0</v>
      </c>
      <c r="J2599" s="1" t="s">
        <v>2468</v>
      </c>
      <c r="K2599" s="5">
        <f t="shared" si="2"/>
        <v>0.003690376569</v>
      </c>
      <c r="L2599" s="6">
        <f t="shared" si="3"/>
        <v>500</v>
      </c>
      <c r="M2599" s="6">
        <f t="shared" si="4"/>
        <v>5.292</v>
      </c>
      <c r="N2599" s="7">
        <f t="shared" si="5"/>
        <v>0.000007380753138</v>
      </c>
      <c r="O2599" s="7"/>
      <c r="P2599" s="4">
        <f t="shared" si="6"/>
        <v>-0.4443272091</v>
      </c>
      <c r="Q2599" s="4">
        <f t="shared" si="7"/>
        <v>9</v>
      </c>
      <c r="R2599" s="4">
        <f t="shared" si="8"/>
        <v>0</v>
      </c>
      <c r="S2599" s="4">
        <f t="shared" si="9"/>
        <v>-0.4443272091</v>
      </c>
      <c r="T2599" s="4">
        <f t="shared" si="10"/>
        <v>49</v>
      </c>
      <c r="U2599" s="4">
        <f t="shared" si="1"/>
        <v>-0.4443272091</v>
      </c>
      <c r="V2599" s="4"/>
    </row>
    <row r="2600">
      <c r="A2600" s="1" t="s">
        <v>21335</v>
      </c>
      <c r="B2600" s="1" t="s">
        <v>21336</v>
      </c>
      <c r="C2600" s="1" t="s">
        <v>21337</v>
      </c>
      <c r="D2600" s="1" t="s">
        <v>21132</v>
      </c>
      <c r="E2600" s="1" t="s">
        <v>21133</v>
      </c>
      <c r="F2600" s="1">
        <v>58088.0</v>
      </c>
      <c r="G2600" s="1">
        <v>704.0</v>
      </c>
      <c r="H2600" s="1">
        <v>18.0</v>
      </c>
      <c r="I2600" s="1">
        <v>717000.0</v>
      </c>
      <c r="J2600" s="1" t="s">
        <v>2468</v>
      </c>
      <c r="K2600" s="5">
        <f t="shared" si="2"/>
        <v>0.0810153417</v>
      </c>
      <c r="L2600" s="6">
        <f t="shared" si="3"/>
        <v>504</v>
      </c>
      <c r="M2600" s="6">
        <f t="shared" si="4"/>
        <v>115.2539683</v>
      </c>
      <c r="N2600" s="7">
        <f t="shared" si="5"/>
        <v>0.0001607447256</v>
      </c>
      <c r="O2600" s="7"/>
      <c r="P2600" s="4">
        <f t="shared" si="6"/>
        <v>-0.336303236</v>
      </c>
      <c r="Q2600" s="4">
        <f t="shared" si="7"/>
        <v>3</v>
      </c>
      <c r="R2600" s="4">
        <f t="shared" si="8"/>
        <v>0</v>
      </c>
      <c r="S2600" s="4">
        <f t="shared" si="9"/>
        <v>-0.336303236</v>
      </c>
      <c r="T2600" s="4">
        <f t="shared" si="10"/>
        <v>12</v>
      </c>
      <c r="U2600" s="4">
        <f t="shared" si="1"/>
        <v>-0.336303236</v>
      </c>
      <c r="V2600" s="4"/>
    </row>
    <row r="2601">
      <c r="A2601" s="1" t="s">
        <v>21338</v>
      </c>
      <c r="B2601" s="1" t="s">
        <v>21339</v>
      </c>
      <c r="C2601" s="1" t="s">
        <v>21340</v>
      </c>
      <c r="D2601" s="1" t="s">
        <v>21132</v>
      </c>
      <c r="E2601" s="1" t="s">
        <v>21133</v>
      </c>
      <c r="F2601" s="1">
        <v>4234.0</v>
      </c>
      <c r="G2601" s="1">
        <v>28.0</v>
      </c>
      <c r="H2601" s="1">
        <v>0.0</v>
      </c>
      <c r="I2601" s="1">
        <v>717000.0</v>
      </c>
      <c r="J2601" s="1" t="s">
        <v>2468</v>
      </c>
      <c r="K2601" s="5">
        <f t="shared" si="2"/>
        <v>0.005905160391</v>
      </c>
      <c r="L2601" s="6">
        <f t="shared" si="3"/>
        <v>506</v>
      </c>
      <c r="M2601" s="6">
        <f t="shared" si="4"/>
        <v>8.367588933</v>
      </c>
      <c r="N2601" s="7">
        <f t="shared" si="5"/>
        <v>0.00001167027745</v>
      </c>
      <c r="O2601" s="7"/>
      <c r="P2601" s="4">
        <f t="shared" si="6"/>
        <v>-0.4413058251</v>
      </c>
      <c r="Q2601" s="4">
        <f t="shared" si="7"/>
        <v>3</v>
      </c>
      <c r="R2601" s="4">
        <f t="shared" si="8"/>
        <v>0</v>
      </c>
      <c r="S2601" s="4">
        <f t="shared" si="9"/>
        <v>-0.4413058251</v>
      </c>
      <c r="T2601" s="4">
        <f t="shared" si="10"/>
        <v>9</v>
      </c>
      <c r="U2601" s="4">
        <f t="shared" si="1"/>
        <v>-0.4413058251</v>
      </c>
      <c r="V2601" s="4"/>
    </row>
    <row r="2602">
      <c r="A2602" s="1" t="s">
        <v>21341</v>
      </c>
      <c r="B2602" s="1" t="s">
        <v>21320</v>
      </c>
      <c r="C2602" s="1" t="s">
        <v>21342</v>
      </c>
      <c r="D2602" s="1" t="s">
        <v>21132</v>
      </c>
      <c r="E2602" s="1" t="s">
        <v>21133</v>
      </c>
      <c r="F2602" s="1">
        <v>1880.0</v>
      </c>
      <c r="G2602" s="1">
        <v>21.0</v>
      </c>
      <c r="H2602" s="1">
        <v>0.0</v>
      </c>
      <c r="I2602" s="1">
        <v>717000.0</v>
      </c>
      <c r="J2602" s="1" t="s">
        <v>2468</v>
      </c>
      <c r="K2602" s="5">
        <f t="shared" si="2"/>
        <v>0.002622036262</v>
      </c>
      <c r="L2602" s="6">
        <f t="shared" si="3"/>
        <v>507</v>
      </c>
      <c r="M2602" s="6">
        <f t="shared" si="4"/>
        <v>3.708086785</v>
      </c>
      <c r="N2602" s="7">
        <f t="shared" si="5"/>
        <v>0.000005171669156</v>
      </c>
      <c r="O2602" s="7"/>
      <c r="P2602" s="4">
        <f t="shared" si="6"/>
        <v>-0.4458832071</v>
      </c>
      <c r="Q2602" s="4">
        <f t="shared" si="7"/>
        <v>10</v>
      </c>
      <c r="R2602" s="4">
        <f t="shared" si="8"/>
        <v>0</v>
      </c>
      <c r="S2602" s="4">
        <f t="shared" si="9"/>
        <v>-0.4458832071</v>
      </c>
      <c r="T2602" s="4">
        <f t="shared" si="10"/>
        <v>38</v>
      </c>
      <c r="U2602" s="4">
        <f t="shared" si="1"/>
        <v>-0.4458832071</v>
      </c>
      <c r="V2602" s="4"/>
    </row>
    <row r="2603">
      <c r="A2603" s="1" t="s">
        <v>21343</v>
      </c>
      <c r="B2603" s="1" t="s">
        <v>21344</v>
      </c>
      <c r="C2603" s="1" t="s">
        <v>21345</v>
      </c>
      <c r="D2603" s="1" t="s">
        <v>21132</v>
      </c>
      <c r="E2603" s="1" t="s">
        <v>21133</v>
      </c>
      <c r="F2603" s="1">
        <v>1376.0</v>
      </c>
      <c r="G2603" s="1">
        <v>24.0</v>
      </c>
      <c r="H2603" s="1">
        <v>5.0</v>
      </c>
      <c r="I2603" s="1">
        <v>717000.0</v>
      </c>
      <c r="J2603" s="1" t="s">
        <v>2468</v>
      </c>
      <c r="K2603" s="5">
        <f t="shared" si="2"/>
        <v>0.001919107392</v>
      </c>
      <c r="L2603" s="6">
        <f t="shared" si="3"/>
        <v>507</v>
      </c>
      <c r="M2603" s="6">
        <f t="shared" si="4"/>
        <v>2.714003945</v>
      </c>
      <c r="N2603" s="7">
        <f t="shared" si="5"/>
        <v>0.00000378522168</v>
      </c>
      <c r="O2603" s="7"/>
      <c r="P2603" s="4">
        <f t="shared" si="6"/>
        <v>-0.44685977</v>
      </c>
      <c r="Q2603" s="4">
        <f t="shared" si="7"/>
        <v>5</v>
      </c>
      <c r="R2603" s="4">
        <f t="shared" si="8"/>
        <v>1</v>
      </c>
      <c r="S2603" s="4">
        <f t="shared" si="9"/>
        <v>-0.44685977</v>
      </c>
      <c r="T2603" s="4">
        <f t="shared" si="10"/>
        <v>33</v>
      </c>
      <c r="U2603" s="4">
        <f t="shared" si="1"/>
        <v>-0.44685977</v>
      </c>
      <c r="V2603" s="4"/>
    </row>
    <row r="2604">
      <c r="A2604" s="1" t="s">
        <v>21346</v>
      </c>
      <c r="B2604" s="1" t="s">
        <v>21347</v>
      </c>
      <c r="C2604" s="1" t="s">
        <v>21348</v>
      </c>
      <c r="D2604" s="1" t="s">
        <v>21132</v>
      </c>
      <c r="E2604" s="1" t="s">
        <v>21133</v>
      </c>
      <c r="F2604" s="1">
        <v>5743.0</v>
      </c>
      <c r="G2604" s="1">
        <v>60.0</v>
      </c>
      <c r="H2604" s="1">
        <v>2.0</v>
      </c>
      <c r="I2604" s="1">
        <v>717000.0</v>
      </c>
      <c r="J2604" s="1" t="s">
        <v>2468</v>
      </c>
      <c r="K2604" s="5">
        <f t="shared" si="2"/>
        <v>0.008009762901</v>
      </c>
      <c r="L2604" s="6">
        <f t="shared" si="3"/>
        <v>507</v>
      </c>
      <c r="M2604" s="6">
        <f t="shared" si="4"/>
        <v>11.32741617</v>
      </c>
      <c r="N2604" s="7">
        <f t="shared" si="5"/>
        <v>0.00001579834892</v>
      </c>
      <c r="O2604" s="7"/>
      <c r="P2604" s="4">
        <f t="shared" si="6"/>
        <v>-0.4383981625</v>
      </c>
      <c r="Q2604" s="4">
        <f t="shared" si="7"/>
        <v>2</v>
      </c>
      <c r="R2604" s="4">
        <f t="shared" si="8"/>
        <v>0</v>
      </c>
      <c r="S2604" s="4">
        <f t="shared" si="9"/>
        <v>-0.4383981625</v>
      </c>
      <c r="T2604" s="4">
        <f t="shared" si="10"/>
        <v>8</v>
      </c>
      <c r="U2604" s="4">
        <f t="shared" si="1"/>
        <v>-0.4383981625</v>
      </c>
      <c r="V2604" s="4"/>
    </row>
    <row r="2605">
      <c r="A2605" s="1" t="s">
        <v>21349</v>
      </c>
      <c r="B2605" s="1" t="s">
        <v>21350</v>
      </c>
      <c r="C2605" s="1" t="s">
        <v>21351</v>
      </c>
      <c r="D2605" s="1" t="s">
        <v>21132</v>
      </c>
      <c r="E2605" s="1" t="s">
        <v>21133</v>
      </c>
      <c r="F2605" s="1">
        <v>3947.0</v>
      </c>
      <c r="G2605" s="1">
        <v>15.0</v>
      </c>
      <c r="H2605" s="1">
        <v>0.0</v>
      </c>
      <c r="I2605" s="1">
        <v>717000.0</v>
      </c>
      <c r="J2605" s="1" t="s">
        <v>2468</v>
      </c>
      <c r="K2605" s="5">
        <f t="shared" si="2"/>
        <v>0.00550488145</v>
      </c>
      <c r="L2605" s="6">
        <f t="shared" si="3"/>
        <v>507</v>
      </c>
      <c r="M2605" s="6">
        <f t="shared" si="4"/>
        <v>7.785009862</v>
      </c>
      <c r="N2605" s="7">
        <f t="shared" si="5"/>
        <v>0.00001085775434</v>
      </c>
      <c r="O2605" s="7"/>
      <c r="P2605" s="4">
        <f t="shared" si="6"/>
        <v>-0.4418781367</v>
      </c>
      <c r="Q2605" s="4">
        <f t="shared" si="7"/>
        <v>4</v>
      </c>
      <c r="R2605" s="4">
        <f t="shared" si="8"/>
        <v>0</v>
      </c>
      <c r="S2605" s="4">
        <f t="shared" si="9"/>
        <v>-0.4418781367</v>
      </c>
      <c r="T2605" s="4">
        <f t="shared" si="10"/>
        <v>19</v>
      </c>
      <c r="U2605" s="4">
        <f t="shared" si="1"/>
        <v>-0.4418781367</v>
      </c>
      <c r="V2605" s="4"/>
    </row>
    <row r="2606">
      <c r="A2606" s="1" t="s">
        <v>21352</v>
      </c>
      <c r="B2606" s="1" t="s">
        <v>21353</v>
      </c>
      <c r="C2606" s="1" t="s">
        <v>21354</v>
      </c>
      <c r="D2606" s="1" t="s">
        <v>21132</v>
      </c>
      <c r="E2606" s="1" t="s">
        <v>21133</v>
      </c>
      <c r="F2606" s="1">
        <v>1882.0</v>
      </c>
      <c r="G2606" s="1">
        <v>11.0</v>
      </c>
      <c r="H2606" s="1">
        <v>0.0</v>
      </c>
      <c r="I2606" s="1">
        <v>717000.0</v>
      </c>
      <c r="J2606" s="1" t="s">
        <v>2468</v>
      </c>
      <c r="K2606" s="5">
        <f t="shared" si="2"/>
        <v>0.002624825662</v>
      </c>
      <c r="L2606" s="6">
        <f t="shared" si="3"/>
        <v>510</v>
      </c>
      <c r="M2606" s="6">
        <f t="shared" si="4"/>
        <v>3.690196078</v>
      </c>
      <c r="N2606" s="7">
        <f t="shared" si="5"/>
        <v>0.000005146716985</v>
      </c>
      <c r="O2606" s="7"/>
      <c r="P2606" s="4">
        <f t="shared" si="6"/>
        <v>-0.4459007825</v>
      </c>
      <c r="Q2606" s="4">
        <f t="shared" si="7"/>
        <v>8</v>
      </c>
      <c r="R2606" s="4">
        <f t="shared" si="8"/>
        <v>1</v>
      </c>
      <c r="S2606" s="4">
        <f t="shared" si="9"/>
        <v>-0.4459007825</v>
      </c>
      <c r="T2606" s="4">
        <f t="shared" si="10"/>
        <v>40</v>
      </c>
      <c r="U2606" s="4">
        <f t="shared" si="1"/>
        <v>-0.4459007825</v>
      </c>
      <c r="V2606" s="4"/>
    </row>
    <row r="2607">
      <c r="A2607" s="1" t="s">
        <v>21355</v>
      </c>
      <c r="B2607" s="1" t="s">
        <v>21356</v>
      </c>
      <c r="C2607" s="1" t="s">
        <v>21357</v>
      </c>
      <c r="D2607" s="1" t="s">
        <v>21132</v>
      </c>
      <c r="E2607" s="1" t="s">
        <v>21133</v>
      </c>
      <c r="F2607" s="1">
        <v>2993.0</v>
      </c>
      <c r="G2607" s="1">
        <v>16.0</v>
      </c>
      <c r="H2607" s="1">
        <v>1.0</v>
      </c>
      <c r="I2607" s="1">
        <v>717000.0</v>
      </c>
      <c r="J2607" s="1" t="s">
        <v>2468</v>
      </c>
      <c r="K2607" s="5">
        <f t="shared" si="2"/>
        <v>0.004174337517</v>
      </c>
      <c r="L2607" s="6">
        <f t="shared" si="3"/>
        <v>512</v>
      </c>
      <c r="M2607" s="6">
        <f t="shared" si="4"/>
        <v>5.845703125</v>
      </c>
      <c r="N2607" s="7">
        <f t="shared" si="5"/>
        <v>0.000008153002964</v>
      </c>
      <c r="O2607" s="7"/>
      <c r="P2607" s="4">
        <f t="shared" si="6"/>
        <v>-0.4437832646</v>
      </c>
      <c r="Q2607" s="4">
        <f t="shared" si="7"/>
        <v>5</v>
      </c>
      <c r="R2607" s="4">
        <f t="shared" si="8"/>
        <v>0</v>
      </c>
      <c r="S2607" s="4">
        <f t="shared" si="9"/>
        <v>-0.4437832646</v>
      </c>
      <c r="T2607" s="4">
        <f t="shared" si="10"/>
        <v>20</v>
      </c>
      <c r="U2607" s="4">
        <f t="shared" si="1"/>
        <v>-0.4437832646</v>
      </c>
      <c r="V2607" s="4"/>
    </row>
    <row r="2608">
      <c r="A2608" s="1" t="s">
        <v>21358</v>
      </c>
      <c r="B2608" s="1" t="s">
        <v>21359</v>
      </c>
      <c r="C2608" s="1" t="s">
        <v>21360</v>
      </c>
      <c r="D2608" s="1" t="s">
        <v>21132</v>
      </c>
      <c r="E2608" s="1" t="s">
        <v>21133</v>
      </c>
      <c r="F2608" s="1">
        <v>1849.0</v>
      </c>
      <c r="G2608" s="1">
        <v>22.0</v>
      </c>
      <c r="H2608" s="1">
        <v>6.0</v>
      </c>
      <c r="I2608" s="1">
        <v>717000.0</v>
      </c>
      <c r="J2608" s="1" t="s">
        <v>2468</v>
      </c>
      <c r="K2608" s="5">
        <f t="shared" si="2"/>
        <v>0.002578800558</v>
      </c>
      <c r="L2608" s="6">
        <f t="shared" si="3"/>
        <v>514</v>
      </c>
      <c r="M2608" s="6">
        <f t="shared" si="4"/>
        <v>3.597276265</v>
      </c>
      <c r="N2608" s="7">
        <f t="shared" si="5"/>
        <v>0.000005017121708</v>
      </c>
      <c r="O2608" s="7"/>
      <c r="P2608" s="4">
        <f t="shared" si="6"/>
        <v>-0.4459920647</v>
      </c>
      <c r="Q2608" s="4">
        <f t="shared" si="7"/>
        <v>6</v>
      </c>
      <c r="R2608" s="4">
        <f t="shared" si="8"/>
        <v>0</v>
      </c>
      <c r="S2608" s="4">
        <f t="shared" si="9"/>
        <v>-0.4459920647</v>
      </c>
      <c r="T2608" s="4">
        <f t="shared" si="10"/>
        <v>22</v>
      </c>
      <c r="U2608" s="4">
        <f t="shared" si="1"/>
        <v>-0.4459920647</v>
      </c>
      <c r="V2608" s="4"/>
    </row>
    <row r="2609">
      <c r="A2609" s="1" t="s">
        <v>21361</v>
      </c>
      <c r="B2609" s="1" t="s">
        <v>21362</v>
      </c>
      <c r="C2609" s="1" t="s">
        <v>21363</v>
      </c>
      <c r="D2609" s="1" t="s">
        <v>21132</v>
      </c>
      <c r="E2609" s="1" t="s">
        <v>21133</v>
      </c>
      <c r="F2609" s="1">
        <v>2240.0</v>
      </c>
      <c r="G2609" s="1">
        <v>25.0</v>
      </c>
      <c r="H2609" s="1">
        <v>1.0</v>
      </c>
      <c r="I2609" s="1">
        <v>717000.0</v>
      </c>
      <c r="J2609" s="1" t="s">
        <v>2468</v>
      </c>
      <c r="K2609" s="5">
        <f t="shared" si="2"/>
        <v>0.003124128312</v>
      </c>
      <c r="L2609" s="6">
        <f t="shared" si="3"/>
        <v>518</v>
      </c>
      <c r="M2609" s="6">
        <f t="shared" si="4"/>
        <v>4.324324324</v>
      </c>
      <c r="N2609" s="7">
        <f t="shared" si="5"/>
        <v>0.000006031135738</v>
      </c>
      <c r="O2609" s="7"/>
      <c r="P2609" s="4">
        <f t="shared" si="6"/>
        <v>-0.4452778303</v>
      </c>
      <c r="Q2609" s="4">
        <f t="shared" si="7"/>
        <v>2</v>
      </c>
      <c r="R2609" s="4">
        <f t="shared" si="8"/>
        <v>0</v>
      </c>
      <c r="S2609" s="4">
        <f t="shared" si="9"/>
        <v>-0.4452778303</v>
      </c>
      <c r="T2609" s="4">
        <f t="shared" si="10"/>
        <v>10</v>
      </c>
      <c r="U2609" s="4">
        <f t="shared" si="1"/>
        <v>-0.4452778303</v>
      </c>
      <c r="V2609" s="4"/>
    </row>
    <row r="2610">
      <c r="A2610" s="1" t="s">
        <v>21364</v>
      </c>
      <c r="B2610" s="1" t="s">
        <v>21365</v>
      </c>
      <c r="C2610" s="1" t="s">
        <v>21366</v>
      </c>
      <c r="D2610" s="1" t="s">
        <v>21132</v>
      </c>
      <c r="E2610" s="1" t="s">
        <v>21133</v>
      </c>
      <c r="F2610" s="1">
        <v>2042.0</v>
      </c>
      <c r="G2610" s="1">
        <v>18.0</v>
      </c>
      <c r="H2610" s="1">
        <v>3.0</v>
      </c>
      <c r="I2610" s="1">
        <v>717000.0</v>
      </c>
      <c r="J2610" s="1" t="s">
        <v>2468</v>
      </c>
      <c r="K2610" s="5">
        <f t="shared" si="2"/>
        <v>0.002847977685</v>
      </c>
      <c r="L2610" s="6">
        <f t="shared" si="3"/>
        <v>519</v>
      </c>
      <c r="M2610" s="6">
        <f t="shared" si="4"/>
        <v>3.934489403</v>
      </c>
      <c r="N2610" s="7">
        <f t="shared" si="5"/>
        <v>0.000005487432919</v>
      </c>
      <c r="O2610" s="7"/>
      <c r="P2610" s="4">
        <f t="shared" si="6"/>
        <v>-0.4456607947</v>
      </c>
      <c r="Q2610" s="4">
        <f t="shared" si="7"/>
        <v>3</v>
      </c>
      <c r="R2610" s="4">
        <f t="shared" si="8"/>
        <v>0</v>
      </c>
      <c r="S2610" s="4">
        <f t="shared" si="9"/>
        <v>-0.4456607947</v>
      </c>
      <c r="T2610" s="4">
        <f t="shared" si="10"/>
        <v>17</v>
      </c>
      <c r="U2610" s="4">
        <f t="shared" si="1"/>
        <v>-0.4456607947</v>
      </c>
      <c r="V2610" s="4"/>
    </row>
    <row r="2611">
      <c r="A2611" s="1" t="s">
        <v>21367</v>
      </c>
      <c r="B2611" s="1" t="s">
        <v>11650</v>
      </c>
      <c r="C2611" s="1" t="s">
        <v>21368</v>
      </c>
      <c r="D2611" s="1" t="s">
        <v>21132</v>
      </c>
      <c r="E2611" s="1" t="s">
        <v>21133</v>
      </c>
      <c r="F2611" s="1">
        <v>1802.0</v>
      </c>
      <c r="G2611" s="1">
        <v>14.0</v>
      </c>
      <c r="H2611" s="1">
        <v>0.0</v>
      </c>
      <c r="I2611" s="1">
        <v>717000.0</v>
      </c>
      <c r="J2611" s="1" t="s">
        <v>2468</v>
      </c>
      <c r="K2611" s="5">
        <f t="shared" si="2"/>
        <v>0.002513249651</v>
      </c>
      <c r="L2611" s="6">
        <f t="shared" si="3"/>
        <v>520</v>
      </c>
      <c r="M2611" s="6">
        <f t="shared" si="4"/>
        <v>3.465384615</v>
      </c>
      <c r="N2611" s="7">
        <f t="shared" si="5"/>
        <v>0.000004833172406</v>
      </c>
      <c r="O2611" s="7"/>
      <c r="P2611" s="4">
        <f t="shared" si="6"/>
        <v>-0.4461216318</v>
      </c>
      <c r="Q2611" s="4">
        <f t="shared" si="7"/>
        <v>2</v>
      </c>
      <c r="R2611" s="4">
        <f t="shared" si="8"/>
        <v>0</v>
      </c>
      <c r="S2611" s="4">
        <f t="shared" si="9"/>
        <v>-0.4461216318</v>
      </c>
      <c r="T2611" s="4">
        <f t="shared" si="10"/>
        <v>9</v>
      </c>
      <c r="U2611" s="4">
        <f t="shared" si="1"/>
        <v>-0.4461216318</v>
      </c>
      <c r="V2611" s="4"/>
    </row>
    <row r="2612">
      <c r="A2612" s="1" t="s">
        <v>21369</v>
      </c>
      <c r="B2612" s="1" t="s">
        <v>21370</v>
      </c>
      <c r="C2612" s="1" t="s">
        <v>21371</v>
      </c>
      <c r="D2612" s="1" t="s">
        <v>21132</v>
      </c>
      <c r="E2612" s="1" t="s">
        <v>21133</v>
      </c>
      <c r="F2612" s="1">
        <v>6239.0</v>
      </c>
      <c r="G2612" s="1">
        <v>56.0</v>
      </c>
      <c r="H2612" s="1">
        <v>2.0</v>
      </c>
      <c r="I2612" s="1">
        <v>717000.0</v>
      </c>
      <c r="J2612" s="1" t="s">
        <v>2468</v>
      </c>
      <c r="K2612" s="5">
        <f t="shared" si="2"/>
        <v>0.00870153417</v>
      </c>
      <c r="L2612" s="6">
        <f t="shared" si="3"/>
        <v>521</v>
      </c>
      <c r="M2612" s="6">
        <f t="shared" si="4"/>
        <v>11.97504798</v>
      </c>
      <c r="N2612" s="7">
        <f t="shared" si="5"/>
        <v>0.00001670160109</v>
      </c>
      <c r="O2612" s="7"/>
      <c r="P2612" s="4">
        <f t="shared" si="6"/>
        <v>-0.4377619447</v>
      </c>
      <c r="Q2612" s="4">
        <f t="shared" si="7"/>
        <v>7</v>
      </c>
      <c r="R2612" s="4">
        <f t="shared" si="8"/>
        <v>0</v>
      </c>
      <c r="S2612" s="4">
        <f t="shared" si="9"/>
        <v>-0.4377619447</v>
      </c>
      <c r="T2612" s="4">
        <f t="shared" si="10"/>
        <v>31</v>
      </c>
      <c r="U2612" s="4">
        <f t="shared" si="1"/>
        <v>-0.4377619447</v>
      </c>
      <c r="V2612" s="4"/>
    </row>
    <row r="2613">
      <c r="A2613" s="1" t="s">
        <v>21372</v>
      </c>
      <c r="B2613" s="1" t="s">
        <v>21373</v>
      </c>
      <c r="C2613" s="1" t="s">
        <v>21374</v>
      </c>
      <c r="D2613" s="1" t="s">
        <v>21132</v>
      </c>
      <c r="E2613" s="1" t="s">
        <v>21133</v>
      </c>
      <c r="F2613" s="1">
        <v>2776.0</v>
      </c>
      <c r="G2613" s="1">
        <v>91.0</v>
      </c>
      <c r="H2613" s="1">
        <v>2.0</v>
      </c>
      <c r="I2613" s="1">
        <v>717000.0</v>
      </c>
      <c r="J2613" s="1" t="s">
        <v>2468</v>
      </c>
      <c r="K2613" s="5">
        <f t="shared" si="2"/>
        <v>0.003871687587</v>
      </c>
      <c r="L2613" s="6">
        <f t="shared" si="3"/>
        <v>524</v>
      </c>
      <c r="M2613" s="6">
        <f t="shared" si="4"/>
        <v>5.297709924</v>
      </c>
      <c r="N2613" s="7">
        <f t="shared" si="5"/>
        <v>0.000007388716769</v>
      </c>
      <c r="O2613" s="7"/>
      <c r="P2613" s="4">
        <f t="shared" si="6"/>
        <v>-0.4443215999</v>
      </c>
      <c r="Q2613" s="4">
        <f t="shared" si="7"/>
        <v>13</v>
      </c>
      <c r="R2613" s="4">
        <f t="shared" si="8"/>
        <v>1</v>
      </c>
      <c r="S2613" s="4">
        <f t="shared" si="9"/>
        <v>-0.4443215999</v>
      </c>
      <c r="T2613" s="4">
        <f t="shared" si="10"/>
        <v>50</v>
      </c>
      <c r="U2613" s="4">
        <f t="shared" si="1"/>
        <v>-0.4443215999</v>
      </c>
      <c r="V2613" s="4"/>
    </row>
    <row r="2614">
      <c r="A2614" s="1" t="s">
        <v>21375</v>
      </c>
      <c r="B2614" s="1" t="s">
        <v>21376</v>
      </c>
      <c r="C2614" s="1" t="s">
        <v>21377</v>
      </c>
      <c r="D2614" s="1" t="s">
        <v>21132</v>
      </c>
      <c r="E2614" s="1" t="s">
        <v>21133</v>
      </c>
      <c r="F2614" s="1">
        <v>3085.0</v>
      </c>
      <c r="G2614" s="1">
        <v>56.0</v>
      </c>
      <c r="H2614" s="1">
        <v>2.0</v>
      </c>
      <c r="I2614" s="1">
        <v>717000.0</v>
      </c>
      <c r="J2614" s="1" t="s">
        <v>2468</v>
      </c>
      <c r="K2614" s="5">
        <f t="shared" si="2"/>
        <v>0.00430264993</v>
      </c>
      <c r="L2614" s="6">
        <f t="shared" si="3"/>
        <v>525</v>
      </c>
      <c r="M2614" s="6">
        <f t="shared" si="4"/>
        <v>5.876190476</v>
      </c>
      <c r="N2614" s="7">
        <f t="shared" si="5"/>
        <v>0.000008195523677</v>
      </c>
      <c r="O2614" s="7"/>
      <c r="P2614" s="4">
        <f t="shared" si="6"/>
        <v>-0.4437533146</v>
      </c>
      <c r="Q2614" s="4">
        <f t="shared" si="7"/>
        <v>6</v>
      </c>
      <c r="R2614" s="4">
        <f t="shared" si="8"/>
        <v>0</v>
      </c>
      <c r="S2614" s="4">
        <f t="shared" si="9"/>
        <v>-0.4437533146</v>
      </c>
      <c r="T2614" s="4">
        <f t="shared" si="10"/>
        <v>21</v>
      </c>
      <c r="U2614" s="4">
        <f t="shared" si="1"/>
        <v>-0.4437533146</v>
      </c>
      <c r="V2614" s="4"/>
    </row>
    <row r="2615">
      <c r="A2615" s="1" t="s">
        <v>21378</v>
      </c>
      <c r="B2615" s="1" t="s">
        <v>21379</v>
      </c>
      <c r="C2615" s="1" t="s">
        <v>21380</v>
      </c>
      <c r="D2615" s="1" t="s">
        <v>21132</v>
      </c>
      <c r="E2615" s="1" t="s">
        <v>21133</v>
      </c>
      <c r="F2615" s="1">
        <v>1600.0</v>
      </c>
      <c r="G2615" s="1">
        <v>34.0</v>
      </c>
      <c r="H2615" s="1">
        <v>1.0</v>
      </c>
      <c r="I2615" s="1">
        <v>717000.0</v>
      </c>
      <c r="J2615" s="1" t="s">
        <v>2468</v>
      </c>
      <c r="K2615" s="5">
        <f t="shared" si="2"/>
        <v>0.002231520223</v>
      </c>
      <c r="L2615" s="6">
        <f t="shared" si="3"/>
        <v>526</v>
      </c>
      <c r="M2615" s="6">
        <f t="shared" si="4"/>
        <v>3.041825095</v>
      </c>
      <c r="N2615" s="7">
        <f t="shared" si="5"/>
        <v>0.000004242433884</v>
      </c>
      <c r="O2615" s="7"/>
      <c r="P2615" s="4">
        <f t="shared" si="6"/>
        <v>-0.4465377265</v>
      </c>
      <c r="Q2615" s="4">
        <f t="shared" si="7"/>
        <v>9</v>
      </c>
      <c r="R2615" s="4">
        <f t="shared" si="8"/>
        <v>0</v>
      </c>
      <c r="S2615" s="4">
        <f t="shared" si="9"/>
        <v>-0.4465377265</v>
      </c>
      <c r="T2615" s="4">
        <f t="shared" si="10"/>
        <v>40</v>
      </c>
      <c r="U2615" s="4">
        <f t="shared" si="1"/>
        <v>-0.4465377265</v>
      </c>
      <c r="V2615" s="4"/>
    </row>
    <row r="2616">
      <c r="A2616" s="1" t="s">
        <v>21381</v>
      </c>
      <c r="B2616" s="1" t="s">
        <v>21382</v>
      </c>
      <c r="C2616" s="1" t="s">
        <v>21383</v>
      </c>
      <c r="D2616" s="1" t="s">
        <v>21132</v>
      </c>
      <c r="E2616" s="1" t="s">
        <v>21133</v>
      </c>
      <c r="F2616" s="1">
        <v>1877.0</v>
      </c>
      <c r="G2616" s="1">
        <v>28.0</v>
      </c>
      <c r="H2616" s="1">
        <v>0.0</v>
      </c>
      <c r="I2616" s="1">
        <v>717000.0</v>
      </c>
      <c r="J2616" s="1" t="s">
        <v>2468</v>
      </c>
      <c r="K2616" s="5">
        <f t="shared" si="2"/>
        <v>0.002617852162</v>
      </c>
      <c r="L2616" s="6">
        <f t="shared" si="3"/>
        <v>527</v>
      </c>
      <c r="M2616" s="6">
        <f t="shared" si="4"/>
        <v>3.561669829</v>
      </c>
      <c r="N2616" s="7">
        <f t="shared" si="5"/>
        <v>0.000004967461408</v>
      </c>
      <c r="O2616" s="7"/>
      <c r="P2616" s="4">
        <f t="shared" si="6"/>
        <v>-0.4460270436</v>
      </c>
      <c r="Q2616" s="4">
        <f t="shared" si="7"/>
        <v>5</v>
      </c>
      <c r="R2616" s="4">
        <f t="shared" si="8"/>
        <v>0</v>
      </c>
      <c r="S2616" s="4">
        <f t="shared" si="9"/>
        <v>-0.4460270436</v>
      </c>
      <c r="T2616" s="4">
        <f t="shared" si="10"/>
        <v>23</v>
      </c>
      <c r="U2616" s="4">
        <f t="shared" si="1"/>
        <v>-0.4460270436</v>
      </c>
      <c r="V2616" s="4"/>
    </row>
    <row r="2617">
      <c r="A2617" s="1" t="s">
        <v>21384</v>
      </c>
      <c r="B2617" s="1" t="s">
        <v>21385</v>
      </c>
      <c r="C2617" s="1" t="s">
        <v>21386</v>
      </c>
      <c r="D2617" s="1" t="s">
        <v>21132</v>
      </c>
      <c r="E2617" s="1" t="s">
        <v>21133</v>
      </c>
      <c r="F2617" s="1">
        <v>866.0</v>
      </c>
      <c r="G2617" s="1">
        <v>25.0</v>
      </c>
      <c r="H2617" s="1">
        <v>0.0</v>
      </c>
      <c r="I2617" s="1">
        <v>717000.0</v>
      </c>
      <c r="J2617" s="1" t="s">
        <v>2468</v>
      </c>
      <c r="K2617" s="5">
        <f t="shared" si="2"/>
        <v>0.001207810321</v>
      </c>
      <c r="L2617" s="6">
        <f t="shared" si="3"/>
        <v>528</v>
      </c>
      <c r="M2617" s="6">
        <f t="shared" si="4"/>
        <v>1.640151515</v>
      </c>
      <c r="N2617" s="7">
        <f t="shared" si="5"/>
        <v>0.000002287519547</v>
      </c>
      <c r="O2617" s="7"/>
      <c r="P2617" s="4">
        <f t="shared" si="6"/>
        <v>-0.4479146966</v>
      </c>
      <c r="Q2617" s="4">
        <f t="shared" si="7"/>
        <v>14</v>
      </c>
      <c r="R2617" s="4">
        <f t="shared" si="8"/>
        <v>1</v>
      </c>
      <c r="S2617" s="4">
        <f t="shared" si="9"/>
        <v>-0.4479146966</v>
      </c>
      <c r="T2617" s="4">
        <f t="shared" si="10"/>
        <v>63</v>
      </c>
      <c r="U2617" s="4">
        <f t="shared" si="1"/>
        <v>-0.4479146966</v>
      </c>
      <c r="V2617" s="4"/>
    </row>
    <row r="2618">
      <c r="A2618" s="1" t="s">
        <v>21387</v>
      </c>
      <c r="B2618" s="1" t="s">
        <v>21388</v>
      </c>
      <c r="C2618" s="1" t="s">
        <v>21389</v>
      </c>
      <c r="D2618" s="1" t="s">
        <v>21132</v>
      </c>
      <c r="E2618" s="1" t="s">
        <v>21133</v>
      </c>
      <c r="F2618" s="1">
        <v>409.0</v>
      </c>
      <c r="G2618" s="1">
        <v>12.0</v>
      </c>
      <c r="H2618" s="1">
        <v>0.0</v>
      </c>
      <c r="I2618" s="1">
        <v>717000.0</v>
      </c>
      <c r="J2618" s="1" t="s">
        <v>2468</v>
      </c>
      <c r="K2618" s="5">
        <f t="shared" si="2"/>
        <v>0.000570432357</v>
      </c>
      <c r="L2618" s="6">
        <f t="shared" si="3"/>
        <v>531</v>
      </c>
      <c r="M2618" s="6">
        <f t="shared" si="4"/>
        <v>0.7702448211</v>
      </c>
      <c r="N2618" s="7">
        <f t="shared" si="5"/>
        <v>0.000001074260559</v>
      </c>
      <c r="O2618" s="7"/>
      <c r="P2618" s="4">
        <f t="shared" si="6"/>
        <v>-0.4487692719</v>
      </c>
      <c r="Q2618" s="4">
        <f t="shared" si="7"/>
        <v>4</v>
      </c>
      <c r="R2618" s="4">
        <f t="shared" si="8"/>
        <v>0</v>
      </c>
      <c r="S2618" s="4">
        <f t="shared" si="9"/>
        <v>-0.4487692719</v>
      </c>
      <c r="T2618" s="4">
        <f t="shared" si="10"/>
        <v>21</v>
      </c>
      <c r="U2618" s="4">
        <f t="shared" si="1"/>
        <v>-0.4487692719</v>
      </c>
      <c r="V2618" s="4"/>
    </row>
    <row r="2619">
      <c r="A2619" s="1" t="s">
        <v>21390</v>
      </c>
      <c r="B2619" s="1" t="s">
        <v>21391</v>
      </c>
      <c r="C2619" s="1" t="s">
        <v>21392</v>
      </c>
      <c r="D2619" s="1" t="s">
        <v>21132</v>
      </c>
      <c r="E2619" s="1" t="s">
        <v>21133</v>
      </c>
      <c r="F2619" s="1">
        <v>1302.0</v>
      </c>
      <c r="G2619" s="1">
        <v>24.0</v>
      </c>
      <c r="H2619" s="1">
        <v>0.0</v>
      </c>
      <c r="I2619" s="1">
        <v>717000.0</v>
      </c>
      <c r="J2619" s="1" t="s">
        <v>2468</v>
      </c>
      <c r="K2619" s="5">
        <f t="shared" si="2"/>
        <v>0.001815899582</v>
      </c>
      <c r="L2619" s="6">
        <f t="shared" si="3"/>
        <v>532</v>
      </c>
      <c r="M2619" s="6">
        <f t="shared" si="4"/>
        <v>2.447368421</v>
      </c>
      <c r="N2619" s="7">
        <f t="shared" si="5"/>
        <v>0.000003413345078</v>
      </c>
      <c r="O2619" s="7"/>
      <c r="P2619" s="4">
        <f t="shared" si="6"/>
        <v>-0.4471217063</v>
      </c>
      <c r="Q2619" s="4">
        <f t="shared" si="7"/>
        <v>2</v>
      </c>
      <c r="R2619" s="4">
        <f t="shared" si="8"/>
        <v>0</v>
      </c>
      <c r="S2619" s="4">
        <f t="shared" si="9"/>
        <v>-0.4471217063</v>
      </c>
      <c r="T2619" s="4">
        <f t="shared" si="10"/>
        <v>7</v>
      </c>
      <c r="U2619" s="4">
        <f t="shared" si="1"/>
        <v>-0.4471217063</v>
      </c>
      <c r="V2619" s="4"/>
    </row>
    <row r="2620">
      <c r="A2620" s="1" t="s">
        <v>21393</v>
      </c>
      <c r="B2620" s="1" t="s">
        <v>21394</v>
      </c>
      <c r="C2620" s="1" t="s">
        <v>21395</v>
      </c>
      <c r="D2620" s="1" t="s">
        <v>21132</v>
      </c>
      <c r="E2620" s="1" t="s">
        <v>21133</v>
      </c>
      <c r="F2620" s="1">
        <v>5733.0</v>
      </c>
      <c r="G2620" s="1">
        <v>60.0</v>
      </c>
      <c r="H2620" s="1">
        <v>17.0</v>
      </c>
      <c r="I2620" s="1">
        <v>717000.0</v>
      </c>
      <c r="J2620" s="1" t="s">
        <v>2468</v>
      </c>
      <c r="K2620" s="5">
        <f t="shared" si="2"/>
        <v>0.0079958159</v>
      </c>
      <c r="L2620" s="6">
        <f t="shared" si="3"/>
        <v>533</v>
      </c>
      <c r="M2620" s="6">
        <f t="shared" si="4"/>
        <v>10.75609756</v>
      </c>
      <c r="N2620" s="7">
        <f t="shared" si="5"/>
        <v>0.00001500153077</v>
      </c>
      <c r="O2620" s="7"/>
      <c r="P2620" s="4">
        <f t="shared" si="6"/>
        <v>-0.4389594121</v>
      </c>
      <c r="Q2620" s="4">
        <f t="shared" si="7"/>
        <v>7</v>
      </c>
      <c r="R2620" s="4">
        <f t="shared" si="8"/>
        <v>1</v>
      </c>
      <c r="S2620" s="4">
        <f t="shared" si="9"/>
        <v>-0.4389594121</v>
      </c>
      <c r="T2620" s="4">
        <f t="shared" si="10"/>
        <v>33</v>
      </c>
      <c r="U2620" s="4">
        <f t="shared" si="1"/>
        <v>-0.4389594121</v>
      </c>
      <c r="V2620" s="4"/>
    </row>
    <row r="2621">
      <c r="A2621" s="1" t="s">
        <v>21396</v>
      </c>
      <c r="B2621" s="1" t="s">
        <v>21397</v>
      </c>
      <c r="C2621" s="1" t="s">
        <v>21398</v>
      </c>
      <c r="D2621" s="1" t="s">
        <v>21132</v>
      </c>
      <c r="E2621" s="1" t="s">
        <v>21133</v>
      </c>
      <c r="F2621" s="1">
        <v>82458.0</v>
      </c>
      <c r="G2621" s="1">
        <v>411.0</v>
      </c>
      <c r="H2621" s="1">
        <v>2.0</v>
      </c>
      <c r="I2621" s="1">
        <v>717000.0</v>
      </c>
      <c r="J2621" s="1" t="s">
        <v>2468</v>
      </c>
      <c r="K2621" s="5">
        <f t="shared" si="2"/>
        <v>0.1150041841</v>
      </c>
      <c r="L2621" s="6">
        <f t="shared" si="3"/>
        <v>534</v>
      </c>
      <c r="M2621" s="6">
        <f t="shared" si="4"/>
        <v>154.4157303</v>
      </c>
      <c r="N2621" s="7">
        <f t="shared" si="5"/>
        <v>0.0002153636406</v>
      </c>
      <c r="O2621" s="7"/>
      <c r="P2621" s="4">
        <f t="shared" si="6"/>
        <v>-0.2978316698</v>
      </c>
      <c r="Q2621" s="4">
        <f t="shared" si="7"/>
        <v>6</v>
      </c>
      <c r="R2621" s="4">
        <f t="shared" si="8"/>
        <v>0</v>
      </c>
      <c r="S2621" s="4">
        <f t="shared" si="9"/>
        <v>-0.2978316698</v>
      </c>
      <c r="T2621" s="4">
        <f t="shared" si="10"/>
        <v>23</v>
      </c>
      <c r="U2621" s="4">
        <f t="shared" si="1"/>
        <v>-0.2978316698</v>
      </c>
      <c r="V2621" s="4"/>
    </row>
    <row r="2622">
      <c r="A2622" s="1" t="s">
        <v>21399</v>
      </c>
      <c r="B2622" s="1" t="s">
        <v>21400</v>
      </c>
      <c r="C2622" s="1" t="s">
        <v>21401</v>
      </c>
      <c r="D2622" s="1" t="s">
        <v>21132</v>
      </c>
      <c r="E2622" s="1" t="s">
        <v>21133</v>
      </c>
      <c r="F2622" s="1">
        <v>3907.0</v>
      </c>
      <c r="G2622" s="1">
        <v>18.0</v>
      </c>
      <c r="H2622" s="1">
        <v>1.0</v>
      </c>
      <c r="I2622" s="1">
        <v>717000.0</v>
      </c>
      <c r="J2622" s="1" t="s">
        <v>2468</v>
      </c>
      <c r="K2622" s="5">
        <f t="shared" si="2"/>
        <v>0.005449093445</v>
      </c>
      <c r="L2622" s="6">
        <f t="shared" si="3"/>
        <v>535</v>
      </c>
      <c r="M2622" s="6">
        <f t="shared" si="4"/>
        <v>7.302803738</v>
      </c>
      <c r="N2622" s="7">
        <f t="shared" si="5"/>
        <v>0.00001018522139</v>
      </c>
      <c r="O2622" s="7"/>
      <c r="P2622" s="4">
        <f t="shared" si="6"/>
        <v>-0.4423518443</v>
      </c>
      <c r="Q2622" s="4">
        <f t="shared" si="7"/>
        <v>4</v>
      </c>
      <c r="R2622" s="4">
        <f t="shared" si="8"/>
        <v>0</v>
      </c>
      <c r="S2622" s="4">
        <f t="shared" si="9"/>
        <v>-0.4423518443</v>
      </c>
      <c r="T2622" s="4">
        <f t="shared" si="10"/>
        <v>22</v>
      </c>
      <c r="U2622" s="4">
        <f t="shared" si="1"/>
        <v>-0.4423518443</v>
      </c>
      <c r="V2622" s="4"/>
    </row>
    <row r="2623">
      <c r="A2623" s="1" t="s">
        <v>21402</v>
      </c>
      <c r="B2623" s="1" t="s">
        <v>21403</v>
      </c>
      <c r="C2623" s="1" t="s">
        <v>21404</v>
      </c>
      <c r="D2623" s="1" t="s">
        <v>21132</v>
      </c>
      <c r="E2623" s="1" t="s">
        <v>21133</v>
      </c>
      <c r="F2623" s="1">
        <v>2346.0</v>
      </c>
      <c r="G2623" s="1">
        <v>74.0</v>
      </c>
      <c r="H2623" s="1">
        <v>5.0</v>
      </c>
      <c r="I2623" s="1">
        <v>717000.0</v>
      </c>
      <c r="J2623" s="1" t="s">
        <v>2468</v>
      </c>
      <c r="K2623" s="5">
        <f t="shared" si="2"/>
        <v>0.003271966527</v>
      </c>
      <c r="L2623" s="6">
        <f t="shared" si="3"/>
        <v>538</v>
      </c>
      <c r="M2623" s="6">
        <f t="shared" si="4"/>
        <v>4.360594796</v>
      </c>
      <c r="N2623" s="7">
        <f t="shared" si="5"/>
        <v>0.00000608172217</v>
      </c>
      <c r="O2623" s="7"/>
      <c r="P2623" s="4">
        <f t="shared" si="6"/>
        <v>-0.4452421991</v>
      </c>
      <c r="Q2623" s="4">
        <f t="shared" si="7"/>
        <v>4</v>
      </c>
      <c r="R2623" s="4">
        <f t="shared" si="8"/>
        <v>0</v>
      </c>
      <c r="S2623" s="4">
        <f t="shared" si="9"/>
        <v>-0.4452421991</v>
      </c>
      <c r="T2623" s="4">
        <f t="shared" si="10"/>
        <v>27</v>
      </c>
      <c r="U2623" s="4">
        <f t="shared" si="1"/>
        <v>-0.4452421991</v>
      </c>
      <c r="V2623" s="4"/>
    </row>
    <row r="2624">
      <c r="A2624" s="1" t="s">
        <v>21405</v>
      </c>
      <c r="B2624" s="1" t="s">
        <v>21406</v>
      </c>
      <c r="C2624" s="1" t="s">
        <v>21407</v>
      </c>
      <c r="D2624" s="1" t="s">
        <v>21132</v>
      </c>
      <c r="E2624" s="1" t="s">
        <v>21133</v>
      </c>
      <c r="F2624" s="1">
        <v>4825.0</v>
      </c>
      <c r="G2624" s="1">
        <v>101.0</v>
      </c>
      <c r="H2624" s="1">
        <v>2.0</v>
      </c>
      <c r="I2624" s="1">
        <v>717000.0</v>
      </c>
      <c r="J2624" s="1" t="s">
        <v>2468</v>
      </c>
      <c r="K2624" s="5">
        <f t="shared" si="2"/>
        <v>0.006729428173</v>
      </c>
      <c r="L2624" s="6">
        <f t="shared" si="3"/>
        <v>540</v>
      </c>
      <c r="M2624" s="6">
        <f t="shared" si="4"/>
        <v>8.935185185</v>
      </c>
      <c r="N2624" s="7">
        <f t="shared" si="5"/>
        <v>0.00001246190402</v>
      </c>
      <c r="O2624" s="7"/>
      <c r="P2624" s="4">
        <f t="shared" si="6"/>
        <v>-0.4407482323</v>
      </c>
      <c r="Q2624" s="4">
        <f t="shared" si="7"/>
        <v>10</v>
      </c>
      <c r="R2624" s="4">
        <f t="shared" si="8"/>
        <v>0</v>
      </c>
      <c r="S2624" s="4">
        <f t="shared" si="9"/>
        <v>-0.4407482323</v>
      </c>
      <c r="T2624" s="4">
        <f t="shared" si="10"/>
        <v>42</v>
      </c>
      <c r="U2624" s="4">
        <f t="shared" si="1"/>
        <v>-0.4407482323</v>
      </c>
      <c r="V2624" s="4"/>
    </row>
    <row r="2625">
      <c r="A2625" s="1" t="s">
        <v>21408</v>
      </c>
      <c r="B2625" s="1" t="s">
        <v>21409</v>
      </c>
      <c r="C2625" s="1" t="s">
        <v>21410</v>
      </c>
      <c r="D2625" s="1" t="s">
        <v>21132</v>
      </c>
      <c r="E2625" s="1" t="s">
        <v>21133</v>
      </c>
      <c r="F2625" s="1">
        <v>1229.0</v>
      </c>
      <c r="G2625" s="1">
        <v>30.0</v>
      </c>
      <c r="H2625" s="1">
        <v>5.0</v>
      </c>
      <c r="I2625" s="1">
        <v>717000.0</v>
      </c>
      <c r="J2625" s="1" t="s">
        <v>2468</v>
      </c>
      <c r="K2625" s="5">
        <f t="shared" si="2"/>
        <v>0.001714086471</v>
      </c>
      <c r="L2625" s="6">
        <f t="shared" si="3"/>
        <v>541</v>
      </c>
      <c r="M2625" s="6">
        <f t="shared" si="4"/>
        <v>2.271719039</v>
      </c>
      <c r="N2625" s="7">
        <f t="shared" si="5"/>
        <v>0.00000316836686</v>
      </c>
      <c r="O2625" s="7"/>
      <c r="P2625" s="4">
        <f t="shared" si="6"/>
        <v>-0.44729426</v>
      </c>
      <c r="Q2625" s="4">
        <f t="shared" si="7"/>
        <v>7</v>
      </c>
      <c r="R2625" s="4">
        <f t="shared" si="8"/>
        <v>0</v>
      </c>
      <c r="S2625" s="4">
        <f t="shared" si="9"/>
        <v>-0.44729426</v>
      </c>
      <c r="T2625" s="4">
        <f t="shared" si="10"/>
        <v>35</v>
      </c>
      <c r="U2625" s="4">
        <f t="shared" si="1"/>
        <v>-0.44729426</v>
      </c>
      <c r="V2625" s="4"/>
    </row>
    <row r="2626">
      <c r="A2626" s="1" t="s">
        <v>21411</v>
      </c>
      <c r="B2626" s="1" t="s">
        <v>21412</v>
      </c>
      <c r="C2626" s="1" t="s">
        <v>21413</v>
      </c>
      <c r="D2626" s="1" t="s">
        <v>21132</v>
      </c>
      <c r="E2626" s="1" t="s">
        <v>21133</v>
      </c>
      <c r="F2626" s="1">
        <v>7661.0</v>
      </c>
      <c r="G2626" s="1">
        <v>70.0</v>
      </c>
      <c r="H2626" s="1">
        <v>4.0</v>
      </c>
      <c r="I2626" s="1">
        <v>717000.0</v>
      </c>
      <c r="J2626" s="1" t="s">
        <v>2468</v>
      </c>
      <c r="K2626" s="5">
        <f t="shared" si="2"/>
        <v>0.01068479777</v>
      </c>
      <c r="L2626" s="6">
        <f t="shared" si="3"/>
        <v>542</v>
      </c>
      <c r="M2626" s="6">
        <f t="shared" si="4"/>
        <v>14.13468635</v>
      </c>
      <c r="N2626" s="7">
        <f t="shared" si="5"/>
        <v>0.00001971364902</v>
      </c>
      <c r="O2626" s="7"/>
      <c r="P2626" s="4">
        <f t="shared" si="6"/>
        <v>-0.4356403683</v>
      </c>
      <c r="Q2626" s="4">
        <f t="shared" si="7"/>
        <v>10</v>
      </c>
      <c r="R2626" s="4">
        <f t="shared" si="8"/>
        <v>0</v>
      </c>
      <c r="S2626" s="4">
        <f t="shared" si="9"/>
        <v>-0.4356403683</v>
      </c>
      <c r="T2626" s="4">
        <f t="shared" si="10"/>
        <v>48</v>
      </c>
      <c r="U2626" s="4">
        <f t="shared" si="1"/>
        <v>-0.4356403683</v>
      </c>
      <c r="V2626" s="4"/>
    </row>
    <row r="2627">
      <c r="A2627" s="1" t="s">
        <v>21414</v>
      </c>
      <c r="B2627" s="1" t="s">
        <v>21415</v>
      </c>
      <c r="C2627" s="1" t="s">
        <v>21416</v>
      </c>
      <c r="D2627" s="1" t="s">
        <v>21132</v>
      </c>
      <c r="E2627" s="1" t="s">
        <v>21133</v>
      </c>
      <c r="F2627" s="1">
        <v>52248.0</v>
      </c>
      <c r="G2627" s="1">
        <v>228.0</v>
      </c>
      <c r="H2627" s="1">
        <v>1.0</v>
      </c>
      <c r="I2627" s="1">
        <v>717000.0</v>
      </c>
      <c r="J2627" s="1" t="s">
        <v>2468</v>
      </c>
      <c r="K2627" s="5">
        <f t="shared" si="2"/>
        <v>0.07287029289</v>
      </c>
      <c r="L2627" s="6">
        <f t="shared" si="3"/>
        <v>545</v>
      </c>
      <c r="M2627" s="6">
        <f t="shared" si="4"/>
        <v>95.86788991</v>
      </c>
      <c r="N2627" s="7">
        <f t="shared" si="5"/>
        <v>0.0001337069594</v>
      </c>
      <c r="O2627" s="7"/>
      <c r="P2627" s="4">
        <f t="shared" si="6"/>
        <v>-0.3553476496</v>
      </c>
      <c r="Q2627" s="4">
        <f t="shared" si="7"/>
        <v>6</v>
      </c>
      <c r="R2627" s="4">
        <f t="shared" si="8"/>
        <v>0</v>
      </c>
      <c r="S2627" s="4">
        <f t="shared" si="9"/>
        <v>-0.3553476496</v>
      </c>
      <c r="T2627" s="4">
        <f t="shared" si="10"/>
        <v>23</v>
      </c>
      <c r="U2627" s="4">
        <f t="shared" si="1"/>
        <v>-0.3553476496</v>
      </c>
      <c r="V2627" s="4"/>
    </row>
    <row r="2628">
      <c r="A2628" s="1" t="s">
        <v>21417</v>
      </c>
      <c r="B2628" s="1" t="s">
        <v>21418</v>
      </c>
      <c r="C2628" s="1" t="s">
        <v>21419</v>
      </c>
      <c r="D2628" s="1" t="s">
        <v>21132</v>
      </c>
      <c r="E2628" s="1" t="s">
        <v>21133</v>
      </c>
      <c r="F2628" s="1">
        <v>4560.0</v>
      </c>
      <c r="G2628" s="1">
        <v>38.0</v>
      </c>
      <c r="H2628" s="1">
        <v>1.0</v>
      </c>
      <c r="I2628" s="1">
        <v>717000.0</v>
      </c>
      <c r="J2628" s="1" t="s">
        <v>2468</v>
      </c>
      <c r="K2628" s="5">
        <f t="shared" si="2"/>
        <v>0.006359832636</v>
      </c>
      <c r="L2628" s="6">
        <f t="shared" si="3"/>
        <v>546</v>
      </c>
      <c r="M2628" s="6">
        <f t="shared" si="4"/>
        <v>8.351648352</v>
      </c>
      <c r="N2628" s="7">
        <f t="shared" si="5"/>
        <v>0.00001164804512</v>
      </c>
      <c r="O2628" s="7"/>
      <c r="P2628" s="4">
        <f t="shared" si="6"/>
        <v>-0.4413214847</v>
      </c>
      <c r="Q2628" s="4">
        <f t="shared" si="7"/>
        <v>3</v>
      </c>
      <c r="R2628" s="4">
        <f t="shared" si="8"/>
        <v>0</v>
      </c>
      <c r="S2628" s="4">
        <f t="shared" si="9"/>
        <v>-0.4413214847</v>
      </c>
      <c r="T2628" s="4">
        <f t="shared" si="10"/>
        <v>15</v>
      </c>
      <c r="U2628" s="4">
        <f t="shared" si="1"/>
        <v>-0.4413214847</v>
      </c>
      <c r="V2628" s="4"/>
    </row>
    <row r="2629">
      <c r="A2629" s="1" t="s">
        <v>21420</v>
      </c>
      <c r="B2629" s="1" t="s">
        <v>21421</v>
      </c>
      <c r="C2629" s="1" t="s">
        <v>21422</v>
      </c>
      <c r="D2629" s="1" t="s">
        <v>21132</v>
      </c>
      <c r="E2629" s="1" t="s">
        <v>21133</v>
      </c>
      <c r="F2629" s="1">
        <v>9090.0</v>
      </c>
      <c r="G2629" s="1">
        <v>81.0</v>
      </c>
      <c r="H2629" s="1">
        <v>2.0</v>
      </c>
      <c r="I2629" s="1">
        <v>717000.0</v>
      </c>
      <c r="J2629" s="1" t="s">
        <v>2468</v>
      </c>
      <c r="K2629" s="5">
        <f t="shared" si="2"/>
        <v>0.01267782427</v>
      </c>
      <c r="L2629" s="6">
        <f t="shared" si="3"/>
        <v>547</v>
      </c>
      <c r="M2629" s="6">
        <f t="shared" si="4"/>
        <v>16.6179159</v>
      </c>
      <c r="N2629" s="7">
        <f t="shared" si="5"/>
        <v>0.00002317700963</v>
      </c>
      <c r="O2629" s="7"/>
      <c r="P2629" s="4">
        <f t="shared" si="6"/>
        <v>-0.4332009038</v>
      </c>
      <c r="Q2629" s="4">
        <f t="shared" si="7"/>
        <v>3</v>
      </c>
      <c r="R2629" s="4">
        <f t="shared" si="8"/>
        <v>0</v>
      </c>
      <c r="S2629" s="4">
        <f t="shared" si="9"/>
        <v>-0.4332009038</v>
      </c>
      <c r="T2629" s="4">
        <f t="shared" si="10"/>
        <v>16</v>
      </c>
      <c r="U2629" s="4">
        <f t="shared" si="1"/>
        <v>-0.4332009038</v>
      </c>
      <c r="V2629" s="4"/>
    </row>
    <row r="2630">
      <c r="P2630" s="9"/>
      <c r="Q2630" s="9"/>
      <c r="R2630" s="9"/>
      <c r="S2630" s="9"/>
      <c r="T2630" s="9"/>
      <c r="U2630" s="9"/>
      <c r="V2630" s="9"/>
    </row>
    <row r="2631">
      <c r="P2631" s="9"/>
      <c r="Q2631" s="9"/>
      <c r="R2631" s="9"/>
      <c r="S2631" s="9"/>
      <c r="T2631" s="9"/>
      <c r="U2631" s="9"/>
      <c r="V2631" s="9"/>
    </row>
  </sheetData>
  <drawing r:id="rId1"/>
</worksheet>
</file>